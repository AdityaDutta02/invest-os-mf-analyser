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drawings/drawing6.xml" ContentType="application/vnd.openxmlformats-officedocument.drawing+xml"/>
  <Override PartName="/xl/charts/chart6.xml" ContentType="application/vnd.openxmlformats-officedocument.drawingml.chart+xml"/>
  <Override PartName="/xl/drawings/drawing7.xml" ContentType="application/vnd.openxmlformats-officedocument.drawing+xml"/>
  <Override PartName="/xl/charts/chart7.xml" ContentType="application/vnd.openxmlformats-officedocument.drawingml.chart+xml"/>
  <Override PartName="/xl/drawings/drawing8.xml" ContentType="application/vnd.openxmlformats-officedocument.drawing+xml"/>
  <Override PartName="/xl/charts/chart8.xml" ContentType="application/vnd.openxmlformats-officedocument.drawingml.chart+xml"/>
  <Override PartName="/xl/drawings/drawing9.xml" ContentType="application/vnd.openxmlformats-officedocument.drawing+xml"/>
  <Override PartName="/xl/charts/chart9.xml" ContentType="application/vnd.openxmlformats-officedocument.drawingml.chart+xml"/>
  <Override PartName="/xl/drawings/drawing10.xml" ContentType="application/vnd.openxmlformats-officedocument.drawing+xml"/>
  <Override PartName="/xl/charts/chart10.xml" ContentType="application/vnd.openxmlformats-officedocument.drawingml.chart+xml"/>
  <Override PartName="/xl/drawings/drawing11.xml" ContentType="application/vnd.openxmlformats-officedocument.drawing+xml"/>
  <Override PartName="/xl/charts/chart11.xml" ContentType="application/vnd.openxmlformats-officedocument.drawingml.chart+xml"/>
  <Override PartName="/xl/drawings/drawing12.xml" ContentType="application/vnd.openxmlformats-officedocument.drawing+xml"/>
  <Override PartName="/xl/charts/chart12.xml" ContentType="application/vnd.openxmlformats-officedocument.drawingml.chart+xml"/>
  <Override PartName="/xl/drawings/drawing13.xml" ContentType="application/vnd.openxmlformats-officedocument.drawing+xml"/>
  <Override PartName="/xl/charts/chart13.xml" ContentType="application/vnd.openxmlformats-officedocument.drawingml.chart+xml"/>
  <Override PartName="/xl/drawings/drawing14.xml" ContentType="application/vnd.openxmlformats-officedocument.drawing+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drawings/drawing15.xml" ContentType="application/vnd.openxmlformats-officedocument.drawing+xml"/>
  <Override PartName="/xl/charts/chart18.xml" ContentType="application/vnd.openxmlformats-officedocument.drawingml.chart+xml"/>
  <Override PartName="/xl/charts/chart19.xml" ContentType="application/vnd.openxmlformats-officedocument.drawingml.chart+xml"/>
  <Override PartName="/xl/drawings/drawing16.xml" ContentType="application/vnd.openxmlformats-officedocument.drawing+xml"/>
  <Override PartName="/xl/charts/chart20.xml" ContentType="application/vnd.openxmlformats-officedocument.drawingml.chart+xml"/>
  <Override PartName="/xl/charts/chart21.xml" ContentType="application/vnd.openxmlformats-officedocument.drawingml.chart+xml"/>
  <Override PartName="/xl/drawings/drawing17.xml" ContentType="application/vnd.openxmlformats-officedocument.drawing+xml"/>
  <Override PartName="/xl/charts/chart22.xml" ContentType="application/vnd.openxmlformats-officedocument.drawingml.chart+xml"/>
  <Override PartName="/xl/charts/chart23.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8.xml" ContentType="application/vnd.openxmlformats-officedocument.drawing+xml"/>
  <Override PartName="/xl/charts/chart24.xml" ContentType="application/vnd.openxmlformats-officedocument.drawingml.chart+xml"/>
  <Override PartName="/xl/drawings/drawing19.xml" ContentType="application/vnd.openxmlformats-officedocument.drawing+xml"/>
  <Override PartName="/xl/charts/chart25.xml" ContentType="application/vnd.openxmlformats-officedocument.drawingml.chart+xml"/>
  <Override PartName="/xl/drawings/drawing20.xml" ContentType="application/vnd.openxmlformats-officedocument.drawing+xml"/>
  <Override PartName="/xl/charts/chart26.xml" ContentType="application/vnd.openxmlformats-officedocument.drawingml.chart+xml"/>
  <Override PartName="/xl/drawings/drawing21.xml" ContentType="application/vnd.openxmlformats-officedocument.drawing+xml"/>
  <Override PartName="/xl/charts/chart27.xml" ContentType="application/vnd.openxmlformats-officedocument.drawingml.chart+xml"/>
  <Override PartName="/xl/drawings/drawing22.xml" ContentType="application/vnd.openxmlformats-officedocument.drawing+xml"/>
  <Override PartName="/xl/charts/chart28.xml" ContentType="application/vnd.openxmlformats-officedocument.drawingml.chart+xml"/>
  <Override PartName="/xl/drawings/drawing23.xml" ContentType="application/vnd.openxmlformats-officedocument.drawing+xml"/>
  <Override PartName="/xl/charts/chart29.xml" ContentType="application/vnd.openxmlformats-officedocument.drawingml.chart+xml"/>
  <Override PartName="/xl/drawings/drawing24.xml" ContentType="application/vnd.openxmlformats-officedocument.drawing+xml"/>
  <Override PartName="/xl/charts/chart30.xml" ContentType="application/vnd.openxmlformats-officedocument.drawingml.chart+xml"/>
  <Override PartName="/xl/drawings/drawing25.xml" ContentType="application/vnd.openxmlformats-officedocument.drawing+xml"/>
  <Override PartName="/xl/charts/chart31.xml" ContentType="application/vnd.openxmlformats-officedocument.drawingml.chart+xml"/>
  <Override PartName="/xl/drawings/drawing26.xml" ContentType="application/vnd.openxmlformats-officedocument.drawing+xml"/>
  <Override PartName="/xl/charts/chart3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0"/>
  <workbookPr codeName="ThisWorkbook" defaultThemeVersion="124226"/>
  <mc:AlternateContent xmlns:mc="http://schemas.openxmlformats.org/markup-compatibility/2006">
    <mc:Choice Requires="x15">
      <x15ac:absPath xmlns:x15ac="http://schemas.microsoft.com/office/spreadsheetml/2010/11/ac" url="Z:\MONTH END DELIVERABLES-1\Portfolios_All\2023\"/>
    </mc:Choice>
  </mc:AlternateContent>
  <xr:revisionPtr revIDLastSave="0" documentId="13_ncr:1_{0074E052-0388-472A-B601-8EE062B66666}" xr6:coauthVersionLast="36" xr6:coauthVersionMax="36" xr10:uidLastSave="{00000000-0000-0000-0000-000000000000}"/>
  <bookViews>
    <workbookView xWindow="0" yWindow="0" windowWidth="20490" windowHeight="7545" tabRatio="908" xr2:uid="{00000000-000D-0000-FFFF-FFFF00000000}"/>
  </bookViews>
  <sheets>
    <sheet name="IDFC-USFOF" sheetId="29" r:id="rId1"/>
    <sheet name="IDFC CEF" sheetId="4" r:id="rId2"/>
    <sheet name="IDFC LCF" sheetId="6" r:id="rId3"/>
    <sheet name="IDFC FEF" sheetId="7" r:id="rId4"/>
    <sheet name="IDFC SVF" sheetId="12" r:id="rId5"/>
    <sheet name="IDFC-MCAP" sheetId="33" r:id="rId6"/>
    <sheet name="IDFC MCF" sheetId="30" r:id="rId7"/>
    <sheet name="IDFC FCF" sheetId="11" r:id="rId8"/>
    <sheet name="IDFC EBF" sheetId="28" r:id="rId9"/>
    <sheet name="IDFC IF" sheetId="8" r:id="rId10"/>
    <sheet name="IDFC TLF" sheetId="37" r:id="rId11"/>
    <sheet name="IDFC-TAF" sheetId="13" r:id="rId12"/>
    <sheet name="IDFC-AF" sheetId="27" r:id="rId13"/>
    <sheet name="IDFC BAF" sheetId="5" r:id="rId14"/>
    <sheet name="IDFC-ESF" sheetId="25" r:id="rId15"/>
    <sheet name="IDFC-RSF" sheetId="18" r:id="rId16"/>
    <sheet name="IDFC-HEF" sheetId="26" r:id="rId17"/>
    <sheet name="IDFCAAF-AP" sheetId="19" r:id="rId18"/>
    <sheet name="IDFCAAF-MP" sheetId="20" r:id="rId19"/>
    <sheet name="IDFCAAF-CP" sheetId="21" r:id="rId20"/>
    <sheet name="IDFC-NIFTY 50 Index" sheetId="10" r:id="rId21"/>
    <sheet name="IDFC- S&amp;P BSE SENSEX ETF" sheetId="16" r:id="rId22"/>
    <sheet name="IDFC- Nifty 50 ETF" sheetId="17" r:id="rId23"/>
    <sheet name="IDFC-Nifty 100 Index" sheetId="31" r:id="rId24"/>
    <sheet name="IDFC-Nifty200 Mom30 Index" sheetId="34" r:id="rId25"/>
    <sheet name="IDFC NIF100LV30" sheetId="35" r:id="rId26"/>
  </sheets>
  <definedNames>
    <definedName name="_xlnm._FilterDatabase" localSheetId="13" hidden="1">'IDFC BAF'!$I$33:$J$45</definedName>
    <definedName name="_xlnm._FilterDatabase" localSheetId="17" hidden="1">'IDFCAAF-AP'!$C$12:$D$15</definedName>
    <definedName name="_xlnm.Print_Area" localSheetId="12">'IDFC-AF'!$C$5:$E$26</definedName>
  </definedNames>
  <calcPr calcId="191029"/>
</workbook>
</file>

<file path=xl/calcChain.xml><?xml version="1.0" encoding="utf-8"?>
<calcChain xmlns="http://schemas.openxmlformats.org/spreadsheetml/2006/main">
  <c r="E52" i="5" l="1"/>
  <c r="E24" i="37" l="1"/>
  <c r="D11" i="19"/>
  <c r="E43" i="5" l="1"/>
  <c r="D11" i="21" l="1"/>
  <c r="E24" i="35" l="1"/>
  <c r="D15" i="21" l="1"/>
  <c r="E24" i="34" l="1"/>
  <c r="K12" i="26"/>
  <c r="K11" i="26"/>
  <c r="E30" i="26"/>
  <c r="K9" i="26" s="1"/>
  <c r="E40" i="26"/>
  <c r="K13" i="26" s="1"/>
  <c r="K11" i="18"/>
  <c r="E35" i="18"/>
  <c r="E36" i="5"/>
  <c r="E24" i="33"/>
  <c r="E25" i="27" l="1"/>
  <c r="E33" i="25" l="1"/>
  <c r="E48" i="5"/>
  <c r="E46" i="18" l="1"/>
  <c r="E23" i="25" l="1"/>
  <c r="E31" i="5"/>
  <c r="E37" i="25" l="1"/>
  <c r="K13" i="25"/>
  <c r="E23" i="5"/>
  <c r="E24" i="31" l="1"/>
  <c r="K9" i="18" l="1"/>
  <c r="D19" i="21" l="1"/>
  <c r="E24" i="30"/>
  <c r="D16" i="19" l="1"/>
  <c r="J10" i="29"/>
  <c r="J9" i="29"/>
  <c r="K13" i="18" l="1"/>
  <c r="E24" i="12" l="1"/>
  <c r="K9" i="25" l="1"/>
  <c r="S8" i="27"/>
  <c r="S9" i="27" s="1"/>
  <c r="E24" i="8"/>
  <c r="J8" i="29" l="1"/>
  <c r="I9" i="18" l="1"/>
  <c r="I10" i="18"/>
  <c r="K14" i="18" l="1"/>
  <c r="K12" i="18"/>
  <c r="E24" i="28" l="1"/>
  <c r="E24" i="18" l="1"/>
  <c r="E53" i="18" s="1"/>
  <c r="K10" i="18" l="1"/>
  <c r="E24" i="26"/>
  <c r="I10" i="26"/>
  <c r="I9" i="26"/>
  <c r="I8" i="26"/>
  <c r="E44" i="26" l="1"/>
  <c r="K10" i="26"/>
  <c r="J10" i="21"/>
  <c r="J9" i="21"/>
  <c r="J10" i="20"/>
  <c r="D17" i="20"/>
  <c r="J9" i="20" s="1"/>
  <c r="D11" i="20"/>
  <c r="J8" i="20" s="1"/>
  <c r="D21" i="20" l="1"/>
  <c r="J8" i="21"/>
  <c r="K12" i="25"/>
  <c r="K10" i="25" l="1"/>
  <c r="K11" i="25" l="1"/>
  <c r="I10" i="25"/>
  <c r="I9" i="25"/>
  <c r="I8" i="25"/>
  <c r="I8" i="18" l="1"/>
  <c r="E24" i="10" l="1"/>
  <c r="E24" i="7"/>
  <c r="E24" i="6"/>
  <c r="E24" i="4"/>
  <c r="E24" i="13"/>
  <c r="E24" i="17"/>
  <c r="E24" i="16"/>
  <c r="E24" i="11"/>
  <c r="J11" i="19"/>
  <c r="J10" i="19" l="1"/>
  <c r="J9" i="19" l="1"/>
  <c r="D20" i="19"/>
</calcChain>
</file>

<file path=xl/sharedStrings.xml><?xml version="1.0" encoding="utf-8"?>
<sst xmlns="http://schemas.openxmlformats.org/spreadsheetml/2006/main" count="1501" uniqueCount="299">
  <si>
    <t>Company</t>
  </si>
  <si>
    <t>Industry</t>
  </si>
  <si>
    <t>(%) NAV</t>
  </si>
  <si>
    <t>Banks</t>
  </si>
  <si>
    <t>Finance</t>
  </si>
  <si>
    <t>Corporate Bond Total</t>
  </si>
  <si>
    <t>Petroleum Products</t>
  </si>
  <si>
    <t>Consumer Non Durables</t>
  </si>
  <si>
    <t>Construction Project</t>
  </si>
  <si>
    <t>Software</t>
  </si>
  <si>
    <t>Power</t>
  </si>
  <si>
    <t>Ferrous Metals</t>
  </si>
  <si>
    <t>Telecom - Services</t>
  </si>
  <si>
    <t>Oil</t>
  </si>
  <si>
    <t>Auto</t>
  </si>
  <si>
    <t>Non - Ferrous Metals</t>
  </si>
  <si>
    <t>Consumer Durables</t>
  </si>
  <si>
    <t>Chemicals</t>
  </si>
  <si>
    <t>Industrial Capital Goods</t>
  </si>
  <si>
    <t>Equity Total</t>
  </si>
  <si>
    <t>Net Current Asset</t>
  </si>
  <si>
    <t>Grand Total</t>
  </si>
  <si>
    <t>SECTOR</t>
  </si>
  <si>
    <t>Construction</t>
  </si>
  <si>
    <t>Industrial Products</t>
  </si>
  <si>
    <t>Gas</t>
  </si>
  <si>
    <t>IDFC INFRASTRUCTURE FUND</t>
  </si>
  <si>
    <t>Retailing</t>
  </si>
  <si>
    <t>Hotels, Resorts And Other Recreational Activities</t>
  </si>
  <si>
    <t>Infosys Limited</t>
  </si>
  <si>
    <t>HDFC Bank Limited</t>
  </si>
  <si>
    <t>Housing Development Finance Corporation Limited</t>
  </si>
  <si>
    <t>ITC Limited</t>
  </si>
  <si>
    <t>Reliance Industries Limited</t>
  </si>
  <si>
    <t>ICICI Bank Limited</t>
  </si>
  <si>
    <t>Tata Consultancy Services Limited</t>
  </si>
  <si>
    <t>Larsen &amp; Toubro Limited</t>
  </si>
  <si>
    <t>Kotak Mahindra Bank Limited</t>
  </si>
  <si>
    <t>Axis Bank Limited</t>
  </si>
  <si>
    <t>Hindustan Unilever Limited</t>
  </si>
  <si>
    <t>Asian Paints Limited</t>
  </si>
  <si>
    <t>IDFC ARBITRAGE FUND</t>
  </si>
  <si>
    <t>Date</t>
  </si>
  <si>
    <t>IDFC-AF</t>
  </si>
  <si>
    <t>Total Hedged Equity</t>
  </si>
  <si>
    <t>Total Debt</t>
  </si>
  <si>
    <t>Corporate Bond</t>
  </si>
  <si>
    <t>Government Bond</t>
  </si>
  <si>
    <t>Name</t>
  </si>
  <si>
    <t>Rating/Industry</t>
  </si>
  <si>
    <t>Total</t>
  </si>
  <si>
    <t>Asset Quality</t>
  </si>
  <si>
    <t>AAA Equivalent</t>
  </si>
  <si>
    <t>AA Equivalent</t>
  </si>
  <si>
    <t xml:space="preserve">Corporate Bond </t>
  </si>
  <si>
    <t>&lt; 1 Months</t>
  </si>
  <si>
    <t>Asset Allocation</t>
  </si>
  <si>
    <t>IDFC ASSET ALLOCATION FUND - AGGRESSIVE PLAN</t>
  </si>
  <si>
    <t xml:space="preserve">Debt </t>
  </si>
  <si>
    <t>Debt Total</t>
  </si>
  <si>
    <t xml:space="preserve">Equity </t>
  </si>
  <si>
    <t>Net Assets</t>
  </si>
  <si>
    <t>IDFC ASSET ALLOCATION FUND - MODERATE PLAN</t>
  </si>
  <si>
    <t xml:space="preserve">IDFC ASSET ALLOCATION FUND - CONSERVATIVE PLAN </t>
  </si>
  <si>
    <t>Top 15 Equity Total</t>
  </si>
  <si>
    <t>Top 15 Equity Holdings</t>
  </si>
  <si>
    <t>AA+ Equivalent</t>
  </si>
  <si>
    <t>State Government Bond</t>
  </si>
  <si>
    <t>Arbitrage Position</t>
  </si>
  <si>
    <t>Other Active Equity Holdings</t>
  </si>
  <si>
    <t>Arbitrage</t>
  </si>
  <si>
    <t>SOV</t>
  </si>
  <si>
    <t>IDFC FOCUSED EQUITY FUND</t>
  </si>
  <si>
    <t>NTPC Limited</t>
  </si>
  <si>
    <t>AAA</t>
  </si>
  <si>
    <t>PNC Infratech Limited</t>
  </si>
  <si>
    <t>IDFC EQUITY SAVINGS FUND</t>
  </si>
  <si>
    <t>IDFC HYBRID EQUITY FUND</t>
  </si>
  <si>
    <t>UltraTech Cement Limited</t>
  </si>
  <si>
    <t xml:space="preserve">Top 15 Active Equity Holdings </t>
  </si>
  <si>
    <t>IDFC LARGE CAP FUND</t>
  </si>
  <si>
    <t>IDFC CORE EQUITY FUND</t>
  </si>
  <si>
    <t>IDFC STERLING VALUE FUND</t>
  </si>
  <si>
    <t>Certificate of Deposit</t>
  </si>
  <si>
    <t>IDFC REGULAR SAVINGS FUND</t>
  </si>
  <si>
    <t>Other Equity Holdings</t>
  </si>
  <si>
    <t>7.17% GOI (MD 08/01/2028)</t>
  </si>
  <si>
    <t>IDFC TAX ADVANTAGE (ELSS) FUND</t>
  </si>
  <si>
    <t>Net Cash and Cash Equivalent</t>
  </si>
  <si>
    <t>Transport Corporation of India Limited</t>
  </si>
  <si>
    <t>REC Limited</t>
  </si>
  <si>
    <t>JK Cement Limited</t>
  </si>
  <si>
    <t>Deepak Nitrite Limited</t>
  </si>
  <si>
    <t>Bharti Airtel Limited</t>
  </si>
  <si>
    <t>LIC Housing Finance Limited</t>
  </si>
  <si>
    <t>Torrent Power Limited</t>
  </si>
  <si>
    <t>8.24% GOI (MD 15/02/2027)</t>
  </si>
  <si>
    <t>Atul Limited</t>
  </si>
  <si>
    <t>PTC</t>
  </si>
  <si>
    <t>HCL Technologies Limited</t>
  </si>
  <si>
    <t>Sun Pharmaceutical Industries Limited</t>
  </si>
  <si>
    <t>6.79% GOI (MD 15/05/2027)</t>
  </si>
  <si>
    <t>National Bank For Agriculture and Rural Development</t>
  </si>
  <si>
    <t>Jindal Steel &amp; Power Limited</t>
  </si>
  <si>
    <t>Power Finance Corporation Limited</t>
  </si>
  <si>
    <t>IDFC EMERGING BUSINESSES FUND</t>
  </si>
  <si>
    <t>Radico Khaitan Limited</t>
  </si>
  <si>
    <t>NOCIL Limited</t>
  </si>
  <si>
    <t>Kajaria Ceramics Limited</t>
  </si>
  <si>
    <t>Healthcare Services</t>
  </si>
  <si>
    <t>7.32% GOI (MD 28/01/2024)</t>
  </si>
  <si>
    <t>Shaily Engineering Plastics Limited</t>
  </si>
  <si>
    <t>Treasury Bill</t>
  </si>
  <si>
    <t>State Bank of India</t>
  </si>
  <si>
    <t>Tata Motors Limited</t>
  </si>
  <si>
    <t>Bajaj Finance Limited</t>
  </si>
  <si>
    <t>Exchange Traded Fund</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</si>
  <si>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IDFC Asset Management Company Limited and/or IDFC Mutual Fund. The Scheme may or may not have any present or future positions in the above securities. Investors are advised to consult their own investment advisor before making any investment decision in light of their risk appetite, investment goals and horizon.”</t>
  </si>
  <si>
    <t>IDFC FLEXI CAP FUND</t>
  </si>
  <si>
    <t>Cement &amp; Cement Products</t>
  </si>
  <si>
    <t>Leisure Services</t>
  </si>
  <si>
    <t>Capital Markets</t>
  </si>
  <si>
    <t>Insurance</t>
  </si>
  <si>
    <t>Aerospace &amp; Defense</t>
  </si>
  <si>
    <t>IDFC BALANCED ADVANTAGE FUND</t>
  </si>
  <si>
    <t>Britannia Industries Limited</t>
  </si>
  <si>
    <t>Avenue Supermarts Limited</t>
  </si>
  <si>
    <t>5.63% GOI (MD 12/04/2026)</t>
  </si>
  <si>
    <t>Top 15 Net Equity Holdings</t>
  </si>
  <si>
    <t>Other Net Equity Holdings</t>
  </si>
  <si>
    <t>Mutual Fund Units: IDFC Cash Fund</t>
  </si>
  <si>
    <t>IDFC US EQUITY FUND OF FUND</t>
  </si>
  <si>
    <t>JPMorgan Funds - US Growth Fund 
Class: JPM US Growth I (acc) - USD</t>
  </si>
  <si>
    <t>International Mutual Fund Units</t>
  </si>
  <si>
    <t>“Disclaimer: MUTUAL FUND INVESTMENTS ARE SUBJECT TO MARKET RISKS, READ ALL SCHEME RELATED DOCUMENTS CAREFULLY.                                                                                                                                                                                                                           The identity of the issuer of the Promotion Material and the investment product which is the subject of the Promotion Material and the content of the Promotion Material has been verified by the issuer thereof; The Promotion Material is not issued by J.P. Morgan Asset Management (Singapore) Limited (JPMAMSL), any of its Affiliates or a JPMorgan Fund and the Promotion Material does not relate to a direct investment in any JPMorgan Fund; neither JPMAMSL, any of its Affiliates or a JPMorgan Fund has reviewed the contents of the Promotion Material and accordingly takes no responsibility for the accuracy of the contents of the Promotion Material or any liability for any statement or misstatement in the Promotion Material; and an investor would be investing into an investment product which is established, offered and sold by the Company or its Affiliates and would not be investing in any JPMorgan Fund, and accordingly there is no contractual relationship between the Investor and JPMAMSL, any of its Affiliates or a JPMorgan Fund.</t>
  </si>
  <si>
    <t>The Indian Hotels Company Limited</t>
  </si>
  <si>
    <t>Entertainment</t>
  </si>
  <si>
    <t>Maruti Suzuki India Limited</t>
  </si>
  <si>
    <t>Carborundum Universal Limited</t>
  </si>
  <si>
    <t>IDFC  Cash Fund -Direct Plan -Growth</t>
  </si>
  <si>
    <t>IDFC Low Duration Fund -Direct Plan-Growth</t>
  </si>
  <si>
    <t>IDFC Bond Fund -Short Term Plan Direct Plan-Growth</t>
  </si>
  <si>
    <t>IDFC  Focused Equity Fund-Direct Plan-Growth</t>
  </si>
  <si>
    <t>IDFC Large Cap Fund-Direct Plan-Growth</t>
  </si>
  <si>
    <t>IDFC Emerging Businesses Fund - Direct Plan - Grth</t>
  </si>
  <si>
    <t>Equity + Nifty ETF</t>
  </si>
  <si>
    <t>CG Power and Industrial Solutions Limited</t>
  </si>
  <si>
    <t>ABB India Limited</t>
  </si>
  <si>
    <t>Thermax Limited</t>
  </si>
  <si>
    <t xml:space="preserve">Net Equity </t>
  </si>
  <si>
    <t>Average Maturity Years</t>
  </si>
  <si>
    <t>Clearing Corporation of India Ltd</t>
  </si>
  <si>
    <t>TRI Party Repo Total</t>
  </si>
  <si>
    <t>Navin Fluorine International Limited</t>
  </si>
  <si>
    <t>A1+</t>
  </si>
  <si>
    <t>8.07% Gujrat SDL (MD 11/02/2025)</t>
  </si>
  <si>
    <t>8.28% GOI (M/D 21/09/2027)</t>
  </si>
  <si>
    <t>8.33% GOI 2026 (M/D 09/07/2026)</t>
  </si>
  <si>
    <t>Average Maturity in Days</t>
  </si>
  <si>
    <t>IDFC MULTI CAP FUND</t>
  </si>
  <si>
    <t>Poonawalla Fincorp Limited</t>
  </si>
  <si>
    <t>Metro Brands Limited</t>
  </si>
  <si>
    <t>JK Lakshmi Cement Limited</t>
  </si>
  <si>
    <t>United Breweries Limited</t>
  </si>
  <si>
    <t xml:space="preserve"> IDFC NIFTY 100 INDEX FUND</t>
  </si>
  <si>
    <t>VRL Logistics Limited</t>
  </si>
  <si>
    <t>Cipla Limited</t>
  </si>
  <si>
    <t>Cholamandalam Investment and Finance Company Ltd</t>
  </si>
  <si>
    <t>Beverages</t>
  </si>
  <si>
    <t>IT - Software</t>
  </si>
  <si>
    <t>Food Products</t>
  </si>
  <si>
    <t>Bosch Limited</t>
  </si>
  <si>
    <t>Auto Components</t>
  </si>
  <si>
    <t>SBI Cards and Payment Services Limited</t>
  </si>
  <si>
    <t>Pharmaceuticals &amp; Biotechnology</t>
  </si>
  <si>
    <t>Automobiles</t>
  </si>
  <si>
    <t>Realty</t>
  </si>
  <si>
    <t>IT - Services</t>
  </si>
  <si>
    <t>Agricultural Food &amp; other Products</t>
  </si>
  <si>
    <t>Chemicals &amp; Petrochemicals</t>
  </si>
  <si>
    <t>Diversified FMCG</t>
  </si>
  <si>
    <t>Fertilizers &amp; Agrochemicals</t>
  </si>
  <si>
    <t>Electrical Equipment</t>
  </si>
  <si>
    <t>Mahindra &amp; Mahindra Limited</t>
  </si>
  <si>
    <t>Personal Products</t>
  </si>
  <si>
    <t>Textiles &amp; Apparels</t>
  </si>
  <si>
    <t>Jubilant Foodworks Limited</t>
  </si>
  <si>
    <t>Diversified</t>
  </si>
  <si>
    <t>Transport Services</t>
  </si>
  <si>
    <t>Paper, Forest &amp; Jute Products</t>
  </si>
  <si>
    <t>Wheels India Limited</t>
  </si>
  <si>
    <t>Commercial Services &amp; Supplies</t>
  </si>
  <si>
    <t>Ashok Leyland Limited</t>
  </si>
  <si>
    <t>Agricultural, Commercial &amp; Construction Vehicles</t>
  </si>
  <si>
    <t>Cigarettes &amp; Tobacco Products</t>
  </si>
  <si>
    <t>Bharat Electronics Limited</t>
  </si>
  <si>
    <t>Transport Infrastructure</t>
  </si>
  <si>
    <t>Consumable Fuels</t>
  </si>
  <si>
    <t>Financial Technology (Fintech)</t>
  </si>
  <si>
    <t>Metals &amp; Minerals Trading</t>
  </si>
  <si>
    <t>Diversified Metals</t>
  </si>
  <si>
    <t>Nestle India Limited</t>
  </si>
  <si>
    <t>Mutual Fund Units: IDFC  Cash Fund -Direct Plan -Growth</t>
  </si>
  <si>
    <t>TVS Motor Company Limited</t>
  </si>
  <si>
    <t>Container Corporation of India Limited</t>
  </si>
  <si>
    <t>Adani Ports and Special Economic Zone Limited</t>
  </si>
  <si>
    <t>Mutual Fund Units: IDFC  Cash Fund-Direct Plan -Growth</t>
  </si>
  <si>
    <t>Anupam Rasayan India Limited</t>
  </si>
  <si>
    <t>IndusInd Bank Limited</t>
  </si>
  <si>
    <t>Schaeffler India Limited</t>
  </si>
  <si>
    <t>Automotive Axles Limited</t>
  </si>
  <si>
    <t>IDFC S&amp;P BSE SENSEX Exchange Traded Fund</t>
  </si>
  <si>
    <t>IDFC NIFTY 50 Exchange Traded Fund</t>
  </si>
  <si>
    <t>IDFC NIFTY 50 INDEX FUND</t>
  </si>
  <si>
    <t>UNO Minda Limited</t>
  </si>
  <si>
    <t>Industrial Manufacturing</t>
  </si>
  <si>
    <t>Titan Company Limited</t>
  </si>
  <si>
    <t>Sagar Cements Limited</t>
  </si>
  <si>
    <t>Tata Chemicals Limited</t>
  </si>
  <si>
    <t>364 Days Tbill (MD 09/02/2023)</t>
  </si>
  <si>
    <t xml:space="preserve"> IDFC MIDCAP FUND</t>
  </si>
  <si>
    <t>Persistent Systems Limited</t>
  </si>
  <si>
    <t>Trent Limited</t>
  </si>
  <si>
    <t>Cummins India Limited</t>
  </si>
  <si>
    <t>SRF Limited</t>
  </si>
  <si>
    <t>Bank of Baroda</t>
  </si>
  <si>
    <t>7.38% GOI (MD 20/06/2027)</t>
  </si>
  <si>
    <t>Prataap Snacks Limited</t>
  </si>
  <si>
    <t>IDFC 50 Nifty ETF</t>
  </si>
  <si>
    <t>Net Equity</t>
  </si>
  <si>
    <t xml:space="preserve">  IDFC NIFTY200 MOMENTUM 30 INDEX FUND</t>
  </si>
  <si>
    <t>Adani Enterprises Limited</t>
  </si>
  <si>
    <t>Power Grid Corporation of India Limited</t>
  </si>
  <si>
    <t>Coal India Limited</t>
  </si>
  <si>
    <t>Bharat Forge Limited</t>
  </si>
  <si>
    <t>Canara Bank</t>
  </si>
  <si>
    <t>Kalpataru Power Transmission Limited</t>
  </si>
  <si>
    <t xml:space="preserve"> IDFC NIFTY100 LOW VOLATILITY 30 INDEX FUND</t>
  </si>
  <si>
    <t>Dr. Reddy's Laboratories Limited</t>
  </si>
  <si>
    <t>Bajaj Auto Limited</t>
  </si>
  <si>
    <t>IDFC TRANSPORTATION AND LOGISTICS FUND</t>
  </si>
  <si>
    <t>Apollo Tyres Limited</t>
  </si>
  <si>
    <t>Escorts Kubota Limited</t>
  </si>
  <si>
    <t>United Spirits Limited</t>
  </si>
  <si>
    <t>Divi's Laboratories Limited</t>
  </si>
  <si>
    <t>Tube Investments of India Limited</t>
  </si>
  <si>
    <t>L&amp;T Technology Services Limited</t>
  </si>
  <si>
    <t>The Federal Bank  Limited</t>
  </si>
  <si>
    <t>Cyient Limited</t>
  </si>
  <si>
    <t>The Ramco Cements Limited</t>
  </si>
  <si>
    <t>Westlife Foodworld Limited</t>
  </si>
  <si>
    <t>Balrampur Chini Mills Limited</t>
  </si>
  <si>
    <t>H.G. Infra Engineering Limited</t>
  </si>
  <si>
    <t>Hero MotoCorp Limited</t>
  </si>
  <si>
    <t>InterGlobe Aviation Limited</t>
  </si>
  <si>
    <t>Eicher Motors Limited</t>
  </si>
  <si>
    <t>Minerals &amp; Mining</t>
  </si>
  <si>
    <t>KEC International Limited</t>
  </si>
  <si>
    <t>Astral Limited</t>
  </si>
  <si>
    <t>EIH Limited</t>
  </si>
  <si>
    <t>Ahluwalia Contracts (India) Limited</t>
  </si>
  <si>
    <t>MphasiS Limited</t>
  </si>
  <si>
    <t>Small Industries Dev Bank of India</t>
  </si>
  <si>
    <t>Kotak Mahindra Investments Limited</t>
  </si>
  <si>
    <t>182 Days Tbill (MD 11/05/2023)</t>
  </si>
  <si>
    <t>182 Days Tbill (MD 08/06/2023)</t>
  </si>
  <si>
    <t>Gujarat State Petronet Limited</t>
  </si>
  <si>
    <t>LTIMindtree Limited</t>
  </si>
  <si>
    <t>Ambuja Cements Limited</t>
  </si>
  <si>
    <t>Hindustan Aeronautics Limited</t>
  </si>
  <si>
    <t>SBI Life Insurance Company Limited</t>
  </si>
  <si>
    <t>Portfolio as on - (31st December 2022)</t>
  </si>
  <si>
    <t>Net Assets as on 31st December 2022</t>
  </si>
  <si>
    <t>313.62 crs</t>
  </si>
  <si>
    <t>2470.90 crs</t>
  </si>
  <si>
    <t>1081.49 crs</t>
  </si>
  <si>
    <t>1256.73 crs</t>
  </si>
  <si>
    <t>5177.99 crs</t>
  </si>
  <si>
    <t>612.85 crs</t>
  </si>
  <si>
    <t>1197.39 crs</t>
  </si>
  <si>
    <t>5804.09 crs</t>
  </si>
  <si>
    <t>1470.31 crs</t>
  </si>
  <si>
    <t>630.55 crs</t>
  </si>
  <si>
    <t>248.02 crs</t>
  </si>
  <si>
    <t>4025.95 crs</t>
  </si>
  <si>
    <t>3621.88 crs</t>
  </si>
  <si>
    <t>2766.88 crs</t>
  </si>
  <si>
    <t>100.38 crs</t>
  </si>
  <si>
    <t>158.33 crs</t>
  </si>
  <si>
    <t>574.82 crs</t>
  </si>
  <si>
    <t>14.85 crs</t>
  </si>
  <si>
    <t>16.72 crs</t>
  </si>
  <si>
    <t>7.06 crs</t>
  </si>
  <si>
    <t>582.43 crs</t>
  </si>
  <si>
    <t>0.90 crs</t>
  </si>
  <si>
    <t>18.14 crs</t>
  </si>
  <si>
    <t>66.52 crs</t>
  </si>
  <si>
    <t>14.01 crs</t>
  </si>
  <si>
    <t>8.33 crs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</si>
</sst>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 #,##0.00_ ;_ * \-#,##0.00_ ;_ * &quot;-&quot;??_ ;_ @_ "/>
    <numFmt numFmtId="165" formatCode="0.00%;[Black]\(0.00%\)"/>
    <numFmt numFmtId="166" formatCode="#,##0.00%_);\(#,##0.00%\)"/>
    <numFmt numFmtId="167" formatCode="#0.00%;\(#0.00%\)"/>
    <numFmt numFmtId="168" formatCode="0.0000%"/>
    <numFmt numFmtId="169" formatCode="0.000000%"/>
    <numFmt numFmtId="170" formatCode="0.0%"/>
    <numFmt numFmtId="171" formatCode="0.000%"/>
  </numFmts>
  <fonts count="13" x14ac:knownFonts="1">
    <font>
      <sz val="11"/>
      <color theme="1"/>
      <name val="Calibri"/>
      <family val="2"/>
      <scheme val="minor"/>
    </font>
    <font>
      <sz val="11"/>
      <color theme="1"/>
      <name val="Calibri"/>
      <family val="2"/>
      <scheme val="minor"/>
    </font>
    <font>
      <sz val="12"/>
      <color theme="0"/>
      <name val="Arial"/>
      <family val="2"/>
    </font>
    <font>
      <sz val="12"/>
      <name val="Arial"/>
      <family val="2"/>
    </font>
    <font>
      <b/>
      <sz val="11"/>
      <name val="Arial"/>
      <family val="2"/>
    </font>
    <font>
      <b/>
      <sz val="12"/>
      <name val="Arial"/>
      <family val="2"/>
    </font>
    <font>
      <sz val="11"/>
      <name val="Calibri"/>
      <family val="2"/>
      <scheme val="minor"/>
    </font>
    <font>
      <sz val="12"/>
      <name val="Calibri"/>
      <family val="2"/>
      <scheme val="minor"/>
    </font>
    <font>
      <sz val="10"/>
      <name val="Calibri"/>
      <family val="2"/>
    </font>
    <font>
      <b/>
      <sz val="16"/>
      <name val="Arial"/>
      <family val="2"/>
    </font>
    <font>
      <b/>
      <sz val="9"/>
      <name val="Arial"/>
      <family val="2"/>
    </font>
    <font>
      <b/>
      <sz val="11"/>
      <name val="Calibri"/>
      <family val="2"/>
      <scheme val="minor"/>
    </font>
    <font>
      <sz val="9"/>
      <color rgb="FF000000"/>
      <name val="Arial"/>
      <family val="2"/>
    </font>
  </fonts>
  <fills count="5">
    <fill>
      <patternFill patternType="none"/>
    </fill>
    <fill>
      <patternFill patternType="gray125"/>
    </fill>
    <fill>
      <patternFill patternType="solid">
        <fgColor rgb="FFD8D8D8"/>
        <bgColor indexed="64"/>
      </patternFill>
    </fill>
    <fill>
      <patternFill patternType="solid">
        <fgColor theme="0"/>
        <bgColor indexed="64"/>
      </patternFill>
    </fill>
    <fill>
      <patternFill patternType="solid">
        <fgColor theme="0" tint="-0.14999847407452621"/>
        <bgColor indexed="64"/>
      </patternFill>
    </fill>
  </fills>
  <borders count="29">
    <border>
      <left/>
      <right/>
      <top/>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8"/>
      </left>
      <right/>
      <top/>
      <bottom/>
      <diagonal/>
    </border>
    <border>
      <left style="thin">
        <color indexed="8"/>
      </left>
      <right/>
      <top/>
      <bottom style="thin">
        <color indexed="8"/>
      </bottom>
      <diagonal/>
    </border>
  </borders>
  <cellStyleXfs count="3">
    <xf numFmtId="0" fontId="0" fillId="0" borderId="0"/>
    <xf numFmtId="9" fontId="1" fillId="0" borderId="0" applyFont="0" applyFill="0" applyBorder="0" applyAlignment="0" applyProtection="0"/>
    <xf numFmtId="164" fontId="1" fillId="0" borderId="0" applyFont="0" applyFill="0" applyBorder="0" applyAlignment="0" applyProtection="0"/>
  </cellStyleXfs>
  <cellXfs count="242">
    <xf numFmtId="0" fontId="0" fillId="0" borderId="0" xfId="0"/>
    <xf numFmtId="0" fontId="2" fillId="0" borderId="0" xfId="0" applyFont="1"/>
    <xf numFmtId="0" fontId="2" fillId="0" borderId="0" xfId="0" applyFont="1" applyFill="1"/>
    <xf numFmtId="0" fontId="3" fillId="0" borderId="0" xfId="0" applyFont="1"/>
    <xf numFmtId="0" fontId="3" fillId="0" borderId="9" xfId="0" applyFont="1" applyBorder="1" applyAlignment="1">
      <alignment horizontal="left"/>
    </xf>
    <xf numFmtId="0" fontId="3" fillId="0" borderId="0" xfId="0" applyFont="1" applyBorder="1"/>
    <xf numFmtId="10" fontId="3" fillId="0" borderId="9" xfId="1" applyNumberFormat="1" applyFont="1" applyBorder="1" applyAlignment="1">
      <alignment horizontal="right"/>
    </xf>
    <xf numFmtId="0" fontId="5" fillId="4" borderId="9" xfId="0" applyFont="1" applyFill="1" applyBorder="1" applyAlignment="1">
      <alignment horizontal="left"/>
    </xf>
    <xf numFmtId="166" fontId="5" fillId="4" borderId="9" xfId="0" applyNumberFormat="1" applyFont="1" applyFill="1" applyBorder="1" applyAlignment="1">
      <alignment horizontal="right"/>
    </xf>
    <xf numFmtId="0" fontId="5" fillId="4" borderId="18" xfId="0" applyFont="1" applyFill="1" applyBorder="1" applyAlignment="1">
      <alignment horizontal="left"/>
    </xf>
    <xf numFmtId="166" fontId="5" fillId="4" borderId="18" xfId="0" applyNumberFormat="1" applyFont="1" applyFill="1" applyBorder="1" applyAlignment="1">
      <alignment horizontal="right"/>
    </xf>
    <xf numFmtId="0" fontId="4" fillId="0" borderId="15" xfId="0" applyFont="1" applyFill="1" applyBorder="1" applyAlignment="1">
      <alignment vertical="center" wrapText="1"/>
    </xf>
    <xf numFmtId="0" fontId="2" fillId="3" borderId="0" xfId="0" applyFont="1" applyFill="1" applyBorder="1"/>
    <xf numFmtId="10" fontId="2" fillId="3" borderId="0" xfId="0" applyNumberFormat="1" applyFont="1" applyFill="1" applyBorder="1"/>
    <xf numFmtId="14" fontId="2" fillId="0" borderId="0" xfId="0" applyNumberFormat="1" applyFont="1"/>
    <xf numFmtId="0" fontId="3" fillId="0" borderId="16" xfId="0" applyNumberFormat="1" applyFont="1" applyFill="1" applyBorder="1" applyAlignment="1" applyProtection="1">
      <alignment horizontal="left" wrapText="1"/>
    </xf>
    <xf numFmtId="0" fontId="3" fillId="0" borderId="9" xfId="0" applyNumberFormat="1" applyFont="1" applyFill="1" applyBorder="1" applyAlignment="1" applyProtection="1">
      <alignment horizontal="left" wrapText="1"/>
    </xf>
    <xf numFmtId="0" fontId="3" fillId="0" borderId="16" xfId="0" applyNumberFormat="1" applyFont="1" applyFill="1" applyBorder="1" applyAlignment="1" applyProtection="1">
      <alignment horizontal="left" vertical="top" wrapText="1"/>
    </xf>
    <xf numFmtId="0" fontId="3" fillId="0" borderId="9" xfId="0" applyNumberFormat="1" applyFont="1" applyFill="1" applyBorder="1" applyAlignment="1" applyProtection="1">
      <alignment horizontal="left" vertical="top" wrapText="1"/>
    </xf>
    <xf numFmtId="167" fontId="3" fillId="0" borderId="16" xfId="0" applyNumberFormat="1" applyFont="1" applyFill="1" applyBorder="1" applyAlignment="1" applyProtection="1">
      <alignment horizontal="right" wrapText="1"/>
    </xf>
    <xf numFmtId="167" fontId="3" fillId="0" borderId="9" xfId="0" applyNumberFormat="1" applyFont="1" applyFill="1" applyBorder="1" applyAlignment="1" applyProtection="1">
      <alignment horizontal="right" wrapText="1"/>
    </xf>
    <xf numFmtId="167" fontId="3" fillId="0" borderId="10" xfId="0" applyNumberFormat="1" applyFont="1" applyFill="1" applyBorder="1" applyAlignment="1" applyProtection="1">
      <alignment horizontal="right" wrapText="1"/>
    </xf>
    <xf numFmtId="0" fontId="3" fillId="0" borderId="18" xfId="0" applyFont="1" applyBorder="1" applyAlignment="1">
      <alignment horizontal="left"/>
    </xf>
    <xf numFmtId="0" fontId="6" fillId="0" borderId="0" xfId="0" applyFont="1"/>
    <xf numFmtId="0" fontId="3" fillId="0" borderId="15" xfId="0" applyFont="1" applyBorder="1"/>
    <xf numFmtId="0" fontId="6" fillId="0" borderId="2" xfId="0" applyFont="1" applyBorder="1"/>
    <xf numFmtId="0" fontId="6" fillId="0" borderId="3" xfId="0" applyFont="1" applyBorder="1"/>
    <xf numFmtId="0" fontId="6" fillId="0" borderId="8" xfId="0" applyFont="1" applyBorder="1"/>
    <xf numFmtId="0" fontId="6" fillId="0" borderId="13" xfId="0" applyFont="1" applyBorder="1"/>
    <xf numFmtId="0" fontId="6" fillId="0" borderId="15" xfId="0" applyFont="1" applyBorder="1"/>
    <xf numFmtId="0" fontId="6" fillId="0" borderId="22" xfId="0" applyFont="1" applyBorder="1"/>
    <xf numFmtId="0" fontId="3" fillId="0" borderId="9" xfId="0" applyFont="1" applyFill="1" applyBorder="1" applyAlignment="1">
      <alignment horizontal="left"/>
    </xf>
    <xf numFmtId="0" fontId="6" fillId="0" borderId="12" xfId="0" applyFont="1" applyBorder="1"/>
    <xf numFmtId="0" fontId="6" fillId="0" borderId="0" xfId="0" applyFont="1" applyBorder="1"/>
    <xf numFmtId="0" fontId="6" fillId="0" borderId="21" xfId="0" applyFont="1" applyBorder="1"/>
    <xf numFmtId="10" fontId="3" fillId="0" borderId="0" xfId="0" applyNumberFormat="1" applyFont="1" applyBorder="1"/>
    <xf numFmtId="166" fontId="3" fillId="0" borderId="9" xfId="0" applyNumberFormat="1" applyFont="1" applyBorder="1" applyAlignment="1">
      <alignment horizontal="right"/>
    </xf>
    <xf numFmtId="0" fontId="3" fillId="0" borderId="0" xfId="0" applyFont="1" applyFill="1" applyBorder="1" applyAlignment="1">
      <alignment horizontal="left"/>
    </xf>
    <xf numFmtId="10" fontId="3" fillId="0" borderId="0" xfId="1" applyNumberFormat="1" applyFont="1" applyFill="1" applyBorder="1" applyAlignment="1">
      <alignment horizontal="right"/>
    </xf>
    <xf numFmtId="0" fontId="5" fillId="0" borderId="0" xfId="0" applyFont="1" applyFill="1" applyBorder="1" applyAlignment="1">
      <alignment horizontal="left"/>
    </xf>
    <xf numFmtId="166" fontId="5" fillId="0" borderId="0" xfId="0" applyNumberFormat="1" applyFont="1" applyFill="1" applyBorder="1" applyAlignment="1">
      <alignment horizontal="right"/>
    </xf>
    <xf numFmtId="10" fontId="5" fillId="0" borderId="0" xfId="1" applyNumberFormat="1" applyFont="1" applyFill="1" applyBorder="1" applyAlignment="1">
      <alignment horizontal="right"/>
    </xf>
    <xf numFmtId="0" fontId="3" fillId="0" borderId="9" xfId="0" applyFont="1" applyBorder="1"/>
    <xf numFmtId="10" fontId="3" fillId="0" borderId="18" xfId="1" applyNumberFormat="1" applyFont="1" applyBorder="1" applyAlignment="1">
      <alignment horizontal="right"/>
    </xf>
    <xf numFmtId="10" fontId="3" fillId="0" borderId="9" xfId="1" applyNumberFormat="1" applyFont="1" applyBorder="1"/>
    <xf numFmtId="0" fontId="6" fillId="3" borderId="0" xfId="0" applyFont="1" applyFill="1"/>
    <xf numFmtId="0" fontId="7" fillId="0" borderId="0" xfId="0" applyFont="1"/>
    <xf numFmtId="0" fontId="3" fillId="0" borderId="0" xfId="0" applyFont="1" applyFill="1" applyBorder="1"/>
    <xf numFmtId="10" fontId="3" fillId="0" borderId="0" xfId="0" applyNumberFormat="1" applyFont="1" applyFill="1" applyBorder="1"/>
    <xf numFmtId="0" fontId="3" fillId="0" borderId="12" xfId="0" applyFont="1" applyBorder="1"/>
    <xf numFmtId="10" fontId="3" fillId="0" borderId="0" xfId="1" applyNumberFormat="1" applyFont="1" applyFill="1" applyBorder="1" applyAlignment="1">
      <alignment horizontal="left"/>
    </xf>
    <xf numFmtId="10" fontId="3" fillId="0" borderId="9" xfId="1" applyNumberFormat="1" applyFont="1" applyFill="1" applyBorder="1" applyAlignment="1">
      <alignment horizontal="right"/>
    </xf>
    <xf numFmtId="10" fontId="3" fillId="0" borderId="0" xfId="0" applyNumberFormat="1" applyFont="1"/>
    <xf numFmtId="0" fontId="8" fillId="0" borderId="0" xfId="0" applyFont="1" applyBorder="1"/>
    <xf numFmtId="0" fontId="3" fillId="0" borderId="21" xfId="0" applyFont="1" applyBorder="1"/>
    <xf numFmtId="10" fontId="3" fillId="0" borderId="0" xfId="1" applyNumberFormat="1" applyFont="1" applyBorder="1" applyAlignment="1">
      <alignment horizontal="left"/>
    </xf>
    <xf numFmtId="10" fontId="3" fillId="0" borderId="10" xfId="1" applyNumberFormat="1" applyFont="1" applyBorder="1" applyAlignment="1">
      <alignment horizontal="right"/>
    </xf>
    <xf numFmtId="10" fontId="3" fillId="0" borderId="0" xfId="1" applyNumberFormat="1" applyFont="1" applyBorder="1"/>
    <xf numFmtId="0" fontId="3" fillId="0" borderId="0" xfId="0" applyFont="1" applyFill="1"/>
    <xf numFmtId="14" fontId="3" fillId="0" borderId="0" xfId="0" applyNumberFormat="1" applyFont="1"/>
    <xf numFmtId="14" fontId="3" fillId="0" borderId="0" xfId="0" applyNumberFormat="1" applyFont="1" applyBorder="1"/>
    <xf numFmtId="0" fontId="3" fillId="0" borderId="16" xfId="0" applyNumberFormat="1" applyFont="1" applyFill="1" applyBorder="1" applyAlignment="1" applyProtection="1">
      <alignment horizontal="left" vertical="center" wrapText="1"/>
    </xf>
    <xf numFmtId="0" fontId="3" fillId="0" borderId="9" xfId="0" applyNumberFormat="1" applyFont="1" applyFill="1" applyBorder="1" applyAlignment="1" applyProtection="1">
      <alignment horizontal="left" vertical="center" wrapText="1"/>
    </xf>
    <xf numFmtId="0" fontId="6" fillId="0" borderId="0" xfId="0" applyFont="1" applyFill="1" applyBorder="1"/>
    <xf numFmtId="0" fontId="6" fillId="0" borderId="15" xfId="0" applyFont="1" applyFill="1" applyBorder="1"/>
    <xf numFmtId="0" fontId="6" fillId="0" borderId="0" xfId="0" applyFont="1" applyFill="1"/>
    <xf numFmtId="0" fontId="3" fillId="0" borderId="21" xfId="0" applyFont="1" applyBorder="1" applyAlignment="1">
      <alignment horizontal="left"/>
    </xf>
    <xf numFmtId="10" fontId="3" fillId="0" borderId="21" xfId="1" applyNumberFormat="1" applyFont="1" applyBorder="1" applyAlignment="1">
      <alignment horizontal="right"/>
    </xf>
    <xf numFmtId="0" fontId="6" fillId="0" borderId="0" xfId="0" applyFont="1" applyAlignment="1">
      <alignment horizontal="left"/>
    </xf>
    <xf numFmtId="10" fontId="6" fillId="0" borderId="0" xfId="0" applyNumberFormat="1" applyFont="1"/>
    <xf numFmtId="0" fontId="3" fillId="0" borderId="9" xfId="0" applyFont="1" applyFill="1" applyBorder="1" applyAlignment="1">
      <alignment vertical="center" wrapText="1"/>
    </xf>
    <xf numFmtId="9" fontId="3" fillId="0" borderId="0" xfId="0" applyNumberFormat="1" applyFont="1" applyBorder="1"/>
    <xf numFmtId="168" fontId="3" fillId="0" borderId="0" xfId="0" applyNumberFormat="1" applyFont="1" applyBorder="1"/>
    <xf numFmtId="168" fontId="3" fillId="0" borderId="9" xfId="0" applyNumberFormat="1" applyFont="1" applyFill="1" applyBorder="1" applyAlignment="1">
      <alignment vertical="center" wrapText="1"/>
    </xf>
    <xf numFmtId="0" fontId="3" fillId="0" borderId="24" xfId="0" applyFont="1" applyBorder="1" applyAlignment="1">
      <alignment horizontal="left" wrapText="1"/>
    </xf>
    <xf numFmtId="0" fontId="5" fillId="4" borderId="24" xfId="0" applyFont="1" applyFill="1" applyBorder="1" applyAlignment="1">
      <alignment horizontal="left"/>
    </xf>
    <xf numFmtId="171" fontId="3" fillId="0" borderId="9" xfId="1" applyNumberFormat="1" applyFont="1" applyBorder="1" applyAlignment="1">
      <alignment horizontal="right"/>
    </xf>
    <xf numFmtId="0" fontId="6" fillId="0" borderId="0" xfId="0" applyFont="1" applyAlignment="1"/>
    <xf numFmtId="10" fontId="7" fillId="0" borderId="0" xfId="0" applyNumberFormat="1" applyFont="1"/>
    <xf numFmtId="10" fontId="6" fillId="0" borderId="0" xfId="0" applyNumberFormat="1" applyFont="1" applyAlignment="1"/>
    <xf numFmtId="0" fontId="7" fillId="0" borderId="0" xfId="0" applyFont="1" applyAlignment="1">
      <alignment horizontal="left"/>
    </xf>
    <xf numFmtId="0" fontId="6" fillId="0" borderId="11" xfId="0" applyFont="1" applyBorder="1"/>
    <xf numFmtId="0" fontId="6" fillId="0" borderId="14" xfId="0" applyFont="1" applyBorder="1"/>
    <xf numFmtId="0" fontId="6" fillId="4" borderId="0" xfId="0" applyFont="1" applyFill="1" applyBorder="1"/>
    <xf numFmtId="0" fontId="6" fillId="4" borderId="15" xfId="0" applyFont="1" applyFill="1" applyBorder="1"/>
    <xf numFmtId="0" fontId="5" fillId="0" borderId="0" xfId="0" applyFont="1" applyBorder="1" applyAlignment="1">
      <alignment horizontal="left"/>
    </xf>
    <xf numFmtId="0" fontId="9" fillId="2" borderId="0" xfId="0" applyFont="1" applyFill="1" applyBorder="1" applyAlignment="1">
      <alignment horizontal="left" vertical="center"/>
    </xf>
    <xf numFmtId="0" fontId="5" fillId="2" borderId="16" xfId="0" applyFont="1" applyFill="1" applyBorder="1" applyAlignment="1">
      <alignment horizontal="center" vertical="center"/>
    </xf>
    <xf numFmtId="0" fontId="5" fillId="2" borderId="16" xfId="0" applyFont="1" applyFill="1" applyBorder="1" applyAlignment="1">
      <alignment horizontal="center" vertical="center" wrapText="1"/>
    </xf>
    <xf numFmtId="0" fontId="5" fillId="2" borderId="17" xfId="0" applyFont="1" applyFill="1" applyBorder="1" applyAlignment="1">
      <alignment horizontal="center" vertical="center"/>
    </xf>
    <xf numFmtId="0" fontId="3" fillId="0" borderId="18" xfId="0" applyFont="1" applyBorder="1" applyAlignment="1">
      <alignment vertical="center"/>
    </xf>
    <xf numFmtId="165" fontId="3" fillId="0" borderId="18" xfId="0" applyNumberFormat="1" applyFont="1" applyBorder="1" applyAlignment="1">
      <alignment vertical="center"/>
    </xf>
    <xf numFmtId="0" fontId="5" fillId="2" borderId="18" xfId="0" applyFont="1" applyFill="1" applyBorder="1" applyAlignment="1">
      <alignment horizontal="left" vertical="center"/>
    </xf>
    <xf numFmtId="0" fontId="5" fillId="2" borderId="18" xfId="0" applyFont="1" applyFill="1" applyBorder="1" applyAlignment="1">
      <alignment horizontal="right" vertical="center"/>
    </xf>
    <xf numFmtId="165" fontId="5" fillId="2" borderId="19" xfId="0" applyNumberFormat="1" applyFont="1" applyFill="1" applyBorder="1" applyAlignment="1">
      <alignment horizontal="right" vertical="center"/>
    </xf>
    <xf numFmtId="0" fontId="6" fillId="0" borderId="20" xfId="0" applyFont="1" applyBorder="1"/>
    <xf numFmtId="0" fontId="6" fillId="0" borderId="4" xfId="0" applyFont="1" applyBorder="1"/>
    <xf numFmtId="0" fontId="6" fillId="0" borderId="1" xfId="0" applyFont="1" applyBorder="1"/>
    <xf numFmtId="0" fontId="6" fillId="0" borderId="5" xfId="0" applyFont="1" applyBorder="1"/>
    <xf numFmtId="0" fontId="6" fillId="0" borderId="6" xfId="0" applyFont="1" applyBorder="1"/>
    <xf numFmtId="0" fontId="6" fillId="0" borderId="7" xfId="0" applyFont="1" applyBorder="1"/>
    <xf numFmtId="0" fontId="3" fillId="0" borderId="9" xfId="0" applyFont="1" applyBorder="1" applyAlignment="1">
      <alignment vertical="center"/>
    </xf>
    <xf numFmtId="165" fontId="3" fillId="0" borderId="9" xfId="0" applyNumberFormat="1" applyFont="1" applyBorder="1" applyAlignment="1">
      <alignment vertical="center"/>
    </xf>
    <xf numFmtId="165" fontId="5" fillId="2" borderId="18" xfId="0" applyNumberFormat="1" applyFont="1" applyFill="1" applyBorder="1" applyAlignment="1">
      <alignment horizontal="right" vertical="center"/>
    </xf>
    <xf numFmtId="0" fontId="5" fillId="0" borderId="0" xfId="0" applyFont="1" applyFill="1" applyBorder="1" applyAlignment="1">
      <alignment horizontal="left" vertical="center"/>
    </xf>
    <xf numFmtId="10" fontId="5" fillId="0" borderId="0" xfId="0" applyNumberFormat="1" applyFont="1" applyFill="1" applyBorder="1" applyAlignment="1">
      <alignment horizontal="right" vertical="center"/>
    </xf>
    <xf numFmtId="0" fontId="6" fillId="0" borderId="0" xfId="0" applyFont="1" applyFill="1" applyBorder="1" applyAlignment="1">
      <alignment horizontal="right"/>
    </xf>
    <xf numFmtId="0" fontId="5" fillId="0" borderId="0" xfId="0" applyFont="1" applyFill="1" applyBorder="1" applyAlignment="1">
      <alignment horizontal="right" vertical="center"/>
    </xf>
    <xf numFmtId="10" fontId="5" fillId="0" borderId="0" xfId="1" applyNumberFormat="1" applyFont="1" applyFill="1" applyBorder="1" applyAlignment="1">
      <alignment horizontal="right" vertical="center"/>
    </xf>
    <xf numFmtId="0" fontId="5" fillId="0" borderId="0" xfId="0" applyFont="1" applyFill="1" applyBorder="1" applyAlignment="1">
      <alignment vertical="center" wrapText="1"/>
    </xf>
    <xf numFmtId="0" fontId="3" fillId="0" borderId="11" xfId="0" applyFont="1" applyBorder="1"/>
    <xf numFmtId="0" fontId="3" fillId="0" borderId="13" xfId="0" applyFont="1" applyBorder="1"/>
    <xf numFmtId="0" fontId="3" fillId="0" borderId="14" xfId="0" applyFont="1" applyBorder="1"/>
    <xf numFmtId="0" fontId="9" fillId="4" borderId="0" xfId="0" applyFont="1" applyFill="1" applyBorder="1" applyAlignment="1">
      <alignment vertical="center"/>
    </xf>
    <xf numFmtId="0" fontId="5" fillId="4" borderId="16" xfId="0" applyFont="1" applyFill="1" applyBorder="1" applyAlignment="1">
      <alignment horizontal="center" vertical="center" wrapText="1"/>
    </xf>
    <xf numFmtId="10" fontId="3" fillId="0" borderId="9" xfId="0" applyNumberFormat="1" applyFont="1" applyBorder="1"/>
    <xf numFmtId="0" fontId="3" fillId="0" borderId="20" xfId="0" applyFont="1" applyBorder="1"/>
    <xf numFmtId="0" fontId="3" fillId="3" borderId="0" xfId="0" applyFont="1" applyFill="1" applyBorder="1"/>
    <xf numFmtId="10" fontId="3" fillId="3" borderId="0" xfId="0" applyNumberFormat="1" applyFont="1" applyFill="1" applyBorder="1"/>
    <xf numFmtId="10" fontId="3" fillId="3" borderId="0" xfId="1" applyNumberFormat="1" applyFont="1" applyFill="1" applyBorder="1"/>
    <xf numFmtId="0" fontId="5" fillId="0" borderId="21" xfId="0" applyFont="1" applyBorder="1" applyAlignment="1"/>
    <xf numFmtId="0" fontId="5" fillId="0" borderId="22" xfId="0" applyFont="1" applyBorder="1" applyAlignment="1"/>
    <xf numFmtId="0" fontId="3" fillId="0" borderId="24" xfId="0" applyFont="1" applyBorder="1"/>
    <xf numFmtId="166" fontId="3" fillId="0" borderId="0" xfId="0" applyNumberFormat="1" applyFont="1" applyBorder="1"/>
    <xf numFmtId="164" fontId="3" fillId="0" borderId="16" xfId="2" applyFont="1" applyFill="1" applyBorder="1" applyAlignment="1">
      <alignment vertical="center"/>
    </xf>
    <xf numFmtId="0" fontId="3" fillId="0" borderId="16" xfId="0" applyFont="1" applyBorder="1" applyAlignment="1">
      <alignment wrapText="1"/>
    </xf>
    <xf numFmtId="10" fontId="3" fillId="0" borderId="16" xfId="1" applyNumberFormat="1" applyFont="1" applyBorder="1"/>
    <xf numFmtId="164" fontId="3" fillId="0" borderId="9" xfId="2" applyFont="1" applyFill="1" applyBorder="1"/>
    <xf numFmtId="0" fontId="3" fillId="0" borderId="9" xfId="0" applyFont="1" applyBorder="1" applyAlignment="1">
      <alignment wrapText="1"/>
    </xf>
    <xf numFmtId="2" fontId="4" fillId="2" borderId="0" xfId="0" applyNumberFormat="1" applyFont="1" applyFill="1" applyBorder="1" applyAlignment="1">
      <alignment horizontal="center" vertical="center"/>
    </xf>
    <xf numFmtId="0" fontId="6" fillId="2" borderId="0" xfId="0" applyFont="1" applyFill="1" applyBorder="1"/>
    <xf numFmtId="0" fontId="6" fillId="2" borderId="3" xfId="0" applyFont="1" applyFill="1" applyBorder="1"/>
    <xf numFmtId="0" fontId="5" fillId="4" borderId="9" xfId="0" applyFont="1" applyFill="1" applyBorder="1" applyAlignment="1">
      <alignment vertical="center" wrapText="1"/>
    </xf>
    <xf numFmtId="10" fontId="5" fillId="4" borderId="9" xfId="0" applyNumberFormat="1" applyFont="1" applyFill="1" applyBorder="1" applyAlignment="1">
      <alignment vertical="center" wrapText="1"/>
    </xf>
    <xf numFmtId="0" fontId="3" fillId="0" borderId="14" xfId="0" applyFont="1" applyFill="1" applyBorder="1"/>
    <xf numFmtId="0" fontId="3" fillId="0" borderId="15" xfId="0" applyFont="1" applyFill="1" applyBorder="1"/>
    <xf numFmtId="14" fontId="3" fillId="0" borderId="0" xfId="0" applyNumberFormat="1" applyFont="1" applyFill="1"/>
    <xf numFmtId="0" fontId="5" fillId="0" borderId="9" xfId="0" applyFont="1" applyFill="1" applyBorder="1" applyAlignment="1">
      <alignment vertical="center" wrapText="1"/>
    </xf>
    <xf numFmtId="10" fontId="5" fillId="0" borderId="9" xfId="0" applyNumberFormat="1" applyFont="1" applyFill="1" applyBorder="1" applyAlignment="1">
      <alignment vertical="center" wrapText="1"/>
    </xf>
    <xf numFmtId="0" fontId="5" fillId="4" borderId="18" xfId="0" applyFont="1" applyFill="1" applyBorder="1" applyAlignment="1">
      <alignment vertical="center" wrapText="1"/>
    </xf>
    <xf numFmtId="10" fontId="5" fillId="4" borderId="18" xfId="0" applyNumberFormat="1" applyFont="1" applyFill="1" applyBorder="1" applyAlignment="1">
      <alignment vertical="center" wrapText="1"/>
    </xf>
    <xf numFmtId="0" fontId="5" fillId="4" borderId="16" xfId="0" applyFont="1" applyFill="1" applyBorder="1" applyAlignment="1">
      <alignment vertical="center" wrapText="1"/>
    </xf>
    <xf numFmtId="10" fontId="5" fillId="4" borderId="16" xfId="0" applyNumberFormat="1" applyFont="1" applyFill="1" applyBorder="1" applyAlignment="1">
      <alignment vertical="center" wrapText="1"/>
    </xf>
    <xf numFmtId="0" fontId="3" fillId="0" borderId="22" xfId="0" applyFont="1" applyBorder="1"/>
    <xf numFmtId="0" fontId="5" fillId="4" borderId="17" xfId="0" applyFont="1" applyFill="1" applyBorder="1" applyAlignment="1">
      <alignment horizontal="center" vertical="center" wrapText="1"/>
    </xf>
    <xf numFmtId="0" fontId="3" fillId="0" borderId="16" xfId="2" applyNumberFormat="1" applyFont="1" applyFill="1" applyBorder="1"/>
    <xf numFmtId="0" fontId="3" fillId="0" borderId="16" xfId="0" applyFont="1" applyBorder="1"/>
    <xf numFmtId="0" fontId="3" fillId="0" borderId="9" xfId="2" applyNumberFormat="1" applyFont="1" applyFill="1" applyBorder="1"/>
    <xf numFmtId="0" fontId="3" fillId="0" borderId="9" xfId="2" applyNumberFormat="1" applyFont="1" applyFill="1" applyBorder="1" applyAlignment="1">
      <alignment vertical="center"/>
    </xf>
    <xf numFmtId="1" fontId="4" fillId="2" borderId="0" xfId="0" applyNumberFormat="1" applyFont="1" applyFill="1" applyBorder="1" applyAlignment="1">
      <alignment horizontal="center" vertical="center"/>
    </xf>
    <xf numFmtId="0" fontId="4" fillId="2" borderId="0" xfId="0" applyFont="1" applyFill="1" applyBorder="1" applyAlignment="1">
      <alignment horizontal="center"/>
    </xf>
    <xf numFmtId="2" fontId="5" fillId="4" borderId="9" xfId="0" applyNumberFormat="1" applyFont="1" applyFill="1" applyBorder="1" applyAlignment="1">
      <alignment vertical="center" wrapText="1"/>
    </xf>
    <xf numFmtId="0" fontId="5" fillId="2" borderId="25" xfId="0" applyFont="1" applyFill="1" applyBorder="1" applyAlignment="1">
      <alignment horizontal="center" vertical="center"/>
    </xf>
    <xf numFmtId="0" fontId="3" fillId="0" borderId="24" xfId="0" applyNumberFormat="1" applyFont="1" applyFill="1" applyBorder="1" applyAlignment="1" applyProtection="1">
      <alignment horizontal="left" wrapText="1"/>
    </xf>
    <xf numFmtId="165" fontId="3" fillId="0" borderId="10" xfId="0" applyNumberFormat="1" applyFont="1" applyBorder="1" applyAlignment="1">
      <alignment vertical="center"/>
    </xf>
    <xf numFmtId="170" fontId="6" fillId="0" borderId="0" xfId="0" applyNumberFormat="1" applyFont="1" applyAlignment="1"/>
    <xf numFmtId="0" fontId="5" fillId="4" borderId="24" xfId="0" applyFont="1" applyFill="1" applyBorder="1" applyAlignment="1">
      <alignment vertical="center" wrapText="1"/>
    </xf>
    <xf numFmtId="0" fontId="5" fillId="2" borderId="9" xfId="0" applyFont="1" applyFill="1" applyBorder="1" applyAlignment="1">
      <alignment horizontal="right" vertical="center"/>
    </xf>
    <xf numFmtId="165" fontId="5" fillId="2" borderId="10" xfId="0" applyNumberFormat="1" applyFont="1" applyFill="1" applyBorder="1" applyAlignment="1">
      <alignment horizontal="right" vertical="center"/>
    </xf>
    <xf numFmtId="0" fontId="3" fillId="0" borderId="24" xfId="0" applyFont="1" applyBorder="1" applyAlignment="1">
      <alignment vertical="center"/>
    </xf>
    <xf numFmtId="165" fontId="5" fillId="4" borderId="10" xfId="0" applyNumberFormat="1" applyFont="1" applyFill="1" applyBorder="1" applyAlignment="1">
      <alignment horizontal="right" vertical="center"/>
    </xf>
    <xf numFmtId="10" fontId="5" fillId="4" borderId="10" xfId="0" applyNumberFormat="1" applyFont="1" applyFill="1" applyBorder="1" applyAlignment="1">
      <alignment vertical="center" wrapText="1"/>
    </xf>
    <xf numFmtId="167" fontId="10" fillId="0" borderId="0" xfId="0" applyNumberFormat="1" applyFont="1" applyFill="1" applyBorder="1" applyAlignment="1" applyProtection="1">
      <alignment horizontal="right" wrapText="1"/>
    </xf>
    <xf numFmtId="0" fontId="5" fillId="2" borderId="24" xfId="0" applyFont="1" applyFill="1" applyBorder="1" applyAlignment="1">
      <alignment horizontal="left" vertical="center"/>
    </xf>
    <xf numFmtId="167" fontId="6" fillId="0" borderId="0" xfId="0" applyNumberFormat="1" applyFont="1" applyBorder="1"/>
    <xf numFmtId="10" fontId="6" fillId="0" borderId="0" xfId="1" applyNumberFormat="1" applyFont="1" applyBorder="1"/>
    <xf numFmtId="169" fontId="6" fillId="0" borderId="0" xfId="0" applyNumberFormat="1" applyFont="1" applyBorder="1"/>
    <xf numFmtId="0" fontId="6" fillId="0" borderId="14" xfId="0" applyFont="1" applyFill="1" applyBorder="1"/>
    <xf numFmtId="0" fontId="5" fillId="0" borderId="24" xfId="0" applyFont="1" applyFill="1" applyBorder="1" applyAlignment="1">
      <alignment horizontal="left" vertical="center"/>
    </xf>
    <xf numFmtId="0" fontId="5" fillId="0" borderId="9" xfId="0" applyFont="1" applyFill="1" applyBorder="1" applyAlignment="1">
      <alignment horizontal="right" vertical="center"/>
    </xf>
    <xf numFmtId="165" fontId="5" fillId="0" borderId="10" xfId="0" applyNumberFormat="1" applyFont="1" applyFill="1" applyBorder="1" applyAlignment="1">
      <alignment horizontal="right" vertical="center"/>
    </xf>
    <xf numFmtId="10" fontId="6" fillId="0" borderId="0" xfId="1" applyNumberFormat="1" applyFont="1" applyFill="1" applyBorder="1"/>
    <xf numFmtId="0" fontId="3" fillId="0" borderId="24" xfId="0" applyFont="1" applyFill="1" applyBorder="1" applyAlignment="1">
      <alignment horizontal="left" vertical="center"/>
    </xf>
    <xf numFmtId="0" fontId="3" fillId="0" borderId="9" xfId="0" applyFont="1" applyFill="1" applyBorder="1" applyAlignment="1">
      <alignment horizontal="left" vertical="center"/>
    </xf>
    <xf numFmtId="165" fontId="3" fillId="0" borderId="10" xfId="0" applyNumberFormat="1" applyFont="1" applyFill="1" applyBorder="1" applyAlignment="1">
      <alignment horizontal="right" vertical="center"/>
    </xf>
    <xf numFmtId="0" fontId="5" fillId="4" borderId="24" xfId="0" applyFont="1" applyFill="1" applyBorder="1" applyAlignment="1">
      <alignment horizontal="left" vertical="center"/>
    </xf>
    <xf numFmtId="0" fontId="5" fillId="4" borderId="9" xfId="0" applyFont="1" applyFill="1" applyBorder="1" applyAlignment="1">
      <alignment horizontal="right" vertical="center"/>
    </xf>
    <xf numFmtId="0" fontId="3" fillId="0" borderId="24" xfId="0" applyFont="1" applyFill="1" applyBorder="1" applyAlignment="1">
      <alignment vertical="center" wrapText="1"/>
    </xf>
    <xf numFmtId="10" fontId="3" fillId="0" borderId="10" xfId="0" applyNumberFormat="1" applyFont="1" applyFill="1" applyBorder="1" applyAlignment="1">
      <alignment vertical="center" wrapText="1"/>
    </xf>
    <xf numFmtId="0" fontId="5" fillId="2" borderId="26" xfId="0" applyFont="1" applyFill="1" applyBorder="1" applyAlignment="1">
      <alignment horizontal="left" vertical="center"/>
    </xf>
    <xf numFmtId="2" fontId="5" fillId="0" borderId="9" xfId="0" applyNumberFormat="1" applyFont="1" applyFill="1" applyBorder="1" applyAlignment="1">
      <alignment vertical="center" wrapText="1"/>
    </xf>
    <xf numFmtId="170" fontId="3" fillId="0" borderId="0" xfId="1" applyNumberFormat="1" applyFont="1" applyBorder="1"/>
    <xf numFmtId="2" fontId="5" fillId="4" borderId="18" xfId="0" applyNumberFormat="1" applyFont="1" applyFill="1" applyBorder="1" applyAlignment="1">
      <alignment vertical="center" wrapText="1"/>
    </xf>
    <xf numFmtId="169" fontId="3" fillId="0" borderId="0" xfId="0" applyNumberFormat="1" applyFont="1" applyBorder="1"/>
    <xf numFmtId="10" fontId="6" fillId="0" borderId="0" xfId="1" applyNumberFormat="1" applyFont="1"/>
    <xf numFmtId="0" fontId="6" fillId="3" borderId="0" xfId="0" applyFont="1" applyFill="1" applyBorder="1"/>
    <xf numFmtId="0" fontId="5" fillId="2" borderId="23" xfId="0" applyFont="1" applyFill="1" applyBorder="1" applyAlignment="1">
      <alignment horizontal="center" vertical="center"/>
    </xf>
    <xf numFmtId="0" fontId="5" fillId="2" borderId="23" xfId="0" applyFont="1" applyFill="1" applyBorder="1" applyAlignment="1">
      <alignment horizontal="center" vertical="center" wrapText="1"/>
    </xf>
    <xf numFmtId="165" fontId="3" fillId="0" borderId="19" xfId="0" applyNumberFormat="1" applyFont="1" applyBorder="1" applyAlignment="1">
      <alignment vertical="center"/>
    </xf>
    <xf numFmtId="0" fontId="6" fillId="3" borderId="0" xfId="0" applyFont="1" applyFill="1" applyAlignment="1">
      <alignment horizontal="left"/>
    </xf>
    <xf numFmtId="10" fontId="6" fillId="3" borderId="0" xfId="0" applyNumberFormat="1" applyFont="1" applyFill="1"/>
    <xf numFmtId="0" fontId="11" fillId="0" borderId="0" xfId="0" applyFont="1" applyFill="1" applyBorder="1"/>
    <xf numFmtId="0" fontId="3" fillId="0" borderId="19" xfId="0" applyFont="1" applyBorder="1" applyAlignment="1">
      <alignment vertical="center"/>
    </xf>
    <xf numFmtId="0" fontId="7" fillId="0" borderId="0" xfId="0" applyFont="1" applyFill="1"/>
    <xf numFmtId="10" fontId="7" fillId="0" borderId="0" xfId="0" applyNumberFormat="1" applyFont="1" applyFill="1"/>
    <xf numFmtId="167" fontId="3" fillId="0" borderId="17" xfId="0" applyNumberFormat="1" applyFont="1" applyFill="1" applyBorder="1" applyAlignment="1" applyProtection="1">
      <alignment horizontal="right" wrapText="1"/>
    </xf>
    <xf numFmtId="1" fontId="6" fillId="0" borderId="0" xfId="0" applyNumberFormat="1" applyFont="1"/>
    <xf numFmtId="165" fontId="5" fillId="0" borderId="0" xfId="0" applyNumberFormat="1" applyFont="1" applyFill="1" applyBorder="1" applyAlignment="1">
      <alignment horizontal="right" vertical="center"/>
    </xf>
    <xf numFmtId="0" fontId="6" fillId="0" borderId="0" xfId="0" applyFont="1" applyAlignment="1">
      <alignment vertical="top"/>
    </xf>
    <xf numFmtId="0" fontId="7" fillId="0" borderId="0" xfId="0" applyFont="1" applyBorder="1" applyAlignment="1"/>
    <xf numFmtId="0" fontId="5" fillId="2" borderId="23" xfId="0" applyFont="1" applyFill="1" applyBorder="1" applyAlignment="1">
      <alignment horizontal="left" vertical="center"/>
    </xf>
    <xf numFmtId="0" fontId="5" fillId="2" borderId="23" xfId="0" applyFont="1" applyFill="1" applyBorder="1" applyAlignment="1">
      <alignment horizontal="right" vertical="center"/>
    </xf>
    <xf numFmtId="165" fontId="5" fillId="2" borderId="23" xfId="0" applyNumberFormat="1" applyFont="1" applyFill="1" applyBorder="1" applyAlignment="1">
      <alignment horizontal="right" vertical="center"/>
    </xf>
    <xf numFmtId="168" fontId="6" fillId="0" borderId="0" xfId="0" applyNumberFormat="1" applyFont="1"/>
    <xf numFmtId="0" fontId="5" fillId="4" borderId="25" xfId="0" applyFont="1" applyFill="1" applyBorder="1" applyAlignment="1">
      <alignment horizontal="center" vertical="center" wrapText="1"/>
    </xf>
    <xf numFmtId="0" fontId="3" fillId="0" borderId="27" xfId="0" applyFont="1" applyBorder="1" applyAlignment="1">
      <alignment vertical="center"/>
    </xf>
    <xf numFmtId="0" fontId="5" fillId="2" borderId="27" xfId="0" applyFont="1" applyFill="1" applyBorder="1" applyAlignment="1">
      <alignment horizontal="left" vertical="center"/>
    </xf>
    <xf numFmtId="165" fontId="5" fillId="2" borderId="9" xfId="0" applyNumberFormat="1" applyFont="1" applyFill="1" applyBorder="1" applyAlignment="1">
      <alignment horizontal="right" vertical="center"/>
    </xf>
    <xf numFmtId="0" fontId="5" fillId="2" borderId="28" xfId="0" applyFont="1" applyFill="1" applyBorder="1" applyAlignment="1">
      <alignment horizontal="left" vertical="center"/>
    </xf>
    <xf numFmtId="0" fontId="2" fillId="0" borderId="0" xfId="0" applyFont="1" applyFill="1" applyBorder="1"/>
    <xf numFmtId="14" fontId="2" fillId="0" borderId="0" xfId="0" applyNumberFormat="1" applyFont="1" applyFill="1" applyBorder="1"/>
    <xf numFmtId="0" fontId="0" fillId="0" borderId="0" xfId="0" applyAlignment="1"/>
    <xf numFmtId="10" fontId="0" fillId="0" borderId="0" xfId="0" applyNumberFormat="1" applyAlignment="1"/>
    <xf numFmtId="0" fontId="12" fillId="0" borderId="0" xfId="0" applyNumberFormat="1" applyFont="1" applyFill="1" applyBorder="1" applyAlignment="1" applyProtection="1">
      <alignment horizontal="left" wrapText="1"/>
    </xf>
    <xf numFmtId="167" fontId="12" fillId="0" borderId="0" xfId="0" applyNumberFormat="1" applyFont="1" applyFill="1" applyBorder="1" applyAlignment="1" applyProtection="1">
      <alignment horizontal="right" wrapText="1"/>
    </xf>
    <xf numFmtId="0" fontId="6" fillId="2" borderId="15" xfId="0" applyFont="1" applyFill="1" applyBorder="1"/>
    <xf numFmtId="10" fontId="0" fillId="0" borderId="0" xfId="0" applyNumberFormat="1" applyAlignment="1">
      <alignment horizontal="left"/>
    </xf>
    <xf numFmtId="10" fontId="0" fillId="0" borderId="0" xfId="0" applyNumberFormat="1"/>
    <xf numFmtId="0" fontId="0" fillId="0" borderId="0" xfId="0" applyAlignment="1">
      <alignment horizontal="left"/>
    </xf>
    <xf numFmtId="0" fontId="9" fillId="4" borderId="0" xfId="0" applyFont="1" applyFill="1" applyBorder="1" applyAlignment="1">
      <alignment horizontal="center" vertical="center" wrapText="1"/>
    </xf>
    <xf numFmtId="0" fontId="9" fillId="4" borderId="15" xfId="0" applyFont="1" applyFill="1" applyBorder="1" applyAlignment="1">
      <alignment horizontal="center" vertical="center" wrapText="1"/>
    </xf>
    <xf numFmtId="0" fontId="4" fillId="4" borderId="0" xfId="0" applyFont="1" applyFill="1" applyBorder="1" applyAlignment="1">
      <alignment vertical="center" wrapText="1"/>
    </xf>
    <xf numFmtId="0" fontId="4" fillId="4" borderId="15" xfId="0" applyFont="1" applyFill="1" applyBorder="1" applyAlignment="1">
      <alignment vertical="center" wrapText="1"/>
    </xf>
    <xf numFmtId="0" fontId="5" fillId="0" borderId="21" xfId="0" applyFont="1" applyBorder="1" applyAlignment="1"/>
    <xf numFmtId="0" fontId="5" fillId="0" borderId="22" xfId="0" applyFont="1" applyBorder="1" applyAlignment="1"/>
    <xf numFmtId="0" fontId="6" fillId="0" borderId="11" xfId="0" applyFont="1" applyBorder="1" applyAlignment="1">
      <alignment horizontal="left" vertical="top" wrapText="1"/>
    </xf>
    <xf numFmtId="0" fontId="6" fillId="0" borderId="12" xfId="0" applyFont="1" applyBorder="1" applyAlignment="1">
      <alignment horizontal="left" vertical="top" wrapText="1"/>
    </xf>
    <xf numFmtId="0" fontId="6" fillId="0" borderId="13" xfId="0" applyFont="1" applyBorder="1" applyAlignment="1">
      <alignment horizontal="left" vertical="top" wrapText="1"/>
    </xf>
    <xf numFmtId="0" fontId="6" fillId="0" borderId="14" xfId="0" applyFont="1" applyBorder="1" applyAlignment="1">
      <alignment horizontal="left" vertical="top" wrapText="1"/>
    </xf>
    <xf numFmtId="0" fontId="6" fillId="0" borderId="0" xfId="0" applyFont="1" applyBorder="1" applyAlignment="1">
      <alignment horizontal="left" vertical="top" wrapText="1"/>
    </xf>
    <xf numFmtId="0" fontId="6" fillId="0" borderId="15" xfId="0" applyFont="1" applyBorder="1" applyAlignment="1">
      <alignment horizontal="left" vertical="top" wrapText="1"/>
    </xf>
    <xf numFmtId="0" fontId="6" fillId="0" borderId="20" xfId="0" applyFont="1" applyBorder="1" applyAlignment="1">
      <alignment horizontal="left" vertical="top" wrapText="1"/>
    </xf>
    <xf numFmtId="0" fontId="6" fillId="0" borderId="21" xfId="0" applyFont="1" applyBorder="1" applyAlignment="1">
      <alignment horizontal="left" vertical="top" wrapText="1"/>
    </xf>
    <xf numFmtId="0" fontId="6" fillId="0" borderId="22" xfId="0" applyFont="1" applyBorder="1" applyAlignment="1">
      <alignment horizontal="left" vertical="top" wrapText="1"/>
    </xf>
    <xf numFmtId="0" fontId="9" fillId="2" borderId="0" xfId="0" applyFont="1" applyFill="1" applyBorder="1" applyAlignment="1">
      <alignment horizontal="center" vertical="center"/>
    </xf>
    <xf numFmtId="0" fontId="6" fillId="0" borderId="0" xfId="0" applyFont="1" applyBorder="1" applyAlignment="1">
      <alignment horizontal="center" vertical="center"/>
    </xf>
    <xf numFmtId="2" fontId="9" fillId="4" borderId="0" xfId="0" applyNumberFormat="1" applyFont="1" applyFill="1" applyBorder="1" applyAlignment="1">
      <alignment horizontal="right" vertical="center"/>
    </xf>
    <xf numFmtId="4" fontId="9" fillId="4" borderId="0" xfId="0" applyNumberFormat="1" applyFont="1" applyFill="1" applyBorder="1" applyAlignment="1">
      <alignment horizontal="right" vertical="center"/>
    </xf>
    <xf numFmtId="0" fontId="9" fillId="4" borderId="0" xfId="0" applyFont="1" applyFill="1" applyBorder="1" applyAlignment="1">
      <alignment horizontal="right" vertical="center"/>
    </xf>
    <xf numFmtId="0" fontId="4" fillId="2" borderId="0" xfId="0" applyFont="1" applyFill="1" applyBorder="1" applyAlignment="1">
      <alignment vertical="center"/>
    </xf>
    <xf numFmtId="0" fontId="6" fillId="0" borderId="0" xfId="0" applyFont="1" applyBorder="1" applyAlignment="1">
      <alignment vertical="center"/>
    </xf>
    <xf numFmtId="0" fontId="4" fillId="0" borderId="0" xfId="0" applyFont="1" applyFill="1" applyBorder="1" applyAlignment="1">
      <alignment vertical="center" wrapText="1"/>
    </xf>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charts/_rels/chart2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0.118046914676049"/>
                  <c:y val="-0.54251848268863245"/>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6920-4223-85E3-C24AB4EC7D9E}"/>
                </c:ext>
              </c:extLst>
            </c:dLbl>
            <c:dLbl>
              <c:idx val="1"/>
              <c:layout>
                <c:manualLayout>
                  <c:x val="-0.26921172912653785"/>
                  <c:y val="2.941818061107865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6920-4223-85E3-C24AB4EC7D9E}"/>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6920-4223-85E3-C24AB4EC7D9E}"/>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6920-4223-85E3-C24AB4EC7D9E}"/>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'IDFC-USFOF'!$I$8:$I$10</c:f>
              <c:strCache>
                <c:ptCount val="3"/>
                <c:pt idx="0">
                  <c:v>International Mutual Fund Units</c:v>
                </c:pt>
                <c:pt idx="1">
                  <c:v>Net Current Asset</c:v>
                </c:pt>
                <c:pt idx="2">
                  <c:v>TRI Party Repo Total</c:v>
                </c:pt>
              </c:strCache>
            </c:strRef>
          </c:cat>
          <c:val>
            <c:numRef>
              <c:f>'IDFC-USFOF'!$J$8:$J$10</c:f>
              <c:numCache>
                <c:formatCode>0.00%</c:formatCode>
                <c:ptCount val="3"/>
                <c:pt idx="0">
                  <c:v>0.98343899999999995</c:v>
                </c:pt>
                <c:pt idx="1">
                  <c:v>-1.1349E-2</c:v>
                </c:pt>
                <c:pt idx="2">
                  <c:v>2.7910000000000001E-2</c:v>
                </c:pt>
              </c:numCache>
            </c:numRef>
          </c:val>
          <c:extLst>
            <c:ext xmlns:c16="http://schemas.microsoft.com/office/drawing/2014/chart" uri="{C3380CC4-5D6E-409C-BE32-E72D297353CC}">
              <c16:uniqueId val="{00000004-6920-4223-85E3-C24AB4EC7D9E}"/>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392857142857319E-2"/>
          <c:y val="1.4492753623188409E-2"/>
          <c:w val="0.96726190476189999"/>
          <c:h val="0.70217048955837669"/>
        </c:manualLayout>
      </c:layout>
      <c:barChart>
        <c:barDir val="col"/>
        <c:grouping val="clustered"/>
        <c:varyColors val="0"/>
        <c:ser>
          <c:idx val="0"/>
          <c:order val="0"/>
          <c:tx>
            <c:strRef>
              <c:f>'IDFC CEF'!$X$7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B8B-4DF9-9355-FE04E91EDE5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8B-4DF9-9355-FE04E91EDE5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B8B-4DF9-9355-FE04E91EDE5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8B-4DF9-9355-FE04E91EDE5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B8B-4DF9-9355-FE04E91EDE5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B8B-4DF9-9355-FE04E91EDE5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B8B-4DF9-9355-FE04E91EDE5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B8B-4DF9-9355-FE04E91EDE5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B8B-4DF9-9355-FE04E91EDE5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B8B-4DF9-9355-FE04E91EDE5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B8B-4DF9-9355-FE04E91EDE5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B8B-4DF9-9355-FE04E91EDE5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B8B-4DF9-9355-FE04E91EDE5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B8B-4DF9-9355-FE04E91EDE5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B8B-4DF9-9355-FE04E91EDE5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B8B-4DF9-9355-FE04E91EDE5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B8B-4DF9-9355-FE04E91EDE5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CEF'!$W$8:$W$32</c:f>
              <c:strCache>
                <c:ptCount val="25"/>
                <c:pt idx="0">
                  <c:v>Banks</c:v>
                </c:pt>
                <c:pt idx="1">
                  <c:v>IT - Software</c:v>
                </c:pt>
                <c:pt idx="2">
                  <c:v>Pharmaceuticals &amp; Biotechnology</c:v>
                </c:pt>
                <c:pt idx="3">
                  <c:v>Industrial Products</c:v>
                </c:pt>
                <c:pt idx="4">
                  <c:v>Automobiles</c:v>
                </c:pt>
                <c:pt idx="5">
                  <c:v>Auto Components</c:v>
                </c:pt>
                <c:pt idx="6">
                  <c:v>Construction</c:v>
                </c:pt>
                <c:pt idx="7">
                  <c:v>Cement &amp; Cement Products</c:v>
                </c:pt>
                <c:pt idx="8">
                  <c:v>Petroleum Products</c:v>
                </c:pt>
                <c:pt idx="9">
                  <c:v>Telecom - Services</c:v>
                </c:pt>
                <c:pt idx="10">
                  <c:v>Finance</c:v>
                </c:pt>
                <c:pt idx="11">
                  <c:v>Ferrous Metals</c:v>
                </c:pt>
                <c:pt idx="12">
                  <c:v>Leisure Services</c:v>
                </c:pt>
                <c:pt idx="13">
                  <c:v>Gas</c:v>
                </c:pt>
                <c:pt idx="14">
                  <c:v>Electrical Equipment</c:v>
                </c:pt>
                <c:pt idx="15">
                  <c:v>Diversified FMCG</c:v>
                </c:pt>
                <c:pt idx="16">
                  <c:v>Retailing</c:v>
                </c:pt>
                <c:pt idx="17">
                  <c:v>Chemicals &amp; Petrochemicals</c:v>
                </c:pt>
                <c:pt idx="18">
                  <c:v>Minerals &amp; Mining</c:v>
                </c:pt>
                <c:pt idx="19">
                  <c:v>Power</c:v>
                </c:pt>
                <c:pt idx="20">
                  <c:v>Insurance</c:v>
                </c:pt>
                <c:pt idx="21">
                  <c:v>Personal Products</c:v>
                </c:pt>
                <c:pt idx="22">
                  <c:v>Capital Markets</c:v>
                </c:pt>
                <c:pt idx="23">
                  <c:v>Diversified</c:v>
                </c:pt>
                <c:pt idx="24">
                  <c:v>Consumer Durables</c:v>
                </c:pt>
              </c:strCache>
            </c:strRef>
          </c:cat>
          <c:val>
            <c:numRef>
              <c:f>'IDFC CEF'!$X$8:$X$32</c:f>
              <c:numCache>
                <c:formatCode>0.00%</c:formatCode>
                <c:ptCount val="25"/>
                <c:pt idx="0">
                  <c:v>0.268011</c:v>
                </c:pt>
                <c:pt idx="1">
                  <c:v>8.1551000000000012E-2</c:v>
                </c:pt>
                <c:pt idx="2">
                  <c:v>7.4149000000000007E-2</c:v>
                </c:pt>
                <c:pt idx="3">
                  <c:v>6.6571000000000005E-2</c:v>
                </c:pt>
                <c:pt idx="4">
                  <c:v>5.9024E-2</c:v>
                </c:pt>
                <c:pt idx="5">
                  <c:v>5.5168999999999996E-2</c:v>
                </c:pt>
                <c:pt idx="6">
                  <c:v>4.6831999999999999E-2</c:v>
                </c:pt>
                <c:pt idx="7">
                  <c:v>4.5600000000000002E-2</c:v>
                </c:pt>
                <c:pt idx="8">
                  <c:v>3.2679E-2</c:v>
                </c:pt>
                <c:pt idx="9">
                  <c:v>3.1390000000000001E-2</c:v>
                </c:pt>
                <c:pt idx="10">
                  <c:v>2.8144000000000002E-2</c:v>
                </c:pt>
                <c:pt idx="11">
                  <c:v>2.7588999999999999E-2</c:v>
                </c:pt>
                <c:pt idx="12">
                  <c:v>2.4596E-2</c:v>
                </c:pt>
                <c:pt idx="13">
                  <c:v>2.3836E-2</c:v>
                </c:pt>
                <c:pt idx="14">
                  <c:v>2.0275000000000001E-2</c:v>
                </c:pt>
                <c:pt idx="15">
                  <c:v>1.6064999999999999E-2</c:v>
                </c:pt>
                <c:pt idx="16">
                  <c:v>1.5306999999999999E-2</c:v>
                </c:pt>
                <c:pt idx="17">
                  <c:v>1.332E-2</c:v>
                </c:pt>
                <c:pt idx="18">
                  <c:v>1.2444999999999999E-2</c:v>
                </c:pt>
                <c:pt idx="19">
                  <c:v>9.835E-3</c:v>
                </c:pt>
                <c:pt idx="20">
                  <c:v>9.2420000000000002E-3</c:v>
                </c:pt>
                <c:pt idx="21">
                  <c:v>8.6960000000000006E-3</c:v>
                </c:pt>
                <c:pt idx="22">
                  <c:v>6.234E-3</c:v>
                </c:pt>
                <c:pt idx="23">
                  <c:v>6.0720000000000001E-3</c:v>
                </c:pt>
                <c:pt idx="24">
                  <c:v>4.2729999999999999E-3</c:v>
                </c:pt>
              </c:numCache>
            </c:numRef>
          </c:val>
          <c:extLst>
            <c:ext xmlns:c16="http://schemas.microsoft.com/office/drawing/2014/chart" uri="{C3380CC4-5D6E-409C-BE32-E72D297353CC}">
              <c16:uniqueId val="{00000011-3B8B-4DF9-9355-FE04E91EDE56}"/>
            </c:ext>
          </c:extLst>
        </c:ser>
        <c:dLbls>
          <c:showLegendKey val="0"/>
          <c:showVal val="0"/>
          <c:showCatName val="0"/>
          <c:showSerName val="0"/>
          <c:showPercent val="0"/>
          <c:showBubbleSize val="0"/>
        </c:dLbls>
        <c:gapWidth val="150"/>
        <c:axId val="151665152"/>
        <c:axId val="5535936"/>
      </c:barChart>
      <c:catAx>
        <c:axId val="1516651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5936"/>
        <c:crosses val="autoZero"/>
        <c:auto val="1"/>
        <c:lblAlgn val="ctr"/>
        <c:lblOffset val="100"/>
        <c:tickLblSkip val="1"/>
        <c:noMultiLvlLbl val="0"/>
      </c:catAx>
      <c:valAx>
        <c:axId val="553593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1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LCF'!$X$7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6BF-43C0-9EF0-9EFD54CFC3E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BF-43C0-9EF0-9EFD54CFC3E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6BF-43C0-9EF0-9EFD54CFC3E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6BF-43C0-9EF0-9EFD54CFC3E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6BF-43C0-9EF0-9EFD54CFC3E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6BF-43C0-9EF0-9EFD54CFC3E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6BF-43C0-9EF0-9EFD54CFC3E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6BF-43C0-9EF0-9EFD54CFC3E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6BF-43C0-9EF0-9EFD54CFC3E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6BF-43C0-9EF0-9EFD54CFC3E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6BF-43C0-9EF0-9EFD54CFC3E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6BF-43C0-9EF0-9EFD54CFC3E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6BF-43C0-9EF0-9EFD54CFC3E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6BF-43C0-9EF0-9EFD54CFC3E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LCF'!$W$8:$W$32</c:f>
              <c:strCache>
                <c:ptCount val="25"/>
                <c:pt idx="0">
                  <c:v>Banks</c:v>
                </c:pt>
                <c:pt idx="1">
                  <c:v>IT - Software</c:v>
                </c:pt>
                <c:pt idx="2">
                  <c:v>Petroleum Products</c:v>
                </c:pt>
                <c:pt idx="3">
                  <c:v>Diversified FMCG</c:v>
                </c:pt>
                <c:pt idx="4">
                  <c:v>Automobiles</c:v>
                </c:pt>
                <c:pt idx="5">
                  <c:v>Chemicals &amp; Petrochemicals</c:v>
                </c:pt>
                <c:pt idx="6">
                  <c:v>Finance</c:v>
                </c:pt>
                <c:pt idx="7">
                  <c:v>Consumer Durables</c:v>
                </c:pt>
                <c:pt idx="8">
                  <c:v>Pharmaceuticals &amp; Biotechnology</c:v>
                </c:pt>
                <c:pt idx="9">
                  <c:v>Construction</c:v>
                </c:pt>
                <c:pt idx="10">
                  <c:v>Telecom - Services</c:v>
                </c:pt>
                <c:pt idx="11">
                  <c:v>Power</c:v>
                </c:pt>
                <c:pt idx="12">
                  <c:v>Electrical Equipment</c:v>
                </c:pt>
                <c:pt idx="13">
                  <c:v>IT - Services</c:v>
                </c:pt>
                <c:pt idx="14">
                  <c:v>Cement &amp; Cement Products</c:v>
                </c:pt>
                <c:pt idx="15">
                  <c:v>Personal Products</c:v>
                </c:pt>
                <c:pt idx="16">
                  <c:v>Industrial Products</c:v>
                </c:pt>
                <c:pt idx="17">
                  <c:v>Ferrous Metals</c:v>
                </c:pt>
                <c:pt idx="18">
                  <c:v>Non - Ferrous Metals</c:v>
                </c:pt>
                <c:pt idx="19">
                  <c:v>Realty</c:v>
                </c:pt>
                <c:pt idx="20">
                  <c:v>Insurance</c:v>
                </c:pt>
                <c:pt idx="21">
                  <c:v>Transport Services</c:v>
                </c:pt>
                <c:pt idx="22">
                  <c:v>Leisure Services</c:v>
                </c:pt>
                <c:pt idx="23">
                  <c:v>Aerospace &amp; Defense</c:v>
                </c:pt>
                <c:pt idx="24">
                  <c:v>Food Products</c:v>
                </c:pt>
              </c:strCache>
            </c:strRef>
          </c:cat>
          <c:val>
            <c:numRef>
              <c:f>'IDFC LCF'!$X$8:$X$32</c:f>
              <c:numCache>
                <c:formatCode>0.00%</c:formatCode>
                <c:ptCount val="25"/>
                <c:pt idx="0">
                  <c:v>0.353126</c:v>
                </c:pt>
                <c:pt idx="1">
                  <c:v>0.12443400000000002</c:v>
                </c:pt>
                <c:pt idx="2">
                  <c:v>6.7921999999999996E-2</c:v>
                </c:pt>
                <c:pt idx="3">
                  <c:v>5.9415000000000003E-2</c:v>
                </c:pt>
                <c:pt idx="4">
                  <c:v>5.5840000000000001E-2</c:v>
                </c:pt>
                <c:pt idx="5">
                  <c:v>4.2204999999999999E-2</c:v>
                </c:pt>
                <c:pt idx="6">
                  <c:v>3.5455E-2</c:v>
                </c:pt>
                <c:pt idx="7">
                  <c:v>3.1939000000000002E-2</c:v>
                </c:pt>
                <c:pt idx="8">
                  <c:v>3.1350000000000003E-2</c:v>
                </c:pt>
                <c:pt idx="9">
                  <c:v>3.0700000000000002E-2</c:v>
                </c:pt>
                <c:pt idx="10">
                  <c:v>1.9977999999999999E-2</c:v>
                </c:pt>
                <c:pt idx="11">
                  <c:v>1.3396E-2</c:v>
                </c:pt>
                <c:pt idx="12">
                  <c:v>1.3211000000000001E-2</c:v>
                </c:pt>
                <c:pt idx="13">
                  <c:v>1.0957E-2</c:v>
                </c:pt>
                <c:pt idx="14">
                  <c:v>1.0668E-2</c:v>
                </c:pt>
                <c:pt idx="15">
                  <c:v>1.026E-2</c:v>
                </c:pt>
                <c:pt idx="16">
                  <c:v>1.0146000000000001E-2</c:v>
                </c:pt>
                <c:pt idx="17">
                  <c:v>8.2170000000000003E-3</c:v>
                </c:pt>
                <c:pt idx="18">
                  <c:v>7.5510000000000004E-3</c:v>
                </c:pt>
                <c:pt idx="19">
                  <c:v>7.2370000000000004E-3</c:v>
                </c:pt>
                <c:pt idx="20">
                  <c:v>6.1130000000000004E-3</c:v>
                </c:pt>
                <c:pt idx="21">
                  <c:v>5.0720000000000001E-3</c:v>
                </c:pt>
                <c:pt idx="22">
                  <c:v>5.0639999999999999E-3</c:v>
                </c:pt>
                <c:pt idx="23">
                  <c:v>4.9589999999999999E-3</c:v>
                </c:pt>
                <c:pt idx="24">
                  <c:v>2.7759999999999998E-3</c:v>
                </c:pt>
              </c:numCache>
            </c:numRef>
          </c:val>
          <c:extLst>
            <c:ext xmlns:c16="http://schemas.microsoft.com/office/drawing/2014/chart" uri="{C3380CC4-5D6E-409C-BE32-E72D297353CC}">
              <c16:uniqueId val="{0000000E-26BF-43C0-9EF0-9EFD54CFC3EB}"/>
            </c:ext>
          </c:extLst>
        </c:ser>
        <c:dLbls>
          <c:showLegendKey val="0"/>
          <c:showVal val="0"/>
          <c:showCatName val="0"/>
          <c:showSerName val="0"/>
          <c:showPercent val="0"/>
          <c:showBubbleSize val="0"/>
        </c:dLbls>
        <c:gapWidth val="150"/>
        <c:axId val="154931200"/>
        <c:axId val="5537088"/>
      </c:barChart>
      <c:catAx>
        <c:axId val="15493120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7088"/>
        <c:crosses val="autoZero"/>
        <c:auto val="1"/>
        <c:lblAlgn val="ctr"/>
        <c:lblOffset val="100"/>
        <c:tickLblSkip val="1"/>
        <c:noMultiLvlLbl val="0"/>
      </c:catAx>
      <c:valAx>
        <c:axId val="5537088"/>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120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'IDFC FEF'!$X$7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BD1-4A17-94CA-06A0AED64B3E}"/>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BD1-4A17-94CA-06A0AED64B3E}"/>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BD1-4A17-94CA-06A0AED64B3E}"/>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BD1-4A17-94CA-06A0AED64B3E}"/>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BD1-4A17-94CA-06A0AED64B3E}"/>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BD1-4A17-94CA-06A0AED64B3E}"/>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BD1-4A17-94CA-06A0AED64B3E}"/>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BD1-4A17-94CA-06A0AED64B3E}"/>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BD1-4A17-94CA-06A0AED64B3E}"/>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BD1-4A17-94CA-06A0AED64B3E}"/>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BD1-4A17-94CA-06A0AED64B3E}"/>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FEF'!$W$8:$W$27</c:f>
              <c:strCache>
                <c:ptCount val="20"/>
                <c:pt idx="0">
                  <c:v>Banks</c:v>
                </c:pt>
                <c:pt idx="1">
                  <c:v>IT - Software</c:v>
                </c:pt>
                <c:pt idx="2">
                  <c:v>Automobiles</c:v>
                </c:pt>
                <c:pt idx="3">
                  <c:v>Chemicals &amp; Petrochemicals</c:v>
                </c:pt>
                <c:pt idx="4">
                  <c:v>Petroleum Products</c:v>
                </c:pt>
                <c:pt idx="5">
                  <c:v>Diversified FMCG</c:v>
                </c:pt>
                <c:pt idx="6">
                  <c:v>Telecom - Services</c:v>
                </c:pt>
                <c:pt idx="7">
                  <c:v>Realty</c:v>
                </c:pt>
                <c:pt idx="8">
                  <c:v>Food Products</c:v>
                </c:pt>
                <c:pt idx="9">
                  <c:v>Finance</c:v>
                </c:pt>
                <c:pt idx="10">
                  <c:v>IT - Services</c:v>
                </c:pt>
                <c:pt idx="11">
                  <c:v>Cement &amp; Cement Products</c:v>
                </c:pt>
                <c:pt idx="12">
                  <c:v>Industrial Products</c:v>
                </c:pt>
                <c:pt idx="13">
                  <c:v>Retailing</c:v>
                </c:pt>
                <c:pt idx="14">
                  <c:v>Construction</c:v>
                </c:pt>
                <c:pt idx="15">
                  <c:v>Diversified</c:v>
                </c:pt>
                <c:pt idx="16">
                  <c:v>Leisure Services</c:v>
                </c:pt>
                <c:pt idx="17">
                  <c:v>Electrical Equipment</c:v>
                </c:pt>
                <c:pt idx="18">
                  <c:v>Pharmaceuticals &amp; Biotechnology</c:v>
                </c:pt>
                <c:pt idx="19">
                  <c:v>Personal Products</c:v>
                </c:pt>
              </c:strCache>
            </c:strRef>
          </c:cat>
          <c:val>
            <c:numRef>
              <c:f>'IDFC FEF'!$X$8:$X$27</c:f>
              <c:numCache>
                <c:formatCode>0.00%</c:formatCode>
                <c:ptCount val="20"/>
                <c:pt idx="0">
                  <c:v>0.32600600000000002</c:v>
                </c:pt>
                <c:pt idx="1">
                  <c:v>8.7722000000000008E-2</c:v>
                </c:pt>
                <c:pt idx="2">
                  <c:v>8.4207000000000004E-2</c:v>
                </c:pt>
                <c:pt idx="3">
                  <c:v>6.3612000000000002E-2</c:v>
                </c:pt>
                <c:pt idx="4">
                  <c:v>5.4995000000000002E-2</c:v>
                </c:pt>
                <c:pt idx="5">
                  <c:v>5.4102999999999998E-2</c:v>
                </c:pt>
                <c:pt idx="6">
                  <c:v>3.5046000000000001E-2</c:v>
                </c:pt>
                <c:pt idx="7">
                  <c:v>3.2443E-2</c:v>
                </c:pt>
                <c:pt idx="8">
                  <c:v>3.1192999999999999E-2</c:v>
                </c:pt>
                <c:pt idx="9">
                  <c:v>3.0096999999999999E-2</c:v>
                </c:pt>
                <c:pt idx="10">
                  <c:v>2.912E-2</c:v>
                </c:pt>
                <c:pt idx="11">
                  <c:v>2.6061000000000001E-2</c:v>
                </c:pt>
                <c:pt idx="12">
                  <c:v>2.3313E-2</c:v>
                </c:pt>
                <c:pt idx="13">
                  <c:v>2.0462999999999999E-2</c:v>
                </c:pt>
                <c:pt idx="14">
                  <c:v>1.9591000000000001E-2</c:v>
                </c:pt>
                <c:pt idx="15">
                  <c:v>1.9258999999999998E-2</c:v>
                </c:pt>
                <c:pt idx="16">
                  <c:v>1.8622E-2</c:v>
                </c:pt>
                <c:pt idx="17">
                  <c:v>1.6555E-2</c:v>
                </c:pt>
                <c:pt idx="18">
                  <c:v>1.0815E-2</c:v>
                </c:pt>
                <c:pt idx="19">
                  <c:v>9.8580000000000004E-3</c:v>
                </c:pt>
              </c:numCache>
            </c:numRef>
          </c:val>
          <c:extLst>
            <c:ext xmlns:c16="http://schemas.microsoft.com/office/drawing/2014/chart" uri="{C3380CC4-5D6E-409C-BE32-E72D297353CC}">
              <c16:uniqueId val="{0000000B-2BD1-4A17-94CA-06A0AED64B3E}"/>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SVF'!$X$7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59-4113-A828-380504E10B8A}"/>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59-4113-A828-380504E10B8A}"/>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959-4113-A828-380504E10B8A}"/>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959-4113-A828-380504E10B8A}"/>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959-4113-A828-380504E10B8A}"/>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959-4113-A828-380504E10B8A}"/>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959-4113-A828-380504E10B8A}"/>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959-4113-A828-380504E10B8A}"/>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959-4113-A828-380504E10B8A}"/>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959-4113-A828-380504E10B8A}"/>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959-4113-A828-380504E10B8A}"/>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959-4113-A828-380504E10B8A}"/>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959-4113-A828-380504E10B8A}"/>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959-4113-A828-380504E10B8A}"/>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959-4113-A828-380504E10B8A}"/>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959-4113-A828-380504E10B8A}"/>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959-4113-A828-380504E10B8A}"/>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959-4113-A828-380504E10B8A}"/>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4959-4113-A828-380504E10B8A}"/>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SVF'!$W$8:$W$34</c:f>
              <c:strCache>
                <c:ptCount val="27"/>
                <c:pt idx="0">
                  <c:v>Banks</c:v>
                </c:pt>
                <c:pt idx="1">
                  <c:v>Pharmaceuticals &amp; Biotechnology</c:v>
                </c:pt>
                <c:pt idx="2">
                  <c:v>IT - Software</c:v>
                </c:pt>
                <c:pt idx="3">
                  <c:v>Electrical Equipment</c:v>
                </c:pt>
                <c:pt idx="4">
                  <c:v>Auto Components</c:v>
                </c:pt>
                <c:pt idx="5">
                  <c:v>Ferrous Metals</c:v>
                </c:pt>
                <c:pt idx="6">
                  <c:v>Finance</c:v>
                </c:pt>
                <c:pt idx="7">
                  <c:v>Industrial Products</c:v>
                </c:pt>
                <c:pt idx="8">
                  <c:v>Leisure Services</c:v>
                </c:pt>
                <c:pt idx="9">
                  <c:v>Petroleum Products</c:v>
                </c:pt>
                <c:pt idx="10">
                  <c:v>Consumer Durables</c:v>
                </c:pt>
                <c:pt idx="11">
                  <c:v>Cement &amp; Cement Products</c:v>
                </c:pt>
                <c:pt idx="12">
                  <c:v>Automobiles</c:v>
                </c:pt>
                <c:pt idx="13">
                  <c:v>Diversified FMCG</c:v>
                </c:pt>
                <c:pt idx="14">
                  <c:v>Transport Services</c:v>
                </c:pt>
                <c:pt idx="15">
                  <c:v>Chemicals &amp; Petrochemicals</c:v>
                </c:pt>
                <c:pt idx="16">
                  <c:v>Insurance</c:v>
                </c:pt>
                <c:pt idx="17">
                  <c:v>Beverages</c:v>
                </c:pt>
                <c:pt idx="18">
                  <c:v>Construction</c:v>
                </c:pt>
                <c:pt idx="19">
                  <c:v>Gas</c:v>
                </c:pt>
                <c:pt idx="20">
                  <c:v>Food Products</c:v>
                </c:pt>
                <c:pt idx="21">
                  <c:v>Personal Products</c:v>
                </c:pt>
                <c:pt idx="22">
                  <c:v>Power</c:v>
                </c:pt>
                <c:pt idx="23">
                  <c:v>Agricultural Food &amp; other Products</c:v>
                </c:pt>
                <c:pt idx="24">
                  <c:v>Textiles &amp; Apparels</c:v>
                </c:pt>
                <c:pt idx="25">
                  <c:v>Retailing</c:v>
                </c:pt>
                <c:pt idx="26">
                  <c:v>Entertainment</c:v>
                </c:pt>
              </c:strCache>
            </c:strRef>
          </c:cat>
          <c:val>
            <c:numRef>
              <c:f>'IDFC SVF'!$X$8:$X$34</c:f>
              <c:numCache>
                <c:formatCode>0.00%</c:formatCode>
                <c:ptCount val="27"/>
                <c:pt idx="0">
                  <c:v>0.17371999999999999</c:v>
                </c:pt>
                <c:pt idx="1">
                  <c:v>8.0353999999999995E-2</c:v>
                </c:pt>
                <c:pt idx="2">
                  <c:v>6.2171000000000004E-2</c:v>
                </c:pt>
                <c:pt idx="3">
                  <c:v>5.3150000000000003E-2</c:v>
                </c:pt>
                <c:pt idx="4">
                  <c:v>5.0275E-2</c:v>
                </c:pt>
                <c:pt idx="5">
                  <c:v>4.7074999999999999E-2</c:v>
                </c:pt>
                <c:pt idx="6">
                  <c:v>4.4969999999999996E-2</c:v>
                </c:pt>
                <c:pt idx="7">
                  <c:v>3.8782999999999998E-2</c:v>
                </c:pt>
                <c:pt idx="8">
                  <c:v>3.4754E-2</c:v>
                </c:pt>
                <c:pt idx="9">
                  <c:v>3.4612999999999998E-2</c:v>
                </c:pt>
                <c:pt idx="10">
                  <c:v>3.2388E-2</c:v>
                </c:pt>
                <c:pt idx="11">
                  <c:v>3.0254999999999997E-2</c:v>
                </c:pt>
                <c:pt idx="12">
                  <c:v>2.9663000000000002E-2</c:v>
                </c:pt>
                <c:pt idx="13">
                  <c:v>2.3050999999999999E-2</c:v>
                </c:pt>
                <c:pt idx="14">
                  <c:v>2.1804E-2</c:v>
                </c:pt>
                <c:pt idx="15">
                  <c:v>1.8787000000000002E-2</c:v>
                </c:pt>
                <c:pt idx="16">
                  <c:v>1.8105E-2</c:v>
                </c:pt>
                <c:pt idx="17">
                  <c:v>1.7597000000000002E-2</c:v>
                </c:pt>
                <c:pt idx="18">
                  <c:v>1.7174999999999999E-2</c:v>
                </c:pt>
                <c:pt idx="19">
                  <c:v>1.6899999999999998E-2</c:v>
                </c:pt>
                <c:pt idx="20">
                  <c:v>1.6893999999999999E-2</c:v>
                </c:pt>
                <c:pt idx="21">
                  <c:v>1.6879999999999999E-2</c:v>
                </c:pt>
                <c:pt idx="22">
                  <c:v>1.6073E-2</c:v>
                </c:pt>
                <c:pt idx="23">
                  <c:v>1.3331000000000001E-2</c:v>
                </c:pt>
                <c:pt idx="24">
                  <c:v>1.3024000000000001E-2</c:v>
                </c:pt>
                <c:pt idx="25">
                  <c:v>8.2349999999999993E-3</c:v>
                </c:pt>
                <c:pt idx="26">
                  <c:v>6.6439999999999997E-3</c:v>
                </c:pt>
              </c:numCache>
            </c:numRef>
          </c:val>
          <c:extLst>
            <c:ext xmlns:c16="http://schemas.microsoft.com/office/drawing/2014/chart" uri="{C3380CC4-5D6E-409C-BE32-E72D297353CC}">
              <c16:uniqueId val="{00000013-4959-4113-A828-380504E10B8A}"/>
            </c:ext>
          </c:extLst>
        </c:ser>
        <c:dLbls>
          <c:showLegendKey val="0"/>
          <c:showVal val="0"/>
          <c:showCatName val="0"/>
          <c:showSerName val="0"/>
          <c:showPercent val="0"/>
          <c:showBubbleSize val="0"/>
        </c:dLbls>
        <c:gapWidth val="150"/>
        <c:axId val="100800512"/>
        <c:axId val="155012480"/>
      </c:barChart>
      <c:catAx>
        <c:axId val="10080051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2480"/>
        <c:crosses val="autoZero"/>
        <c:auto val="1"/>
        <c:lblAlgn val="ctr"/>
        <c:lblOffset val="100"/>
        <c:tickLblSkip val="1"/>
        <c:noMultiLvlLbl val="0"/>
      </c:catAx>
      <c:valAx>
        <c:axId val="1550124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0080051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'IDFC-MCAP'!$X$7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67-4661-95F4-D55833095EC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67-4661-95F4-D55833095EC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67-4661-95F4-D55833095EC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67-4661-95F4-D55833095EC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67-4661-95F4-D55833095EC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67-4661-95F4-D55833095EC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A67-4661-95F4-D55833095EC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67-4661-95F4-D55833095EC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A67-4661-95F4-D55833095EC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A67-4661-95F4-D55833095EC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A67-4661-95F4-D55833095ECF}"/>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A67-4661-95F4-D55833095ECF}"/>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A67-4661-95F4-D55833095ECF}"/>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A67-4661-95F4-D55833095ECF}"/>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A67-4661-95F4-D55833095ECF}"/>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A67-4661-95F4-D55833095ECF}"/>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A67-4661-95F4-D55833095ECF}"/>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A67-4661-95F4-D55833095ECF}"/>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3A67-4661-95F4-D55833095ECF}"/>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3A67-4661-95F4-D55833095ECF}"/>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3A67-4661-95F4-D55833095ECF}"/>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3A67-4661-95F4-D55833095ECF}"/>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3A67-4661-95F4-D55833095ECF}"/>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'IDFC-MCAP'!$W$8:$W$26</c:f>
              <c:strCache>
                <c:ptCount val="19"/>
                <c:pt idx="0">
                  <c:v>Banks</c:v>
                </c:pt>
                <c:pt idx="1">
                  <c:v>Industrial Products</c:v>
                </c:pt>
                <c:pt idx="2">
                  <c:v>Chemicals &amp; Petrochemicals</c:v>
                </c:pt>
                <c:pt idx="3">
                  <c:v>Auto Components</c:v>
                </c:pt>
                <c:pt idx="4">
                  <c:v>Automobiles</c:v>
                </c:pt>
                <c:pt idx="5">
                  <c:v>IT - Software</c:v>
                </c:pt>
                <c:pt idx="6">
                  <c:v>Retailing</c:v>
                </c:pt>
                <c:pt idx="7">
                  <c:v>Consumer Durables</c:v>
                </c:pt>
                <c:pt idx="8">
                  <c:v>Leisure Services</c:v>
                </c:pt>
                <c:pt idx="9">
                  <c:v>Electrical Equipment</c:v>
                </c:pt>
                <c:pt idx="10">
                  <c:v>Pharmaceuticals &amp; Biotechnology</c:v>
                </c:pt>
                <c:pt idx="11">
                  <c:v>Beverages</c:v>
                </c:pt>
                <c:pt idx="12">
                  <c:v>Healthcare Services</c:v>
                </c:pt>
                <c:pt idx="13">
                  <c:v>Telecom - Services</c:v>
                </c:pt>
                <c:pt idx="14">
                  <c:v>Fertilizers &amp; Agrochemicals</c:v>
                </c:pt>
                <c:pt idx="15">
                  <c:v>Diversified</c:v>
                </c:pt>
                <c:pt idx="16">
                  <c:v>Capital Markets</c:v>
                </c:pt>
                <c:pt idx="17">
                  <c:v>Finance</c:v>
                </c:pt>
                <c:pt idx="18">
                  <c:v>Textiles &amp; Apparels</c:v>
                </c:pt>
              </c:strCache>
            </c:strRef>
          </c:cat>
          <c:val>
            <c:numRef>
              <c:f>'IDFC-MCAP'!$X$8:$X$26</c:f>
              <c:numCache>
                <c:formatCode>0.00%</c:formatCode>
                <c:ptCount val="19"/>
                <c:pt idx="0">
                  <c:v>0.12820799999999999</c:v>
                </c:pt>
                <c:pt idx="1">
                  <c:v>0.12043999999999999</c:v>
                </c:pt>
                <c:pt idx="2">
                  <c:v>9.8997000000000002E-2</c:v>
                </c:pt>
                <c:pt idx="3">
                  <c:v>7.1275000000000005E-2</c:v>
                </c:pt>
                <c:pt idx="4">
                  <c:v>5.9874999999999998E-2</c:v>
                </c:pt>
                <c:pt idx="5">
                  <c:v>5.7095E-2</c:v>
                </c:pt>
                <c:pt idx="6">
                  <c:v>5.0314999999999999E-2</c:v>
                </c:pt>
                <c:pt idx="7">
                  <c:v>4.7438000000000001E-2</c:v>
                </c:pt>
                <c:pt idx="8">
                  <c:v>4.1697999999999999E-2</c:v>
                </c:pt>
                <c:pt idx="9">
                  <c:v>3.7384000000000001E-2</c:v>
                </c:pt>
                <c:pt idx="10">
                  <c:v>3.6091999999999999E-2</c:v>
                </c:pt>
                <c:pt idx="11">
                  <c:v>2.7666E-2</c:v>
                </c:pt>
                <c:pt idx="12">
                  <c:v>2.2550000000000001E-2</c:v>
                </c:pt>
                <c:pt idx="13">
                  <c:v>2.1127E-2</c:v>
                </c:pt>
                <c:pt idx="14">
                  <c:v>1.8726E-2</c:v>
                </c:pt>
                <c:pt idx="15">
                  <c:v>1.1440000000000001E-2</c:v>
                </c:pt>
                <c:pt idx="16">
                  <c:v>1.0996000000000001E-2</c:v>
                </c:pt>
                <c:pt idx="17">
                  <c:v>1.0978999999999999E-2</c:v>
                </c:pt>
                <c:pt idx="18">
                  <c:v>9.9209999999999993E-3</c:v>
                </c:pt>
              </c:numCache>
            </c:numRef>
          </c:val>
          <c:extLst>
            <c:ext xmlns:c16="http://schemas.microsoft.com/office/drawing/2014/chart" uri="{C3380CC4-5D6E-409C-BE32-E72D297353CC}">
              <c16:uniqueId val="{00000017-3A67-4661-95F4-D55833095ECF}"/>
            </c:ext>
          </c:extLst>
        </c:ser>
        <c:ser>
          <c:idx val="1"/>
          <c:order val="1"/>
          <c:tx>
            <c:strRef>
              <c:f>'IDFC CEF'!$C$4</c:f>
              <c:strCache>
                <c:ptCount val="1"/>
                <c:pt idx="0">
                  <c:v>Portfolio as on - (31st December 2022)</c:v>
                </c:pt>
              </c:strCache>
            </c:strRef>
          </c:tx>
          <c:invertIfNegative val="0"/>
          <c:cat>
            <c:strRef>
              <c:f>'IDFC-MCAP'!$W$8:$W$26</c:f>
              <c:strCache>
                <c:ptCount val="19"/>
                <c:pt idx="0">
                  <c:v>Banks</c:v>
                </c:pt>
                <c:pt idx="1">
                  <c:v>Industrial Products</c:v>
                </c:pt>
                <c:pt idx="2">
                  <c:v>Chemicals &amp; Petrochemicals</c:v>
                </c:pt>
                <c:pt idx="3">
                  <c:v>Auto Components</c:v>
                </c:pt>
                <c:pt idx="4">
                  <c:v>Automobiles</c:v>
                </c:pt>
                <c:pt idx="5">
                  <c:v>IT - Software</c:v>
                </c:pt>
                <c:pt idx="6">
                  <c:v>Retailing</c:v>
                </c:pt>
                <c:pt idx="7">
                  <c:v>Consumer Durables</c:v>
                </c:pt>
                <c:pt idx="8">
                  <c:v>Leisure Services</c:v>
                </c:pt>
                <c:pt idx="9">
                  <c:v>Electrical Equipment</c:v>
                </c:pt>
                <c:pt idx="10">
                  <c:v>Pharmaceuticals &amp; Biotechnology</c:v>
                </c:pt>
                <c:pt idx="11">
                  <c:v>Beverages</c:v>
                </c:pt>
                <c:pt idx="12">
                  <c:v>Healthcare Services</c:v>
                </c:pt>
                <c:pt idx="13">
                  <c:v>Telecom - Services</c:v>
                </c:pt>
                <c:pt idx="14">
                  <c:v>Fertilizers &amp; Agrochemicals</c:v>
                </c:pt>
                <c:pt idx="15">
                  <c:v>Diversified</c:v>
                </c:pt>
                <c:pt idx="16">
                  <c:v>Capital Markets</c:v>
                </c:pt>
                <c:pt idx="17">
                  <c:v>Finance</c:v>
                </c:pt>
                <c:pt idx="18">
                  <c:v>Textiles &amp; Apparels</c:v>
                </c:pt>
              </c:strCache>
            </c:strRef>
          </c:cat>
          <c:val>
            <c:numRef>
              <c:f>'IDFC CEF'!$C$5</c:f>
              <c:numCache>
                <c:formatCode>General</c:formatCode>
                <c:ptCount val="1"/>
                <c:pt idx="0">
                  <c:v>0</c:v>
                </c:pt>
              </c:numCache>
            </c:numRef>
          </c:val>
          <c:extLst>
            <c:ext xmlns:c16="http://schemas.microsoft.com/office/drawing/2014/chart" uri="{C3380CC4-5D6E-409C-BE32-E72D297353CC}">
              <c16:uniqueId val="{00000000-5A71-4669-BC73-AD2F870025E7}"/>
            </c:ext>
          </c:extLst>
        </c:ser>
        <c:ser>
          <c:idx val="2"/>
          <c:order val="2"/>
          <c:tx>
            <c:strRef>
              <c:f>'IDFC SVF'!$C$4</c:f>
              <c:strCache>
                <c:ptCount val="1"/>
                <c:pt idx="0">
                  <c:v>Portfolio as on - (31st December 2022)</c:v>
                </c:pt>
              </c:strCache>
            </c:strRef>
          </c:tx>
          <c:invertIfNegative val="0"/>
          <c:cat>
            <c:strRef>
              <c:f>'IDFC-MCAP'!$W$8:$W$26</c:f>
              <c:strCache>
                <c:ptCount val="19"/>
                <c:pt idx="0">
                  <c:v>Banks</c:v>
                </c:pt>
                <c:pt idx="1">
                  <c:v>Industrial Products</c:v>
                </c:pt>
                <c:pt idx="2">
                  <c:v>Chemicals &amp; Petrochemicals</c:v>
                </c:pt>
                <c:pt idx="3">
                  <c:v>Auto Components</c:v>
                </c:pt>
                <c:pt idx="4">
                  <c:v>Automobiles</c:v>
                </c:pt>
                <c:pt idx="5">
                  <c:v>IT - Software</c:v>
                </c:pt>
                <c:pt idx="6">
                  <c:v>Retailing</c:v>
                </c:pt>
                <c:pt idx="7">
                  <c:v>Consumer Durables</c:v>
                </c:pt>
                <c:pt idx="8">
                  <c:v>Leisure Services</c:v>
                </c:pt>
                <c:pt idx="9">
                  <c:v>Electrical Equipment</c:v>
                </c:pt>
                <c:pt idx="10">
                  <c:v>Pharmaceuticals &amp; Biotechnology</c:v>
                </c:pt>
                <c:pt idx="11">
                  <c:v>Beverages</c:v>
                </c:pt>
                <c:pt idx="12">
                  <c:v>Healthcare Services</c:v>
                </c:pt>
                <c:pt idx="13">
                  <c:v>Telecom - Services</c:v>
                </c:pt>
                <c:pt idx="14">
                  <c:v>Fertilizers &amp; Agrochemicals</c:v>
                </c:pt>
                <c:pt idx="15">
                  <c:v>Diversified</c:v>
                </c:pt>
                <c:pt idx="16">
                  <c:v>Capital Markets</c:v>
                </c:pt>
                <c:pt idx="17">
                  <c:v>Finance</c:v>
                </c:pt>
                <c:pt idx="18">
                  <c:v>Textiles &amp; Apparels</c:v>
                </c:pt>
              </c:strCache>
            </c:strRef>
          </c:cat>
          <c:val>
            <c:numRef>
              <c:f>'IDFC SVF'!$C$5</c:f>
              <c:numCache>
                <c:formatCode>General</c:formatCode>
                <c:ptCount val="1"/>
                <c:pt idx="0">
                  <c:v>0</c:v>
                </c:pt>
              </c:numCache>
            </c:numRef>
          </c:val>
          <c:extLst>
            <c:ext xmlns:c16="http://schemas.microsoft.com/office/drawing/2014/chart" uri="{C3380CC4-5D6E-409C-BE32-E72D297353CC}">
              <c16:uniqueId val="{00000001-5A71-4669-BC73-AD2F870025E7}"/>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MCF'!$X$7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4B6-48E9-BD50-F42B51C222F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B6-48E9-BD50-F42B51C222F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4B6-48E9-BD50-F42B51C222F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B6-48E9-BD50-F42B51C222F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4B6-48E9-BD50-F42B51C222F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B6-48E9-BD50-F42B51C222F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4B6-48E9-BD50-F42B51C222F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4B6-48E9-BD50-F42B51C222F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4B6-48E9-BD50-F42B51C222F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4B6-48E9-BD50-F42B51C222F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4B6-48E9-BD50-F42B51C222F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4B6-48E9-BD50-F42B51C222F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4B6-48E9-BD50-F42B51C222F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4B6-48E9-BD50-F42B51C222FB}"/>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4B6-48E9-BD50-F42B51C222FB}"/>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4B6-48E9-BD50-F42B51C222FB}"/>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4B6-48E9-BD50-F42B51C222FB}"/>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4B6-48E9-BD50-F42B51C222FB}"/>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C4B6-48E9-BD50-F42B51C222FB}"/>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4B6-48E9-BD50-F42B51C222FB}"/>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C4B6-48E9-BD50-F42B51C222FB}"/>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C4B6-48E9-BD50-F42B51C222FB}"/>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C4B6-48E9-BD50-F42B51C222F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MCF'!$W$8:$W$36</c:f>
              <c:strCache>
                <c:ptCount val="29"/>
                <c:pt idx="0">
                  <c:v>Banks</c:v>
                </c:pt>
                <c:pt idx="1">
                  <c:v>IT - Software</c:v>
                </c:pt>
                <c:pt idx="2">
                  <c:v>Cement &amp; Cement Products</c:v>
                </c:pt>
                <c:pt idx="3">
                  <c:v>Finance</c:v>
                </c:pt>
                <c:pt idx="4">
                  <c:v>Pharmaceuticals &amp; Biotechnology</c:v>
                </c:pt>
                <c:pt idx="5">
                  <c:v>Consumer Durables</c:v>
                </c:pt>
                <c:pt idx="6">
                  <c:v>Industrial Products</c:v>
                </c:pt>
                <c:pt idx="7">
                  <c:v>Auto Components</c:v>
                </c:pt>
                <c:pt idx="8">
                  <c:v>Construction</c:v>
                </c:pt>
                <c:pt idx="9">
                  <c:v>Petroleum Products</c:v>
                </c:pt>
                <c:pt idx="10">
                  <c:v>Beverages</c:v>
                </c:pt>
                <c:pt idx="11">
                  <c:v>Insurance</c:v>
                </c:pt>
                <c:pt idx="12">
                  <c:v>Ferrous Metals</c:v>
                </c:pt>
                <c:pt idx="13">
                  <c:v>Leisure Services</c:v>
                </c:pt>
                <c:pt idx="14">
                  <c:v>Automobiles</c:v>
                </c:pt>
                <c:pt idx="15">
                  <c:v>Realty</c:v>
                </c:pt>
                <c:pt idx="16">
                  <c:v>IT - Services</c:v>
                </c:pt>
                <c:pt idx="17">
                  <c:v>Food Products</c:v>
                </c:pt>
                <c:pt idx="18">
                  <c:v>Transport Services</c:v>
                </c:pt>
                <c:pt idx="19">
                  <c:v>Entertainment</c:v>
                </c:pt>
                <c:pt idx="20">
                  <c:v>Fertilizers &amp; Agrochemicals</c:v>
                </c:pt>
                <c:pt idx="21">
                  <c:v>Gas</c:v>
                </c:pt>
                <c:pt idx="22">
                  <c:v>Electrical Equipment</c:v>
                </c:pt>
                <c:pt idx="23">
                  <c:v>Diversified FMCG</c:v>
                </c:pt>
                <c:pt idx="24">
                  <c:v>Telecom - Services</c:v>
                </c:pt>
                <c:pt idx="25">
                  <c:v>Chemicals &amp; Petrochemicals</c:v>
                </c:pt>
                <c:pt idx="26">
                  <c:v>Agricultural Food &amp; other Products</c:v>
                </c:pt>
                <c:pt idx="27">
                  <c:v>Retailing</c:v>
                </c:pt>
                <c:pt idx="28">
                  <c:v>Industrial Manufacturing</c:v>
                </c:pt>
              </c:strCache>
            </c:strRef>
          </c:cat>
          <c:val>
            <c:numRef>
              <c:f>'IDFC MCF'!$X$8:$X$36</c:f>
              <c:numCache>
                <c:formatCode>0.00%</c:formatCode>
                <c:ptCount val="29"/>
                <c:pt idx="0">
                  <c:v>0.153559</c:v>
                </c:pt>
                <c:pt idx="1">
                  <c:v>6.3405000000000003E-2</c:v>
                </c:pt>
                <c:pt idx="2">
                  <c:v>6.1228000000000005E-2</c:v>
                </c:pt>
                <c:pt idx="3">
                  <c:v>6.0592000000000007E-2</c:v>
                </c:pt>
                <c:pt idx="4">
                  <c:v>5.9070999999999999E-2</c:v>
                </c:pt>
                <c:pt idx="5">
                  <c:v>4.9016000000000004E-2</c:v>
                </c:pt>
                <c:pt idx="6">
                  <c:v>4.7878000000000004E-2</c:v>
                </c:pt>
                <c:pt idx="7">
                  <c:v>3.8415000000000005E-2</c:v>
                </c:pt>
                <c:pt idx="8">
                  <c:v>3.6962000000000002E-2</c:v>
                </c:pt>
                <c:pt idx="9">
                  <c:v>3.5837000000000001E-2</c:v>
                </c:pt>
                <c:pt idx="10">
                  <c:v>3.2436E-2</c:v>
                </c:pt>
                <c:pt idx="11">
                  <c:v>3.0863000000000002E-2</c:v>
                </c:pt>
                <c:pt idx="12">
                  <c:v>2.4244000000000002E-2</c:v>
                </c:pt>
                <c:pt idx="13">
                  <c:v>2.1677999999999999E-2</c:v>
                </c:pt>
                <c:pt idx="14">
                  <c:v>2.0936999999999997E-2</c:v>
                </c:pt>
                <c:pt idx="15">
                  <c:v>1.993E-2</c:v>
                </c:pt>
                <c:pt idx="16">
                  <c:v>1.8966E-2</c:v>
                </c:pt>
                <c:pt idx="17">
                  <c:v>1.7860999999999998E-2</c:v>
                </c:pt>
                <c:pt idx="18">
                  <c:v>1.6778000000000001E-2</c:v>
                </c:pt>
                <c:pt idx="19">
                  <c:v>1.6521000000000001E-2</c:v>
                </c:pt>
                <c:pt idx="20">
                  <c:v>1.5989E-2</c:v>
                </c:pt>
                <c:pt idx="21">
                  <c:v>1.5225000000000001E-2</c:v>
                </c:pt>
                <c:pt idx="22">
                  <c:v>1.4929999999999999E-2</c:v>
                </c:pt>
                <c:pt idx="23">
                  <c:v>1.3845E-2</c:v>
                </c:pt>
                <c:pt idx="24">
                  <c:v>1.3464E-2</c:v>
                </c:pt>
                <c:pt idx="25">
                  <c:v>1.3305000000000001E-2</c:v>
                </c:pt>
                <c:pt idx="26">
                  <c:v>1.281E-2</c:v>
                </c:pt>
                <c:pt idx="27">
                  <c:v>1.0026E-2</c:v>
                </c:pt>
                <c:pt idx="28">
                  <c:v>7.6229999999999996E-3</c:v>
                </c:pt>
              </c:numCache>
            </c:numRef>
          </c:val>
          <c:extLst>
            <c:ext xmlns:c16="http://schemas.microsoft.com/office/drawing/2014/chart" uri="{C3380CC4-5D6E-409C-BE32-E72D297353CC}">
              <c16:uniqueId val="{00000017-C4B6-48E9-BD50-F42B51C222FB}"/>
            </c:ext>
          </c:extLst>
        </c:ser>
        <c:ser>
          <c:idx val="1"/>
          <c:order val="1"/>
          <c:tx>
            <c:strRef>
              <c:f>'IDFC SVF'!$C$4</c:f>
              <c:strCache>
                <c:ptCount val="1"/>
                <c:pt idx="0">
                  <c:v>Portfolio as on - (31st December 2022)</c:v>
                </c:pt>
              </c:strCache>
            </c:strRef>
          </c:tx>
          <c:invertIfNegative val="0"/>
          <c:cat>
            <c:strRef>
              <c:f>'IDFC MCF'!$W$8:$W$36</c:f>
              <c:strCache>
                <c:ptCount val="29"/>
                <c:pt idx="0">
                  <c:v>Banks</c:v>
                </c:pt>
                <c:pt idx="1">
                  <c:v>IT - Software</c:v>
                </c:pt>
                <c:pt idx="2">
                  <c:v>Cement &amp; Cement Products</c:v>
                </c:pt>
                <c:pt idx="3">
                  <c:v>Finance</c:v>
                </c:pt>
                <c:pt idx="4">
                  <c:v>Pharmaceuticals &amp; Biotechnology</c:v>
                </c:pt>
                <c:pt idx="5">
                  <c:v>Consumer Durables</c:v>
                </c:pt>
                <c:pt idx="6">
                  <c:v>Industrial Products</c:v>
                </c:pt>
                <c:pt idx="7">
                  <c:v>Auto Components</c:v>
                </c:pt>
                <c:pt idx="8">
                  <c:v>Construction</c:v>
                </c:pt>
                <c:pt idx="9">
                  <c:v>Petroleum Products</c:v>
                </c:pt>
                <c:pt idx="10">
                  <c:v>Beverages</c:v>
                </c:pt>
                <c:pt idx="11">
                  <c:v>Insurance</c:v>
                </c:pt>
                <c:pt idx="12">
                  <c:v>Ferrous Metals</c:v>
                </c:pt>
                <c:pt idx="13">
                  <c:v>Leisure Services</c:v>
                </c:pt>
                <c:pt idx="14">
                  <c:v>Automobiles</c:v>
                </c:pt>
                <c:pt idx="15">
                  <c:v>Realty</c:v>
                </c:pt>
                <c:pt idx="16">
                  <c:v>IT - Services</c:v>
                </c:pt>
                <c:pt idx="17">
                  <c:v>Food Products</c:v>
                </c:pt>
                <c:pt idx="18">
                  <c:v>Transport Services</c:v>
                </c:pt>
                <c:pt idx="19">
                  <c:v>Entertainment</c:v>
                </c:pt>
                <c:pt idx="20">
                  <c:v>Fertilizers &amp; Agrochemicals</c:v>
                </c:pt>
                <c:pt idx="21">
                  <c:v>Gas</c:v>
                </c:pt>
                <c:pt idx="22">
                  <c:v>Electrical Equipment</c:v>
                </c:pt>
                <c:pt idx="23">
                  <c:v>Diversified FMCG</c:v>
                </c:pt>
                <c:pt idx="24">
                  <c:v>Telecom - Services</c:v>
                </c:pt>
                <c:pt idx="25">
                  <c:v>Chemicals &amp; Petrochemicals</c:v>
                </c:pt>
                <c:pt idx="26">
                  <c:v>Agricultural Food &amp; other Products</c:v>
                </c:pt>
                <c:pt idx="27">
                  <c:v>Retailing</c:v>
                </c:pt>
                <c:pt idx="28">
                  <c:v>Industrial Manufacturing</c:v>
                </c:pt>
              </c:strCache>
            </c:strRef>
          </c:cat>
          <c:val>
            <c:numRef>
              <c:f>'IDFC SVF'!$C$5</c:f>
              <c:numCache>
                <c:formatCode>General</c:formatCode>
                <c:ptCount val="1"/>
                <c:pt idx="0">
                  <c:v>0</c:v>
                </c:pt>
              </c:numCache>
            </c:numRef>
          </c:val>
          <c:extLst>
            <c:ext xmlns:c16="http://schemas.microsoft.com/office/drawing/2014/chart" uri="{C3380CC4-5D6E-409C-BE32-E72D297353CC}">
              <c16:uniqueId val="{00000000-EA90-4672-986F-AA3F4CB8C6D3}"/>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FCF'!$X$7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4C6-47B0-A7D9-9F74CCA544B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4C6-47B0-A7D9-9F74CCA544B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4C6-47B0-A7D9-9F74CCA544B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4C6-47B0-A7D9-9F74CCA544B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4C6-47B0-A7D9-9F74CCA544B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4C6-47B0-A7D9-9F74CCA544B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4C6-47B0-A7D9-9F74CCA544B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4C6-47B0-A7D9-9F74CCA544B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4C6-47B0-A7D9-9F74CCA544B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4C6-47B0-A7D9-9F74CCA544B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4C6-47B0-A7D9-9F74CCA544B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4C6-47B0-A7D9-9F74CCA544B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4C6-47B0-A7D9-9F74CCA544B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4C6-47B0-A7D9-9F74CCA544B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4C6-47B0-A7D9-9F74CCA544B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4C6-47B0-A7D9-9F74CCA544B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4C6-47B0-A7D9-9F74CCA544B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4C6-47B0-A7D9-9F74CCA544B7}"/>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A4C6-47B0-A7D9-9F74CCA544B7}"/>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A4C6-47B0-A7D9-9F74CCA544B7}"/>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A4C6-47B0-A7D9-9F74CCA544B7}"/>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A4C6-47B0-A7D9-9F74CCA544B7}"/>
                </c:ext>
              </c:extLst>
            </c:dLbl>
            <c:dLbl>
              <c:idx val="22"/>
              <c:delete val="1"/>
              <c:extLst>
                <c:ext xmlns:c15="http://schemas.microsoft.com/office/drawing/2012/chart" uri="{CE6537A1-D6FC-4f65-9D91-7224C49458BB}"/>
                <c:ext xmlns:c16="http://schemas.microsoft.com/office/drawing/2014/chart" uri="{C3380CC4-5D6E-409C-BE32-E72D297353CC}">
                  <c16:uniqueId val="{00000016-A4C6-47B0-A7D9-9F74CCA544B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FCF'!$W$8:$W$31</c:f>
              <c:strCache>
                <c:ptCount val="23"/>
                <c:pt idx="0">
                  <c:v>Banks</c:v>
                </c:pt>
                <c:pt idx="1">
                  <c:v>IT - Software</c:v>
                </c:pt>
                <c:pt idx="2">
                  <c:v>Consumer Durables</c:v>
                </c:pt>
                <c:pt idx="3">
                  <c:v>Auto Components</c:v>
                </c:pt>
                <c:pt idx="4">
                  <c:v>Industrial Products</c:v>
                </c:pt>
                <c:pt idx="5">
                  <c:v>Chemicals &amp; Petrochemicals</c:v>
                </c:pt>
                <c:pt idx="6">
                  <c:v>Cement &amp; Cement Products</c:v>
                </c:pt>
                <c:pt idx="7">
                  <c:v>Automobiles</c:v>
                </c:pt>
                <c:pt idx="8">
                  <c:v>Finance</c:v>
                </c:pt>
                <c:pt idx="9">
                  <c:v>Telecom - Services</c:v>
                </c:pt>
                <c:pt idx="10">
                  <c:v>Construction</c:v>
                </c:pt>
                <c:pt idx="11">
                  <c:v>Retailing</c:v>
                </c:pt>
                <c:pt idx="12">
                  <c:v>Pharmaceuticals &amp; Biotechnology</c:v>
                </c:pt>
                <c:pt idx="13">
                  <c:v>Aerospace &amp; Defense</c:v>
                </c:pt>
                <c:pt idx="14">
                  <c:v>Diversified FMCG</c:v>
                </c:pt>
                <c:pt idx="15">
                  <c:v>Diversified</c:v>
                </c:pt>
                <c:pt idx="16">
                  <c:v>Leisure Services</c:v>
                </c:pt>
                <c:pt idx="17">
                  <c:v>Beverages</c:v>
                </c:pt>
                <c:pt idx="18">
                  <c:v>Textiles &amp; Apparels</c:v>
                </c:pt>
                <c:pt idx="19">
                  <c:v>Food Products</c:v>
                </c:pt>
                <c:pt idx="20">
                  <c:v>Personal Products</c:v>
                </c:pt>
                <c:pt idx="21">
                  <c:v>Paper, Forest &amp; Jute Products</c:v>
                </c:pt>
                <c:pt idx="22">
                  <c:v>Realty</c:v>
                </c:pt>
              </c:strCache>
            </c:strRef>
          </c:cat>
          <c:val>
            <c:numRef>
              <c:f>'IDFC FCF'!$X$8:$X$31</c:f>
              <c:numCache>
                <c:formatCode>0.00%</c:formatCode>
                <c:ptCount val="24"/>
                <c:pt idx="0">
                  <c:v>0.28356500000000001</c:v>
                </c:pt>
                <c:pt idx="1">
                  <c:v>0.11033899999999999</c:v>
                </c:pt>
                <c:pt idx="2">
                  <c:v>5.96E-2</c:v>
                </c:pt>
                <c:pt idx="3">
                  <c:v>5.4449999999999998E-2</c:v>
                </c:pt>
                <c:pt idx="4">
                  <c:v>5.2821000000000007E-2</c:v>
                </c:pt>
                <c:pt idx="5">
                  <c:v>5.2000999999999999E-2</c:v>
                </c:pt>
                <c:pt idx="6">
                  <c:v>4.8589E-2</c:v>
                </c:pt>
                <c:pt idx="7">
                  <c:v>4.8530999999999998E-2</c:v>
                </c:pt>
                <c:pt idx="8" formatCode="0.0%">
                  <c:v>3.6942000000000003E-2</c:v>
                </c:pt>
                <c:pt idx="9">
                  <c:v>2.8069E-2</c:v>
                </c:pt>
                <c:pt idx="10">
                  <c:v>2.7691E-2</c:v>
                </c:pt>
                <c:pt idx="11">
                  <c:v>2.6424E-2</c:v>
                </c:pt>
                <c:pt idx="12">
                  <c:v>2.6145000000000002E-2</c:v>
                </c:pt>
                <c:pt idx="13">
                  <c:v>1.8096000000000001E-2</c:v>
                </c:pt>
                <c:pt idx="14">
                  <c:v>1.5351999999999999E-2</c:v>
                </c:pt>
                <c:pt idx="15">
                  <c:v>1.4958000000000001E-2</c:v>
                </c:pt>
                <c:pt idx="16">
                  <c:v>1.3495E-2</c:v>
                </c:pt>
                <c:pt idx="17">
                  <c:v>9.8539999999999999E-3</c:v>
                </c:pt>
                <c:pt idx="18">
                  <c:v>9.2420000000000002E-3</c:v>
                </c:pt>
                <c:pt idx="19">
                  <c:v>6.581E-3</c:v>
                </c:pt>
                <c:pt idx="20">
                  <c:v>6.097E-3</c:v>
                </c:pt>
                <c:pt idx="21">
                  <c:v>5.4039999999999999E-3</c:v>
                </c:pt>
                <c:pt idx="22">
                  <c:v>1.6379999999999999E-3</c:v>
                </c:pt>
              </c:numCache>
            </c:numRef>
          </c:val>
          <c:extLst>
            <c:ext xmlns:c16="http://schemas.microsoft.com/office/drawing/2014/chart" uri="{C3380CC4-5D6E-409C-BE32-E72D297353CC}">
              <c16:uniqueId val="{00000017-A4C6-47B0-A7D9-9F74CCA544B7}"/>
            </c:ext>
          </c:extLst>
        </c:ser>
        <c:ser>
          <c:idx val="1"/>
          <c:order val="1"/>
          <c:tx>
            <c:strRef>
              <c:f>'IDFC-USFOF'!$C$4</c:f>
              <c:strCache>
                <c:ptCount val="1"/>
                <c:pt idx="0">
                  <c:v>Portfolio as on - (31st December 2022)</c:v>
                </c:pt>
              </c:strCache>
            </c:strRef>
          </c:tx>
          <c:invertIfNegative val="0"/>
          <c:cat>
            <c:strRef>
              <c:f>'IDFC FCF'!$W$8:$W$31</c:f>
              <c:strCache>
                <c:ptCount val="23"/>
                <c:pt idx="0">
                  <c:v>Banks</c:v>
                </c:pt>
                <c:pt idx="1">
                  <c:v>IT - Software</c:v>
                </c:pt>
                <c:pt idx="2">
                  <c:v>Consumer Durables</c:v>
                </c:pt>
                <c:pt idx="3">
                  <c:v>Auto Components</c:v>
                </c:pt>
                <c:pt idx="4">
                  <c:v>Industrial Products</c:v>
                </c:pt>
                <c:pt idx="5">
                  <c:v>Chemicals &amp; Petrochemicals</c:v>
                </c:pt>
                <c:pt idx="6">
                  <c:v>Cement &amp; Cement Products</c:v>
                </c:pt>
                <c:pt idx="7">
                  <c:v>Automobiles</c:v>
                </c:pt>
                <c:pt idx="8">
                  <c:v>Finance</c:v>
                </c:pt>
                <c:pt idx="9">
                  <c:v>Telecom - Services</c:v>
                </c:pt>
                <c:pt idx="10">
                  <c:v>Construction</c:v>
                </c:pt>
                <c:pt idx="11">
                  <c:v>Retailing</c:v>
                </c:pt>
                <c:pt idx="12">
                  <c:v>Pharmaceuticals &amp; Biotechnology</c:v>
                </c:pt>
                <c:pt idx="13">
                  <c:v>Aerospace &amp; Defense</c:v>
                </c:pt>
                <c:pt idx="14">
                  <c:v>Diversified FMCG</c:v>
                </c:pt>
                <c:pt idx="15">
                  <c:v>Diversified</c:v>
                </c:pt>
                <c:pt idx="16">
                  <c:v>Leisure Services</c:v>
                </c:pt>
                <c:pt idx="17">
                  <c:v>Beverages</c:v>
                </c:pt>
                <c:pt idx="18">
                  <c:v>Textiles &amp; Apparels</c:v>
                </c:pt>
                <c:pt idx="19">
                  <c:v>Food Products</c:v>
                </c:pt>
                <c:pt idx="20">
                  <c:v>Personal Products</c:v>
                </c:pt>
                <c:pt idx="21">
                  <c:v>Paper, Forest &amp; Jute Products</c:v>
                </c:pt>
                <c:pt idx="22">
                  <c:v>Realty</c:v>
                </c:pt>
              </c:strCache>
            </c:strRef>
          </c:cat>
          <c:val>
            <c:numRef>
              <c:f>'IDFC-USFOF'!$C$5</c:f>
              <c:numCache>
                <c:formatCode>General</c:formatCode>
                <c:ptCount val="1"/>
                <c:pt idx="0">
                  <c:v>0</c:v>
                </c:pt>
              </c:numCache>
            </c:numRef>
          </c:val>
          <c:extLst>
            <c:ext xmlns:c16="http://schemas.microsoft.com/office/drawing/2014/chart" uri="{C3380CC4-5D6E-409C-BE32-E72D297353CC}">
              <c16:uniqueId val="{00000000-9DA0-42A2-8C15-D73123B07794}"/>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'IDFC EBF'!$X$7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453-415C-BEC6-E3D158FE4279}"/>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453-415C-BEC6-E3D158FE4279}"/>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453-415C-BEC6-E3D158FE4279}"/>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53-415C-BEC6-E3D158FE4279}"/>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453-415C-BEC6-E3D158FE4279}"/>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453-415C-BEC6-E3D158FE4279}"/>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453-415C-BEC6-E3D158FE4279}"/>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453-415C-BEC6-E3D158FE4279}"/>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453-415C-BEC6-E3D158FE4279}"/>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453-415C-BEC6-E3D158FE4279}"/>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453-415C-BEC6-E3D158FE4279}"/>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EBF'!$W$8:$W$38</c:f>
              <c:strCache>
                <c:ptCount val="31"/>
                <c:pt idx="0">
                  <c:v>Auto Components</c:v>
                </c:pt>
                <c:pt idx="1">
                  <c:v>Consumer Durables</c:v>
                </c:pt>
                <c:pt idx="2">
                  <c:v>Industrial Products</c:v>
                </c:pt>
                <c:pt idx="3">
                  <c:v>Leisure Services</c:v>
                </c:pt>
                <c:pt idx="4">
                  <c:v>Chemicals &amp; Petrochemicals</c:v>
                </c:pt>
                <c:pt idx="5">
                  <c:v>Cement &amp; Cement Products</c:v>
                </c:pt>
                <c:pt idx="6">
                  <c:v>Finance</c:v>
                </c:pt>
                <c:pt idx="7">
                  <c:v>Retailing</c:v>
                </c:pt>
                <c:pt idx="8">
                  <c:v>Food Products</c:v>
                </c:pt>
                <c:pt idx="9">
                  <c:v>Capital Markets</c:v>
                </c:pt>
                <c:pt idx="10">
                  <c:v>Healthcare Services</c:v>
                </c:pt>
                <c:pt idx="11">
                  <c:v>IT - Software</c:v>
                </c:pt>
                <c:pt idx="12">
                  <c:v>Banks</c:v>
                </c:pt>
                <c:pt idx="13">
                  <c:v>Beverages</c:v>
                </c:pt>
                <c:pt idx="14">
                  <c:v>Construction</c:v>
                </c:pt>
                <c:pt idx="15">
                  <c:v>Agricultural Food &amp; other Products</c:v>
                </c:pt>
                <c:pt idx="16">
                  <c:v>Pharmaceuticals &amp; Biotechnology</c:v>
                </c:pt>
                <c:pt idx="17">
                  <c:v>Agricultural, Commercial &amp; Construction Vehicles</c:v>
                </c:pt>
                <c:pt idx="18">
                  <c:v>Realty</c:v>
                </c:pt>
                <c:pt idx="19">
                  <c:v>Commercial Services &amp; Supplies</c:v>
                </c:pt>
                <c:pt idx="20">
                  <c:v>IT - Services</c:v>
                </c:pt>
                <c:pt idx="21">
                  <c:v>Automobiles</c:v>
                </c:pt>
                <c:pt idx="22">
                  <c:v>Fertilizers &amp; Agrochemicals</c:v>
                </c:pt>
                <c:pt idx="23">
                  <c:v>Textiles &amp; Apparels</c:v>
                </c:pt>
                <c:pt idx="24">
                  <c:v>Transport Services</c:v>
                </c:pt>
                <c:pt idx="25">
                  <c:v>Cigarettes &amp; Tobacco Products</c:v>
                </c:pt>
                <c:pt idx="26">
                  <c:v>Diversified</c:v>
                </c:pt>
                <c:pt idx="27">
                  <c:v>Industrial Manufacturing</c:v>
                </c:pt>
                <c:pt idx="28">
                  <c:v>Petroleum Products</c:v>
                </c:pt>
                <c:pt idx="29">
                  <c:v>Gas</c:v>
                </c:pt>
                <c:pt idx="30">
                  <c:v>Personal Products</c:v>
                </c:pt>
              </c:strCache>
            </c:strRef>
          </c:cat>
          <c:val>
            <c:numRef>
              <c:f>'IDFC EBF'!$X$8:$X$38</c:f>
              <c:numCache>
                <c:formatCode>0.00%</c:formatCode>
                <c:ptCount val="31"/>
                <c:pt idx="0">
                  <c:v>9.6270999999999995E-2</c:v>
                </c:pt>
                <c:pt idx="1">
                  <c:v>9.5661999999999997E-2</c:v>
                </c:pt>
                <c:pt idx="2">
                  <c:v>9.4338999999999992E-2</c:v>
                </c:pt>
                <c:pt idx="3">
                  <c:v>6.9037000000000001E-2</c:v>
                </c:pt>
                <c:pt idx="4">
                  <c:v>5.3845000000000004E-2</c:v>
                </c:pt>
                <c:pt idx="5">
                  <c:v>3.9074999999999999E-2</c:v>
                </c:pt>
                <c:pt idx="6">
                  <c:v>3.8925000000000001E-2</c:v>
                </c:pt>
                <c:pt idx="7">
                  <c:v>3.6880999999999997E-2</c:v>
                </c:pt>
                <c:pt idx="8">
                  <c:v>3.5971000000000003E-2</c:v>
                </c:pt>
                <c:pt idx="9">
                  <c:v>3.3159000000000001E-2</c:v>
                </c:pt>
                <c:pt idx="10">
                  <c:v>3.1744999999999995E-2</c:v>
                </c:pt>
                <c:pt idx="11">
                  <c:v>3.1697000000000003E-2</c:v>
                </c:pt>
                <c:pt idx="12">
                  <c:v>3.0776999999999999E-2</c:v>
                </c:pt>
                <c:pt idx="13">
                  <c:v>2.8605999999999999E-2</c:v>
                </c:pt>
                <c:pt idx="14">
                  <c:v>2.7081999999999998E-2</c:v>
                </c:pt>
                <c:pt idx="15">
                  <c:v>2.4389000000000001E-2</c:v>
                </c:pt>
                <c:pt idx="16">
                  <c:v>2.3461000000000003E-2</c:v>
                </c:pt>
                <c:pt idx="17">
                  <c:v>2.1078E-2</c:v>
                </c:pt>
                <c:pt idx="18">
                  <c:v>1.7954999999999999E-2</c:v>
                </c:pt>
                <c:pt idx="19">
                  <c:v>1.5551000000000001E-2</c:v>
                </c:pt>
                <c:pt idx="20">
                  <c:v>1.5452E-2</c:v>
                </c:pt>
                <c:pt idx="21">
                  <c:v>1.4982000000000001E-2</c:v>
                </c:pt>
                <c:pt idx="22">
                  <c:v>1.4459E-2</c:v>
                </c:pt>
                <c:pt idx="23">
                  <c:v>1.4244E-2</c:v>
                </c:pt>
                <c:pt idx="24">
                  <c:v>1.3521E-2</c:v>
                </c:pt>
                <c:pt idx="25">
                  <c:v>1.2439E-2</c:v>
                </c:pt>
                <c:pt idx="26">
                  <c:v>1.1132E-2</c:v>
                </c:pt>
                <c:pt idx="27">
                  <c:v>1.1086E-2</c:v>
                </c:pt>
                <c:pt idx="28">
                  <c:v>1.1041E-2</c:v>
                </c:pt>
                <c:pt idx="29">
                  <c:v>8.6370000000000006E-3</c:v>
                </c:pt>
                <c:pt idx="30">
                  <c:v>6.1840000000000003E-3</c:v>
                </c:pt>
              </c:numCache>
            </c:numRef>
          </c:val>
          <c:extLst>
            <c:ext xmlns:c16="http://schemas.microsoft.com/office/drawing/2014/chart" uri="{C3380CC4-5D6E-409C-BE32-E72D297353CC}">
              <c16:uniqueId val="{0000000B-3453-415C-BEC6-E3D158FE4279}"/>
            </c:ext>
          </c:extLst>
        </c:ser>
        <c:ser>
          <c:idx val="1"/>
          <c:order val="1"/>
          <c:tx>
            <c:strRef>
              <c:f>'IDFC-USFOF'!$C$4</c:f>
              <c:strCache>
                <c:ptCount val="1"/>
                <c:pt idx="0">
                  <c:v>Portfolio as on - (31st December 2022)</c:v>
                </c:pt>
              </c:strCache>
            </c:strRef>
          </c:tx>
          <c:invertIfNegative val="0"/>
          <c:cat>
            <c:strRef>
              <c:f>'IDFC EBF'!$W$8:$W$38</c:f>
              <c:strCache>
                <c:ptCount val="31"/>
                <c:pt idx="0">
                  <c:v>Auto Components</c:v>
                </c:pt>
                <c:pt idx="1">
                  <c:v>Consumer Durables</c:v>
                </c:pt>
                <c:pt idx="2">
                  <c:v>Industrial Products</c:v>
                </c:pt>
                <c:pt idx="3">
                  <c:v>Leisure Services</c:v>
                </c:pt>
                <c:pt idx="4">
                  <c:v>Chemicals &amp; Petrochemicals</c:v>
                </c:pt>
                <c:pt idx="5">
                  <c:v>Cement &amp; Cement Products</c:v>
                </c:pt>
                <c:pt idx="6">
                  <c:v>Finance</c:v>
                </c:pt>
                <c:pt idx="7">
                  <c:v>Retailing</c:v>
                </c:pt>
                <c:pt idx="8">
                  <c:v>Food Products</c:v>
                </c:pt>
                <c:pt idx="9">
                  <c:v>Capital Markets</c:v>
                </c:pt>
                <c:pt idx="10">
                  <c:v>Healthcare Services</c:v>
                </c:pt>
                <c:pt idx="11">
                  <c:v>IT - Software</c:v>
                </c:pt>
                <c:pt idx="12">
                  <c:v>Banks</c:v>
                </c:pt>
                <c:pt idx="13">
                  <c:v>Beverages</c:v>
                </c:pt>
                <c:pt idx="14">
                  <c:v>Construction</c:v>
                </c:pt>
                <c:pt idx="15">
                  <c:v>Agricultural Food &amp; other Products</c:v>
                </c:pt>
                <c:pt idx="16">
                  <c:v>Pharmaceuticals &amp; Biotechnology</c:v>
                </c:pt>
                <c:pt idx="17">
                  <c:v>Agricultural, Commercial &amp; Construction Vehicles</c:v>
                </c:pt>
                <c:pt idx="18">
                  <c:v>Realty</c:v>
                </c:pt>
                <c:pt idx="19">
                  <c:v>Commercial Services &amp; Supplies</c:v>
                </c:pt>
                <c:pt idx="20">
                  <c:v>IT - Services</c:v>
                </c:pt>
                <c:pt idx="21">
                  <c:v>Automobiles</c:v>
                </c:pt>
                <c:pt idx="22">
                  <c:v>Fertilizers &amp; Agrochemicals</c:v>
                </c:pt>
                <c:pt idx="23">
                  <c:v>Textiles &amp; Apparels</c:v>
                </c:pt>
                <c:pt idx="24">
                  <c:v>Transport Services</c:v>
                </c:pt>
                <c:pt idx="25">
                  <c:v>Cigarettes &amp; Tobacco Products</c:v>
                </c:pt>
                <c:pt idx="26">
                  <c:v>Diversified</c:v>
                </c:pt>
                <c:pt idx="27">
                  <c:v>Industrial Manufacturing</c:v>
                </c:pt>
                <c:pt idx="28">
                  <c:v>Petroleum Products</c:v>
                </c:pt>
                <c:pt idx="29">
                  <c:v>Gas</c:v>
                </c:pt>
                <c:pt idx="30">
                  <c:v>Personal Products</c:v>
                </c:pt>
              </c:strCache>
            </c:strRef>
          </c:cat>
          <c:val>
            <c:numRef>
              <c:f>'IDFC-USFOF'!$C$5</c:f>
              <c:numCache>
                <c:formatCode>General</c:formatCode>
                <c:ptCount val="1"/>
                <c:pt idx="0">
                  <c:v>0</c:v>
                </c:pt>
              </c:numCache>
            </c:numRef>
          </c:val>
          <c:extLst>
            <c:ext xmlns:c16="http://schemas.microsoft.com/office/drawing/2014/chart" uri="{C3380CC4-5D6E-409C-BE32-E72D297353CC}">
              <c16:uniqueId val="{00000000-9EE4-4B2F-B2FB-001A9407A2C5}"/>
            </c:ext>
          </c:extLst>
        </c:ser>
        <c:ser>
          <c:idx val="2"/>
          <c:order val="2"/>
          <c:tx>
            <c:strRef>
              <c:f>'IDFC FCF'!$C$4</c:f>
              <c:strCache>
                <c:ptCount val="1"/>
                <c:pt idx="0">
                  <c:v>Portfolio as on - (31st December 2022)</c:v>
                </c:pt>
              </c:strCache>
            </c:strRef>
          </c:tx>
          <c:invertIfNegative val="0"/>
          <c:cat>
            <c:strRef>
              <c:f>'IDFC EBF'!$W$8:$W$38</c:f>
              <c:strCache>
                <c:ptCount val="31"/>
                <c:pt idx="0">
                  <c:v>Auto Components</c:v>
                </c:pt>
                <c:pt idx="1">
                  <c:v>Consumer Durables</c:v>
                </c:pt>
                <c:pt idx="2">
                  <c:v>Industrial Products</c:v>
                </c:pt>
                <c:pt idx="3">
                  <c:v>Leisure Services</c:v>
                </c:pt>
                <c:pt idx="4">
                  <c:v>Chemicals &amp; Petrochemicals</c:v>
                </c:pt>
                <c:pt idx="5">
                  <c:v>Cement &amp; Cement Products</c:v>
                </c:pt>
                <c:pt idx="6">
                  <c:v>Finance</c:v>
                </c:pt>
                <c:pt idx="7">
                  <c:v>Retailing</c:v>
                </c:pt>
                <c:pt idx="8">
                  <c:v>Food Products</c:v>
                </c:pt>
                <c:pt idx="9">
                  <c:v>Capital Markets</c:v>
                </c:pt>
                <c:pt idx="10">
                  <c:v>Healthcare Services</c:v>
                </c:pt>
                <c:pt idx="11">
                  <c:v>IT - Software</c:v>
                </c:pt>
                <c:pt idx="12">
                  <c:v>Banks</c:v>
                </c:pt>
                <c:pt idx="13">
                  <c:v>Beverages</c:v>
                </c:pt>
                <c:pt idx="14">
                  <c:v>Construction</c:v>
                </c:pt>
                <c:pt idx="15">
                  <c:v>Agricultural Food &amp; other Products</c:v>
                </c:pt>
                <c:pt idx="16">
                  <c:v>Pharmaceuticals &amp; Biotechnology</c:v>
                </c:pt>
                <c:pt idx="17">
                  <c:v>Agricultural, Commercial &amp; Construction Vehicles</c:v>
                </c:pt>
                <c:pt idx="18">
                  <c:v>Realty</c:v>
                </c:pt>
                <c:pt idx="19">
                  <c:v>Commercial Services &amp; Supplies</c:v>
                </c:pt>
                <c:pt idx="20">
                  <c:v>IT - Services</c:v>
                </c:pt>
                <c:pt idx="21">
                  <c:v>Automobiles</c:v>
                </c:pt>
                <c:pt idx="22">
                  <c:v>Fertilizers &amp; Agrochemicals</c:v>
                </c:pt>
                <c:pt idx="23">
                  <c:v>Textiles &amp; Apparels</c:v>
                </c:pt>
                <c:pt idx="24">
                  <c:v>Transport Services</c:v>
                </c:pt>
                <c:pt idx="25">
                  <c:v>Cigarettes &amp; Tobacco Products</c:v>
                </c:pt>
                <c:pt idx="26">
                  <c:v>Diversified</c:v>
                </c:pt>
                <c:pt idx="27">
                  <c:v>Industrial Manufacturing</c:v>
                </c:pt>
                <c:pt idx="28">
                  <c:v>Petroleum Products</c:v>
                </c:pt>
                <c:pt idx="29">
                  <c:v>Gas</c:v>
                </c:pt>
                <c:pt idx="30">
                  <c:v>Personal Products</c:v>
                </c:pt>
              </c:strCache>
            </c:strRef>
          </c:cat>
          <c:val>
            <c:numRef>
              <c:f>'IDFC FCF'!$C$5</c:f>
              <c:numCache>
                <c:formatCode>General</c:formatCode>
                <c:ptCount val="1"/>
                <c:pt idx="0">
                  <c:v>0</c:v>
                </c:pt>
              </c:numCache>
            </c:numRef>
          </c:val>
          <c:extLst>
            <c:ext xmlns:c16="http://schemas.microsoft.com/office/drawing/2014/chart" uri="{C3380CC4-5D6E-409C-BE32-E72D297353CC}">
              <c16:uniqueId val="{00000001-9EE4-4B2F-B2FB-001A9407A2C5}"/>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808E-2"/>
          <c:w val="0.96726190476189999"/>
          <c:h val="0.71575371377546881"/>
        </c:manualLayout>
      </c:layout>
      <c:barChart>
        <c:barDir val="col"/>
        <c:grouping val="clustered"/>
        <c:varyColors val="0"/>
        <c:ser>
          <c:idx val="0"/>
          <c:order val="0"/>
          <c:tx>
            <c:strRef>
              <c:f>'IDFC IF'!$X$7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418-43C6-9B13-9F9B4F46A06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418-43C6-9B13-9F9B4F46A06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418-43C6-9B13-9F9B4F46A06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418-43C6-9B13-9F9B4F46A06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418-43C6-9B13-9F9B4F46A06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418-43C6-9B13-9F9B4F46A06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418-43C6-9B13-9F9B4F46A06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418-43C6-9B13-9F9B4F46A06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418-43C6-9B13-9F9B4F46A06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418-43C6-9B13-9F9B4F46A06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418-43C6-9B13-9F9B4F46A06F}"/>
                </c:ext>
              </c:extLst>
            </c:dLbl>
            <c:dLbl>
              <c:idx val="14"/>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0-A1BB-4553-A740-FB3509C9DB6B}"/>
                </c:ext>
              </c:extLst>
            </c:dLbl>
            <c:dLbl>
              <c:idx val="15"/>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1-A1BB-4553-A740-FB3509C9DB6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IF'!$W$8:$W$22</c:f>
              <c:strCache>
                <c:ptCount val="15"/>
                <c:pt idx="0">
                  <c:v>Construction</c:v>
                </c:pt>
                <c:pt idx="1">
                  <c:v>Cement &amp; Cement Products</c:v>
                </c:pt>
                <c:pt idx="2">
                  <c:v>Transport Services</c:v>
                </c:pt>
                <c:pt idx="3">
                  <c:v>Electrical Equipment</c:v>
                </c:pt>
                <c:pt idx="4">
                  <c:v>Industrial Products</c:v>
                </c:pt>
                <c:pt idx="5">
                  <c:v>Telecom - Services</c:v>
                </c:pt>
                <c:pt idx="6">
                  <c:v>Ferrous Metals</c:v>
                </c:pt>
                <c:pt idx="7">
                  <c:v>Gas</c:v>
                </c:pt>
                <c:pt idx="8">
                  <c:v>Aerospace &amp; Defense</c:v>
                </c:pt>
                <c:pt idx="9">
                  <c:v>Power</c:v>
                </c:pt>
                <c:pt idx="10">
                  <c:v>Transport Infrastructure</c:v>
                </c:pt>
                <c:pt idx="11">
                  <c:v>Realty</c:v>
                </c:pt>
                <c:pt idx="12">
                  <c:v>Non - Ferrous Metals</c:v>
                </c:pt>
                <c:pt idx="13">
                  <c:v>Petroleum Products</c:v>
                </c:pt>
                <c:pt idx="14">
                  <c:v>Paper, Forest &amp; Jute Products</c:v>
                </c:pt>
              </c:strCache>
            </c:strRef>
          </c:cat>
          <c:val>
            <c:numRef>
              <c:f>'IDFC IF'!$X$8:$X$22</c:f>
              <c:numCache>
                <c:formatCode>0.00%</c:formatCode>
                <c:ptCount val="15"/>
                <c:pt idx="0">
                  <c:v>0.27098699999999998</c:v>
                </c:pt>
                <c:pt idx="1">
                  <c:v>0.17256100000000002</c:v>
                </c:pt>
                <c:pt idx="2">
                  <c:v>0.10506600000000001</c:v>
                </c:pt>
                <c:pt idx="3">
                  <c:v>7.874600000000001E-2</c:v>
                </c:pt>
                <c:pt idx="4">
                  <c:v>5.7546E-2</c:v>
                </c:pt>
                <c:pt idx="5">
                  <c:v>5.4378999999999997E-2</c:v>
                </c:pt>
                <c:pt idx="6">
                  <c:v>5.2324999999999997E-2</c:v>
                </c:pt>
                <c:pt idx="7">
                  <c:v>5.1096000000000003E-2</c:v>
                </c:pt>
                <c:pt idx="8">
                  <c:v>4.2215999999999997E-2</c:v>
                </c:pt>
                <c:pt idx="9">
                  <c:v>3.4583000000000003E-2</c:v>
                </c:pt>
                <c:pt idx="10">
                  <c:v>3.1877999999999997E-2</c:v>
                </c:pt>
                <c:pt idx="11">
                  <c:v>1.1483E-2</c:v>
                </c:pt>
                <c:pt idx="12">
                  <c:v>1.0585000000000001E-2</c:v>
                </c:pt>
                <c:pt idx="13">
                  <c:v>9.3229999999999997E-3</c:v>
                </c:pt>
                <c:pt idx="14">
                  <c:v>7.6689999999999996E-3</c:v>
                </c:pt>
              </c:numCache>
            </c:numRef>
          </c:val>
          <c:extLst>
            <c:ext xmlns:c16="http://schemas.microsoft.com/office/drawing/2014/chart" uri="{C3380CC4-5D6E-409C-BE32-E72D297353CC}">
              <c16:uniqueId val="{0000000D-5418-43C6-9B13-9F9B4F46A06F}"/>
            </c:ext>
          </c:extLst>
        </c:ser>
        <c:dLbls>
          <c:showLegendKey val="0"/>
          <c:showVal val="0"/>
          <c:showCatName val="0"/>
          <c:showSerName val="0"/>
          <c:showPercent val="0"/>
          <c:showBubbleSize val="0"/>
        </c:dLbls>
        <c:gapWidth val="150"/>
        <c:axId val="155862528"/>
        <c:axId val="155015360"/>
      </c:barChart>
      <c:catAx>
        <c:axId val="15586252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5360"/>
        <c:crosses val="autoZero"/>
        <c:auto val="1"/>
        <c:lblAlgn val="ctr"/>
        <c:lblOffset val="100"/>
        <c:tickLblSkip val="1"/>
        <c:noMultiLvlLbl val="0"/>
      </c:catAx>
      <c:valAx>
        <c:axId val="1550153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252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33" l="0.70000000000000062" r="0.70000000000000062" t="0.75000000000000533"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'IDFC TLF'!$X$7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C4A-4AF9-822B-F70F8680932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4A-4AF9-822B-F70F8680932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C4A-4AF9-822B-F70F8680932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C4A-4AF9-822B-F70F8680932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C4A-4AF9-822B-F70F8680932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C4A-4AF9-822B-F70F8680932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C4A-4AF9-822B-F70F8680932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C4A-4AF9-822B-F70F8680932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C4A-4AF9-822B-F70F8680932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C4A-4AF9-822B-F70F8680932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C4A-4AF9-822B-F70F8680932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C4A-4AF9-822B-F70F8680932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C4A-4AF9-822B-F70F8680932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C4A-4AF9-822B-F70F8680932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5C4A-4AF9-822B-F70F8680932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C4A-4AF9-822B-F70F8680932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5C4A-4AF9-822B-F70F8680932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5C4A-4AF9-822B-F70F8680932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TLF'!$W$8:$W$13</c:f>
              <c:strCache>
                <c:ptCount val="6"/>
                <c:pt idx="0">
                  <c:v>Automobiles</c:v>
                </c:pt>
                <c:pt idx="1">
                  <c:v>Auto Components</c:v>
                </c:pt>
                <c:pt idx="2">
                  <c:v>Transport Services</c:v>
                </c:pt>
                <c:pt idx="3">
                  <c:v>Agricultural, Commercial &amp; Construction Vehicles</c:v>
                </c:pt>
                <c:pt idx="4">
                  <c:v>Transport Infrastructure</c:v>
                </c:pt>
                <c:pt idx="5">
                  <c:v>Industrial Products</c:v>
                </c:pt>
              </c:strCache>
            </c:strRef>
          </c:cat>
          <c:val>
            <c:numRef>
              <c:f>'IDFC TLF'!$X$8:$X$13</c:f>
              <c:numCache>
                <c:formatCode>0.00%</c:formatCode>
                <c:ptCount val="6"/>
                <c:pt idx="0">
                  <c:v>0.248921</c:v>
                </c:pt>
                <c:pt idx="1">
                  <c:v>0.20726499999999998</c:v>
                </c:pt>
                <c:pt idx="2">
                  <c:v>8.9109999999999995E-2</c:v>
                </c:pt>
                <c:pt idx="3">
                  <c:v>4.9014000000000002E-2</c:v>
                </c:pt>
                <c:pt idx="4">
                  <c:v>3.2985E-2</c:v>
                </c:pt>
                <c:pt idx="5">
                  <c:v>1.7736999999999999E-2</c:v>
                </c:pt>
              </c:numCache>
            </c:numRef>
          </c:val>
          <c:extLst>
            <c:ext xmlns:c16="http://schemas.microsoft.com/office/drawing/2014/chart" uri="{C3380CC4-5D6E-409C-BE32-E72D297353CC}">
              <c16:uniqueId val="{00000012-5C4A-4AF9-822B-F70F8680932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6666666666666672E-2"/>
          <c:y val="1.8625275427574729E-2"/>
          <c:w val="0.9674074074074076"/>
          <c:h val="0.70582053707929593"/>
        </c:manualLayout>
      </c:layout>
      <c:barChart>
        <c:barDir val="col"/>
        <c:grouping val="clustered"/>
        <c:varyColors val="0"/>
        <c:ser>
          <c:idx val="0"/>
          <c:order val="0"/>
          <c:tx>
            <c:strRef>
              <c:f>'IDFC-TAF'!$X$7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24F-4540-9025-B40643C5A88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4F-4540-9025-B40643C5A88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4F-4540-9025-B40643C5A88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24F-4540-9025-B40643C5A88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24F-4540-9025-B40643C5A88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24F-4540-9025-B40643C5A88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24F-4540-9025-B40643C5A88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24F-4540-9025-B40643C5A88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24F-4540-9025-B40643C5A88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24F-4540-9025-B40643C5A88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24F-4540-9025-B40643C5A88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24F-4540-9025-B40643C5A88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24F-4540-9025-B40643C5A88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24F-4540-9025-B40643C5A88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'IDFC-TAF'!$W$8:$W$29</c:f>
              <c:strCache>
                <c:ptCount val="22"/>
                <c:pt idx="0">
                  <c:v>Banks</c:v>
                </c:pt>
                <c:pt idx="1">
                  <c:v>IT - Software</c:v>
                </c:pt>
                <c:pt idx="2">
                  <c:v>Pharmaceuticals &amp; Biotechnology</c:v>
                </c:pt>
                <c:pt idx="3">
                  <c:v>Automobiles</c:v>
                </c:pt>
                <c:pt idx="4">
                  <c:v>Finance</c:v>
                </c:pt>
                <c:pt idx="5">
                  <c:v>Electrical Equipment</c:v>
                </c:pt>
                <c:pt idx="6">
                  <c:v>Cement &amp; Cement Products</c:v>
                </c:pt>
                <c:pt idx="7">
                  <c:v>Auto Components</c:v>
                </c:pt>
                <c:pt idx="8">
                  <c:v>Petroleum Products</c:v>
                </c:pt>
                <c:pt idx="9">
                  <c:v>Ferrous Metals</c:v>
                </c:pt>
                <c:pt idx="10">
                  <c:v>Chemicals &amp; Petrochemicals</c:v>
                </c:pt>
                <c:pt idx="11">
                  <c:v>Industrial Products</c:v>
                </c:pt>
                <c:pt idx="12">
                  <c:v>Construction</c:v>
                </c:pt>
                <c:pt idx="13">
                  <c:v>Leisure Services</c:v>
                </c:pt>
                <c:pt idx="14">
                  <c:v>Telecom - Services</c:v>
                </c:pt>
                <c:pt idx="15">
                  <c:v>Consumer Durables</c:v>
                </c:pt>
                <c:pt idx="16">
                  <c:v>Transport Services</c:v>
                </c:pt>
                <c:pt idx="17">
                  <c:v>Beverages</c:v>
                </c:pt>
                <c:pt idx="18">
                  <c:v>Power</c:v>
                </c:pt>
                <c:pt idx="19">
                  <c:v>Agricultural Food &amp; other Products</c:v>
                </c:pt>
                <c:pt idx="20">
                  <c:v>Insurance</c:v>
                </c:pt>
                <c:pt idx="21">
                  <c:v>Diversified FMCG</c:v>
                </c:pt>
              </c:strCache>
            </c:strRef>
          </c:cat>
          <c:val>
            <c:numRef>
              <c:f>'IDFC-TAF'!$X$8:$X$29</c:f>
              <c:numCache>
                <c:formatCode>0.00%</c:formatCode>
                <c:ptCount val="22"/>
                <c:pt idx="0">
                  <c:v>0.22892999999999999</c:v>
                </c:pt>
                <c:pt idx="1">
                  <c:v>9.4253000000000003E-2</c:v>
                </c:pt>
                <c:pt idx="2">
                  <c:v>6.3648999999999997E-2</c:v>
                </c:pt>
                <c:pt idx="3">
                  <c:v>4.9877000000000005E-2</c:v>
                </c:pt>
                <c:pt idx="4">
                  <c:v>4.5899999999999996E-2</c:v>
                </c:pt>
                <c:pt idx="5">
                  <c:v>4.2862999999999998E-2</c:v>
                </c:pt>
                <c:pt idx="6">
                  <c:v>3.9182000000000002E-2</c:v>
                </c:pt>
                <c:pt idx="7">
                  <c:v>3.8580999999999997E-2</c:v>
                </c:pt>
                <c:pt idx="8">
                  <c:v>3.7962000000000003E-2</c:v>
                </c:pt>
                <c:pt idx="9">
                  <c:v>3.6615000000000002E-2</c:v>
                </c:pt>
                <c:pt idx="10">
                  <c:v>3.5526000000000002E-2</c:v>
                </c:pt>
                <c:pt idx="11">
                  <c:v>3.5242999999999997E-2</c:v>
                </c:pt>
                <c:pt idx="12">
                  <c:v>3.1801999999999997E-2</c:v>
                </c:pt>
                <c:pt idx="13">
                  <c:v>2.8735999999999998E-2</c:v>
                </c:pt>
                <c:pt idx="14">
                  <c:v>2.8032000000000001E-2</c:v>
                </c:pt>
                <c:pt idx="15">
                  <c:v>2.0601000000000001E-2</c:v>
                </c:pt>
                <c:pt idx="16">
                  <c:v>1.9838999999999999E-2</c:v>
                </c:pt>
                <c:pt idx="17">
                  <c:v>1.8527999999999999E-2</c:v>
                </c:pt>
                <c:pt idx="18">
                  <c:v>1.3644E-2</c:v>
                </c:pt>
                <c:pt idx="19">
                  <c:v>1.2383E-2</c:v>
                </c:pt>
                <c:pt idx="20">
                  <c:v>6.3889999999999997E-3</c:v>
                </c:pt>
                <c:pt idx="21">
                  <c:v>2.4710000000000001E-3</c:v>
                </c:pt>
              </c:numCache>
            </c:numRef>
          </c:val>
          <c:extLst>
            <c:ext xmlns:c16="http://schemas.microsoft.com/office/drawing/2014/chart" uri="{C3380CC4-5D6E-409C-BE32-E72D297353CC}">
              <c16:uniqueId val="{0000000E-924F-4540-9025-B40643C5A880}"/>
            </c:ext>
          </c:extLst>
        </c:ser>
        <c:dLbls>
          <c:showLegendKey val="0"/>
          <c:showVal val="0"/>
          <c:showCatName val="0"/>
          <c:showSerName val="0"/>
          <c:showPercent val="0"/>
          <c:showBubbleSize val="0"/>
        </c:dLbls>
        <c:gapWidth val="150"/>
        <c:axId val="155864576"/>
        <c:axId val="155951680"/>
      </c:barChart>
      <c:catAx>
        <c:axId val="155864576"/>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1680"/>
        <c:crosses val="autoZero"/>
        <c:auto val="1"/>
        <c:lblAlgn val="ctr"/>
        <c:lblOffset val="100"/>
        <c:tickLblSkip val="1"/>
        <c:noMultiLvlLbl val="0"/>
      </c:catAx>
      <c:valAx>
        <c:axId val="1559516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4576"/>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0"/>
    <c:plotArea>
      <c:layout/>
      <c:doughnutChart>
        <c:varyColors val="1"/>
        <c:ser>
          <c:idx val="0"/>
          <c:order val="0"/>
          <c:dLbls>
            <c:dLbl>
              <c:idx val="0"/>
              <c:layout>
                <c:manualLayout>
                  <c:x val="0.14969184905698446"/>
                  <c:y val="0.1648510168243358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B244-4EFC-B1E0-91C7B27C126D}"/>
                </c:ext>
              </c:extLst>
            </c:dLbl>
            <c:dLbl>
              <c:idx val="1"/>
              <c:layout>
                <c:manualLayout>
                  <c:x val="-0.11810624937705572"/>
                  <c:y val="-8.45068121671513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244-4EFC-B1E0-91C7B27C126D}"/>
                </c:ext>
              </c:extLst>
            </c:dLbl>
            <c:spPr>
              <a:noFill/>
              <a:ln>
                <a:noFill/>
              </a:ln>
              <a:effectLst/>
            </c:spPr>
            <c:txPr>
              <a:bodyPr/>
              <a:lstStyle/>
              <a:p>
                <a:pPr>
                  <a:defRPr lang="en-IN"/>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'IDFC-AF'!$R$8:$R$9</c:f>
              <c:strCache>
                <c:ptCount val="2"/>
                <c:pt idx="0">
                  <c:v>Total Hedged Equity</c:v>
                </c:pt>
                <c:pt idx="1">
                  <c:v>Total Debt</c:v>
                </c:pt>
              </c:strCache>
            </c:strRef>
          </c:cat>
          <c:val>
            <c:numRef>
              <c:f>'IDFC-AF'!$S$8:$S$9</c:f>
              <c:numCache>
                <c:formatCode>0.00%</c:formatCode>
                <c:ptCount val="2"/>
                <c:pt idx="0">
                  <c:v>0.66695700000000002</c:v>
                </c:pt>
                <c:pt idx="1">
                  <c:v>0.33304299999999998</c:v>
                </c:pt>
              </c:numCache>
            </c:numRef>
          </c:val>
          <c:extLst>
            <c:ext xmlns:c16="http://schemas.microsoft.com/office/drawing/2014/chart" uri="{C3380CC4-5D6E-409C-BE32-E72D297353CC}">
              <c16:uniqueId val="{00000002-B244-4EFC-B1E0-91C7B27C126D}"/>
            </c:ext>
          </c:extLst>
        </c:ser>
        <c:dLbls>
          <c:showLegendKey val="0"/>
          <c:showVal val="0"/>
          <c:showCatName val="0"/>
          <c:showSerName val="0"/>
          <c:showPercent val="0"/>
          <c:showBubbleSize val="0"/>
          <c:showLeaderLines val="0"/>
        </c:dLbls>
        <c:firstSliceAng val="0"/>
        <c:holeSize val="50"/>
      </c:doughnut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7A7-4657-9CAC-8AA138010BE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A7-4657-9CAC-8AA138010BE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7A7-4657-9CAC-8AA138010BE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7A7-4657-9CAC-8AA138010BE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7A7-4657-9CAC-8AA138010BE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7A7-4657-9CAC-8AA138010BE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7A7-4657-9CAC-8AA138010BE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7A7-4657-9CAC-8AA138010BE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7A7-4657-9CAC-8AA138010BE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7A7-4657-9CAC-8AA138010BE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7A7-4657-9CAC-8AA138010BE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7A7-4657-9CAC-8AA138010BE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7A7-4657-9CAC-8AA138010BE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7A7-4657-9CAC-8AA138010BE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7A7-4657-9CAC-8AA138010BE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7A7-4657-9CAC-8AA138010BE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7A7-4657-9CAC-8AA138010BE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7A7-4657-9CAC-8AA138010BE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BAF'!$W$8:$W$23</c:f>
              <c:strCache>
                <c:ptCount val="16"/>
                <c:pt idx="0">
                  <c:v>Banks</c:v>
                </c:pt>
                <c:pt idx="1">
                  <c:v>IT - Software</c:v>
                </c:pt>
                <c:pt idx="2">
                  <c:v>Finance</c:v>
                </c:pt>
                <c:pt idx="3">
                  <c:v>Automobiles</c:v>
                </c:pt>
                <c:pt idx="4">
                  <c:v>Auto Components</c:v>
                </c:pt>
                <c:pt idx="5">
                  <c:v>Chemicals &amp; Petrochemicals</c:v>
                </c:pt>
                <c:pt idx="6">
                  <c:v>Retailing</c:v>
                </c:pt>
                <c:pt idx="7">
                  <c:v>Telecom - Services</c:v>
                </c:pt>
                <c:pt idx="8">
                  <c:v>Petroleum Products</c:v>
                </c:pt>
                <c:pt idx="9">
                  <c:v>Industrial Products</c:v>
                </c:pt>
                <c:pt idx="10">
                  <c:v>Beverages</c:v>
                </c:pt>
                <c:pt idx="11">
                  <c:v>Consumer Durables</c:v>
                </c:pt>
                <c:pt idx="12">
                  <c:v>Pharmaceuticals &amp; Biotechnology</c:v>
                </c:pt>
                <c:pt idx="13">
                  <c:v>Diversified FMCG</c:v>
                </c:pt>
                <c:pt idx="14">
                  <c:v>Healthcare Services</c:v>
                </c:pt>
                <c:pt idx="15">
                  <c:v>Cement &amp; Cement Products</c:v>
                </c:pt>
              </c:strCache>
            </c:strRef>
          </c:cat>
          <c:val>
            <c:numRef>
              <c:f>'IDFC BAF'!$X$8:$X$23</c:f>
              <c:numCache>
                <c:formatCode>0.00%</c:formatCode>
                <c:ptCount val="16"/>
                <c:pt idx="0">
                  <c:v>0.13033100000000003</c:v>
                </c:pt>
                <c:pt idx="1">
                  <c:v>6.7257999999999998E-2</c:v>
                </c:pt>
                <c:pt idx="2">
                  <c:v>5.4044999999999996E-2</c:v>
                </c:pt>
                <c:pt idx="3">
                  <c:v>4.0668000000000003E-2</c:v>
                </c:pt>
                <c:pt idx="4">
                  <c:v>2.6981999999999999E-2</c:v>
                </c:pt>
                <c:pt idx="5">
                  <c:v>2.6811999999999999E-2</c:v>
                </c:pt>
                <c:pt idx="6">
                  <c:v>2.4398E-2</c:v>
                </c:pt>
                <c:pt idx="7">
                  <c:v>2.1013999999999998E-2</c:v>
                </c:pt>
                <c:pt idx="8">
                  <c:v>1.4897000000000001E-2</c:v>
                </c:pt>
                <c:pt idx="9">
                  <c:v>1.3143999999999999E-2</c:v>
                </c:pt>
                <c:pt idx="10">
                  <c:v>1.3042000000000002E-2</c:v>
                </c:pt>
                <c:pt idx="11">
                  <c:v>1.2867E-2</c:v>
                </c:pt>
                <c:pt idx="12">
                  <c:v>1.2658999999999998E-2</c:v>
                </c:pt>
                <c:pt idx="13">
                  <c:v>1.1859000000000001E-2</c:v>
                </c:pt>
                <c:pt idx="14">
                  <c:v>1.0701E-2</c:v>
                </c:pt>
                <c:pt idx="15">
                  <c:v>1.0640999999999998E-2</c:v>
                </c:pt>
              </c:numCache>
            </c:numRef>
          </c:val>
          <c:extLst>
            <c:ext xmlns:c16="http://schemas.microsoft.com/office/drawing/2014/chart" uri="{C3380CC4-5D6E-409C-BE32-E72D297353CC}">
              <c16:uniqueId val="{00000012-77A7-4657-9CAC-8AA138010BEC}"/>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B30-4BB8-A731-55CC10FB31C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B30-4BB8-A731-55CC10FB31C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B30-4BB8-A731-55CC10FB31C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30-4BB8-A731-55CC10FB31C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B30-4BB8-A731-55CC10FB31C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B30-4BB8-A731-55CC10FB31C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B30-4BB8-A731-55CC10FB31C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B30-4BB8-A731-55CC10FB31C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B30-4BB8-A731-55CC10FB31C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B30-4BB8-A731-55CC10FB31C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B30-4BB8-A731-55CC10FB31C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B30-4BB8-A731-55CC10FB31C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B30-4BB8-A731-55CC10FB31C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B30-4BB8-A731-55CC10FB31C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B30-4BB8-A731-55CC10FB31C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B30-4BB8-A731-55CC10FB31C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B30-4BB8-A731-55CC10FB31C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B30-4BB8-A731-55CC10FB31C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12-4B30-4BB8-A731-55CC10FB31C7}"/>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General"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060-4935-B1CA-438F3B61E75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060-4935-B1CA-438F3B61E75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060-4935-B1CA-438F3B61E75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060-4935-B1CA-438F3B61E75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060-4935-B1CA-438F3B61E75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060-4935-B1CA-438F3B61E75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060-4935-B1CA-438F3B61E75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060-4935-B1CA-438F3B61E75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060-4935-B1CA-438F3B61E75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060-4935-B1CA-438F3B61E75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060-4935-B1CA-438F3B61E75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060-4935-B1CA-438F3B61E75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060-4935-B1CA-438F3B61E75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060-4935-B1CA-438F3B61E75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060-4935-B1CA-438F3B61E75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60-4935-B1CA-438F3B61E75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060-4935-B1CA-438F3B61E75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060-4935-B1CA-438F3B61E75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BAF'!$W$8:$W$24</c:f>
              <c:strCache>
                <c:ptCount val="17"/>
                <c:pt idx="0">
                  <c:v>Banks</c:v>
                </c:pt>
                <c:pt idx="1">
                  <c:v>IT - Software</c:v>
                </c:pt>
                <c:pt idx="2">
                  <c:v>Finance</c:v>
                </c:pt>
                <c:pt idx="3">
                  <c:v>Automobiles</c:v>
                </c:pt>
                <c:pt idx="4">
                  <c:v>Auto Components</c:v>
                </c:pt>
                <c:pt idx="5">
                  <c:v>Chemicals &amp; Petrochemicals</c:v>
                </c:pt>
                <c:pt idx="6">
                  <c:v>Retailing</c:v>
                </c:pt>
                <c:pt idx="7">
                  <c:v>Telecom - Services</c:v>
                </c:pt>
                <c:pt idx="8">
                  <c:v>Petroleum Products</c:v>
                </c:pt>
                <c:pt idx="9">
                  <c:v>Industrial Products</c:v>
                </c:pt>
                <c:pt idx="10">
                  <c:v>Beverages</c:v>
                </c:pt>
                <c:pt idx="11">
                  <c:v>Consumer Durables</c:v>
                </c:pt>
                <c:pt idx="12">
                  <c:v>Pharmaceuticals &amp; Biotechnology</c:v>
                </c:pt>
                <c:pt idx="13">
                  <c:v>Diversified FMCG</c:v>
                </c:pt>
                <c:pt idx="14">
                  <c:v>Healthcare Services</c:v>
                </c:pt>
                <c:pt idx="15">
                  <c:v>Cement &amp; Cement Products</c:v>
                </c:pt>
                <c:pt idx="16">
                  <c:v>Food Products</c:v>
                </c:pt>
              </c:strCache>
            </c:strRef>
          </c:cat>
          <c:val>
            <c:numRef>
              <c:f>'IDFC BAF'!$X$8:$X$24</c:f>
              <c:numCache>
                <c:formatCode>0.00%</c:formatCode>
                <c:ptCount val="17"/>
                <c:pt idx="0">
                  <c:v>0.13033100000000003</c:v>
                </c:pt>
                <c:pt idx="1">
                  <c:v>6.7257999999999998E-2</c:v>
                </c:pt>
                <c:pt idx="2">
                  <c:v>5.4044999999999996E-2</c:v>
                </c:pt>
                <c:pt idx="3">
                  <c:v>4.0668000000000003E-2</c:v>
                </c:pt>
                <c:pt idx="4">
                  <c:v>2.6981999999999999E-2</c:v>
                </c:pt>
                <c:pt idx="5">
                  <c:v>2.6811999999999999E-2</c:v>
                </c:pt>
                <c:pt idx="6">
                  <c:v>2.4398E-2</c:v>
                </c:pt>
                <c:pt idx="7">
                  <c:v>2.1013999999999998E-2</c:v>
                </c:pt>
                <c:pt idx="8">
                  <c:v>1.4897000000000001E-2</c:v>
                </c:pt>
                <c:pt idx="9">
                  <c:v>1.3143999999999999E-2</c:v>
                </c:pt>
                <c:pt idx="10">
                  <c:v>1.3042000000000002E-2</c:v>
                </c:pt>
                <c:pt idx="11">
                  <c:v>1.2867E-2</c:v>
                </c:pt>
                <c:pt idx="12">
                  <c:v>1.2658999999999998E-2</c:v>
                </c:pt>
                <c:pt idx="13">
                  <c:v>1.1859000000000001E-2</c:v>
                </c:pt>
                <c:pt idx="14">
                  <c:v>1.0701E-2</c:v>
                </c:pt>
                <c:pt idx="15">
                  <c:v>1.0640999999999998E-2</c:v>
                </c:pt>
                <c:pt idx="16">
                  <c:v>5.3140000000000001E-3</c:v>
                </c:pt>
              </c:numCache>
            </c:numRef>
          </c:val>
          <c:extLst>
            <c:ext xmlns:c16="http://schemas.microsoft.com/office/drawing/2014/chart" uri="{C3380CC4-5D6E-409C-BE32-E72D297353CC}">
              <c16:uniqueId val="{00000012-E060-4935-B1CA-438F3B61E755}"/>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3.3072709179262964E-2"/>
          <c:y val="4.324996222013635E-2"/>
          <c:w val="0.96692729082073703"/>
          <c:h val="0.56956326477618358"/>
        </c:manualLayout>
      </c:layout>
      <c:barChart>
        <c:barDir val="col"/>
        <c:grouping val="clustered"/>
        <c:varyColors val="0"/>
        <c:ser>
          <c:idx val="0"/>
          <c:order val="0"/>
          <c:tx>
            <c:strRef>
              <c:f>'IDFC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18-4496-90B5-4B5D97A0A1BD}"/>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718-4496-90B5-4B5D97A0A1BD}"/>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718-4496-90B5-4B5D97A0A1BD}"/>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718-4496-90B5-4B5D97A0A1BD}"/>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718-4496-90B5-4B5D97A0A1BD}"/>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718-4496-90B5-4B5D97A0A1BD}"/>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718-4496-90B5-4B5D97A0A1BD}"/>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718-4496-90B5-4B5D97A0A1BD}"/>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718-4496-90B5-4B5D97A0A1BD}"/>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718-4496-90B5-4B5D97A0A1BD}"/>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718-4496-90B5-4B5D97A0A1BD}"/>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718-4496-90B5-4B5D97A0A1BD}"/>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718-4496-90B5-4B5D97A0A1BD}"/>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718-4496-90B5-4B5D97A0A1BD}"/>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718-4496-90B5-4B5D97A0A1BD}"/>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2718-4496-90B5-4B5D97A0A1BD}"/>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2718-4496-90B5-4B5D97A0A1BD}"/>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2718-4496-90B5-4B5D97A0A1BD}"/>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BAF'!$W$8:$W$31</c:f>
              <c:strCache>
                <c:ptCount val="24"/>
                <c:pt idx="0">
                  <c:v>Banks</c:v>
                </c:pt>
                <c:pt idx="1">
                  <c:v>IT - Software</c:v>
                </c:pt>
                <c:pt idx="2">
                  <c:v>Finance</c:v>
                </c:pt>
                <c:pt idx="3">
                  <c:v>Automobiles</c:v>
                </c:pt>
                <c:pt idx="4">
                  <c:v>Auto Components</c:v>
                </c:pt>
                <c:pt idx="5">
                  <c:v>Chemicals &amp; Petrochemicals</c:v>
                </c:pt>
                <c:pt idx="6">
                  <c:v>Retailing</c:v>
                </c:pt>
                <c:pt idx="7">
                  <c:v>Telecom - Services</c:v>
                </c:pt>
                <c:pt idx="8">
                  <c:v>Petroleum Products</c:v>
                </c:pt>
                <c:pt idx="9">
                  <c:v>Industrial Products</c:v>
                </c:pt>
                <c:pt idx="10">
                  <c:v>Beverages</c:v>
                </c:pt>
                <c:pt idx="11">
                  <c:v>Consumer Durables</c:v>
                </c:pt>
                <c:pt idx="12">
                  <c:v>Pharmaceuticals &amp; Biotechnology</c:v>
                </c:pt>
                <c:pt idx="13">
                  <c:v>Diversified FMCG</c:v>
                </c:pt>
                <c:pt idx="14">
                  <c:v>Healthcare Services</c:v>
                </c:pt>
                <c:pt idx="15">
                  <c:v>Cement &amp; Cement Products</c:v>
                </c:pt>
                <c:pt idx="16">
                  <c:v>Food Products</c:v>
                </c:pt>
                <c:pt idx="17">
                  <c:v>Paper, Forest &amp; Jute Products</c:v>
                </c:pt>
                <c:pt idx="18">
                  <c:v>Fertilizers &amp; Agrochemicals</c:v>
                </c:pt>
                <c:pt idx="19">
                  <c:v>Electrical Equipment</c:v>
                </c:pt>
                <c:pt idx="20">
                  <c:v>Textiles &amp; Apparels</c:v>
                </c:pt>
                <c:pt idx="21">
                  <c:v>Aerospace &amp; Defense</c:v>
                </c:pt>
                <c:pt idx="22">
                  <c:v>Personal Products</c:v>
                </c:pt>
                <c:pt idx="23">
                  <c:v>Realty</c:v>
                </c:pt>
              </c:strCache>
            </c:strRef>
          </c:cat>
          <c:val>
            <c:numRef>
              <c:f>'IDFC BAF'!$X$8:$X$31</c:f>
              <c:numCache>
                <c:formatCode>0.00%</c:formatCode>
                <c:ptCount val="24"/>
                <c:pt idx="0">
                  <c:v>0.13033100000000003</c:v>
                </c:pt>
                <c:pt idx="1">
                  <c:v>6.7257999999999998E-2</c:v>
                </c:pt>
                <c:pt idx="2">
                  <c:v>5.4044999999999996E-2</c:v>
                </c:pt>
                <c:pt idx="3">
                  <c:v>4.0668000000000003E-2</c:v>
                </c:pt>
                <c:pt idx="4">
                  <c:v>2.6981999999999999E-2</c:v>
                </c:pt>
                <c:pt idx="5">
                  <c:v>2.6811999999999999E-2</c:v>
                </c:pt>
                <c:pt idx="6">
                  <c:v>2.4398E-2</c:v>
                </c:pt>
                <c:pt idx="7">
                  <c:v>2.1013999999999998E-2</c:v>
                </c:pt>
                <c:pt idx="8">
                  <c:v>1.4897000000000001E-2</c:v>
                </c:pt>
                <c:pt idx="9">
                  <c:v>1.3143999999999999E-2</c:v>
                </c:pt>
                <c:pt idx="10">
                  <c:v>1.3042000000000002E-2</c:v>
                </c:pt>
                <c:pt idx="11">
                  <c:v>1.2867E-2</c:v>
                </c:pt>
                <c:pt idx="12">
                  <c:v>1.2658999999999998E-2</c:v>
                </c:pt>
                <c:pt idx="13">
                  <c:v>1.1859000000000001E-2</c:v>
                </c:pt>
                <c:pt idx="14">
                  <c:v>1.0701E-2</c:v>
                </c:pt>
                <c:pt idx="15">
                  <c:v>1.0640999999999998E-2</c:v>
                </c:pt>
                <c:pt idx="16">
                  <c:v>5.3140000000000001E-3</c:v>
                </c:pt>
                <c:pt idx="17">
                  <c:v>4.9979999999999998E-3</c:v>
                </c:pt>
                <c:pt idx="18">
                  <c:v>4.7689999999999998E-3</c:v>
                </c:pt>
                <c:pt idx="19">
                  <c:v>4.2160000000000001E-3</c:v>
                </c:pt>
                <c:pt idx="20">
                  <c:v>2.418E-3</c:v>
                </c:pt>
                <c:pt idx="21">
                  <c:v>1.083E-3</c:v>
                </c:pt>
                <c:pt idx="22">
                  <c:v>1.4400000000000003E-4</c:v>
                </c:pt>
                <c:pt idx="23">
                  <c:v>-4.0000000000000972E-6</c:v>
                </c:pt>
              </c:numCache>
            </c:numRef>
          </c:val>
          <c:extLst>
            <c:ext xmlns:c16="http://schemas.microsoft.com/office/drawing/2014/chart" uri="{C3380CC4-5D6E-409C-BE32-E72D297353CC}">
              <c16:uniqueId val="{00000012-2718-4496-90B5-4B5D97A0A1BD}"/>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0878247873384791"/>
          <c:y val="0.30370043744531933"/>
          <c:w val="0.78272608624251272"/>
          <c:h val="0.53333319409344349"/>
        </c:manualLayout>
      </c:layout>
      <c:pie3DChart>
        <c:varyColors val="1"/>
        <c:ser>
          <c:idx val="0"/>
          <c:order val="0"/>
          <c:dLbls>
            <c:dLbl>
              <c:idx val="0"/>
              <c:layout>
                <c:manualLayout>
                  <c:x val="0.33914343096303429"/>
                  <c:y val="-0.11909274615009408"/>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0-4210-94B1-4C182B77D55C}"/>
                </c:ext>
              </c:extLst>
            </c:dLbl>
            <c:dLbl>
              <c:idx val="1"/>
              <c:delete val="1"/>
              <c:extLst>
                <c:ext xmlns:c15="http://schemas.microsoft.com/office/drawing/2012/chart" uri="{CE6537A1-D6FC-4f65-9D91-7224C49458BB}"/>
                <c:ext xmlns:c16="http://schemas.microsoft.com/office/drawing/2014/chart" uri="{C3380CC4-5D6E-409C-BE32-E72D297353CC}">
                  <c16:uniqueId val="{00000001-0B30-4210-94B1-4C182B77D55C}"/>
                </c:ext>
              </c:extLst>
            </c:dLbl>
            <c:dLbl>
              <c:idx val="2"/>
              <c:delete val="1"/>
              <c:extLst>
                <c:ext xmlns:c15="http://schemas.microsoft.com/office/drawing/2012/chart" uri="{CE6537A1-D6FC-4f65-9D91-7224C49458BB}"/>
                <c:ext xmlns:c16="http://schemas.microsoft.com/office/drawing/2014/chart" uri="{C3380CC4-5D6E-409C-BE32-E72D297353CC}">
                  <c16:uniqueId val="{00000002-0B30-4210-94B1-4C182B77D55C}"/>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'IDFC-ESF'!$G$8:$G$10</c:f>
              <c:strCache>
                <c:ptCount val="3"/>
                <c:pt idx="0">
                  <c:v>AAA Equivalent</c:v>
                </c:pt>
                <c:pt idx="1">
                  <c:v>AA+ Equivalent</c:v>
                </c:pt>
                <c:pt idx="2">
                  <c:v>AA Equivalent</c:v>
                </c:pt>
              </c:strCache>
            </c:strRef>
          </c:cat>
          <c:val>
            <c:numRef>
              <c:f>'IDFC-ESF'!$I$8:$I$10</c:f>
              <c:numCache>
                <c:formatCode>0.00%</c:formatCode>
                <c:ptCount val="3"/>
                <c:pt idx="0">
                  <c:v>1</c:v>
                </c:pt>
                <c:pt idx="1">
                  <c:v>0</c:v>
                </c:pt>
                <c:pt idx="2">
                  <c:v>0</c:v>
                </c:pt>
              </c:numCache>
            </c:numRef>
          </c:val>
          <c:extLst>
            <c:ext xmlns:c16="http://schemas.microsoft.com/office/drawing/2014/chart" uri="{C3380CC4-5D6E-409C-BE32-E72D297353CC}">
              <c16:uniqueId val="{00000003-0B30-4210-94B1-4C182B77D55C}"/>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4.65424911654891E-2"/>
          <c:y val="0.23778485669752167"/>
          <c:w val="0.89502608808352679"/>
          <c:h val="0.61676865851891904"/>
        </c:manualLayout>
      </c:layout>
      <c:pie3DChart>
        <c:varyColors val="1"/>
        <c:ser>
          <c:idx val="0"/>
          <c:order val="0"/>
          <c:dLbls>
            <c:dLbl>
              <c:idx val="0"/>
              <c:layout>
                <c:manualLayout>
                  <c:x val="-0.1435856447625046"/>
                  <c:y val="-9.7672850156568375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5C0-483B-9ABC-50EE8AE61501}"/>
                </c:ext>
              </c:extLst>
            </c:dLbl>
            <c:dLbl>
              <c:idx val="1"/>
              <c:layout>
                <c:manualLayout>
                  <c:x val="-4.754717149328283E-2"/>
                  <c:y val="0.2043036151019862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C0-483B-9ABC-50EE8AE61501}"/>
                </c:ext>
              </c:extLst>
            </c:dLbl>
            <c:dLbl>
              <c:idx val="2"/>
              <c:layout>
                <c:manualLayout>
                  <c:x val="-0.57323623855693717"/>
                  <c:y val="8.7418233965898803E-2"/>
                </c:manualLayout>
              </c:layout>
              <c:tx>
                <c:rich>
                  <a:bodyPr/>
                  <a:lstStyle/>
                  <a:p>
                    <a:fld id="{E2A66104-B8CE-41D6-8538-7D8E7DA00363}" type="CATEGORYNAME">
                      <a:rPr lang="en-US"/>
                      <a:pPr/>
                      <a:t>[CATEGORY NAME]</a:t>
                    </a:fld>
                    <a:r>
                      <a:rPr lang="en-US" baseline="0"/>
                      <a:t>,   </a:t>
                    </a:r>
                    <a:fld id="{AF006CDE-8AC7-4C39-B116-9240B65485F6}"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layout>
                    <c:manualLayout>
                      <c:w val="0.18358125389025481"/>
                      <c:h val="0.15791311836581071"/>
                    </c:manualLayout>
                  </c15:layout>
                  <c15:dlblFieldTable/>
                  <c15:showDataLabelsRange val="0"/>
                </c:ext>
                <c:ext xmlns:c16="http://schemas.microsoft.com/office/drawing/2014/chart" uri="{C3380CC4-5D6E-409C-BE32-E72D297353CC}">
                  <c16:uniqueId val="{00000002-C5C0-483B-9ABC-50EE8AE61501}"/>
                </c:ext>
              </c:extLst>
            </c:dLbl>
            <c:dLbl>
              <c:idx val="3"/>
              <c:layout>
                <c:manualLayout>
                  <c:x val="9.1410786294494784E-2"/>
                  <c:y val="-0.12171039854395599"/>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C0-483B-9ABC-50EE8AE61501}"/>
                </c:ext>
              </c:extLst>
            </c:dLbl>
            <c:dLbl>
              <c:idx val="4"/>
              <c:layout>
                <c:manualLayout>
                  <c:x val="-0.19805803018542584"/>
                  <c:y val="4.7372064375197656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5C0-483B-9ABC-50EE8AE61501}"/>
                </c:ext>
              </c:extLst>
            </c:dLbl>
            <c:dLbl>
              <c:idx val="5"/>
              <c:layout>
                <c:manualLayout>
                  <c:x val="3.8825228765744263E-2"/>
                  <c:y val="-6.992946362017080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5C0-483B-9ABC-50EE8AE61501}"/>
                </c:ext>
              </c:extLst>
            </c:dLbl>
            <c:spPr>
              <a:noFill/>
              <a:ln>
                <a:noFill/>
              </a:ln>
              <a:effectLst/>
            </c:spPr>
            <c:txPr>
              <a:bodyPr/>
              <a:lstStyle/>
              <a:p>
                <a:pPr>
                  <a:defRPr lang="en-IN"/>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extLst>
          </c:dLbls>
          <c:cat>
            <c:strRef>
              <c:f>'IDFC-ESF'!$J$9:$J$13</c:f>
              <c:strCache>
                <c:ptCount val="5"/>
                <c:pt idx="0">
                  <c:v>Net Equity </c:v>
                </c:pt>
                <c:pt idx="1">
                  <c:v>Net Current Asset</c:v>
                </c:pt>
                <c:pt idx="2">
                  <c:v>Arbitrage</c:v>
                </c:pt>
                <c:pt idx="3">
                  <c:v>Corporate Bond</c:v>
                </c:pt>
                <c:pt idx="4">
                  <c:v>Mutual Fund Units: IDFC Cash Fund</c:v>
                </c:pt>
              </c:strCache>
            </c:strRef>
          </c:cat>
          <c:val>
            <c:numRef>
              <c:f>'IDFC-ESF'!$K$9:$K$13</c:f>
              <c:numCache>
                <c:formatCode>0.00%</c:formatCode>
                <c:ptCount val="5"/>
                <c:pt idx="0">
                  <c:v>0.22166300000000003</c:v>
                </c:pt>
                <c:pt idx="1">
                  <c:v>0.12355499999999998</c:v>
                </c:pt>
                <c:pt idx="2">
                  <c:v>0.54002499999999998</c:v>
                </c:pt>
                <c:pt idx="3">
                  <c:v>3.1461000000000003E-2</c:v>
                </c:pt>
                <c:pt idx="4">
                  <c:v>8.3295999999999995E-2</c:v>
                </c:pt>
              </c:numCache>
            </c:numRef>
          </c:val>
          <c:extLst>
            <c:ext xmlns:c16="http://schemas.microsoft.com/office/drawing/2014/chart" uri="{C3380CC4-5D6E-409C-BE32-E72D297353CC}">
              <c16:uniqueId val="{00000008-C5C0-483B-9ABC-50EE8AE61501}"/>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6.0529194996097963E-2"/>
          <c:y val="0.2256465955919264"/>
          <c:w val="0.89502608808352679"/>
          <c:h val="0.61676865851891904"/>
        </c:manualLayout>
      </c:layout>
      <c:pie3DChart>
        <c:varyColors val="1"/>
        <c:ser>
          <c:idx val="0"/>
          <c:order val="0"/>
          <c:dLbls>
            <c:dLbl>
              <c:idx val="0"/>
              <c:layout>
                <c:manualLayout>
                  <c:x val="9.4977391069750852E-2"/>
                  <c:y val="-2.23912428880929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C7-4230-8A23-CF6C59C0482A}"/>
                </c:ext>
              </c:extLst>
            </c:dLbl>
            <c:dLbl>
              <c:idx val="1"/>
              <c:layout>
                <c:manualLayout>
                  <c:x val="-0.73923852779325194"/>
                  <c:y val="0.6120198325431779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46-4E9E-B82D-9962D5990B86}"/>
                </c:ext>
              </c:extLst>
            </c:dLbl>
            <c:dLbl>
              <c:idx val="2"/>
              <c:layout>
                <c:manualLayout>
                  <c:x val="-3.0303252040021291E-2"/>
                  <c:y val="0.2987494457072629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246-4E9E-B82D-9962D5990B86}"/>
                </c:ext>
              </c:extLst>
            </c:dLbl>
            <c:dLbl>
              <c:idx val="3"/>
              <c:layout>
                <c:manualLayout>
                  <c:x val="-0.31172311131203706"/>
                  <c:y val="0.1376547492313132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46-4E9E-B82D-9962D5990B86}"/>
                </c:ext>
              </c:extLst>
            </c:dLbl>
            <c:dLbl>
              <c:idx val="4"/>
              <c:layout>
                <c:manualLayout>
                  <c:x val="0"/>
                  <c:y val="-0.2821371140441110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D0C-4011-87E0-AF0B55CD35FA}"/>
                </c:ext>
              </c:extLst>
            </c:dLbl>
            <c:dLbl>
              <c:idx val="5"/>
              <c:layout>
                <c:manualLayout>
                  <c:x val="-6.2859761639868839E-2"/>
                  <c:y val="-5.506487165669780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CC7-4230-8A23-CF6C59C0482A}"/>
                </c:ext>
              </c:extLst>
            </c:dLbl>
            <c:dLbl>
              <c:idx val="6"/>
              <c:layout>
                <c:manualLayout>
                  <c:x val="8.833787696529713E-2"/>
                  <c:y val="-3.74347685937542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C08-4045-A79C-942BF2DC4D6D}"/>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'IDFC-RSF'!$J$9:$J$14</c:f>
              <c:strCache>
                <c:ptCount val="6"/>
                <c:pt idx="0">
                  <c:v>Corporate Bond</c:v>
                </c:pt>
                <c:pt idx="1">
                  <c:v>Equity + Nifty ETF</c:v>
                </c:pt>
                <c:pt idx="2">
                  <c:v>Certificate of Deposit</c:v>
                </c:pt>
                <c:pt idx="3">
                  <c:v>Net Current Asset</c:v>
                </c:pt>
                <c:pt idx="4">
                  <c:v>Government Bond</c:v>
                </c:pt>
                <c:pt idx="5">
                  <c:v>State Government Bond</c:v>
                </c:pt>
              </c:strCache>
            </c:strRef>
          </c:cat>
          <c:val>
            <c:numRef>
              <c:f>'IDFC-RSF'!$K$9:$K$14</c:f>
              <c:numCache>
                <c:formatCode>0.00%</c:formatCode>
                <c:ptCount val="6"/>
                <c:pt idx="0">
                  <c:v>6.5836999999999993E-2</c:v>
                </c:pt>
                <c:pt idx="1">
                  <c:v>0.21725699999999998</c:v>
                </c:pt>
                <c:pt idx="2">
                  <c:v>6.1362E-2</c:v>
                </c:pt>
                <c:pt idx="3">
                  <c:v>0.19502000000000003</c:v>
                </c:pt>
                <c:pt idx="4">
                  <c:v>0.39640800000000004</c:v>
                </c:pt>
                <c:pt idx="5">
                  <c:v>6.4116000000000006E-2</c:v>
                </c:pt>
              </c:numCache>
            </c:numRef>
          </c:val>
          <c:extLst>
            <c:ext xmlns:c16="http://schemas.microsoft.com/office/drawing/2014/chart" uri="{C3380CC4-5D6E-409C-BE32-E72D297353CC}">
              <c16:uniqueId val="{00000006-3246-4E9E-B82D-9962D5990B86}"/>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3918732473"/>
          <c:y val="0.24113796123081782"/>
          <c:w val="0.78272608624251272"/>
          <c:h val="0.53333319409344349"/>
        </c:manualLayout>
      </c:layout>
      <c:pie3DChart>
        <c:varyColors val="1"/>
        <c:ser>
          <c:idx val="0"/>
          <c:order val="0"/>
          <c:dLbls>
            <c:dLbl>
              <c:idx val="0"/>
              <c:layout>
                <c:manualLayout>
                  <c:x val="0.32913191882932807"/>
                  <c:y val="-1.8726902889789263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D0-4A0D-BCA6-E77632D4550F}"/>
                </c:ext>
              </c:extLst>
            </c:dLbl>
            <c:dLbl>
              <c:idx val="1"/>
              <c:layout>
                <c:manualLayout>
                  <c:x val="-0.30342522437873731"/>
                  <c:y val="7.466922206571688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DD0-4A0D-BCA6-E77632D4550F}"/>
                </c:ext>
              </c:extLst>
            </c:dLbl>
            <c:dLbl>
              <c:idx val="2"/>
              <c:layout>
                <c:manualLayout>
                  <c:x val="0.18826604076884881"/>
                  <c:y val="-3.349530002850139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DD0-4A0D-BCA6-E77632D4550F}"/>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'IDFC-RSF'!$G$8</c:f>
              <c:strCache>
                <c:ptCount val="1"/>
                <c:pt idx="0">
                  <c:v>AAA Equivalent</c:v>
                </c:pt>
              </c:strCache>
            </c:strRef>
          </c:cat>
          <c:val>
            <c:numRef>
              <c:f>'IDFC-RSF'!$I$8</c:f>
              <c:numCache>
                <c:formatCode>0.00%</c:formatCode>
                <c:ptCount val="1"/>
                <c:pt idx="0">
                  <c:v>1</c:v>
                </c:pt>
              </c:numCache>
            </c:numRef>
          </c:val>
          <c:extLst>
            <c:ext xmlns:c16="http://schemas.microsoft.com/office/drawing/2014/chart" uri="{C3380CC4-5D6E-409C-BE32-E72D297353CC}">
              <c16:uniqueId val="{00000003-DDD0-4A0D-BCA6-E77632D4550F}"/>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2624328775"/>
          <c:y val="0.39851518560179988"/>
          <c:w val="0.78272608624251272"/>
          <c:h val="0.53333319409344349"/>
        </c:manualLayout>
      </c:layout>
      <c:pie3DChart>
        <c:varyColors val="1"/>
        <c:ser>
          <c:idx val="0"/>
          <c:order val="0"/>
          <c:dLbls>
            <c:dLbl>
              <c:idx val="0"/>
              <c:layout>
                <c:manualLayout>
                  <c:x val="0.36322230429711061"/>
                  <c:y val="-0.32395279189271364"/>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3CC-4BC3-8596-62760DD930D0}"/>
                </c:ext>
              </c:extLst>
            </c:dLbl>
            <c:dLbl>
              <c:idx val="1"/>
              <c:delete val="1"/>
              <c:extLst>
                <c:ext xmlns:c15="http://schemas.microsoft.com/office/drawing/2012/chart" uri="{CE6537A1-D6FC-4f65-9D91-7224C49458BB}"/>
                <c:ext xmlns:c16="http://schemas.microsoft.com/office/drawing/2014/chart" uri="{C3380CC4-5D6E-409C-BE32-E72D297353CC}">
                  <c16:uniqueId val="{00000001-C3CC-4BC3-8596-62760DD930D0}"/>
                </c:ext>
              </c:extLst>
            </c:dLbl>
            <c:dLbl>
              <c:idx val="2"/>
              <c:delete val="1"/>
              <c:extLst>
                <c:ext xmlns:c15="http://schemas.microsoft.com/office/drawing/2012/chart" uri="{CE6537A1-D6FC-4f65-9D91-7224C49458BB}"/>
                <c:ext xmlns:c16="http://schemas.microsoft.com/office/drawing/2014/chart" uri="{C3380CC4-5D6E-409C-BE32-E72D297353CC}">
                  <c16:uniqueId val="{00000002-C3CC-4BC3-8596-62760DD930D0}"/>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'IDFC-HEF'!$G$8:$G$10</c:f>
              <c:strCache>
                <c:ptCount val="3"/>
                <c:pt idx="0">
                  <c:v>AAA Equivalent</c:v>
                </c:pt>
                <c:pt idx="1">
                  <c:v>AA+ Equivalent</c:v>
                </c:pt>
                <c:pt idx="2">
                  <c:v>AA Equivalent</c:v>
                </c:pt>
              </c:strCache>
            </c:strRef>
          </c:cat>
          <c:val>
            <c:numRef>
              <c:f>'IDFC-HEF'!$I$8:$I$10</c:f>
              <c:numCache>
                <c:formatCode>0.00%</c:formatCode>
                <c:ptCount val="3"/>
                <c:pt idx="0">
                  <c:v>1</c:v>
                </c:pt>
                <c:pt idx="1">
                  <c:v>0</c:v>
                </c:pt>
                <c:pt idx="2">
                  <c:v>0</c:v>
                </c:pt>
              </c:numCache>
            </c:numRef>
          </c:val>
          <c:extLst>
            <c:ext xmlns:c16="http://schemas.microsoft.com/office/drawing/2014/chart" uri="{C3380CC4-5D6E-409C-BE32-E72D297353CC}">
              <c16:uniqueId val="{00000003-C3CC-4BC3-8596-62760DD930D0}"/>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r>
              <a:rPr lang="en-US"/>
              <a:t>Asset Allocation</a:t>
            </a:r>
          </a:p>
        </c:rich>
      </c:tx>
      <c:overlay val="0"/>
      <c:spPr>
        <a:noFill/>
        <a:ln>
          <a:noFill/>
        </a:ln>
        <a:effectLst/>
      </c:spPr>
      <c:txPr>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endParaRPr lang="en-US"/>
        </a:p>
      </c:txPr>
    </c:title>
    <c:autoTitleDeleted val="0"/>
    <c:view3D>
      <c:rotX val="20"/>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spPr>
            <a:ln>
              <a:noFill/>
            </a:ln>
          </c:spPr>
          <c:dPt>
            <c:idx val="0"/>
            <c:bubble3D val="0"/>
            <c:spPr>
              <a:solidFill>
                <a:schemeClr val="dk1">
                  <a:tint val="88500"/>
                </a:schemeClr>
              </a:solidFill>
              <a:ln w="25400">
                <a:noFill/>
              </a:ln>
              <a:effectLst/>
              <a:sp3d/>
            </c:spPr>
            <c:extLst>
              <c:ext xmlns:c16="http://schemas.microsoft.com/office/drawing/2014/chart" uri="{C3380CC4-5D6E-409C-BE32-E72D297353CC}">
                <c16:uniqueId val="{00000002-5DD4-4BDC-9159-15B98E11C9E9}"/>
              </c:ext>
            </c:extLst>
          </c:dPt>
          <c:dPt>
            <c:idx val="1"/>
            <c:bubble3D val="0"/>
            <c:spPr>
              <a:solidFill>
                <a:schemeClr val="dk1">
                  <a:tint val="55000"/>
                </a:schemeClr>
              </a:solidFill>
              <a:ln w="25400">
                <a:noFill/>
              </a:ln>
              <a:effectLst/>
              <a:sp3d/>
            </c:spPr>
            <c:extLst>
              <c:ext xmlns:c16="http://schemas.microsoft.com/office/drawing/2014/chart" uri="{C3380CC4-5D6E-409C-BE32-E72D297353CC}">
                <c16:uniqueId val="{00000001-5DD4-4BDC-9159-15B98E11C9E9}"/>
              </c:ext>
            </c:extLst>
          </c:dPt>
          <c:dPt>
            <c:idx val="2"/>
            <c:bubble3D val="0"/>
            <c:spPr>
              <a:solidFill>
                <a:schemeClr val="dk1">
                  <a:tint val="75000"/>
                </a:schemeClr>
              </a:solidFill>
              <a:ln w="25400">
                <a:noFill/>
              </a:ln>
              <a:effectLst/>
              <a:sp3d/>
            </c:spPr>
            <c:extLst>
              <c:ext xmlns:c16="http://schemas.microsoft.com/office/drawing/2014/chart" uri="{C3380CC4-5D6E-409C-BE32-E72D297353CC}">
                <c16:uniqueId val="{00000003-5DD4-4BDC-9159-15B98E11C9E9}"/>
              </c:ext>
            </c:extLst>
          </c:dPt>
          <c:dPt>
            <c:idx val="3"/>
            <c:bubble3D val="0"/>
            <c:spPr>
              <a:solidFill>
                <a:schemeClr val="dk1">
                  <a:tint val="98500"/>
                </a:schemeClr>
              </a:solidFill>
              <a:ln w="25400">
                <a:noFill/>
              </a:ln>
              <a:effectLst/>
              <a:sp3d/>
            </c:spPr>
            <c:extLst>
              <c:ext xmlns:c16="http://schemas.microsoft.com/office/drawing/2014/chart" uri="{C3380CC4-5D6E-409C-BE32-E72D297353CC}">
                <c16:uniqueId val="{00000007-E3EE-4550-A924-FBB22E870FAE}"/>
              </c:ext>
            </c:extLst>
          </c:dPt>
          <c:dPt>
            <c:idx val="4"/>
            <c:bubble3D val="0"/>
            <c:spPr>
              <a:solidFill>
                <a:schemeClr val="dk1">
                  <a:tint val="30000"/>
                </a:schemeClr>
              </a:solidFill>
              <a:ln w="25400">
                <a:noFill/>
              </a:ln>
              <a:effectLst/>
              <a:sp3d/>
            </c:spPr>
            <c:extLst>
              <c:ext xmlns:c16="http://schemas.microsoft.com/office/drawing/2014/chart" uri="{C3380CC4-5D6E-409C-BE32-E72D297353CC}">
                <c16:uniqueId val="{00000004-5DD4-4BDC-9159-15B98E11C9E9}"/>
              </c:ext>
            </c:extLst>
          </c:dPt>
          <c:dLbls>
            <c:dLbl>
              <c:idx val="0"/>
              <c:layout>
                <c:manualLayout>
                  <c:x val="0.2203862624094296"/>
                  <c:y val="9.594641978346456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DD4-4BDC-9159-15B98E11C9E9}"/>
                </c:ext>
              </c:extLst>
            </c:dLbl>
            <c:dLbl>
              <c:idx val="1"/>
              <c:layout>
                <c:manualLayout>
                  <c:x val="0.3414829873070569"/>
                  <c:y val="-1.640625000000000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DD4-4BDC-9159-15B98E11C9E9}"/>
                </c:ext>
              </c:extLst>
            </c:dLbl>
            <c:dLbl>
              <c:idx val="2"/>
              <c:layout>
                <c:manualLayout>
                  <c:x val="-0.15460017794719633"/>
                  <c:y val="2.602085383858265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DD4-4BDC-9159-15B98E11C9E9}"/>
                </c:ext>
              </c:extLst>
            </c:dLbl>
            <c:dLbl>
              <c:idx val="4"/>
              <c:layout>
                <c:manualLayout>
                  <c:x val="0.38820850619988079"/>
                  <c:y val="-4.849993848425197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DD4-4BDC-9159-15B98E11C9E9}"/>
                </c:ext>
              </c:extLst>
            </c:dLbl>
            <c:numFmt formatCode="0.00%" sourceLinked="0"/>
            <c:spPr>
              <a:no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'IDFC-HEF'!$J$9:$J$13</c:f>
              <c:strCache>
                <c:ptCount val="5"/>
                <c:pt idx="0">
                  <c:v>Corporate Bond</c:v>
                </c:pt>
                <c:pt idx="1">
                  <c:v>Net Equity</c:v>
                </c:pt>
                <c:pt idx="2">
                  <c:v>Certificate of Deposit</c:v>
                </c:pt>
                <c:pt idx="3">
                  <c:v>Net Current Asset</c:v>
                </c:pt>
                <c:pt idx="4">
                  <c:v>Government Bond</c:v>
                </c:pt>
              </c:strCache>
            </c:strRef>
          </c:cat>
          <c:val>
            <c:numRef>
              <c:f>'IDFC-HEF'!$K$9:$K$13</c:f>
              <c:numCache>
                <c:formatCode>0.00%</c:formatCode>
                <c:ptCount val="5"/>
                <c:pt idx="0">
                  <c:v>5.8414000000000001E-2</c:v>
                </c:pt>
                <c:pt idx="1">
                  <c:v>0.75731400000000004</c:v>
                </c:pt>
                <c:pt idx="2">
                  <c:v>6.7605999999999999E-2</c:v>
                </c:pt>
                <c:pt idx="3">
                  <c:v>4.2379E-2</c:v>
                </c:pt>
                <c:pt idx="4">
                  <c:v>7.4286999999999992E-2</c:v>
                </c:pt>
              </c:numCache>
            </c:numRef>
          </c:val>
          <c:extLst>
            <c:ext xmlns:c16="http://schemas.microsoft.com/office/drawing/2014/chart" uri="{C3380CC4-5D6E-409C-BE32-E72D297353CC}">
              <c16:uniqueId val="{00000000-5DD4-4BDC-9159-15B98E11C9E9}"/>
            </c:ext>
          </c:extLst>
        </c:ser>
        <c:dLbls>
          <c:showLegendKey val="0"/>
          <c:showVal val="0"/>
          <c:showCatName val="1"/>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1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a:pPr>
            <a:r>
              <a:rPr lang="en-US"/>
              <a:t>Asset Allocation</a:t>
            </a:r>
          </a:p>
        </c:rich>
      </c:tx>
      <c:layout>
        <c:manualLayout>
          <c:xMode val="edge"/>
          <c:yMode val="edge"/>
          <c:x val="0.35416424577882982"/>
          <c:y val="8.0782420445619507E-3"/>
        </c:manualLayout>
      </c:layout>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2196769743404715"/>
          <c:y val="0.35153486249001481"/>
          <c:w val="0.80555553197359764"/>
          <c:h val="0.46296283616722667"/>
        </c:manualLayout>
      </c:layout>
      <c:pie3DChart>
        <c:varyColors val="1"/>
        <c:ser>
          <c:idx val="0"/>
          <c:order val="0"/>
          <c:dLbls>
            <c:dLbl>
              <c:idx val="0"/>
              <c:layout>
                <c:manualLayout>
                  <c:x val="1.1771766294475081E-2"/>
                  <c:y val="-0.1089616036801369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78-4CF0-A0C0-E78E101FF9A9}"/>
                </c:ext>
              </c:extLst>
            </c:dLbl>
            <c:dLbl>
              <c:idx val="1"/>
              <c:layout>
                <c:manualLayout>
                  <c:x val="7.8634052956032749E-2"/>
                  <c:y val="6.584423215754747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1E9-4B6B-AB9D-D23F0F3AB07B}"/>
                </c:ext>
              </c:extLst>
            </c:dLbl>
            <c:dLbl>
              <c:idx val="2"/>
              <c:layout>
                <c:manualLayout>
                  <c:x val="1.5916724645398155E-2"/>
                  <c:y val="-7.35184594463005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78-4CF0-A0C0-E78E101FF9A9}"/>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'IDFCAAF-AP'!$I$9:$I$11</c:f>
              <c:strCache>
                <c:ptCount val="3"/>
                <c:pt idx="0">
                  <c:v>Debt </c:v>
                </c:pt>
                <c:pt idx="1">
                  <c:v>Equity </c:v>
                </c:pt>
                <c:pt idx="2">
                  <c:v>Net Current Asset</c:v>
                </c:pt>
              </c:strCache>
            </c:strRef>
          </c:cat>
          <c:val>
            <c:numRef>
              <c:f>'IDFCAAF-AP'!$J$9:$J$11</c:f>
              <c:numCache>
                <c:formatCode>0.00%</c:formatCode>
                <c:ptCount val="3"/>
                <c:pt idx="0">
                  <c:v>0.25447200000000003</c:v>
                </c:pt>
                <c:pt idx="1">
                  <c:v>0.73492299999999999</c:v>
                </c:pt>
                <c:pt idx="2">
                  <c:v>1.0604999999999998E-2</c:v>
                </c:pt>
              </c:numCache>
            </c:numRef>
          </c:val>
          <c:extLst>
            <c:ext xmlns:c16="http://schemas.microsoft.com/office/drawing/2014/chart" uri="{C3380CC4-5D6E-409C-BE32-E72D297353CC}">
              <c16:uniqueId val="{00000005-2C11-46DC-BCEB-BABA9D7520DF}"/>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solidFill>
            <a:schemeClr val="tx1"/>
          </a:solidFill>
        </a:defRPr>
      </a:pPr>
      <a:endParaRPr lang="en-US"/>
    </a:p>
  </c:txPr>
  <c:printSettings>
    <c:headerFooter/>
    <c:pageMargins b="0.75000000000001465" l="0.70000000000000062" r="0.70000000000000062" t="0.75000000000001465" header="0.30000000000000032" footer="0.3000000000000003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sz="1600"/>
            </a:pPr>
            <a:r>
              <a:rPr lang="en-US" sz="1600"/>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9.3030805359856333E-2"/>
          <c:y val="0.33675900219464389"/>
          <c:w val="0.88470203243825363"/>
          <c:h val="0.57724889169815008"/>
        </c:manualLayout>
      </c:layout>
      <c:pie3DChart>
        <c:varyColors val="1"/>
        <c:ser>
          <c:idx val="0"/>
          <c:order val="0"/>
          <c:dLbls>
            <c:dLbl>
              <c:idx val="0"/>
              <c:layout>
                <c:manualLayout>
                  <c:x val="-3.2335439977897659E-2"/>
                  <c:y val="-0.3086957265542136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064-49CC-80DF-95B9368E2F92}"/>
                </c:ext>
              </c:extLst>
            </c:dLbl>
            <c:dLbl>
              <c:idx val="1"/>
              <c:layout>
                <c:manualLayout>
                  <c:x val="1.9461942257217847E-2"/>
                  <c:y val="-0.305394595994897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064-49CC-80DF-95B9368E2F92}"/>
                </c:ext>
              </c:extLst>
            </c:dLbl>
            <c:dLbl>
              <c:idx val="2"/>
              <c:layout>
                <c:manualLayout>
                  <c:x val="7.3547278629644941E-2"/>
                  <c:y val="-6.024884035798601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064-49CC-80DF-95B9368E2F92}"/>
                </c:ext>
              </c:extLst>
            </c:dLbl>
            <c:dLbl>
              <c:idx val="3"/>
              <c:layout>
                <c:manualLayout>
                  <c:x val="-0.15939770686558916"/>
                  <c:y val="-1.37873648966862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064-49CC-80DF-95B9368E2F92}"/>
                </c:ext>
              </c:extLst>
            </c:dLbl>
            <c:dLbl>
              <c:idx val="4"/>
              <c:layout>
                <c:manualLayout>
                  <c:x val="4.3438665561541703E-2"/>
                  <c:y val="-4.3612567471112473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1064-49CC-80DF-95B9368E2F92}"/>
                </c:ext>
              </c:extLst>
            </c:dLbl>
            <c:numFmt formatCode="0.00%" sourceLinked="0"/>
            <c:spPr>
              <a:noFill/>
              <a:ln>
                <a:noFill/>
              </a:ln>
              <a:effectLst/>
            </c:spPr>
            <c:txPr>
              <a:bodyPr/>
              <a:lstStyle/>
              <a:p>
                <a:pPr>
                  <a:defRPr lang="en-IN" sz="1100">
                    <a:latin typeface="+mn-lt"/>
                  </a:defRPr>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'IDFCAAF-MP'!$I$8:$I$10</c:f>
              <c:strCache>
                <c:ptCount val="3"/>
                <c:pt idx="0">
                  <c:v>Debt </c:v>
                </c:pt>
                <c:pt idx="1">
                  <c:v>Equity </c:v>
                </c:pt>
                <c:pt idx="2">
                  <c:v>Net Current Asset</c:v>
                </c:pt>
              </c:strCache>
            </c:strRef>
          </c:cat>
          <c:val>
            <c:numRef>
              <c:f>'IDFCAAF-MP'!$J$8:$J$10</c:f>
              <c:numCache>
                <c:formatCode>0.00%</c:formatCode>
                <c:ptCount val="3"/>
                <c:pt idx="0">
                  <c:v>0.49657699999999999</c:v>
                </c:pt>
                <c:pt idx="1">
                  <c:v>0.49713299999999999</c:v>
                </c:pt>
                <c:pt idx="2">
                  <c:v>6.2900000000000005E-3</c:v>
                </c:pt>
              </c:numCache>
            </c:numRef>
          </c:val>
          <c:extLst>
            <c:ext xmlns:c16="http://schemas.microsoft.com/office/drawing/2014/chart" uri="{C3380CC4-5D6E-409C-BE32-E72D297353CC}">
              <c16:uniqueId val="{00000005-1064-49CC-80DF-95B9368E2F92}"/>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4.6359788989188501E-2"/>
                  <c:y val="-0.10588126502681718"/>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1AC7-4857-974F-197C1459AF0A}"/>
                </c:ext>
              </c:extLst>
            </c:dLbl>
            <c:dLbl>
              <c:idx val="1"/>
              <c:layout>
                <c:manualLayout>
                  <c:x val="-6.0031020236357729E-2"/>
                  <c:y val="-5.59017354837587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1AC7-4857-974F-197C1459AF0A}"/>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1AC7-4857-974F-197C1459AF0A}"/>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AC7-4857-974F-197C1459AF0A}"/>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'IDFCAAF-CP'!$I$8:$I$10</c:f>
              <c:strCache>
                <c:ptCount val="3"/>
                <c:pt idx="0">
                  <c:v>Debt </c:v>
                </c:pt>
                <c:pt idx="1">
                  <c:v>Equity </c:v>
                </c:pt>
                <c:pt idx="2">
                  <c:v>Net Current Asset</c:v>
                </c:pt>
              </c:strCache>
            </c:strRef>
          </c:cat>
          <c:val>
            <c:numRef>
              <c:f>'IDFCAAF-CP'!$J$8:$J$10</c:f>
              <c:numCache>
                <c:formatCode>0.00%</c:formatCode>
                <c:ptCount val="3"/>
                <c:pt idx="0">
                  <c:v>0.70644999999999991</c:v>
                </c:pt>
                <c:pt idx="1">
                  <c:v>0.28189800000000004</c:v>
                </c:pt>
                <c:pt idx="2">
                  <c:v>1.1651999999999999E-2</c:v>
                </c:pt>
              </c:numCache>
            </c:numRef>
          </c:val>
          <c:extLst>
            <c:ext xmlns:c16="http://schemas.microsoft.com/office/drawing/2014/chart" uri="{C3380CC4-5D6E-409C-BE32-E72D297353CC}">
              <c16:uniqueId val="{00000004-1AC7-4857-974F-197C1459AF0A}"/>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'IDFC-NIFTY 50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AD5-4584-81D7-4111D11CF0F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AD5-4584-81D7-4111D11CF0F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AD5-4584-81D7-4111D11CF0F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AD5-4584-81D7-4111D11CF0F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AD5-4584-81D7-4111D11CF0F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AD5-4584-81D7-4111D11CF0F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AD5-4584-81D7-4111D11CF0F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AD5-4584-81D7-4111D11CF0F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AD5-4584-81D7-4111D11CF0F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AD5-4584-81D7-4111D11CF0F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AD5-4584-81D7-4111D11CF0F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AD5-4584-81D7-4111D11CF0F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AD5-4584-81D7-4111D11CF0F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AD5-4584-81D7-4111D11CF0F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AD5-4584-81D7-4111D11CF0F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AD5-4584-81D7-4111D11CF0F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8AD5-4584-81D7-4111D11CF0F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AD5-4584-81D7-4111D11CF0F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'IDFC-NIFTY 50 Index'!$W$8:$W$30</c:f>
              <c:strCache>
                <c:ptCount val="23"/>
                <c:pt idx="0">
                  <c:v>Banks</c:v>
                </c:pt>
                <c:pt idx="1">
                  <c:v>IT - Software</c:v>
                </c:pt>
                <c:pt idx="2">
                  <c:v>Petroleum Products</c:v>
                </c:pt>
                <c:pt idx="3">
                  <c:v>Finance</c:v>
                </c:pt>
                <c:pt idx="4">
                  <c:v>Diversified FMCG</c:v>
                </c:pt>
                <c:pt idx="5">
                  <c:v>Automobiles</c:v>
                </c:pt>
                <c:pt idx="6">
                  <c:v>Pharmaceuticals &amp; Biotechnology</c:v>
                </c:pt>
                <c:pt idx="7">
                  <c:v>Construction</c:v>
                </c:pt>
                <c:pt idx="8">
                  <c:v>Consumer Durables</c:v>
                </c:pt>
                <c:pt idx="9">
                  <c:v>Telecom - Services</c:v>
                </c:pt>
                <c:pt idx="10">
                  <c:v>Ferrous Metals</c:v>
                </c:pt>
                <c:pt idx="11">
                  <c:v>Power</c:v>
                </c:pt>
                <c:pt idx="12">
                  <c:v>Cement &amp; Cement Products</c:v>
                </c:pt>
                <c:pt idx="13">
                  <c:v>Food Products</c:v>
                </c:pt>
                <c:pt idx="14">
                  <c:v>Insurance</c:v>
                </c:pt>
                <c:pt idx="15">
                  <c:v>Metals &amp; Minerals Trading</c:v>
                </c:pt>
                <c:pt idx="16">
                  <c:v>Non - Ferrous Metals</c:v>
                </c:pt>
                <c:pt idx="17">
                  <c:v>Transport Infrastructure</c:v>
                </c:pt>
                <c:pt idx="18">
                  <c:v>Oil</c:v>
                </c:pt>
                <c:pt idx="19">
                  <c:v>Consumable Fuels</c:v>
                </c:pt>
                <c:pt idx="20">
                  <c:v>Agricultural Food &amp; other Products</c:v>
                </c:pt>
                <c:pt idx="21">
                  <c:v>Healthcare Services</c:v>
                </c:pt>
                <c:pt idx="22">
                  <c:v>Fertilizers &amp; Agrochemicals</c:v>
                </c:pt>
              </c:strCache>
            </c:strRef>
          </c:cat>
          <c:val>
            <c:numRef>
              <c:f>'IDFC-NIFTY 50 Index'!$X$8:$X$30</c:f>
              <c:numCache>
                <c:formatCode>0.00%</c:formatCode>
                <c:ptCount val="23"/>
                <c:pt idx="0">
                  <c:v>0.26983800000000002</c:v>
                </c:pt>
                <c:pt idx="1">
                  <c:v>0.13863999999999999</c:v>
                </c:pt>
                <c:pt idx="2">
                  <c:v>0.11384</c:v>
                </c:pt>
                <c:pt idx="3">
                  <c:v>9.1549000000000005E-2</c:v>
                </c:pt>
                <c:pt idx="4">
                  <c:v>6.5234E-2</c:v>
                </c:pt>
                <c:pt idx="5">
                  <c:v>5.272099999999999E-2</c:v>
                </c:pt>
                <c:pt idx="6">
                  <c:v>3.2625000000000001E-2</c:v>
                </c:pt>
                <c:pt idx="7">
                  <c:v>3.1516000000000002E-2</c:v>
                </c:pt>
                <c:pt idx="8">
                  <c:v>3.107E-2</c:v>
                </c:pt>
                <c:pt idx="9">
                  <c:v>2.4879999999999999E-2</c:v>
                </c:pt>
                <c:pt idx="10">
                  <c:v>2.0125000000000001E-2</c:v>
                </c:pt>
                <c:pt idx="11">
                  <c:v>1.9084999999999998E-2</c:v>
                </c:pt>
                <c:pt idx="12">
                  <c:v>1.8280000000000001E-2</c:v>
                </c:pt>
                <c:pt idx="13">
                  <c:v>1.5173000000000001E-2</c:v>
                </c:pt>
                <c:pt idx="14">
                  <c:v>1.3881000000000001E-2</c:v>
                </c:pt>
                <c:pt idx="15">
                  <c:v>1.3140000000000001E-2</c:v>
                </c:pt>
                <c:pt idx="16">
                  <c:v>8.5909999999999997E-3</c:v>
                </c:pt>
                <c:pt idx="17">
                  <c:v>7.6959999999999997E-3</c:v>
                </c:pt>
                <c:pt idx="18">
                  <c:v>7.0800000000000004E-3</c:v>
                </c:pt>
                <c:pt idx="19">
                  <c:v>5.9170000000000004E-3</c:v>
                </c:pt>
                <c:pt idx="20">
                  <c:v>5.8399999999999997E-3</c:v>
                </c:pt>
                <c:pt idx="21">
                  <c:v>5.8019999999999999E-3</c:v>
                </c:pt>
                <c:pt idx="22">
                  <c:v>4.7720000000000002E-3</c:v>
                </c:pt>
              </c:numCache>
            </c:numRef>
          </c:val>
          <c:extLst>
            <c:ext xmlns:c16="http://schemas.microsoft.com/office/drawing/2014/chart" uri="{C3380CC4-5D6E-409C-BE32-E72D297353CC}">
              <c16:uniqueId val="{00000012-8AD5-4584-81D7-4111D11CF0F2}"/>
            </c:ext>
          </c:extLst>
        </c:ser>
        <c:dLbls>
          <c:showLegendKey val="0"/>
          <c:showVal val="0"/>
          <c:showCatName val="0"/>
          <c:showSerName val="0"/>
          <c:showPercent val="0"/>
          <c:showBubbleSize val="0"/>
        </c:dLbls>
        <c:gapWidth val="150"/>
        <c:axId val="168893440"/>
        <c:axId val="168864576"/>
      </c:barChart>
      <c:catAx>
        <c:axId val="16889344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4576"/>
        <c:crosses val="autoZero"/>
        <c:auto val="1"/>
        <c:lblAlgn val="ctr"/>
        <c:lblOffset val="100"/>
        <c:tickLblSkip val="1"/>
        <c:noMultiLvlLbl val="0"/>
      </c:catAx>
      <c:valAx>
        <c:axId val="1688645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889344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S&amp;P BSE SENSEX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A-4079-BA52-CC2D783DC22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3A-4079-BA52-CC2D783DC22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B3A-4079-BA52-CC2D783DC22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B3A-4079-BA52-CC2D783DC22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B3A-4079-BA52-CC2D783DC22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B3A-4079-BA52-CC2D783DC22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B3A-4079-BA52-CC2D783DC22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B3A-4079-BA52-CC2D783DC22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B3A-4079-BA52-CC2D783DC22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B3A-4079-BA52-CC2D783DC22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B3A-4079-BA52-CC2D783DC22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B3A-4079-BA52-CC2D783DC22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B3A-4079-BA52-CC2D783DC22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B3A-4079-BA52-CC2D783DC22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B3A-4079-BA52-CC2D783DC22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B3A-4079-BA52-CC2D783DC22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0B3A-4079-BA52-CC2D783DC22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0B3A-4079-BA52-CC2D783DC22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S&amp;P BSE SENSEX ETF'!$W$8:$W$21</c:f>
              <c:strCache>
                <c:ptCount val="14"/>
                <c:pt idx="0">
                  <c:v>Banks</c:v>
                </c:pt>
                <c:pt idx="1">
                  <c:v>IT - Software</c:v>
                </c:pt>
                <c:pt idx="2">
                  <c:v>Petroleum Products</c:v>
                </c:pt>
                <c:pt idx="3">
                  <c:v>Finance</c:v>
                </c:pt>
                <c:pt idx="4">
                  <c:v>Diversified FMCG</c:v>
                </c:pt>
                <c:pt idx="5">
                  <c:v>Automobiles</c:v>
                </c:pt>
                <c:pt idx="6">
                  <c:v>Construction</c:v>
                </c:pt>
                <c:pt idx="7">
                  <c:v>Consumer Durables</c:v>
                </c:pt>
                <c:pt idx="8">
                  <c:v>Telecom - Services</c:v>
                </c:pt>
                <c:pt idx="9">
                  <c:v>Power</c:v>
                </c:pt>
                <c:pt idx="10">
                  <c:v>Pharmaceuticals &amp; Biotechnology</c:v>
                </c:pt>
                <c:pt idx="11">
                  <c:v>Ferrous Metals</c:v>
                </c:pt>
                <c:pt idx="12">
                  <c:v>Cement &amp; Cement Products</c:v>
                </c:pt>
                <c:pt idx="13">
                  <c:v>Food Products</c:v>
                </c:pt>
              </c:strCache>
            </c:strRef>
          </c:cat>
          <c:val>
            <c:numRef>
              <c:f>'IDFC- S&amp;P BSE SENSEX ETF'!$X$8:$X$21</c:f>
              <c:numCache>
                <c:formatCode>0.00%</c:formatCode>
                <c:ptCount val="14"/>
                <c:pt idx="0">
                  <c:v>0.31200600000000001</c:v>
                </c:pt>
                <c:pt idx="1">
                  <c:v>0.161519</c:v>
                </c:pt>
                <c:pt idx="2">
                  <c:v>0.12743199999999999</c:v>
                </c:pt>
                <c:pt idx="3">
                  <c:v>0.10728</c:v>
                </c:pt>
                <c:pt idx="4">
                  <c:v>7.5552000000000008E-2</c:v>
                </c:pt>
                <c:pt idx="5">
                  <c:v>4.2414E-2</c:v>
                </c:pt>
                <c:pt idx="6">
                  <c:v>3.5777999999999997E-2</c:v>
                </c:pt>
                <c:pt idx="7">
                  <c:v>3.5361000000000004E-2</c:v>
                </c:pt>
                <c:pt idx="8">
                  <c:v>2.8471E-2</c:v>
                </c:pt>
                <c:pt idx="9">
                  <c:v>2.1471000000000001E-2</c:v>
                </c:pt>
                <c:pt idx="10">
                  <c:v>1.5278999999999999E-2</c:v>
                </c:pt>
                <c:pt idx="11">
                  <c:v>1.2949E-2</c:v>
                </c:pt>
                <c:pt idx="12">
                  <c:v>1.1549E-2</c:v>
                </c:pt>
                <c:pt idx="13">
                  <c:v>8.6739999999999994E-3</c:v>
                </c:pt>
              </c:numCache>
            </c:numRef>
          </c:val>
          <c:extLst>
            <c:ext xmlns:c16="http://schemas.microsoft.com/office/drawing/2014/chart" uri="{C3380CC4-5D6E-409C-BE32-E72D297353CC}">
              <c16:uniqueId val="{00000012-0B3A-4079-BA52-CC2D783DC226}"/>
            </c:ext>
          </c:extLst>
        </c:ser>
        <c:dLbls>
          <c:showLegendKey val="0"/>
          <c:showVal val="0"/>
          <c:showCatName val="0"/>
          <c:showSerName val="0"/>
          <c:showPercent val="0"/>
          <c:showBubbleSize val="0"/>
        </c:dLbls>
        <c:gapWidth val="150"/>
        <c:axId val="170370560"/>
        <c:axId val="168866304"/>
      </c:barChart>
      <c:catAx>
        <c:axId val="17037056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6304"/>
        <c:crosses val="autoZero"/>
        <c:auto val="1"/>
        <c:lblAlgn val="ctr"/>
        <c:lblOffset val="100"/>
        <c:tickLblSkip val="1"/>
        <c:noMultiLvlLbl val="0"/>
      </c:catAx>
      <c:valAx>
        <c:axId val="168866304"/>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37056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'IDFC- Nifty 50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344-47EB-86E0-95B4320B4A7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344-47EB-86E0-95B4320B4A7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344-47EB-86E0-95B4320B4A7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344-47EB-86E0-95B4320B4A7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344-47EB-86E0-95B4320B4A7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344-47EB-86E0-95B4320B4A7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344-47EB-86E0-95B4320B4A7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344-47EB-86E0-95B4320B4A7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344-47EB-86E0-95B4320B4A7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344-47EB-86E0-95B4320B4A7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344-47EB-86E0-95B4320B4A7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344-47EB-86E0-95B4320B4A7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344-47EB-86E0-95B4320B4A7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344-47EB-86E0-95B4320B4A70}"/>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344-47EB-86E0-95B4320B4A70}"/>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344-47EB-86E0-95B4320B4A70}"/>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344-47EB-86E0-95B4320B4A70}"/>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344-47EB-86E0-95B4320B4A7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Nifty 50 ETF'!$W$8:$W$30</c:f>
              <c:strCache>
                <c:ptCount val="23"/>
                <c:pt idx="0">
                  <c:v>Banks</c:v>
                </c:pt>
                <c:pt idx="1">
                  <c:v>IT - Software</c:v>
                </c:pt>
                <c:pt idx="2">
                  <c:v>Petroleum Products</c:v>
                </c:pt>
                <c:pt idx="3">
                  <c:v>Finance</c:v>
                </c:pt>
                <c:pt idx="4">
                  <c:v>Diversified FMCG</c:v>
                </c:pt>
                <c:pt idx="5">
                  <c:v>Automobiles</c:v>
                </c:pt>
                <c:pt idx="6">
                  <c:v>Pharmaceuticals &amp; Biotechnology</c:v>
                </c:pt>
                <c:pt idx="7">
                  <c:v>Construction</c:v>
                </c:pt>
                <c:pt idx="8">
                  <c:v>Consumer Durables</c:v>
                </c:pt>
                <c:pt idx="9">
                  <c:v>Telecom - Services</c:v>
                </c:pt>
                <c:pt idx="10">
                  <c:v>Ferrous Metals</c:v>
                </c:pt>
                <c:pt idx="11">
                  <c:v>Power</c:v>
                </c:pt>
                <c:pt idx="12">
                  <c:v>Cement &amp; Cement Products</c:v>
                </c:pt>
                <c:pt idx="13">
                  <c:v>Food Products</c:v>
                </c:pt>
                <c:pt idx="14">
                  <c:v>Insurance</c:v>
                </c:pt>
                <c:pt idx="15">
                  <c:v>Metals &amp; Minerals Trading</c:v>
                </c:pt>
                <c:pt idx="16">
                  <c:v>Non - Ferrous Metals</c:v>
                </c:pt>
                <c:pt idx="17">
                  <c:v>Transport Infrastructure</c:v>
                </c:pt>
                <c:pt idx="18">
                  <c:v>Oil</c:v>
                </c:pt>
                <c:pt idx="19">
                  <c:v>Consumable Fuels</c:v>
                </c:pt>
                <c:pt idx="20">
                  <c:v>Agricultural Food &amp; other Products</c:v>
                </c:pt>
                <c:pt idx="21">
                  <c:v>Healthcare Services</c:v>
                </c:pt>
                <c:pt idx="22">
                  <c:v>Fertilizers &amp; Agrochemicals</c:v>
                </c:pt>
              </c:strCache>
            </c:strRef>
          </c:cat>
          <c:val>
            <c:numRef>
              <c:f>'IDFC- Nifty 50 ETF'!$X$8:$X$30</c:f>
              <c:numCache>
                <c:formatCode>0.00%</c:formatCode>
                <c:ptCount val="23"/>
                <c:pt idx="0">
                  <c:v>0.27059499999999997</c:v>
                </c:pt>
                <c:pt idx="1">
                  <c:v>0.13923000000000002</c:v>
                </c:pt>
                <c:pt idx="2">
                  <c:v>0.113552</c:v>
                </c:pt>
                <c:pt idx="3">
                  <c:v>9.1548000000000004E-2</c:v>
                </c:pt>
                <c:pt idx="4">
                  <c:v>6.4910999999999996E-2</c:v>
                </c:pt>
                <c:pt idx="5">
                  <c:v>5.2571E-2</c:v>
                </c:pt>
                <c:pt idx="6">
                  <c:v>3.2542999999999996E-2</c:v>
                </c:pt>
                <c:pt idx="7">
                  <c:v>3.1407999999999998E-2</c:v>
                </c:pt>
                <c:pt idx="8">
                  <c:v>3.0853999999999999E-2</c:v>
                </c:pt>
                <c:pt idx="9">
                  <c:v>2.5156000000000001E-2</c:v>
                </c:pt>
                <c:pt idx="10">
                  <c:v>2.0344000000000001E-2</c:v>
                </c:pt>
                <c:pt idx="11">
                  <c:v>1.8958000000000003E-2</c:v>
                </c:pt>
                <c:pt idx="12">
                  <c:v>1.8072999999999999E-2</c:v>
                </c:pt>
                <c:pt idx="13">
                  <c:v>1.4964999999999999E-2</c:v>
                </c:pt>
                <c:pt idx="14">
                  <c:v>1.3879000000000001E-2</c:v>
                </c:pt>
                <c:pt idx="15">
                  <c:v>1.3147000000000001E-2</c:v>
                </c:pt>
                <c:pt idx="16">
                  <c:v>8.6149999999999994E-3</c:v>
                </c:pt>
                <c:pt idx="17">
                  <c:v>7.7039999999999999E-3</c:v>
                </c:pt>
                <c:pt idx="18">
                  <c:v>7.1320000000000003E-3</c:v>
                </c:pt>
                <c:pt idx="19">
                  <c:v>5.8770000000000003E-3</c:v>
                </c:pt>
                <c:pt idx="20">
                  <c:v>5.7679999999999997E-3</c:v>
                </c:pt>
                <c:pt idx="21">
                  <c:v>5.6779999999999999E-3</c:v>
                </c:pt>
                <c:pt idx="22">
                  <c:v>4.7540000000000004E-3</c:v>
                </c:pt>
              </c:numCache>
            </c:numRef>
          </c:val>
          <c:extLst>
            <c:ext xmlns:c16="http://schemas.microsoft.com/office/drawing/2014/chart" uri="{C3380CC4-5D6E-409C-BE32-E72D297353CC}">
              <c16:uniqueId val="{00000012-A344-47EB-86E0-95B4320B4A70}"/>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'IDFC-Nifty 100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091-4F9A-B3DA-11061301DFB1}"/>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091-4F9A-B3DA-11061301DFB1}"/>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091-4F9A-B3DA-11061301DFB1}"/>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091-4F9A-B3DA-11061301DFB1}"/>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091-4F9A-B3DA-11061301DFB1}"/>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091-4F9A-B3DA-11061301DFB1}"/>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091-4F9A-B3DA-11061301DFB1}"/>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091-4F9A-B3DA-11061301DFB1}"/>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091-4F9A-B3DA-11061301DFB1}"/>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091-4F9A-B3DA-11061301DFB1}"/>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091-4F9A-B3DA-11061301DFB1}"/>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091-4F9A-B3DA-11061301DFB1}"/>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091-4F9A-B3DA-11061301DFB1}"/>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091-4F9A-B3DA-11061301DFB1}"/>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9091-4F9A-B3DA-11061301DFB1}"/>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9091-4F9A-B3DA-11061301DFB1}"/>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9091-4F9A-B3DA-11061301DFB1}"/>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9091-4F9A-B3DA-11061301DFB1}"/>
                </c:ext>
              </c:extLst>
            </c:dLbl>
            <c:dLbl>
              <c:idx val="33"/>
              <c:delete val="1"/>
              <c:extLst>
                <c:ext xmlns:c15="http://schemas.microsoft.com/office/drawing/2012/chart" uri="{CE6537A1-D6FC-4f65-9D91-7224C49458BB}"/>
                <c:ext xmlns:c16="http://schemas.microsoft.com/office/drawing/2014/chart" uri="{C3380CC4-5D6E-409C-BE32-E72D297353CC}">
                  <c16:uniqueId val="{00000000-31B1-4758-AFCC-A209CD28086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'IDFC-Nifty 100 Index'!$W$8:$W$44</c:f>
              <c:strCache>
                <c:ptCount val="37"/>
                <c:pt idx="0">
                  <c:v>Banks</c:v>
                </c:pt>
                <c:pt idx="1">
                  <c:v>IT - Software</c:v>
                </c:pt>
                <c:pt idx="2">
                  <c:v>Petroleum Products</c:v>
                </c:pt>
                <c:pt idx="3">
                  <c:v>Finance</c:v>
                </c:pt>
                <c:pt idx="4">
                  <c:v>Diversified FMCG</c:v>
                </c:pt>
                <c:pt idx="5">
                  <c:v>Automobiles</c:v>
                </c:pt>
                <c:pt idx="6">
                  <c:v>Power</c:v>
                </c:pt>
                <c:pt idx="7">
                  <c:v>Pharmaceuticals &amp; Biotechnology</c:v>
                </c:pt>
                <c:pt idx="8">
                  <c:v>Consumer Durables</c:v>
                </c:pt>
                <c:pt idx="9">
                  <c:v>Construction</c:v>
                </c:pt>
                <c:pt idx="10">
                  <c:v>Cement &amp; Cement Products</c:v>
                </c:pt>
                <c:pt idx="11">
                  <c:v>Telecom - Services</c:v>
                </c:pt>
                <c:pt idx="12">
                  <c:v>Insurance</c:v>
                </c:pt>
                <c:pt idx="13">
                  <c:v>Ferrous Metals</c:v>
                </c:pt>
                <c:pt idx="14">
                  <c:v>Retailing</c:v>
                </c:pt>
                <c:pt idx="15">
                  <c:v>Gas</c:v>
                </c:pt>
                <c:pt idx="16">
                  <c:v>Personal Products</c:v>
                </c:pt>
                <c:pt idx="17">
                  <c:v>Food Products</c:v>
                </c:pt>
                <c:pt idx="18">
                  <c:v>Metals &amp; Minerals Trading</c:v>
                </c:pt>
                <c:pt idx="19">
                  <c:v>Chemicals &amp; Petrochemicals</c:v>
                </c:pt>
                <c:pt idx="20">
                  <c:v>Non - Ferrous Metals</c:v>
                </c:pt>
                <c:pt idx="21">
                  <c:v>Fertilizers &amp; Agrochemicals</c:v>
                </c:pt>
                <c:pt idx="22">
                  <c:v>Transport Infrastructure</c:v>
                </c:pt>
                <c:pt idx="23">
                  <c:v>Aerospace &amp; Defense</c:v>
                </c:pt>
                <c:pt idx="24">
                  <c:v>Oil</c:v>
                </c:pt>
                <c:pt idx="25">
                  <c:v>Consumable Fuels</c:v>
                </c:pt>
                <c:pt idx="26">
                  <c:v>Agricultural Food &amp; other Products</c:v>
                </c:pt>
                <c:pt idx="27">
                  <c:v>Healthcare Services</c:v>
                </c:pt>
                <c:pt idx="28">
                  <c:v>Diversified Metals</c:v>
                </c:pt>
                <c:pt idx="29">
                  <c:v>Auto Components</c:v>
                </c:pt>
                <c:pt idx="30">
                  <c:v>Beverages</c:v>
                </c:pt>
                <c:pt idx="31">
                  <c:v>Electrical Equipment</c:v>
                </c:pt>
                <c:pt idx="32">
                  <c:v>Realty</c:v>
                </c:pt>
                <c:pt idx="33">
                  <c:v>Transport Services</c:v>
                </c:pt>
                <c:pt idx="34">
                  <c:v>Leisure Services</c:v>
                </c:pt>
                <c:pt idx="35">
                  <c:v>Capital Markets</c:v>
                </c:pt>
                <c:pt idx="36">
                  <c:v>Financial Technology (Fintech)</c:v>
                </c:pt>
              </c:strCache>
            </c:strRef>
          </c:cat>
          <c:val>
            <c:numRef>
              <c:f>'IDFC-Nifty 100 Index'!$X$8:$X$44</c:f>
              <c:numCache>
                <c:formatCode>0.00%</c:formatCode>
                <c:ptCount val="37"/>
                <c:pt idx="0">
                  <c:v>0.23560699999999998</c:v>
                </c:pt>
                <c:pt idx="1">
                  <c:v>0.12417099999999999</c:v>
                </c:pt>
                <c:pt idx="2">
                  <c:v>0.100201</c:v>
                </c:pt>
                <c:pt idx="3">
                  <c:v>8.755700000000001E-2</c:v>
                </c:pt>
                <c:pt idx="4">
                  <c:v>5.5650999999999999E-2</c:v>
                </c:pt>
                <c:pt idx="5">
                  <c:v>4.4956999999999997E-2</c:v>
                </c:pt>
                <c:pt idx="6">
                  <c:v>3.4951999999999997E-2</c:v>
                </c:pt>
                <c:pt idx="7">
                  <c:v>3.1609999999999999E-2</c:v>
                </c:pt>
                <c:pt idx="8">
                  <c:v>3.0956000000000004E-2</c:v>
                </c:pt>
                <c:pt idx="9">
                  <c:v>2.6849000000000001E-2</c:v>
                </c:pt>
                <c:pt idx="10">
                  <c:v>2.5230000000000002E-2</c:v>
                </c:pt>
                <c:pt idx="11">
                  <c:v>2.2924E-2</c:v>
                </c:pt>
                <c:pt idx="12">
                  <c:v>1.8924E-2</c:v>
                </c:pt>
                <c:pt idx="13">
                  <c:v>1.7170000000000001E-2</c:v>
                </c:pt>
                <c:pt idx="14">
                  <c:v>1.3716000000000001E-2</c:v>
                </c:pt>
                <c:pt idx="15">
                  <c:v>1.3565000000000001E-2</c:v>
                </c:pt>
                <c:pt idx="16">
                  <c:v>1.3152E-2</c:v>
                </c:pt>
                <c:pt idx="17">
                  <c:v>1.2914E-2</c:v>
                </c:pt>
                <c:pt idx="18">
                  <c:v>1.1194000000000001E-2</c:v>
                </c:pt>
                <c:pt idx="19">
                  <c:v>7.731E-3</c:v>
                </c:pt>
                <c:pt idx="20">
                  <c:v>7.3080000000000003E-3</c:v>
                </c:pt>
                <c:pt idx="21">
                  <c:v>7.025E-3</c:v>
                </c:pt>
                <c:pt idx="22">
                  <c:v>6.5500000000000003E-3</c:v>
                </c:pt>
                <c:pt idx="23">
                  <c:v>6.0949999999999997E-3</c:v>
                </c:pt>
                <c:pt idx="24">
                  <c:v>6.0439999999999999E-3</c:v>
                </c:pt>
                <c:pt idx="25">
                  <c:v>5.0460000000000001E-3</c:v>
                </c:pt>
                <c:pt idx="26">
                  <c:v>4.9740000000000001E-3</c:v>
                </c:pt>
                <c:pt idx="27">
                  <c:v>4.9399999999999999E-3</c:v>
                </c:pt>
                <c:pt idx="28">
                  <c:v>3.6210000000000001E-3</c:v>
                </c:pt>
                <c:pt idx="29">
                  <c:v>3.0839999999999999E-3</c:v>
                </c:pt>
                <c:pt idx="30">
                  <c:v>2.7659999999999998E-3</c:v>
                </c:pt>
                <c:pt idx="31">
                  <c:v>2.7109999999999999E-3</c:v>
                </c:pt>
                <c:pt idx="32">
                  <c:v>2.4729999999999999E-3</c:v>
                </c:pt>
                <c:pt idx="33">
                  <c:v>2.3210000000000001E-3</c:v>
                </c:pt>
                <c:pt idx="34">
                  <c:v>2.0920000000000001E-3</c:v>
                </c:pt>
                <c:pt idx="35">
                  <c:v>1.8270000000000001E-3</c:v>
                </c:pt>
                <c:pt idx="36">
                  <c:v>5.1999999999999995E-4</c:v>
                </c:pt>
              </c:numCache>
            </c:numRef>
          </c:val>
          <c:extLst>
            <c:ext xmlns:c16="http://schemas.microsoft.com/office/drawing/2014/chart" uri="{C3380CC4-5D6E-409C-BE32-E72D297353CC}">
              <c16:uniqueId val="{00000012-9091-4F9A-B3DA-11061301DFB1}"/>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800613264745215E-2"/>
          <c:y val="1.8895707103645184E-2"/>
          <c:w val="0.96692117080586137"/>
          <c:h val="0.57234435549851026"/>
        </c:manualLayout>
      </c:layout>
      <c:barChart>
        <c:barDir val="col"/>
        <c:grouping val="clustered"/>
        <c:varyColors val="0"/>
        <c:ser>
          <c:idx val="0"/>
          <c:order val="0"/>
          <c:tx>
            <c:strRef>
              <c:f>'IDFC-Nifty200 Mom30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CE8-4152-B88A-FC7E01B89C5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CE8-4152-B88A-FC7E01B89C5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CE8-4152-B88A-FC7E01B89C5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CE8-4152-B88A-FC7E01B89C5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CE8-4152-B88A-FC7E01B89C5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CE8-4152-B88A-FC7E01B89C5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CE8-4152-B88A-FC7E01B89C5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CE8-4152-B88A-FC7E01B89C5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CE8-4152-B88A-FC7E01B89C5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CE8-4152-B88A-FC7E01B89C5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CE8-4152-B88A-FC7E01B89C5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CE8-4152-B88A-FC7E01B89C5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CE8-4152-B88A-FC7E01B89C5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CE8-4152-B88A-FC7E01B89C5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CE8-4152-B88A-FC7E01B89C5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CE8-4152-B88A-FC7E01B89C5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CE8-4152-B88A-FC7E01B89C5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CE8-4152-B88A-FC7E01B89C5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'IDFC-Nifty200 Mom30 Index'!$W$8:$W$25</c:f>
              <c:strCache>
                <c:ptCount val="18"/>
                <c:pt idx="0">
                  <c:v>Banks</c:v>
                </c:pt>
                <c:pt idx="1">
                  <c:v>Automobiles</c:v>
                </c:pt>
                <c:pt idx="2">
                  <c:v>Aerospace &amp; Defense</c:v>
                </c:pt>
                <c:pt idx="3">
                  <c:v>Metals &amp; Minerals Trading</c:v>
                </c:pt>
                <c:pt idx="4">
                  <c:v>Power</c:v>
                </c:pt>
                <c:pt idx="5">
                  <c:v>Pharmaceuticals &amp; Biotechnology</c:v>
                </c:pt>
                <c:pt idx="6">
                  <c:v>Diversified FMCG</c:v>
                </c:pt>
                <c:pt idx="7">
                  <c:v>Telecom - Services</c:v>
                </c:pt>
                <c:pt idx="8">
                  <c:v>Cement &amp; Cement Products</c:v>
                </c:pt>
                <c:pt idx="9">
                  <c:v>Electrical Equipment</c:v>
                </c:pt>
                <c:pt idx="10">
                  <c:v>Consumable Fuels</c:v>
                </c:pt>
                <c:pt idx="11">
                  <c:v>Leisure Services</c:v>
                </c:pt>
                <c:pt idx="12">
                  <c:v>Chemicals &amp; Petrochemicals</c:v>
                </c:pt>
                <c:pt idx="13">
                  <c:v>Retailing</c:v>
                </c:pt>
                <c:pt idx="14">
                  <c:v>Industrial Products</c:v>
                </c:pt>
                <c:pt idx="15">
                  <c:v>Ferrous Metals</c:v>
                </c:pt>
                <c:pt idx="16">
                  <c:v>Insurance</c:v>
                </c:pt>
                <c:pt idx="17">
                  <c:v>Agricultural, Commercial &amp; Construction Vehicles</c:v>
                </c:pt>
              </c:strCache>
            </c:strRef>
          </c:cat>
          <c:val>
            <c:numRef>
              <c:f>'IDFC-Nifty200 Mom30 Index'!$X$8:$X$25</c:f>
              <c:numCache>
                <c:formatCode>0.00%</c:formatCode>
                <c:ptCount val="18"/>
                <c:pt idx="0">
                  <c:v>0.28948399999999996</c:v>
                </c:pt>
                <c:pt idx="1">
                  <c:v>0.119853</c:v>
                </c:pt>
                <c:pt idx="2">
                  <c:v>7.2523000000000004E-2</c:v>
                </c:pt>
                <c:pt idx="3">
                  <c:v>5.0715000000000003E-2</c:v>
                </c:pt>
                <c:pt idx="4">
                  <c:v>4.9192E-2</c:v>
                </c:pt>
                <c:pt idx="5">
                  <c:v>4.8904000000000003E-2</c:v>
                </c:pt>
                <c:pt idx="6">
                  <c:v>4.8440999999999998E-2</c:v>
                </c:pt>
                <c:pt idx="7">
                  <c:v>4.7988000000000003E-2</c:v>
                </c:pt>
                <c:pt idx="8">
                  <c:v>4.6134000000000001E-2</c:v>
                </c:pt>
                <c:pt idx="9">
                  <c:v>3.8324999999999998E-2</c:v>
                </c:pt>
                <c:pt idx="10">
                  <c:v>3.4715999999999997E-2</c:v>
                </c:pt>
                <c:pt idx="11">
                  <c:v>3.2523999999999997E-2</c:v>
                </c:pt>
                <c:pt idx="12">
                  <c:v>3.0370000000000001E-2</c:v>
                </c:pt>
                <c:pt idx="13">
                  <c:v>2.6754E-2</c:v>
                </c:pt>
                <c:pt idx="14">
                  <c:v>2.3800999999999999E-2</c:v>
                </c:pt>
                <c:pt idx="15">
                  <c:v>1.8773999999999999E-2</c:v>
                </c:pt>
                <c:pt idx="16">
                  <c:v>8.2070000000000008E-3</c:v>
                </c:pt>
                <c:pt idx="17">
                  <c:v>6.0200000000000002E-3</c:v>
                </c:pt>
              </c:numCache>
            </c:numRef>
          </c:val>
          <c:extLst>
            <c:ext xmlns:c16="http://schemas.microsoft.com/office/drawing/2014/chart" uri="{C3380CC4-5D6E-409C-BE32-E72D297353CC}">
              <c16:uniqueId val="{00000012-7CE8-4152-B88A-FC7E01B89C5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'IDFC NIF100LV30'!$X$7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64C-421A-984F-8F292FB1ED8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64C-421A-984F-8F292FB1ED8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64C-421A-984F-8F292FB1ED8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64C-421A-984F-8F292FB1ED8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64C-421A-984F-8F292FB1ED8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64C-421A-984F-8F292FB1ED8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64C-421A-984F-8F292FB1ED8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64C-421A-984F-8F292FB1ED8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64C-421A-984F-8F292FB1ED8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64C-421A-984F-8F292FB1ED8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64C-421A-984F-8F292FB1ED8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64C-421A-984F-8F292FB1ED8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64C-421A-984F-8F292FB1ED8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64C-421A-984F-8F292FB1ED8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64C-421A-984F-8F292FB1ED8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64C-421A-984F-8F292FB1ED8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64C-421A-984F-8F292FB1ED8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64C-421A-984F-8F292FB1ED8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NIF100LV30'!$W$8:$W$21</c:f>
              <c:strCache>
                <c:ptCount val="14"/>
                <c:pt idx="0">
                  <c:v>IT - Software</c:v>
                </c:pt>
                <c:pt idx="1">
                  <c:v>Personal Products</c:v>
                </c:pt>
                <c:pt idx="2">
                  <c:v>Food Products</c:v>
                </c:pt>
                <c:pt idx="3">
                  <c:v>Diversified FMCG</c:v>
                </c:pt>
                <c:pt idx="4">
                  <c:v>Pharmaceuticals &amp; Biotechnology</c:v>
                </c:pt>
                <c:pt idx="5">
                  <c:v>Banks</c:v>
                </c:pt>
                <c:pt idx="6">
                  <c:v>Automobiles</c:v>
                </c:pt>
                <c:pt idx="7">
                  <c:v>Power</c:v>
                </c:pt>
                <c:pt idx="8">
                  <c:v>Insurance</c:v>
                </c:pt>
                <c:pt idx="9">
                  <c:v>Petroleum Products</c:v>
                </c:pt>
                <c:pt idx="10">
                  <c:v>Consumer Durables</c:v>
                </c:pt>
                <c:pt idx="11">
                  <c:v>Cement &amp; Cement Products</c:v>
                </c:pt>
                <c:pt idx="12">
                  <c:v>Construction</c:v>
                </c:pt>
                <c:pt idx="13">
                  <c:v>Chemicals &amp; Petrochemicals</c:v>
                </c:pt>
              </c:strCache>
            </c:strRef>
          </c:cat>
          <c:val>
            <c:numRef>
              <c:f>'IDFC NIF100LV30'!$X$8:$X$21</c:f>
              <c:numCache>
                <c:formatCode>0.00%</c:formatCode>
                <c:ptCount val="14"/>
                <c:pt idx="0">
                  <c:v>0.16422699999999998</c:v>
                </c:pt>
                <c:pt idx="1">
                  <c:v>8.8622000000000006E-2</c:v>
                </c:pt>
                <c:pt idx="2">
                  <c:v>8.0475999999999992E-2</c:v>
                </c:pt>
                <c:pt idx="3">
                  <c:v>7.4386000000000008E-2</c:v>
                </c:pt>
                <c:pt idx="4">
                  <c:v>7.4343999999999993E-2</c:v>
                </c:pt>
                <c:pt idx="5">
                  <c:v>6.8321999999999994E-2</c:v>
                </c:pt>
                <c:pt idx="6">
                  <c:v>6.8018999999999996E-2</c:v>
                </c:pt>
                <c:pt idx="7">
                  <c:v>6.6331000000000001E-2</c:v>
                </c:pt>
                <c:pt idx="8">
                  <c:v>6.4668000000000003E-2</c:v>
                </c:pt>
                <c:pt idx="9">
                  <c:v>6.3190999999999997E-2</c:v>
                </c:pt>
                <c:pt idx="10">
                  <c:v>6.1700999999999992E-2</c:v>
                </c:pt>
                <c:pt idx="11">
                  <c:v>6.0521999999999992E-2</c:v>
                </c:pt>
                <c:pt idx="12">
                  <c:v>3.4257000000000003E-2</c:v>
                </c:pt>
                <c:pt idx="13">
                  <c:v>3.031E-2</c:v>
                </c:pt>
              </c:numCache>
            </c:numRef>
          </c:val>
          <c:extLst>
            <c:ext xmlns:c16="http://schemas.microsoft.com/office/drawing/2014/chart" uri="{C3380CC4-5D6E-409C-BE32-E72D297353CC}">
              <c16:uniqueId val="{00000012-E64C-421A-984F-8F292FB1ED85}"/>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4" Type="http://schemas.openxmlformats.org/officeDocument/2006/relationships/chart" Target="../charts/chart1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19.xml"/><Relationship Id="rId1" Type="http://schemas.openxmlformats.org/officeDocument/2006/relationships/chart" Target="../charts/chart18.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21.xml"/><Relationship Id="rId1" Type="http://schemas.openxmlformats.org/officeDocument/2006/relationships/chart" Target="../charts/chart20.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23.xml"/><Relationship Id="rId1" Type="http://schemas.openxmlformats.org/officeDocument/2006/relationships/chart" Target="../charts/chart22.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32.xml"/></Relationships>
</file>

<file path=xl/drawings/drawing1.xml><?xml version="1.0" encoding="utf-8"?>
<xdr:wsDr xmlns:xdr="http://schemas.openxmlformats.org/drawingml/2006/spreadsheetDrawing" xmlns:a="http://schemas.openxmlformats.org/drawingml/2006/main">
  <xdr:twoCellAnchor>
    <xdr:from>
      <xdr:col>5</xdr:col>
      <xdr:colOff>276225</xdr:colOff>
      <xdr:row>7</xdr:row>
      <xdr:rowOff>22225</xdr:rowOff>
    </xdr:from>
    <xdr:to>
      <xdr:col>12</xdr:col>
      <xdr:colOff>304800</xdr:colOff>
      <xdr:row>20</xdr:row>
      <xdr:rowOff>12701</xdr:rowOff>
    </xdr:to>
    <xdr:graphicFrame macro="">
      <xdr:nvGraphicFramePr>
        <xdr:cNvPr id="2" name="Chart 2">
          <a:extLst>
            <a:ext uri="{FF2B5EF4-FFF2-40B4-BE49-F238E27FC236}">
              <a16:creationId xmlns:a16="http://schemas.microsoft.com/office/drawing/2014/main" id="{FE130700-828C-4786-BAE9-CB93ADFBB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50800</xdr:colOff>
      <xdr:row>3</xdr:row>
      <xdr:rowOff>190500</xdr:rowOff>
    </xdr:from>
    <xdr:to>
      <xdr:col>19</xdr:col>
      <xdr:colOff>546100</xdr:colOff>
      <xdr:row>36</xdr:row>
      <xdr:rowOff>50800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50800</xdr:colOff>
      <xdr:row>36</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29</xdr:row>
      <xdr:rowOff>76200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56F64C45-14D1-4A5A-8BE5-E1A694093D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7B40CC96-D89B-4840-B536-154969122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127000</xdr:colOff>
      <xdr:row>5</xdr:row>
      <xdr:rowOff>114300</xdr:rowOff>
    </xdr:from>
    <xdr:to>
      <xdr:col>19</xdr:col>
      <xdr:colOff>50800</xdr:colOff>
      <xdr:row>32</xdr:row>
      <xdr:rowOff>101600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7A9863E6-06DB-49B6-991A-3977610624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177800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7</xdr:col>
      <xdr:colOff>254000</xdr:colOff>
      <xdr:row>6</xdr:row>
      <xdr:rowOff>120650</xdr:rowOff>
    </xdr:from>
    <xdr:to>
      <xdr:col>15</xdr:col>
      <xdr:colOff>69850</xdr:colOff>
      <xdr:row>19</xdr:row>
      <xdr:rowOff>12700</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5</xdr:col>
      <xdr:colOff>204573</xdr:colOff>
      <xdr:row>5</xdr:row>
      <xdr:rowOff>130518</xdr:rowOff>
    </xdr:from>
    <xdr:to>
      <xdr:col>18</xdr:col>
      <xdr:colOff>592095</xdr:colOff>
      <xdr:row>28</xdr:row>
      <xdr:rowOff>90101</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4" name="Chart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5" name="Chart 4">
          <a:extLst>
            <a:ext uri="{FF2B5EF4-FFF2-40B4-BE49-F238E27FC236}">
              <a16:creationId xmlns:a16="http://schemas.microsoft.com/office/drawing/2014/main" id="{00000000-0008-0000-09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5</xdr:col>
      <xdr:colOff>555208</xdr:colOff>
      <xdr:row>7</xdr:row>
      <xdr:rowOff>42441</xdr:rowOff>
    </xdr:from>
    <xdr:to>
      <xdr:col>13</xdr:col>
      <xdr:colOff>636964</xdr:colOff>
      <xdr:row>17</xdr:row>
      <xdr:rowOff>178592</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572058</xdr:colOff>
      <xdr:row>25</xdr:row>
      <xdr:rowOff>54675</xdr:rowOff>
    </xdr:from>
    <xdr:to>
      <xdr:col>13</xdr:col>
      <xdr:colOff>662780</xdr:colOff>
      <xdr:row>46</xdr:row>
      <xdr:rowOff>153100</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5</xdr:col>
      <xdr:colOff>557257</xdr:colOff>
      <xdr:row>23</xdr:row>
      <xdr:rowOff>66674</xdr:rowOff>
    </xdr:from>
    <xdr:to>
      <xdr:col>13</xdr:col>
      <xdr:colOff>652461</xdr:colOff>
      <xdr:row>41</xdr:row>
      <xdr:rowOff>12699</xdr:rowOff>
    </xdr:to>
    <xdr:graphicFrame macro="">
      <xdr:nvGraphicFramePr>
        <xdr:cNvPr id="3" name="Chart 2">
          <a:extLst>
            <a:ext uri="{FF2B5EF4-FFF2-40B4-BE49-F238E27FC236}">
              <a16:creationId xmlns:a16="http://schemas.microsoft.com/office/drawing/2014/main" id="{00000000-0008-0000-0C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59527</xdr:colOff>
      <xdr:row>7</xdr:row>
      <xdr:rowOff>11908</xdr:rowOff>
    </xdr:from>
    <xdr:to>
      <xdr:col>13</xdr:col>
      <xdr:colOff>752985</xdr:colOff>
      <xdr:row>18</xdr:row>
      <xdr:rowOff>71439</xdr:rowOff>
    </xdr:to>
    <xdr:graphicFrame macro="">
      <xdr:nvGraphicFramePr>
        <xdr:cNvPr id="4" name="Chart 3">
          <a:extLst>
            <a:ext uri="{FF2B5EF4-FFF2-40B4-BE49-F238E27FC236}">
              <a16:creationId xmlns:a16="http://schemas.microsoft.com/office/drawing/2014/main" id="{00000000-0008-0000-0C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5</xdr:col>
      <xdr:colOff>591197</xdr:colOff>
      <xdr:row>7</xdr:row>
      <xdr:rowOff>19697</xdr:rowOff>
    </xdr:from>
    <xdr:to>
      <xdr:col>13</xdr:col>
      <xdr:colOff>774700</xdr:colOff>
      <xdr:row>18</xdr:row>
      <xdr:rowOff>63171</xdr:rowOff>
    </xdr:to>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12700</xdr:colOff>
      <xdr:row>23</xdr:row>
      <xdr:rowOff>139700</xdr:rowOff>
    </xdr:from>
    <xdr:to>
      <xdr:col>13</xdr:col>
      <xdr:colOff>596899</xdr:colOff>
      <xdr:row>40</xdr:row>
      <xdr:rowOff>114300</xdr:rowOff>
    </xdr:to>
    <xdr:graphicFrame macro="">
      <xdr:nvGraphicFramePr>
        <xdr:cNvPr id="5" name="Chart 4">
          <a:extLst>
            <a:ext uri="{FF2B5EF4-FFF2-40B4-BE49-F238E27FC236}">
              <a16:creationId xmlns:a16="http://schemas.microsoft.com/office/drawing/2014/main" id="{B1E3CD50-8312-4E93-BA7C-91B96435CA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5</xdr:col>
      <xdr:colOff>22224</xdr:colOff>
      <xdr:row>7</xdr:row>
      <xdr:rowOff>44450</xdr:rowOff>
    </xdr:from>
    <xdr:to>
      <xdr:col>12</xdr:col>
      <xdr:colOff>25400</xdr:colOff>
      <xdr:row>22</xdr:row>
      <xdr:rowOff>63500</xdr:rowOff>
    </xdr:to>
    <xdr:graphicFrame macro="">
      <xdr:nvGraphicFramePr>
        <xdr:cNvPr id="2" name="Chart 2">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5</xdr:col>
      <xdr:colOff>25400</xdr:colOff>
      <xdr:row>7</xdr:row>
      <xdr:rowOff>15876</xdr:rowOff>
    </xdr:from>
    <xdr:to>
      <xdr:col>12</xdr:col>
      <xdr:colOff>381000</xdr:colOff>
      <xdr:row>23</xdr:row>
      <xdr:rowOff>152400</xdr:rowOff>
    </xdr:to>
    <xdr:graphicFrame macro="">
      <xdr:nvGraphicFramePr>
        <xdr:cNvPr id="2" name="Chart 2">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5</xdr:col>
      <xdr:colOff>149225</xdr:colOff>
      <xdr:row>7</xdr:row>
      <xdr:rowOff>34925</xdr:rowOff>
    </xdr:from>
    <xdr:to>
      <xdr:col>12</xdr:col>
      <xdr:colOff>177800</xdr:colOff>
      <xdr:row>20</xdr:row>
      <xdr:rowOff>25401</xdr:rowOff>
    </xdr:to>
    <xdr:graphicFrame macro="">
      <xdr:nvGraphicFramePr>
        <xdr:cNvPr id="2" name="Chart 2">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5</xdr:col>
      <xdr:colOff>139700</xdr:colOff>
      <xdr:row>4</xdr:row>
      <xdr:rowOff>139700</xdr:rowOff>
    </xdr:from>
    <xdr:to>
      <xdr:col>19</xdr:col>
      <xdr:colOff>76200</xdr:colOff>
      <xdr:row>29</xdr:row>
      <xdr:rowOff>114300</xdr:rowOff>
    </xdr:to>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0</xdr:colOff>
      <xdr:row>35</xdr:row>
      <xdr:rowOff>0</xdr:rowOff>
    </xdr:to>
    <xdr:graphicFrame macro="">
      <xdr:nvGraphicFramePr>
        <xdr:cNvPr id="2" name="Chart 1">
          <a:extLst>
            <a:ext uri="{FF2B5EF4-FFF2-40B4-BE49-F238E27FC236}">
              <a16:creationId xmlns:a16="http://schemas.microsoft.com/office/drawing/2014/main" id="{00000000-0008-0000-1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0</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5</xdr:col>
      <xdr:colOff>126999</xdr:colOff>
      <xdr:row>4</xdr:row>
      <xdr:rowOff>0</xdr:rowOff>
    </xdr:from>
    <xdr:to>
      <xdr:col>20</xdr:col>
      <xdr:colOff>494804</xdr:colOff>
      <xdr:row>35</xdr:row>
      <xdr:rowOff>0</xdr:rowOff>
    </xdr:to>
    <xdr:graphicFrame macro="">
      <xdr:nvGraphicFramePr>
        <xdr:cNvPr id="2" name="Chart 1">
          <a:extLst>
            <a:ext uri="{FF2B5EF4-FFF2-40B4-BE49-F238E27FC236}">
              <a16:creationId xmlns:a16="http://schemas.microsoft.com/office/drawing/2014/main" id="{3DFE53E7-9171-4A0F-BFC4-A0708C0C79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50589203-DB43-44CA-9FC6-68599CB16D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EB3BD7C3-F13A-4097-8AEC-AAEFF6F3D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5E3E3"/>
    <pageSetUpPr fitToPage="1"/>
  </sheetPr>
  <dimension ref="B1:X691"/>
  <sheetViews>
    <sheetView showGridLines="0" tabSelected="1"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24" ht="15.75" thickBot="1" x14ac:dyDescent="0.25"/>
    <row r="2" spans="2:24" x14ac:dyDescent="0.2">
      <c r="B2" s="110"/>
      <c r="C2" s="49"/>
      <c r="D2" s="49"/>
      <c r="E2" s="49"/>
      <c r="F2" s="49"/>
      <c r="G2" s="49"/>
      <c r="H2" s="49"/>
      <c r="I2" s="49"/>
      <c r="J2" s="49"/>
      <c r="K2" s="49"/>
      <c r="L2" s="49"/>
      <c r="M2" s="111"/>
    </row>
    <row r="3" spans="2:24" ht="20.25" customHeight="1" x14ac:dyDescent="0.2">
      <c r="B3" s="112"/>
      <c r="C3" s="219" t="s">
        <v>131</v>
      </c>
      <c r="D3" s="219"/>
      <c r="E3" s="219"/>
      <c r="F3" s="219"/>
      <c r="G3" s="219"/>
      <c r="H3" s="219"/>
      <c r="I3" s="219"/>
      <c r="J3" s="219"/>
      <c r="K3" s="219"/>
      <c r="L3" s="219"/>
      <c r="M3" s="220"/>
    </row>
    <row r="4" spans="2:24" ht="15.75" x14ac:dyDescent="0.25">
      <c r="B4" s="112"/>
      <c r="C4" s="85" t="s">
        <v>271</v>
      </c>
      <c r="D4" s="33"/>
      <c r="E4" s="33"/>
      <c r="F4" s="5"/>
      <c r="G4" s="5"/>
      <c r="H4" s="5"/>
      <c r="I4" s="5"/>
      <c r="J4" s="5"/>
      <c r="K4" s="5"/>
      <c r="L4" s="5"/>
      <c r="M4" s="24"/>
    </row>
    <row r="5" spans="2:24" ht="20.25" customHeight="1" x14ac:dyDescent="0.25">
      <c r="B5" s="112"/>
      <c r="C5" s="86" t="s">
        <v>272</v>
      </c>
      <c r="D5" s="113" t="s">
        <v>273</v>
      </c>
      <c r="E5" s="23"/>
      <c r="F5" s="5"/>
      <c r="G5" s="5"/>
      <c r="H5" s="5"/>
      <c r="I5" s="5"/>
      <c r="J5" s="5"/>
      <c r="K5" s="5"/>
      <c r="L5" s="5"/>
      <c r="M5" s="24"/>
    </row>
    <row r="6" spans="2:24" x14ac:dyDescent="0.2">
      <c r="B6" s="112"/>
      <c r="C6" s="5"/>
      <c r="D6" s="5"/>
      <c r="E6" s="5"/>
      <c r="F6" s="5"/>
      <c r="G6" s="5"/>
      <c r="H6" s="5"/>
      <c r="I6" s="5"/>
      <c r="J6" s="5"/>
      <c r="K6" s="5"/>
      <c r="L6" s="5"/>
      <c r="M6" s="24"/>
    </row>
    <row r="7" spans="2:24" ht="15.75" x14ac:dyDescent="0.2">
      <c r="B7" s="112"/>
      <c r="C7" s="204" t="s">
        <v>48</v>
      </c>
      <c r="D7" s="114" t="s">
        <v>50</v>
      </c>
      <c r="E7" s="5"/>
      <c r="F7" s="221" t="s">
        <v>56</v>
      </c>
      <c r="G7" s="221"/>
      <c r="H7" s="221"/>
      <c r="I7" s="221"/>
      <c r="J7" s="221"/>
      <c r="K7" s="221"/>
      <c r="L7" s="221"/>
      <c r="M7" s="222"/>
    </row>
    <row r="8" spans="2:24" ht="30" x14ac:dyDescent="0.2">
      <c r="B8" s="112"/>
      <c r="C8" s="74" t="s">
        <v>132</v>
      </c>
      <c r="D8" s="6">
        <v>0.98343899999999995</v>
      </c>
      <c r="E8" s="5"/>
      <c r="F8" s="5"/>
      <c r="G8" s="35"/>
      <c r="H8" s="5"/>
      <c r="I8" s="5" t="s">
        <v>133</v>
      </c>
      <c r="J8" s="57">
        <f>D9</f>
        <v>0.98343899999999995</v>
      </c>
      <c r="K8" s="5"/>
      <c r="L8" s="5"/>
      <c r="M8" s="24"/>
      <c r="S8" s="59"/>
      <c r="W8" s="3" t="s">
        <v>3</v>
      </c>
      <c r="X8" s="3">
        <v>0.25058799999999998</v>
      </c>
    </row>
    <row r="9" spans="2:24" ht="15.75" x14ac:dyDescent="0.25">
      <c r="B9" s="112"/>
      <c r="C9" s="75" t="s">
        <v>133</v>
      </c>
      <c r="D9" s="8">
        <v>0.98343899999999995</v>
      </c>
      <c r="E9" s="5"/>
      <c r="F9" s="5"/>
      <c r="G9" s="5"/>
      <c r="H9" s="5"/>
      <c r="I9" s="5" t="s">
        <v>20</v>
      </c>
      <c r="J9" s="57">
        <f>D13</f>
        <v>-1.1349E-2</v>
      </c>
      <c r="K9" s="5"/>
      <c r="L9" s="5"/>
      <c r="M9" s="24"/>
      <c r="S9" s="59"/>
      <c r="W9" s="3" t="s">
        <v>9</v>
      </c>
      <c r="X9" s="3">
        <v>6.1296999999999997E-2</v>
      </c>
    </row>
    <row r="10" spans="2:24" x14ac:dyDescent="0.2">
      <c r="B10" s="112"/>
      <c r="C10" s="205" t="s">
        <v>151</v>
      </c>
      <c r="D10" s="102">
        <v>2.7910000000000001E-2</v>
      </c>
      <c r="E10" s="5"/>
      <c r="F10" s="5"/>
      <c r="G10" s="5"/>
      <c r="I10" s="3" t="s">
        <v>152</v>
      </c>
      <c r="J10" s="57">
        <f>D11</f>
        <v>2.7910000000000001E-2</v>
      </c>
      <c r="K10" s="5"/>
      <c r="L10" s="5"/>
      <c r="M10" s="24"/>
      <c r="S10" s="59"/>
      <c r="W10" s="3" t="s">
        <v>10</v>
      </c>
      <c r="X10" s="3">
        <v>3.0130999999999998E-2</v>
      </c>
    </row>
    <row r="11" spans="2:24" ht="15.75" x14ac:dyDescent="0.2">
      <c r="B11" s="112"/>
      <c r="C11" s="206" t="s">
        <v>152</v>
      </c>
      <c r="D11" s="207">
        <v>2.7910000000000001E-2</v>
      </c>
      <c r="E11" s="5"/>
      <c r="F11" s="5"/>
      <c r="G11" s="5"/>
      <c r="J11" s="5"/>
      <c r="K11" s="5"/>
      <c r="L11" s="5"/>
      <c r="M11" s="24"/>
      <c r="S11" s="59"/>
      <c r="W11" s="3" t="s">
        <v>7</v>
      </c>
      <c r="X11" s="3">
        <v>2.7299E-2</v>
      </c>
    </row>
    <row r="12" spans="2:24" x14ac:dyDescent="0.2">
      <c r="B12" s="112"/>
      <c r="C12" s="205"/>
      <c r="D12" s="102"/>
      <c r="E12" s="5"/>
      <c r="F12" s="5"/>
      <c r="G12" s="5"/>
      <c r="J12" s="5"/>
      <c r="K12" s="5"/>
      <c r="L12" s="5"/>
      <c r="M12" s="24"/>
      <c r="S12" s="59"/>
      <c r="W12" s="3" t="s">
        <v>27</v>
      </c>
      <c r="X12" s="3">
        <v>2.5925E-2</v>
      </c>
    </row>
    <row r="13" spans="2:24" ht="15.75" x14ac:dyDescent="0.2">
      <c r="B13" s="112"/>
      <c r="C13" s="206" t="s">
        <v>20</v>
      </c>
      <c r="D13" s="207">
        <v>-1.1349E-2</v>
      </c>
      <c r="E13" s="5"/>
      <c r="F13" s="5"/>
      <c r="G13" s="5"/>
      <c r="J13" s="5"/>
      <c r="K13" s="5"/>
      <c r="L13" s="5"/>
      <c r="M13" s="24"/>
      <c r="S13" s="59"/>
      <c r="W13" s="3" t="s">
        <v>8</v>
      </c>
      <c r="X13" s="3">
        <v>2.3822000000000003E-2</v>
      </c>
    </row>
    <row r="14" spans="2:24" x14ac:dyDescent="0.2">
      <c r="B14" s="112"/>
      <c r="C14" s="205"/>
      <c r="D14" s="102"/>
      <c r="E14" s="5"/>
      <c r="F14" s="5"/>
      <c r="G14" s="5"/>
      <c r="H14" s="5"/>
      <c r="I14" s="5"/>
      <c r="J14" s="5"/>
      <c r="K14" s="5"/>
      <c r="L14" s="5"/>
      <c r="M14" s="24"/>
      <c r="S14" s="59"/>
      <c r="W14" s="3" t="s">
        <v>25</v>
      </c>
      <c r="X14" s="3">
        <v>2.3753E-2</v>
      </c>
    </row>
    <row r="15" spans="2:24" ht="15.75" x14ac:dyDescent="0.2">
      <c r="B15" s="112"/>
      <c r="C15" s="208" t="s">
        <v>21</v>
      </c>
      <c r="D15" s="103">
        <v>1</v>
      </c>
      <c r="E15" s="5"/>
      <c r="F15" s="5"/>
      <c r="G15" s="5"/>
      <c r="H15" s="5"/>
      <c r="I15" s="5"/>
      <c r="J15" s="5"/>
      <c r="K15" s="5"/>
      <c r="L15" s="5"/>
      <c r="M15" s="24"/>
      <c r="S15" s="59"/>
      <c r="W15" s="3" t="s">
        <v>17</v>
      </c>
      <c r="X15" s="3">
        <v>1.8620999999999999E-2</v>
      </c>
    </row>
    <row r="16" spans="2:24" x14ac:dyDescent="0.2">
      <c r="B16" s="112"/>
      <c r="E16" s="5"/>
      <c r="F16" s="5"/>
      <c r="G16" s="5"/>
      <c r="H16" s="5"/>
      <c r="I16" s="5"/>
      <c r="J16" s="5"/>
      <c r="K16" s="5"/>
      <c r="L16" s="5"/>
      <c r="M16" s="24"/>
      <c r="S16" s="59"/>
      <c r="W16" s="3" t="s">
        <v>28</v>
      </c>
      <c r="X16" s="3">
        <v>1.7219000000000002E-2</v>
      </c>
    </row>
    <row r="17" spans="2:24" ht="15.75" x14ac:dyDescent="0.25">
      <c r="B17" s="112"/>
      <c r="C17" s="39"/>
      <c r="D17" s="40"/>
      <c r="E17" s="5"/>
      <c r="F17" s="5"/>
      <c r="G17" s="5"/>
      <c r="H17" s="5"/>
      <c r="I17" s="5"/>
      <c r="J17" s="5"/>
      <c r="K17" s="5"/>
      <c r="L17" s="5"/>
      <c r="M17" s="24"/>
      <c r="S17" s="59"/>
      <c r="W17" s="3" t="s">
        <v>12</v>
      </c>
      <c r="X17" s="3">
        <v>1.6056000000000001E-2</v>
      </c>
    </row>
    <row r="18" spans="2:24" x14ac:dyDescent="0.2">
      <c r="B18" s="112"/>
      <c r="C18" s="47"/>
      <c r="D18" s="47"/>
      <c r="E18" s="5"/>
      <c r="F18" s="5"/>
      <c r="G18" s="5"/>
      <c r="H18" s="5"/>
      <c r="I18" s="5"/>
      <c r="J18" s="5"/>
      <c r="K18" s="5"/>
      <c r="L18" s="5"/>
      <c r="M18" s="24"/>
      <c r="S18" s="59"/>
      <c r="W18" s="3" t="s">
        <v>6</v>
      </c>
      <c r="X18" s="3">
        <v>1.41E-2</v>
      </c>
    </row>
    <row r="19" spans="2:24" ht="15.75" x14ac:dyDescent="0.25">
      <c r="B19" s="112"/>
      <c r="C19" s="39"/>
      <c r="D19" s="41"/>
      <c r="E19" s="5"/>
      <c r="F19" s="5"/>
      <c r="G19" s="5"/>
      <c r="H19" s="5"/>
      <c r="I19" s="5"/>
      <c r="J19" s="5"/>
      <c r="K19" s="5"/>
      <c r="L19" s="5"/>
      <c r="M19" s="24"/>
      <c r="S19" s="59"/>
      <c r="W19" s="3" t="s">
        <v>14</v>
      </c>
      <c r="X19" s="3">
        <v>1.1167E-2</v>
      </c>
    </row>
    <row r="20" spans="2:24" x14ac:dyDescent="0.2">
      <c r="B20" s="112"/>
      <c r="E20" s="5"/>
      <c r="F20" s="5"/>
      <c r="G20" s="5"/>
      <c r="H20" s="5"/>
      <c r="I20" s="5"/>
      <c r="J20" s="5"/>
      <c r="K20" s="5"/>
      <c r="L20" s="5"/>
      <c r="M20" s="24"/>
      <c r="S20" s="59"/>
      <c r="W20" s="3" t="s">
        <v>11</v>
      </c>
      <c r="X20" s="3">
        <v>1.1159000000000001E-2</v>
      </c>
    </row>
    <row r="21" spans="2:24" x14ac:dyDescent="0.2">
      <c r="B21" s="112"/>
      <c r="E21" s="5"/>
      <c r="F21" s="5"/>
      <c r="G21" s="5"/>
      <c r="H21" s="5"/>
      <c r="I21" s="5"/>
      <c r="J21" s="5"/>
      <c r="K21" s="5"/>
      <c r="L21" s="5"/>
      <c r="M21" s="24"/>
      <c r="S21" s="59"/>
      <c r="W21" s="3" t="s">
        <v>18</v>
      </c>
      <c r="X21" s="3">
        <v>1.0543E-2</v>
      </c>
    </row>
    <row r="22" spans="2:24" ht="16.5" thickBot="1" x14ac:dyDescent="0.3">
      <c r="B22" s="116"/>
      <c r="C22" s="223"/>
      <c r="D22" s="223"/>
      <c r="E22" s="223"/>
      <c r="F22" s="223"/>
      <c r="G22" s="223"/>
      <c r="H22" s="223"/>
      <c r="I22" s="223"/>
      <c r="J22" s="223"/>
      <c r="K22" s="223"/>
      <c r="L22" s="223"/>
      <c r="M22" s="224"/>
      <c r="S22" s="59"/>
    </row>
    <row r="23" spans="2:24" ht="15.75" thickBot="1" x14ac:dyDescent="0.25">
      <c r="S23" s="59"/>
    </row>
    <row r="24" spans="2:24" x14ac:dyDescent="0.2">
      <c r="B24" s="225" t="s">
        <v>117</v>
      </c>
      <c r="C24" s="226"/>
      <c r="D24" s="226"/>
      <c r="E24" s="226"/>
      <c r="F24" s="226"/>
      <c r="G24" s="226"/>
      <c r="H24" s="226"/>
      <c r="I24" s="226"/>
      <c r="J24" s="226"/>
      <c r="K24" s="226"/>
      <c r="L24" s="226"/>
      <c r="M24" s="226"/>
      <c r="N24" s="227"/>
      <c r="S24" s="59"/>
    </row>
    <row r="25" spans="2:24" x14ac:dyDescent="0.2">
      <c r="B25" s="228"/>
      <c r="C25" s="229"/>
      <c r="D25" s="229"/>
      <c r="E25" s="229"/>
      <c r="F25" s="229"/>
      <c r="G25" s="229"/>
      <c r="H25" s="229"/>
      <c r="I25" s="229"/>
      <c r="J25" s="229"/>
      <c r="K25" s="229"/>
      <c r="L25" s="229"/>
      <c r="M25" s="229"/>
      <c r="N25" s="230"/>
      <c r="S25" s="59"/>
    </row>
    <row r="26" spans="2:24" x14ac:dyDescent="0.2">
      <c r="B26" s="228"/>
      <c r="C26" s="229"/>
      <c r="D26" s="229"/>
      <c r="E26" s="229"/>
      <c r="F26" s="229"/>
      <c r="G26" s="229"/>
      <c r="H26" s="229"/>
      <c r="I26" s="229"/>
      <c r="J26" s="229"/>
      <c r="K26" s="229"/>
      <c r="L26" s="229"/>
      <c r="M26" s="229"/>
      <c r="N26" s="230"/>
      <c r="S26" s="59"/>
    </row>
    <row r="27" spans="2:24" x14ac:dyDescent="0.2">
      <c r="B27" s="228"/>
      <c r="C27" s="229"/>
      <c r="D27" s="229"/>
      <c r="E27" s="229"/>
      <c r="F27" s="229"/>
      <c r="G27" s="229"/>
      <c r="H27" s="229"/>
      <c r="I27" s="229"/>
      <c r="J27" s="229"/>
      <c r="K27" s="229"/>
      <c r="L27" s="229"/>
      <c r="M27" s="229"/>
      <c r="N27" s="230"/>
      <c r="S27" s="59"/>
    </row>
    <row r="28" spans="2:24" x14ac:dyDescent="0.2">
      <c r="B28" s="228"/>
      <c r="C28" s="229"/>
      <c r="D28" s="229"/>
      <c r="E28" s="229"/>
      <c r="F28" s="229"/>
      <c r="G28" s="229"/>
      <c r="H28" s="229"/>
      <c r="I28" s="229"/>
      <c r="J28" s="229"/>
      <c r="K28" s="229"/>
      <c r="L28" s="229"/>
      <c r="M28" s="229"/>
      <c r="N28" s="230"/>
      <c r="S28" s="59"/>
    </row>
    <row r="29" spans="2:24" x14ac:dyDescent="0.2">
      <c r="B29" s="228"/>
      <c r="C29" s="229"/>
      <c r="D29" s="229"/>
      <c r="E29" s="229"/>
      <c r="F29" s="229"/>
      <c r="G29" s="229"/>
      <c r="H29" s="229"/>
      <c r="I29" s="229"/>
      <c r="J29" s="229"/>
      <c r="K29" s="229"/>
      <c r="L29" s="229"/>
      <c r="M29" s="229"/>
      <c r="N29" s="230"/>
      <c r="S29" s="59"/>
    </row>
    <row r="30" spans="2:24" ht="37.5" customHeight="1" thickBot="1" x14ac:dyDescent="0.25">
      <c r="B30" s="231"/>
      <c r="C30" s="232"/>
      <c r="D30" s="232"/>
      <c r="E30" s="232"/>
      <c r="F30" s="232"/>
      <c r="G30" s="232"/>
      <c r="H30" s="232"/>
      <c r="I30" s="232"/>
      <c r="J30" s="232"/>
      <c r="K30" s="232"/>
      <c r="L30" s="232"/>
      <c r="M30" s="232"/>
      <c r="N30" s="233"/>
      <c r="S30" s="59"/>
    </row>
    <row r="31" spans="2:24" ht="15.75" thickBot="1" x14ac:dyDescent="0.25">
      <c r="S31" s="59"/>
    </row>
    <row r="32" spans="2:24" x14ac:dyDescent="0.2">
      <c r="B32" s="225" t="s">
        <v>134</v>
      </c>
      <c r="C32" s="226"/>
      <c r="D32" s="226"/>
      <c r="E32" s="226"/>
      <c r="F32" s="226"/>
      <c r="G32" s="226"/>
      <c r="H32" s="226"/>
      <c r="I32" s="226"/>
      <c r="J32" s="226"/>
      <c r="K32" s="226"/>
      <c r="L32" s="226"/>
      <c r="M32" s="226"/>
      <c r="N32" s="227"/>
      <c r="S32" s="59"/>
    </row>
    <row r="33" spans="2:19" x14ac:dyDescent="0.2">
      <c r="B33" s="228"/>
      <c r="C33" s="229"/>
      <c r="D33" s="229"/>
      <c r="E33" s="229"/>
      <c r="F33" s="229"/>
      <c r="G33" s="229"/>
      <c r="H33" s="229"/>
      <c r="I33" s="229"/>
      <c r="J33" s="229"/>
      <c r="K33" s="229"/>
      <c r="L33" s="229"/>
      <c r="M33" s="229"/>
      <c r="N33" s="230"/>
      <c r="S33" s="59"/>
    </row>
    <row r="34" spans="2:19" x14ac:dyDescent="0.2">
      <c r="B34" s="228"/>
      <c r="C34" s="229"/>
      <c r="D34" s="229"/>
      <c r="E34" s="229"/>
      <c r="F34" s="229"/>
      <c r="G34" s="229"/>
      <c r="H34" s="229"/>
      <c r="I34" s="229"/>
      <c r="J34" s="229"/>
      <c r="K34" s="229"/>
      <c r="L34" s="229"/>
      <c r="M34" s="229"/>
      <c r="N34" s="230"/>
      <c r="S34" s="59"/>
    </row>
    <row r="35" spans="2:19" x14ac:dyDescent="0.2">
      <c r="B35" s="228"/>
      <c r="C35" s="229"/>
      <c r="D35" s="229"/>
      <c r="E35" s="229"/>
      <c r="F35" s="229"/>
      <c r="G35" s="229"/>
      <c r="H35" s="229"/>
      <c r="I35" s="229"/>
      <c r="J35" s="229"/>
      <c r="K35" s="229"/>
      <c r="L35" s="229"/>
      <c r="M35" s="229"/>
      <c r="N35" s="230"/>
      <c r="S35" s="59"/>
    </row>
    <row r="36" spans="2:19" x14ac:dyDescent="0.2">
      <c r="B36" s="228"/>
      <c r="C36" s="229"/>
      <c r="D36" s="229"/>
      <c r="E36" s="229"/>
      <c r="F36" s="229"/>
      <c r="G36" s="229"/>
      <c r="H36" s="229"/>
      <c r="I36" s="229"/>
      <c r="J36" s="229"/>
      <c r="K36" s="229"/>
      <c r="L36" s="229"/>
      <c r="M36" s="229"/>
      <c r="N36" s="230"/>
      <c r="S36" s="59"/>
    </row>
    <row r="37" spans="2:19" x14ac:dyDescent="0.2">
      <c r="B37" s="228"/>
      <c r="C37" s="229"/>
      <c r="D37" s="229"/>
      <c r="E37" s="229"/>
      <c r="F37" s="229"/>
      <c r="G37" s="229"/>
      <c r="H37" s="229"/>
      <c r="I37" s="229"/>
      <c r="J37" s="229"/>
      <c r="K37" s="229"/>
      <c r="L37" s="229"/>
      <c r="M37" s="229"/>
      <c r="N37" s="230"/>
      <c r="S37" s="59"/>
    </row>
    <row r="38" spans="2:19" ht="15.75" thickBot="1" x14ac:dyDescent="0.25">
      <c r="B38" s="231"/>
      <c r="C38" s="232"/>
      <c r="D38" s="232"/>
      <c r="E38" s="232"/>
      <c r="F38" s="232"/>
      <c r="G38" s="232"/>
      <c r="H38" s="232"/>
      <c r="I38" s="232"/>
      <c r="J38" s="232"/>
      <c r="K38" s="232"/>
      <c r="L38" s="232"/>
      <c r="M38" s="232"/>
      <c r="N38" s="233"/>
      <c r="S38" s="59"/>
    </row>
    <row r="39" spans="2:19" x14ac:dyDescent="0.2">
      <c r="S39" s="59"/>
    </row>
    <row r="40" spans="2:19" x14ac:dyDescent="0.2">
      <c r="S40" s="59"/>
    </row>
    <row r="41" spans="2:19" x14ac:dyDescent="0.2">
      <c r="S41" s="59"/>
    </row>
    <row r="42" spans="2:19" x14ac:dyDescent="0.2">
      <c r="S42" s="59"/>
    </row>
    <row r="43" spans="2:19" x14ac:dyDescent="0.2">
      <c r="S43" s="59"/>
    </row>
    <row r="44" spans="2:19" x14ac:dyDescent="0.2">
      <c r="S44" s="59"/>
    </row>
    <row r="45" spans="2:19" x14ac:dyDescent="0.2">
      <c r="S45" s="59"/>
    </row>
    <row r="46" spans="2:19" x14ac:dyDescent="0.2">
      <c r="S46" s="59"/>
    </row>
    <row r="47" spans="2:19" x14ac:dyDescent="0.2">
      <c r="S47" s="59"/>
    </row>
    <row r="48" spans="2:19" x14ac:dyDescent="0.2">
      <c r="S48" s="59"/>
    </row>
    <row r="49" spans="19:19" x14ac:dyDescent="0.2">
      <c r="S49" s="59"/>
    </row>
    <row r="50" spans="19:19" x14ac:dyDescent="0.2">
      <c r="S50" s="59"/>
    </row>
    <row r="51" spans="19:19" x14ac:dyDescent="0.2">
      <c r="S51" s="59"/>
    </row>
    <row r="52" spans="19:19" x14ac:dyDescent="0.2">
      <c r="S52" s="59"/>
    </row>
    <row r="53" spans="19:19" x14ac:dyDescent="0.2">
      <c r="S53" s="59"/>
    </row>
    <row r="54" spans="19:19" x14ac:dyDescent="0.2">
      <c r="S54" s="59"/>
    </row>
    <row r="55" spans="19:19" x14ac:dyDescent="0.2">
      <c r="S55" s="59"/>
    </row>
    <row r="56" spans="19:19" x14ac:dyDescent="0.2">
      <c r="S56" s="59"/>
    </row>
    <row r="57" spans="19:19" x14ac:dyDescent="0.2">
      <c r="S57" s="59"/>
    </row>
    <row r="58" spans="19:19" x14ac:dyDescent="0.2">
      <c r="S58" s="59"/>
    </row>
    <row r="59" spans="19:19" x14ac:dyDescent="0.2">
      <c r="S59" s="59"/>
    </row>
    <row r="60" spans="19:19" x14ac:dyDescent="0.2">
      <c r="S60" s="59"/>
    </row>
    <row r="61" spans="19:19" x14ac:dyDescent="0.2">
      <c r="S61" s="59"/>
    </row>
    <row r="62" spans="19:19" x14ac:dyDescent="0.2">
      <c r="S62" s="59"/>
    </row>
    <row r="63" spans="19:19" x14ac:dyDescent="0.2">
      <c r="S63" s="59"/>
    </row>
    <row r="64" spans="19:19" x14ac:dyDescent="0.2">
      <c r="S64" s="59"/>
    </row>
    <row r="65" spans="19:19" x14ac:dyDescent="0.2">
      <c r="S65" s="59"/>
    </row>
    <row r="66" spans="19:19" x14ac:dyDescent="0.2">
      <c r="S66" s="59"/>
    </row>
    <row r="67" spans="19:19" x14ac:dyDescent="0.2">
      <c r="S67" s="59"/>
    </row>
    <row r="68" spans="19:19" x14ac:dyDescent="0.2">
      <c r="S68" s="59"/>
    </row>
    <row r="69" spans="19:19" x14ac:dyDescent="0.2">
      <c r="S69" s="59"/>
    </row>
    <row r="70" spans="19:19" x14ac:dyDescent="0.2">
      <c r="S70" s="59"/>
    </row>
    <row r="71" spans="19:19" x14ac:dyDescent="0.2">
      <c r="S71" s="59"/>
    </row>
    <row r="72" spans="19:19" x14ac:dyDescent="0.2">
      <c r="S72" s="59"/>
    </row>
    <row r="73" spans="19:19" x14ac:dyDescent="0.2">
      <c r="S73" s="59"/>
    </row>
    <row r="74" spans="19:19" x14ac:dyDescent="0.2">
      <c r="S74" s="59"/>
    </row>
    <row r="75" spans="19:19" x14ac:dyDescent="0.2">
      <c r="S75" s="59"/>
    </row>
    <row r="76" spans="19:19" x14ac:dyDescent="0.2">
      <c r="S76" s="59"/>
    </row>
    <row r="77" spans="19:19" x14ac:dyDescent="0.2">
      <c r="S77" s="59"/>
    </row>
    <row r="78" spans="19:19" x14ac:dyDescent="0.2">
      <c r="S78" s="59"/>
    </row>
    <row r="79" spans="19:19" x14ac:dyDescent="0.2">
      <c r="S79" s="59"/>
    </row>
    <row r="80" spans="19:19" x14ac:dyDescent="0.2">
      <c r="S80" s="59"/>
    </row>
    <row r="81" spans="19:19" x14ac:dyDescent="0.2">
      <c r="S81" s="59"/>
    </row>
    <row r="82" spans="19:19" x14ac:dyDescent="0.2">
      <c r="S82" s="59"/>
    </row>
    <row r="83" spans="19:19" x14ac:dyDescent="0.2">
      <c r="S83" s="59"/>
    </row>
    <row r="84" spans="19:19" x14ac:dyDescent="0.2">
      <c r="S84" s="59"/>
    </row>
    <row r="85" spans="19:19" x14ac:dyDescent="0.2">
      <c r="S85" s="59"/>
    </row>
    <row r="86" spans="19:19" x14ac:dyDescent="0.2">
      <c r="S86" s="59"/>
    </row>
    <row r="87" spans="19:19" x14ac:dyDescent="0.2">
      <c r="S87" s="59"/>
    </row>
    <row r="88" spans="19:19" x14ac:dyDescent="0.2">
      <c r="S88" s="59"/>
    </row>
    <row r="89" spans="19:19" x14ac:dyDescent="0.2">
      <c r="S89" s="59"/>
    </row>
    <row r="90" spans="19:19" x14ac:dyDescent="0.2">
      <c r="S90" s="59"/>
    </row>
    <row r="91" spans="19:19" x14ac:dyDescent="0.2">
      <c r="S91" s="59"/>
    </row>
    <row r="92" spans="19:19" x14ac:dyDescent="0.2">
      <c r="S92" s="59"/>
    </row>
    <row r="93" spans="19:19" x14ac:dyDescent="0.2">
      <c r="S93" s="59"/>
    </row>
    <row r="94" spans="19:19" x14ac:dyDescent="0.2">
      <c r="S94" s="59"/>
    </row>
    <row r="95" spans="19:19" x14ac:dyDescent="0.2">
      <c r="S95" s="59"/>
    </row>
    <row r="96" spans="19:19" x14ac:dyDescent="0.2">
      <c r="S96" s="59"/>
    </row>
    <row r="97" spans="19:19" x14ac:dyDescent="0.2">
      <c r="S97" s="59"/>
    </row>
    <row r="98" spans="19:19" x14ac:dyDescent="0.2">
      <c r="S98" s="59"/>
    </row>
    <row r="99" spans="19:19" x14ac:dyDescent="0.2">
      <c r="S99" s="59"/>
    </row>
    <row r="100" spans="19:19" x14ac:dyDescent="0.2">
      <c r="S100" s="59"/>
    </row>
    <row r="101" spans="19:19" x14ac:dyDescent="0.2">
      <c r="S101" s="59"/>
    </row>
    <row r="102" spans="19:19" x14ac:dyDescent="0.2">
      <c r="S102" s="59"/>
    </row>
    <row r="103" spans="19:19" x14ac:dyDescent="0.2">
      <c r="S103" s="59"/>
    </row>
    <row r="104" spans="19:19" x14ac:dyDescent="0.2">
      <c r="S104" s="59"/>
    </row>
    <row r="105" spans="19:19" x14ac:dyDescent="0.2">
      <c r="S105" s="59"/>
    </row>
    <row r="106" spans="19:19" x14ac:dyDescent="0.2">
      <c r="S106" s="59"/>
    </row>
    <row r="107" spans="19:19" x14ac:dyDescent="0.2">
      <c r="S107" s="59"/>
    </row>
    <row r="108" spans="19:19" x14ac:dyDescent="0.2">
      <c r="S108" s="59"/>
    </row>
    <row r="109" spans="19:19" x14ac:dyDescent="0.2">
      <c r="S109" s="59"/>
    </row>
    <row r="110" spans="19:19" x14ac:dyDescent="0.2">
      <c r="S110" s="59"/>
    </row>
    <row r="111" spans="19:19" x14ac:dyDescent="0.2">
      <c r="S111" s="59"/>
    </row>
    <row r="112" spans="19:19" x14ac:dyDescent="0.2">
      <c r="S112" s="59"/>
    </row>
    <row r="113" spans="19:19" x14ac:dyDescent="0.2">
      <c r="S113" s="59"/>
    </row>
    <row r="114" spans="19:19" x14ac:dyDescent="0.2">
      <c r="S114" s="59"/>
    </row>
    <row r="115" spans="19:19" x14ac:dyDescent="0.2">
      <c r="S115" s="59"/>
    </row>
    <row r="116" spans="19:19" x14ac:dyDescent="0.2">
      <c r="S116" s="59"/>
    </row>
    <row r="117" spans="19:19" x14ac:dyDescent="0.2">
      <c r="S117" s="59"/>
    </row>
    <row r="118" spans="19:19" x14ac:dyDescent="0.2">
      <c r="S118" s="59"/>
    </row>
    <row r="119" spans="19:19" x14ac:dyDescent="0.2">
      <c r="S119" s="59"/>
    </row>
    <row r="120" spans="19:19" x14ac:dyDescent="0.2">
      <c r="S120" s="59"/>
    </row>
    <row r="121" spans="19:19" x14ac:dyDescent="0.2">
      <c r="S121" s="59"/>
    </row>
    <row r="122" spans="19:19" x14ac:dyDescent="0.2">
      <c r="S122" s="59"/>
    </row>
    <row r="123" spans="19:19" x14ac:dyDescent="0.2">
      <c r="S123" s="59"/>
    </row>
    <row r="124" spans="19:19" x14ac:dyDescent="0.2">
      <c r="S124" s="59"/>
    </row>
    <row r="125" spans="19:19" x14ac:dyDescent="0.2">
      <c r="S125" s="59"/>
    </row>
    <row r="126" spans="19:19" x14ac:dyDescent="0.2">
      <c r="S126" s="59"/>
    </row>
    <row r="127" spans="19:19" x14ac:dyDescent="0.2">
      <c r="S127" s="59"/>
    </row>
    <row r="128" spans="19:19" x14ac:dyDescent="0.2">
      <c r="S128" s="59"/>
    </row>
    <row r="129" spans="19:19" x14ac:dyDescent="0.2">
      <c r="S129" s="59"/>
    </row>
    <row r="130" spans="19:19" x14ac:dyDescent="0.2">
      <c r="S130" s="59"/>
    </row>
    <row r="131" spans="19:19" x14ac:dyDescent="0.2">
      <c r="S131" s="59"/>
    </row>
    <row r="132" spans="19:19" x14ac:dyDescent="0.2">
      <c r="S132" s="59"/>
    </row>
    <row r="133" spans="19:19" x14ac:dyDescent="0.2">
      <c r="S133" s="59"/>
    </row>
    <row r="134" spans="19:19" x14ac:dyDescent="0.2">
      <c r="S134" s="59"/>
    </row>
    <row r="135" spans="19:19" x14ac:dyDescent="0.2">
      <c r="S135" s="59"/>
    </row>
    <row r="136" spans="19:19" x14ac:dyDescent="0.2">
      <c r="S136" s="59"/>
    </row>
    <row r="137" spans="19:19" x14ac:dyDescent="0.2">
      <c r="S137" s="59"/>
    </row>
    <row r="138" spans="19:19" x14ac:dyDescent="0.2">
      <c r="S138" s="59"/>
    </row>
    <row r="139" spans="19:19" x14ac:dyDescent="0.2">
      <c r="S139" s="59"/>
    </row>
    <row r="140" spans="19:19" x14ac:dyDescent="0.2">
      <c r="S140" s="59"/>
    </row>
    <row r="141" spans="19:19" x14ac:dyDescent="0.2">
      <c r="S141" s="59"/>
    </row>
    <row r="142" spans="19:19" x14ac:dyDescent="0.2">
      <c r="S142" s="59"/>
    </row>
    <row r="143" spans="19:19" x14ac:dyDescent="0.2">
      <c r="S143" s="59"/>
    </row>
    <row r="144" spans="19:19" x14ac:dyDescent="0.2">
      <c r="S144" s="59"/>
    </row>
    <row r="145" spans="19:19" x14ac:dyDescent="0.2">
      <c r="S145" s="59"/>
    </row>
    <row r="146" spans="19:19" x14ac:dyDescent="0.2">
      <c r="S146" s="59"/>
    </row>
    <row r="147" spans="19:19" x14ac:dyDescent="0.2">
      <c r="S147" s="59"/>
    </row>
    <row r="148" spans="19:19" x14ac:dyDescent="0.2">
      <c r="S148" s="59"/>
    </row>
    <row r="149" spans="19:19" x14ac:dyDescent="0.2">
      <c r="S149" s="59"/>
    </row>
    <row r="150" spans="19:19" x14ac:dyDescent="0.2">
      <c r="S150" s="59"/>
    </row>
    <row r="151" spans="19:19" x14ac:dyDescent="0.2">
      <c r="S151" s="59"/>
    </row>
    <row r="152" spans="19:19" x14ac:dyDescent="0.2">
      <c r="S152" s="59"/>
    </row>
    <row r="153" spans="19:19" x14ac:dyDescent="0.2">
      <c r="S153" s="59"/>
    </row>
    <row r="154" spans="19:19" x14ac:dyDescent="0.2">
      <c r="S154" s="59"/>
    </row>
    <row r="155" spans="19:19" x14ac:dyDescent="0.2">
      <c r="S155" s="59"/>
    </row>
    <row r="156" spans="19:19" x14ac:dyDescent="0.2">
      <c r="S156" s="59"/>
    </row>
    <row r="157" spans="19:19" x14ac:dyDescent="0.2">
      <c r="S157" s="59"/>
    </row>
    <row r="158" spans="19:19" x14ac:dyDescent="0.2">
      <c r="S158" s="59"/>
    </row>
    <row r="159" spans="19:19" x14ac:dyDescent="0.2">
      <c r="S159" s="59"/>
    </row>
    <row r="160" spans="19:19" x14ac:dyDescent="0.2">
      <c r="S160" s="59"/>
    </row>
    <row r="161" spans="19:19" x14ac:dyDescent="0.2">
      <c r="S161" s="59"/>
    </row>
    <row r="162" spans="19:19" x14ac:dyDescent="0.2">
      <c r="S162" s="59"/>
    </row>
    <row r="163" spans="19:19" x14ac:dyDescent="0.2">
      <c r="S163" s="59"/>
    </row>
    <row r="164" spans="19:19" x14ac:dyDescent="0.2">
      <c r="S164" s="59"/>
    </row>
    <row r="165" spans="19:19" x14ac:dyDescent="0.2">
      <c r="S165" s="59"/>
    </row>
    <row r="166" spans="19:19" x14ac:dyDescent="0.2">
      <c r="S166" s="59"/>
    </row>
    <row r="167" spans="19:19" x14ac:dyDescent="0.2">
      <c r="S167" s="59"/>
    </row>
    <row r="168" spans="19:19" x14ac:dyDescent="0.2">
      <c r="S168" s="59"/>
    </row>
    <row r="169" spans="19:19" x14ac:dyDescent="0.2">
      <c r="S169" s="59"/>
    </row>
    <row r="170" spans="19:19" x14ac:dyDescent="0.2">
      <c r="S170" s="59"/>
    </row>
    <row r="171" spans="19:19" x14ac:dyDescent="0.2">
      <c r="S171" s="59"/>
    </row>
    <row r="172" spans="19:19" x14ac:dyDescent="0.2">
      <c r="S172" s="59"/>
    </row>
    <row r="173" spans="19:19" x14ac:dyDescent="0.2">
      <c r="S173" s="59"/>
    </row>
    <row r="174" spans="19:19" x14ac:dyDescent="0.2">
      <c r="S174" s="59"/>
    </row>
    <row r="175" spans="19:19" x14ac:dyDescent="0.2">
      <c r="S175" s="59"/>
    </row>
    <row r="176" spans="19:19" x14ac:dyDescent="0.2">
      <c r="S176" s="59"/>
    </row>
    <row r="177" spans="19:19" x14ac:dyDescent="0.2">
      <c r="S177" s="59"/>
    </row>
    <row r="178" spans="19:19" x14ac:dyDescent="0.2">
      <c r="S178" s="59"/>
    </row>
    <row r="179" spans="19:19" x14ac:dyDescent="0.2">
      <c r="S179" s="59"/>
    </row>
    <row r="180" spans="19:19" x14ac:dyDescent="0.2">
      <c r="S180" s="59"/>
    </row>
    <row r="181" spans="19:19" x14ac:dyDescent="0.2">
      <c r="S181" s="59"/>
    </row>
    <row r="182" spans="19:19" x14ac:dyDescent="0.2">
      <c r="S182" s="59"/>
    </row>
    <row r="183" spans="19:19" x14ac:dyDescent="0.2">
      <c r="S183" s="59"/>
    </row>
    <row r="184" spans="19:19" x14ac:dyDescent="0.2">
      <c r="S184" s="59"/>
    </row>
    <row r="185" spans="19:19" x14ac:dyDescent="0.2">
      <c r="S185" s="59"/>
    </row>
    <row r="186" spans="19:19" x14ac:dyDescent="0.2">
      <c r="S186" s="59"/>
    </row>
    <row r="187" spans="19:19" x14ac:dyDescent="0.2">
      <c r="S187" s="59"/>
    </row>
    <row r="188" spans="19:19" x14ac:dyDescent="0.2">
      <c r="S188" s="59"/>
    </row>
    <row r="189" spans="19:19" x14ac:dyDescent="0.2">
      <c r="S189" s="59"/>
    </row>
    <row r="190" spans="19:19" x14ac:dyDescent="0.2">
      <c r="S190" s="59"/>
    </row>
    <row r="191" spans="19:19" x14ac:dyDescent="0.2">
      <c r="S191" s="59"/>
    </row>
    <row r="192" spans="19:19" x14ac:dyDescent="0.2">
      <c r="S192" s="59"/>
    </row>
    <row r="193" spans="19:19" x14ac:dyDescent="0.2">
      <c r="S193" s="59"/>
    </row>
    <row r="194" spans="19:19" x14ac:dyDescent="0.2">
      <c r="S194" s="59"/>
    </row>
    <row r="195" spans="19:19" x14ac:dyDescent="0.2">
      <c r="S195" s="59"/>
    </row>
    <row r="196" spans="19:19" x14ac:dyDescent="0.2">
      <c r="S196" s="59"/>
    </row>
    <row r="197" spans="19:19" x14ac:dyDescent="0.2">
      <c r="S197" s="59"/>
    </row>
    <row r="198" spans="19:19" x14ac:dyDescent="0.2">
      <c r="S198" s="59"/>
    </row>
    <row r="199" spans="19:19" x14ac:dyDescent="0.2">
      <c r="S199" s="59"/>
    </row>
    <row r="200" spans="19:19" x14ac:dyDescent="0.2">
      <c r="S200" s="59"/>
    </row>
    <row r="201" spans="19:19" x14ac:dyDescent="0.2">
      <c r="S201" s="59"/>
    </row>
    <row r="202" spans="19:19" x14ac:dyDescent="0.2">
      <c r="S202" s="59"/>
    </row>
    <row r="203" spans="19:19" x14ac:dyDescent="0.2">
      <c r="S203" s="59"/>
    </row>
    <row r="204" spans="19:19" x14ac:dyDescent="0.2">
      <c r="S204" s="59"/>
    </row>
    <row r="205" spans="19:19" x14ac:dyDescent="0.2">
      <c r="S205" s="59"/>
    </row>
    <row r="206" spans="19:19" x14ac:dyDescent="0.2">
      <c r="S206" s="59"/>
    </row>
    <row r="207" spans="19:19" x14ac:dyDescent="0.2">
      <c r="S207" s="59"/>
    </row>
    <row r="208" spans="19:19" x14ac:dyDescent="0.2">
      <c r="S208" s="59"/>
    </row>
    <row r="209" spans="19:19" x14ac:dyDescent="0.2">
      <c r="S209" s="59"/>
    </row>
    <row r="210" spans="19:19" x14ac:dyDescent="0.2">
      <c r="S210" s="59"/>
    </row>
    <row r="211" spans="19:19" x14ac:dyDescent="0.2">
      <c r="S211" s="59"/>
    </row>
    <row r="212" spans="19:19" x14ac:dyDescent="0.2">
      <c r="S212" s="59"/>
    </row>
    <row r="213" spans="19:19" x14ac:dyDescent="0.2">
      <c r="S213" s="59"/>
    </row>
    <row r="214" spans="19:19" x14ac:dyDescent="0.2">
      <c r="S214" s="59"/>
    </row>
    <row r="215" spans="19:19" x14ac:dyDescent="0.2">
      <c r="S215" s="59"/>
    </row>
    <row r="216" spans="19:19" x14ac:dyDescent="0.2">
      <c r="S216" s="59"/>
    </row>
    <row r="217" spans="19:19" x14ac:dyDescent="0.2">
      <c r="S217" s="59"/>
    </row>
    <row r="218" spans="19:19" x14ac:dyDescent="0.2">
      <c r="S218" s="59"/>
    </row>
    <row r="219" spans="19:19" x14ac:dyDescent="0.2">
      <c r="S219" s="59"/>
    </row>
    <row r="220" spans="19:19" x14ac:dyDescent="0.2">
      <c r="S220" s="59"/>
    </row>
    <row r="221" spans="19:19" x14ac:dyDescent="0.2">
      <c r="S221" s="59"/>
    </row>
    <row r="222" spans="19:19" x14ac:dyDescent="0.2">
      <c r="S222" s="59"/>
    </row>
    <row r="223" spans="19:19" x14ac:dyDescent="0.2">
      <c r="S223" s="59"/>
    </row>
    <row r="224" spans="19:19" x14ac:dyDescent="0.2">
      <c r="S224" s="59"/>
    </row>
    <row r="225" spans="19:19" x14ac:dyDescent="0.2">
      <c r="S225" s="59"/>
    </row>
    <row r="226" spans="19:19" x14ac:dyDescent="0.2">
      <c r="S226" s="59"/>
    </row>
    <row r="227" spans="19:19" x14ac:dyDescent="0.2">
      <c r="S227" s="59"/>
    </row>
    <row r="228" spans="19:19" x14ac:dyDescent="0.2">
      <c r="S228" s="59"/>
    </row>
    <row r="229" spans="19:19" x14ac:dyDescent="0.2">
      <c r="S229" s="59"/>
    </row>
    <row r="230" spans="19:19" x14ac:dyDescent="0.2">
      <c r="S230" s="59"/>
    </row>
    <row r="231" spans="19:19" x14ac:dyDescent="0.2">
      <c r="S231" s="59"/>
    </row>
    <row r="232" spans="19:19" x14ac:dyDescent="0.2">
      <c r="S232" s="59"/>
    </row>
    <row r="233" spans="19:19" x14ac:dyDescent="0.2">
      <c r="S233" s="59"/>
    </row>
    <row r="234" spans="19:19" x14ac:dyDescent="0.2">
      <c r="S234" s="59"/>
    </row>
    <row r="235" spans="19:19" x14ac:dyDescent="0.2">
      <c r="S235" s="59"/>
    </row>
    <row r="236" spans="19:19" x14ac:dyDescent="0.2">
      <c r="S236" s="59"/>
    </row>
    <row r="237" spans="19:19" x14ac:dyDescent="0.2">
      <c r="S237" s="59"/>
    </row>
    <row r="238" spans="19:19" x14ac:dyDescent="0.2">
      <c r="S238" s="59"/>
    </row>
    <row r="239" spans="19:19" x14ac:dyDescent="0.2">
      <c r="S239" s="59"/>
    </row>
    <row r="240" spans="19:19" x14ac:dyDescent="0.2">
      <c r="S240" s="59"/>
    </row>
    <row r="241" spans="19:19" x14ac:dyDescent="0.2">
      <c r="S241" s="59"/>
    </row>
    <row r="242" spans="19:19" x14ac:dyDescent="0.2">
      <c r="S242" s="59"/>
    </row>
    <row r="243" spans="19:19" x14ac:dyDescent="0.2">
      <c r="S243" s="59"/>
    </row>
    <row r="244" spans="19:19" x14ac:dyDescent="0.2">
      <c r="S244" s="59"/>
    </row>
    <row r="245" spans="19:19" x14ac:dyDescent="0.2">
      <c r="S245" s="59"/>
    </row>
    <row r="246" spans="19:19" x14ac:dyDescent="0.2">
      <c r="S246" s="59"/>
    </row>
    <row r="247" spans="19:19" x14ac:dyDescent="0.2">
      <c r="S247" s="59"/>
    </row>
    <row r="248" spans="19:19" x14ac:dyDescent="0.2">
      <c r="S248" s="59"/>
    </row>
    <row r="249" spans="19:19" x14ac:dyDescent="0.2">
      <c r="S249" s="59"/>
    </row>
    <row r="250" spans="19:19" x14ac:dyDescent="0.2">
      <c r="S250" s="59"/>
    </row>
    <row r="251" spans="19:19" x14ac:dyDescent="0.2">
      <c r="S251" s="59"/>
    </row>
    <row r="252" spans="19:19" x14ac:dyDescent="0.2">
      <c r="S252" s="59"/>
    </row>
    <row r="253" spans="19:19" x14ac:dyDescent="0.2">
      <c r="S253" s="59"/>
    </row>
    <row r="254" spans="19:19" x14ac:dyDescent="0.2">
      <c r="S254" s="59"/>
    </row>
    <row r="255" spans="19:19" x14ac:dyDescent="0.2">
      <c r="S255" s="59"/>
    </row>
    <row r="256" spans="19:19" x14ac:dyDescent="0.2">
      <c r="S256" s="59"/>
    </row>
    <row r="257" spans="19:19" x14ac:dyDescent="0.2">
      <c r="S257" s="59"/>
    </row>
    <row r="258" spans="19:19" x14ac:dyDescent="0.2">
      <c r="S258" s="59"/>
    </row>
    <row r="259" spans="19:19" x14ac:dyDescent="0.2">
      <c r="S259" s="59"/>
    </row>
    <row r="260" spans="19:19" x14ac:dyDescent="0.2">
      <c r="S260" s="59"/>
    </row>
    <row r="261" spans="19:19" x14ac:dyDescent="0.2">
      <c r="S261" s="59"/>
    </row>
    <row r="262" spans="19:19" x14ac:dyDescent="0.2">
      <c r="S262" s="59"/>
    </row>
    <row r="263" spans="19:19" x14ac:dyDescent="0.2">
      <c r="S263" s="59"/>
    </row>
    <row r="264" spans="19:19" x14ac:dyDescent="0.2">
      <c r="S264" s="59"/>
    </row>
    <row r="265" spans="19:19" x14ac:dyDescent="0.2">
      <c r="S265" s="59"/>
    </row>
    <row r="266" spans="19:19" x14ac:dyDescent="0.2">
      <c r="S266" s="59"/>
    </row>
    <row r="267" spans="19:19" x14ac:dyDescent="0.2">
      <c r="S267" s="59"/>
    </row>
    <row r="268" spans="19:19" x14ac:dyDescent="0.2">
      <c r="S268" s="59"/>
    </row>
    <row r="269" spans="19:19" x14ac:dyDescent="0.2">
      <c r="S269" s="59"/>
    </row>
    <row r="270" spans="19:19" x14ac:dyDescent="0.2">
      <c r="S270" s="59"/>
    </row>
    <row r="271" spans="19:19" x14ac:dyDescent="0.2">
      <c r="S271" s="59"/>
    </row>
    <row r="272" spans="19:19" x14ac:dyDescent="0.2">
      <c r="S272" s="59"/>
    </row>
    <row r="273" spans="19:19" x14ac:dyDescent="0.2">
      <c r="S273" s="59"/>
    </row>
    <row r="274" spans="19:19" x14ac:dyDescent="0.2">
      <c r="S274" s="59"/>
    </row>
    <row r="275" spans="19:19" x14ac:dyDescent="0.2">
      <c r="S275" s="59"/>
    </row>
    <row r="276" spans="19:19" x14ac:dyDescent="0.2">
      <c r="S276" s="59"/>
    </row>
    <row r="277" spans="19:19" x14ac:dyDescent="0.2">
      <c r="S277" s="59"/>
    </row>
    <row r="278" spans="19:19" x14ac:dyDescent="0.2">
      <c r="S278" s="59"/>
    </row>
    <row r="279" spans="19:19" x14ac:dyDescent="0.2">
      <c r="S279" s="59"/>
    </row>
    <row r="280" spans="19:19" x14ac:dyDescent="0.2">
      <c r="S280" s="59"/>
    </row>
    <row r="281" spans="19:19" x14ac:dyDescent="0.2">
      <c r="S281" s="59"/>
    </row>
    <row r="282" spans="19:19" x14ac:dyDescent="0.2">
      <c r="S282" s="59"/>
    </row>
    <row r="283" spans="19:19" x14ac:dyDescent="0.2">
      <c r="S283" s="59"/>
    </row>
    <row r="284" spans="19:19" x14ac:dyDescent="0.2">
      <c r="S284" s="59"/>
    </row>
    <row r="285" spans="19:19" x14ac:dyDescent="0.2">
      <c r="S285" s="59"/>
    </row>
    <row r="286" spans="19:19" x14ac:dyDescent="0.2">
      <c r="S286" s="59"/>
    </row>
    <row r="287" spans="19:19" x14ac:dyDescent="0.2">
      <c r="S287" s="59"/>
    </row>
    <row r="288" spans="19:19" x14ac:dyDescent="0.2">
      <c r="S288" s="59"/>
    </row>
    <row r="289" spans="19:19" x14ac:dyDescent="0.2">
      <c r="S289" s="59"/>
    </row>
    <row r="290" spans="19:19" x14ac:dyDescent="0.2">
      <c r="S290" s="59"/>
    </row>
    <row r="291" spans="19:19" x14ac:dyDescent="0.2">
      <c r="S291" s="59"/>
    </row>
    <row r="292" spans="19:19" x14ac:dyDescent="0.2">
      <c r="S292" s="59"/>
    </row>
    <row r="293" spans="19:19" x14ac:dyDescent="0.2">
      <c r="S293" s="59"/>
    </row>
    <row r="294" spans="19:19" x14ac:dyDescent="0.2">
      <c r="S294" s="59"/>
    </row>
    <row r="295" spans="19:19" x14ac:dyDescent="0.2">
      <c r="S295" s="59"/>
    </row>
    <row r="296" spans="19:19" x14ac:dyDescent="0.2">
      <c r="S296" s="59"/>
    </row>
    <row r="297" spans="19:19" x14ac:dyDescent="0.2">
      <c r="S297" s="59"/>
    </row>
    <row r="298" spans="19:19" x14ac:dyDescent="0.2">
      <c r="S298" s="59"/>
    </row>
    <row r="299" spans="19:19" x14ac:dyDescent="0.2">
      <c r="S299" s="59"/>
    </row>
    <row r="300" spans="19:19" x14ac:dyDescent="0.2">
      <c r="S300" s="59"/>
    </row>
    <row r="301" spans="19:19" x14ac:dyDescent="0.2">
      <c r="S301" s="59"/>
    </row>
    <row r="302" spans="19:19" x14ac:dyDescent="0.2">
      <c r="S302" s="59"/>
    </row>
    <row r="303" spans="19:19" x14ac:dyDescent="0.2">
      <c r="S303" s="59"/>
    </row>
    <row r="304" spans="19:19" x14ac:dyDescent="0.2">
      <c r="S304" s="59"/>
    </row>
    <row r="305" spans="19:19" x14ac:dyDescent="0.2">
      <c r="S305" s="59"/>
    </row>
    <row r="306" spans="19:19" x14ac:dyDescent="0.2">
      <c r="S306" s="59"/>
    </row>
    <row r="307" spans="19:19" x14ac:dyDescent="0.2">
      <c r="S307" s="59"/>
    </row>
    <row r="308" spans="19:19" x14ac:dyDescent="0.2">
      <c r="S308" s="59"/>
    </row>
    <row r="309" spans="19:19" x14ac:dyDescent="0.2">
      <c r="S309" s="59"/>
    </row>
    <row r="310" spans="19:19" x14ac:dyDescent="0.2">
      <c r="S310" s="59"/>
    </row>
    <row r="311" spans="19:19" x14ac:dyDescent="0.2">
      <c r="S311" s="59"/>
    </row>
    <row r="312" spans="19:19" x14ac:dyDescent="0.2">
      <c r="S312" s="59"/>
    </row>
    <row r="313" spans="19:19" x14ac:dyDescent="0.2">
      <c r="S313" s="59"/>
    </row>
    <row r="314" spans="19:19" x14ac:dyDescent="0.2">
      <c r="S314" s="59"/>
    </row>
    <row r="315" spans="19:19" x14ac:dyDescent="0.2">
      <c r="S315" s="59"/>
    </row>
    <row r="316" spans="19:19" x14ac:dyDescent="0.2">
      <c r="S316" s="59"/>
    </row>
    <row r="317" spans="19:19" x14ac:dyDescent="0.2">
      <c r="S317" s="59"/>
    </row>
    <row r="318" spans="19:19" x14ac:dyDescent="0.2">
      <c r="S318" s="59"/>
    </row>
    <row r="319" spans="19:19" x14ac:dyDescent="0.2">
      <c r="S319" s="59"/>
    </row>
    <row r="320" spans="19:19" x14ac:dyDescent="0.2">
      <c r="S320" s="59"/>
    </row>
    <row r="321" spans="19:19" x14ac:dyDescent="0.2">
      <c r="S321" s="59"/>
    </row>
    <row r="322" spans="19:19" x14ac:dyDescent="0.2">
      <c r="S322" s="59"/>
    </row>
    <row r="323" spans="19:19" x14ac:dyDescent="0.2">
      <c r="S323" s="59"/>
    </row>
    <row r="324" spans="19:19" x14ac:dyDescent="0.2">
      <c r="S324" s="59"/>
    </row>
    <row r="325" spans="19:19" x14ac:dyDescent="0.2">
      <c r="S325" s="59"/>
    </row>
    <row r="326" spans="19:19" x14ac:dyDescent="0.2">
      <c r="S326" s="59"/>
    </row>
    <row r="327" spans="19:19" x14ac:dyDescent="0.2">
      <c r="S327" s="59"/>
    </row>
    <row r="328" spans="19:19" x14ac:dyDescent="0.2">
      <c r="S328" s="59"/>
    </row>
    <row r="329" spans="19:19" x14ac:dyDescent="0.2">
      <c r="S329" s="59"/>
    </row>
    <row r="330" spans="19:19" x14ac:dyDescent="0.2">
      <c r="S330" s="59"/>
    </row>
    <row r="331" spans="19:19" x14ac:dyDescent="0.2">
      <c r="S331" s="59"/>
    </row>
    <row r="332" spans="19:19" x14ac:dyDescent="0.2">
      <c r="S332" s="59"/>
    </row>
    <row r="333" spans="19:19" x14ac:dyDescent="0.2">
      <c r="S333" s="59"/>
    </row>
    <row r="334" spans="19:19" x14ac:dyDescent="0.2">
      <c r="S334" s="59"/>
    </row>
    <row r="335" spans="19:19" x14ac:dyDescent="0.2">
      <c r="S335" s="59"/>
    </row>
    <row r="336" spans="19:19" x14ac:dyDescent="0.2">
      <c r="S336" s="59"/>
    </row>
    <row r="337" spans="19:19" x14ac:dyDescent="0.2">
      <c r="S337" s="59"/>
    </row>
    <row r="338" spans="19:19" x14ac:dyDescent="0.2">
      <c r="S338" s="59"/>
    </row>
    <row r="339" spans="19:19" x14ac:dyDescent="0.2">
      <c r="S339" s="59"/>
    </row>
    <row r="340" spans="19:19" x14ac:dyDescent="0.2">
      <c r="S340" s="59"/>
    </row>
    <row r="341" spans="19:19" x14ac:dyDescent="0.2">
      <c r="S341" s="59"/>
    </row>
    <row r="342" spans="19:19" x14ac:dyDescent="0.2">
      <c r="S342" s="59"/>
    </row>
    <row r="343" spans="19:19" x14ac:dyDescent="0.2">
      <c r="S343" s="59"/>
    </row>
    <row r="344" spans="19:19" x14ac:dyDescent="0.2">
      <c r="S344" s="59"/>
    </row>
    <row r="345" spans="19:19" x14ac:dyDescent="0.2">
      <c r="S345" s="59"/>
    </row>
    <row r="346" spans="19:19" x14ac:dyDescent="0.2">
      <c r="S346" s="59"/>
    </row>
    <row r="347" spans="19:19" x14ac:dyDescent="0.2">
      <c r="S347" s="59"/>
    </row>
    <row r="348" spans="19:19" x14ac:dyDescent="0.2">
      <c r="S348" s="59"/>
    </row>
    <row r="349" spans="19:19" x14ac:dyDescent="0.2">
      <c r="S349" s="59"/>
    </row>
    <row r="350" spans="19:19" x14ac:dyDescent="0.2">
      <c r="S350" s="59"/>
    </row>
    <row r="351" spans="19:19" x14ac:dyDescent="0.2">
      <c r="S351" s="59"/>
    </row>
    <row r="352" spans="19:19" x14ac:dyDescent="0.2">
      <c r="S352" s="59"/>
    </row>
    <row r="353" spans="19:19" x14ac:dyDescent="0.2">
      <c r="S353" s="59"/>
    </row>
    <row r="354" spans="19:19" x14ac:dyDescent="0.2">
      <c r="S354" s="59"/>
    </row>
    <row r="355" spans="19:19" x14ac:dyDescent="0.2">
      <c r="S355" s="59"/>
    </row>
    <row r="356" spans="19:19" x14ac:dyDescent="0.2">
      <c r="S356" s="59"/>
    </row>
    <row r="357" spans="19:19" x14ac:dyDescent="0.2">
      <c r="S357" s="59"/>
    </row>
    <row r="358" spans="19:19" x14ac:dyDescent="0.2">
      <c r="S358" s="59"/>
    </row>
    <row r="359" spans="19:19" x14ac:dyDescent="0.2">
      <c r="S359" s="59"/>
    </row>
    <row r="360" spans="19:19" x14ac:dyDescent="0.2">
      <c r="S360" s="59"/>
    </row>
    <row r="361" spans="19:19" x14ac:dyDescent="0.2">
      <c r="S361" s="59"/>
    </row>
    <row r="362" spans="19:19" x14ac:dyDescent="0.2">
      <c r="S362" s="59"/>
    </row>
    <row r="363" spans="19:19" x14ac:dyDescent="0.2">
      <c r="S363" s="59"/>
    </row>
    <row r="364" spans="19:19" x14ac:dyDescent="0.2">
      <c r="S364" s="59"/>
    </row>
    <row r="365" spans="19:19" x14ac:dyDescent="0.2">
      <c r="S365" s="59"/>
    </row>
    <row r="366" spans="19:19" x14ac:dyDescent="0.2">
      <c r="S366" s="59"/>
    </row>
    <row r="367" spans="19:19" x14ac:dyDescent="0.2">
      <c r="S367" s="59"/>
    </row>
    <row r="368" spans="19:19" x14ac:dyDescent="0.2">
      <c r="S368" s="59"/>
    </row>
    <row r="369" spans="19:19" x14ac:dyDescent="0.2">
      <c r="S369" s="59"/>
    </row>
    <row r="370" spans="19:19" x14ac:dyDescent="0.2">
      <c r="S370" s="59"/>
    </row>
    <row r="371" spans="19:19" x14ac:dyDescent="0.2">
      <c r="S371" s="59"/>
    </row>
    <row r="372" spans="19:19" x14ac:dyDescent="0.2">
      <c r="S372" s="59"/>
    </row>
    <row r="373" spans="19:19" x14ac:dyDescent="0.2">
      <c r="S373" s="59"/>
    </row>
    <row r="374" spans="19:19" x14ac:dyDescent="0.2">
      <c r="S374" s="59"/>
    </row>
    <row r="375" spans="19:19" x14ac:dyDescent="0.2">
      <c r="S375" s="59"/>
    </row>
    <row r="376" spans="19:19" x14ac:dyDescent="0.2">
      <c r="S376" s="59"/>
    </row>
    <row r="377" spans="19:19" x14ac:dyDescent="0.2">
      <c r="S377" s="59"/>
    </row>
    <row r="378" spans="19:19" x14ac:dyDescent="0.2">
      <c r="S378" s="59"/>
    </row>
    <row r="379" spans="19:19" x14ac:dyDescent="0.2">
      <c r="S379" s="59"/>
    </row>
    <row r="380" spans="19:19" x14ac:dyDescent="0.2">
      <c r="S380" s="59"/>
    </row>
    <row r="381" spans="19:19" x14ac:dyDescent="0.2">
      <c r="S381" s="59"/>
    </row>
    <row r="382" spans="19:19" x14ac:dyDescent="0.2">
      <c r="S382" s="59"/>
    </row>
    <row r="383" spans="19:19" x14ac:dyDescent="0.2">
      <c r="S383" s="59"/>
    </row>
    <row r="384" spans="19:19" x14ac:dyDescent="0.2">
      <c r="S384" s="59"/>
    </row>
    <row r="385" spans="19:19" x14ac:dyDescent="0.2">
      <c r="S385" s="59"/>
    </row>
    <row r="386" spans="19:19" x14ac:dyDescent="0.2">
      <c r="S386" s="59"/>
    </row>
    <row r="387" spans="19:19" x14ac:dyDescent="0.2">
      <c r="S387" s="59"/>
    </row>
    <row r="388" spans="19:19" x14ac:dyDescent="0.2">
      <c r="S388" s="59"/>
    </row>
    <row r="389" spans="19:19" x14ac:dyDescent="0.2">
      <c r="S389" s="59"/>
    </row>
    <row r="390" spans="19:19" x14ac:dyDescent="0.2">
      <c r="S390" s="59"/>
    </row>
    <row r="391" spans="19:19" x14ac:dyDescent="0.2">
      <c r="S391" s="59"/>
    </row>
    <row r="392" spans="19:19" x14ac:dyDescent="0.2">
      <c r="S392" s="59"/>
    </row>
    <row r="393" spans="19:19" x14ac:dyDescent="0.2">
      <c r="S393" s="59"/>
    </row>
    <row r="394" spans="19:19" x14ac:dyDescent="0.2">
      <c r="S394" s="59"/>
    </row>
    <row r="395" spans="19:19" x14ac:dyDescent="0.2">
      <c r="S395" s="59"/>
    </row>
    <row r="396" spans="19:19" x14ac:dyDescent="0.2">
      <c r="S396" s="59"/>
    </row>
    <row r="397" spans="19:19" x14ac:dyDescent="0.2">
      <c r="S397" s="59"/>
    </row>
    <row r="398" spans="19:19" x14ac:dyDescent="0.2">
      <c r="S398" s="59"/>
    </row>
    <row r="399" spans="19:19" x14ac:dyDescent="0.2">
      <c r="S399" s="59"/>
    </row>
    <row r="400" spans="19:19" x14ac:dyDescent="0.2">
      <c r="S400" s="59"/>
    </row>
    <row r="401" spans="19:19" x14ac:dyDescent="0.2">
      <c r="S401" s="59"/>
    </row>
    <row r="402" spans="19:19" x14ac:dyDescent="0.2">
      <c r="S402" s="59"/>
    </row>
    <row r="403" spans="19:19" x14ac:dyDescent="0.2">
      <c r="S403" s="59"/>
    </row>
    <row r="404" spans="19:19" x14ac:dyDescent="0.2">
      <c r="S404" s="59"/>
    </row>
    <row r="405" spans="19:19" x14ac:dyDescent="0.2">
      <c r="S405" s="59"/>
    </row>
    <row r="406" spans="19:19" x14ac:dyDescent="0.2">
      <c r="S406" s="59"/>
    </row>
    <row r="407" spans="19:19" x14ac:dyDescent="0.2">
      <c r="S407" s="59"/>
    </row>
    <row r="408" spans="19:19" x14ac:dyDescent="0.2">
      <c r="S408" s="59"/>
    </row>
    <row r="409" spans="19:19" x14ac:dyDescent="0.2">
      <c r="S409" s="59"/>
    </row>
    <row r="410" spans="19:19" x14ac:dyDescent="0.2">
      <c r="S410" s="59"/>
    </row>
    <row r="411" spans="19:19" x14ac:dyDescent="0.2">
      <c r="S411" s="59"/>
    </row>
    <row r="412" spans="19:19" x14ac:dyDescent="0.2">
      <c r="S412" s="59"/>
    </row>
    <row r="413" spans="19:19" x14ac:dyDescent="0.2">
      <c r="S413" s="59"/>
    </row>
    <row r="414" spans="19:19" x14ac:dyDescent="0.2">
      <c r="S414" s="59"/>
    </row>
    <row r="415" spans="19:19" x14ac:dyDescent="0.2">
      <c r="S415" s="59"/>
    </row>
    <row r="416" spans="19:19" x14ac:dyDescent="0.2">
      <c r="S416" s="59"/>
    </row>
    <row r="417" spans="19:19" x14ac:dyDescent="0.2">
      <c r="S417" s="59"/>
    </row>
    <row r="418" spans="19:19" x14ac:dyDescent="0.2">
      <c r="S418" s="59"/>
    </row>
    <row r="419" spans="19:19" x14ac:dyDescent="0.2">
      <c r="S419" s="59"/>
    </row>
    <row r="420" spans="19:19" x14ac:dyDescent="0.2">
      <c r="S420" s="59"/>
    </row>
    <row r="421" spans="19:19" x14ac:dyDescent="0.2">
      <c r="S421" s="59"/>
    </row>
    <row r="422" spans="19:19" x14ac:dyDescent="0.2">
      <c r="S422" s="59"/>
    </row>
    <row r="423" spans="19:19" x14ac:dyDescent="0.2">
      <c r="S423" s="59"/>
    </row>
    <row r="424" spans="19:19" x14ac:dyDescent="0.2">
      <c r="S424" s="59"/>
    </row>
    <row r="425" spans="19:19" x14ac:dyDescent="0.2">
      <c r="S425" s="59"/>
    </row>
    <row r="426" spans="19:19" x14ac:dyDescent="0.2">
      <c r="S426" s="59"/>
    </row>
    <row r="427" spans="19:19" x14ac:dyDescent="0.2">
      <c r="S427" s="59"/>
    </row>
    <row r="428" spans="19:19" x14ac:dyDescent="0.2">
      <c r="S428" s="59"/>
    </row>
    <row r="429" spans="19:19" x14ac:dyDescent="0.2">
      <c r="S429" s="59"/>
    </row>
    <row r="430" spans="19:19" x14ac:dyDescent="0.2">
      <c r="S430" s="59"/>
    </row>
    <row r="431" spans="19:19" x14ac:dyDescent="0.2">
      <c r="S431" s="59"/>
    </row>
    <row r="432" spans="19:19" x14ac:dyDescent="0.2">
      <c r="S432" s="59"/>
    </row>
    <row r="433" spans="19:19" x14ac:dyDescent="0.2">
      <c r="S433" s="59"/>
    </row>
    <row r="434" spans="19:19" x14ac:dyDescent="0.2">
      <c r="S434" s="59"/>
    </row>
    <row r="435" spans="19:19" x14ac:dyDescent="0.2">
      <c r="S435" s="59"/>
    </row>
    <row r="436" spans="19:19" x14ac:dyDescent="0.2">
      <c r="S436" s="59"/>
    </row>
    <row r="437" spans="19:19" x14ac:dyDescent="0.2">
      <c r="S437" s="59"/>
    </row>
    <row r="438" spans="19:19" x14ac:dyDescent="0.2">
      <c r="S438" s="59"/>
    </row>
    <row r="439" spans="19:19" x14ac:dyDescent="0.2">
      <c r="S439" s="59"/>
    </row>
    <row r="440" spans="19:19" x14ac:dyDescent="0.2">
      <c r="S440" s="59"/>
    </row>
    <row r="441" spans="19:19" x14ac:dyDescent="0.2">
      <c r="S441" s="59"/>
    </row>
    <row r="442" spans="19:19" x14ac:dyDescent="0.2">
      <c r="S442" s="59"/>
    </row>
    <row r="443" spans="19:19" x14ac:dyDescent="0.2">
      <c r="S443" s="59"/>
    </row>
    <row r="444" spans="19:19" x14ac:dyDescent="0.2">
      <c r="S444" s="59"/>
    </row>
    <row r="445" spans="19:19" x14ac:dyDescent="0.2">
      <c r="S445" s="59"/>
    </row>
    <row r="446" spans="19:19" x14ac:dyDescent="0.2">
      <c r="S446" s="59"/>
    </row>
    <row r="447" spans="19:19" x14ac:dyDescent="0.2">
      <c r="S447" s="59"/>
    </row>
    <row r="448" spans="19:19" x14ac:dyDescent="0.2">
      <c r="S448" s="59"/>
    </row>
    <row r="449" spans="19:19" x14ac:dyDescent="0.2">
      <c r="S449" s="59"/>
    </row>
    <row r="450" spans="19:19" x14ac:dyDescent="0.2">
      <c r="S450" s="59"/>
    </row>
    <row r="451" spans="19:19" x14ac:dyDescent="0.2">
      <c r="S451" s="59"/>
    </row>
    <row r="452" spans="19:19" x14ac:dyDescent="0.2">
      <c r="S452" s="59"/>
    </row>
    <row r="453" spans="19:19" x14ac:dyDescent="0.2">
      <c r="S453" s="59"/>
    </row>
    <row r="454" spans="19:19" x14ac:dyDescent="0.2">
      <c r="S454" s="59"/>
    </row>
    <row r="455" spans="19:19" x14ac:dyDescent="0.2">
      <c r="S455" s="59"/>
    </row>
    <row r="456" spans="19:19" x14ac:dyDescent="0.2">
      <c r="S456" s="59"/>
    </row>
    <row r="457" spans="19:19" x14ac:dyDescent="0.2">
      <c r="S457" s="59"/>
    </row>
    <row r="458" spans="19:19" x14ac:dyDescent="0.2">
      <c r="S458" s="59"/>
    </row>
    <row r="459" spans="19:19" x14ac:dyDescent="0.2">
      <c r="S459" s="59"/>
    </row>
    <row r="460" spans="19:19" x14ac:dyDescent="0.2">
      <c r="S460" s="59"/>
    </row>
    <row r="461" spans="19:19" x14ac:dyDescent="0.2">
      <c r="S461" s="59"/>
    </row>
    <row r="462" spans="19:19" x14ac:dyDescent="0.2">
      <c r="S462" s="59"/>
    </row>
    <row r="463" spans="19:19" x14ac:dyDescent="0.2">
      <c r="S463" s="59"/>
    </row>
    <row r="464" spans="19:19" x14ac:dyDescent="0.2">
      <c r="S464" s="59"/>
    </row>
    <row r="465" spans="19:19" x14ac:dyDescent="0.2">
      <c r="S465" s="59"/>
    </row>
    <row r="466" spans="19:19" x14ac:dyDescent="0.2">
      <c r="S466" s="59"/>
    </row>
    <row r="467" spans="19:19" x14ac:dyDescent="0.2">
      <c r="S467" s="59"/>
    </row>
    <row r="468" spans="19:19" x14ac:dyDescent="0.2">
      <c r="S468" s="59"/>
    </row>
    <row r="469" spans="19:19" x14ac:dyDescent="0.2">
      <c r="S469" s="59"/>
    </row>
    <row r="470" spans="19:19" x14ac:dyDescent="0.2">
      <c r="S470" s="59"/>
    </row>
    <row r="471" spans="19:19" x14ac:dyDescent="0.2">
      <c r="S471" s="59"/>
    </row>
    <row r="472" spans="19:19" x14ac:dyDescent="0.2">
      <c r="S472" s="59"/>
    </row>
    <row r="473" spans="19:19" x14ac:dyDescent="0.2">
      <c r="S473" s="59"/>
    </row>
    <row r="474" spans="19:19" x14ac:dyDescent="0.2">
      <c r="S474" s="59"/>
    </row>
    <row r="475" spans="19:19" x14ac:dyDescent="0.2">
      <c r="S475" s="59"/>
    </row>
    <row r="476" spans="19:19" x14ac:dyDescent="0.2">
      <c r="S476" s="59"/>
    </row>
    <row r="477" spans="19:19" x14ac:dyDescent="0.2">
      <c r="S477" s="59"/>
    </row>
    <row r="478" spans="19:19" x14ac:dyDescent="0.2">
      <c r="S478" s="59"/>
    </row>
    <row r="479" spans="19:19" x14ac:dyDescent="0.2">
      <c r="S479" s="59"/>
    </row>
    <row r="480" spans="19:19" x14ac:dyDescent="0.2">
      <c r="S480" s="59"/>
    </row>
    <row r="481" spans="19:19" x14ac:dyDescent="0.2">
      <c r="S481" s="59"/>
    </row>
    <row r="482" spans="19:19" x14ac:dyDescent="0.2">
      <c r="S482" s="59"/>
    </row>
    <row r="483" spans="19:19" x14ac:dyDescent="0.2">
      <c r="S483" s="59"/>
    </row>
    <row r="484" spans="19:19" x14ac:dyDescent="0.2">
      <c r="S484" s="59"/>
    </row>
    <row r="485" spans="19:19" x14ac:dyDescent="0.2">
      <c r="S485" s="59"/>
    </row>
    <row r="486" spans="19:19" x14ac:dyDescent="0.2">
      <c r="S486" s="59"/>
    </row>
    <row r="487" spans="19:19" x14ac:dyDescent="0.2">
      <c r="S487" s="59"/>
    </row>
    <row r="488" spans="19:19" x14ac:dyDescent="0.2">
      <c r="S488" s="59"/>
    </row>
    <row r="489" spans="19:19" x14ac:dyDescent="0.2">
      <c r="S489" s="59"/>
    </row>
    <row r="490" spans="19:19" x14ac:dyDescent="0.2">
      <c r="S490" s="59"/>
    </row>
    <row r="491" spans="19:19" x14ac:dyDescent="0.2">
      <c r="S491" s="59"/>
    </row>
    <row r="492" spans="19:19" x14ac:dyDescent="0.2">
      <c r="S492" s="59"/>
    </row>
    <row r="493" spans="19:19" x14ac:dyDescent="0.2">
      <c r="S493" s="59"/>
    </row>
    <row r="494" spans="19:19" x14ac:dyDescent="0.2">
      <c r="S494" s="59"/>
    </row>
    <row r="495" spans="19:19" x14ac:dyDescent="0.2">
      <c r="S495" s="59"/>
    </row>
    <row r="496" spans="19:19" x14ac:dyDescent="0.2">
      <c r="S496" s="59"/>
    </row>
    <row r="497" spans="19:19" x14ac:dyDescent="0.2">
      <c r="S497" s="59"/>
    </row>
    <row r="498" spans="19:19" x14ac:dyDescent="0.2">
      <c r="S498" s="59"/>
    </row>
    <row r="499" spans="19:19" x14ac:dyDescent="0.2">
      <c r="S499" s="59"/>
    </row>
    <row r="500" spans="19:19" x14ac:dyDescent="0.2">
      <c r="S500" s="59"/>
    </row>
    <row r="501" spans="19:19" x14ac:dyDescent="0.2">
      <c r="S501" s="59"/>
    </row>
    <row r="502" spans="19:19" x14ac:dyDescent="0.2">
      <c r="S502" s="59"/>
    </row>
    <row r="503" spans="19:19" x14ac:dyDescent="0.2">
      <c r="S503" s="59"/>
    </row>
    <row r="504" spans="19:19" x14ac:dyDescent="0.2">
      <c r="S504" s="59"/>
    </row>
    <row r="505" spans="19:19" x14ac:dyDescent="0.2">
      <c r="S505" s="59"/>
    </row>
    <row r="506" spans="19:19" x14ac:dyDescent="0.2">
      <c r="S506" s="59"/>
    </row>
    <row r="507" spans="19:19" x14ac:dyDescent="0.2">
      <c r="S507" s="59"/>
    </row>
    <row r="508" spans="19:19" x14ac:dyDescent="0.2">
      <c r="S508" s="59"/>
    </row>
    <row r="509" spans="19:19" x14ac:dyDescent="0.2">
      <c r="S509" s="59"/>
    </row>
    <row r="510" spans="19:19" x14ac:dyDescent="0.2">
      <c r="S510" s="59"/>
    </row>
    <row r="511" spans="19:19" x14ac:dyDescent="0.2">
      <c r="S511" s="59"/>
    </row>
    <row r="512" spans="19:19" x14ac:dyDescent="0.2">
      <c r="S512" s="59"/>
    </row>
    <row r="513" spans="19:19" x14ac:dyDescent="0.2">
      <c r="S513" s="59"/>
    </row>
    <row r="514" spans="19:19" x14ac:dyDescent="0.2">
      <c r="S514" s="59"/>
    </row>
    <row r="515" spans="19:19" x14ac:dyDescent="0.2">
      <c r="S515" s="59"/>
    </row>
    <row r="516" spans="19:19" x14ac:dyDescent="0.2">
      <c r="S516" s="59"/>
    </row>
    <row r="517" spans="19:19" x14ac:dyDescent="0.2">
      <c r="S517" s="59"/>
    </row>
    <row r="518" spans="19:19" x14ac:dyDescent="0.2">
      <c r="S518" s="59"/>
    </row>
    <row r="519" spans="19:19" x14ac:dyDescent="0.2">
      <c r="S519" s="59"/>
    </row>
    <row r="520" spans="19:19" x14ac:dyDescent="0.2">
      <c r="S520" s="59"/>
    </row>
    <row r="521" spans="19:19" x14ac:dyDescent="0.2">
      <c r="S521" s="59"/>
    </row>
    <row r="522" spans="19:19" x14ac:dyDescent="0.2">
      <c r="S522" s="59"/>
    </row>
    <row r="523" spans="19:19" x14ac:dyDescent="0.2">
      <c r="S523" s="59"/>
    </row>
    <row r="524" spans="19:19" x14ac:dyDescent="0.2">
      <c r="S524" s="59"/>
    </row>
    <row r="525" spans="19:19" x14ac:dyDescent="0.2">
      <c r="S525" s="59"/>
    </row>
    <row r="526" spans="19:19" x14ac:dyDescent="0.2">
      <c r="S526" s="59"/>
    </row>
    <row r="527" spans="19:19" x14ac:dyDescent="0.2">
      <c r="S527" s="59"/>
    </row>
    <row r="528" spans="19:19" x14ac:dyDescent="0.2">
      <c r="S528" s="59"/>
    </row>
    <row r="529" spans="19:19" x14ac:dyDescent="0.2">
      <c r="S529" s="59"/>
    </row>
    <row r="530" spans="19:19" x14ac:dyDescent="0.2">
      <c r="S530" s="59"/>
    </row>
    <row r="531" spans="19:19" x14ac:dyDescent="0.2">
      <c r="S531" s="59"/>
    </row>
    <row r="532" spans="19:19" x14ac:dyDescent="0.2">
      <c r="S532" s="59"/>
    </row>
    <row r="533" spans="19:19" x14ac:dyDescent="0.2">
      <c r="S533" s="59"/>
    </row>
    <row r="534" spans="19:19" x14ac:dyDescent="0.2">
      <c r="S534" s="59"/>
    </row>
    <row r="535" spans="19:19" x14ac:dyDescent="0.2">
      <c r="S535" s="59"/>
    </row>
    <row r="536" spans="19:19" x14ac:dyDescent="0.2">
      <c r="S536" s="59"/>
    </row>
    <row r="537" spans="19:19" x14ac:dyDescent="0.2">
      <c r="S537" s="59"/>
    </row>
    <row r="538" spans="19:19" x14ac:dyDescent="0.2">
      <c r="S538" s="59"/>
    </row>
    <row r="539" spans="19:19" x14ac:dyDescent="0.2">
      <c r="S539" s="59"/>
    </row>
    <row r="540" spans="19:19" x14ac:dyDescent="0.2">
      <c r="S540" s="59"/>
    </row>
    <row r="541" spans="19:19" x14ac:dyDescent="0.2">
      <c r="S541" s="59"/>
    </row>
    <row r="542" spans="19:19" x14ac:dyDescent="0.2">
      <c r="S542" s="59"/>
    </row>
    <row r="543" spans="19:19" x14ac:dyDescent="0.2">
      <c r="S543" s="59"/>
    </row>
    <row r="544" spans="19:19" x14ac:dyDescent="0.2">
      <c r="S544" s="59"/>
    </row>
    <row r="545" spans="19:19" x14ac:dyDescent="0.2">
      <c r="S545" s="59"/>
    </row>
    <row r="546" spans="19:19" x14ac:dyDescent="0.2">
      <c r="S546" s="59"/>
    </row>
    <row r="547" spans="19:19" x14ac:dyDescent="0.2">
      <c r="S547" s="59"/>
    </row>
    <row r="548" spans="19:19" x14ac:dyDescent="0.2">
      <c r="S548" s="59"/>
    </row>
    <row r="549" spans="19:19" x14ac:dyDescent="0.2">
      <c r="S549" s="59"/>
    </row>
    <row r="550" spans="19:19" x14ac:dyDescent="0.2">
      <c r="S550" s="59"/>
    </row>
    <row r="551" spans="19:19" x14ac:dyDescent="0.2">
      <c r="S551" s="59"/>
    </row>
    <row r="552" spans="19:19" x14ac:dyDescent="0.2">
      <c r="S552" s="59"/>
    </row>
    <row r="553" spans="19:19" x14ac:dyDescent="0.2">
      <c r="S553" s="59"/>
    </row>
    <row r="554" spans="19:19" x14ac:dyDescent="0.2">
      <c r="S554" s="59"/>
    </row>
    <row r="555" spans="19:19" x14ac:dyDescent="0.2">
      <c r="S555" s="59"/>
    </row>
    <row r="556" spans="19:19" x14ac:dyDescent="0.2">
      <c r="S556" s="59"/>
    </row>
    <row r="557" spans="19:19" x14ac:dyDescent="0.2">
      <c r="S557" s="59"/>
    </row>
    <row r="558" spans="19:19" x14ac:dyDescent="0.2">
      <c r="S558" s="59"/>
    </row>
    <row r="559" spans="19:19" x14ac:dyDescent="0.2">
      <c r="S559" s="59"/>
    </row>
    <row r="560" spans="19:19" x14ac:dyDescent="0.2">
      <c r="S560" s="59"/>
    </row>
    <row r="561" spans="19:19" x14ac:dyDescent="0.2">
      <c r="S561" s="59"/>
    </row>
    <row r="562" spans="19:19" x14ac:dyDescent="0.2">
      <c r="S562" s="59"/>
    </row>
    <row r="563" spans="19:19" x14ac:dyDescent="0.2">
      <c r="S563" s="59"/>
    </row>
    <row r="564" spans="19:19" x14ac:dyDescent="0.2">
      <c r="S564" s="59"/>
    </row>
    <row r="565" spans="19:19" x14ac:dyDescent="0.2">
      <c r="S565" s="59"/>
    </row>
    <row r="566" spans="19:19" x14ac:dyDescent="0.2">
      <c r="S566" s="59"/>
    </row>
    <row r="567" spans="19:19" x14ac:dyDescent="0.2">
      <c r="S567" s="59"/>
    </row>
    <row r="568" spans="19:19" x14ac:dyDescent="0.2">
      <c r="S568" s="59"/>
    </row>
    <row r="569" spans="19:19" x14ac:dyDescent="0.2">
      <c r="S569" s="59"/>
    </row>
    <row r="570" spans="19:19" x14ac:dyDescent="0.2">
      <c r="S570" s="59"/>
    </row>
    <row r="571" spans="19:19" x14ac:dyDescent="0.2">
      <c r="S571" s="59"/>
    </row>
    <row r="572" spans="19:19" x14ac:dyDescent="0.2">
      <c r="S572" s="59"/>
    </row>
    <row r="573" spans="19:19" x14ac:dyDescent="0.2">
      <c r="S573" s="59"/>
    </row>
    <row r="574" spans="19:19" x14ac:dyDescent="0.2">
      <c r="S574" s="59"/>
    </row>
    <row r="575" spans="19:19" x14ac:dyDescent="0.2">
      <c r="S575" s="59"/>
    </row>
    <row r="576" spans="19:19" x14ac:dyDescent="0.2">
      <c r="S576" s="59"/>
    </row>
    <row r="577" spans="19:19" x14ac:dyDescent="0.2">
      <c r="S577" s="59"/>
    </row>
    <row r="578" spans="19:19" x14ac:dyDescent="0.2">
      <c r="S578" s="59"/>
    </row>
    <row r="579" spans="19:19" x14ac:dyDescent="0.2">
      <c r="S579" s="59"/>
    </row>
    <row r="580" spans="19:19" x14ac:dyDescent="0.2">
      <c r="S580" s="59"/>
    </row>
    <row r="581" spans="19:19" x14ac:dyDescent="0.2">
      <c r="S581" s="59"/>
    </row>
    <row r="582" spans="19:19" x14ac:dyDescent="0.2">
      <c r="S582" s="59"/>
    </row>
    <row r="583" spans="19:19" x14ac:dyDescent="0.2">
      <c r="S583" s="59"/>
    </row>
    <row r="584" spans="19:19" x14ac:dyDescent="0.2">
      <c r="S584" s="59"/>
    </row>
    <row r="585" spans="19:19" x14ac:dyDescent="0.2">
      <c r="S585" s="59"/>
    </row>
    <row r="586" spans="19:19" x14ac:dyDescent="0.2">
      <c r="S586" s="59"/>
    </row>
    <row r="587" spans="19:19" x14ac:dyDescent="0.2">
      <c r="S587" s="59"/>
    </row>
    <row r="588" spans="19:19" x14ac:dyDescent="0.2">
      <c r="S588" s="59"/>
    </row>
    <row r="589" spans="19:19" x14ac:dyDescent="0.2">
      <c r="S589" s="59"/>
    </row>
    <row r="590" spans="19:19" x14ac:dyDescent="0.2">
      <c r="S590" s="59"/>
    </row>
    <row r="591" spans="19:19" x14ac:dyDescent="0.2">
      <c r="S591" s="59"/>
    </row>
    <row r="592" spans="19:19" x14ac:dyDescent="0.2">
      <c r="S592" s="59"/>
    </row>
    <row r="593" spans="19:19" x14ac:dyDescent="0.2">
      <c r="S593" s="59"/>
    </row>
    <row r="594" spans="19:19" x14ac:dyDescent="0.2">
      <c r="S594" s="59"/>
    </row>
    <row r="595" spans="19:19" x14ac:dyDescent="0.2">
      <c r="S595" s="59"/>
    </row>
    <row r="596" spans="19:19" x14ac:dyDescent="0.2">
      <c r="S596" s="59"/>
    </row>
    <row r="597" spans="19:19" x14ac:dyDescent="0.2">
      <c r="S597" s="59"/>
    </row>
    <row r="598" spans="19:19" x14ac:dyDescent="0.2">
      <c r="S598" s="59"/>
    </row>
    <row r="599" spans="19:19" x14ac:dyDescent="0.2">
      <c r="S599" s="59"/>
    </row>
    <row r="600" spans="19:19" x14ac:dyDescent="0.2">
      <c r="S600" s="59"/>
    </row>
    <row r="601" spans="19:19" x14ac:dyDescent="0.2">
      <c r="S601" s="59"/>
    </row>
    <row r="602" spans="19:19" x14ac:dyDescent="0.2">
      <c r="S602" s="59"/>
    </row>
    <row r="603" spans="19:19" x14ac:dyDescent="0.2">
      <c r="S603" s="59"/>
    </row>
    <row r="604" spans="19:19" x14ac:dyDescent="0.2">
      <c r="S604" s="59"/>
    </row>
    <row r="605" spans="19:19" x14ac:dyDescent="0.2">
      <c r="S605" s="59"/>
    </row>
    <row r="606" spans="19:19" x14ac:dyDescent="0.2">
      <c r="S606" s="59"/>
    </row>
    <row r="607" spans="19:19" x14ac:dyDescent="0.2">
      <c r="S607" s="59"/>
    </row>
    <row r="608" spans="19:19" x14ac:dyDescent="0.2">
      <c r="S608" s="59"/>
    </row>
    <row r="609" spans="19:19" x14ac:dyDescent="0.2">
      <c r="S609" s="59"/>
    </row>
    <row r="610" spans="19:19" x14ac:dyDescent="0.2">
      <c r="S610" s="59"/>
    </row>
    <row r="611" spans="19:19" x14ac:dyDescent="0.2">
      <c r="S611" s="59"/>
    </row>
    <row r="612" spans="19:19" x14ac:dyDescent="0.2">
      <c r="S612" s="59"/>
    </row>
    <row r="613" spans="19:19" x14ac:dyDescent="0.2">
      <c r="S613" s="59"/>
    </row>
    <row r="614" spans="19:19" x14ac:dyDescent="0.2">
      <c r="S614" s="59"/>
    </row>
    <row r="615" spans="19:19" x14ac:dyDescent="0.2">
      <c r="S615" s="59"/>
    </row>
    <row r="616" spans="19:19" x14ac:dyDescent="0.2">
      <c r="S616" s="59"/>
    </row>
    <row r="617" spans="19:19" x14ac:dyDescent="0.2">
      <c r="S617" s="59"/>
    </row>
    <row r="618" spans="19:19" x14ac:dyDescent="0.2">
      <c r="S618" s="59"/>
    </row>
    <row r="619" spans="19:19" x14ac:dyDescent="0.2">
      <c r="S619" s="59"/>
    </row>
    <row r="620" spans="19:19" x14ac:dyDescent="0.2">
      <c r="S620" s="59"/>
    </row>
    <row r="621" spans="19:19" x14ac:dyDescent="0.2">
      <c r="S621" s="59"/>
    </row>
    <row r="622" spans="19:19" x14ac:dyDescent="0.2">
      <c r="S622" s="59"/>
    </row>
    <row r="623" spans="19:19" x14ac:dyDescent="0.2">
      <c r="S623" s="59"/>
    </row>
    <row r="624" spans="19:19" x14ac:dyDescent="0.2">
      <c r="S624" s="59"/>
    </row>
    <row r="625" spans="19:19" x14ac:dyDescent="0.2">
      <c r="S625" s="59"/>
    </row>
    <row r="626" spans="19:19" x14ac:dyDescent="0.2">
      <c r="S626" s="59"/>
    </row>
    <row r="627" spans="19:19" x14ac:dyDescent="0.2">
      <c r="S627" s="59"/>
    </row>
    <row r="628" spans="19:19" x14ac:dyDescent="0.2">
      <c r="S628" s="59"/>
    </row>
    <row r="629" spans="19:19" x14ac:dyDescent="0.2">
      <c r="S629" s="59"/>
    </row>
    <row r="630" spans="19:19" x14ac:dyDescent="0.2">
      <c r="S630" s="59"/>
    </row>
    <row r="631" spans="19:19" x14ac:dyDescent="0.2">
      <c r="S631" s="59"/>
    </row>
    <row r="632" spans="19:19" x14ac:dyDescent="0.2">
      <c r="S632" s="59"/>
    </row>
    <row r="633" spans="19:19" x14ac:dyDescent="0.2">
      <c r="S633" s="59"/>
    </row>
    <row r="634" spans="19:19" x14ac:dyDescent="0.2">
      <c r="S634" s="59"/>
    </row>
    <row r="635" spans="19:19" x14ac:dyDescent="0.2">
      <c r="S635" s="59"/>
    </row>
    <row r="636" spans="19:19" x14ac:dyDescent="0.2">
      <c r="S636" s="59"/>
    </row>
    <row r="637" spans="19:19" x14ac:dyDescent="0.2">
      <c r="S637" s="59"/>
    </row>
    <row r="638" spans="19:19" x14ac:dyDescent="0.2">
      <c r="S638" s="59"/>
    </row>
    <row r="639" spans="19:19" x14ac:dyDescent="0.2">
      <c r="S639" s="59"/>
    </row>
    <row r="640" spans="19:19" x14ac:dyDescent="0.2">
      <c r="S640" s="59"/>
    </row>
    <row r="641" spans="19:19" x14ac:dyDescent="0.2">
      <c r="S641" s="59"/>
    </row>
    <row r="642" spans="19:19" x14ac:dyDescent="0.2">
      <c r="S642" s="59"/>
    </row>
    <row r="643" spans="19:19" x14ac:dyDescent="0.2">
      <c r="S643" s="59"/>
    </row>
    <row r="644" spans="19:19" x14ac:dyDescent="0.2">
      <c r="S644" s="59"/>
    </row>
    <row r="645" spans="19:19" x14ac:dyDescent="0.2">
      <c r="S645" s="59"/>
    </row>
    <row r="646" spans="19:19" x14ac:dyDescent="0.2">
      <c r="S646" s="59"/>
    </row>
    <row r="647" spans="19:19" x14ac:dyDescent="0.2">
      <c r="S647" s="59"/>
    </row>
    <row r="648" spans="19:19" x14ac:dyDescent="0.2">
      <c r="S648" s="59"/>
    </row>
    <row r="649" spans="19:19" x14ac:dyDescent="0.2">
      <c r="S649" s="59"/>
    </row>
    <row r="650" spans="19:19" x14ac:dyDescent="0.2">
      <c r="S650" s="59"/>
    </row>
    <row r="651" spans="19:19" x14ac:dyDescent="0.2">
      <c r="S651" s="59"/>
    </row>
    <row r="652" spans="19:19" x14ac:dyDescent="0.2">
      <c r="S652" s="59"/>
    </row>
    <row r="653" spans="19:19" x14ac:dyDescent="0.2">
      <c r="S653" s="59"/>
    </row>
    <row r="654" spans="19:19" x14ac:dyDescent="0.2">
      <c r="S654" s="59"/>
    </row>
    <row r="655" spans="19:19" x14ac:dyDescent="0.2">
      <c r="S655" s="59"/>
    </row>
    <row r="656" spans="19:19" x14ac:dyDescent="0.2">
      <c r="S656" s="59"/>
    </row>
    <row r="657" spans="19:19" x14ac:dyDescent="0.2">
      <c r="S657" s="59"/>
    </row>
    <row r="658" spans="19:19" x14ac:dyDescent="0.2">
      <c r="S658" s="59"/>
    </row>
    <row r="659" spans="19:19" x14ac:dyDescent="0.2">
      <c r="S659" s="59"/>
    </row>
    <row r="660" spans="19:19" x14ac:dyDescent="0.2">
      <c r="S660" s="59"/>
    </row>
    <row r="661" spans="19:19" x14ac:dyDescent="0.2">
      <c r="S661" s="59"/>
    </row>
    <row r="662" spans="19:19" x14ac:dyDescent="0.2">
      <c r="S662" s="59"/>
    </row>
    <row r="663" spans="19:19" x14ac:dyDescent="0.2">
      <c r="S663" s="59"/>
    </row>
    <row r="664" spans="19:19" x14ac:dyDescent="0.2">
      <c r="S664" s="59"/>
    </row>
    <row r="665" spans="19:19" x14ac:dyDescent="0.2">
      <c r="S665" s="59"/>
    </row>
    <row r="666" spans="19:19" x14ac:dyDescent="0.2">
      <c r="S666" s="59"/>
    </row>
    <row r="667" spans="19:19" x14ac:dyDescent="0.2">
      <c r="S667" s="59"/>
    </row>
    <row r="668" spans="19:19" x14ac:dyDescent="0.2">
      <c r="S668" s="59"/>
    </row>
    <row r="669" spans="19:19" x14ac:dyDescent="0.2">
      <c r="S669" s="59"/>
    </row>
    <row r="670" spans="19:19" x14ac:dyDescent="0.2">
      <c r="S670" s="59"/>
    </row>
    <row r="671" spans="19:19" x14ac:dyDescent="0.2">
      <c r="S671" s="59"/>
    </row>
    <row r="672" spans="19:19" x14ac:dyDescent="0.2">
      <c r="S672" s="59"/>
    </row>
    <row r="673" spans="19:19" x14ac:dyDescent="0.2">
      <c r="S673" s="59"/>
    </row>
    <row r="674" spans="19:19" x14ac:dyDescent="0.2">
      <c r="S674" s="59"/>
    </row>
    <row r="675" spans="19:19" x14ac:dyDescent="0.2">
      <c r="S675" s="59"/>
    </row>
    <row r="676" spans="19:19" x14ac:dyDescent="0.2">
      <c r="S676" s="59"/>
    </row>
    <row r="677" spans="19:19" x14ac:dyDescent="0.2">
      <c r="S677" s="59"/>
    </row>
    <row r="678" spans="19:19" x14ac:dyDescent="0.2">
      <c r="S678" s="59"/>
    </row>
    <row r="679" spans="19:19" x14ac:dyDescent="0.2">
      <c r="S679" s="59"/>
    </row>
    <row r="680" spans="19:19" x14ac:dyDescent="0.2">
      <c r="S680" s="59"/>
    </row>
    <row r="681" spans="19:19" x14ac:dyDescent="0.2">
      <c r="S681" s="59"/>
    </row>
    <row r="682" spans="19:19" x14ac:dyDescent="0.2">
      <c r="S682" s="59"/>
    </row>
    <row r="683" spans="19:19" x14ac:dyDescent="0.2">
      <c r="S683" s="59"/>
    </row>
    <row r="684" spans="19:19" x14ac:dyDescent="0.2">
      <c r="S684" s="59"/>
    </row>
    <row r="685" spans="19:19" x14ac:dyDescent="0.2">
      <c r="S685" s="59"/>
    </row>
    <row r="686" spans="19:19" x14ac:dyDescent="0.2">
      <c r="S686" s="59"/>
    </row>
    <row r="687" spans="19:19" x14ac:dyDescent="0.2">
      <c r="S687" s="59"/>
    </row>
    <row r="688" spans="19:19" x14ac:dyDescent="0.2">
      <c r="S688" s="59"/>
    </row>
    <row r="689" spans="19:19" x14ac:dyDescent="0.2">
      <c r="S689" s="59"/>
    </row>
    <row r="690" spans="19:19" x14ac:dyDescent="0.2">
      <c r="S690" s="59"/>
    </row>
    <row r="691" spans="19:19" x14ac:dyDescent="0.2">
      <c r="S691" s="59"/>
    </row>
  </sheetData>
  <mergeCells count="5">
    <mergeCell ref="C3:M3"/>
    <mergeCell ref="F7:M7"/>
    <mergeCell ref="C22:M22"/>
    <mergeCell ref="B24:N30"/>
    <mergeCell ref="B32:N38"/>
  </mergeCells>
  <pageMargins left="0.7" right="0.7" top="0.75" bottom="0.75" header="0.3" footer="0.3"/>
  <pageSetup paperSize="9" scale="1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AA83"/>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31.85546875" style="23" customWidth="1"/>
    <col min="5" max="5" width="10.42578125" style="23" bestFit="1" customWidth="1"/>
    <col min="6" max="18" width="9.140625" style="23"/>
    <col min="19" max="19" width="9.85546875" style="23" customWidth="1"/>
    <col min="20" max="20" width="9.140625" style="23"/>
    <col min="21" max="22" width="9.140625" style="45"/>
    <col min="23" max="23" width="46.42578125" style="45" bestFit="1" customWidth="1"/>
    <col min="24" max="27" width="9.140625" style="45"/>
    <col min="28" max="16384" width="9.140625" style="23"/>
  </cols>
  <sheetData>
    <row r="1" spans="1:24" ht="15.75" customHeight="1" thickBot="1" x14ac:dyDescent="0.3">
      <c r="A1" s="3"/>
    </row>
    <row r="2" spans="1:24" ht="15" customHeight="1" x14ac:dyDescent="0.25">
      <c r="B2" s="81"/>
      <c r="C2" s="32"/>
      <c r="D2" s="32"/>
      <c r="E2" s="32"/>
      <c r="F2" s="32"/>
      <c r="G2" s="32"/>
      <c r="H2" s="32"/>
      <c r="I2" s="32"/>
      <c r="J2" s="32"/>
      <c r="K2" s="32"/>
      <c r="L2" s="32"/>
      <c r="M2" s="32"/>
      <c r="N2" s="32"/>
      <c r="O2" s="32"/>
      <c r="P2" s="32"/>
      <c r="Q2" s="32"/>
      <c r="R2" s="32"/>
      <c r="S2" s="32"/>
      <c r="T2" s="28"/>
    </row>
    <row r="3" spans="1:24" ht="20.25" customHeight="1" x14ac:dyDescent="0.25">
      <c r="B3" s="82"/>
      <c r="C3" s="234" t="s">
        <v>81</v>
      </c>
      <c r="D3" s="235"/>
      <c r="E3" s="235"/>
      <c r="F3" s="235"/>
      <c r="G3" s="235"/>
      <c r="H3" s="235"/>
      <c r="I3" s="235"/>
      <c r="J3" s="235"/>
      <c r="K3" s="235"/>
      <c r="L3" s="235"/>
      <c r="M3" s="235"/>
      <c r="N3" s="235"/>
      <c r="O3" s="235"/>
      <c r="P3" s="235"/>
      <c r="Q3" s="235"/>
      <c r="R3" s="235"/>
      <c r="S3" s="235"/>
      <c r="T3" s="29"/>
    </row>
    <row r="4" spans="1:24" ht="15.75" customHeight="1" x14ac:dyDescent="0.25">
      <c r="B4" s="82"/>
      <c r="C4" s="85" t="s">
        <v>271</v>
      </c>
      <c r="D4" s="33"/>
      <c r="E4" s="199"/>
      <c r="F4" s="199"/>
      <c r="G4" s="199"/>
      <c r="H4" s="199"/>
      <c r="I4" s="199"/>
      <c r="J4" s="199"/>
      <c r="K4" s="33"/>
      <c r="L4" s="33"/>
      <c r="M4" s="33"/>
      <c r="N4" s="33"/>
      <c r="O4" s="33"/>
      <c r="P4" s="33"/>
      <c r="Q4" s="33"/>
      <c r="R4" s="33"/>
      <c r="S4" s="33"/>
      <c r="T4" s="29"/>
    </row>
    <row r="5" spans="1:24" ht="18" customHeight="1" x14ac:dyDescent="0.25">
      <c r="B5" s="82"/>
      <c r="C5" s="86" t="s">
        <v>272</v>
      </c>
      <c r="D5" s="236" t="s">
        <v>274</v>
      </c>
      <c r="E5" s="236"/>
      <c r="F5" s="33"/>
      <c r="G5" s="33"/>
      <c r="H5" s="63"/>
      <c r="I5" s="63"/>
      <c r="J5" s="63"/>
      <c r="K5" s="63"/>
      <c r="L5" s="63"/>
      <c r="M5" s="63"/>
      <c r="N5" s="63"/>
      <c r="O5" s="63"/>
      <c r="P5" s="63"/>
      <c r="Q5" s="63"/>
      <c r="R5" s="63"/>
      <c r="S5" s="63"/>
      <c r="T5" s="64"/>
    </row>
    <row r="6" spans="1:24" ht="15" customHeight="1" x14ac:dyDescent="0.25">
      <c r="B6" s="82"/>
      <c r="C6" s="33"/>
      <c r="D6" s="33"/>
      <c r="E6" s="33"/>
      <c r="F6" s="33"/>
      <c r="G6" s="33"/>
      <c r="H6" s="63"/>
      <c r="I6" s="63"/>
      <c r="J6" s="63"/>
      <c r="K6" s="63"/>
      <c r="L6" s="63"/>
      <c r="M6" s="63"/>
      <c r="N6" s="63"/>
      <c r="O6" s="63"/>
      <c r="P6" s="63"/>
      <c r="Q6" s="63"/>
      <c r="R6" s="63"/>
      <c r="S6" s="63"/>
      <c r="T6" s="64"/>
    </row>
    <row r="7" spans="1:24" ht="32.25" customHeight="1" x14ac:dyDescent="0.25">
      <c r="B7" s="82"/>
      <c r="C7" s="186" t="s">
        <v>0</v>
      </c>
      <c r="D7" s="187" t="s">
        <v>1</v>
      </c>
      <c r="E7" s="186" t="s">
        <v>2</v>
      </c>
      <c r="F7" s="33"/>
      <c r="G7" s="33"/>
      <c r="H7" s="33"/>
      <c r="I7" s="33"/>
      <c r="J7" s="33"/>
      <c r="K7" s="33"/>
      <c r="L7" s="33"/>
      <c r="M7" s="33"/>
      <c r="N7" s="33"/>
      <c r="O7" s="33"/>
      <c r="P7" s="33"/>
      <c r="Q7" s="33"/>
      <c r="R7" s="33"/>
      <c r="S7" s="33"/>
      <c r="T7" s="29"/>
      <c r="W7" s="45" t="s">
        <v>22</v>
      </c>
      <c r="X7" s="45" t="s">
        <v>2</v>
      </c>
    </row>
    <row r="8" spans="1:24" ht="15" customHeight="1" x14ac:dyDescent="0.25">
      <c r="B8" s="82"/>
      <c r="C8" s="15" t="s">
        <v>34</v>
      </c>
      <c r="D8" s="17" t="s">
        <v>3</v>
      </c>
      <c r="E8" s="19">
        <v>6.6829E-2</v>
      </c>
      <c r="F8" s="165"/>
      <c r="G8" s="33"/>
      <c r="H8" s="33"/>
      <c r="I8" s="33"/>
      <c r="J8" s="33"/>
      <c r="K8" s="33"/>
      <c r="L8" s="33"/>
      <c r="M8" s="33"/>
      <c r="N8" s="33"/>
      <c r="O8" s="33"/>
      <c r="P8" s="33"/>
      <c r="Q8" s="33"/>
      <c r="R8" s="33"/>
      <c r="S8" s="33"/>
      <c r="T8" s="29"/>
      <c r="W8" s="211" t="s">
        <v>3</v>
      </c>
      <c r="X8" s="212">
        <v>0.268011</v>
      </c>
    </row>
    <row r="9" spans="1:24" ht="15.75" customHeight="1" x14ac:dyDescent="0.25">
      <c r="B9" s="82"/>
      <c r="C9" s="16" t="s">
        <v>30</v>
      </c>
      <c r="D9" s="18" t="s">
        <v>3</v>
      </c>
      <c r="E9" s="20">
        <v>6.2731999999999996E-2</v>
      </c>
      <c r="F9" s="165"/>
      <c r="G9" s="33"/>
      <c r="H9" s="33"/>
      <c r="I9" s="33"/>
      <c r="J9" s="33"/>
      <c r="K9" s="33"/>
      <c r="L9" s="33"/>
      <c r="M9" s="33"/>
      <c r="N9" s="33"/>
      <c r="O9" s="33"/>
      <c r="P9" s="33"/>
      <c r="Q9" s="33"/>
      <c r="R9" s="33"/>
      <c r="S9" s="33"/>
      <c r="T9" s="29"/>
      <c r="W9" s="211" t="s">
        <v>169</v>
      </c>
      <c r="X9" s="212">
        <v>8.1551000000000012E-2</v>
      </c>
    </row>
    <row r="10" spans="1:24" ht="15" customHeight="1" x14ac:dyDescent="0.25">
      <c r="B10" s="82"/>
      <c r="C10" s="16" t="s">
        <v>113</v>
      </c>
      <c r="D10" s="18" t="s">
        <v>3</v>
      </c>
      <c r="E10" s="20">
        <v>4.8327000000000002E-2</v>
      </c>
      <c r="F10" s="165"/>
      <c r="G10" s="33"/>
      <c r="H10" s="33"/>
      <c r="I10" s="33"/>
      <c r="J10" s="33"/>
      <c r="K10" s="33"/>
      <c r="L10" s="33"/>
      <c r="M10" s="33"/>
      <c r="N10" s="33"/>
      <c r="O10" s="33"/>
      <c r="P10" s="33"/>
      <c r="Q10" s="33"/>
      <c r="R10" s="33"/>
      <c r="S10" s="33"/>
      <c r="T10" s="29"/>
      <c r="W10" s="211" t="s">
        <v>174</v>
      </c>
      <c r="X10" s="212">
        <v>7.4149000000000007E-2</v>
      </c>
    </row>
    <row r="11" spans="1:24" ht="15" customHeight="1" x14ac:dyDescent="0.25">
      <c r="B11" s="82"/>
      <c r="C11" s="16" t="s">
        <v>29</v>
      </c>
      <c r="D11" s="18" t="s">
        <v>169</v>
      </c>
      <c r="E11" s="20">
        <v>4.7912000000000003E-2</v>
      </c>
      <c r="F11" s="165"/>
      <c r="G11" s="33"/>
      <c r="H11" s="33"/>
      <c r="I11" s="33"/>
      <c r="J11" s="33"/>
      <c r="K11" s="33"/>
      <c r="L11" s="33"/>
      <c r="M11" s="33"/>
      <c r="N11" s="33"/>
      <c r="O11" s="33"/>
      <c r="P11" s="33"/>
      <c r="Q11" s="33"/>
      <c r="R11" s="33"/>
      <c r="S11" s="33"/>
      <c r="T11" s="29"/>
      <c r="W11" s="211" t="s">
        <v>24</v>
      </c>
      <c r="X11" s="212">
        <v>6.6571000000000005E-2</v>
      </c>
    </row>
    <row r="12" spans="1:24" ht="15" customHeight="1" x14ac:dyDescent="0.25">
      <c r="B12" s="82"/>
      <c r="C12" s="16" t="s">
        <v>33</v>
      </c>
      <c r="D12" s="18" t="s">
        <v>6</v>
      </c>
      <c r="E12" s="20">
        <v>3.2679E-2</v>
      </c>
      <c r="F12" s="165"/>
      <c r="G12" s="33"/>
      <c r="H12" s="33"/>
      <c r="I12" s="33"/>
      <c r="J12" s="33"/>
      <c r="K12" s="33"/>
      <c r="L12" s="33"/>
      <c r="M12" s="33"/>
      <c r="N12" s="33"/>
      <c r="O12" s="33"/>
      <c r="P12" s="33"/>
      <c r="Q12" s="33"/>
      <c r="R12" s="33"/>
      <c r="S12" s="33"/>
      <c r="T12" s="29"/>
      <c r="W12" s="211" t="s">
        <v>175</v>
      </c>
      <c r="X12" s="212">
        <v>5.9024E-2</v>
      </c>
    </row>
    <row r="13" spans="1:24" ht="15" customHeight="1" x14ac:dyDescent="0.25">
      <c r="B13" s="82"/>
      <c r="C13" s="16" t="s">
        <v>36</v>
      </c>
      <c r="D13" s="18" t="s">
        <v>23</v>
      </c>
      <c r="E13" s="20">
        <v>3.2321999999999997E-2</v>
      </c>
      <c r="F13" s="165"/>
      <c r="G13" s="33"/>
      <c r="H13" s="33"/>
      <c r="I13" s="33"/>
      <c r="J13" s="33"/>
      <c r="K13" s="33"/>
      <c r="L13" s="33"/>
      <c r="M13" s="33"/>
      <c r="N13" s="33"/>
      <c r="O13" s="33"/>
      <c r="P13" s="33"/>
      <c r="Q13" s="33"/>
      <c r="R13" s="33"/>
      <c r="S13" s="33"/>
      <c r="T13" s="29"/>
      <c r="W13" s="211" t="s">
        <v>172</v>
      </c>
      <c r="X13" s="212">
        <v>5.5168999999999996E-2</v>
      </c>
    </row>
    <row r="14" spans="1:24" ht="15" customHeight="1" x14ac:dyDescent="0.25">
      <c r="B14" s="82"/>
      <c r="C14" s="16" t="s">
        <v>93</v>
      </c>
      <c r="D14" s="18" t="s">
        <v>12</v>
      </c>
      <c r="E14" s="20">
        <v>3.1390000000000001E-2</v>
      </c>
      <c r="F14" s="165"/>
      <c r="G14" s="33"/>
      <c r="H14" s="33"/>
      <c r="I14" s="33"/>
      <c r="J14" s="33"/>
      <c r="K14" s="33"/>
      <c r="L14" s="33"/>
      <c r="M14" s="33"/>
      <c r="N14" s="33"/>
      <c r="O14" s="33"/>
      <c r="P14" s="33"/>
      <c r="Q14" s="33"/>
      <c r="R14" s="33"/>
      <c r="S14" s="33"/>
      <c r="T14" s="29"/>
      <c r="W14" s="211" t="s">
        <v>23</v>
      </c>
      <c r="X14" s="212">
        <v>4.6831999999999999E-2</v>
      </c>
    </row>
    <row r="15" spans="1:24" ht="15.75" x14ac:dyDescent="0.25">
      <c r="B15" s="82"/>
      <c r="C15" s="16" t="s">
        <v>103</v>
      </c>
      <c r="D15" s="18" t="s">
        <v>11</v>
      </c>
      <c r="E15" s="20">
        <v>2.7588999999999999E-2</v>
      </c>
      <c r="F15" s="165"/>
      <c r="G15" s="33"/>
      <c r="H15" s="33"/>
      <c r="I15" s="33"/>
      <c r="J15" s="33"/>
      <c r="K15" s="33"/>
      <c r="L15" s="33"/>
      <c r="M15" s="33"/>
      <c r="N15" s="33"/>
      <c r="O15" s="33"/>
      <c r="P15" s="33"/>
      <c r="Q15" s="33"/>
      <c r="R15" s="33"/>
      <c r="S15" s="33"/>
      <c r="T15" s="29"/>
      <c r="W15" s="211" t="s">
        <v>119</v>
      </c>
      <c r="X15" s="212">
        <v>4.5600000000000002E-2</v>
      </c>
    </row>
    <row r="16" spans="1:24" ht="15" customHeight="1" x14ac:dyDescent="0.25">
      <c r="B16" s="82"/>
      <c r="C16" s="16" t="s">
        <v>183</v>
      </c>
      <c r="D16" s="18" t="s">
        <v>175</v>
      </c>
      <c r="E16" s="20">
        <v>2.5991E-2</v>
      </c>
      <c r="F16" s="165"/>
      <c r="G16" s="33"/>
      <c r="H16" s="33"/>
      <c r="I16" s="33"/>
      <c r="J16" s="33"/>
      <c r="K16" s="33"/>
      <c r="L16" s="33"/>
      <c r="M16" s="33"/>
      <c r="N16" s="33"/>
      <c r="O16" s="33"/>
      <c r="P16" s="33"/>
      <c r="Q16" s="33"/>
      <c r="R16" s="33"/>
      <c r="S16" s="33"/>
      <c r="T16" s="29"/>
      <c r="W16" s="211" t="s">
        <v>6</v>
      </c>
      <c r="X16" s="212">
        <v>3.2679E-2</v>
      </c>
    </row>
    <row r="17" spans="2:24" ht="15.75" x14ac:dyDescent="0.25">
      <c r="B17" s="82"/>
      <c r="C17" s="16" t="s">
        <v>135</v>
      </c>
      <c r="D17" s="18" t="s">
        <v>120</v>
      </c>
      <c r="E17" s="20">
        <v>2.4596E-2</v>
      </c>
      <c r="F17" s="165"/>
      <c r="G17" s="33"/>
      <c r="H17" s="33"/>
      <c r="I17" s="33"/>
      <c r="J17" s="33"/>
      <c r="K17" s="33"/>
      <c r="L17" s="33"/>
      <c r="M17" s="33"/>
      <c r="N17" s="33"/>
      <c r="O17" s="33"/>
      <c r="P17" s="33"/>
      <c r="Q17" s="33"/>
      <c r="R17" s="33"/>
      <c r="S17" s="33"/>
      <c r="T17" s="29"/>
      <c r="W17" s="211" t="s">
        <v>12</v>
      </c>
      <c r="X17" s="212">
        <v>3.1390000000000001E-2</v>
      </c>
    </row>
    <row r="18" spans="2:24" ht="15.75" x14ac:dyDescent="0.25">
      <c r="B18" s="82"/>
      <c r="C18" s="16" t="s">
        <v>38</v>
      </c>
      <c r="D18" s="18" t="s">
        <v>3</v>
      </c>
      <c r="E18" s="20">
        <v>2.0497000000000001E-2</v>
      </c>
      <c r="F18" s="165"/>
      <c r="G18" s="33"/>
      <c r="H18" s="33"/>
      <c r="I18" s="33"/>
      <c r="J18" s="33"/>
      <c r="K18" s="33"/>
      <c r="L18" s="33"/>
      <c r="M18" s="33"/>
      <c r="N18" s="33"/>
      <c r="O18" s="33"/>
      <c r="P18" s="33"/>
      <c r="Q18" s="33"/>
      <c r="R18" s="33"/>
      <c r="S18" s="33"/>
      <c r="T18" s="29"/>
      <c r="W18" s="211" t="s">
        <v>4</v>
      </c>
      <c r="X18" s="212">
        <v>2.8144000000000002E-2</v>
      </c>
    </row>
    <row r="19" spans="2:24" ht="15.75" x14ac:dyDescent="0.25">
      <c r="B19" s="82"/>
      <c r="C19" s="16" t="s">
        <v>234</v>
      </c>
      <c r="D19" s="18" t="s">
        <v>24</v>
      </c>
      <c r="E19" s="20">
        <v>1.8946000000000001E-2</v>
      </c>
      <c r="F19" s="165"/>
      <c r="G19" s="33"/>
      <c r="H19" s="33"/>
      <c r="I19" s="33"/>
      <c r="J19" s="33"/>
      <c r="K19" s="33"/>
      <c r="L19" s="33"/>
      <c r="M19" s="33"/>
      <c r="N19" s="33"/>
      <c r="O19" s="33"/>
      <c r="P19" s="33"/>
      <c r="Q19" s="33"/>
      <c r="R19" s="33"/>
      <c r="S19" s="33"/>
      <c r="T19" s="29"/>
      <c r="W19" s="211" t="s">
        <v>11</v>
      </c>
      <c r="X19" s="212">
        <v>2.7588999999999999E-2</v>
      </c>
    </row>
    <row r="20" spans="2:24" ht="15" customHeight="1" x14ac:dyDescent="0.25">
      <c r="B20" s="82"/>
      <c r="C20" s="16" t="s">
        <v>99</v>
      </c>
      <c r="D20" s="18" t="s">
        <v>169</v>
      </c>
      <c r="E20" s="20">
        <v>1.7656000000000002E-2</v>
      </c>
      <c r="F20" s="165"/>
      <c r="G20" s="33"/>
      <c r="H20" s="33"/>
      <c r="I20" s="33"/>
      <c r="J20" s="33"/>
      <c r="K20" s="33"/>
      <c r="L20" s="33"/>
      <c r="M20" s="33"/>
      <c r="N20" s="33"/>
      <c r="O20" s="33"/>
      <c r="P20" s="33"/>
      <c r="Q20" s="33"/>
      <c r="R20" s="33"/>
      <c r="S20" s="33"/>
      <c r="T20" s="29"/>
      <c r="W20" s="211" t="s">
        <v>120</v>
      </c>
      <c r="X20" s="212">
        <v>2.4596E-2</v>
      </c>
    </row>
    <row r="21" spans="2:24" ht="17.25" customHeight="1" x14ac:dyDescent="0.25">
      <c r="B21" s="82"/>
      <c r="C21" s="16" t="s">
        <v>249</v>
      </c>
      <c r="D21" s="18" t="s">
        <v>119</v>
      </c>
      <c r="E21" s="20">
        <v>1.7545000000000002E-2</v>
      </c>
      <c r="F21" s="165"/>
      <c r="G21" s="33"/>
      <c r="H21" s="33"/>
      <c r="I21" s="33"/>
      <c r="J21" s="33"/>
      <c r="K21" s="33"/>
      <c r="L21" s="33"/>
      <c r="M21" s="33"/>
      <c r="N21" s="33"/>
      <c r="O21" s="33"/>
      <c r="P21" s="33"/>
      <c r="Q21" s="33"/>
      <c r="R21" s="33"/>
      <c r="S21" s="33"/>
      <c r="T21" s="29"/>
      <c r="W21" s="211" t="s">
        <v>25</v>
      </c>
      <c r="X21" s="212">
        <v>2.3836E-2</v>
      </c>
    </row>
    <row r="22" spans="2:24" ht="15" customHeight="1" x14ac:dyDescent="0.25">
      <c r="B22" s="82"/>
      <c r="C22" s="16" t="s">
        <v>100</v>
      </c>
      <c r="D22" s="18" t="s">
        <v>174</v>
      </c>
      <c r="E22" s="20">
        <v>1.7385999999999999E-2</v>
      </c>
      <c r="F22" s="165"/>
      <c r="G22" s="33"/>
      <c r="H22" s="33"/>
      <c r="I22" s="33"/>
      <c r="J22" s="33"/>
      <c r="K22" s="33"/>
      <c r="L22" s="33"/>
      <c r="M22" s="33"/>
      <c r="N22" s="33"/>
      <c r="O22" s="33"/>
      <c r="P22" s="33"/>
      <c r="Q22" s="33"/>
      <c r="R22" s="33"/>
      <c r="S22" s="33"/>
      <c r="T22" s="29"/>
      <c r="W22" s="211" t="s">
        <v>182</v>
      </c>
      <c r="X22" s="212">
        <v>2.0275000000000001E-2</v>
      </c>
    </row>
    <row r="23" spans="2:24" ht="15" customHeight="1" x14ac:dyDescent="0.25">
      <c r="B23" s="82"/>
      <c r="C23" s="101"/>
      <c r="D23" s="101"/>
      <c r="E23" s="102"/>
      <c r="F23" s="165"/>
      <c r="G23" s="33"/>
      <c r="H23" s="33"/>
      <c r="I23" s="33"/>
      <c r="J23" s="33"/>
      <c r="K23" s="33"/>
      <c r="L23" s="33"/>
      <c r="M23" s="33"/>
      <c r="N23" s="33"/>
      <c r="O23" s="33"/>
      <c r="P23" s="33"/>
      <c r="Q23" s="33"/>
      <c r="R23" s="33"/>
      <c r="S23" s="33"/>
      <c r="T23" s="29"/>
      <c r="W23" s="211" t="s">
        <v>180</v>
      </c>
      <c r="X23" s="212">
        <v>1.6064999999999999E-2</v>
      </c>
    </row>
    <row r="24" spans="2:24" ht="15" customHeight="1" x14ac:dyDescent="0.25">
      <c r="B24" s="82"/>
      <c r="C24" s="200" t="s">
        <v>64</v>
      </c>
      <c r="D24" s="201"/>
      <c r="E24" s="202">
        <f>SUM(E8:E22)</f>
        <v>0.49239699999999997</v>
      </c>
      <c r="F24" s="33"/>
      <c r="G24" s="33"/>
      <c r="H24" s="33"/>
      <c r="I24" s="33"/>
      <c r="J24" s="33"/>
      <c r="K24" s="33"/>
      <c r="L24" s="33"/>
      <c r="M24" s="33"/>
      <c r="N24" s="33"/>
      <c r="O24" s="33"/>
      <c r="P24" s="33"/>
      <c r="Q24" s="33"/>
      <c r="R24" s="33"/>
      <c r="S24" s="33"/>
      <c r="T24" s="29"/>
      <c r="W24" s="211" t="s">
        <v>27</v>
      </c>
      <c r="X24" s="212">
        <v>1.5306999999999999E-2</v>
      </c>
    </row>
    <row r="25" spans="2:24" ht="15" customHeight="1" x14ac:dyDescent="0.25">
      <c r="B25" s="82"/>
      <c r="C25" s="33"/>
      <c r="D25" s="33"/>
      <c r="E25" s="33"/>
      <c r="F25" s="33"/>
      <c r="G25" s="33"/>
      <c r="H25" s="33"/>
      <c r="I25" s="33"/>
      <c r="J25" s="33"/>
      <c r="K25" s="33"/>
      <c r="L25" s="33"/>
      <c r="M25" s="33"/>
      <c r="N25" s="33"/>
      <c r="O25" s="33"/>
      <c r="P25" s="33"/>
      <c r="Q25" s="33"/>
      <c r="R25" s="33"/>
      <c r="S25" s="33"/>
      <c r="T25" s="29"/>
      <c r="W25" s="211" t="s">
        <v>179</v>
      </c>
      <c r="X25" s="212">
        <v>1.332E-2</v>
      </c>
    </row>
    <row r="26" spans="2:24" ht="15" customHeight="1" x14ac:dyDescent="0.25">
      <c r="B26" s="82"/>
      <c r="C26" s="33"/>
      <c r="D26" s="33"/>
      <c r="E26" s="33"/>
      <c r="F26" s="33"/>
      <c r="G26" s="33"/>
      <c r="H26" s="33"/>
      <c r="I26" s="33"/>
      <c r="J26" s="33"/>
      <c r="K26" s="33"/>
      <c r="L26" s="33"/>
      <c r="M26" s="33"/>
      <c r="N26" s="33"/>
      <c r="O26" s="33"/>
      <c r="P26" s="33"/>
      <c r="Q26" s="33"/>
      <c r="R26" s="33"/>
      <c r="S26" s="33"/>
      <c r="T26" s="29"/>
      <c r="W26" s="211" t="s">
        <v>256</v>
      </c>
      <c r="X26" s="212">
        <v>1.2444999999999999E-2</v>
      </c>
    </row>
    <row r="27" spans="2:24" ht="15" customHeight="1" x14ac:dyDescent="0.25">
      <c r="B27" s="82"/>
      <c r="C27" s="33"/>
      <c r="D27" s="33"/>
      <c r="E27" s="33"/>
      <c r="F27" s="33"/>
      <c r="G27" s="33"/>
      <c r="H27" s="33"/>
      <c r="I27" s="33"/>
      <c r="J27" s="33"/>
      <c r="K27" s="33"/>
      <c r="L27" s="33"/>
      <c r="M27" s="33"/>
      <c r="N27" s="33"/>
      <c r="O27" s="33"/>
      <c r="P27" s="33"/>
      <c r="Q27" s="33"/>
      <c r="R27" s="33"/>
      <c r="S27" s="33"/>
      <c r="T27" s="29"/>
      <c r="W27" s="211" t="s">
        <v>10</v>
      </c>
      <c r="X27" s="212">
        <v>9.835E-3</v>
      </c>
    </row>
    <row r="28" spans="2:24" ht="15" customHeight="1" x14ac:dyDescent="0.25">
      <c r="B28" s="82"/>
      <c r="C28" s="33"/>
      <c r="D28" s="33"/>
      <c r="E28" s="33"/>
      <c r="F28" s="33"/>
      <c r="G28" s="33"/>
      <c r="H28" s="33"/>
      <c r="I28" s="33"/>
      <c r="J28" s="33"/>
      <c r="K28" s="33"/>
      <c r="L28" s="33"/>
      <c r="M28" s="33"/>
      <c r="N28" s="33"/>
      <c r="O28" s="33"/>
      <c r="P28" s="33"/>
      <c r="Q28" s="33"/>
      <c r="R28" s="33"/>
      <c r="S28" s="33"/>
      <c r="T28" s="29"/>
      <c r="W28" s="211" t="s">
        <v>122</v>
      </c>
      <c r="X28" s="212">
        <v>9.2420000000000002E-3</v>
      </c>
    </row>
    <row r="29" spans="2:24" ht="15" customHeight="1" x14ac:dyDescent="0.25">
      <c r="B29" s="82"/>
      <c r="C29" s="33"/>
      <c r="D29" s="33"/>
      <c r="E29" s="33"/>
      <c r="F29" s="33"/>
      <c r="G29" s="33"/>
      <c r="H29" s="33"/>
      <c r="I29" s="33"/>
      <c r="J29" s="33"/>
      <c r="K29" s="33"/>
      <c r="L29" s="33"/>
      <c r="M29" s="33"/>
      <c r="N29" s="33"/>
      <c r="O29" s="33"/>
      <c r="P29" s="33"/>
      <c r="Q29" s="33"/>
      <c r="R29" s="33"/>
      <c r="S29" s="33"/>
      <c r="T29" s="29"/>
      <c r="W29" s="211" t="s">
        <v>184</v>
      </c>
      <c r="X29" s="212">
        <v>8.6960000000000006E-3</v>
      </c>
    </row>
    <row r="30" spans="2:24" ht="15" customHeight="1" x14ac:dyDescent="0.25">
      <c r="B30" s="82"/>
      <c r="C30" s="33"/>
      <c r="D30" s="33"/>
      <c r="E30" s="33"/>
      <c r="F30" s="33"/>
      <c r="G30" s="33"/>
      <c r="H30" s="33"/>
      <c r="I30" s="33"/>
      <c r="J30" s="33"/>
      <c r="K30" s="33"/>
      <c r="L30" s="33"/>
      <c r="M30" s="33"/>
      <c r="N30" s="33"/>
      <c r="O30" s="33"/>
      <c r="P30" s="33"/>
      <c r="Q30" s="33"/>
      <c r="R30" s="33"/>
      <c r="S30" s="33"/>
      <c r="T30" s="29"/>
      <c r="W30" s="211" t="s">
        <v>121</v>
      </c>
      <c r="X30" s="212">
        <v>6.234E-3</v>
      </c>
    </row>
    <row r="31" spans="2:24" ht="15" customHeight="1" x14ac:dyDescent="0.25">
      <c r="B31" s="82"/>
      <c r="C31" s="33"/>
      <c r="D31" s="33"/>
      <c r="E31" s="33"/>
      <c r="F31" s="33"/>
      <c r="G31" s="33"/>
      <c r="H31" s="33"/>
      <c r="I31" s="33"/>
      <c r="J31" s="33"/>
      <c r="K31" s="33"/>
      <c r="L31" s="33"/>
      <c r="M31" s="33"/>
      <c r="N31" s="33"/>
      <c r="O31" s="33"/>
      <c r="P31" s="33"/>
      <c r="Q31" s="33"/>
      <c r="R31" s="33"/>
      <c r="S31" s="33"/>
      <c r="T31" s="29"/>
      <c r="W31" s="211" t="s">
        <v>187</v>
      </c>
      <c r="X31" s="212">
        <v>6.0720000000000001E-3</v>
      </c>
    </row>
    <row r="32" spans="2:24" ht="15" customHeight="1" x14ac:dyDescent="0.25">
      <c r="B32" s="82"/>
      <c r="C32" s="33"/>
      <c r="D32" s="33"/>
      <c r="E32" s="33"/>
      <c r="F32" s="33"/>
      <c r="G32" s="33"/>
      <c r="H32" s="33"/>
      <c r="I32" s="33"/>
      <c r="J32" s="33"/>
      <c r="K32" s="33"/>
      <c r="L32" s="33"/>
      <c r="M32" s="33"/>
      <c r="N32" s="33"/>
      <c r="O32" s="33"/>
      <c r="P32" s="33"/>
      <c r="Q32" s="33"/>
      <c r="R32" s="33"/>
      <c r="S32" s="33"/>
      <c r="T32" s="29"/>
      <c r="W32" s="211" t="s">
        <v>16</v>
      </c>
      <c r="X32" s="212">
        <v>4.2729999999999999E-3</v>
      </c>
    </row>
    <row r="33" spans="2:24" ht="15" customHeight="1" x14ac:dyDescent="0.25">
      <c r="B33" s="82"/>
      <c r="C33" s="33"/>
      <c r="D33" s="33"/>
      <c r="E33" s="33"/>
      <c r="F33" s="33"/>
      <c r="G33" s="33"/>
      <c r="H33" s="33"/>
      <c r="I33" s="33"/>
      <c r="J33" s="33"/>
      <c r="K33" s="33"/>
      <c r="L33" s="33"/>
      <c r="M33" s="33"/>
      <c r="N33" s="33"/>
      <c r="O33" s="33"/>
      <c r="P33" s="33"/>
      <c r="Q33" s="33"/>
      <c r="R33" s="33"/>
      <c r="S33" s="33"/>
      <c r="T33" s="29"/>
      <c r="W33" s="68"/>
      <c r="X33" s="69"/>
    </row>
    <row r="34" spans="2:24" ht="15" customHeight="1" x14ac:dyDescent="0.25">
      <c r="B34" s="82"/>
      <c r="C34" s="33"/>
      <c r="D34" s="33"/>
      <c r="E34" s="33"/>
      <c r="F34" s="33"/>
      <c r="G34" s="33"/>
      <c r="H34" s="33"/>
      <c r="I34" s="33"/>
      <c r="J34" s="33"/>
      <c r="K34" s="33"/>
      <c r="L34" s="33"/>
      <c r="M34" s="33"/>
      <c r="N34" s="33"/>
      <c r="O34" s="33"/>
      <c r="P34" s="33"/>
      <c r="Q34" s="33"/>
      <c r="R34" s="33"/>
      <c r="S34" s="33"/>
      <c r="T34" s="29"/>
      <c r="W34" s="68"/>
      <c r="X34" s="69"/>
    </row>
    <row r="35" spans="2:24" ht="15" customHeight="1" x14ac:dyDescent="0.25">
      <c r="B35" s="82"/>
      <c r="C35" s="33"/>
      <c r="D35" s="33"/>
      <c r="E35" s="33"/>
      <c r="F35" s="33"/>
      <c r="G35" s="33"/>
      <c r="H35" s="33"/>
      <c r="I35" s="33"/>
      <c r="J35" s="33"/>
      <c r="K35" s="33"/>
      <c r="L35" s="33"/>
      <c r="M35" s="33"/>
      <c r="N35" s="33"/>
      <c r="O35" s="33"/>
      <c r="P35" s="33"/>
      <c r="Q35" s="33"/>
      <c r="R35" s="33"/>
      <c r="S35" s="33"/>
      <c r="T35" s="29"/>
      <c r="W35" s="68"/>
      <c r="X35" s="203"/>
    </row>
    <row r="36" spans="2:24" ht="15" customHeight="1" x14ac:dyDescent="0.25">
      <c r="B36" s="82"/>
      <c r="C36" s="33"/>
      <c r="D36" s="33"/>
      <c r="E36" s="33"/>
      <c r="F36" s="33"/>
      <c r="G36" s="33"/>
      <c r="H36" s="33"/>
      <c r="I36" s="33"/>
      <c r="J36" s="33"/>
      <c r="K36" s="33"/>
      <c r="L36" s="33"/>
      <c r="M36" s="33"/>
      <c r="N36" s="33"/>
      <c r="O36" s="33"/>
      <c r="P36" s="33"/>
      <c r="Q36" s="33"/>
      <c r="R36" s="33"/>
      <c r="S36" s="33"/>
      <c r="T36" s="29"/>
    </row>
    <row r="37" spans="2:24" ht="15" customHeight="1" x14ac:dyDescent="0.25">
      <c r="B37" s="82"/>
      <c r="C37" s="33"/>
      <c r="D37" s="33"/>
      <c r="E37" s="33"/>
      <c r="F37" s="33"/>
      <c r="G37" s="33"/>
      <c r="H37" s="33"/>
      <c r="I37" s="33"/>
      <c r="J37" s="33"/>
      <c r="K37" s="33"/>
      <c r="L37" s="33"/>
      <c r="M37" s="33"/>
      <c r="N37" s="33"/>
      <c r="O37" s="33"/>
      <c r="P37" s="33"/>
      <c r="Q37" s="33"/>
      <c r="R37" s="33"/>
      <c r="S37" s="33"/>
      <c r="T37" s="29"/>
    </row>
    <row r="38" spans="2:24" ht="15" customHeight="1" thickBot="1" x14ac:dyDescent="0.3">
      <c r="B38" s="95"/>
      <c r="C38" s="34"/>
      <c r="D38" s="34"/>
      <c r="E38" s="34"/>
      <c r="F38" s="34"/>
      <c r="G38" s="34"/>
      <c r="H38" s="34"/>
      <c r="I38" s="34"/>
      <c r="J38" s="34"/>
      <c r="K38" s="34"/>
      <c r="L38" s="34"/>
      <c r="M38" s="34"/>
      <c r="N38" s="34"/>
      <c r="O38" s="34"/>
      <c r="P38" s="34"/>
      <c r="Q38" s="34"/>
      <c r="R38" s="34"/>
      <c r="S38" s="34"/>
      <c r="T38" s="30"/>
    </row>
    <row r="39" spans="2:24" ht="15" customHeight="1" x14ac:dyDescent="0.25">
      <c r="B39" s="33"/>
      <c r="C39" s="33"/>
      <c r="D39" s="33"/>
      <c r="E39" s="33"/>
      <c r="F39" s="33"/>
      <c r="G39" s="33"/>
      <c r="H39" s="33"/>
      <c r="I39" s="33"/>
      <c r="J39" s="33"/>
      <c r="K39" s="33"/>
      <c r="L39" s="33"/>
      <c r="M39" s="33"/>
      <c r="N39" s="33"/>
      <c r="O39" s="33"/>
      <c r="P39" s="33"/>
      <c r="Q39" s="33"/>
      <c r="R39" s="33"/>
      <c r="S39" s="33"/>
      <c r="T39" s="33"/>
    </row>
    <row r="40" spans="2:24" ht="15" customHeight="1" x14ac:dyDescent="0.25">
      <c r="B40" s="33"/>
      <c r="C40" s="33"/>
      <c r="D40" s="33"/>
      <c r="E40" s="33"/>
      <c r="F40" s="33"/>
      <c r="G40" s="33"/>
      <c r="H40" s="33"/>
      <c r="I40" s="33"/>
      <c r="J40" s="33"/>
      <c r="K40" s="33"/>
      <c r="L40" s="33"/>
      <c r="M40" s="33"/>
      <c r="N40" s="33"/>
      <c r="O40" s="33"/>
      <c r="P40" s="33"/>
      <c r="Q40" s="33"/>
      <c r="R40" s="33"/>
      <c r="S40" s="33"/>
      <c r="T40" s="33"/>
    </row>
    <row r="41" spans="2:24" ht="15" customHeight="1" thickBot="1" x14ac:dyDescent="0.3">
      <c r="B41" s="33"/>
      <c r="C41" s="33"/>
      <c r="D41" s="33"/>
      <c r="E41" s="33"/>
      <c r="F41" s="33"/>
      <c r="G41" s="33"/>
      <c r="H41" s="33"/>
      <c r="I41" s="33"/>
      <c r="J41" s="33"/>
      <c r="K41" s="33"/>
      <c r="L41" s="33"/>
      <c r="M41" s="33"/>
      <c r="N41" s="33"/>
      <c r="O41" s="33"/>
      <c r="P41" s="33"/>
      <c r="Q41" s="33"/>
      <c r="R41" s="33"/>
      <c r="S41" s="33"/>
      <c r="T41" s="33"/>
    </row>
    <row r="42" spans="2:24" ht="15" customHeight="1" x14ac:dyDescent="0.25">
      <c r="B42" s="225" t="s">
        <v>117</v>
      </c>
      <c r="C42" s="226"/>
      <c r="D42" s="226"/>
      <c r="E42" s="226"/>
      <c r="F42" s="226"/>
      <c r="G42" s="226"/>
      <c r="H42" s="226"/>
      <c r="I42" s="226"/>
      <c r="J42" s="226"/>
      <c r="K42" s="226"/>
      <c r="L42" s="226"/>
      <c r="M42" s="226"/>
      <c r="N42" s="226"/>
      <c r="O42" s="226"/>
      <c r="P42" s="226"/>
      <c r="Q42" s="226"/>
      <c r="R42" s="227"/>
      <c r="T42" s="33"/>
    </row>
    <row r="43" spans="2:24" ht="15" customHeight="1" x14ac:dyDescent="0.25">
      <c r="B43" s="228"/>
      <c r="C43" s="229"/>
      <c r="D43" s="229"/>
      <c r="E43" s="229"/>
      <c r="F43" s="229"/>
      <c r="G43" s="229"/>
      <c r="H43" s="229"/>
      <c r="I43" s="229"/>
      <c r="J43" s="229"/>
      <c r="K43" s="229"/>
      <c r="L43" s="229"/>
      <c r="M43" s="229"/>
      <c r="N43" s="229"/>
      <c r="O43" s="229"/>
      <c r="P43" s="229"/>
      <c r="Q43" s="229"/>
      <c r="R43" s="230"/>
      <c r="T43" s="33"/>
    </row>
    <row r="44" spans="2:24" ht="15" customHeight="1" x14ac:dyDescent="0.25">
      <c r="B44" s="228"/>
      <c r="C44" s="229"/>
      <c r="D44" s="229"/>
      <c r="E44" s="229"/>
      <c r="F44" s="229"/>
      <c r="G44" s="229"/>
      <c r="H44" s="229"/>
      <c r="I44" s="229"/>
      <c r="J44" s="229"/>
      <c r="K44" s="229"/>
      <c r="L44" s="229"/>
      <c r="M44" s="229"/>
      <c r="N44" s="229"/>
      <c r="O44" s="229"/>
      <c r="P44" s="229"/>
      <c r="Q44" s="229"/>
      <c r="R44" s="230"/>
      <c r="T44" s="33"/>
    </row>
    <row r="45" spans="2:24" ht="15" customHeight="1" x14ac:dyDescent="0.25">
      <c r="B45" s="228"/>
      <c r="C45" s="229"/>
      <c r="D45" s="229"/>
      <c r="E45" s="229"/>
      <c r="F45" s="229"/>
      <c r="G45" s="229"/>
      <c r="H45" s="229"/>
      <c r="I45" s="229"/>
      <c r="J45" s="229"/>
      <c r="K45" s="229"/>
      <c r="L45" s="229"/>
      <c r="M45" s="229"/>
      <c r="N45" s="229"/>
      <c r="O45" s="229"/>
      <c r="P45" s="229"/>
      <c r="Q45" s="229"/>
      <c r="R45" s="230"/>
      <c r="T45" s="33"/>
    </row>
    <row r="46" spans="2:24" ht="15" customHeight="1" x14ac:dyDescent="0.25">
      <c r="B46" s="228"/>
      <c r="C46" s="229"/>
      <c r="D46" s="229"/>
      <c r="E46" s="229"/>
      <c r="F46" s="229"/>
      <c r="G46" s="229"/>
      <c r="H46" s="229"/>
      <c r="I46" s="229"/>
      <c r="J46" s="229"/>
      <c r="K46" s="229"/>
      <c r="L46" s="229"/>
      <c r="M46" s="229"/>
      <c r="N46" s="229"/>
      <c r="O46" s="229"/>
      <c r="P46" s="229"/>
      <c r="Q46" s="229"/>
      <c r="R46" s="230"/>
      <c r="T46" s="33"/>
    </row>
    <row r="47" spans="2:24" ht="15" customHeight="1" x14ac:dyDescent="0.25">
      <c r="B47" s="228"/>
      <c r="C47" s="229"/>
      <c r="D47" s="229"/>
      <c r="E47" s="229"/>
      <c r="F47" s="229"/>
      <c r="G47" s="229"/>
      <c r="H47" s="229"/>
      <c r="I47" s="229"/>
      <c r="J47" s="229"/>
      <c r="K47" s="229"/>
      <c r="L47" s="229"/>
      <c r="M47" s="229"/>
      <c r="N47" s="229"/>
      <c r="O47" s="229"/>
      <c r="P47" s="229"/>
      <c r="Q47" s="229"/>
      <c r="R47" s="230"/>
      <c r="T47" s="33"/>
    </row>
    <row r="48" spans="2:24" ht="15" customHeight="1" thickBot="1" x14ac:dyDescent="0.3">
      <c r="B48" s="231"/>
      <c r="C48" s="232"/>
      <c r="D48" s="232"/>
      <c r="E48" s="232"/>
      <c r="F48" s="232"/>
      <c r="G48" s="232"/>
      <c r="H48" s="232"/>
      <c r="I48" s="232"/>
      <c r="J48" s="232"/>
      <c r="K48" s="232"/>
      <c r="L48" s="232"/>
      <c r="M48" s="232"/>
      <c r="N48" s="232"/>
      <c r="O48" s="232"/>
      <c r="P48" s="232"/>
      <c r="Q48" s="232"/>
      <c r="R48" s="233"/>
      <c r="T48" s="33"/>
    </row>
    <row r="49" spans="2:20" ht="15.75" customHeight="1" x14ac:dyDescent="0.25">
      <c r="B49" s="33"/>
      <c r="C49" s="33"/>
      <c r="D49" s="33"/>
      <c r="E49" s="33"/>
      <c r="F49" s="33"/>
      <c r="G49" s="33"/>
      <c r="H49" s="33"/>
      <c r="I49" s="33"/>
      <c r="J49" s="33"/>
      <c r="K49" s="33"/>
      <c r="L49" s="33"/>
      <c r="M49" s="33"/>
      <c r="N49" s="33"/>
      <c r="O49" s="33"/>
      <c r="P49" s="33"/>
      <c r="Q49" s="33"/>
      <c r="R49" s="33"/>
      <c r="S49" s="33"/>
      <c r="T49" s="33"/>
    </row>
    <row r="50" spans="2:20" ht="15" customHeight="1" x14ac:dyDescent="0.25">
      <c r="B50" s="33"/>
      <c r="C50" s="33"/>
      <c r="D50" s="33"/>
      <c r="E50" s="33"/>
      <c r="F50" s="33"/>
      <c r="G50" s="33"/>
      <c r="H50" s="33"/>
      <c r="I50" s="33"/>
      <c r="J50" s="33"/>
      <c r="K50" s="33"/>
      <c r="L50" s="33"/>
      <c r="M50" s="33"/>
      <c r="N50" s="33"/>
      <c r="O50" s="33"/>
      <c r="P50" s="33"/>
      <c r="Q50" s="33"/>
      <c r="R50" s="33"/>
      <c r="S50" s="33"/>
      <c r="T50" s="33"/>
    </row>
    <row r="51" spans="2:20" ht="15.75" customHeight="1" x14ac:dyDescent="0.25">
      <c r="B51" s="33"/>
      <c r="C51" s="33"/>
      <c r="D51" s="33"/>
      <c r="E51" s="33"/>
      <c r="F51" s="33"/>
      <c r="G51" s="33"/>
      <c r="H51" s="33"/>
      <c r="I51" s="33"/>
      <c r="J51" s="33"/>
      <c r="K51" s="33"/>
      <c r="L51" s="33"/>
      <c r="M51" s="33"/>
      <c r="N51" s="33"/>
      <c r="O51" s="33"/>
      <c r="P51" s="33"/>
      <c r="Q51" s="33"/>
      <c r="R51" s="33"/>
      <c r="S51" s="33"/>
      <c r="T51" s="33"/>
    </row>
    <row r="52" spans="2:20" ht="15" customHeight="1" x14ac:dyDescent="0.25">
      <c r="B52" s="33"/>
      <c r="C52" s="33"/>
      <c r="D52" s="33"/>
      <c r="E52" s="33"/>
      <c r="F52" s="33"/>
      <c r="G52" s="33"/>
      <c r="H52" s="33"/>
      <c r="I52" s="33"/>
      <c r="J52" s="33"/>
      <c r="K52" s="33"/>
      <c r="L52" s="33"/>
      <c r="M52" s="33"/>
      <c r="N52" s="33"/>
      <c r="O52" s="33"/>
      <c r="P52" s="33"/>
      <c r="Q52" s="33"/>
      <c r="R52" s="33"/>
      <c r="S52" s="33"/>
      <c r="T52" s="33"/>
    </row>
    <row r="53" spans="2:20" ht="15" customHeight="1" x14ac:dyDescent="0.25">
      <c r="B53" s="33"/>
      <c r="C53" s="33"/>
      <c r="D53" s="33"/>
      <c r="E53" s="33"/>
      <c r="F53" s="33"/>
      <c r="G53" s="33"/>
      <c r="H53" s="33"/>
      <c r="I53" s="33"/>
      <c r="J53" s="33"/>
      <c r="K53" s="33"/>
      <c r="L53" s="33"/>
      <c r="M53" s="33"/>
      <c r="N53" s="33"/>
      <c r="O53" s="33"/>
      <c r="P53" s="33"/>
      <c r="Q53" s="33"/>
      <c r="R53" s="33"/>
      <c r="S53" s="33"/>
      <c r="T53" s="33"/>
    </row>
    <row r="54" spans="2:20" ht="15" customHeight="1" x14ac:dyDescent="0.25">
      <c r="B54" s="33"/>
      <c r="C54" s="33"/>
      <c r="D54" s="33"/>
      <c r="E54" s="33"/>
      <c r="F54" s="33"/>
      <c r="G54" s="33"/>
      <c r="H54" s="33"/>
      <c r="I54" s="33"/>
      <c r="J54" s="33"/>
      <c r="K54" s="33"/>
      <c r="L54" s="33"/>
      <c r="M54" s="33"/>
      <c r="N54" s="33"/>
      <c r="O54" s="33"/>
      <c r="P54" s="33"/>
      <c r="Q54" s="33"/>
      <c r="R54" s="33"/>
      <c r="S54" s="33"/>
      <c r="T54" s="33"/>
    </row>
    <row r="55" spans="2:20" ht="15" customHeight="1" x14ac:dyDescent="0.25">
      <c r="B55" s="33"/>
      <c r="C55" s="33"/>
      <c r="D55" s="33"/>
      <c r="E55" s="33"/>
      <c r="F55" s="33"/>
      <c r="G55" s="33"/>
      <c r="H55" s="33"/>
      <c r="I55" s="33"/>
      <c r="J55" s="33"/>
      <c r="K55" s="33"/>
      <c r="L55" s="33"/>
      <c r="M55" s="33"/>
      <c r="N55" s="33"/>
      <c r="O55" s="33"/>
      <c r="P55" s="33"/>
      <c r="Q55" s="33"/>
      <c r="R55" s="33"/>
      <c r="S55" s="33"/>
      <c r="T55" s="33"/>
    </row>
    <row r="56" spans="2:20" ht="15" customHeight="1" x14ac:dyDescent="0.25">
      <c r="B56" s="33"/>
      <c r="C56" s="33"/>
      <c r="D56" s="33"/>
      <c r="E56" s="33"/>
      <c r="F56" s="33"/>
      <c r="G56" s="33"/>
      <c r="H56" s="33"/>
      <c r="I56" s="33"/>
      <c r="J56" s="33"/>
      <c r="K56" s="33"/>
      <c r="L56" s="33"/>
      <c r="M56" s="33"/>
      <c r="N56" s="33"/>
      <c r="O56" s="33"/>
      <c r="P56" s="33"/>
      <c r="Q56" s="33"/>
      <c r="R56" s="33"/>
      <c r="S56" s="33"/>
      <c r="T56" s="33"/>
    </row>
    <row r="57" spans="2:20" ht="15" customHeight="1" x14ac:dyDescent="0.25"/>
    <row r="58" spans="2:20" ht="15" customHeight="1" x14ac:dyDescent="0.25"/>
    <row r="59" spans="2:20" ht="15" customHeight="1" x14ac:dyDescent="0.25"/>
    <row r="60" spans="2:20" ht="15" customHeight="1" x14ac:dyDescent="0.25"/>
    <row r="61" spans="2:20" ht="15" customHeight="1" x14ac:dyDescent="0.25"/>
    <row r="62" spans="2:20" ht="15" customHeight="1" x14ac:dyDescent="0.25"/>
    <row r="63" spans="2:20" ht="15" customHeight="1" x14ac:dyDescent="0.25"/>
    <row r="64" spans="2:20"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sheetData>
  <sortState ref="W9:X30">
    <sortCondition descending="1" ref="X9:X30"/>
  </sortState>
  <mergeCells count="3">
    <mergeCell ref="C3:S3"/>
    <mergeCell ref="D5:E5"/>
    <mergeCell ref="B42:R48"/>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X74"/>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33" style="23" customWidth="1"/>
    <col min="5" max="5" width="10.42578125" style="23" bestFit="1" customWidth="1"/>
    <col min="6" max="18" width="9.140625" style="23"/>
    <col min="19" max="19" width="9.85546875" style="23" customWidth="1"/>
    <col min="20" max="22" width="9.140625" style="23"/>
    <col min="23" max="23" width="46.42578125" style="23" bestFit="1" customWidth="1"/>
    <col min="24" max="16384" width="9.140625" style="23"/>
  </cols>
  <sheetData>
    <row r="1" spans="1:24" ht="15.75" customHeight="1" thickBot="1" x14ac:dyDescent="0.3">
      <c r="A1" s="3"/>
    </row>
    <row r="2" spans="1:24" ht="15" customHeight="1" x14ac:dyDescent="0.25">
      <c r="B2" s="81"/>
      <c r="C2" s="32"/>
      <c r="D2" s="32"/>
      <c r="E2" s="32"/>
      <c r="F2" s="32"/>
      <c r="G2" s="32"/>
      <c r="H2" s="32"/>
      <c r="I2" s="32"/>
      <c r="J2" s="32"/>
      <c r="K2" s="32"/>
      <c r="L2" s="32"/>
      <c r="M2" s="32"/>
      <c r="N2" s="32"/>
      <c r="O2" s="32"/>
      <c r="P2" s="32"/>
      <c r="Q2" s="32"/>
      <c r="R2" s="32"/>
      <c r="S2" s="32"/>
      <c r="T2" s="28"/>
    </row>
    <row r="3" spans="1:24" ht="20.25" customHeight="1" x14ac:dyDescent="0.25">
      <c r="B3" s="82"/>
      <c r="C3" s="234" t="s">
        <v>80</v>
      </c>
      <c r="D3" s="235"/>
      <c r="E3" s="235"/>
      <c r="F3" s="235"/>
      <c r="G3" s="235"/>
      <c r="H3" s="235"/>
      <c r="I3" s="235"/>
      <c r="J3" s="235"/>
      <c r="K3" s="235"/>
      <c r="L3" s="235"/>
      <c r="M3" s="235"/>
      <c r="N3" s="235"/>
      <c r="O3" s="235"/>
      <c r="P3" s="235"/>
      <c r="Q3" s="235"/>
      <c r="R3" s="235"/>
      <c r="S3" s="235"/>
      <c r="T3" s="29"/>
    </row>
    <row r="4" spans="1:24" ht="15.75" customHeight="1" x14ac:dyDescent="0.25">
      <c r="B4" s="82"/>
      <c r="C4" s="85" t="s">
        <v>271</v>
      </c>
      <c r="D4" s="33"/>
      <c r="E4" s="33"/>
      <c r="F4" s="33"/>
      <c r="G4" s="33"/>
      <c r="H4" s="33"/>
      <c r="I4" s="33"/>
      <c r="J4" s="33"/>
      <c r="K4" s="33"/>
      <c r="L4" s="33"/>
      <c r="M4" s="33"/>
      <c r="N4" s="33"/>
      <c r="O4" s="33"/>
      <c r="P4" s="33"/>
      <c r="Q4" s="33"/>
      <c r="R4" s="33"/>
      <c r="S4" s="33"/>
      <c r="T4" s="29"/>
    </row>
    <row r="5" spans="1:24" ht="18" customHeight="1" x14ac:dyDescent="0.25">
      <c r="B5" s="82"/>
      <c r="C5" s="86" t="s">
        <v>272</v>
      </c>
      <c r="D5" s="236" t="s">
        <v>275</v>
      </c>
      <c r="E5" s="236"/>
      <c r="F5" s="33"/>
      <c r="G5" s="63"/>
      <c r="H5" s="63"/>
      <c r="I5" s="63"/>
      <c r="J5" s="63"/>
      <c r="K5" s="63"/>
      <c r="L5" s="63"/>
      <c r="M5" s="63"/>
      <c r="N5" s="63"/>
      <c r="O5" s="63"/>
      <c r="P5" s="63"/>
      <c r="Q5" s="63"/>
      <c r="R5" s="63"/>
      <c r="S5" s="63"/>
      <c r="T5" s="29"/>
    </row>
    <row r="6" spans="1:24" ht="15" customHeight="1" x14ac:dyDescent="0.25">
      <c r="B6" s="82"/>
      <c r="C6" s="33"/>
      <c r="D6" s="33"/>
      <c r="E6" s="33"/>
      <c r="F6" s="33"/>
      <c r="G6" s="63"/>
      <c r="H6" s="63"/>
      <c r="I6" s="63"/>
      <c r="J6" s="63"/>
      <c r="K6" s="63"/>
      <c r="L6" s="63"/>
      <c r="M6" s="63"/>
      <c r="N6" s="63"/>
      <c r="O6" s="63"/>
      <c r="P6" s="63"/>
      <c r="Q6" s="63"/>
      <c r="R6" s="63"/>
      <c r="S6" s="63"/>
      <c r="T6" s="29"/>
    </row>
    <row r="7" spans="1:24" ht="32.25" customHeight="1" x14ac:dyDescent="0.25">
      <c r="B7" s="82"/>
      <c r="C7" s="87" t="s">
        <v>0</v>
      </c>
      <c r="D7" s="88" t="s">
        <v>1</v>
      </c>
      <c r="E7" s="89" t="s">
        <v>2</v>
      </c>
      <c r="F7" s="33"/>
      <c r="G7" s="33"/>
      <c r="H7" s="33"/>
      <c r="I7" s="33"/>
      <c r="J7" s="33"/>
      <c r="K7" s="33"/>
      <c r="L7" s="33"/>
      <c r="M7" s="33"/>
      <c r="N7" s="33"/>
      <c r="O7" s="33"/>
      <c r="P7" s="33"/>
      <c r="Q7" s="33"/>
      <c r="R7" s="33"/>
      <c r="S7" s="33"/>
      <c r="T7" s="29"/>
      <c r="W7" s="45" t="s">
        <v>22</v>
      </c>
      <c r="X7" s="45" t="s">
        <v>2</v>
      </c>
    </row>
    <row r="8" spans="1:24" ht="15" customHeight="1" x14ac:dyDescent="0.25">
      <c r="B8" s="82"/>
      <c r="C8" s="61" t="s">
        <v>30</v>
      </c>
      <c r="D8" s="17" t="s">
        <v>3</v>
      </c>
      <c r="E8" s="19">
        <v>9.9684999999999996E-2</v>
      </c>
      <c r="F8" s="33"/>
      <c r="G8" s="33"/>
      <c r="H8" s="33"/>
      <c r="I8" s="33"/>
      <c r="J8" s="33"/>
      <c r="K8" s="33"/>
      <c r="L8" s="33"/>
      <c r="M8" s="33"/>
      <c r="N8" s="33"/>
      <c r="O8" s="33"/>
      <c r="P8" s="33"/>
      <c r="Q8" s="33"/>
      <c r="R8" s="33"/>
      <c r="S8" s="33"/>
      <c r="T8" s="29"/>
      <c r="W8" s="77" t="s">
        <v>3</v>
      </c>
      <c r="X8" s="79">
        <v>0.353126</v>
      </c>
    </row>
    <row r="9" spans="1:24" ht="15.75" customHeight="1" x14ac:dyDescent="0.25">
      <c r="B9" s="82"/>
      <c r="C9" s="62" t="s">
        <v>34</v>
      </c>
      <c r="D9" s="18" t="s">
        <v>3</v>
      </c>
      <c r="E9" s="20">
        <v>9.5698000000000005E-2</v>
      </c>
      <c r="F9" s="33"/>
      <c r="G9" s="33"/>
      <c r="H9" s="33"/>
      <c r="I9" s="33"/>
      <c r="J9" s="33"/>
      <c r="K9" s="33"/>
      <c r="L9" s="33"/>
      <c r="M9" s="33"/>
      <c r="N9" s="33"/>
      <c r="O9" s="33"/>
      <c r="P9" s="33"/>
      <c r="Q9" s="33"/>
      <c r="R9" s="33"/>
      <c r="S9" s="33"/>
      <c r="T9" s="29"/>
      <c r="W9" s="77" t="s">
        <v>169</v>
      </c>
      <c r="X9" s="79">
        <v>0.12443400000000002</v>
      </c>
    </row>
    <row r="10" spans="1:24" ht="15" customHeight="1" x14ac:dyDescent="0.25">
      <c r="B10" s="82"/>
      <c r="C10" s="62" t="s">
        <v>113</v>
      </c>
      <c r="D10" s="18" t="s">
        <v>3</v>
      </c>
      <c r="E10" s="20">
        <v>8.1753999999999993E-2</v>
      </c>
      <c r="F10" s="33"/>
      <c r="G10" s="33"/>
      <c r="H10" s="33"/>
      <c r="I10" s="33"/>
      <c r="J10" s="33"/>
      <c r="K10" s="33"/>
      <c r="L10" s="33"/>
      <c r="M10" s="33"/>
      <c r="N10" s="33"/>
      <c r="O10" s="33"/>
      <c r="P10" s="33"/>
      <c r="Q10" s="33"/>
      <c r="R10" s="33"/>
      <c r="S10" s="33"/>
      <c r="T10" s="29"/>
      <c r="W10" s="77" t="s">
        <v>6</v>
      </c>
      <c r="X10" s="79">
        <v>6.7921999999999996E-2</v>
      </c>
    </row>
    <row r="11" spans="1:24" ht="15" customHeight="1" x14ac:dyDescent="0.25">
      <c r="B11" s="82"/>
      <c r="C11" s="62" t="s">
        <v>33</v>
      </c>
      <c r="D11" s="18" t="s">
        <v>6</v>
      </c>
      <c r="E11" s="20">
        <v>6.1273000000000001E-2</v>
      </c>
      <c r="F11" s="33"/>
      <c r="G11" s="33"/>
      <c r="H11" s="33"/>
      <c r="I11" s="33"/>
      <c r="J11" s="33"/>
      <c r="K11" s="33"/>
      <c r="L11" s="33"/>
      <c r="M11" s="33"/>
      <c r="N11" s="33"/>
      <c r="O11" s="33"/>
      <c r="P11" s="33"/>
      <c r="Q11" s="33"/>
      <c r="R11" s="33"/>
      <c r="S11" s="33"/>
      <c r="T11" s="29"/>
      <c r="W11" s="77" t="s">
        <v>180</v>
      </c>
      <c r="X11" s="79">
        <v>5.9415000000000003E-2</v>
      </c>
    </row>
    <row r="12" spans="1:24" ht="15" customHeight="1" x14ac:dyDescent="0.25">
      <c r="B12" s="82"/>
      <c r="C12" s="62" t="s">
        <v>29</v>
      </c>
      <c r="D12" s="18" t="s">
        <v>169</v>
      </c>
      <c r="E12" s="20">
        <v>5.9412E-2</v>
      </c>
      <c r="F12" s="33"/>
      <c r="G12" s="33"/>
      <c r="H12" s="33"/>
      <c r="I12" s="33"/>
      <c r="J12" s="33"/>
      <c r="K12" s="33"/>
      <c r="L12" s="33"/>
      <c r="M12" s="33"/>
      <c r="N12" s="33"/>
      <c r="O12" s="33"/>
      <c r="P12" s="33"/>
      <c r="Q12" s="33"/>
      <c r="R12" s="33"/>
      <c r="S12" s="33"/>
      <c r="T12" s="29"/>
      <c r="W12" s="77" t="s">
        <v>175</v>
      </c>
      <c r="X12" s="79">
        <v>5.5840000000000001E-2</v>
      </c>
    </row>
    <row r="13" spans="1:24" ht="15" customHeight="1" x14ac:dyDescent="0.25">
      <c r="B13" s="82"/>
      <c r="C13" s="62" t="s">
        <v>35</v>
      </c>
      <c r="D13" s="18" t="s">
        <v>169</v>
      </c>
      <c r="E13" s="20">
        <v>3.5769000000000002E-2</v>
      </c>
      <c r="F13" s="33"/>
      <c r="G13" s="33"/>
      <c r="H13" s="33"/>
      <c r="I13" s="33"/>
      <c r="J13" s="33"/>
      <c r="K13" s="33"/>
      <c r="L13" s="33"/>
      <c r="M13" s="33"/>
      <c r="N13" s="33"/>
      <c r="O13" s="33"/>
      <c r="P13" s="33"/>
      <c r="Q13" s="33"/>
      <c r="R13" s="33"/>
      <c r="S13" s="33"/>
      <c r="T13" s="29"/>
      <c r="W13" s="77" t="s">
        <v>179</v>
      </c>
      <c r="X13" s="79">
        <v>4.2204999999999999E-2</v>
      </c>
    </row>
    <row r="14" spans="1:24" ht="15" customHeight="1" x14ac:dyDescent="0.25">
      <c r="B14" s="82"/>
      <c r="C14" s="62" t="s">
        <v>32</v>
      </c>
      <c r="D14" s="18" t="s">
        <v>180</v>
      </c>
      <c r="E14" s="20">
        <v>3.4394000000000001E-2</v>
      </c>
      <c r="F14" s="33"/>
      <c r="G14" s="33"/>
      <c r="H14" s="33"/>
      <c r="I14" s="33"/>
      <c r="J14" s="33"/>
      <c r="K14" s="33"/>
      <c r="L14" s="33"/>
      <c r="M14" s="33"/>
      <c r="N14" s="33"/>
      <c r="O14" s="33"/>
      <c r="P14" s="33"/>
      <c r="Q14" s="33"/>
      <c r="R14" s="33"/>
      <c r="S14" s="33"/>
      <c r="T14" s="29"/>
      <c r="W14" s="77" t="s">
        <v>4</v>
      </c>
      <c r="X14" s="79">
        <v>3.5455E-2</v>
      </c>
    </row>
    <row r="15" spans="1:24" ht="15" customHeight="1" x14ac:dyDescent="0.25">
      <c r="B15" s="82"/>
      <c r="C15" s="62" t="s">
        <v>38</v>
      </c>
      <c r="D15" s="18" t="s">
        <v>3</v>
      </c>
      <c r="E15" s="20">
        <v>3.0431E-2</v>
      </c>
      <c r="F15" s="33"/>
      <c r="G15" s="33"/>
      <c r="H15" s="33"/>
      <c r="I15" s="33"/>
      <c r="J15" s="33"/>
      <c r="K15" s="33"/>
      <c r="L15" s="33"/>
      <c r="M15" s="33"/>
      <c r="N15" s="33"/>
      <c r="O15" s="33"/>
      <c r="P15" s="33"/>
      <c r="Q15" s="33"/>
      <c r="R15" s="33"/>
      <c r="S15" s="33"/>
      <c r="T15" s="29"/>
      <c r="W15" s="77" t="s">
        <v>16</v>
      </c>
      <c r="X15" s="79">
        <v>3.1939000000000002E-2</v>
      </c>
    </row>
    <row r="16" spans="1:24" ht="15" customHeight="1" x14ac:dyDescent="0.25">
      <c r="B16" s="82"/>
      <c r="C16" s="62" t="s">
        <v>137</v>
      </c>
      <c r="D16" s="18" t="s">
        <v>175</v>
      </c>
      <c r="E16" s="20">
        <v>2.6473E-2</v>
      </c>
      <c r="F16" s="33"/>
      <c r="G16" s="33"/>
      <c r="H16" s="33"/>
      <c r="I16" s="33"/>
      <c r="J16" s="33"/>
      <c r="K16" s="33"/>
      <c r="L16" s="33"/>
      <c r="M16" s="33"/>
      <c r="N16" s="33"/>
      <c r="O16" s="33"/>
      <c r="P16" s="33"/>
      <c r="Q16" s="33"/>
      <c r="R16" s="33"/>
      <c r="S16" s="33"/>
      <c r="T16" s="29"/>
      <c r="W16" s="77" t="s">
        <v>174</v>
      </c>
      <c r="X16" s="79">
        <v>3.1350000000000003E-2</v>
      </c>
    </row>
    <row r="17" spans="2:24" ht="15" customHeight="1" x14ac:dyDescent="0.25">
      <c r="B17" s="82"/>
      <c r="C17" s="62" t="s">
        <v>36</v>
      </c>
      <c r="D17" s="18" t="s">
        <v>23</v>
      </c>
      <c r="E17" s="20">
        <v>2.5413000000000002E-2</v>
      </c>
      <c r="F17" s="33"/>
      <c r="G17" s="33"/>
      <c r="H17" s="33"/>
      <c r="I17" s="33"/>
      <c r="J17" s="33"/>
      <c r="K17" s="33"/>
      <c r="L17" s="33"/>
      <c r="M17" s="33"/>
      <c r="N17" s="33"/>
      <c r="O17" s="33"/>
      <c r="P17" s="33"/>
      <c r="Q17" s="33"/>
      <c r="R17" s="33"/>
      <c r="S17" s="33"/>
      <c r="T17" s="29"/>
      <c r="W17" s="77" t="s">
        <v>23</v>
      </c>
      <c r="X17" s="79">
        <v>3.0700000000000002E-2</v>
      </c>
    </row>
    <row r="18" spans="2:24" ht="15" customHeight="1" x14ac:dyDescent="0.25">
      <c r="B18" s="82"/>
      <c r="C18" s="62" t="s">
        <v>37</v>
      </c>
      <c r="D18" s="18" t="s">
        <v>3</v>
      </c>
      <c r="E18" s="20">
        <v>2.5315000000000001E-2</v>
      </c>
      <c r="F18" s="33"/>
      <c r="G18" s="33"/>
      <c r="H18" s="33"/>
      <c r="I18" s="33"/>
      <c r="J18" s="33"/>
      <c r="K18" s="33"/>
      <c r="L18" s="33"/>
      <c r="M18" s="33"/>
      <c r="N18" s="33"/>
      <c r="O18" s="33"/>
      <c r="P18" s="33"/>
      <c r="Q18" s="33"/>
      <c r="R18" s="33"/>
      <c r="S18" s="33"/>
      <c r="T18" s="29"/>
      <c r="W18" s="77" t="s">
        <v>12</v>
      </c>
      <c r="X18" s="79">
        <v>1.9977999999999999E-2</v>
      </c>
    </row>
    <row r="19" spans="2:24" ht="15" customHeight="1" x14ac:dyDescent="0.25">
      <c r="B19" s="82"/>
      <c r="C19" s="62" t="s">
        <v>39</v>
      </c>
      <c r="D19" s="18" t="s">
        <v>180</v>
      </c>
      <c r="E19" s="20">
        <v>2.5021000000000002E-2</v>
      </c>
      <c r="F19" s="33"/>
      <c r="G19" s="33"/>
      <c r="H19" s="33"/>
      <c r="I19" s="33"/>
      <c r="J19" s="33"/>
      <c r="K19" s="33"/>
      <c r="L19" s="33"/>
      <c r="M19" s="33"/>
      <c r="N19" s="33"/>
      <c r="O19" s="33"/>
      <c r="P19" s="33"/>
      <c r="Q19" s="33"/>
      <c r="R19" s="33"/>
      <c r="S19" s="33"/>
      <c r="T19" s="29"/>
      <c r="W19" s="77" t="s">
        <v>10</v>
      </c>
      <c r="X19" s="79">
        <v>1.3396E-2</v>
      </c>
    </row>
    <row r="20" spans="2:24" ht="15" customHeight="1" x14ac:dyDescent="0.25">
      <c r="B20" s="82"/>
      <c r="C20" s="62" t="s">
        <v>207</v>
      </c>
      <c r="D20" s="18" t="s">
        <v>179</v>
      </c>
      <c r="E20" s="20">
        <v>2.3082999999999999E-2</v>
      </c>
      <c r="F20" s="33"/>
      <c r="G20" s="33"/>
      <c r="H20" s="33"/>
      <c r="I20" s="33"/>
      <c r="J20" s="33"/>
      <c r="K20" s="33"/>
      <c r="L20" s="33"/>
      <c r="M20" s="33"/>
      <c r="N20" s="33"/>
      <c r="O20" s="33"/>
      <c r="P20" s="33"/>
      <c r="Q20" s="33"/>
      <c r="R20" s="33"/>
      <c r="S20" s="33"/>
      <c r="T20" s="29"/>
      <c r="W20" s="77" t="s">
        <v>182</v>
      </c>
      <c r="X20" s="79">
        <v>1.3211000000000001E-2</v>
      </c>
    </row>
    <row r="21" spans="2:24" ht="15" customHeight="1" x14ac:dyDescent="0.25">
      <c r="B21" s="82"/>
      <c r="C21" s="62" t="s">
        <v>208</v>
      </c>
      <c r="D21" s="18" t="s">
        <v>3</v>
      </c>
      <c r="E21" s="20">
        <v>2.0243000000000001E-2</v>
      </c>
      <c r="F21" s="33"/>
      <c r="G21" s="33"/>
      <c r="H21" s="33"/>
      <c r="I21" s="33"/>
      <c r="J21" s="33"/>
      <c r="K21" s="33"/>
      <c r="L21" s="33"/>
      <c r="M21" s="33"/>
      <c r="N21" s="33"/>
      <c r="O21" s="33"/>
      <c r="P21" s="33"/>
      <c r="Q21" s="33"/>
      <c r="R21" s="33"/>
      <c r="S21" s="33"/>
      <c r="T21" s="29"/>
      <c r="W21" s="77" t="s">
        <v>177</v>
      </c>
      <c r="X21" s="79">
        <v>1.0957E-2</v>
      </c>
    </row>
    <row r="22" spans="2:24" ht="15" customHeight="1" x14ac:dyDescent="0.25">
      <c r="B22" s="82"/>
      <c r="C22" s="62" t="s">
        <v>93</v>
      </c>
      <c r="D22" s="18" t="s">
        <v>12</v>
      </c>
      <c r="E22" s="20">
        <v>1.9977999999999999E-2</v>
      </c>
      <c r="F22" s="33"/>
      <c r="G22" s="33"/>
      <c r="H22" s="33"/>
      <c r="I22" s="33"/>
      <c r="J22" s="33"/>
      <c r="K22" s="33"/>
      <c r="L22" s="33"/>
      <c r="M22" s="33"/>
      <c r="N22" s="33"/>
      <c r="O22" s="33"/>
      <c r="P22" s="33"/>
      <c r="Q22" s="33"/>
      <c r="R22" s="33"/>
      <c r="S22" s="33"/>
      <c r="T22" s="29"/>
      <c r="W22" s="77" t="s">
        <v>119</v>
      </c>
      <c r="X22" s="79">
        <v>1.0668E-2</v>
      </c>
    </row>
    <row r="23" spans="2:24" ht="15" customHeight="1" x14ac:dyDescent="0.25">
      <c r="B23" s="82"/>
      <c r="C23" s="90"/>
      <c r="D23" s="90"/>
      <c r="E23" s="91"/>
      <c r="F23" s="33"/>
      <c r="G23" s="33"/>
      <c r="H23" s="33"/>
      <c r="I23" s="33"/>
      <c r="J23" s="33"/>
      <c r="K23" s="33"/>
      <c r="L23" s="33"/>
      <c r="M23" s="33"/>
      <c r="N23" s="33"/>
      <c r="O23" s="33"/>
      <c r="P23" s="33"/>
      <c r="Q23" s="33"/>
      <c r="R23" s="33"/>
      <c r="S23" s="33"/>
      <c r="T23" s="29"/>
      <c r="W23" s="77" t="s">
        <v>184</v>
      </c>
      <c r="X23" s="79">
        <v>1.026E-2</v>
      </c>
    </row>
    <row r="24" spans="2:24" ht="15" customHeight="1" x14ac:dyDescent="0.25">
      <c r="B24" s="82"/>
      <c r="C24" s="92" t="s">
        <v>64</v>
      </c>
      <c r="D24" s="93"/>
      <c r="E24" s="94">
        <f>SUM(E8:E23)</f>
        <v>0.66394199999999992</v>
      </c>
      <c r="F24" s="33"/>
      <c r="G24" s="33"/>
      <c r="H24" s="33"/>
      <c r="I24" s="33"/>
      <c r="J24" s="33"/>
      <c r="K24" s="33"/>
      <c r="L24" s="33"/>
      <c r="M24" s="33"/>
      <c r="N24" s="33"/>
      <c r="O24" s="33"/>
      <c r="P24" s="33"/>
      <c r="Q24" s="33"/>
      <c r="R24" s="33"/>
      <c r="S24" s="33"/>
      <c r="T24" s="29"/>
      <c r="W24" s="77" t="s">
        <v>24</v>
      </c>
      <c r="X24" s="79">
        <v>1.0146000000000001E-2</v>
      </c>
    </row>
    <row r="25" spans="2:24" ht="15" customHeight="1" x14ac:dyDescent="0.25">
      <c r="B25" s="82"/>
      <c r="C25" s="33"/>
      <c r="D25" s="33"/>
      <c r="E25" s="33"/>
      <c r="F25" s="33"/>
      <c r="G25" s="33"/>
      <c r="H25" s="33"/>
      <c r="I25" s="33"/>
      <c r="J25" s="33"/>
      <c r="K25" s="33"/>
      <c r="L25" s="33"/>
      <c r="M25" s="33"/>
      <c r="N25" s="33"/>
      <c r="O25" s="33"/>
      <c r="P25" s="33"/>
      <c r="Q25" s="33"/>
      <c r="R25" s="33"/>
      <c r="S25" s="33"/>
      <c r="T25" s="29"/>
      <c r="W25" s="77" t="s">
        <v>11</v>
      </c>
      <c r="X25" s="79">
        <v>8.2170000000000003E-3</v>
      </c>
    </row>
    <row r="26" spans="2:24" ht="15" customHeight="1" x14ac:dyDescent="0.25">
      <c r="B26" s="82"/>
      <c r="C26" s="33"/>
      <c r="D26" s="33"/>
      <c r="E26" s="33"/>
      <c r="F26" s="33"/>
      <c r="G26" s="33"/>
      <c r="H26" s="33"/>
      <c r="I26" s="33"/>
      <c r="J26" s="33"/>
      <c r="K26" s="33"/>
      <c r="L26" s="33"/>
      <c r="M26" s="33"/>
      <c r="N26" s="33"/>
      <c r="O26" s="33"/>
      <c r="P26" s="33"/>
      <c r="Q26" s="33"/>
      <c r="R26" s="33"/>
      <c r="S26" s="33"/>
      <c r="T26" s="29"/>
      <c r="W26" s="77" t="s">
        <v>15</v>
      </c>
      <c r="X26" s="79">
        <v>7.5510000000000004E-3</v>
      </c>
    </row>
    <row r="27" spans="2:24" ht="15" customHeight="1" x14ac:dyDescent="0.25">
      <c r="B27" s="82"/>
      <c r="C27" s="33"/>
      <c r="D27" s="33"/>
      <c r="E27" s="33"/>
      <c r="F27" s="33"/>
      <c r="G27" s="33"/>
      <c r="H27" s="33"/>
      <c r="I27" s="33"/>
      <c r="J27" s="33"/>
      <c r="K27" s="33"/>
      <c r="L27" s="33"/>
      <c r="M27" s="33"/>
      <c r="N27" s="33"/>
      <c r="O27" s="33"/>
      <c r="P27" s="33"/>
      <c r="Q27" s="33"/>
      <c r="R27" s="33"/>
      <c r="S27" s="33"/>
      <c r="T27" s="29"/>
      <c r="W27" s="77" t="s">
        <v>176</v>
      </c>
      <c r="X27" s="79">
        <v>7.2370000000000004E-3</v>
      </c>
    </row>
    <row r="28" spans="2:24" ht="15" customHeight="1" x14ac:dyDescent="0.25">
      <c r="B28" s="82"/>
      <c r="C28" s="33"/>
      <c r="D28" s="33"/>
      <c r="E28" s="33"/>
      <c r="F28" s="33"/>
      <c r="G28" s="33"/>
      <c r="H28" s="33"/>
      <c r="I28" s="33"/>
      <c r="J28" s="33"/>
      <c r="K28" s="33"/>
      <c r="L28" s="33"/>
      <c r="M28" s="33"/>
      <c r="N28" s="33"/>
      <c r="O28" s="33"/>
      <c r="P28" s="33"/>
      <c r="Q28" s="33"/>
      <c r="R28" s="33"/>
      <c r="S28" s="33"/>
      <c r="T28" s="29"/>
      <c r="W28" s="77" t="s">
        <v>122</v>
      </c>
      <c r="X28" s="79">
        <v>6.1130000000000004E-3</v>
      </c>
    </row>
    <row r="29" spans="2:24" ht="15" customHeight="1" x14ac:dyDescent="0.25">
      <c r="B29" s="82"/>
      <c r="C29" s="33"/>
      <c r="D29" s="33"/>
      <c r="E29" s="33"/>
      <c r="F29" s="33"/>
      <c r="G29" s="33"/>
      <c r="H29" s="33"/>
      <c r="I29" s="33"/>
      <c r="J29" s="33"/>
      <c r="K29" s="33"/>
      <c r="L29" s="33"/>
      <c r="M29" s="33"/>
      <c r="N29" s="33"/>
      <c r="O29" s="33"/>
      <c r="P29" s="33"/>
      <c r="Q29" s="33"/>
      <c r="R29" s="33"/>
      <c r="S29" s="33"/>
      <c r="T29" s="29"/>
      <c r="W29" s="77" t="s">
        <v>188</v>
      </c>
      <c r="X29" s="79">
        <v>5.0720000000000001E-3</v>
      </c>
    </row>
    <row r="30" spans="2:24" ht="15" customHeight="1" x14ac:dyDescent="0.25">
      <c r="B30" s="82"/>
      <c r="C30" s="33"/>
      <c r="D30" s="33"/>
      <c r="E30" s="33"/>
      <c r="F30" s="33"/>
      <c r="G30" s="33"/>
      <c r="H30" s="33"/>
      <c r="I30" s="33"/>
      <c r="J30" s="33"/>
      <c r="K30" s="33"/>
      <c r="L30" s="33"/>
      <c r="M30" s="33"/>
      <c r="N30" s="33"/>
      <c r="O30" s="33"/>
      <c r="P30" s="33"/>
      <c r="Q30" s="33"/>
      <c r="R30" s="33"/>
      <c r="S30" s="33"/>
      <c r="T30" s="29"/>
      <c r="W30" s="68" t="s">
        <v>120</v>
      </c>
      <c r="X30" s="69">
        <v>5.0639999999999999E-3</v>
      </c>
    </row>
    <row r="31" spans="2:24" ht="15" customHeight="1" x14ac:dyDescent="0.25">
      <c r="B31" s="82"/>
      <c r="C31" s="33"/>
      <c r="D31" s="33"/>
      <c r="E31" s="33"/>
      <c r="F31" s="33"/>
      <c r="G31" s="33"/>
      <c r="H31" s="33"/>
      <c r="I31" s="33"/>
      <c r="J31" s="33"/>
      <c r="K31" s="33"/>
      <c r="L31" s="33"/>
      <c r="M31" s="33"/>
      <c r="N31" s="33"/>
      <c r="O31" s="33"/>
      <c r="P31" s="33"/>
      <c r="Q31" s="33"/>
      <c r="R31" s="33"/>
      <c r="S31" s="33"/>
      <c r="T31" s="29"/>
      <c r="W31" s="68" t="s">
        <v>123</v>
      </c>
      <c r="X31" s="69">
        <v>4.9589999999999999E-3</v>
      </c>
    </row>
    <row r="32" spans="2:24" ht="15" customHeight="1" x14ac:dyDescent="0.25">
      <c r="B32" s="82"/>
      <c r="C32" s="33"/>
      <c r="D32" s="33"/>
      <c r="E32" s="33"/>
      <c r="F32" s="33"/>
      <c r="G32" s="33"/>
      <c r="H32" s="33"/>
      <c r="I32" s="33"/>
      <c r="J32" s="33"/>
      <c r="K32" s="33"/>
      <c r="L32" s="33"/>
      <c r="M32" s="33"/>
      <c r="N32" s="33"/>
      <c r="O32" s="33"/>
      <c r="P32" s="33"/>
      <c r="Q32" s="33"/>
      <c r="R32" s="33"/>
      <c r="S32" s="33"/>
      <c r="T32" s="29"/>
      <c r="W32" s="68" t="s">
        <v>170</v>
      </c>
      <c r="X32" s="69">
        <v>2.7759999999999998E-3</v>
      </c>
    </row>
    <row r="33" spans="2:24" ht="15" customHeight="1" x14ac:dyDescent="0.25">
      <c r="B33" s="82"/>
      <c r="C33" s="33"/>
      <c r="D33" s="33"/>
      <c r="E33" s="33"/>
      <c r="F33" s="33"/>
      <c r="G33" s="33"/>
      <c r="H33" s="33"/>
      <c r="I33" s="33"/>
      <c r="J33" s="33"/>
      <c r="K33" s="33"/>
      <c r="L33" s="33"/>
      <c r="M33" s="33"/>
      <c r="N33" s="33"/>
      <c r="O33" s="33"/>
      <c r="P33" s="33"/>
      <c r="Q33" s="33"/>
      <c r="R33" s="33"/>
      <c r="S33" s="33"/>
      <c r="T33" s="29"/>
      <c r="W33" s="45"/>
      <c r="X33" s="45"/>
    </row>
    <row r="34" spans="2:24" ht="15" customHeight="1" x14ac:dyDescent="0.25">
      <c r="B34" s="82"/>
      <c r="C34" s="33"/>
      <c r="D34" s="33"/>
      <c r="E34" s="33"/>
      <c r="F34" s="33"/>
      <c r="G34" s="33"/>
      <c r="H34" s="33"/>
      <c r="I34" s="33"/>
      <c r="J34" s="33"/>
      <c r="K34" s="33"/>
      <c r="L34" s="33"/>
      <c r="M34" s="33"/>
      <c r="N34" s="33"/>
      <c r="O34" s="33"/>
      <c r="P34" s="33"/>
      <c r="Q34" s="33"/>
      <c r="R34" s="33"/>
      <c r="S34" s="33"/>
      <c r="T34" s="29"/>
      <c r="W34" s="45"/>
      <c r="X34" s="45"/>
    </row>
    <row r="35" spans="2:24" ht="15" customHeight="1" x14ac:dyDescent="0.25">
      <c r="B35" s="82"/>
      <c r="C35" s="33"/>
      <c r="D35" s="33"/>
      <c r="E35" s="33"/>
      <c r="F35" s="33"/>
      <c r="G35" s="33"/>
      <c r="H35" s="33"/>
      <c r="I35" s="33"/>
      <c r="J35" s="33"/>
      <c r="K35" s="33"/>
      <c r="L35" s="33"/>
      <c r="M35" s="33"/>
      <c r="N35" s="33"/>
      <c r="O35" s="33"/>
      <c r="P35" s="33"/>
      <c r="Q35" s="33"/>
      <c r="R35" s="33"/>
      <c r="S35" s="33"/>
      <c r="T35" s="29"/>
      <c r="W35" s="45"/>
      <c r="X35" s="45"/>
    </row>
    <row r="36" spans="2:24" ht="15" customHeight="1" x14ac:dyDescent="0.25">
      <c r="B36" s="82"/>
      <c r="C36" s="33"/>
      <c r="D36" s="33"/>
      <c r="E36" s="33"/>
      <c r="F36" s="33"/>
      <c r="G36" s="33"/>
      <c r="H36" s="33"/>
      <c r="I36" s="33"/>
      <c r="J36" s="33"/>
      <c r="K36" s="33"/>
      <c r="L36" s="33"/>
      <c r="M36" s="33"/>
      <c r="N36" s="33"/>
      <c r="O36" s="33"/>
      <c r="P36" s="33"/>
      <c r="Q36" s="33"/>
      <c r="R36" s="33"/>
      <c r="S36" s="33"/>
      <c r="T36" s="29"/>
      <c r="W36" s="45"/>
      <c r="X36" s="45"/>
    </row>
    <row r="37" spans="2:24" ht="15" customHeight="1" x14ac:dyDescent="0.25">
      <c r="B37" s="82"/>
      <c r="C37" s="33"/>
      <c r="D37" s="33"/>
      <c r="E37" s="33"/>
      <c r="F37" s="33"/>
      <c r="G37" s="33"/>
      <c r="H37" s="33"/>
      <c r="I37" s="33"/>
      <c r="J37" s="33"/>
      <c r="K37" s="33"/>
      <c r="L37" s="33"/>
      <c r="M37" s="33"/>
      <c r="N37" s="33"/>
      <c r="O37" s="33"/>
      <c r="P37" s="33"/>
      <c r="Q37" s="33"/>
      <c r="R37" s="33"/>
      <c r="S37" s="33"/>
      <c r="T37" s="29"/>
      <c r="W37" s="45"/>
      <c r="X37" s="45"/>
    </row>
    <row r="38" spans="2:24" ht="15" hidden="1" customHeight="1" x14ac:dyDescent="0.25">
      <c r="B38" s="82"/>
      <c r="C38" s="33"/>
      <c r="D38" s="33"/>
      <c r="E38" s="33"/>
      <c r="F38" s="33"/>
      <c r="G38" s="33"/>
      <c r="H38" s="33"/>
      <c r="I38" s="33"/>
      <c r="J38" s="33"/>
      <c r="K38" s="33"/>
      <c r="L38" s="33"/>
      <c r="M38" s="33"/>
      <c r="N38" s="33"/>
      <c r="O38" s="33"/>
      <c r="P38" s="33"/>
      <c r="Q38" s="33"/>
      <c r="R38" s="33"/>
      <c r="S38" s="33"/>
      <c r="T38" s="29"/>
    </row>
    <row r="39" spans="2:24" ht="15" hidden="1" customHeight="1" x14ac:dyDescent="0.25">
      <c r="B39" s="82"/>
      <c r="C39" s="33"/>
      <c r="D39" s="33"/>
      <c r="E39" s="33"/>
      <c r="F39" s="33"/>
      <c r="G39" s="33"/>
      <c r="H39" s="33"/>
      <c r="I39" s="33"/>
      <c r="J39" s="33"/>
      <c r="K39" s="33"/>
      <c r="L39" s="33"/>
      <c r="M39" s="33"/>
      <c r="N39" s="33"/>
      <c r="O39" s="33"/>
      <c r="P39" s="33"/>
      <c r="Q39" s="33"/>
      <c r="R39" s="33"/>
      <c r="S39" s="33"/>
      <c r="T39" s="29"/>
    </row>
    <row r="40" spans="2:24" ht="15" hidden="1" customHeight="1" x14ac:dyDescent="0.25">
      <c r="B40" s="82"/>
      <c r="C40" s="33"/>
      <c r="D40" s="33"/>
      <c r="E40" s="33"/>
      <c r="F40" s="33"/>
      <c r="G40" s="33"/>
      <c r="H40" s="33"/>
      <c r="I40" s="33"/>
      <c r="J40" s="33"/>
      <c r="K40" s="33"/>
      <c r="L40" s="33"/>
      <c r="M40" s="33"/>
      <c r="N40" s="33"/>
      <c r="O40" s="33"/>
      <c r="P40" s="33"/>
      <c r="Q40" s="33"/>
      <c r="R40" s="33"/>
      <c r="S40" s="33"/>
      <c r="T40" s="29"/>
    </row>
    <row r="41" spans="2:24" ht="15" hidden="1" customHeight="1" x14ac:dyDescent="0.25">
      <c r="B41" s="82"/>
      <c r="C41" s="33"/>
      <c r="D41" s="33"/>
      <c r="E41" s="33"/>
      <c r="F41" s="33"/>
      <c r="G41" s="33"/>
      <c r="H41" s="33"/>
      <c r="I41" s="33"/>
      <c r="J41" s="33"/>
      <c r="K41" s="33"/>
      <c r="L41" s="33"/>
      <c r="M41" s="33"/>
      <c r="N41" s="33"/>
      <c r="O41" s="33"/>
      <c r="P41" s="33"/>
      <c r="Q41" s="33"/>
      <c r="R41" s="33"/>
      <c r="S41" s="33"/>
      <c r="T41" s="29"/>
    </row>
    <row r="42" spans="2:24" ht="15" hidden="1" customHeight="1" x14ac:dyDescent="0.25">
      <c r="B42" s="82"/>
      <c r="C42" s="33"/>
      <c r="D42" s="33"/>
      <c r="E42" s="33"/>
      <c r="F42" s="33"/>
      <c r="G42" s="33"/>
      <c r="H42" s="33"/>
      <c r="I42" s="33"/>
      <c r="J42" s="33"/>
      <c r="K42" s="33"/>
      <c r="L42" s="33"/>
      <c r="M42" s="33"/>
      <c r="N42" s="33"/>
      <c r="O42" s="33"/>
      <c r="P42" s="33"/>
      <c r="Q42" s="33"/>
      <c r="R42" s="33"/>
      <c r="S42" s="33"/>
      <c r="T42" s="29"/>
    </row>
    <row r="43" spans="2:24" ht="15" hidden="1" customHeight="1" x14ac:dyDescent="0.25">
      <c r="B43" s="82"/>
      <c r="C43" s="33"/>
      <c r="D43" s="33"/>
      <c r="E43" s="33"/>
      <c r="F43" s="33"/>
      <c r="G43" s="33"/>
      <c r="H43" s="33"/>
      <c r="I43" s="33"/>
      <c r="J43" s="33"/>
      <c r="K43" s="33"/>
      <c r="L43" s="33"/>
      <c r="M43" s="33"/>
      <c r="N43" s="33"/>
      <c r="O43" s="33"/>
      <c r="P43" s="33"/>
      <c r="Q43" s="33"/>
      <c r="R43" s="33"/>
      <c r="S43" s="33"/>
      <c r="T43" s="29"/>
    </row>
    <row r="44" spans="2:24" ht="15" hidden="1" customHeight="1" x14ac:dyDescent="0.25">
      <c r="B44" s="82"/>
      <c r="C44" s="33"/>
      <c r="D44" s="33"/>
      <c r="E44" s="33"/>
      <c r="F44" s="33"/>
      <c r="G44" s="33"/>
      <c r="H44" s="33"/>
      <c r="I44" s="33"/>
      <c r="J44" s="33"/>
      <c r="K44" s="33"/>
      <c r="L44" s="33"/>
      <c r="M44" s="33"/>
      <c r="N44" s="33"/>
      <c r="O44" s="33"/>
      <c r="P44" s="33"/>
      <c r="Q44" s="33"/>
      <c r="R44" s="33"/>
      <c r="S44" s="33"/>
      <c r="T44" s="29"/>
    </row>
    <row r="45" spans="2:24" ht="15" hidden="1" customHeight="1" x14ac:dyDescent="0.25">
      <c r="B45" s="82"/>
      <c r="C45" s="33"/>
      <c r="D45" s="33"/>
      <c r="E45" s="33"/>
      <c r="F45" s="33"/>
      <c r="G45" s="33"/>
      <c r="H45" s="33"/>
      <c r="I45" s="33"/>
      <c r="J45" s="33"/>
      <c r="K45" s="33"/>
      <c r="L45" s="33"/>
      <c r="M45" s="33"/>
      <c r="N45" s="33"/>
      <c r="O45" s="33"/>
      <c r="P45" s="33"/>
      <c r="Q45" s="33"/>
      <c r="R45" s="33"/>
      <c r="S45" s="33"/>
      <c r="T45" s="29"/>
    </row>
    <row r="46" spans="2:24" ht="15" hidden="1" customHeight="1" x14ac:dyDescent="0.25">
      <c r="B46" s="82"/>
      <c r="C46" s="33"/>
      <c r="D46" s="33"/>
      <c r="E46" s="33"/>
      <c r="F46" s="33"/>
      <c r="G46" s="33"/>
      <c r="H46" s="33"/>
      <c r="I46" s="33"/>
      <c r="J46" s="33"/>
      <c r="K46" s="33"/>
      <c r="L46" s="33"/>
      <c r="M46" s="33"/>
      <c r="N46" s="33"/>
      <c r="O46" s="33"/>
      <c r="P46" s="33"/>
      <c r="Q46" s="33"/>
      <c r="R46" s="33"/>
      <c r="S46" s="33"/>
      <c r="T46" s="29"/>
    </row>
    <row r="47" spans="2:24" ht="15" customHeight="1" thickBot="1" x14ac:dyDescent="0.3">
      <c r="B47" s="95"/>
      <c r="C47" s="34"/>
      <c r="D47" s="34"/>
      <c r="E47" s="34"/>
      <c r="F47" s="34"/>
      <c r="G47" s="34"/>
      <c r="H47" s="34"/>
      <c r="I47" s="34"/>
      <c r="J47" s="34"/>
      <c r="K47" s="34"/>
      <c r="L47" s="34"/>
      <c r="M47" s="34"/>
      <c r="N47" s="34"/>
      <c r="O47" s="34"/>
      <c r="P47" s="34"/>
      <c r="Q47" s="34"/>
      <c r="R47" s="34"/>
      <c r="S47" s="34"/>
      <c r="T47" s="30"/>
    </row>
    <row r="48" spans="2:24" ht="15" customHeight="1" thickBot="1" x14ac:dyDescent="0.3"/>
    <row r="49" spans="2:18" ht="15" customHeight="1" x14ac:dyDescent="0.25">
      <c r="B49" s="225" t="s">
        <v>117</v>
      </c>
      <c r="C49" s="226"/>
      <c r="D49" s="226"/>
      <c r="E49" s="226"/>
      <c r="F49" s="226"/>
      <c r="G49" s="226"/>
      <c r="H49" s="226"/>
      <c r="I49" s="226"/>
      <c r="J49" s="226"/>
      <c r="K49" s="226"/>
      <c r="L49" s="226"/>
      <c r="M49" s="226"/>
      <c r="N49" s="226"/>
      <c r="O49" s="226"/>
      <c r="P49" s="226"/>
      <c r="Q49" s="226"/>
      <c r="R49" s="227"/>
    </row>
    <row r="50" spans="2:18" ht="15" customHeight="1" x14ac:dyDescent="0.25">
      <c r="B50" s="228"/>
      <c r="C50" s="229"/>
      <c r="D50" s="229"/>
      <c r="E50" s="229"/>
      <c r="F50" s="229"/>
      <c r="G50" s="229"/>
      <c r="H50" s="229"/>
      <c r="I50" s="229"/>
      <c r="J50" s="229"/>
      <c r="K50" s="229"/>
      <c r="L50" s="229"/>
      <c r="M50" s="229"/>
      <c r="N50" s="229"/>
      <c r="O50" s="229"/>
      <c r="P50" s="229"/>
      <c r="Q50" s="229"/>
      <c r="R50" s="230"/>
    </row>
    <row r="51" spans="2:18" ht="15" customHeight="1" x14ac:dyDescent="0.25">
      <c r="B51" s="228"/>
      <c r="C51" s="229"/>
      <c r="D51" s="229"/>
      <c r="E51" s="229"/>
      <c r="F51" s="229"/>
      <c r="G51" s="229"/>
      <c r="H51" s="229"/>
      <c r="I51" s="229"/>
      <c r="J51" s="229"/>
      <c r="K51" s="229"/>
      <c r="L51" s="229"/>
      <c r="M51" s="229"/>
      <c r="N51" s="229"/>
      <c r="O51" s="229"/>
      <c r="P51" s="229"/>
      <c r="Q51" s="229"/>
      <c r="R51" s="230"/>
    </row>
    <row r="52" spans="2:18" ht="15" customHeight="1" x14ac:dyDescent="0.25">
      <c r="B52" s="228"/>
      <c r="C52" s="229"/>
      <c r="D52" s="229"/>
      <c r="E52" s="229"/>
      <c r="F52" s="229"/>
      <c r="G52" s="229"/>
      <c r="H52" s="229"/>
      <c r="I52" s="229"/>
      <c r="J52" s="229"/>
      <c r="K52" s="229"/>
      <c r="L52" s="229"/>
      <c r="M52" s="229"/>
      <c r="N52" s="229"/>
      <c r="O52" s="229"/>
      <c r="P52" s="229"/>
      <c r="Q52" s="229"/>
      <c r="R52" s="230"/>
    </row>
    <row r="53" spans="2:18" ht="15" customHeight="1" x14ac:dyDescent="0.25">
      <c r="B53" s="228"/>
      <c r="C53" s="229"/>
      <c r="D53" s="229"/>
      <c r="E53" s="229"/>
      <c r="F53" s="229"/>
      <c r="G53" s="229"/>
      <c r="H53" s="229"/>
      <c r="I53" s="229"/>
      <c r="J53" s="229"/>
      <c r="K53" s="229"/>
      <c r="L53" s="229"/>
      <c r="M53" s="229"/>
      <c r="N53" s="229"/>
      <c r="O53" s="229"/>
      <c r="P53" s="229"/>
      <c r="Q53" s="229"/>
      <c r="R53" s="230"/>
    </row>
    <row r="54" spans="2:18" ht="15" customHeight="1" x14ac:dyDescent="0.25">
      <c r="B54" s="228"/>
      <c r="C54" s="229"/>
      <c r="D54" s="229"/>
      <c r="E54" s="229"/>
      <c r="F54" s="229"/>
      <c r="G54" s="229"/>
      <c r="H54" s="229"/>
      <c r="I54" s="229"/>
      <c r="J54" s="229"/>
      <c r="K54" s="229"/>
      <c r="L54" s="229"/>
      <c r="M54" s="229"/>
      <c r="N54" s="229"/>
      <c r="O54" s="229"/>
      <c r="P54" s="229"/>
      <c r="Q54" s="229"/>
      <c r="R54" s="230"/>
    </row>
    <row r="55" spans="2:18" ht="15" customHeight="1" thickBot="1" x14ac:dyDescent="0.3">
      <c r="B55" s="231"/>
      <c r="C55" s="232"/>
      <c r="D55" s="232"/>
      <c r="E55" s="232"/>
      <c r="F55" s="232"/>
      <c r="G55" s="232"/>
      <c r="H55" s="232"/>
      <c r="I55" s="232"/>
      <c r="J55" s="232"/>
      <c r="K55" s="232"/>
      <c r="L55" s="232"/>
      <c r="M55" s="232"/>
      <c r="N55" s="232"/>
      <c r="O55" s="232"/>
      <c r="P55" s="232"/>
      <c r="Q55" s="232"/>
      <c r="R55" s="233"/>
    </row>
    <row r="56" spans="2:18" ht="15" customHeight="1" x14ac:dyDescent="0.25"/>
    <row r="57" spans="2:18" ht="15" customHeight="1" x14ac:dyDescent="0.25"/>
    <row r="58" spans="2:18" ht="15" customHeight="1" x14ac:dyDescent="0.25"/>
    <row r="59" spans="2:18" ht="15" customHeight="1" x14ac:dyDescent="0.25"/>
    <row r="60" spans="2:18" ht="15" customHeight="1" x14ac:dyDescent="0.25"/>
    <row r="61" spans="2:18" ht="15" customHeight="1" x14ac:dyDescent="0.25"/>
    <row r="62" spans="2:18" ht="15" customHeight="1" x14ac:dyDescent="0.25"/>
    <row r="63" spans="2:18" ht="15" customHeight="1" x14ac:dyDescent="0.25"/>
    <row r="64" spans="2:18"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sheetData>
  <sortState ref="W9:X21">
    <sortCondition descending="1" ref="X9:X21"/>
  </sortState>
  <mergeCells count="3">
    <mergeCell ref="C3:S3"/>
    <mergeCell ref="D5:E5"/>
    <mergeCell ref="B49:R5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Y66"/>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33.85546875" style="23" bestFit="1" customWidth="1"/>
    <col min="5" max="5" width="10.42578125" style="23" bestFit="1" customWidth="1"/>
    <col min="6" max="18" width="9.140625" style="23"/>
    <col min="19" max="19" width="9.85546875" style="23" customWidth="1"/>
    <col min="20" max="20" width="9.140625" style="23"/>
    <col min="21" max="21" width="9.140625" style="45"/>
    <col min="22" max="22" width="11" style="45" customWidth="1"/>
    <col min="23" max="23" width="46.42578125" style="45" bestFit="1" customWidth="1"/>
    <col min="24" max="25" width="9.140625" style="45"/>
    <col min="26" max="16384" width="9.140625" style="23"/>
  </cols>
  <sheetData>
    <row r="1" spans="1:24" ht="15.75" customHeight="1" thickBot="1" x14ac:dyDescent="0.3">
      <c r="A1" s="3"/>
    </row>
    <row r="2" spans="1:24" ht="15" customHeight="1" x14ac:dyDescent="0.25">
      <c r="B2" s="96"/>
      <c r="C2" s="97"/>
      <c r="D2" s="97"/>
      <c r="E2" s="97"/>
      <c r="F2" s="97"/>
      <c r="G2" s="97"/>
      <c r="H2" s="97"/>
      <c r="I2" s="97"/>
      <c r="J2" s="97"/>
      <c r="K2" s="97"/>
      <c r="L2" s="97"/>
      <c r="M2" s="97"/>
      <c r="N2" s="97"/>
      <c r="O2" s="97"/>
      <c r="P2" s="97"/>
      <c r="Q2" s="97"/>
      <c r="R2" s="97"/>
      <c r="S2" s="97"/>
      <c r="T2" s="25"/>
    </row>
    <row r="3" spans="1:24" ht="20.25" customHeight="1" x14ac:dyDescent="0.25">
      <c r="B3" s="98"/>
      <c r="C3" s="234" t="s">
        <v>72</v>
      </c>
      <c r="D3" s="235"/>
      <c r="E3" s="235"/>
      <c r="F3" s="235"/>
      <c r="G3" s="235"/>
      <c r="H3" s="235"/>
      <c r="I3" s="235"/>
      <c r="J3" s="235"/>
      <c r="K3" s="235"/>
      <c r="L3" s="235"/>
      <c r="M3" s="235"/>
      <c r="N3" s="235"/>
      <c r="O3" s="235"/>
      <c r="P3" s="235"/>
      <c r="Q3" s="235"/>
      <c r="R3" s="235"/>
      <c r="S3" s="235"/>
      <c r="T3" s="26"/>
    </row>
    <row r="4" spans="1:24" ht="15.75" customHeight="1" x14ac:dyDescent="0.25">
      <c r="B4" s="98"/>
      <c r="C4" s="85" t="s">
        <v>271</v>
      </c>
      <c r="D4" s="33"/>
      <c r="E4" s="33"/>
      <c r="F4" s="33"/>
      <c r="G4" s="33"/>
      <c r="H4" s="33"/>
      <c r="I4" s="33"/>
      <c r="J4" s="33"/>
      <c r="K4" s="33"/>
      <c r="L4" s="33"/>
      <c r="M4" s="33"/>
      <c r="N4" s="33"/>
      <c r="O4" s="33"/>
      <c r="P4" s="33"/>
      <c r="Q4" s="33"/>
      <c r="R4" s="33"/>
      <c r="S4" s="33"/>
      <c r="T4" s="26"/>
    </row>
    <row r="5" spans="1:24" ht="18" customHeight="1" x14ac:dyDescent="0.25">
      <c r="B5" s="98"/>
      <c r="C5" s="86" t="s">
        <v>272</v>
      </c>
      <c r="D5" s="236" t="s">
        <v>276</v>
      </c>
      <c r="E5" s="236"/>
      <c r="F5" s="33"/>
      <c r="G5" s="191"/>
      <c r="H5" s="33"/>
      <c r="I5" s="33"/>
      <c r="J5" s="33"/>
      <c r="K5" s="33"/>
      <c r="L5" s="33"/>
      <c r="M5" s="33"/>
      <c r="N5" s="33"/>
      <c r="O5" s="33"/>
      <c r="P5" s="33"/>
      <c r="Q5" s="33"/>
      <c r="R5" s="33"/>
      <c r="S5" s="33"/>
      <c r="T5" s="26"/>
    </row>
    <row r="6" spans="1:24" ht="15" customHeight="1" x14ac:dyDescent="0.25">
      <c r="B6" s="98"/>
      <c r="C6" s="33"/>
      <c r="D6" s="33"/>
      <c r="E6" s="33"/>
      <c r="F6" s="33"/>
      <c r="G6" s="33"/>
      <c r="H6" s="33"/>
      <c r="I6" s="33"/>
      <c r="J6" s="33"/>
      <c r="K6" s="33"/>
      <c r="L6" s="33"/>
      <c r="M6" s="33"/>
      <c r="N6" s="33"/>
      <c r="O6" s="33"/>
      <c r="P6" s="33"/>
      <c r="Q6" s="33"/>
      <c r="R6" s="33"/>
      <c r="S6" s="33"/>
      <c r="T6" s="26"/>
    </row>
    <row r="7" spans="1:24" ht="32.25" customHeight="1" x14ac:dyDescent="0.25">
      <c r="B7" s="98"/>
      <c r="C7" s="87" t="s">
        <v>0</v>
      </c>
      <c r="D7" s="88" t="s">
        <v>1</v>
      </c>
      <c r="E7" s="89" t="s">
        <v>2</v>
      </c>
      <c r="F7" s="33"/>
      <c r="G7" s="33"/>
      <c r="H7" s="33"/>
      <c r="I7" s="33"/>
      <c r="J7" s="33"/>
      <c r="K7" s="33"/>
      <c r="L7" s="33"/>
      <c r="M7" s="33"/>
      <c r="N7" s="33"/>
      <c r="O7" s="33"/>
      <c r="P7" s="33"/>
      <c r="Q7" s="33"/>
      <c r="R7" s="33"/>
      <c r="S7" s="33"/>
      <c r="T7" s="26"/>
      <c r="W7" s="45" t="s">
        <v>22</v>
      </c>
      <c r="X7" s="190" t="s">
        <v>2</v>
      </c>
    </row>
    <row r="8" spans="1:24" ht="15" customHeight="1" x14ac:dyDescent="0.25">
      <c r="B8" s="98"/>
      <c r="C8" s="15" t="s">
        <v>30</v>
      </c>
      <c r="D8" s="17" t="s">
        <v>3</v>
      </c>
      <c r="E8" s="19">
        <v>9.844E-2</v>
      </c>
      <c r="F8" s="33"/>
      <c r="G8" s="33"/>
      <c r="H8" s="33"/>
      <c r="I8" s="33"/>
      <c r="J8" s="33"/>
      <c r="K8" s="33"/>
      <c r="L8" s="33"/>
      <c r="M8" s="33"/>
      <c r="N8" s="33"/>
      <c r="O8" s="33"/>
      <c r="P8" s="33"/>
      <c r="Q8" s="33"/>
      <c r="R8" s="33"/>
      <c r="S8" s="33"/>
      <c r="T8" s="26"/>
      <c r="W8" s="77" t="s">
        <v>3</v>
      </c>
      <c r="X8" s="79">
        <v>0.32600600000000002</v>
      </c>
    </row>
    <row r="9" spans="1:24" ht="15.75" customHeight="1" x14ac:dyDescent="0.25">
      <c r="B9" s="98"/>
      <c r="C9" s="16" t="s">
        <v>34</v>
      </c>
      <c r="D9" s="18" t="s">
        <v>3</v>
      </c>
      <c r="E9" s="20">
        <v>9.0640999999999999E-2</v>
      </c>
      <c r="F9" s="33"/>
      <c r="G9" s="33"/>
      <c r="H9" s="33"/>
      <c r="I9" s="33"/>
      <c r="J9" s="33"/>
      <c r="K9" s="33"/>
      <c r="L9" s="33"/>
      <c r="M9" s="33"/>
      <c r="N9" s="33"/>
      <c r="O9" s="33"/>
      <c r="P9" s="33"/>
      <c r="Q9" s="33"/>
      <c r="R9" s="33"/>
      <c r="S9" s="33"/>
      <c r="T9" s="26"/>
      <c r="W9" s="77" t="s">
        <v>169</v>
      </c>
      <c r="X9" s="79">
        <v>8.7722000000000008E-2</v>
      </c>
    </row>
    <row r="10" spans="1:24" ht="15" customHeight="1" x14ac:dyDescent="0.25">
      <c r="B10" s="98"/>
      <c r="C10" s="16" t="s">
        <v>29</v>
      </c>
      <c r="D10" s="18" t="s">
        <v>169</v>
      </c>
      <c r="E10" s="20">
        <v>6.3504000000000005E-2</v>
      </c>
      <c r="F10" s="33"/>
      <c r="G10" s="33"/>
      <c r="H10" s="33"/>
      <c r="I10" s="33"/>
      <c r="J10" s="33"/>
      <c r="K10" s="33"/>
      <c r="L10" s="33"/>
      <c r="M10" s="33"/>
      <c r="N10" s="33"/>
      <c r="O10" s="33"/>
      <c r="P10" s="33"/>
      <c r="Q10" s="33"/>
      <c r="R10" s="33"/>
      <c r="S10" s="33"/>
      <c r="T10" s="26"/>
      <c r="W10" s="77" t="s">
        <v>175</v>
      </c>
      <c r="X10" s="79">
        <v>8.4207000000000004E-2</v>
      </c>
    </row>
    <row r="11" spans="1:24" ht="15" customHeight="1" x14ac:dyDescent="0.25">
      <c r="B11" s="98"/>
      <c r="C11" s="16" t="s">
        <v>113</v>
      </c>
      <c r="D11" s="18" t="s">
        <v>3</v>
      </c>
      <c r="E11" s="20">
        <v>5.6564000000000003E-2</v>
      </c>
      <c r="F11" s="33"/>
      <c r="G11" s="33"/>
      <c r="H11" s="33"/>
      <c r="I11" s="33"/>
      <c r="J11" s="33"/>
      <c r="K11" s="33"/>
      <c r="L11" s="33"/>
      <c r="M11" s="33"/>
      <c r="N11" s="33"/>
      <c r="O11" s="33"/>
      <c r="P11" s="33"/>
      <c r="Q11" s="33"/>
      <c r="R11" s="33"/>
      <c r="S11" s="33"/>
      <c r="T11" s="26"/>
      <c r="W11" s="77" t="s">
        <v>179</v>
      </c>
      <c r="X11" s="79">
        <v>6.3612000000000002E-2</v>
      </c>
    </row>
    <row r="12" spans="1:24" ht="15" customHeight="1" x14ac:dyDescent="0.25">
      <c r="B12" s="98"/>
      <c r="C12" s="16" t="s">
        <v>33</v>
      </c>
      <c r="D12" s="18" t="s">
        <v>6</v>
      </c>
      <c r="E12" s="20">
        <v>5.4995000000000002E-2</v>
      </c>
      <c r="F12" s="33"/>
      <c r="G12" s="33"/>
      <c r="H12" s="33"/>
      <c r="I12" s="33"/>
      <c r="J12" s="33"/>
      <c r="K12" s="33"/>
      <c r="L12" s="33"/>
      <c r="M12" s="33"/>
      <c r="N12" s="33"/>
      <c r="O12" s="33"/>
      <c r="P12" s="33"/>
      <c r="Q12" s="33"/>
      <c r="R12" s="33"/>
      <c r="S12" s="33"/>
      <c r="T12" s="26"/>
      <c r="W12" s="77" t="s">
        <v>6</v>
      </c>
      <c r="X12" s="79">
        <v>5.4995000000000002E-2</v>
      </c>
    </row>
    <row r="13" spans="1:24" ht="15" customHeight="1" x14ac:dyDescent="0.25">
      <c r="B13" s="98"/>
      <c r="C13" s="16" t="s">
        <v>137</v>
      </c>
      <c r="D13" s="18" t="s">
        <v>175</v>
      </c>
      <c r="E13" s="20">
        <v>4.5506999999999999E-2</v>
      </c>
      <c r="F13" s="33"/>
      <c r="G13" s="33"/>
      <c r="H13" s="33"/>
      <c r="I13" s="33"/>
      <c r="J13" s="33"/>
      <c r="K13" s="33"/>
      <c r="L13" s="33"/>
      <c r="M13" s="33"/>
      <c r="N13" s="33"/>
      <c r="O13" s="33"/>
      <c r="P13" s="33"/>
      <c r="Q13" s="33"/>
      <c r="R13" s="33"/>
      <c r="S13" s="33"/>
      <c r="T13" s="26"/>
      <c r="W13" s="77" t="s">
        <v>180</v>
      </c>
      <c r="X13" s="79">
        <v>5.4102999999999998E-2</v>
      </c>
    </row>
    <row r="14" spans="1:24" ht="15" customHeight="1" x14ac:dyDescent="0.25">
      <c r="B14" s="98"/>
      <c r="C14" s="16" t="s">
        <v>38</v>
      </c>
      <c r="D14" s="18" t="s">
        <v>3</v>
      </c>
      <c r="E14" s="20">
        <v>4.0311E-2</v>
      </c>
      <c r="F14" s="33"/>
      <c r="G14" s="33"/>
      <c r="H14" s="33"/>
      <c r="I14" s="33"/>
      <c r="J14" s="33"/>
      <c r="K14" s="33"/>
      <c r="L14" s="33"/>
      <c r="M14" s="33"/>
      <c r="N14" s="33"/>
      <c r="O14" s="33"/>
      <c r="P14" s="33"/>
      <c r="Q14" s="33"/>
      <c r="R14" s="33"/>
      <c r="S14" s="33"/>
      <c r="T14" s="26"/>
      <c r="W14" s="77" t="s">
        <v>12</v>
      </c>
      <c r="X14" s="79">
        <v>3.5046000000000001E-2</v>
      </c>
    </row>
    <row r="15" spans="1:24" ht="15" customHeight="1" x14ac:dyDescent="0.25">
      <c r="B15" s="98"/>
      <c r="C15" s="16" t="s">
        <v>208</v>
      </c>
      <c r="D15" s="18" t="s">
        <v>3</v>
      </c>
      <c r="E15" s="20">
        <v>4.0050000000000002E-2</v>
      </c>
      <c r="F15" s="33"/>
      <c r="G15" s="33"/>
      <c r="H15" s="33"/>
      <c r="I15" s="33"/>
      <c r="J15" s="33"/>
      <c r="K15" s="33"/>
      <c r="L15" s="33"/>
      <c r="M15" s="33"/>
      <c r="N15" s="33"/>
      <c r="O15" s="33"/>
      <c r="P15" s="33"/>
      <c r="Q15" s="33"/>
      <c r="R15" s="33"/>
      <c r="S15" s="33"/>
      <c r="T15" s="26"/>
      <c r="W15" s="77" t="s">
        <v>176</v>
      </c>
      <c r="X15" s="79">
        <v>3.2443E-2</v>
      </c>
    </row>
    <row r="16" spans="1:24" ht="15" customHeight="1" x14ac:dyDescent="0.25">
      <c r="B16" s="98"/>
      <c r="C16" s="16" t="s">
        <v>203</v>
      </c>
      <c r="D16" s="18" t="s">
        <v>175</v>
      </c>
      <c r="E16" s="20">
        <v>3.8699999999999998E-2</v>
      </c>
      <c r="F16" s="33"/>
      <c r="G16" s="33"/>
      <c r="H16" s="33"/>
      <c r="I16" s="33"/>
      <c r="J16" s="33"/>
      <c r="K16" s="33"/>
      <c r="L16" s="33"/>
      <c r="M16" s="33"/>
      <c r="N16" s="33"/>
      <c r="O16" s="33"/>
      <c r="P16" s="33"/>
      <c r="Q16" s="33"/>
      <c r="R16" s="33"/>
      <c r="S16" s="33"/>
      <c r="T16" s="26"/>
      <c r="W16" s="77" t="s">
        <v>170</v>
      </c>
      <c r="X16" s="79">
        <v>3.1192999999999999E-2</v>
      </c>
    </row>
    <row r="17" spans="2:24" ht="15" customHeight="1" x14ac:dyDescent="0.25">
      <c r="B17" s="98"/>
      <c r="C17" s="16" t="s">
        <v>32</v>
      </c>
      <c r="D17" s="18" t="s">
        <v>180</v>
      </c>
      <c r="E17" s="20">
        <v>3.5340999999999997E-2</v>
      </c>
      <c r="F17" s="33"/>
      <c r="G17" s="33"/>
      <c r="H17" s="33"/>
      <c r="I17" s="33"/>
      <c r="J17" s="33"/>
      <c r="K17" s="33"/>
      <c r="L17" s="33"/>
      <c r="M17" s="33"/>
      <c r="N17" s="33"/>
      <c r="O17" s="33"/>
      <c r="P17" s="33"/>
      <c r="Q17" s="33"/>
      <c r="R17" s="33"/>
      <c r="S17" s="33"/>
      <c r="T17" s="26"/>
      <c r="W17" s="77" t="s">
        <v>4</v>
      </c>
      <c r="X17" s="79">
        <v>3.0096999999999999E-2</v>
      </c>
    </row>
    <row r="18" spans="2:24" ht="15" customHeight="1" x14ac:dyDescent="0.25">
      <c r="B18" s="98"/>
      <c r="C18" s="16" t="s">
        <v>93</v>
      </c>
      <c r="D18" s="18" t="s">
        <v>12</v>
      </c>
      <c r="E18" s="20">
        <v>3.5046000000000001E-2</v>
      </c>
      <c r="F18" s="33"/>
      <c r="G18" s="33"/>
      <c r="H18" s="33"/>
      <c r="I18" s="33"/>
      <c r="J18" s="33"/>
      <c r="K18" s="33"/>
      <c r="L18" s="33"/>
      <c r="M18" s="33"/>
      <c r="N18" s="33"/>
      <c r="O18" s="33"/>
      <c r="P18" s="33"/>
      <c r="Q18" s="33"/>
      <c r="R18" s="33"/>
      <c r="S18" s="33"/>
      <c r="T18" s="26"/>
      <c r="W18" s="77" t="s">
        <v>177</v>
      </c>
      <c r="X18" s="79">
        <v>2.912E-2</v>
      </c>
    </row>
    <row r="19" spans="2:24" ht="15" customHeight="1" x14ac:dyDescent="0.25">
      <c r="B19" s="98"/>
      <c r="C19" s="16" t="s">
        <v>207</v>
      </c>
      <c r="D19" s="18" t="s">
        <v>179</v>
      </c>
      <c r="E19" s="20">
        <v>3.4692000000000001E-2</v>
      </c>
      <c r="F19" s="33"/>
      <c r="G19" s="33"/>
      <c r="H19" s="33"/>
      <c r="I19" s="33"/>
      <c r="J19" s="33"/>
      <c r="K19" s="33"/>
      <c r="L19" s="33"/>
      <c r="M19" s="33"/>
      <c r="N19" s="33"/>
      <c r="O19" s="33"/>
      <c r="P19" s="33"/>
      <c r="Q19" s="33"/>
      <c r="R19" s="33"/>
      <c r="S19" s="33"/>
      <c r="T19" s="26"/>
      <c r="W19" s="77" t="s">
        <v>119</v>
      </c>
      <c r="X19" s="79">
        <v>2.6061000000000001E-2</v>
      </c>
    </row>
    <row r="20" spans="2:24" ht="15" customHeight="1" x14ac:dyDescent="0.25">
      <c r="B20" s="98"/>
      <c r="C20" s="16" t="s">
        <v>227</v>
      </c>
      <c r="D20" s="18" t="s">
        <v>170</v>
      </c>
      <c r="E20" s="20">
        <v>3.1192999999999999E-2</v>
      </c>
      <c r="F20" s="33"/>
      <c r="G20" s="33"/>
      <c r="H20" s="33"/>
      <c r="I20" s="33"/>
      <c r="J20" s="33"/>
      <c r="K20" s="33"/>
      <c r="L20" s="33"/>
      <c r="M20" s="33"/>
      <c r="N20" s="33"/>
      <c r="O20" s="33"/>
      <c r="P20" s="33"/>
      <c r="Q20" s="33"/>
      <c r="R20" s="33"/>
      <c r="S20" s="33"/>
      <c r="T20" s="26"/>
      <c r="W20" s="77" t="s">
        <v>24</v>
      </c>
      <c r="X20" s="79">
        <v>2.3313E-2</v>
      </c>
    </row>
    <row r="21" spans="2:24" ht="15" customHeight="1" x14ac:dyDescent="0.25">
      <c r="B21" s="98"/>
      <c r="C21" s="16" t="s">
        <v>167</v>
      </c>
      <c r="D21" s="18" t="s">
        <v>4</v>
      </c>
      <c r="E21" s="20">
        <v>3.0096999999999999E-2</v>
      </c>
      <c r="F21" s="33"/>
      <c r="G21" s="33"/>
      <c r="H21" s="33"/>
      <c r="I21" s="33"/>
      <c r="J21" s="33"/>
      <c r="K21" s="33"/>
      <c r="L21" s="33"/>
      <c r="M21" s="33"/>
      <c r="N21" s="33"/>
      <c r="O21" s="33"/>
      <c r="P21" s="33"/>
      <c r="Q21" s="33"/>
      <c r="R21" s="33"/>
      <c r="S21" s="33"/>
      <c r="T21" s="26"/>
      <c r="W21" s="77" t="s">
        <v>27</v>
      </c>
      <c r="X21" s="79">
        <v>2.0462999999999999E-2</v>
      </c>
    </row>
    <row r="22" spans="2:24" ht="15" customHeight="1" x14ac:dyDescent="0.25">
      <c r="B22" s="98"/>
      <c r="C22" s="16" t="s">
        <v>246</v>
      </c>
      <c r="D22" s="18" t="s">
        <v>177</v>
      </c>
      <c r="E22" s="20">
        <v>2.912E-2</v>
      </c>
      <c r="F22" s="33"/>
      <c r="G22" s="33"/>
      <c r="H22" s="33"/>
      <c r="I22" s="33"/>
      <c r="J22" s="33"/>
      <c r="K22" s="33"/>
      <c r="L22" s="33"/>
      <c r="M22" s="33"/>
      <c r="N22" s="33"/>
      <c r="O22" s="33"/>
      <c r="P22" s="33"/>
      <c r="Q22" s="33"/>
      <c r="R22" s="33"/>
      <c r="S22" s="33"/>
      <c r="T22" s="26"/>
      <c r="W22" s="77" t="s">
        <v>23</v>
      </c>
      <c r="X22" s="79">
        <v>1.9591000000000001E-2</v>
      </c>
    </row>
    <row r="23" spans="2:24" ht="15" customHeight="1" x14ac:dyDescent="0.25">
      <c r="B23" s="98"/>
      <c r="C23" s="90"/>
      <c r="D23" s="192"/>
      <c r="E23" s="91"/>
      <c r="F23" s="33"/>
      <c r="G23" s="33"/>
      <c r="H23" s="33"/>
      <c r="I23" s="33"/>
      <c r="J23" s="33"/>
      <c r="K23" s="33"/>
      <c r="L23" s="33"/>
      <c r="M23" s="33"/>
      <c r="N23" s="33"/>
      <c r="O23" s="33"/>
      <c r="P23" s="33"/>
      <c r="Q23" s="33"/>
      <c r="R23" s="33"/>
      <c r="S23" s="33"/>
      <c r="T23" s="26"/>
      <c r="W23" s="77" t="s">
        <v>187</v>
      </c>
      <c r="X23" s="79">
        <v>1.9258999999999998E-2</v>
      </c>
    </row>
    <row r="24" spans="2:24" ht="15" customHeight="1" x14ac:dyDescent="0.25">
      <c r="B24" s="98"/>
      <c r="C24" s="92" t="s">
        <v>64</v>
      </c>
      <c r="D24" s="93"/>
      <c r="E24" s="94">
        <f>SUM(E8:E22)</f>
        <v>0.72420100000000009</v>
      </c>
      <c r="F24" s="33"/>
      <c r="G24" s="33"/>
      <c r="H24" s="33"/>
      <c r="I24" s="33"/>
      <c r="J24" s="33"/>
      <c r="K24" s="33"/>
      <c r="L24" s="33"/>
      <c r="M24" s="33"/>
      <c r="N24" s="33"/>
      <c r="O24" s="33"/>
      <c r="P24" s="33"/>
      <c r="Q24" s="33"/>
      <c r="R24" s="33"/>
      <c r="S24" s="33"/>
      <c r="T24" s="26"/>
      <c r="W24" s="77" t="s">
        <v>120</v>
      </c>
      <c r="X24" s="79">
        <v>1.8622E-2</v>
      </c>
    </row>
    <row r="25" spans="2:24" ht="15" customHeight="1" x14ac:dyDescent="0.25">
      <c r="B25" s="98"/>
      <c r="F25" s="33"/>
      <c r="G25" s="33"/>
      <c r="H25" s="33"/>
      <c r="I25" s="33"/>
      <c r="J25" s="33"/>
      <c r="K25" s="33"/>
      <c r="L25" s="33"/>
      <c r="M25" s="33"/>
      <c r="N25" s="33"/>
      <c r="O25" s="33"/>
      <c r="P25" s="33"/>
      <c r="Q25" s="33"/>
      <c r="R25" s="33"/>
      <c r="S25" s="33"/>
      <c r="T25" s="26"/>
      <c r="W25" s="77" t="s">
        <v>182</v>
      </c>
      <c r="X25" s="79">
        <v>1.6555E-2</v>
      </c>
    </row>
    <row r="26" spans="2:24" ht="15" customHeight="1" x14ac:dyDescent="0.25">
      <c r="B26" s="98"/>
      <c r="F26" s="33"/>
      <c r="G26" s="33"/>
      <c r="H26" s="33"/>
      <c r="I26" s="33"/>
      <c r="J26" s="33"/>
      <c r="K26" s="33"/>
      <c r="L26" s="33"/>
      <c r="M26" s="33"/>
      <c r="N26" s="33"/>
      <c r="O26" s="33"/>
      <c r="P26" s="33"/>
      <c r="Q26" s="33"/>
      <c r="R26" s="33"/>
      <c r="S26" s="33"/>
      <c r="T26" s="26"/>
      <c r="W26" s="77" t="s">
        <v>174</v>
      </c>
      <c r="X26" s="79">
        <v>1.0815E-2</v>
      </c>
    </row>
    <row r="27" spans="2:24" ht="15" customHeight="1" x14ac:dyDescent="0.25">
      <c r="B27" s="98"/>
      <c r="F27" s="33"/>
      <c r="G27" s="33"/>
      <c r="H27" s="33"/>
      <c r="I27" s="33"/>
      <c r="J27" s="33"/>
      <c r="K27" s="33"/>
      <c r="L27" s="33"/>
      <c r="M27" s="33"/>
      <c r="N27" s="33"/>
      <c r="O27" s="33"/>
      <c r="P27" s="33"/>
      <c r="Q27" s="33"/>
      <c r="R27" s="33"/>
      <c r="S27" s="33"/>
      <c r="T27" s="26"/>
      <c r="W27" s="189" t="s">
        <v>184</v>
      </c>
      <c r="X27" s="79">
        <v>9.8580000000000004E-3</v>
      </c>
    </row>
    <row r="28" spans="2:24" ht="15" customHeight="1" x14ac:dyDescent="0.25">
      <c r="B28" s="98"/>
      <c r="F28" s="33"/>
      <c r="G28" s="33"/>
      <c r="H28" s="33"/>
      <c r="I28" s="33"/>
      <c r="J28" s="33"/>
      <c r="K28" s="33"/>
      <c r="L28" s="33"/>
      <c r="M28" s="33"/>
      <c r="N28" s="33"/>
      <c r="O28" s="33"/>
      <c r="P28" s="33"/>
      <c r="Q28" s="33"/>
      <c r="R28" s="33"/>
      <c r="S28" s="33"/>
      <c r="T28" s="26"/>
      <c r="W28" s="189"/>
      <c r="X28" s="190"/>
    </row>
    <row r="29" spans="2:24" ht="15" customHeight="1" x14ac:dyDescent="0.25">
      <c r="B29" s="98"/>
      <c r="F29" s="33"/>
      <c r="G29" s="33"/>
      <c r="H29" s="33"/>
      <c r="I29" s="33"/>
      <c r="J29" s="33"/>
      <c r="K29" s="33"/>
      <c r="L29" s="33"/>
      <c r="M29" s="33"/>
      <c r="N29" s="33"/>
      <c r="O29" s="33"/>
      <c r="P29" s="33"/>
      <c r="Q29" s="33"/>
      <c r="R29" s="33"/>
      <c r="S29" s="33"/>
      <c r="T29" s="26"/>
    </row>
    <row r="30" spans="2:24" ht="15" customHeight="1" x14ac:dyDescent="0.25">
      <c r="B30" s="98"/>
      <c r="F30" s="33"/>
      <c r="G30" s="33"/>
      <c r="H30" s="33"/>
      <c r="I30" s="33"/>
      <c r="J30" s="33"/>
      <c r="K30" s="33"/>
      <c r="L30" s="33"/>
      <c r="M30" s="33"/>
      <c r="N30" s="33"/>
      <c r="O30" s="33"/>
      <c r="P30" s="33"/>
      <c r="Q30" s="33"/>
      <c r="R30" s="33"/>
      <c r="S30" s="33"/>
      <c r="T30" s="26"/>
    </row>
    <row r="31" spans="2:24" ht="15" customHeight="1" x14ac:dyDescent="0.25">
      <c r="B31" s="98"/>
      <c r="F31" s="33"/>
      <c r="G31" s="33"/>
      <c r="H31" s="33"/>
      <c r="I31" s="33"/>
      <c r="J31" s="33"/>
      <c r="K31" s="33"/>
      <c r="L31" s="33"/>
      <c r="M31" s="33"/>
      <c r="N31" s="33"/>
      <c r="O31" s="33"/>
      <c r="P31" s="33"/>
      <c r="Q31" s="33"/>
      <c r="R31" s="33"/>
      <c r="S31" s="33"/>
      <c r="T31" s="26"/>
    </row>
    <row r="32" spans="2:24" ht="15" customHeight="1" x14ac:dyDescent="0.25">
      <c r="B32" s="98"/>
      <c r="F32" s="33"/>
      <c r="G32" s="33"/>
      <c r="H32" s="33"/>
      <c r="I32" s="33"/>
      <c r="J32" s="33"/>
      <c r="K32" s="33"/>
      <c r="L32" s="33"/>
      <c r="M32" s="33"/>
      <c r="N32" s="33"/>
      <c r="O32" s="33"/>
      <c r="P32" s="33"/>
      <c r="Q32" s="33"/>
      <c r="R32" s="33"/>
      <c r="S32" s="33"/>
      <c r="T32" s="26"/>
    </row>
    <row r="33" spans="2:20" ht="15.75" customHeight="1" x14ac:dyDescent="0.25">
      <c r="B33" s="98"/>
      <c r="F33" s="33"/>
      <c r="G33" s="33"/>
      <c r="H33" s="33"/>
      <c r="I33" s="33"/>
      <c r="J33" s="33"/>
      <c r="K33" s="33"/>
      <c r="L33" s="33"/>
      <c r="M33" s="33"/>
      <c r="N33" s="33"/>
      <c r="O33" s="33"/>
      <c r="P33" s="33"/>
      <c r="Q33" s="33"/>
      <c r="R33" s="33"/>
      <c r="S33" s="33"/>
      <c r="T33" s="26"/>
    </row>
    <row r="34" spans="2:20" ht="15.75" customHeight="1" x14ac:dyDescent="0.25">
      <c r="B34" s="98"/>
      <c r="F34" s="33"/>
      <c r="G34" s="33"/>
      <c r="H34" s="33"/>
      <c r="I34" s="33"/>
      <c r="J34" s="33"/>
      <c r="K34" s="33"/>
      <c r="L34" s="33"/>
      <c r="M34" s="33"/>
      <c r="N34" s="33"/>
      <c r="O34" s="33"/>
      <c r="P34" s="33"/>
      <c r="Q34" s="33"/>
      <c r="R34" s="33"/>
      <c r="S34" s="33"/>
      <c r="T34" s="26"/>
    </row>
    <row r="35" spans="2:20" ht="15.75" customHeight="1" x14ac:dyDescent="0.25">
      <c r="B35" s="98"/>
      <c r="F35" s="33"/>
      <c r="G35" s="33"/>
      <c r="H35" s="33"/>
      <c r="I35" s="33"/>
      <c r="J35" s="33"/>
      <c r="K35" s="33"/>
      <c r="L35" s="33"/>
      <c r="M35" s="33"/>
      <c r="N35" s="33"/>
      <c r="O35" s="33"/>
      <c r="P35" s="33"/>
      <c r="Q35" s="33"/>
      <c r="R35" s="33"/>
      <c r="S35" s="33"/>
      <c r="T35" s="26"/>
    </row>
    <row r="36" spans="2:20" ht="15" customHeight="1" thickBot="1" x14ac:dyDescent="0.3">
      <c r="B36" s="99"/>
      <c r="C36" s="100"/>
      <c r="D36" s="100"/>
      <c r="E36" s="100"/>
      <c r="F36" s="100"/>
      <c r="G36" s="100"/>
      <c r="H36" s="100"/>
      <c r="I36" s="100"/>
      <c r="J36" s="100"/>
      <c r="K36" s="100"/>
      <c r="L36" s="100"/>
      <c r="M36" s="100"/>
      <c r="N36" s="100"/>
      <c r="O36" s="100"/>
      <c r="P36" s="100"/>
      <c r="Q36" s="100"/>
      <c r="R36" s="100"/>
      <c r="S36" s="100"/>
      <c r="T36" s="27"/>
    </row>
    <row r="37" spans="2:20" ht="15" customHeight="1" thickBot="1" x14ac:dyDescent="0.3"/>
    <row r="38" spans="2:20" ht="15" customHeight="1" x14ac:dyDescent="0.25">
      <c r="B38" s="225" t="s">
        <v>117</v>
      </c>
      <c r="C38" s="226"/>
      <c r="D38" s="226"/>
      <c r="E38" s="226"/>
      <c r="F38" s="226"/>
      <c r="G38" s="226"/>
      <c r="H38" s="226"/>
      <c r="I38" s="226"/>
      <c r="J38" s="226"/>
      <c r="K38" s="226"/>
      <c r="L38" s="226"/>
      <c r="M38" s="226"/>
      <c r="N38" s="226"/>
      <c r="O38" s="226"/>
      <c r="P38" s="226"/>
      <c r="Q38" s="226"/>
      <c r="R38" s="227"/>
    </row>
    <row r="39" spans="2:20" ht="15" customHeight="1" x14ac:dyDescent="0.25">
      <c r="B39" s="228"/>
      <c r="C39" s="229"/>
      <c r="D39" s="229"/>
      <c r="E39" s="229"/>
      <c r="F39" s="229"/>
      <c r="G39" s="229"/>
      <c r="H39" s="229"/>
      <c r="I39" s="229"/>
      <c r="J39" s="229"/>
      <c r="K39" s="229"/>
      <c r="L39" s="229"/>
      <c r="M39" s="229"/>
      <c r="N39" s="229"/>
      <c r="O39" s="229"/>
      <c r="P39" s="229"/>
      <c r="Q39" s="229"/>
      <c r="R39" s="230"/>
    </row>
    <row r="40" spans="2:20" ht="15" customHeight="1" x14ac:dyDescent="0.25">
      <c r="B40" s="228"/>
      <c r="C40" s="229"/>
      <c r="D40" s="229"/>
      <c r="E40" s="229"/>
      <c r="F40" s="229"/>
      <c r="G40" s="229"/>
      <c r="H40" s="229"/>
      <c r="I40" s="229"/>
      <c r="J40" s="229"/>
      <c r="K40" s="229"/>
      <c r="L40" s="229"/>
      <c r="M40" s="229"/>
      <c r="N40" s="229"/>
      <c r="O40" s="229"/>
      <c r="P40" s="229"/>
      <c r="Q40" s="229"/>
      <c r="R40" s="230"/>
    </row>
    <row r="41" spans="2:20" ht="15" customHeight="1" x14ac:dyDescent="0.25">
      <c r="B41" s="228"/>
      <c r="C41" s="229"/>
      <c r="D41" s="229"/>
      <c r="E41" s="229"/>
      <c r="F41" s="229"/>
      <c r="G41" s="229"/>
      <c r="H41" s="229"/>
      <c r="I41" s="229"/>
      <c r="J41" s="229"/>
      <c r="K41" s="229"/>
      <c r="L41" s="229"/>
      <c r="M41" s="229"/>
      <c r="N41" s="229"/>
      <c r="O41" s="229"/>
      <c r="P41" s="229"/>
      <c r="Q41" s="229"/>
      <c r="R41" s="230"/>
    </row>
    <row r="42" spans="2:20" ht="15" customHeight="1" x14ac:dyDescent="0.25">
      <c r="B42" s="228"/>
      <c r="C42" s="229"/>
      <c r="D42" s="229"/>
      <c r="E42" s="229"/>
      <c r="F42" s="229"/>
      <c r="G42" s="229"/>
      <c r="H42" s="229"/>
      <c r="I42" s="229"/>
      <c r="J42" s="229"/>
      <c r="K42" s="229"/>
      <c r="L42" s="229"/>
      <c r="M42" s="229"/>
      <c r="N42" s="229"/>
      <c r="O42" s="229"/>
      <c r="P42" s="229"/>
      <c r="Q42" s="229"/>
      <c r="R42" s="230"/>
    </row>
    <row r="43" spans="2:20" ht="15" customHeight="1" x14ac:dyDescent="0.25">
      <c r="B43" s="228"/>
      <c r="C43" s="229"/>
      <c r="D43" s="229"/>
      <c r="E43" s="229"/>
      <c r="F43" s="229"/>
      <c r="G43" s="229"/>
      <c r="H43" s="229"/>
      <c r="I43" s="229"/>
      <c r="J43" s="229"/>
      <c r="K43" s="229"/>
      <c r="L43" s="229"/>
      <c r="M43" s="229"/>
      <c r="N43" s="229"/>
      <c r="O43" s="229"/>
      <c r="P43" s="229"/>
      <c r="Q43" s="229"/>
      <c r="R43" s="230"/>
    </row>
    <row r="44" spans="2:20" ht="15" customHeight="1" thickBot="1" x14ac:dyDescent="0.3">
      <c r="B44" s="231"/>
      <c r="C44" s="232"/>
      <c r="D44" s="232"/>
      <c r="E44" s="232"/>
      <c r="F44" s="232"/>
      <c r="G44" s="232"/>
      <c r="H44" s="232"/>
      <c r="I44" s="232"/>
      <c r="J44" s="232"/>
      <c r="K44" s="232"/>
      <c r="L44" s="232"/>
      <c r="M44" s="232"/>
      <c r="N44" s="232"/>
      <c r="O44" s="232"/>
      <c r="P44" s="232"/>
      <c r="Q44" s="232"/>
      <c r="R44" s="233"/>
    </row>
    <row r="45" spans="2:20" ht="15" customHeight="1" x14ac:dyDescent="0.25"/>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sheetData>
  <sortState ref="C8:E22">
    <sortCondition descending="1" ref="E8"/>
  </sortState>
  <mergeCells count="3">
    <mergeCell ref="C3:S3"/>
    <mergeCell ref="D5:E5"/>
    <mergeCell ref="B38:R44"/>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AK60"/>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customWidth="1"/>
    <col min="4" max="4" width="32.140625" style="23" customWidth="1"/>
    <col min="5" max="5" width="10.42578125" style="23" bestFit="1" customWidth="1"/>
    <col min="6" max="18" width="9.140625" style="23"/>
    <col min="19" max="19" width="9.85546875" style="23" customWidth="1"/>
    <col min="20" max="20" width="9.140625" style="23"/>
    <col min="21" max="22" width="9.140625" style="45"/>
    <col min="23" max="23" width="46.42578125" style="45" bestFit="1" customWidth="1"/>
    <col min="24" max="24" width="8.42578125" style="45" customWidth="1"/>
    <col min="25" max="27" width="9.140625" style="45"/>
    <col min="28" max="16384" width="9.140625" style="23"/>
  </cols>
  <sheetData>
    <row r="1" spans="1:37" ht="15.75" customHeight="1" thickBot="1" x14ac:dyDescent="0.3">
      <c r="A1" s="3"/>
    </row>
    <row r="2" spans="1:37" ht="15" customHeight="1" x14ac:dyDescent="0.25">
      <c r="B2" s="96"/>
      <c r="C2" s="97"/>
      <c r="D2" s="97"/>
      <c r="E2" s="97"/>
      <c r="F2" s="97"/>
      <c r="G2" s="97"/>
      <c r="H2" s="97"/>
      <c r="I2" s="97"/>
      <c r="J2" s="97"/>
      <c r="K2" s="97"/>
      <c r="L2" s="97"/>
      <c r="M2" s="97"/>
      <c r="N2" s="97"/>
      <c r="O2" s="97"/>
      <c r="P2" s="97"/>
      <c r="Q2" s="97"/>
      <c r="R2" s="97"/>
      <c r="S2" s="97"/>
      <c r="T2" s="25"/>
    </row>
    <row r="3" spans="1:37" ht="20.25" customHeight="1" x14ac:dyDescent="0.25">
      <c r="B3" s="98"/>
      <c r="C3" s="234" t="s">
        <v>82</v>
      </c>
      <c r="D3" s="235"/>
      <c r="E3" s="235"/>
      <c r="F3" s="235"/>
      <c r="G3" s="235"/>
      <c r="H3" s="235"/>
      <c r="I3" s="235"/>
      <c r="J3" s="235"/>
      <c r="K3" s="235"/>
      <c r="L3" s="235"/>
      <c r="M3" s="235"/>
      <c r="N3" s="235"/>
      <c r="O3" s="235"/>
      <c r="P3" s="235"/>
      <c r="Q3" s="235"/>
      <c r="R3" s="235"/>
      <c r="S3" s="235"/>
      <c r="T3" s="26"/>
    </row>
    <row r="4" spans="1:37" ht="15.75" customHeight="1" x14ac:dyDescent="0.25">
      <c r="B4" s="98"/>
      <c r="C4" s="85" t="s">
        <v>271</v>
      </c>
      <c r="D4" s="33"/>
      <c r="E4" s="33"/>
      <c r="F4" s="33"/>
      <c r="G4" s="33"/>
      <c r="H4" s="33"/>
      <c r="I4" s="33"/>
      <c r="J4" s="33"/>
      <c r="K4" s="33"/>
      <c r="L4" s="33"/>
      <c r="M4" s="33"/>
      <c r="N4" s="33"/>
      <c r="O4" s="33"/>
      <c r="P4" s="33"/>
      <c r="Q4" s="33"/>
      <c r="R4" s="33"/>
      <c r="S4" s="33"/>
      <c r="T4" s="26"/>
    </row>
    <row r="5" spans="1:37" ht="18" customHeight="1" x14ac:dyDescent="0.25">
      <c r="B5" s="98"/>
      <c r="C5" s="86" t="s">
        <v>272</v>
      </c>
      <c r="D5" s="237" t="s">
        <v>277</v>
      </c>
      <c r="E5" s="238"/>
      <c r="F5" s="33"/>
      <c r="G5" s="33"/>
      <c r="H5" s="33"/>
      <c r="I5" s="33"/>
      <c r="J5" s="33"/>
      <c r="K5" s="33"/>
      <c r="L5" s="33"/>
      <c r="M5" s="33"/>
      <c r="N5" s="33"/>
      <c r="O5" s="33"/>
      <c r="P5" s="33"/>
      <c r="Q5" s="33"/>
      <c r="R5" s="33"/>
      <c r="S5" s="33"/>
      <c r="T5" s="26"/>
    </row>
    <row r="6" spans="1:37" ht="15" customHeight="1" x14ac:dyDescent="0.25">
      <c r="B6" s="98"/>
      <c r="C6" s="33"/>
      <c r="D6" s="33"/>
      <c r="E6" s="33"/>
      <c r="F6" s="33"/>
      <c r="G6" s="33"/>
      <c r="H6" s="33"/>
      <c r="I6" s="33"/>
      <c r="J6" s="33"/>
      <c r="K6" s="33"/>
      <c r="L6" s="33"/>
      <c r="M6" s="33"/>
      <c r="N6" s="33"/>
      <c r="O6" s="33"/>
      <c r="P6" s="33"/>
      <c r="Q6" s="33"/>
      <c r="R6" s="33"/>
      <c r="S6" s="33"/>
      <c r="T6" s="26"/>
      <c r="AK6" s="45"/>
    </row>
    <row r="7" spans="1:37" ht="32.25" customHeight="1" x14ac:dyDescent="0.25">
      <c r="B7" s="98"/>
      <c r="C7" s="87" t="s">
        <v>0</v>
      </c>
      <c r="D7" s="88" t="s">
        <v>1</v>
      </c>
      <c r="E7" s="89" t="s">
        <v>2</v>
      </c>
      <c r="F7" s="33"/>
      <c r="G7" s="33"/>
      <c r="H7" s="33"/>
      <c r="I7" s="33"/>
      <c r="J7" s="33"/>
      <c r="K7" s="33"/>
      <c r="L7" s="33"/>
      <c r="M7" s="33"/>
      <c r="N7" s="33"/>
      <c r="O7" s="33"/>
      <c r="P7" s="33"/>
      <c r="Q7" s="33"/>
      <c r="R7" s="33"/>
      <c r="S7" s="33"/>
      <c r="T7" s="26"/>
      <c r="W7" s="45" t="s">
        <v>22</v>
      </c>
      <c r="X7" s="45" t="s">
        <v>2</v>
      </c>
    </row>
    <row r="8" spans="1:37" ht="15" customHeight="1" x14ac:dyDescent="0.25">
      <c r="B8" s="98"/>
      <c r="C8" s="15" t="s">
        <v>34</v>
      </c>
      <c r="D8" s="17" t="s">
        <v>3</v>
      </c>
      <c r="E8" s="19">
        <v>4.9893E-2</v>
      </c>
      <c r="F8" s="33"/>
      <c r="G8" s="33"/>
      <c r="H8" s="33"/>
      <c r="I8" s="33"/>
      <c r="J8" s="33"/>
      <c r="K8" s="33"/>
      <c r="L8" s="33"/>
      <c r="M8" s="33"/>
      <c r="N8" s="33"/>
      <c r="O8" s="33"/>
      <c r="P8" s="33"/>
      <c r="Q8" s="33"/>
      <c r="R8" s="33"/>
      <c r="S8" s="33"/>
      <c r="T8" s="26"/>
      <c r="W8" s="77" t="s">
        <v>3</v>
      </c>
      <c r="X8" s="79">
        <v>0.17371999999999999</v>
      </c>
    </row>
    <row r="9" spans="1:37" ht="15.75" customHeight="1" x14ac:dyDescent="0.25">
      <c r="B9" s="98"/>
      <c r="C9" s="16" t="s">
        <v>38</v>
      </c>
      <c r="D9" s="18" t="s">
        <v>3</v>
      </c>
      <c r="E9" s="20">
        <v>3.7869E-2</v>
      </c>
      <c r="F9" s="33"/>
      <c r="G9" s="33"/>
      <c r="H9" s="33"/>
      <c r="I9" s="33"/>
      <c r="J9" s="33"/>
      <c r="K9" s="33"/>
      <c r="L9" s="33"/>
      <c r="M9" s="33"/>
      <c r="N9" s="33"/>
      <c r="O9" s="33"/>
      <c r="P9" s="33"/>
      <c r="Q9" s="33"/>
      <c r="R9" s="33"/>
      <c r="S9" s="33"/>
      <c r="T9" s="26"/>
      <c r="W9" s="77" t="s">
        <v>174</v>
      </c>
      <c r="X9" s="79">
        <v>8.0353999999999995E-2</v>
      </c>
    </row>
    <row r="10" spans="1:37" ht="15" customHeight="1" x14ac:dyDescent="0.25">
      <c r="B10" s="98"/>
      <c r="C10" s="16" t="s">
        <v>103</v>
      </c>
      <c r="D10" s="18" t="s">
        <v>11</v>
      </c>
      <c r="E10" s="20">
        <v>3.4759999999999999E-2</v>
      </c>
      <c r="F10" s="33"/>
      <c r="G10" s="33"/>
      <c r="H10" s="33"/>
      <c r="I10" s="33"/>
      <c r="J10" s="33"/>
      <c r="K10" s="33"/>
      <c r="L10" s="33"/>
      <c r="M10" s="33"/>
      <c r="N10" s="33"/>
      <c r="O10" s="33"/>
      <c r="P10" s="33"/>
      <c r="Q10" s="33"/>
      <c r="R10" s="33"/>
      <c r="S10" s="33"/>
      <c r="T10" s="26"/>
      <c r="W10" s="77" t="s">
        <v>169</v>
      </c>
      <c r="X10" s="79">
        <v>6.2171000000000004E-2</v>
      </c>
    </row>
    <row r="11" spans="1:37" ht="15" customHeight="1" x14ac:dyDescent="0.25">
      <c r="B11" s="98"/>
      <c r="C11" s="16" t="s">
        <v>146</v>
      </c>
      <c r="D11" s="18" t="s">
        <v>182</v>
      </c>
      <c r="E11" s="20">
        <v>2.9755E-2</v>
      </c>
      <c r="F11" s="33"/>
      <c r="G11" s="33"/>
      <c r="H11" s="33"/>
      <c r="I11" s="33"/>
      <c r="J11" s="33"/>
      <c r="K11" s="33"/>
      <c r="L11" s="33"/>
      <c r="M11" s="33"/>
      <c r="N11" s="33"/>
      <c r="O11" s="33"/>
      <c r="P11" s="33"/>
      <c r="Q11" s="33"/>
      <c r="R11" s="33"/>
      <c r="S11" s="33"/>
      <c r="T11" s="26"/>
      <c r="W11" s="77" t="s">
        <v>182</v>
      </c>
      <c r="X11" s="79">
        <v>5.3150000000000003E-2</v>
      </c>
    </row>
    <row r="12" spans="1:37" ht="15" customHeight="1" x14ac:dyDescent="0.25">
      <c r="B12" s="98"/>
      <c r="C12" s="16" t="s">
        <v>113</v>
      </c>
      <c r="D12" s="18" t="s">
        <v>3</v>
      </c>
      <c r="E12" s="20">
        <v>2.963E-2</v>
      </c>
      <c r="F12" s="33"/>
      <c r="G12" s="33"/>
      <c r="H12" s="33"/>
      <c r="I12" s="33"/>
      <c r="J12" s="33"/>
      <c r="K12" s="33"/>
      <c r="L12" s="33"/>
      <c r="M12" s="33"/>
      <c r="N12" s="33"/>
      <c r="O12" s="33"/>
      <c r="P12" s="33"/>
      <c r="Q12" s="33"/>
      <c r="R12" s="33"/>
      <c r="S12" s="33"/>
      <c r="T12" s="26"/>
      <c r="W12" s="77" t="s">
        <v>172</v>
      </c>
      <c r="X12" s="79">
        <v>5.0275E-2</v>
      </c>
    </row>
    <row r="13" spans="1:37" ht="15.75" customHeight="1" x14ac:dyDescent="0.25">
      <c r="B13" s="98"/>
      <c r="C13" s="16" t="s">
        <v>30</v>
      </c>
      <c r="D13" s="18" t="s">
        <v>3</v>
      </c>
      <c r="E13" s="20">
        <v>2.5155E-2</v>
      </c>
      <c r="F13" s="33"/>
      <c r="G13" s="33"/>
      <c r="H13" s="33"/>
      <c r="I13" s="33"/>
      <c r="J13" s="33"/>
      <c r="K13" s="33"/>
      <c r="L13" s="33"/>
      <c r="M13" s="33"/>
      <c r="N13" s="33"/>
      <c r="O13" s="33"/>
      <c r="P13" s="33"/>
      <c r="Q13" s="33"/>
      <c r="R13" s="33"/>
      <c r="S13" s="33"/>
      <c r="T13" s="26"/>
      <c r="W13" s="77" t="s">
        <v>11</v>
      </c>
      <c r="X13" s="79">
        <v>4.7074999999999999E-2</v>
      </c>
    </row>
    <row r="14" spans="1:37" ht="15" customHeight="1" x14ac:dyDescent="0.25">
      <c r="B14" s="98"/>
      <c r="C14" s="16" t="s">
        <v>160</v>
      </c>
      <c r="D14" s="18" t="s">
        <v>4</v>
      </c>
      <c r="E14" s="20">
        <v>2.4412E-2</v>
      </c>
      <c r="F14" s="33"/>
      <c r="G14" s="33"/>
      <c r="H14" s="33"/>
      <c r="I14" s="33"/>
      <c r="J14" s="33"/>
      <c r="K14" s="33"/>
      <c r="L14" s="33"/>
      <c r="M14" s="33"/>
      <c r="N14" s="33"/>
      <c r="O14" s="33"/>
      <c r="P14" s="33"/>
      <c r="Q14" s="33"/>
      <c r="R14" s="33"/>
      <c r="S14" s="33"/>
      <c r="T14" s="26"/>
      <c r="W14" s="77" t="s">
        <v>4</v>
      </c>
      <c r="X14" s="79">
        <v>4.4969999999999996E-2</v>
      </c>
    </row>
    <row r="15" spans="1:37" ht="15" customHeight="1" x14ac:dyDescent="0.25">
      <c r="B15" s="98"/>
      <c r="C15" s="16" t="s">
        <v>214</v>
      </c>
      <c r="D15" s="18" t="s">
        <v>172</v>
      </c>
      <c r="E15" s="20">
        <v>2.4157999999999999E-2</v>
      </c>
      <c r="F15" s="33"/>
      <c r="G15" s="33"/>
      <c r="H15" s="33"/>
      <c r="I15" s="33"/>
      <c r="J15" s="33"/>
      <c r="K15" s="33"/>
      <c r="L15" s="33"/>
      <c r="M15" s="33"/>
      <c r="N15" s="33"/>
      <c r="O15" s="33"/>
      <c r="P15" s="33"/>
      <c r="Q15" s="33"/>
      <c r="R15" s="33"/>
      <c r="S15" s="33"/>
      <c r="T15" s="26"/>
      <c r="W15" s="77" t="s">
        <v>24</v>
      </c>
      <c r="X15" s="79">
        <v>3.8782999999999998E-2</v>
      </c>
    </row>
    <row r="16" spans="1:37" ht="15" customHeight="1" x14ac:dyDescent="0.25">
      <c r="B16" s="98"/>
      <c r="C16" s="16" t="s">
        <v>35</v>
      </c>
      <c r="D16" s="18" t="s">
        <v>169</v>
      </c>
      <c r="E16" s="20">
        <v>2.3900000000000001E-2</v>
      </c>
      <c r="F16" s="33"/>
      <c r="G16" s="33"/>
      <c r="H16" s="33"/>
      <c r="I16" s="33"/>
      <c r="J16" s="33"/>
      <c r="K16" s="33"/>
      <c r="L16" s="33"/>
      <c r="M16" s="33"/>
      <c r="N16" s="33"/>
      <c r="O16" s="33"/>
      <c r="P16" s="33"/>
      <c r="Q16" s="33"/>
      <c r="R16" s="33"/>
      <c r="S16" s="33"/>
      <c r="T16" s="26"/>
      <c r="W16" s="77" t="s">
        <v>120</v>
      </c>
      <c r="X16" s="79">
        <v>3.4754E-2</v>
      </c>
    </row>
    <row r="17" spans="2:24" ht="15" customHeight="1" x14ac:dyDescent="0.25">
      <c r="B17" s="98"/>
      <c r="C17" s="16" t="s">
        <v>257</v>
      </c>
      <c r="D17" s="18" t="s">
        <v>182</v>
      </c>
      <c r="E17" s="20">
        <v>2.3394999999999999E-2</v>
      </c>
      <c r="F17" s="33"/>
      <c r="G17" s="33"/>
      <c r="H17" s="33"/>
      <c r="I17" s="33"/>
      <c r="J17" s="33"/>
      <c r="K17" s="33"/>
      <c r="L17" s="33"/>
      <c r="M17" s="33"/>
      <c r="N17" s="33"/>
      <c r="O17" s="33"/>
      <c r="P17" s="33"/>
      <c r="Q17" s="33"/>
      <c r="R17" s="33"/>
      <c r="S17" s="33"/>
      <c r="T17" s="26"/>
      <c r="W17" s="77" t="s">
        <v>6</v>
      </c>
      <c r="X17" s="79">
        <v>3.4612999999999998E-2</v>
      </c>
    </row>
    <row r="18" spans="2:24" ht="15" customHeight="1" x14ac:dyDescent="0.25">
      <c r="B18" s="98"/>
      <c r="C18" s="16" t="s">
        <v>32</v>
      </c>
      <c r="D18" s="18" t="s">
        <v>180</v>
      </c>
      <c r="E18" s="20">
        <v>2.3050999999999999E-2</v>
      </c>
      <c r="F18" s="33"/>
      <c r="G18" s="33"/>
      <c r="H18" s="33"/>
      <c r="I18" s="33"/>
      <c r="J18" s="33"/>
      <c r="K18" s="33"/>
      <c r="L18" s="33"/>
      <c r="M18" s="33"/>
      <c r="N18" s="33"/>
      <c r="O18" s="33"/>
      <c r="P18" s="33"/>
      <c r="Q18" s="33"/>
      <c r="R18" s="33"/>
      <c r="S18" s="33"/>
      <c r="T18" s="26"/>
      <c r="W18" s="77" t="s">
        <v>16</v>
      </c>
      <c r="X18" s="79">
        <v>3.2388E-2</v>
      </c>
    </row>
    <row r="19" spans="2:24" ht="15" customHeight="1" x14ac:dyDescent="0.25">
      <c r="B19" s="98"/>
      <c r="C19" s="16" t="s">
        <v>135</v>
      </c>
      <c r="D19" s="18" t="s">
        <v>120</v>
      </c>
      <c r="E19" s="20">
        <v>2.2769999999999999E-2</v>
      </c>
      <c r="F19" s="33"/>
      <c r="G19" s="33"/>
      <c r="H19" s="33"/>
      <c r="I19" s="33"/>
      <c r="J19" s="33"/>
      <c r="K19" s="33"/>
      <c r="L19" s="33"/>
      <c r="M19" s="33"/>
      <c r="N19" s="33"/>
      <c r="O19" s="33"/>
      <c r="P19" s="33"/>
      <c r="Q19" s="33"/>
      <c r="R19" s="33"/>
      <c r="S19" s="33"/>
      <c r="T19" s="26"/>
      <c r="W19" s="77" t="s">
        <v>119</v>
      </c>
      <c r="X19" s="79">
        <v>3.0254999999999997E-2</v>
      </c>
    </row>
    <row r="20" spans="2:24" ht="15" customHeight="1" x14ac:dyDescent="0.25">
      <c r="B20" s="98"/>
      <c r="C20" s="16" t="s">
        <v>165</v>
      </c>
      <c r="D20" s="18" t="s">
        <v>188</v>
      </c>
      <c r="E20" s="20">
        <v>2.1804E-2</v>
      </c>
      <c r="F20" s="33"/>
      <c r="G20" s="33"/>
      <c r="H20" s="33"/>
      <c r="I20" s="33"/>
      <c r="J20" s="33"/>
      <c r="K20" s="33"/>
      <c r="L20" s="33"/>
      <c r="M20" s="33"/>
      <c r="N20" s="33"/>
      <c r="O20" s="33"/>
      <c r="P20" s="33"/>
      <c r="Q20" s="33"/>
      <c r="R20" s="33"/>
      <c r="S20" s="33"/>
      <c r="T20" s="26"/>
      <c r="W20" s="77" t="s">
        <v>175</v>
      </c>
      <c r="X20" s="79">
        <v>2.9663000000000002E-2</v>
      </c>
    </row>
    <row r="21" spans="2:24" ht="15" customHeight="1" x14ac:dyDescent="0.25">
      <c r="B21" s="98"/>
      <c r="C21" s="16" t="s">
        <v>225</v>
      </c>
      <c r="D21" s="18" t="s">
        <v>3</v>
      </c>
      <c r="E21" s="20">
        <v>2.1159000000000001E-2</v>
      </c>
      <c r="F21" s="33"/>
      <c r="G21" s="33"/>
      <c r="H21" s="33"/>
      <c r="I21" s="33"/>
      <c r="J21" s="33"/>
      <c r="K21" s="33"/>
      <c r="L21" s="33"/>
      <c r="M21" s="33"/>
      <c r="N21" s="33"/>
      <c r="O21" s="33"/>
      <c r="P21" s="33"/>
      <c r="Q21" s="33"/>
      <c r="R21" s="33"/>
      <c r="S21" s="33"/>
      <c r="T21" s="26"/>
      <c r="W21" s="77" t="s">
        <v>180</v>
      </c>
      <c r="X21" s="79">
        <v>2.3050999999999999E-2</v>
      </c>
    </row>
    <row r="22" spans="2:24" ht="15" customHeight="1" x14ac:dyDescent="0.25">
      <c r="B22" s="98"/>
      <c r="C22" s="16" t="s">
        <v>166</v>
      </c>
      <c r="D22" s="18" t="s">
        <v>174</v>
      </c>
      <c r="E22" s="20">
        <v>2.0778999999999999E-2</v>
      </c>
      <c r="F22" s="33"/>
      <c r="G22" s="33"/>
      <c r="H22" s="33"/>
      <c r="I22" s="33"/>
      <c r="J22" s="33"/>
      <c r="K22" s="33"/>
      <c r="L22" s="33"/>
      <c r="M22" s="33"/>
      <c r="N22" s="33"/>
      <c r="O22" s="33"/>
      <c r="P22" s="33"/>
      <c r="Q22" s="33"/>
      <c r="R22" s="33"/>
      <c r="S22" s="33"/>
      <c r="T22" s="26"/>
      <c r="W22" s="77" t="s">
        <v>188</v>
      </c>
      <c r="X22" s="79">
        <v>2.1804E-2</v>
      </c>
    </row>
    <row r="23" spans="2:24" ht="15" customHeight="1" x14ac:dyDescent="0.25">
      <c r="B23" s="98"/>
      <c r="C23" s="101"/>
      <c r="D23" s="101"/>
      <c r="E23" s="102"/>
      <c r="F23" s="33"/>
      <c r="G23" s="33"/>
      <c r="H23" s="33"/>
      <c r="I23" s="33"/>
      <c r="J23" s="33"/>
      <c r="K23" s="33"/>
      <c r="L23" s="33"/>
      <c r="M23" s="33"/>
      <c r="N23" s="33"/>
      <c r="O23" s="33"/>
      <c r="P23" s="33"/>
      <c r="Q23" s="33"/>
      <c r="R23" s="33"/>
      <c r="S23" s="33"/>
      <c r="T23" s="26"/>
      <c r="W23" s="77" t="s">
        <v>179</v>
      </c>
      <c r="X23" s="79">
        <v>1.8787000000000002E-2</v>
      </c>
    </row>
    <row r="24" spans="2:24" ht="15" customHeight="1" x14ac:dyDescent="0.25">
      <c r="B24" s="98"/>
      <c r="C24" s="92" t="s">
        <v>64</v>
      </c>
      <c r="D24" s="93"/>
      <c r="E24" s="103">
        <f>SUM(E8:E22)</f>
        <v>0.41248999999999991</v>
      </c>
      <c r="F24" s="33"/>
      <c r="G24" s="33"/>
      <c r="H24" s="33"/>
      <c r="I24" s="33"/>
      <c r="J24" s="33"/>
      <c r="K24" s="33"/>
      <c r="L24" s="33"/>
      <c r="M24" s="33"/>
      <c r="N24" s="33"/>
      <c r="O24" s="33"/>
      <c r="P24" s="33"/>
      <c r="Q24" s="33"/>
      <c r="R24" s="33"/>
      <c r="S24" s="33"/>
      <c r="T24" s="26"/>
      <c r="W24" s="77" t="s">
        <v>122</v>
      </c>
      <c r="X24" s="79">
        <v>1.8105E-2</v>
      </c>
    </row>
    <row r="25" spans="2:24" ht="15" customHeight="1" x14ac:dyDescent="0.25">
      <c r="B25" s="98"/>
      <c r="C25" s="63"/>
      <c r="D25" s="63"/>
      <c r="E25" s="63"/>
      <c r="F25" s="33"/>
      <c r="G25" s="33"/>
      <c r="H25" s="33"/>
      <c r="I25" s="33"/>
      <c r="J25" s="33"/>
      <c r="K25" s="33"/>
      <c r="L25" s="33"/>
      <c r="M25" s="33"/>
      <c r="N25" s="33"/>
      <c r="O25" s="33"/>
      <c r="P25" s="33"/>
      <c r="Q25" s="33"/>
      <c r="R25" s="33"/>
      <c r="S25" s="33"/>
      <c r="T25" s="26"/>
      <c r="W25" s="77" t="s">
        <v>168</v>
      </c>
      <c r="X25" s="79">
        <v>1.7597000000000002E-2</v>
      </c>
    </row>
    <row r="26" spans="2:24" ht="15" customHeight="1" x14ac:dyDescent="0.25">
      <c r="B26" s="98"/>
      <c r="C26" s="104"/>
      <c r="D26" s="107"/>
      <c r="E26" s="197"/>
      <c r="F26" s="33"/>
      <c r="G26" s="33"/>
      <c r="H26" s="33"/>
      <c r="I26" s="33"/>
      <c r="J26" s="33"/>
      <c r="K26" s="33"/>
      <c r="L26" s="33"/>
      <c r="M26" s="33"/>
      <c r="N26" s="33"/>
      <c r="O26" s="33"/>
      <c r="P26" s="33"/>
      <c r="Q26" s="33"/>
      <c r="R26" s="33"/>
      <c r="S26" s="33"/>
      <c r="T26" s="26"/>
      <c r="W26" s="77" t="s">
        <v>23</v>
      </c>
      <c r="X26" s="79">
        <v>1.7174999999999999E-2</v>
      </c>
    </row>
    <row r="27" spans="2:24" ht="15" customHeight="1" x14ac:dyDescent="0.25">
      <c r="B27" s="98"/>
      <c r="F27" s="33"/>
      <c r="G27" s="33"/>
      <c r="H27" s="33"/>
      <c r="I27" s="33"/>
      <c r="J27" s="33"/>
      <c r="K27" s="33"/>
      <c r="L27" s="33"/>
      <c r="M27" s="33"/>
      <c r="N27" s="33"/>
      <c r="O27" s="33"/>
      <c r="P27" s="33"/>
      <c r="Q27" s="33"/>
      <c r="R27" s="33"/>
      <c r="S27" s="33"/>
      <c r="T27" s="26"/>
      <c r="W27" s="77" t="s">
        <v>25</v>
      </c>
      <c r="X27" s="79">
        <v>1.6899999999999998E-2</v>
      </c>
    </row>
    <row r="28" spans="2:24" ht="15" customHeight="1" x14ac:dyDescent="0.25">
      <c r="B28" s="98"/>
      <c r="F28" s="33"/>
      <c r="G28" s="33"/>
      <c r="H28" s="33"/>
      <c r="I28" s="33"/>
      <c r="J28" s="33"/>
      <c r="K28" s="33"/>
      <c r="L28" s="33"/>
      <c r="M28" s="33"/>
      <c r="N28" s="33"/>
      <c r="O28" s="33"/>
      <c r="P28" s="33"/>
      <c r="Q28" s="33"/>
      <c r="R28" s="33"/>
      <c r="S28" s="33"/>
      <c r="T28" s="26"/>
      <c r="W28" s="77" t="s">
        <v>170</v>
      </c>
      <c r="X28" s="79">
        <v>1.6893999999999999E-2</v>
      </c>
    </row>
    <row r="29" spans="2:24" ht="15" customHeight="1" x14ac:dyDescent="0.25">
      <c r="B29" s="98"/>
      <c r="F29" s="33"/>
      <c r="G29" s="33"/>
      <c r="H29" s="33"/>
      <c r="I29" s="33"/>
      <c r="J29" s="33"/>
      <c r="K29" s="33"/>
      <c r="L29" s="33"/>
      <c r="M29" s="33"/>
      <c r="N29" s="33"/>
      <c r="O29" s="33"/>
      <c r="P29" s="33"/>
      <c r="Q29" s="33"/>
      <c r="R29" s="33"/>
      <c r="S29" s="33"/>
      <c r="T29" s="26"/>
      <c r="W29" s="77" t="s">
        <v>184</v>
      </c>
      <c r="X29" s="79">
        <v>1.6879999999999999E-2</v>
      </c>
    </row>
    <row r="30" spans="2:24" ht="15" customHeight="1" x14ac:dyDescent="0.25">
      <c r="B30" s="98"/>
      <c r="F30" s="33"/>
      <c r="G30" s="33"/>
      <c r="H30" s="33"/>
      <c r="I30" s="33"/>
      <c r="J30" s="33"/>
      <c r="K30" s="33"/>
      <c r="L30" s="33"/>
      <c r="M30" s="33"/>
      <c r="N30" s="33"/>
      <c r="O30" s="33"/>
      <c r="P30" s="33"/>
      <c r="Q30" s="33"/>
      <c r="R30" s="33"/>
      <c r="S30" s="33"/>
      <c r="T30" s="26"/>
      <c r="W30" s="77" t="s">
        <v>10</v>
      </c>
      <c r="X30" s="79">
        <v>1.6073E-2</v>
      </c>
    </row>
    <row r="31" spans="2:24" ht="15" customHeight="1" x14ac:dyDescent="0.25">
      <c r="B31" s="98"/>
      <c r="F31" s="33"/>
      <c r="G31" s="33"/>
      <c r="H31" s="33"/>
      <c r="I31" s="33"/>
      <c r="J31" s="33"/>
      <c r="K31" s="33"/>
      <c r="L31" s="33"/>
      <c r="M31" s="33"/>
      <c r="N31" s="33"/>
      <c r="O31" s="33"/>
      <c r="P31" s="33"/>
      <c r="Q31" s="33"/>
      <c r="R31" s="33"/>
      <c r="S31" s="33"/>
      <c r="T31" s="26"/>
      <c r="W31" s="77" t="s">
        <v>178</v>
      </c>
      <c r="X31" s="79">
        <v>1.3331000000000001E-2</v>
      </c>
    </row>
    <row r="32" spans="2:24" ht="15" customHeight="1" x14ac:dyDescent="0.25">
      <c r="B32" s="98"/>
      <c r="F32" s="33"/>
      <c r="G32" s="33"/>
      <c r="H32" s="33"/>
      <c r="I32" s="33"/>
      <c r="J32" s="33"/>
      <c r="K32" s="33"/>
      <c r="L32" s="33"/>
      <c r="M32" s="33"/>
      <c r="N32" s="33"/>
      <c r="O32" s="33"/>
      <c r="P32" s="33"/>
      <c r="Q32" s="33"/>
      <c r="R32" s="33"/>
      <c r="S32" s="33"/>
      <c r="T32" s="26"/>
      <c r="W32" s="77" t="s">
        <v>185</v>
      </c>
      <c r="X32" s="79">
        <v>1.3024000000000001E-2</v>
      </c>
    </row>
    <row r="33" spans="2:24" ht="15" customHeight="1" thickBot="1" x14ac:dyDescent="0.3">
      <c r="B33" s="99"/>
      <c r="C33" s="100"/>
      <c r="D33" s="100"/>
      <c r="E33" s="100"/>
      <c r="F33" s="100"/>
      <c r="G33" s="100"/>
      <c r="H33" s="100"/>
      <c r="I33" s="100"/>
      <c r="J33" s="100"/>
      <c r="K33" s="100"/>
      <c r="L33" s="100"/>
      <c r="M33" s="100"/>
      <c r="N33" s="100"/>
      <c r="O33" s="100"/>
      <c r="P33" s="100"/>
      <c r="Q33" s="100"/>
      <c r="R33" s="100"/>
      <c r="S33" s="100"/>
      <c r="T33" s="27"/>
      <c r="W33" s="77" t="s">
        <v>27</v>
      </c>
      <c r="X33" s="79">
        <v>8.2349999999999993E-3</v>
      </c>
    </row>
    <row r="34" spans="2:24" ht="15" customHeight="1" thickBot="1" x14ac:dyDescent="0.3">
      <c r="W34" s="45" t="s">
        <v>136</v>
      </c>
      <c r="X34" s="79">
        <v>6.6439999999999997E-3</v>
      </c>
    </row>
    <row r="35" spans="2:24" ht="15" customHeight="1" x14ac:dyDescent="0.25">
      <c r="B35" s="225" t="s">
        <v>117</v>
      </c>
      <c r="C35" s="226"/>
      <c r="D35" s="226"/>
      <c r="E35" s="226"/>
      <c r="F35" s="226"/>
      <c r="G35" s="226"/>
      <c r="H35" s="226"/>
      <c r="I35" s="226"/>
      <c r="J35" s="226"/>
      <c r="K35" s="226"/>
      <c r="L35" s="226"/>
      <c r="M35" s="226"/>
      <c r="N35" s="226"/>
      <c r="O35" s="226"/>
      <c r="P35" s="226"/>
      <c r="Q35" s="226"/>
      <c r="R35" s="227"/>
    </row>
    <row r="36" spans="2:24" ht="15" customHeight="1" x14ac:dyDescent="0.25">
      <c r="B36" s="228"/>
      <c r="C36" s="229"/>
      <c r="D36" s="229"/>
      <c r="E36" s="229"/>
      <c r="F36" s="229"/>
      <c r="G36" s="229"/>
      <c r="H36" s="229"/>
      <c r="I36" s="229"/>
      <c r="J36" s="229"/>
      <c r="K36" s="229"/>
      <c r="L36" s="229"/>
      <c r="M36" s="229"/>
      <c r="N36" s="229"/>
      <c r="O36" s="229"/>
      <c r="P36" s="229"/>
      <c r="Q36" s="229"/>
      <c r="R36" s="230"/>
    </row>
    <row r="37" spans="2:24" ht="15" customHeight="1" x14ac:dyDescent="0.25">
      <c r="B37" s="228"/>
      <c r="C37" s="229"/>
      <c r="D37" s="229"/>
      <c r="E37" s="229"/>
      <c r="F37" s="229"/>
      <c r="G37" s="229"/>
      <c r="H37" s="229"/>
      <c r="I37" s="229"/>
      <c r="J37" s="229"/>
      <c r="K37" s="229"/>
      <c r="L37" s="229"/>
      <c r="M37" s="229"/>
      <c r="N37" s="229"/>
      <c r="O37" s="229"/>
      <c r="P37" s="229"/>
      <c r="Q37" s="229"/>
      <c r="R37" s="230"/>
    </row>
    <row r="38" spans="2:24" ht="15" customHeight="1" x14ac:dyDescent="0.25">
      <c r="B38" s="228"/>
      <c r="C38" s="229"/>
      <c r="D38" s="229"/>
      <c r="E38" s="229"/>
      <c r="F38" s="229"/>
      <c r="G38" s="229"/>
      <c r="H38" s="229"/>
      <c r="I38" s="229"/>
      <c r="J38" s="229"/>
      <c r="K38" s="229"/>
      <c r="L38" s="229"/>
      <c r="M38" s="229"/>
      <c r="N38" s="229"/>
      <c r="O38" s="229"/>
      <c r="P38" s="229"/>
      <c r="Q38" s="229"/>
      <c r="R38" s="230"/>
    </row>
    <row r="39" spans="2:24" ht="15" customHeight="1" x14ac:dyDescent="0.25">
      <c r="B39" s="228"/>
      <c r="C39" s="229"/>
      <c r="D39" s="229"/>
      <c r="E39" s="229"/>
      <c r="F39" s="229"/>
      <c r="G39" s="229"/>
      <c r="H39" s="229"/>
      <c r="I39" s="229"/>
      <c r="J39" s="229"/>
      <c r="K39" s="229"/>
      <c r="L39" s="229"/>
      <c r="M39" s="229"/>
      <c r="N39" s="229"/>
      <c r="O39" s="229"/>
      <c r="P39" s="229"/>
      <c r="Q39" s="229"/>
      <c r="R39" s="230"/>
    </row>
    <row r="40" spans="2:24" ht="15" customHeight="1" x14ac:dyDescent="0.25">
      <c r="B40" s="228"/>
      <c r="C40" s="229"/>
      <c r="D40" s="229"/>
      <c r="E40" s="229"/>
      <c r="F40" s="229"/>
      <c r="G40" s="229"/>
      <c r="H40" s="229"/>
      <c r="I40" s="229"/>
      <c r="J40" s="229"/>
      <c r="K40" s="229"/>
      <c r="L40" s="229"/>
      <c r="M40" s="229"/>
      <c r="N40" s="229"/>
      <c r="O40" s="229"/>
      <c r="P40" s="229"/>
      <c r="Q40" s="229"/>
      <c r="R40" s="230"/>
    </row>
    <row r="41" spans="2:24" ht="15" customHeight="1" thickBot="1" x14ac:dyDescent="0.3">
      <c r="B41" s="231"/>
      <c r="C41" s="232"/>
      <c r="D41" s="232"/>
      <c r="E41" s="232"/>
      <c r="F41" s="232"/>
      <c r="G41" s="232"/>
      <c r="H41" s="232"/>
      <c r="I41" s="232"/>
      <c r="J41" s="232"/>
      <c r="K41" s="232"/>
      <c r="L41" s="232"/>
      <c r="M41" s="232"/>
      <c r="N41" s="232"/>
      <c r="O41" s="232"/>
      <c r="P41" s="232"/>
      <c r="Q41" s="232"/>
      <c r="R41" s="233"/>
    </row>
    <row r="42" spans="2:24" ht="15" customHeight="1" x14ac:dyDescent="0.25"/>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c r="D48" s="198"/>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sheetData>
  <sortState ref="W9:X31">
    <sortCondition descending="1" ref="X9:X31"/>
  </sortState>
  <mergeCells count="3">
    <mergeCell ref="C3:S3"/>
    <mergeCell ref="D5:E5"/>
    <mergeCell ref="B35:R41"/>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0AEE1-1126-4BFA-AB3E-5A2E5C6F8CE8}">
  <dimension ref="A1:AA59"/>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33.85546875" style="23" bestFit="1" customWidth="1"/>
    <col min="5" max="5" width="15.140625" style="23" customWidth="1"/>
    <col min="6" max="6" width="12.7109375" style="23" bestFit="1" customWidth="1"/>
    <col min="7" max="8" width="9.140625" style="23"/>
    <col min="9" max="9" width="11.85546875" style="23" customWidth="1"/>
    <col min="10" max="18" width="9.140625" style="23"/>
    <col min="19" max="19" width="9.85546875" style="23" customWidth="1"/>
    <col min="20" max="16384" width="9.140625" style="23"/>
  </cols>
  <sheetData>
    <row r="1" spans="1:27" ht="15.75" customHeight="1" thickBot="1" x14ac:dyDescent="0.3">
      <c r="A1" s="3"/>
    </row>
    <row r="2" spans="1:27" ht="15" customHeight="1" x14ac:dyDescent="0.25">
      <c r="B2" s="96"/>
      <c r="C2" s="97"/>
      <c r="D2" s="97"/>
      <c r="E2" s="97"/>
      <c r="F2" s="97"/>
      <c r="G2" s="97"/>
      <c r="H2" s="97"/>
      <c r="I2" s="97"/>
      <c r="J2" s="97"/>
      <c r="K2" s="97"/>
      <c r="L2" s="97"/>
      <c r="M2" s="97"/>
      <c r="N2" s="97"/>
      <c r="O2" s="97"/>
      <c r="P2" s="97"/>
      <c r="Q2" s="97"/>
      <c r="R2" s="97"/>
      <c r="S2" s="97"/>
      <c r="T2" s="25"/>
    </row>
    <row r="3" spans="1:27" ht="20.25" customHeight="1" x14ac:dyDescent="0.25">
      <c r="B3" s="98"/>
      <c r="C3" s="234" t="s">
        <v>220</v>
      </c>
      <c r="D3" s="235"/>
      <c r="E3" s="235"/>
      <c r="F3" s="235"/>
      <c r="G3" s="235"/>
      <c r="H3" s="235"/>
      <c r="I3" s="235"/>
      <c r="J3" s="235"/>
      <c r="K3" s="235"/>
      <c r="L3" s="235"/>
      <c r="M3" s="235"/>
      <c r="N3" s="235"/>
      <c r="O3" s="235"/>
      <c r="P3" s="235"/>
      <c r="Q3" s="235"/>
      <c r="R3" s="235"/>
      <c r="S3" s="235"/>
      <c r="T3" s="26"/>
      <c r="V3" s="46"/>
      <c r="W3" s="46"/>
      <c r="X3" s="46"/>
      <c r="Y3" s="46"/>
      <c r="Z3" s="46"/>
      <c r="AA3" s="46"/>
    </row>
    <row r="4" spans="1:27" ht="15.75" customHeight="1" x14ac:dyDescent="0.25">
      <c r="B4" s="98"/>
      <c r="C4" s="85" t="s">
        <v>271</v>
      </c>
      <c r="D4" s="33"/>
      <c r="E4" s="33"/>
      <c r="F4" s="33"/>
      <c r="G4" s="33"/>
      <c r="H4" s="33"/>
      <c r="I4" s="33"/>
      <c r="J4" s="33"/>
      <c r="K4" s="33"/>
      <c r="L4" s="33"/>
      <c r="M4" s="33"/>
      <c r="N4" s="33"/>
      <c r="O4" s="33"/>
      <c r="P4" s="33"/>
      <c r="Q4" s="33"/>
      <c r="R4" s="33"/>
      <c r="S4" s="33"/>
      <c r="T4" s="26"/>
      <c r="V4" s="46"/>
      <c r="W4" s="46"/>
      <c r="X4" s="46"/>
      <c r="Y4" s="46"/>
      <c r="Z4" s="46"/>
      <c r="AA4" s="46"/>
    </row>
    <row r="5" spans="1:27" ht="18" customHeight="1" x14ac:dyDescent="0.25">
      <c r="B5" s="98"/>
      <c r="C5" s="86" t="s">
        <v>272</v>
      </c>
      <c r="D5" s="236" t="s">
        <v>278</v>
      </c>
      <c r="E5" s="236"/>
      <c r="F5" s="33"/>
      <c r="G5" s="33"/>
      <c r="H5" s="33"/>
      <c r="I5" s="33"/>
      <c r="J5" s="33"/>
      <c r="K5" s="33"/>
      <c r="L5" s="33"/>
      <c r="M5" s="33"/>
      <c r="N5" s="33"/>
      <c r="O5" s="33"/>
      <c r="P5" s="33"/>
      <c r="Q5" s="33"/>
      <c r="R5" s="33"/>
      <c r="S5" s="33"/>
      <c r="T5" s="26"/>
      <c r="V5" s="193"/>
      <c r="W5" s="193"/>
      <c r="X5" s="193"/>
      <c r="Y5" s="193"/>
      <c r="Z5" s="46"/>
      <c r="AA5" s="46"/>
    </row>
    <row r="6" spans="1:27" ht="15" customHeight="1" x14ac:dyDescent="0.25">
      <c r="B6" s="98"/>
      <c r="C6" s="33"/>
      <c r="D6" s="33"/>
      <c r="E6" s="33"/>
      <c r="F6" s="33"/>
      <c r="G6" s="33"/>
      <c r="H6" s="33"/>
      <c r="I6" s="33"/>
      <c r="J6" s="33"/>
      <c r="K6" s="33"/>
      <c r="L6" s="33"/>
      <c r="M6" s="33"/>
      <c r="N6" s="33"/>
      <c r="O6" s="33"/>
      <c r="P6" s="33"/>
      <c r="Q6" s="33"/>
      <c r="R6" s="33"/>
      <c r="S6" s="33"/>
      <c r="T6" s="26"/>
      <c r="V6" s="193"/>
      <c r="W6" s="193"/>
      <c r="X6" s="193"/>
      <c r="Y6" s="193"/>
      <c r="Z6" s="46"/>
      <c r="AA6" s="46"/>
    </row>
    <row r="7" spans="1:27" ht="32.25" customHeight="1" x14ac:dyDescent="0.25">
      <c r="B7" s="98"/>
      <c r="C7" s="87" t="s">
        <v>0</v>
      </c>
      <c r="D7" s="88" t="s">
        <v>1</v>
      </c>
      <c r="E7" s="89" t="s">
        <v>2</v>
      </c>
      <c r="F7" s="33"/>
      <c r="G7" s="33"/>
      <c r="H7" s="33"/>
      <c r="I7" s="33"/>
      <c r="J7" s="33"/>
      <c r="K7" s="33"/>
      <c r="L7" s="33"/>
      <c r="M7" s="33"/>
      <c r="N7" s="33"/>
      <c r="O7" s="33"/>
      <c r="P7" s="33"/>
      <c r="Q7" s="33"/>
      <c r="R7" s="33"/>
      <c r="S7" s="33"/>
      <c r="T7" s="26"/>
      <c r="V7" s="193"/>
      <c r="W7" s="193" t="s">
        <v>22</v>
      </c>
      <c r="X7" s="194" t="s">
        <v>2</v>
      </c>
      <c r="Y7" s="193"/>
      <c r="Z7" s="46"/>
      <c r="AA7" s="46"/>
    </row>
    <row r="8" spans="1:27" ht="15" customHeight="1" x14ac:dyDescent="0.25">
      <c r="B8" s="98"/>
      <c r="C8" s="15" t="s">
        <v>34</v>
      </c>
      <c r="D8" s="17" t="s">
        <v>3</v>
      </c>
      <c r="E8" s="195">
        <v>4.8383000000000002E-2</v>
      </c>
      <c r="F8" s="33"/>
      <c r="G8" s="33"/>
      <c r="H8" s="33"/>
      <c r="I8" s="33"/>
      <c r="J8" s="33"/>
      <c r="K8" s="33"/>
      <c r="L8" s="33"/>
      <c r="M8" s="33"/>
      <c r="N8" s="33"/>
      <c r="O8" s="33"/>
      <c r="P8" s="33"/>
      <c r="Q8" s="33"/>
      <c r="R8" s="33"/>
      <c r="S8" s="33"/>
      <c r="T8" s="26"/>
      <c r="V8" s="193"/>
      <c r="W8" s="77" t="s">
        <v>3</v>
      </c>
      <c r="X8" s="79">
        <v>0.12820799999999999</v>
      </c>
      <c r="Y8" s="193"/>
      <c r="Z8" s="46"/>
      <c r="AA8" s="46"/>
    </row>
    <row r="9" spans="1:27" ht="15.75" customHeight="1" x14ac:dyDescent="0.25">
      <c r="B9" s="98"/>
      <c r="C9" s="16" t="s">
        <v>203</v>
      </c>
      <c r="D9" s="18" t="s">
        <v>175</v>
      </c>
      <c r="E9" s="21">
        <v>3.7798999999999999E-2</v>
      </c>
      <c r="F9" s="33"/>
      <c r="G9" s="33"/>
      <c r="H9" s="33"/>
      <c r="I9" s="33"/>
      <c r="J9" s="33"/>
      <c r="K9" s="33"/>
      <c r="L9" s="33"/>
      <c r="M9" s="33"/>
      <c r="N9" s="33"/>
      <c r="O9" s="33"/>
      <c r="P9" s="33"/>
      <c r="Q9" s="33"/>
      <c r="R9" s="33"/>
      <c r="S9" s="33"/>
      <c r="T9" s="26"/>
      <c r="V9" s="193"/>
      <c r="W9" s="77" t="s">
        <v>24</v>
      </c>
      <c r="X9" s="79">
        <v>0.12043999999999999</v>
      </c>
      <c r="Y9" s="193"/>
      <c r="Z9" s="46"/>
      <c r="AA9" s="46"/>
    </row>
    <row r="10" spans="1:27" ht="15" customHeight="1" x14ac:dyDescent="0.25">
      <c r="B10" s="98"/>
      <c r="C10" s="16" t="s">
        <v>38</v>
      </c>
      <c r="D10" s="18" t="s">
        <v>3</v>
      </c>
      <c r="E10" s="21">
        <v>3.2819000000000001E-2</v>
      </c>
      <c r="F10" s="33"/>
      <c r="G10" s="33"/>
      <c r="H10" s="33"/>
      <c r="I10" s="33"/>
      <c r="J10" s="33"/>
      <c r="K10" s="33"/>
      <c r="L10" s="33"/>
      <c r="M10" s="33"/>
      <c r="N10" s="33"/>
      <c r="O10" s="33"/>
      <c r="P10" s="33"/>
      <c r="Q10" s="33"/>
      <c r="R10" s="33"/>
      <c r="S10" s="33"/>
      <c r="T10" s="26"/>
      <c r="V10" s="193"/>
      <c r="W10" s="77" t="s">
        <v>179</v>
      </c>
      <c r="X10" s="79">
        <v>9.8997000000000002E-2</v>
      </c>
      <c r="Y10" s="193"/>
      <c r="Z10" s="46"/>
      <c r="AA10" s="46"/>
    </row>
    <row r="11" spans="1:27" ht="15" customHeight="1" x14ac:dyDescent="0.25">
      <c r="B11" s="98"/>
      <c r="C11" s="16" t="s">
        <v>223</v>
      </c>
      <c r="D11" s="18" t="s">
        <v>24</v>
      </c>
      <c r="E11" s="21">
        <v>3.0997E-2</v>
      </c>
      <c r="F11" s="33"/>
      <c r="G11" s="33"/>
      <c r="H11" s="33"/>
      <c r="I11" s="33"/>
      <c r="J11" s="33"/>
      <c r="K11" s="33"/>
      <c r="L11" s="33"/>
      <c r="M11" s="33"/>
      <c r="N11" s="33"/>
      <c r="O11" s="33"/>
      <c r="P11" s="33"/>
      <c r="Q11" s="33"/>
      <c r="R11" s="33"/>
      <c r="S11" s="33"/>
      <c r="T11" s="26"/>
      <c r="V11" s="193"/>
      <c r="W11" s="77" t="s">
        <v>172</v>
      </c>
      <c r="X11" s="79">
        <v>7.1275000000000005E-2</v>
      </c>
      <c r="Y11" s="193"/>
      <c r="Z11" s="46"/>
      <c r="AA11" s="46"/>
    </row>
    <row r="12" spans="1:27" ht="15" customHeight="1" x14ac:dyDescent="0.25">
      <c r="B12" s="98"/>
      <c r="C12" s="16" t="s">
        <v>247</v>
      </c>
      <c r="D12" s="18" t="s">
        <v>3</v>
      </c>
      <c r="E12" s="21">
        <v>3.0879E-2</v>
      </c>
      <c r="F12" s="33"/>
      <c r="G12" s="33"/>
      <c r="H12" s="33"/>
      <c r="I12" s="33"/>
      <c r="J12" s="33"/>
      <c r="K12" s="33"/>
      <c r="L12" s="33"/>
      <c r="M12" s="33"/>
      <c r="N12" s="33"/>
      <c r="O12" s="33"/>
      <c r="P12" s="33"/>
      <c r="Q12" s="33"/>
      <c r="R12" s="33"/>
      <c r="S12" s="33"/>
      <c r="T12" s="26"/>
      <c r="V12" s="193"/>
      <c r="W12" s="77" t="s">
        <v>175</v>
      </c>
      <c r="X12" s="79">
        <v>5.9874999999999998E-2</v>
      </c>
      <c r="Y12" s="193"/>
      <c r="Z12" s="46"/>
      <c r="AA12" s="46"/>
    </row>
    <row r="13" spans="1:27" ht="15" customHeight="1" x14ac:dyDescent="0.25">
      <c r="B13" s="98"/>
      <c r="C13" s="16" t="s">
        <v>218</v>
      </c>
      <c r="D13" s="18" t="s">
        <v>179</v>
      </c>
      <c r="E13" s="21">
        <v>3.0748999999999999E-2</v>
      </c>
      <c r="F13" s="33"/>
      <c r="G13" s="33"/>
      <c r="H13" s="33"/>
      <c r="I13" s="33"/>
      <c r="J13" s="33"/>
      <c r="K13" s="33"/>
      <c r="L13" s="33"/>
      <c r="M13" s="33"/>
      <c r="N13" s="33"/>
      <c r="O13" s="33"/>
      <c r="P13" s="33"/>
      <c r="Q13" s="33"/>
      <c r="R13" s="33"/>
      <c r="S13" s="33"/>
      <c r="T13" s="26"/>
      <c r="V13" s="193"/>
      <c r="W13" s="77" t="s">
        <v>169</v>
      </c>
      <c r="X13" s="79">
        <v>5.7095E-2</v>
      </c>
      <c r="Y13" s="193"/>
      <c r="Z13" s="46"/>
      <c r="AA13" s="46"/>
    </row>
    <row r="14" spans="1:27" ht="15" customHeight="1" x14ac:dyDescent="0.25">
      <c r="B14" s="98"/>
      <c r="C14" s="16" t="s">
        <v>214</v>
      </c>
      <c r="D14" s="18" t="s">
        <v>172</v>
      </c>
      <c r="E14" s="21">
        <v>2.8749E-2</v>
      </c>
      <c r="F14" s="33"/>
      <c r="G14" s="33"/>
      <c r="H14" s="33"/>
      <c r="I14" s="33"/>
      <c r="J14" s="33"/>
      <c r="K14" s="33"/>
      <c r="L14" s="33"/>
      <c r="M14" s="33"/>
      <c r="N14" s="33"/>
      <c r="O14" s="33"/>
      <c r="P14" s="33"/>
      <c r="Q14" s="33"/>
      <c r="R14" s="33"/>
      <c r="S14" s="33"/>
      <c r="T14" s="26"/>
      <c r="V14" s="193"/>
      <c r="W14" s="77" t="s">
        <v>27</v>
      </c>
      <c r="X14" s="79">
        <v>5.0314999999999999E-2</v>
      </c>
      <c r="Y14" s="193"/>
      <c r="Z14" s="46"/>
      <c r="AA14" s="46"/>
    </row>
    <row r="15" spans="1:27" ht="15.75" customHeight="1" x14ac:dyDescent="0.25">
      <c r="B15" s="98"/>
      <c r="C15" s="16" t="s">
        <v>221</v>
      </c>
      <c r="D15" s="18" t="s">
        <v>169</v>
      </c>
      <c r="E15" s="21">
        <v>2.8656999999999998E-2</v>
      </c>
      <c r="F15" s="33"/>
      <c r="G15" s="33"/>
      <c r="H15" s="33"/>
      <c r="I15" s="33"/>
      <c r="J15" s="33"/>
      <c r="K15" s="33"/>
      <c r="L15" s="33"/>
      <c r="M15" s="33"/>
      <c r="N15" s="33"/>
      <c r="O15" s="33"/>
      <c r="P15" s="33"/>
      <c r="Q15" s="33"/>
      <c r="R15" s="33"/>
      <c r="S15" s="33"/>
      <c r="T15" s="26"/>
      <c r="V15" s="193"/>
      <c r="W15" s="77" t="s">
        <v>16</v>
      </c>
      <c r="X15" s="79">
        <v>4.7438000000000001E-2</v>
      </c>
      <c r="Y15" s="193"/>
      <c r="Z15" s="46"/>
      <c r="AA15" s="46"/>
    </row>
    <row r="16" spans="1:27" ht="15" customHeight="1" x14ac:dyDescent="0.25">
      <c r="B16" s="98"/>
      <c r="C16" s="16" t="s">
        <v>163</v>
      </c>
      <c r="D16" s="18" t="s">
        <v>168</v>
      </c>
      <c r="E16" s="21">
        <v>2.7666E-2</v>
      </c>
      <c r="F16" s="33"/>
      <c r="G16" s="33"/>
      <c r="H16" s="33"/>
      <c r="I16" s="33"/>
      <c r="J16" s="33"/>
      <c r="K16" s="33"/>
      <c r="L16" s="33"/>
      <c r="M16" s="33"/>
      <c r="N16" s="33"/>
      <c r="O16" s="33"/>
      <c r="P16" s="33"/>
      <c r="Q16" s="33"/>
      <c r="R16" s="33"/>
      <c r="S16" s="33"/>
      <c r="T16" s="26"/>
      <c r="V16" s="193"/>
      <c r="W16" s="77" t="s">
        <v>120</v>
      </c>
      <c r="X16" s="79">
        <v>4.1697999999999999E-2</v>
      </c>
      <c r="Y16" s="193"/>
      <c r="Z16" s="46"/>
      <c r="AA16" s="46"/>
    </row>
    <row r="17" spans="2:27" ht="15.75" customHeight="1" x14ac:dyDescent="0.25">
      <c r="B17" s="98"/>
      <c r="C17" s="16" t="s">
        <v>222</v>
      </c>
      <c r="D17" s="18" t="s">
        <v>27</v>
      </c>
      <c r="E17" s="21">
        <v>2.7389E-2</v>
      </c>
      <c r="F17" s="33"/>
      <c r="G17" s="33"/>
      <c r="H17" s="33"/>
      <c r="I17" s="33"/>
      <c r="J17" s="33"/>
      <c r="K17" s="33"/>
      <c r="L17" s="33"/>
      <c r="M17" s="33"/>
      <c r="N17" s="33"/>
      <c r="O17" s="33"/>
      <c r="P17" s="33"/>
      <c r="Q17" s="33"/>
      <c r="R17" s="33"/>
      <c r="S17" s="33"/>
      <c r="T17" s="26"/>
      <c r="V17" s="193"/>
      <c r="W17" s="77" t="s">
        <v>182</v>
      </c>
      <c r="X17" s="79">
        <v>3.7384000000000001E-2</v>
      </c>
      <c r="Y17" s="193"/>
      <c r="Z17" s="46"/>
      <c r="AA17" s="46"/>
    </row>
    <row r="18" spans="2:27" ht="15.75" x14ac:dyDescent="0.25">
      <c r="B18" s="98"/>
      <c r="C18" s="16" t="s">
        <v>135</v>
      </c>
      <c r="D18" s="18" t="s">
        <v>120</v>
      </c>
      <c r="E18" s="21">
        <v>2.5721000000000001E-2</v>
      </c>
      <c r="F18" s="33"/>
      <c r="G18" s="33"/>
      <c r="H18" s="33"/>
      <c r="I18" s="33"/>
      <c r="J18" s="33"/>
      <c r="K18" s="33"/>
      <c r="L18" s="33"/>
      <c r="M18" s="33"/>
      <c r="N18" s="33"/>
      <c r="O18" s="33"/>
      <c r="P18" s="33"/>
      <c r="Q18" s="33"/>
      <c r="R18" s="33"/>
      <c r="S18" s="33"/>
      <c r="T18" s="26"/>
      <c r="V18" s="193"/>
      <c r="W18" s="77" t="s">
        <v>174</v>
      </c>
      <c r="X18" s="79">
        <v>3.6091999999999999E-2</v>
      </c>
      <c r="Y18" s="193"/>
      <c r="Z18" s="46"/>
      <c r="AA18" s="46"/>
    </row>
    <row r="19" spans="2:27" ht="15.75" customHeight="1" x14ac:dyDescent="0.25">
      <c r="B19" s="98"/>
      <c r="C19" s="16" t="s">
        <v>153</v>
      </c>
      <c r="D19" s="18" t="s">
        <v>179</v>
      </c>
      <c r="E19" s="21">
        <v>2.4777E-2</v>
      </c>
      <c r="F19" s="33"/>
      <c r="G19" s="33"/>
      <c r="H19" s="33"/>
      <c r="I19" s="33"/>
      <c r="J19" s="33"/>
      <c r="K19" s="33"/>
      <c r="L19" s="33"/>
      <c r="M19" s="33"/>
      <c r="N19" s="33"/>
      <c r="O19" s="33"/>
      <c r="P19" s="33"/>
      <c r="Q19" s="33"/>
      <c r="R19" s="33"/>
      <c r="S19" s="33"/>
      <c r="T19" s="26"/>
      <c r="V19" s="193"/>
      <c r="W19" s="77" t="s">
        <v>168</v>
      </c>
      <c r="X19" s="79">
        <v>2.7666E-2</v>
      </c>
      <c r="Y19" s="193"/>
      <c r="Z19" s="46"/>
      <c r="AA19" s="46"/>
    </row>
    <row r="20" spans="2:27" ht="15" customHeight="1" x14ac:dyDescent="0.25">
      <c r="B20" s="98"/>
      <c r="C20" s="16" t="s">
        <v>258</v>
      </c>
      <c r="D20" s="18" t="s">
        <v>24</v>
      </c>
      <c r="E20" s="21">
        <v>2.3716000000000001E-2</v>
      </c>
      <c r="F20" s="33"/>
      <c r="G20" s="33"/>
      <c r="H20" s="33"/>
      <c r="I20" s="33"/>
      <c r="J20" s="33"/>
      <c r="K20" s="33"/>
      <c r="L20" s="33"/>
      <c r="M20" s="33"/>
      <c r="N20" s="33"/>
      <c r="O20" s="33"/>
      <c r="P20" s="33"/>
      <c r="Q20" s="33"/>
      <c r="R20" s="33"/>
      <c r="S20" s="33"/>
      <c r="T20" s="26"/>
      <c r="V20" s="193"/>
      <c r="W20" s="77" t="s">
        <v>109</v>
      </c>
      <c r="X20" s="79">
        <v>2.2550000000000001E-2</v>
      </c>
      <c r="Y20" s="193"/>
      <c r="Z20" s="46"/>
      <c r="AA20" s="46"/>
    </row>
    <row r="21" spans="2:27" ht="15" customHeight="1" x14ac:dyDescent="0.25">
      <c r="B21" s="98"/>
      <c r="C21" s="16" t="s">
        <v>108</v>
      </c>
      <c r="D21" s="18" t="s">
        <v>16</v>
      </c>
      <c r="E21" s="21">
        <v>2.3654999999999999E-2</v>
      </c>
      <c r="F21" s="33"/>
      <c r="G21" s="33"/>
      <c r="H21" s="33"/>
      <c r="I21" s="33"/>
      <c r="J21" s="33"/>
      <c r="K21" s="33"/>
      <c r="L21" s="33"/>
      <c r="M21" s="33"/>
      <c r="N21" s="33"/>
      <c r="O21" s="33"/>
      <c r="P21" s="33"/>
      <c r="Q21" s="33"/>
      <c r="R21" s="33"/>
      <c r="S21" s="33"/>
      <c r="T21" s="26"/>
      <c r="V21" s="193"/>
      <c r="W21" s="77" t="s">
        <v>12</v>
      </c>
      <c r="X21" s="79">
        <v>2.1127E-2</v>
      </c>
      <c r="Y21" s="193"/>
      <c r="Z21" s="46"/>
      <c r="AA21" s="46"/>
    </row>
    <row r="22" spans="2:27" ht="15" customHeight="1" x14ac:dyDescent="0.25">
      <c r="B22" s="98"/>
      <c r="C22" s="16" t="s">
        <v>29</v>
      </c>
      <c r="D22" s="18" t="s">
        <v>169</v>
      </c>
      <c r="E22" s="21">
        <v>2.3394000000000002E-2</v>
      </c>
      <c r="F22" s="33"/>
      <c r="G22" s="33"/>
      <c r="H22" s="33"/>
      <c r="I22" s="33"/>
      <c r="J22" s="33"/>
      <c r="K22" s="33"/>
      <c r="L22" s="33"/>
      <c r="M22" s="33"/>
      <c r="N22" s="33"/>
      <c r="O22" s="33"/>
      <c r="P22" s="33"/>
      <c r="Q22" s="33"/>
      <c r="R22" s="33"/>
      <c r="S22" s="33"/>
      <c r="T22" s="26"/>
      <c r="V22" s="193"/>
      <c r="W22" s="77" t="s">
        <v>181</v>
      </c>
      <c r="X22" s="79">
        <v>1.8726E-2</v>
      </c>
      <c r="Y22" s="193"/>
      <c r="Z22" s="46"/>
      <c r="AA22" s="46"/>
    </row>
    <row r="23" spans="2:27" ht="15" customHeight="1" x14ac:dyDescent="0.25">
      <c r="B23" s="98"/>
      <c r="C23" s="16"/>
      <c r="D23" s="18"/>
      <c r="E23" s="21"/>
      <c r="F23" s="33"/>
      <c r="G23" s="33"/>
      <c r="H23" s="33"/>
      <c r="I23" s="33"/>
      <c r="J23" s="33"/>
      <c r="K23" s="33"/>
      <c r="L23" s="33"/>
      <c r="M23" s="33"/>
      <c r="N23" s="33"/>
      <c r="O23" s="33"/>
      <c r="P23" s="33"/>
      <c r="Q23" s="33"/>
      <c r="R23" s="33"/>
      <c r="S23" s="33"/>
      <c r="T23" s="26"/>
      <c r="V23" s="193"/>
      <c r="W23" s="77" t="s">
        <v>187</v>
      </c>
      <c r="X23" s="79">
        <v>1.1440000000000001E-2</v>
      </c>
      <c r="Y23" s="193"/>
      <c r="Z23" s="46"/>
      <c r="AA23" s="46"/>
    </row>
    <row r="24" spans="2:27" ht="15" customHeight="1" x14ac:dyDescent="0.25">
      <c r="B24" s="98"/>
      <c r="C24" s="92" t="s">
        <v>64</v>
      </c>
      <c r="D24" s="93"/>
      <c r="E24" s="94">
        <f>SUM(E8:E23)</f>
        <v>0.44535000000000002</v>
      </c>
      <c r="F24" s="33"/>
      <c r="G24" s="33"/>
      <c r="H24" s="33"/>
      <c r="I24" s="33"/>
      <c r="J24" s="33"/>
      <c r="K24" s="33"/>
      <c r="L24" s="33"/>
      <c r="M24" s="33"/>
      <c r="N24" s="33"/>
      <c r="O24" s="33"/>
      <c r="P24" s="33"/>
      <c r="Q24" s="33"/>
      <c r="R24" s="33"/>
      <c r="S24" s="33"/>
      <c r="T24" s="26"/>
      <c r="V24" s="193"/>
      <c r="W24" s="77" t="s">
        <v>121</v>
      </c>
      <c r="X24" s="79">
        <v>1.0996000000000001E-2</v>
      </c>
      <c r="Y24" s="193"/>
      <c r="Z24" s="46"/>
      <c r="AA24" s="46"/>
    </row>
    <row r="25" spans="2:27" ht="15" customHeight="1" x14ac:dyDescent="0.25">
      <c r="B25" s="98"/>
      <c r="F25" s="33"/>
      <c r="G25" s="33"/>
      <c r="H25" s="33"/>
      <c r="I25" s="33"/>
      <c r="J25" s="33"/>
      <c r="K25" s="33"/>
      <c r="L25" s="33"/>
      <c r="M25" s="33"/>
      <c r="N25" s="33"/>
      <c r="O25" s="33"/>
      <c r="P25" s="33"/>
      <c r="Q25" s="33"/>
      <c r="R25" s="33"/>
      <c r="S25" s="33"/>
      <c r="T25" s="26"/>
      <c r="V25" s="193"/>
      <c r="W25" s="77" t="s">
        <v>4</v>
      </c>
      <c r="X25" s="79">
        <v>1.0978999999999999E-2</v>
      </c>
      <c r="Y25" s="193"/>
      <c r="Z25" s="46"/>
      <c r="AA25" s="46"/>
    </row>
    <row r="26" spans="2:27" ht="15" customHeight="1" x14ac:dyDescent="0.25">
      <c r="B26" s="98"/>
      <c r="F26" s="33"/>
      <c r="G26" s="33"/>
      <c r="H26" s="33"/>
      <c r="I26" s="33"/>
      <c r="J26" s="33"/>
      <c r="K26" s="33"/>
      <c r="L26" s="33"/>
      <c r="M26" s="33"/>
      <c r="N26" s="33"/>
      <c r="O26" s="33"/>
      <c r="P26" s="33"/>
      <c r="Q26" s="33"/>
      <c r="R26" s="33"/>
      <c r="S26" s="33"/>
      <c r="T26" s="26"/>
      <c r="V26" s="193"/>
      <c r="W26" s="77" t="s">
        <v>185</v>
      </c>
      <c r="X26" s="79">
        <v>9.9209999999999993E-3</v>
      </c>
      <c r="Y26" s="193"/>
      <c r="Z26" s="46"/>
      <c r="AA26" s="46"/>
    </row>
    <row r="27" spans="2:27" ht="15" customHeight="1" x14ac:dyDescent="0.25">
      <c r="B27" s="98"/>
      <c r="F27" s="33"/>
      <c r="G27" s="33"/>
      <c r="H27" s="33"/>
      <c r="I27" s="33"/>
      <c r="J27" s="33"/>
      <c r="K27" s="33"/>
      <c r="L27" s="33"/>
      <c r="M27" s="33"/>
      <c r="N27" s="33"/>
      <c r="O27" s="33"/>
      <c r="P27" s="33"/>
      <c r="Q27" s="33"/>
      <c r="R27" s="33"/>
      <c r="S27" s="33"/>
      <c r="T27" s="26"/>
      <c r="V27" s="193"/>
      <c r="W27" s="77"/>
      <c r="X27" s="79"/>
      <c r="Y27" s="193"/>
      <c r="Z27" s="46"/>
      <c r="AA27" s="46"/>
    </row>
    <row r="28" spans="2:27" ht="15" customHeight="1" x14ac:dyDescent="0.25">
      <c r="B28" s="98"/>
      <c r="F28" s="33"/>
      <c r="G28" s="33"/>
      <c r="H28" s="33"/>
      <c r="I28" s="33"/>
      <c r="J28" s="33"/>
      <c r="K28" s="33"/>
      <c r="L28" s="33"/>
      <c r="M28" s="33"/>
      <c r="N28" s="33"/>
      <c r="O28" s="33"/>
      <c r="P28" s="33"/>
      <c r="Q28" s="33"/>
      <c r="R28" s="33"/>
      <c r="S28" s="33"/>
      <c r="T28" s="26"/>
      <c r="V28" s="193"/>
      <c r="W28" s="77"/>
      <c r="X28" s="79"/>
      <c r="Y28" s="193"/>
      <c r="Z28" s="46"/>
      <c r="AA28" s="46"/>
    </row>
    <row r="29" spans="2:27" ht="15" customHeight="1" x14ac:dyDescent="0.25">
      <c r="B29" s="98"/>
      <c r="F29" s="33"/>
      <c r="G29" s="33"/>
      <c r="H29" s="33"/>
      <c r="I29" s="33"/>
      <c r="J29" s="33"/>
      <c r="K29" s="33"/>
      <c r="L29" s="33"/>
      <c r="M29" s="33"/>
      <c r="N29" s="33"/>
      <c r="O29" s="33"/>
      <c r="P29" s="33"/>
      <c r="Q29" s="33"/>
      <c r="R29" s="33"/>
      <c r="S29" s="33"/>
      <c r="T29" s="26"/>
      <c r="V29" s="193"/>
      <c r="W29" s="68"/>
      <c r="X29" s="69"/>
      <c r="Y29" s="193"/>
      <c r="Z29" s="46"/>
      <c r="AA29" s="46"/>
    </row>
    <row r="30" spans="2:27" ht="15" customHeight="1" x14ac:dyDescent="0.25">
      <c r="B30" s="98"/>
      <c r="F30" s="33"/>
      <c r="G30" s="33"/>
      <c r="H30" s="33"/>
      <c r="I30" s="33"/>
      <c r="J30" s="33"/>
      <c r="K30" s="33"/>
      <c r="L30" s="33"/>
      <c r="M30" s="33"/>
      <c r="N30" s="33"/>
      <c r="O30" s="33"/>
      <c r="P30" s="33"/>
      <c r="Q30" s="33"/>
      <c r="R30" s="33"/>
      <c r="S30" s="33"/>
      <c r="T30" s="26"/>
      <c r="V30" s="193"/>
      <c r="W30" s="68"/>
      <c r="X30" s="78"/>
      <c r="Y30" s="193"/>
      <c r="Z30" s="46"/>
      <c r="AA30" s="46"/>
    </row>
    <row r="31" spans="2:27" ht="15" customHeight="1" x14ac:dyDescent="0.25">
      <c r="B31" s="98"/>
      <c r="F31" s="33"/>
      <c r="G31" s="33"/>
      <c r="H31" s="33"/>
      <c r="I31" s="33"/>
      <c r="J31" s="33"/>
      <c r="K31" s="33"/>
      <c r="L31" s="33"/>
      <c r="M31" s="33"/>
      <c r="N31" s="33"/>
      <c r="O31" s="33"/>
      <c r="P31" s="33"/>
      <c r="Q31" s="33"/>
      <c r="R31" s="33"/>
      <c r="S31" s="33"/>
      <c r="T31" s="26"/>
      <c r="V31" s="193"/>
      <c r="W31" s="80"/>
      <c r="X31" s="78"/>
      <c r="Y31" s="193"/>
      <c r="Z31" s="46"/>
      <c r="AA31" s="46"/>
    </row>
    <row r="32" spans="2:27" ht="15" customHeight="1" thickBot="1" x14ac:dyDescent="0.3">
      <c r="B32" s="99"/>
      <c r="C32" s="100"/>
      <c r="D32" s="100"/>
      <c r="E32" s="100"/>
      <c r="F32" s="100"/>
      <c r="G32" s="100"/>
      <c r="H32" s="100"/>
      <c r="I32" s="100"/>
      <c r="J32" s="100"/>
      <c r="K32" s="100"/>
      <c r="L32" s="100"/>
      <c r="M32" s="100"/>
      <c r="N32" s="100"/>
      <c r="O32" s="100"/>
      <c r="P32" s="100"/>
      <c r="Q32" s="100"/>
      <c r="R32" s="100"/>
      <c r="S32" s="100"/>
      <c r="T32" s="27"/>
    </row>
    <row r="33" spans="2:18" ht="15" customHeight="1" thickBot="1" x14ac:dyDescent="0.3"/>
    <row r="34" spans="2:18" ht="15" customHeight="1" x14ac:dyDescent="0.25">
      <c r="B34" s="225" t="s">
        <v>117</v>
      </c>
      <c r="C34" s="226"/>
      <c r="D34" s="226"/>
      <c r="E34" s="226"/>
      <c r="F34" s="226"/>
      <c r="G34" s="226"/>
      <c r="H34" s="226"/>
      <c r="I34" s="226"/>
      <c r="J34" s="226"/>
      <c r="K34" s="226"/>
      <c r="L34" s="226"/>
      <c r="M34" s="226"/>
      <c r="N34" s="226"/>
      <c r="O34" s="226"/>
      <c r="P34" s="226"/>
      <c r="Q34" s="226"/>
      <c r="R34" s="227"/>
    </row>
    <row r="35" spans="2:18" ht="15" customHeight="1" x14ac:dyDescent="0.25">
      <c r="B35" s="228"/>
      <c r="C35" s="229"/>
      <c r="D35" s="229"/>
      <c r="E35" s="229"/>
      <c r="F35" s="229"/>
      <c r="G35" s="229"/>
      <c r="H35" s="229"/>
      <c r="I35" s="229"/>
      <c r="J35" s="229"/>
      <c r="K35" s="229"/>
      <c r="L35" s="229"/>
      <c r="M35" s="229"/>
      <c r="N35" s="229"/>
      <c r="O35" s="229"/>
      <c r="P35" s="229"/>
      <c r="Q35" s="229"/>
      <c r="R35" s="230"/>
    </row>
    <row r="36" spans="2:18" ht="15" customHeight="1" x14ac:dyDescent="0.25">
      <c r="B36" s="228"/>
      <c r="C36" s="229"/>
      <c r="D36" s="229"/>
      <c r="E36" s="229"/>
      <c r="F36" s="229"/>
      <c r="G36" s="229"/>
      <c r="H36" s="229"/>
      <c r="I36" s="229"/>
      <c r="J36" s="229"/>
      <c r="K36" s="229"/>
      <c r="L36" s="229"/>
      <c r="M36" s="229"/>
      <c r="N36" s="229"/>
      <c r="O36" s="229"/>
      <c r="P36" s="229"/>
      <c r="Q36" s="229"/>
      <c r="R36" s="230"/>
    </row>
    <row r="37" spans="2:18" ht="15" customHeight="1" x14ac:dyDescent="0.25">
      <c r="B37" s="228"/>
      <c r="C37" s="229"/>
      <c r="D37" s="229"/>
      <c r="E37" s="229"/>
      <c r="F37" s="229"/>
      <c r="G37" s="229"/>
      <c r="H37" s="229"/>
      <c r="I37" s="229"/>
      <c r="J37" s="229"/>
      <c r="K37" s="229"/>
      <c r="L37" s="229"/>
      <c r="M37" s="229"/>
      <c r="N37" s="229"/>
      <c r="O37" s="229"/>
      <c r="P37" s="229"/>
      <c r="Q37" s="229"/>
      <c r="R37" s="230"/>
    </row>
    <row r="38" spans="2:18" ht="15" customHeight="1" x14ac:dyDescent="0.25">
      <c r="B38" s="228"/>
      <c r="C38" s="229"/>
      <c r="D38" s="229"/>
      <c r="E38" s="229"/>
      <c r="F38" s="229"/>
      <c r="G38" s="229"/>
      <c r="H38" s="229"/>
      <c r="I38" s="229"/>
      <c r="J38" s="229"/>
      <c r="K38" s="229"/>
      <c r="L38" s="229"/>
      <c r="M38" s="229"/>
      <c r="N38" s="229"/>
      <c r="O38" s="229"/>
      <c r="P38" s="229"/>
      <c r="Q38" s="229"/>
      <c r="R38" s="230"/>
    </row>
    <row r="39" spans="2:18" ht="15" customHeight="1" x14ac:dyDescent="0.25">
      <c r="B39" s="228"/>
      <c r="C39" s="229"/>
      <c r="D39" s="229"/>
      <c r="E39" s="229"/>
      <c r="F39" s="229"/>
      <c r="G39" s="229"/>
      <c r="H39" s="229"/>
      <c r="I39" s="229"/>
      <c r="J39" s="229"/>
      <c r="K39" s="229"/>
      <c r="L39" s="229"/>
      <c r="M39" s="229"/>
      <c r="N39" s="229"/>
      <c r="O39" s="229"/>
      <c r="P39" s="229"/>
      <c r="Q39" s="229"/>
      <c r="R39" s="230"/>
    </row>
    <row r="40" spans="2:18" ht="21.75" customHeight="1" thickBot="1" x14ac:dyDescent="0.3">
      <c r="B40" s="231"/>
      <c r="C40" s="232"/>
      <c r="D40" s="232"/>
      <c r="E40" s="232"/>
      <c r="F40" s="232"/>
      <c r="G40" s="232"/>
      <c r="H40" s="232"/>
      <c r="I40" s="232"/>
      <c r="J40" s="232"/>
      <c r="K40" s="232"/>
      <c r="L40" s="232"/>
      <c r="M40" s="232"/>
      <c r="N40" s="232"/>
      <c r="O40" s="232"/>
      <c r="P40" s="232"/>
      <c r="Q40" s="232"/>
      <c r="R40" s="233"/>
    </row>
    <row r="41" spans="2:18" ht="15" customHeight="1" x14ac:dyDescent="0.25"/>
    <row r="42" spans="2:18" ht="15" customHeight="1" x14ac:dyDescent="0.25"/>
    <row r="43" spans="2:18" ht="15" customHeight="1" x14ac:dyDescent="0.25"/>
    <row r="44" spans="2:18" ht="15" customHeight="1" x14ac:dyDescent="0.25"/>
    <row r="45" spans="2:18" ht="15" customHeight="1" x14ac:dyDescent="0.25"/>
    <row r="46" spans="2:18" ht="15" customHeight="1" x14ac:dyDescent="0.25"/>
    <row r="47" spans="2:18" ht="15" customHeight="1" x14ac:dyDescent="0.25"/>
    <row r="48" spans="2:1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sheetData>
  <sortState ref="W8:X24">
    <sortCondition descending="1" ref="X8"/>
  </sortState>
  <mergeCells count="3">
    <mergeCell ref="C3:S3"/>
    <mergeCell ref="D5:E5"/>
    <mergeCell ref="B34:R40"/>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6B477-56BE-4CB1-BB56-08C344910A32}">
  <dimension ref="A1:AA65"/>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33.85546875" style="23" bestFit="1" customWidth="1"/>
    <col min="5" max="5" width="15.140625" style="23" customWidth="1"/>
    <col min="6" max="6" width="12.7109375" style="23" bestFit="1" customWidth="1"/>
    <col min="7" max="8" width="9.140625" style="23"/>
    <col min="9" max="9" width="11.85546875" style="23" customWidth="1"/>
    <col min="10" max="18" width="9.140625" style="23"/>
    <col min="19" max="19" width="9.85546875" style="23" customWidth="1"/>
    <col min="20" max="16384" width="9.140625" style="23"/>
  </cols>
  <sheetData>
    <row r="1" spans="1:27" ht="15.75" customHeight="1" thickBot="1" x14ac:dyDescent="0.3">
      <c r="A1" s="3"/>
    </row>
    <row r="2" spans="1:27" ht="15" customHeight="1" x14ac:dyDescent="0.25">
      <c r="B2" s="96"/>
      <c r="C2" s="97"/>
      <c r="D2" s="97"/>
      <c r="E2" s="97"/>
      <c r="F2" s="97"/>
      <c r="G2" s="97"/>
      <c r="H2" s="97"/>
      <c r="I2" s="97"/>
      <c r="J2" s="97"/>
      <c r="K2" s="97"/>
      <c r="L2" s="97"/>
      <c r="M2" s="97"/>
      <c r="N2" s="97"/>
      <c r="O2" s="97"/>
      <c r="P2" s="97"/>
      <c r="Q2" s="97"/>
      <c r="R2" s="97"/>
      <c r="S2" s="97"/>
      <c r="T2" s="25"/>
    </row>
    <row r="3" spans="1:27" ht="20.25" customHeight="1" x14ac:dyDescent="0.25">
      <c r="B3" s="98"/>
      <c r="C3" s="234" t="s">
        <v>159</v>
      </c>
      <c r="D3" s="235"/>
      <c r="E3" s="235"/>
      <c r="F3" s="235"/>
      <c r="G3" s="235"/>
      <c r="H3" s="235"/>
      <c r="I3" s="235"/>
      <c r="J3" s="235"/>
      <c r="K3" s="235"/>
      <c r="L3" s="235"/>
      <c r="M3" s="235"/>
      <c r="N3" s="235"/>
      <c r="O3" s="235"/>
      <c r="P3" s="235"/>
      <c r="Q3" s="235"/>
      <c r="R3" s="235"/>
      <c r="S3" s="235"/>
      <c r="T3" s="26"/>
      <c r="V3" s="46"/>
      <c r="W3" s="46"/>
      <c r="X3" s="46"/>
      <c r="Y3" s="46"/>
      <c r="Z3" s="46"/>
      <c r="AA3" s="46"/>
    </row>
    <row r="4" spans="1:27" ht="15.75" customHeight="1" x14ac:dyDescent="0.25">
      <c r="B4" s="98"/>
      <c r="C4" s="85" t="s">
        <v>271</v>
      </c>
      <c r="D4" s="33"/>
      <c r="E4" s="33"/>
      <c r="F4" s="33"/>
      <c r="G4" s="33"/>
      <c r="H4" s="33"/>
      <c r="I4" s="33"/>
      <c r="J4" s="33"/>
      <c r="K4" s="33"/>
      <c r="L4" s="33"/>
      <c r="M4" s="33"/>
      <c r="N4" s="33"/>
      <c r="O4" s="33"/>
      <c r="P4" s="33"/>
      <c r="Q4" s="33"/>
      <c r="R4" s="33"/>
      <c r="S4" s="33"/>
      <c r="T4" s="26"/>
      <c r="V4" s="46"/>
      <c r="W4" s="46"/>
      <c r="X4" s="46"/>
      <c r="Y4" s="46"/>
      <c r="Z4" s="46"/>
      <c r="AA4" s="46"/>
    </row>
    <row r="5" spans="1:27" ht="18" customHeight="1" x14ac:dyDescent="0.25">
      <c r="B5" s="98"/>
      <c r="C5" s="86" t="s">
        <v>272</v>
      </c>
      <c r="D5" s="236" t="s">
        <v>279</v>
      </c>
      <c r="E5" s="236"/>
      <c r="F5" s="33"/>
      <c r="G5" s="33"/>
      <c r="H5" s="33"/>
      <c r="I5" s="33"/>
      <c r="J5" s="33"/>
      <c r="K5" s="33"/>
      <c r="L5" s="33"/>
      <c r="M5" s="33"/>
      <c r="N5" s="33"/>
      <c r="O5" s="33"/>
      <c r="P5" s="33"/>
      <c r="Q5" s="33"/>
      <c r="R5" s="33"/>
      <c r="S5" s="33"/>
      <c r="T5" s="26"/>
      <c r="V5" s="193"/>
      <c r="W5" s="193"/>
      <c r="X5" s="193"/>
      <c r="Y5" s="193"/>
      <c r="Z5" s="46"/>
      <c r="AA5" s="46"/>
    </row>
    <row r="6" spans="1:27" ht="15" customHeight="1" x14ac:dyDescent="0.25">
      <c r="B6" s="98"/>
      <c r="C6" s="33"/>
      <c r="D6" s="33"/>
      <c r="E6" s="33"/>
      <c r="F6" s="33"/>
      <c r="G6" s="33"/>
      <c r="H6" s="33"/>
      <c r="I6" s="33"/>
      <c r="J6" s="33"/>
      <c r="K6" s="33"/>
      <c r="L6" s="33"/>
      <c r="M6" s="33"/>
      <c r="N6" s="33"/>
      <c r="O6" s="33"/>
      <c r="P6" s="33"/>
      <c r="Q6" s="33"/>
      <c r="R6" s="33"/>
      <c r="S6" s="33"/>
      <c r="T6" s="26"/>
      <c r="V6" s="193"/>
      <c r="W6" s="193"/>
      <c r="X6" s="193"/>
      <c r="Y6" s="193"/>
      <c r="Z6" s="46"/>
      <c r="AA6" s="46"/>
    </row>
    <row r="7" spans="1:27" ht="32.25" customHeight="1" x14ac:dyDescent="0.25">
      <c r="B7" s="98"/>
      <c r="C7" s="87" t="s">
        <v>0</v>
      </c>
      <c r="D7" s="88" t="s">
        <v>1</v>
      </c>
      <c r="E7" s="89" t="s">
        <v>2</v>
      </c>
      <c r="F7" s="33"/>
      <c r="G7" s="33"/>
      <c r="H7" s="33"/>
      <c r="I7" s="33"/>
      <c r="J7" s="33"/>
      <c r="K7" s="33"/>
      <c r="L7" s="33"/>
      <c r="M7" s="33"/>
      <c r="N7" s="33"/>
      <c r="O7" s="33"/>
      <c r="P7" s="33"/>
      <c r="Q7" s="33"/>
      <c r="R7" s="33"/>
      <c r="S7" s="33"/>
      <c r="T7" s="26"/>
      <c r="V7" s="193"/>
      <c r="W7" s="193" t="s">
        <v>22</v>
      </c>
      <c r="X7" s="194" t="s">
        <v>2</v>
      </c>
      <c r="Y7" s="193"/>
      <c r="Z7" s="46"/>
      <c r="AA7" s="46"/>
    </row>
    <row r="8" spans="1:27" ht="15" customHeight="1" x14ac:dyDescent="0.25">
      <c r="B8" s="98"/>
      <c r="C8" s="15" t="s">
        <v>34</v>
      </c>
      <c r="D8" s="17" t="s">
        <v>3</v>
      </c>
      <c r="E8" s="195">
        <v>3.1620000000000002E-2</v>
      </c>
      <c r="F8" s="33"/>
      <c r="G8" s="33"/>
      <c r="H8" s="33"/>
      <c r="I8" s="33"/>
      <c r="J8" s="33"/>
      <c r="K8" s="33"/>
      <c r="L8" s="33"/>
      <c r="M8" s="33"/>
      <c r="N8" s="33"/>
      <c r="O8" s="33"/>
      <c r="P8" s="33"/>
      <c r="Q8" s="33"/>
      <c r="R8" s="33"/>
      <c r="S8" s="33"/>
      <c r="T8" s="26"/>
      <c r="V8" s="193"/>
      <c r="W8" s="77" t="s">
        <v>3</v>
      </c>
      <c r="X8" s="79">
        <v>0.153559</v>
      </c>
      <c r="Y8" s="193"/>
      <c r="Z8" s="46"/>
      <c r="AA8" s="46"/>
    </row>
    <row r="9" spans="1:27" ht="15.75" customHeight="1" x14ac:dyDescent="0.25">
      <c r="B9" s="98"/>
      <c r="C9" s="16" t="s">
        <v>162</v>
      </c>
      <c r="D9" s="18" t="s">
        <v>119</v>
      </c>
      <c r="E9" s="21">
        <v>2.8975000000000001E-2</v>
      </c>
      <c r="F9" s="33"/>
      <c r="G9" s="33"/>
      <c r="H9" s="33"/>
      <c r="I9" s="33"/>
      <c r="J9" s="33"/>
      <c r="K9" s="33"/>
      <c r="L9" s="33"/>
      <c r="M9" s="33"/>
      <c r="N9" s="33"/>
      <c r="O9" s="33"/>
      <c r="P9" s="33"/>
      <c r="Q9" s="33"/>
      <c r="R9" s="33"/>
      <c r="S9" s="33"/>
      <c r="T9" s="26"/>
      <c r="V9" s="193"/>
      <c r="W9" s="77" t="s">
        <v>169</v>
      </c>
      <c r="X9" s="79">
        <v>6.3405000000000003E-2</v>
      </c>
      <c r="Y9" s="193"/>
      <c r="Z9" s="46"/>
      <c r="AA9" s="46"/>
    </row>
    <row r="10" spans="1:27" ht="15" customHeight="1" x14ac:dyDescent="0.25">
      <c r="B10" s="98"/>
      <c r="C10" s="16" t="s">
        <v>30</v>
      </c>
      <c r="D10" s="18" t="s">
        <v>3</v>
      </c>
      <c r="E10" s="21">
        <v>2.7195E-2</v>
      </c>
      <c r="F10" s="33"/>
      <c r="G10" s="33"/>
      <c r="H10" s="33"/>
      <c r="I10" s="33"/>
      <c r="J10" s="33"/>
      <c r="K10" s="33"/>
      <c r="L10" s="33"/>
      <c r="M10" s="33"/>
      <c r="N10" s="33"/>
      <c r="O10" s="33"/>
      <c r="P10" s="33"/>
      <c r="Q10" s="33"/>
      <c r="R10" s="33"/>
      <c r="S10" s="33"/>
      <c r="T10" s="26"/>
      <c r="V10" s="193"/>
      <c r="W10" s="77" t="s">
        <v>119</v>
      </c>
      <c r="X10" s="79">
        <v>6.1228000000000005E-2</v>
      </c>
      <c r="Y10" s="193"/>
      <c r="Z10" s="46"/>
      <c r="AA10" s="46"/>
    </row>
    <row r="11" spans="1:27" ht="15" customHeight="1" x14ac:dyDescent="0.25">
      <c r="B11" s="98"/>
      <c r="C11" s="16" t="s">
        <v>33</v>
      </c>
      <c r="D11" s="18" t="s">
        <v>6</v>
      </c>
      <c r="E11" s="21">
        <v>2.5527000000000001E-2</v>
      </c>
      <c r="F11" s="33"/>
      <c r="G11" s="33"/>
      <c r="H11" s="33"/>
      <c r="I11" s="33"/>
      <c r="J11" s="33"/>
      <c r="K11" s="33"/>
      <c r="L11" s="33"/>
      <c r="M11" s="33"/>
      <c r="N11" s="33"/>
      <c r="O11" s="33"/>
      <c r="P11" s="33"/>
      <c r="Q11" s="33"/>
      <c r="R11" s="33"/>
      <c r="S11" s="33"/>
      <c r="T11" s="26"/>
      <c r="V11" s="193"/>
      <c r="W11" s="77" t="s">
        <v>4</v>
      </c>
      <c r="X11" s="79">
        <v>6.0592000000000007E-2</v>
      </c>
      <c r="Y11" s="193"/>
      <c r="Z11" s="46"/>
      <c r="AA11" s="46"/>
    </row>
    <row r="12" spans="1:27" ht="15" customHeight="1" x14ac:dyDescent="0.25">
      <c r="B12" s="98"/>
      <c r="C12" s="16" t="s">
        <v>38</v>
      </c>
      <c r="D12" s="18" t="s">
        <v>3</v>
      </c>
      <c r="E12" s="21">
        <v>2.5343999999999998E-2</v>
      </c>
      <c r="F12" s="33"/>
      <c r="G12" s="33"/>
      <c r="H12" s="33"/>
      <c r="I12" s="33"/>
      <c r="J12" s="33"/>
      <c r="K12" s="33"/>
      <c r="L12" s="33"/>
      <c r="M12" s="33"/>
      <c r="N12" s="33"/>
      <c r="O12" s="33"/>
      <c r="P12" s="33"/>
      <c r="Q12" s="33"/>
      <c r="R12" s="33"/>
      <c r="S12" s="33"/>
      <c r="T12" s="26"/>
      <c r="V12" s="193"/>
      <c r="W12" s="77" t="s">
        <v>174</v>
      </c>
      <c r="X12" s="79">
        <v>5.9070999999999999E-2</v>
      </c>
      <c r="Y12" s="193"/>
      <c r="Z12" s="46"/>
      <c r="AA12" s="46"/>
    </row>
    <row r="13" spans="1:27" ht="15" customHeight="1" x14ac:dyDescent="0.25">
      <c r="B13" s="98"/>
      <c r="C13" s="16" t="s">
        <v>103</v>
      </c>
      <c r="D13" s="18" t="s">
        <v>11</v>
      </c>
      <c r="E13" s="21">
        <v>2.4244000000000002E-2</v>
      </c>
      <c r="F13" s="33"/>
      <c r="G13" s="33"/>
      <c r="H13" s="33"/>
      <c r="I13" s="33"/>
      <c r="J13" s="33"/>
      <c r="K13" s="33"/>
      <c r="L13" s="33"/>
      <c r="M13" s="33"/>
      <c r="N13" s="33"/>
      <c r="O13" s="33"/>
      <c r="P13" s="33"/>
      <c r="Q13" s="33"/>
      <c r="R13" s="33"/>
      <c r="S13" s="33"/>
      <c r="T13" s="26"/>
      <c r="V13" s="193"/>
      <c r="W13" s="77" t="s">
        <v>16</v>
      </c>
      <c r="X13" s="79">
        <v>4.9016000000000004E-2</v>
      </c>
      <c r="Y13" s="193"/>
      <c r="Z13" s="46"/>
      <c r="AA13" s="46"/>
    </row>
    <row r="14" spans="1:27" ht="15" customHeight="1" x14ac:dyDescent="0.25">
      <c r="B14" s="98"/>
      <c r="C14" s="16" t="s">
        <v>163</v>
      </c>
      <c r="D14" s="18" t="s">
        <v>168</v>
      </c>
      <c r="E14" s="21">
        <v>2.2713000000000001E-2</v>
      </c>
      <c r="F14" s="33"/>
      <c r="G14" s="33"/>
      <c r="H14" s="33"/>
      <c r="I14" s="33"/>
      <c r="J14" s="33"/>
      <c r="K14" s="33"/>
      <c r="L14" s="33"/>
      <c r="M14" s="33"/>
      <c r="N14" s="33"/>
      <c r="O14" s="33"/>
      <c r="P14" s="33"/>
      <c r="Q14" s="33"/>
      <c r="R14" s="33"/>
      <c r="S14" s="33"/>
      <c r="T14" s="26"/>
      <c r="V14" s="193"/>
      <c r="W14" s="77" t="s">
        <v>24</v>
      </c>
      <c r="X14" s="79">
        <v>4.7878000000000004E-2</v>
      </c>
      <c r="Y14" s="193"/>
      <c r="Z14" s="46"/>
      <c r="AA14" s="46"/>
    </row>
    <row r="15" spans="1:27" ht="15.75" customHeight="1" x14ac:dyDescent="0.25">
      <c r="B15" s="98"/>
      <c r="C15" s="16" t="s">
        <v>31</v>
      </c>
      <c r="D15" s="18" t="s">
        <v>4</v>
      </c>
      <c r="E15" s="21">
        <v>2.2027999999999999E-2</v>
      </c>
      <c r="F15" s="33"/>
      <c r="G15" s="33"/>
      <c r="H15" s="33"/>
      <c r="I15" s="33"/>
      <c r="J15" s="33"/>
      <c r="K15" s="33"/>
      <c r="L15" s="33"/>
      <c r="M15" s="33"/>
      <c r="N15" s="33"/>
      <c r="O15" s="33"/>
      <c r="P15" s="33"/>
      <c r="Q15" s="33"/>
      <c r="R15" s="33"/>
      <c r="S15" s="33"/>
      <c r="T15" s="26"/>
      <c r="V15" s="193"/>
      <c r="W15" s="77" t="s">
        <v>172</v>
      </c>
      <c r="X15" s="79">
        <v>3.8415000000000005E-2</v>
      </c>
      <c r="Y15" s="193"/>
      <c r="Z15" s="46"/>
      <c r="AA15" s="46"/>
    </row>
    <row r="16" spans="1:27" ht="15" customHeight="1" x14ac:dyDescent="0.25">
      <c r="B16" s="98"/>
      <c r="C16" s="16" t="s">
        <v>171</v>
      </c>
      <c r="D16" s="18" t="s">
        <v>172</v>
      </c>
      <c r="E16" s="21">
        <v>2.1627E-2</v>
      </c>
      <c r="F16" s="33"/>
      <c r="G16" s="33"/>
      <c r="H16" s="33"/>
      <c r="I16" s="33"/>
      <c r="J16" s="33"/>
      <c r="K16" s="33"/>
      <c r="L16" s="33"/>
      <c r="M16" s="33"/>
      <c r="N16" s="33"/>
      <c r="O16" s="33"/>
      <c r="P16" s="33"/>
      <c r="Q16" s="33"/>
      <c r="R16" s="33"/>
      <c r="S16" s="33"/>
      <c r="T16" s="26"/>
      <c r="V16" s="193"/>
      <c r="W16" s="77" t="s">
        <v>23</v>
      </c>
      <c r="X16" s="79">
        <v>3.6962000000000002E-2</v>
      </c>
      <c r="Y16" s="193"/>
      <c r="Z16" s="46"/>
      <c r="AA16" s="46"/>
    </row>
    <row r="17" spans="2:27" ht="15.75" customHeight="1" x14ac:dyDescent="0.25">
      <c r="B17" s="98"/>
      <c r="C17" s="16" t="s">
        <v>235</v>
      </c>
      <c r="D17" s="18" t="s">
        <v>3</v>
      </c>
      <c r="E17" s="21">
        <v>1.9484999999999999E-2</v>
      </c>
      <c r="F17" s="33"/>
      <c r="G17" s="33"/>
      <c r="H17" s="33"/>
      <c r="I17" s="33"/>
      <c r="J17" s="33"/>
      <c r="K17" s="33"/>
      <c r="L17" s="33"/>
      <c r="M17" s="33"/>
      <c r="N17" s="33"/>
      <c r="O17" s="33"/>
      <c r="P17" s="33"/>
      <c r="Q17" s="33"/>
      <c r="R17" s="33"/>
      <c r="S17" s="33"/>
      <c r="T17" s="26"/>
      <c r="V17" s="193"/>
      <c r="W17" s="77" t="s">
        <v>6</v>
      </c>
      <c r="X17" s="79">
        <v>3.5837000000000001E-2</v>
      </c>
      <c r="Y17" s="193"/>
      <c r="Z17" s="46"/>
      <c r="AA17" s="46"/>
    </row>
    <row r="18" spans="2:27" ht="15.75" x14ac:dyDescent="0.25">
      <c r="B18" s="98"/>
      <c r="C18" s="16" t="s">
        <v>249</v>
      </c>
      <c r="D18" s="18" t="s">
        <v>119</v>
      </c>
      <c r="E18" s="21">
        <v>1.9299E-2</v>
      </c>
      <c r="F18" s="33"/>
      <c r="G18" s="33"/>
      <c r="H18" s="33"/>
      <c r="I18" s="33"/>
      <c r="J18" s="33"/>
      <c r="K18" s="33"/>
      <c r="L18" s="33"/>
      <c r="M18" s="33"/>
      <c r="N18" s="33"/>
      <c r="O18" s="33"/>
      <c r="P18" s="33"/>
      <c r="Q18" s="33"/>
      <c r="R18" s="33"/>
      <c r="S18" s="33"/>
      <c r="T18" s="26"/>
      <c r="V18" s="193"/>
      <c r="W18" s="77" t="s">
        <v>168</v>
      </c>
      <c r="X18" s="79">
        <v>3.2436E-2</v>
      </c>
      <c r="Y18" s="193"/>
      <c r="Z18" s="46"/>
      <c r="AA18" s="46"/>
    </row>
    <row r="19" spans="2:27" ht="15.75" customHeight="1" x14ac:dyDescent="0.25">
      <c r="B19" s="98"/>
      <c r="C19" s="16" t="s">
        <v>35</v>
      </c>
      <c r="D19" s="18" t="s">
        <v>169</v>
      </c>
      <c r="E19" s="21">
        <v>1.9039E-2</v>
      </c>
      <c r="F19" s="33"/>
      <c r="G19" s="33"/>
      <c r="H19" s="33"/>
      <c r="I19" s="33"/>
      <c r="J19" s="33"/>
      <c r="K19" s="33"/>
      <c r="L19" s="33"/>
      <c r="M19" s="33"/>
      <c r="N19" s="33"/>
      <c r="O19" s="33"/>
      <c r="P19" s="33"/>
      <c r="Q19" s="33"/>
      <c r="R19" s="33"/>
      <c r="S19" s="33"/>
      <c r="T19" s="26"/>
      <c r="V19" s="193"/>
      <c r="W19" s="77" t="s">
        <v>122</v>
      </c>
      <c r="X19" s="79">
        <v>3.0863000000000002E-2</v>
      </c>
      <c r="Y19" s="193"/>
      <c r="Z19" s="46"/>
      <c r="AA19" s="46"/>
    </row>
    <row r="20" spans="2:27" ht="15" customHeight="1" x14ac:dyDescent="0.25">
      <c r="B20" s="98"/>
      <c r="C20" s="16" t="s">
        <v>248</v>
      </c>
      <c r="D20" s="18" t="s">
        <v>177</v>
      </c>
      <c r="E20" s="21">
        <v>1.8966E-2</v>
      </c>
      <c r="F20" s="33"/>
      <c r="G20" s="33"/>
      <c r="H20" s="33"/>
      <c r="I20" s="33"/>
      <c r="J20" s="33"/>
      <c r="K20" s="33"/>
      <c r="L20" s="33"/>
      <c r="M20" s="33"/>
      <c r="N20" s="33"/>
      <c r="O20" s="33"/>
      <c r="P20" s="33"/>
      <c r="Q20" s="33"/>
      <c r="R20" s="33"/>
      <c r="S20" s="33"/>
      <c r="T20" s="26"/>
      <c r="V20" s="193"/>
      <c r="W20" s="77" t="s">
        <v>11</v>
      </c>
      <c r="X20" s="79">
        <v>2.4244000000000002E-2</v>
      </c>
      <c r="Y20" s="193"/>
      <c r="Z20" s="46"/>
      <c r="AA20" s="46"/>
    </row>
    <row r="21" spans="2:27" ht="15" customHeight="1" x14ac:dyDescent="0.25">
      <c r="B21" s="98"/>
      <c r="C21" s="16" t="s">
        <v>29</v>
      </c>
      <c r="D21" s="18" t="s">
        <v>169</v>
      </c>
      <c r="E21" s="21">
        <v>1.8894000000000001E-2</v>
      </c>
      <c r="F21" s="33"/>
      <c r="G21" s="33"/>
      <c r="H21" s="33"/>
      <c r="I21" s="33"/>
      <c r="J21" s="33"/>
      <c r="K21" s="33"/>
      <c r="L21" s="33"/>
      <c r="M21" s="33"/>
      <c r="N21" s="33"/>
      <c r="O21" s="33"/>
      <c r="P21" s="33"/>
      <c r="Q21" s="33"/>
      <c r="R21" s="33"/>
      <c r="S21" s="33"/>
      <c r="T21" s="26"/>
      <c r="V21" s="193"/>
      <c r="W21" s="77" t="s">
        <v>120</v>
      </c>
      <c r="X21" s="79">
        <v>2.1677999999999999E-2</v>
      </c>
      <c r="Y21" s="193"/>
      <c r="Z21" s="46"/>
      <c r="AA21" s="46"/>
    </row>
    <row r="22" spans="2:27" ht="15" customHeight="1" x14ac:dyDescent="0.25">
      <c r="B22" s="98"/>
      <c r="C22" s="16" t="s">
        <v>236</v>
      </c>
      <c r="D22" s="18" t="s">
        <v>23</v>
      </c>
      <c r="E22" s="21">
        <v>1.8671E-2</v>
      </c>
      <c r="F22" s="33"/>
      <c r="G22" s="33"/>
      <c r="H22" s="33"/>
      <c r="I22" s="33"/>
      <c r="J22" s="33"/>
      <c r="K22" s="33"/>
      <c r="L22" s="33"/>
      <c r="M22" s="33"/>
      <c r="N22" s="33"/>
      <c r="O22" s="33"/>
      <c r="P22" s="33"/>
      <c r="Q22" s="33"/>
      <c r="R22" s="33"/>
      <c r="S22" s="33"/>
      <c r="T22" s="26"/>
      <c r="V22" s="193"/>
      <c r="W22" s="77" t="s">
        <v>175</v>
      </c>
      <c r="X22" s="79">
        <v>2.0936999999999997E-2</v>
      </c>
      <c r="Y22" s="193"/>
      <c r="Z22" s="46"/>
      <c r="AA22" s="46"/>
    </row>
    <row r="23" spans="2:27" ht="15" customHeight="1" x14ac:dyDescent="0.25">
      <c r="B23" s="98"/>
      <c r="C23" s="90"/>
      <c r="D23" s="90"/>
      <c r="E23" s="188"/>
      <c r="F23" s="33"/>
      <c r="G23" s="33"/>
      <c r="H23" s="33"/>
      <c r="I23" s="33"/>
      <c r="J23" s="33"/>
      <c r="K23" s="33"/>
      <c r="L23" s="33"/>
      <c r="M23" s="33"/>
      <c r="N23" s="33"/>
      <c r="O23" s="33"/>
      <c r="P23" s="33"/>
      <c r="Q23" s="33"/>
      <c r="R23" s="33"/>
      <c r="S23" s="33"/>
      <c r="T23" s="26"/>
      <c r="V23" s="193"/>
      <c r="W23" s="77" t="s">
        <v>176</v>
      </c>
      <c r="X23" s="79">
        <v>1.993E-2</v>
      </c>
      <c r="Y23" s="193"/>
      <c r="Z23" s="46"/>
      <c r="AA23" s="46"/>
    </row>
    <row r="24" spans="2:27" ht="15" customHeight="1" x14ac:dyDescent="0.25">
      <c r="B24" s="98"/>
      <c r="C24" s="92" t="s">
        <v>64</v>
      </c>
      <c r="D24" s="93"/>
      <c r="E24" s="94">
        <f>SUM(E8:E22)</f>
        <v>0.34362700000000002</v>
      </c>
      <c r="F24" s="33"/>
      <c r="G24" s="33"/>
      <c r="H24" s="33"/>
      <c r="I24" s="33"/>
      <c r="J24" s="33"/>
      <c r="K24" s="33"/>
      <c r="L24" s="33"/>
      <c r="M24" s="33"/>
      <c r="N24" s="33"/>
      <c r="O24" s="33"/>
      <c r="P24" s="33"/>
      <c r="Q24" s="33"/>
      <c r="R24" s="33"/>
      <c r="S24" s="33"/>
      <c r="T24" s="26"/>
      <c r="V24" s="193"/>
      <c r="W24" s="77" t="s">
        <v>177</v>
      </c>
      <c r="X24" s="79">
        <v>1.8966E-2</v>
      </c>
      <c r="Y24" s="193"/>
      <c r="Z24" s="46"/>
      <c r="AA24" s="46"/>
    </row>
    <row r="25" spans="2:27" ht="15" customHeight="1" x14ac:dyDescent="0.25">
      <c r="B25" s="98"/>
      <c r="F25" s="33"/>
      <c r="G25" s="33"/>
      <c r="H25" s="33"/>
      <c r="I25" s="33"/>
      <c r="J25" s="33"/>
      <c r="K25" s="33"/>
      <c r="L25" s="33"/>
      <c r="M25" s="33"/>
      <c r="N25" s="33"/>
      <c r="O25" s="33"/>
      <c r="P25" s="33"/>
      <c r="Q25" s="33"/>
      <c r="R25" s="33"/>
      <c r="S25" s="33"/>
      <c r="T25" s="26"/>
      <c r="V25" s="193"/>
      <c r="W25" s="77" t="s">
        <v>170</v>
      </c>
      <c r="X25" s="79">
        <v>1.7860999999999998E-2</v>
      </c>
      <c r="Y25" s="193"/>
      <c r="Z25" s="46"/>
      <c r="AA25" s="46"/>
    </row>
    <row r="26" spans="2:27" ht="15" customHeight="1" x14ac:dyDescent="0.25">
      <c r="B26" s="98"/>
      <c r="F26" s="33"/>
      <c r="G26" s="33"/>
      <c r="H26" s="33"/>
      <c r="I26" s="33"/>
      <c r="J26" s="33"/>
      <c r="K26" s="33"/>
      <c r="L26" s="33"/>
      <c r="M26" s="33"/>
      <c r="N26" s="33"/>
      <c r="O26" s="33"/>
      <c r="P26" s="33"/>
      <c r="Q26" s="33"/>
      <c r="R26" s="33"/>
      <c r="S26" s="33"/>
      <c r="T26" s="26"/>
      <c r="V26" s="193"/>
      <c r="W26" s="77" t="s">
        <v>188</v>
      </c>
      <c r="X26" s="79">
        <v>1.6778000000000001E-2</v>
      </c>
      <c r="Y26" s="193"/>
      <c r="Z26" s="46"/>
      <c r="AA26" s="46"/>
    </row>
    <row r="27" spans="2:27" ht="15" customHeight="1" x14ac:dyDescent="0.25">
      <c r="B27" s="98"/>
      <c r="D27" s="196"/>
      <c r="F27" s="33"/>
      <c r="G27" s="33"/>
      <c r="H27" s="33"/>
      <c r="I27" s="33"/>
      <c r="J27" s="33"/>
      <c r="K27" s="33"/>
      <c r="L27" s="33"/>
      <c r="M27" s="33"/>
      <c r="N27" s="33"/>
      <c r="O27" s="33"/>
      <c r="P27" s="33"/>
      <c r="Q27" s="33"/>
      <c r="R27" s="33"/>
      <c r="S27" s="33"/>
      <c r="T27" s="26"/>
      <c r="V27" s="193"/>
      <c r="W27" s="77" t="s">
        <v>136</v>
      </c>
      <c r="X27" s="79">
        <v>1.6521000000000001E-2</v>
      </c>
      <c r="Y27" s="193"/>
      <c r="Z27" s="46"/>
      <c r="AA27" s="46"/>
    </row>
    <row r="28" spans="2:27" ht="15" customHeight="1" x14ac:dyDescent="0.25">
      <c r="B28" s="98"/>
      <c r="F28" s="33"/>
      <c r="G28" s="33"/>
      <c r="H28" s="33"/>
      <c r="I28" s="33"/>
      <c r="J28" s="33"/>
      <c r="K28" s="33"/>
      <c r="L28" s="33"/>
      <c r="M28" s="33"/>
      <c r="N28" s="33"/>
      <c r="O28" s="33"/>
      <c r="P28" s="33"/>
      <c r="Q28" s="33"/>
      <c r="R28" s="33"/>
      <c r="S28" s="33"/>
      <c r="T28" s="26"/>
      <c r="V28" s="193"/>
      <c r="W28" s="77" t="s">
        <v>181</v>
      </c>
      <c r="X28" s="79">
        <v>1.5989E-2</v>
      </c>
      <c r="Y28" s="193"/>
      <c r="Z28" s="46"/>
      <c r="AA28" s="46"/>
    </row>
    <row r="29" spans="2:27" ht="15" customHeight="1" x14ac:dyDescent="0.25">
      <c r="B29" s="98"/>
      <c r="F29" s="33"/>
      <c r="G29" s="33"/>
      <c r="H29" s="33"/>
      <c r="I29" s="33"/>
      <c r="J29" s="33"/>
      <c r="K29" s="33"/>
      <c r="L29" s="33"/>
      <c r="M29" s="33"/>
      <c r="N29" s="33"/>
      <c r="O29" s="33"/>
      <c r="P29" s="33"/>
      <c r="Q29" s="33"/>
      <c r="R29" s="33"/>
      <c r="S29" s="33"/>
      <c r="T29" s="26"/>
      <c r="V29" s="193"/>
      <c r="W29" s="68" t="s">
        <v>25</v>
      </c>
      <c r="X29" s="69">
        <v>1.5225000000000001E-2</v>
      </c>
      <c r="Y29" s="193"/>
      <c r="Z29" s="46"/>
      <c r="AA29" s="46"/>
    </row>
    <row r="30" spans="2:27" ht="15" customHeight="1" x14ac:dyDescent="0.25">
      <c r="B30" s="98"/>
      <c r="F30" s="33"/>
      <c r="G30" s="33"/>
      <c r="H30" s="33"/>
      <c r="I30" s="33"/>
      <c r="J30" s="33"/>
      <c r="K30" s="33"/>
      <c r="L30" s="33"/>
      <c r="M30" s="33"/>
      <c r="N30" s="33"/>
      <c r="O30" s="33"/>
      <c r="P30" s="33"/>
      <c r="Q30" s="33"/>
      <c r="R30" s="33"/>
      <c r="S30" s="33"/>
      <c r="T30" s="26"/>
      <c r="V30" s="193"/>
      <c r="W30" s="68" t="s">
        <v>182</v>
      </c>
      <c r="X30" s="78">
        <v>1.4929999999999999E-2</v>
      </c>
      <c r="Y30" s="193"/>
      <c r="Z30" s="46"/>
      <c r="AA30" s="46"/>
    </row>
    <row r="31" spans="2:27" ht="15" customHeight="1" x14ac:dyDescent="0.25">
      <c r="B31" s="98"/>
      <c r="F31" s="33"/>
      <c r="G31" s="33"/>
      <c r="H31" s="33"/>
      <c r="I31" s="33"/>
      <c r="J31" s="33"/>
      <c r="K31" s="33"/>
      <c r="L31" s="33"/>
      <c r="M31" s="33"/>
      <c r="N31" s="33"/>
      <c r="O31" s="33"/>
      <c r="P31" s="33"/>
      <c r="Q31" s="33"/>
      <c r="R31" s="33"/>
      <c r="S31" s="33"/>
      <c r="T31" s="26"/>
      <c r="V31" s="193"/>
      <c r="W31" s="80" t="s">
        <v>180</v>
      </c>
      <c r="X31" s="78">
        <v>1.3845E-2</v>
      </c>
      <c r="Y31" s="193"/>
      <c r="Z31" s="46"/>
      <c r="AA31" s="46"/>
    </row>
    <row r="32" spans="2:27" ht="15" customHeight="1" x14ac:dyDescent="0.25">
      <c r="B32" s="98"/>
      <c r="F32" s="33"/>
      <c r="G32" s="33"/>
      <c r="H32" s="33"/>
      <c r="I32" s="33"/>
      <c r="J32" s="33"/>
      <c r="K32" s="33"/>
      <c r="L32" s="33"/>
      <c r="M32" s="33"/>
      <c r="N32" s="33"/>
      <c r="O32" s="33"/>
      <c r="P32" s="33"/>
      <c r="Q32" s="33"/>
      <c r="R32" s="33"/>
      <c r="S32" s="33"/>
      <c r="T32" s="26"/>
      <c r="V32" s="193"/>
      <c r="W32" s="80" t="s">
        <v>12</v>
      </c>
      <c r="X32" s="78">
        <v>1.3464E-2</v>
      </c>
      <c r="Y32" s="193"/>
      <c r="Z32" s="46"/>
      <c r="AA32" s="46"/>
    </row>
    <row r="33" spans="2:27" ht="15" customHeight="1" x14ac:dyDescent="0.25">
      <c r="B33" s="98"/>
      <c r="F33" s="33"/>
      <c r="G33" s="33"/>
      <c r="H33" s="33"/>
      <c r="I33" s="33"/>
      <c r="J33" s="33"/>
      <c r="K33" s="33"/>
      <c r="L33" s="33"/>
      <c r="M33" s="33"/>
      <c r="N33" s="33"/>
      <c r="O33" s="33"/>
      <c r="P33" s="33"/>
      <c r="Q33" s="33"/>
      <c r="R33" s="33"/>
      <c r="S33" s="33"/>
      <c r="T33" s="26"/>
      <c r="V33" s="193"/>
      <c r="W33" s="80" t="s">
        <v>179</v>
      </c>
      <c r="X33" s="78">
        <v>1.3305000000000001E-2</v>
      </c>
      <c r="Y33" s="193"/>
      <c r="Z33" s="46"/>
      <c r="AA33" s="46"/>
    </row>
    <row r="34" spans="2:27" ht="15" customHeight="1" x14ac:dyDescent="0.25">
      <c r="B34" s="98"/>
      <c r="F34" s="33"/>
      <c r="G34" s="33"/>
      <c r="H34" s="33"/>
      <c r="I34" s="33"/>
      <c r="J34" s="33"/>
      <c r="K34" s="33"/>
      <c r="L34" s="33"/>
      <c r="M34" s="33"/>
      <c r="N34" s="33"/>
      <c r="O34" s="33"/>
      <c r="P34" s="33"/>
      <c r="Q34" s="33"/>
      <c r="R34" s="33"/>
      <c r="S34" s="33"/>
      <c r="T34" s="26"/>
      <c r="V34" s="193"/>
      <c r="W34" s="193" t="s">
        <v>178</v>
      </c>
      <c r="X34" s="78">
        <v>1.281E-2</v>
      </c>
      <c r="Y34" s="193"/>
      <c r="Z34" s="46"/>
      <c r="AA34" s="46"/>
    </row>
    <row r="35" spans="2:27" ht="15" customHeight="1" x14ac:dyDescent="0.25">
      <c r="B35" s="98"/>
      <c r="F35" s="33"/>
      <c r="G35" s="33"/>
      <c r="H35" s="33"/>
      <c r="I35" s="33"/>
      <c r="J35" s="33"/>
      <c r="K35" s="33"/>
      <c r="L35" s="33"/>
      <c r="M35" s="33"/>
      <c r="N35" s="33"/>
      <c r="O35" s="33"/>
      <c r="P35" s="33"/>
      <c r="Q35" s="33"/>
      <c r="R35" s="33"/>
      <c r="S35" s="33"/>
      <c r="T35" s="26"/>
      <c r="V35" s="193"/>
      <c r="W35" s="193" t="s">
        <v>27</v>
      </c>
      <c r="X35" s="78">
        <v>1.0026E-2</v>
      </c>
      <c r="Y35" s="193"/>
      <c r="Z35" s="46"/>
      <c r="AA35" s="46"/>
    </row>
    <row r="36" spans="2:27" ht="15" customHeight="1" x14ac:dyDescent="0.25">
      <c r="B36" s="98"/>
      <c r="F36" s="33"/>
      <c r="G36" s="33"/>
      <c r="H36" s="33"/>
      <c r="I36" s="33"/>
      <c r="J36" s="33"/>
      <c r="K36" s="33"/>
      <c r="L36" s="33"/>
      <c r="M36" s="33"/>
      <c r="N36" s="33"/>
      <c r="O36" s="33"/>
      <c r="P36" s="33"/>
      <c r="Q36" s="33"/>
      <c r="R36" s="33"/>
      <c r="S36" s="33"/>
      <c r="T36" s="26"/>
      <c r="V36" s="193"/>
      <c r="W36" s="193" t="s">
        <v>215</v>
      </c>
      <c r="X36" s="78">
        <v>7.6229999999999996E-3</v>
      </c>
      <c r="Y36" s="193"/>
      <c r="Z36" s="46"/>
      <c r="AA36" s="46"/>
    </row>
    <row r="37" spans="2:27" ht="15" customHeight="1" x14ac:dyDescent="0.25">
      <c r="B37" s="98"/>
      <c r="C37" s="33"/>
      <c r="D37" s="33"/>
      <c r="E37" s="33"/>
      <c r="F37" s="33"/>
      <c r="G37" s="33"/>
      <c r="H37" s="33"/>
      <c r="I37" s="33"/>
      <c r="J37" s="33"/>
      <c r="K37" s="33"/>
      <c r="L37" s="33"/>
      <c r="M37" s="33"/>
      <c r="N37" s="33"/>
      <c r="O37" s="33"/>
      <c r="P37" s="33"/>
      <c r="Q37" s="33"/>
      <c r="R37" s="33"/>
      <c r="S37" s="33"/>
      <c r="T37" s="26"/>
    </row>
    <row r="38" spans="2:27" ht="15" customHeight="1" thickBot="1" x14ac:dyDescent="0.3">
      <c r="B38" s="99"/>
      <c r="C38" s="100"/>
      <c r="D38" s="100"/>
      <c r="E38" s="100"/>
      <c r="F38" s="100"/>
      <c r="G38" s="100"/>
      <c r="H38" s="100"/>
      <c r="I38" s="100"/>
      <c r="J38" s="100"/>
      <c r="K38" s="100"/>
      <c r="L38" s="100"/>
      <c r="M38" s="100"/>
      <c r="N38" s="100"/>
      <c r="O38" s="100"/>
      <c r="P38" s="100"/>
      <c r="Q38" s="100"/>
      <c r="R38" s="100"/>
      <c r="S38" s="100"/>
      <c r="T38" s="27"/>
    </row>
    <row r="39" spans="2:27" ht="15" customHeight="1" thickBot="1" x14ac:dyDescent="0.3"/>
    <row r="40" spans="2:27" ht="15" customHeight="1" x14ac:dyDescent="0.25">
      <c r="B40" s="225" t="s">
        <v>117</v>
      </c>
      <c r="C40" s="226"/>
      <c r="D40" s="226"/>
      <c r="E40" s="226"/>
      <c r="F40" s="226"/>
      <c r="G40" s="226"/>
      <c r="H40" s="226"/>
      <c r="I40" s="226"/>
      <c r="J40" s="226"/>
      <c r="K40" s="226"/>
      <c r="L40" s="226"/>
      <c r="M40" s="226"/>
      <c r="N40" s="226"/>
      <c r="O40" s="226"/>
      <c r="P40" s="226"/>
      <c r="Q40" s="226"/>
      <c r="R40" s="227"/>
    </row>
    <row r="41" spans="2:27" ht="15" customHeight="1" x14ac:dyDescent="0.25">
      <c r="B41" s="228"/>
      <c r="C41" s="229"/>
      <c r="D41" s="229"/>
      <c r="E41" s="229"/>
      <c r="F41" s="229"/>
      <c r="G41" s="229"/>
      <c r="H41" s="229"/>
      <c r="I41" s="229"/>
      <c r="J41" s="229"/>
      <c r="K41" s="229"/>
      <c r="L41" s="229"/>
      <c r="M41" s="229"/>
      <c r="N41" s="229"/>
      <c r="O41" s="229"/>
      <c r="P41" s="229"/>
      <c r="Q41" s="229"/>
      <c r="R41" s="230"/>
    </row>
    <row r="42" spans="2:27" ht="15" customHeight="1" x14ac:dyDescent="0.25">
      <c r="B42" s="228"/>
      <c r="C42" s="229"/>
      <c r="D42" s="229"/>
      <c r="E42" s="229"/>
      <c r="F42" s="229"/>
      <c r="G42" s="229"/>
      <c r="H42" s="229"/>
      <c r="I42" s="229"/>
      <c r="J42" s="229"/>
      <c r="K42" s="229"/>
      <c r="L42" s="229"/>
      <c r="M42" s="229"/>
      <c r="N42" s="229"/>
      <c r="O42" s="229"/>
      <c r="P42" s="229"/>
      <c r="Q42" s="229"/>
      <c r="R42" s="230"/>
    </row>
    <row r="43" spans="2:27" ht="15" customHeight="1" x14ac:dyDescent="0.25">
      <c r="B43" s="228"/>
      <c r="C43" s="229"/>
      <c r="D43" s="229"/>
      <c r="E43" s="229"/>
      <c r="F43" s="229"/>
      <c r="G43" s="229"/>
      <c r="H43" s="229"/>
      <c r="I43" s="229"/>
      <c r="J43" s="229"/>
      <c r="K43" s="229"/>
      <c r="L43" s="229"/>
      <c r="M43" s="229"/>
      <c r="N43" s="229"/>
      <c r="O43" s="229"/>
      <c r="P43" s="229"/>
      <c r="Q43" s="229"/>
      <c r="R43" s="230"/>
    </row>
    <row r="44" spans="2:27" ht="15" customHeight="1" x14ac:dyDescent="0.25">
      <c r="B44" s="228"/>
      <c r="C44" s="229"/>
      <c r="D44" s="229"/>
      <c r="E44" s="229"/>
      <c r="F44" s="229"/>
      <c r="G44" s="229"/>
      <c r="H44" s="229"/>
      <c r="I44" s="229"/>
      <c r="J44" s="229"/>
      <c r="K44" s="229"/>
      <c r="L44" s="229"/>
      <c r="M44" s="229"/>
      <c r="N44" s="229"/>
      <c r="O44" s="229"/>
      <c r="P44" s="229"/>
      <c r="Q44" s="229"/>
      <c r="R44" s="230"/>
    </row>
    <row r="45" spans="2:27" ht="15" customHeight="1" x14ac:dyDescent="0.25">
      <c r="B45" s="228"/>
      <c r="C45" s="229"/>
      <c r="D45" s="229"/>
      <c r="E45" s="229"/>
      <c r="F45" s="229"/>
      <c r="G45" s="229"/>
      <c r="H45" s="229"/>
      <c r="I45" s="229"/>
      <c r="J45" s="229"/>
      <c r="K45" s="229"/>
      <c r="L45" s="229"/>
      <c r="M45" s="229"/>
      <c r="N45" s="229"/>
      <c r="O45" s="229"/>
      <c r="P45" s="229"/>
      <c r="Q45" s="229"/>
      <c r="R45" s="230"/>
    </row>
    <row r="46" spans="2:27" ht="21.75" customHeight="1" thickBot="1" x14ac:dyDescent="0.3">
      <c r="B46" s="231"/>
      <c r="C46" s="232"/>
      <c r="D46" s="232"/>
      <c r="E46" s="232"/>
      <c r="F46" s="232"/>
      <c r="G46" s="232"/>
      <c r="H46" s="232"/>
      <c r="I46" s="232"/>
      <c r="J46" s="232"/>
      <c r="K46" s="232"/>
      <c r="L46" s="232"/>
      <c r="M46" s="232"/>
      <c r="N46" s="232"/>
      <c r="O46" s="232"/>
      <c r="P46" s="232"/>
      <c r="Q46" s="232"/>
      <c r="R46" s="233"/>
    </row>
    <row r="47" spans="2:27" ht="15" customHeight="1" x14ac:dyDescent="0.25"/>
    <row r="48" spans="2:27"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A59"/>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33.85546875" style="23" bestFit="1" customWidth="1"/>
    <col min="5" max="5" width="15.140625" style="23" customWidth="1"/>
    <col min="6" max="8" width="9.140625" style="23"/>
    <col min="9" max="9" width="11.85546875" style="23" customWidth="1"/>
    <col min="10" max="18" width="9.140625" style="23"/>
    <col min="19" max="19" width="9.85546875" style="23" customWidth="1"/>
    <col min="20" max="16384" width="9.140625" style="23"/>
  </cols>
  <sheetData>
    <row r="1" spans="1:27" ht="15.75" customHeight="1" thickBot="1" x14ac:dyDescent="0.3">
      <c r="A1" s="3"/>
    </row>
    <row r="2" spans="1:27" ht="15" customHeight="1" x14ac:dyDescent="0.25">
      <c r="B2" s="96"/>
      <c r="C2" s="97"/>
      <c r="D2" s="97"/>
      <c r="E2" s="97"/>
      <c r="F2" s="97"/>
      <c r="G2" s="97"/>
      <c r="H2" s="97"/>
      <c r="I2" s="97"/>
      <c r="J2" s="97"/>
      <c r="K2" s="97"/>
      <c r="L2" s="97"/>
      <c r="M2" s="97"/>
      <c r="N2" s="97"/>
      <c r="O2" s="97"/>
      <c r="P2" s="97"/>
      <c r="Q2" s="97"/>
      <c r="R2" s="97"/>
      <c r="S2" s="97"/>
      <c r="T2" s="25"/>
    </row>
    <row r="3" spans="1:27" ht="20.25" customHeight="1" x14ac:dyDescent="0.25">
      <c r="B3" s="98"/>
      <c r="C3" s="234" t="s">
        <v>118</v>
      </c>
      <c r="D3" s="234"/>
      <c r="E3" s="234"/>
      <c r="F3" s="234"/>
      <c r="G3" s="234"/>
      <c r="H3" s="234"/>
      <c r="I3" s="234"/>
      <c r="J3" s="234"/>
      <c r="K3" s="234"/>
      <c r="L3" s="234"/>
      <c r="M3" s="234"/>
      <c r="N3" s="234"/>
      <c r="O3" s="234"/>
      <c r="P3" s="234"/>
      <c r="Q3" s="234"/>
      <c r="R3" s="234"/>
      <c r="S3" s="234"/>
      <c r="T3" s="26"/>
      <c r="V3" s="46"/>
      <c r="W3" s="46"/>
      <c r="X3" s="46"/>
      <c r="Y3" s="46"/>
      <c r="Z3" s="46"/>
      <c r="AA3" s="46"/>
    </row>
    <row r="4" spans="1:27" ht="15.75" customHeight="1" x14ac:dyDescent="0.25">
      <c r="B4" s="98"/>
      <c r="C4" s="85" t="s">
        <v>271</v>
      </c>
      <c r="D4" s="33"/>
      <c r="E4" s="33"/>
      <c r="F4" s="33"/>
      <c r="G4" s="33"/>
      <c r="H4" s="33"/>
      <c r="I4" s="33"/>
      <c r="J4" s="33"/>
      <c r="K4" s="33"/>
      <c r="L4" s="33"/>
      <c r="M4" s="33"/>
      <c r="N4" s="33"/>
      <c r="O4" s="33"/>
      <c r="P4" s="33"/>
      <c r="Q4" s="33"/>
      <c r="R4" s="33"/>
      <c r="S4" s="33"/>
      <c r="T4" s="26"/>
      <c r="V4" s="46"/>
      <c r="W4" s="46"/>
      <c r="X4" s="46"/>
      <c r="Y4" s="46"/>
      <c r="Z4" s="46"/>
      <c r="AA4" s="46"/>
    </row>
    <row r="5" spans="1:27" ht="18" customHeight="1" x14ac:dyDescent="0.25">
      <c r="B5" s="98"/>
      <c r="C5" s="86" t="s">
        <v>272</v>
      </c>
      <c r="D5" s="236" t="s">
        <v>280</v>
      </c>
      <c r="E5" s="236"/>
      <c r="F5" s="33"/>
      <c r="G5" s="33"/>
      <c r="H5" s="33"/>
      <c r="I5" s="33"/>
      <c r="J5" s="33"/>
      <c r="K5" s="33"/>
      <c r="L5" s="33"/>
      <c r="M5" s="33"/>
      <c r="N5" s="33"/>
      <c r="O5" s="33"/>
      <c r="P5" s="33"/>
      <c r="Q5" s="33"/>
      <c r="R5" s="33"/>
      <c r="S5" s="33"/>
      <c r="T5" s="26"/>
      <c r="V5" s="193"/>
      <c r="W5" s="193"/>
      <c r="X5" s="193"/>
      <c r="Y5" s="193"/>
      <c r="Z5" s="46"/>
      <c r="AA5" s="46"/>
    </row>
    <row r="6" spans="1:27" ht="15" customHeight="1" x14ac:dyDescent="0.25">
      <c r="B6" s="98"/>
      <c r="C6" s="33"/>
      <c r="D6" s="33"/>
      <c r="E6" s="33"/>
      <c r="F6" s="33"/>
      <c r="G6" s="33"/>
      <c r="H6" s="33"/>
      <c r="I6" s="33"/>
      <c r="J6" s="33"/>
      <c r="K6" s="33"/>
      <c r="L6" s="33"/>
      <c r="M6" s="33"/>
      <c r="N6" s="33"/>
      <c r="O6" s="33"/>
      <c r="P6" s="33"/>
      <c r="Q6" s="33"/>
      <c r="R6" s="33"/>
      <c r="S6" s="33"/>
      <c r="T6" s="26"/>
      <c r="V6" s="193"/>
      <c r="W6" s="193"/>
      <c r="X6" s="193"/>
      <c r="Y6" s="193"/>
      <c r="Z6" s="46"/>
      <c r="AA6" s="46"/>
    </row>
    <row r="7" spans="1:27" ht="32.25" customHeight="1" x14ac:dyDescent="0.25">
      <c r="B7" s="98"/>
      <c r="C7" s="87" t="s">
        <v>0</v>
      </c>
      <c r="D7" s="88" t="s">
        <v>1</v>
      </c>
      <c r="E7" s="89" t="s">
        <v>2</v>
      </c>
      <c r="F7" s="33"/>
      <c r="G7" s="33"/>
      <c r="H7" s="33"/>
      <c r="I7" s="33"/>
      <c r="J7" s="33"/>
      <c r="K7" s="33"/>
      <c r="L7" s="33"/>
      <c r="M7" s="33"/>
      <c r="N7" s="33"/>
      <c r="O7" s="33"/>
      <c r="P7" s="33"/>
      <c r="Q7" s="33"/>
      <c r="R7" s="33"/>
      <c r="S7" s="33"/>
      <c r="T7" s="26"/>
      <c r="V7" s="193"/>
      <c r="W7" s="193" t="s">
        <v>22</v>
      </c>
      <c r="X7" s="194" t="s">
        <v>2</v>
      </c>
      <c r="Y7" s="193"/>
      <c r="Z7" s="46"/>
      <c r="AA7" s="46"/>
    </row>
    <row r="8" spans="1:27" ht="15" customHeight="1" x14ac:dyDescent="0.25">
      <c r="B8" s="98"/>
      <c r="C8" s="15" t="s">
        <v>34</v>
      </c>
      <c r="D8" s="17" t="s">
        <v>3</v>
      </c>
      <c r="E8" s="195">
        <v>9.5488000000000003E-2</v>
      </c>
      <c r="F8" s="33"/>
      <c r="G8" s="33"/>
      <c r="H8" s="33"/>
      <c r="I8" s="33"/>
      <c r="J8" s="33"/>
      <c r="K8" s="33"/>
      <c r="L8" s="33"/>
      <c r="M8" s="33"/>
      <c r="N8" s="33"/>
      <c r="O8" s="33"/>
      <c r="P8" s="33"/>
      <c r="Q8" s="33"/>
      <c r="R8" s="33"/>
      <c r="S8" s="33"/>
      <c r="T8" s="26"/>
      <c r="V8" s="193"/>
      <c r="W8" s="77" t="s">
        <v>3</v>
      </c>
      <c r="X8" s="79">
        <v>0.28356500000000001</v>
      </c>
      <c r="Y8" s="193"/>
      <c r="Z8" s="46"/>
      <c r="AA8" s="46"/>
    </row>
    <row r="9" spans="1:27" ht="15.75" customHeight="1" x14ac:dyDescent="0.25">
      <c r="B9" s="98"/>
      <c r="C9" s="16" t="s">
        <v>30</v>
      </c>
      <c r="D9" s="18" t="s">
        <v>3</v>
      </c>
      <c r="E9" s="21">
        <v>7.6261999999999996E-2</v>
      </c>
      <c r="F9" s="33"/>
      <c r="G9" s="33"/>
      <c r="H9" s="33"/>
      <c r="I9" s="33"/>
      <c r="J9" s="33"/>
      <c r="K9" s="33"/>
      <c r="L9" s="33"/>
      <c r="M9" s="33"/>
      <c r="N9" s="33"/>
      <c r="O9" s="33"/>
      <c r="P9" s="33"/>
      <c r="Q9" s="33"/>
      <c r="R9" s="33"/>
      <c r="S9" s="33"/>
      <c r="T9" s="26"/>
      <c r="V9" s="193"/>
      <c r="W9" s="77" t="s">
        <v>169</v>
      </c>
      <c r="X9" s="79">
        <v>0.11033899999999999</v>
      </c>
      <c r="Y9" s="193"/>
      <c r="Z9" s="46"/>
      <c r="AA9" s="46"/>
    </row>
    <row r="10" spans="1:27" ht="15" customHeight="1" x14ac:dyDescent="0.25">
      <c r="B10" s="98"/>
      <c r="C10" s="16" t="s">
        <v>29</v>
      </c>
      <c r="D10" s="18" t="s">
        <v>169</v>
      </c>
      <c r="E10" s="21">
        <v>7.2721999999999995E-2</v>
      </c>
      <c r="F10" s="33"/>
      <c r="G10" s="33"/>
      <c r="H10" s="33"/>
      <c r="I10" s="33"/>
      <c r="J10" s="33"/>
      <c r="K10" s="33"/>
      <c r="L10" s="33"/>
      <c r="M10" s="33"/>
      <c r="N10" s="33"/>
      <c r="O10" s="33"/>
      <c r="P10" s="33"/>
      <c r="Q10" s="33"/>
      <c r="R10" s="33"/>
      <c r="S10" s="33"/>
      <c r="T10" s="26"/>
      <c r="V10" s="193"/>
      <c r="W10" s="77" t="s">
        <v>16</v>
      </c>
      <c r="X10" s="79">
        <v>5.96E-2</v>
      </c>
      <c r="Y10" s="193"/>
      <c r="Z10" s="46"/>
      <c r="AA10" s="46"/>
    </row>
    <row r="11" spans="1:27" ht="15" customHeight="1" x14ac:dyDescent="0.25">
      <c r="B11" s="98"/>
      <c r="C11" s="16" t="s">
        <v>113</v>
      </c>
      <c r="D11" s="18" t="s">
        <v>3</v>
      </c>
      <c r="E11" s="21">
        <v>4.5831999999999998E-2</v>
      </c>
      <c r="F11" s="33"/>
      <c r="G11" s="33"/>
      <c r="H11" s="33"/>
      <c r="I11" s="33"/>
      <c r="J11" s="33"/>
      <c r="K11" s="33"/>
      <c r="L11" s="33"/>
      <c r="M11" s="33"/>
      <c r="N11" s="33"/>
      <c r="O11" s="33"/>
      <c r="P11" s="33"/>
      <c r="Q11" s="33"/>
      <c r="R11" s="33"/>
      <c r="S11" s="33"/>
      <c r="T11" s="26"/>
      <c r="V11" s="193"/>
      <c r="W11" s="77" t="s">
        <v>172</v>
      </c>
      <c r="X11" s="79">
        <v>5.4449999999999998E-2</v>
      </c>
      <c r="Y11" s="193"/>
      <c r="Z11" s="46"/>
      <c r="AA11" s="46"/>
    </row>
    <row r="12" spans="1:27" ht="15" customHeight="1" x14ac:dyDescent="0.25">
      <c r="B12" s="98"/>
      <c r="C12" s="16" t="s">
        <v>78</v>
      </c>
      <c r="D12" s="18" t="s">
        <v>119</v>
      </c>
      <c r="E12" s="21">
        <v>3.9009000000000002E-2</v>
      </c>
      <c r="F12" s="33"/>
      <c r="G12" s="33"/>
      <c r="H12" s="33"/>
      <c r="I12" s="33"/>
      <c r="J12" s="33"/>
      <c r="K12" s="33"/>
      <c r="L12" s="33"/>
      <c r="M12" s="33"/>
      <c r="N12" s="33"/>
      <c r="O12" s="33"/>
      <c r="P12" s="33"/>
      <c r="Q12" s="33"/>
      <c r="R12" s="33"/>
      <c r="S12" s="33"/>
      <c r="T12" s="26"/>
      <c r="V12" s="193"/>
      <c r="W12" s="77" t="s">
        <v>24</v>
      </c>
      <c r="X12" s="79">
        <v>5.2821000000000007E-2</v>
      </c>
      <c r="Y12" s="193"/>
      <c r="Z12" s="46"/>
      <c r="AA12" s="46"/>
    </row>
    <row r="13" spans="1:27" ht="15" customHeight="1" x14ac:dyDescent="0.25">
      <c r="B13" s="98"/>
      <c r="C13" s="16" t="s">
        <v>38</v>
      </c>
      <c r="D13" s="18" t="s">
        <v>3</v>
      </c>
      <c r="E13" s="21">
        <v>3.8136000000000003E-2</v>
      </c>
      <c r="F13" s="33"/>
      <c r="G13" s="33"/>
      <c r="H13" s="33"/>
      <c r="I13" s="33"/>
      <c r="J13" s="33"/>
      <c r="K13" s="33"/>
      <c r="L13" s="33"/>
      <c r="M13" s="33"/>
      <c r="N13" s="33"/>
      <c r="O13" s="33"/>
      <c r="P13" s="33"/>
      <c r="Q13" s="33"/>
      <c r="R13" s="33"/>
      <c r="S13" s="33"/>
      <c r="T13" s="26"/>
      <c r="V13" s="193"/>
      <c r="W13" s="77" t="s">
        <v>179</v>
      </c>
      <c r="X13" s="79">
        <v>5.2000999999999999E-2</v>
      </c>
      <c r="Y13" s="193"/>
      <c r="Z13" s="46"/>
      <c r="AA13" s="46"/>
    </row>
    <row r="14" spans="1:27" ht="15" customHeight="1" x14ac:dyDescent="0.25">
      <c r="B14" s="98"/>
      <c r="C14" s="16" t="s">
        <v>115</v>
      </c>
      <c r="D14" s="18" t="s">
        <v>4</v>
      </c>
      <c r="E14" s="21">
        <v>3.6942000000000003E-2</v>
      </c>
      <c r="F14" s="33"/>
      <c r="G14" s="33"/>
      <c r="H14" s="33"/>
      <c r="I14" s="33"/>
      <c r="J14" s="33"/>
      <c r="K14" s="33"/>
      <c r="L14" s="33"/>
      <c r="M14" s="33"/>
      <c r="N14" s="33"/>
      <c r="O14" s="33"/>
      <c r="P14" s="33"/>
      <c r="Q14" s="33"/>
      <c r="R14" s="33"/>
      <c r="S14" s="33"/>
      <c r="T14" s="26"/>
      <c r="V14" s="193"/>
      <c r="W14" s="77" t="s">
        <v>119</v>
      </c>
      <c r="X14" s="79">
        <v>4.8589E-2</v>
      </c>
      <c r="Y14" s="193"/>
      <c r="Z14" s="46"/>
      <c r="AA14" s="46"/>
    </row>
    <row r="15" spans="1:27" ht="15.75" customHeight="1" x14ac:dyDescent="0.25">
      <c r="B15" s="98"/>
      <c r="C15" s="16" t="s">
        <v>214</v>
      </c>
      <c r="D15" s="18" t="s">
        <v>172</v>
      </c>
      <c r="E15" s="21">
        <v>3.2250000000000001E-2</v>
      </c>
      <c r="F15" s="33"/>
      <c r="G15" s="33"/>
      <c r="H15" s="33"/>
      <c r="I15" s="33"/>
      <c r="J15" s="33"/>
      <c r="K15" s="33"/>
      <c r="L15" s="33"/>
      <c r="M15" s="33"/>
      <c r="N15" s="33"/>
      <c r="O15" s="33"/>
      <c r="P15" s="33"/>
      <c r="Q15" s="33"/>
      <c r="R15" s="33"/>
      <c r="S15" s="33"/>
      <c r="T15" s="26"/>
      <c r="V15" s="193"/>
      <c r="W15" s="77" t="s">
        <v>175</v>
      </c>
      <c r="X15" s="79">
        <v>4.8530999999999998E-2</v>
      </c>
      <c r="Y15" s="193"/>
      <c r="Z15" s="46"/>
      <c r="AA15" s="46"/>
    </row>
    <row r="16" spans="1:27" ht="15" customHeight="1" x14ac:dyDescent="0.25">
      <c r="B16" s="98"/>
      <c r="C16" s="16" t="s">
        <v>183</v>
      </c>
      <c r="D16" s="18" t="s">
        <v>175</v>
      </c>
      <c r="E16" s="21">
        <v>2.9628999999999999E-2</v>
      </c>
      <c r="F16" s="33"/>
      <c r="G16" s="33"/>
      <c r="H16" s="33"/>
      <c r="I16" s="33"/>
      <c r="J16" s="33"/>
      <c r="K16" s="33"/>
      <c r="L16" s="33"/>
      <c r="M16" s="33"/>
      <c r="N16" s="33"/>
      <c r="O16" s="33"/>
      <c r="P16" s="33"/>
      <c r="Q16" s="33"/>
      <c r="R16" s="33"/>
      <c r="S16" s="33"/>
      <c r="T16" s="26"/>
      <c r="V16" s="193"/>
      <c r="W16" s="77" t="s">
        <v>4</v>
      </c>
      <c r="X16" s="155">
        <v>3.6942000000000003E-2</v>
      </c>
      <c r="Y16" s="193"/>
      <c r="Z16" s="46"/>
      <c r="AA16" s="46"/>
    </row>
    <row r="17" spans="2:27" ht="15.75" customHeight="1" x14ac:dyDescent="0.25">
      <c r="B17" s="98"/>
      <c r="C17" s="16" t="s">
        <v>93</v>
      </c>
      <c r="D17" s="18" t="s">
        <v>12</v>
      </c>
      <c r="E17" s="21">
        <v>2.8069E-2</v>
      </c>
      <c r="F17" s="33"/>
      <c r="G17" s="33"/>
      <c r="H17" s="33"/>
      <c r="I17" s="33"/>
      <c r="J17" s="33"/>
      <c r="K17" s="33"/>
      <c r="L17" s="33"/>
      <c r="M17" s="33"/>
      <c r="N17" s="33"/>
      <c r="O17" s="33"/>
      <c r="P17" s="33"/>
      <c r="Q17" s="33"/>
      <c r="R17" s="33"/>
      <c r="S17" s="33"/>
      <c r="T17" s="26"/>
      <c r="V17" s="193"/>
      <c r="W17" s="77" t="s">
        <v>12</v>
      </c>
      <c r="X17" s="79">
        <v>2.8069E-2</v>
      </c>
      <c r="Y17" s="193"/>
      <c r="Z17" s="46"/>
      <c r="AA17" s="46"/>
    </row>
    <row r="18" spans="2:27" ht="15.75" x14ac:dyDescent="0.25">
      <c r="B18" s="98"/>
      <c r="C18" s="16" t="s">
        <v>36</v>
      </c>
      <c r="D18" s="18" t="s">
        <v>23</v>
      </c>
      <c r="E18" s="21">
        <v>2.7691E-2</v>
      </c>
      <c r="F18" s="33"/>
      <c r="G18" s="33"/>
      <c r="H18" s="33"/>
      <c r="I18" s="33"/>
      <c r="J18" s="33"/>
      <c r="K18" s="33"/>
      <c r="L18" s="33"/>
      <c r="M18" s="33"/>
      <c r="N18" s="33"/>
      <c r="O18" s="33"/>
      <c r="P18" s="33"/>
      <c r="Q18" s="33"/>
      <c r="R18" s="33"/>
      <c r="S18" s="33"/>
      <c r="T18" s="26"/>
      <c r="V18" s="193"/>
      <c r="W18" s="77" t="s">
        <v>23</v>
      </c>
      <c r="X18" s="79">
        <v>2.7691E-2</v>
      </c>
      <c r="Y18" s="193"/>
      <c r="Z18" s="46"/>
      <c r="AA18" s="46"/>
    </row>
    <row r="19" spans="2:27" ht="15.75" customHeight="1" x14ac:dyDescent="0.25">
      <c r="B19" s="98"/>
      <c r="C19" s="16" t="s">
        <v>126</v>
      </c>
      <c r="D19" s="18" t="s">
        <v>27</v>
      </c>
      <c r="E19" s="21">
        <v>2.6424E-2</v>
      </c>
      <c r="F19" s="33"/>
      <c r="G19" s="33"/>
      <c r="H19" s="33"/>
      <c r="I19" s="33"/>
      <c r="J19" s="33"/>
      <c r="K19" s="33"/>
      <c r="L19" s="33"/>
      <c r="M19" s="33"/>
      <c r="N19" s="33"/>
      <c r="O19" s="33"/>
      <c r="P19" s="33"/>
      <c r="Q19" s="33"/>
      <c r="R19" s="33"/>
      <c r="S19" s="33"/>
      <c r="T19" s="26"/>
      <c r="V19" s="193"/>
      <c r="W19" s="77" t="s">
        <v>27</v>
      </c>
      <c r="X19" s="79">
        <v>2.6424E-2</v>
      </c>
      <c r="Y19" s="193"/>
      <c r="Z19" s="46"/>
      <c r="AA19" s="46"/>
    </row>
    <row r="20" spans="2:27" ht="15" customHeight="1" x14ac:dyDescent="0.25">
      <c r="B20" s="98"/>
      <c r="C20" s="16" t="s">
        <v>97</v>
      </c>
      <c r="D20" s="18" t="s">
        <v>179</v>
      </c>
      <c r="E20" s="21">
        <v>2.5936000000000001E-2</v>
      </c>
      <c r="F20" s="33"/>
      <c r="G20" s="33"/>
      <c r="H20" s="33"/>
      <c r="I20" s="33"/>
      <c r="J20" s="33"/>
      <c r="K20" s="33"/>
      <c r="L20" s="33"/>
      <c r="M20" s="33"/>
      <c r="N20" s="33"/>
      <c r="O20" s="33"/>
      <c r="P20" s="33"/>
      <c r="Q20" s="33"/>
      <c r="R20" s="33"/>
      <c r="S20" s="33"/>
      <c r="T20" s="26"/>
      <c r="V20" s="193"/>
      <c r="W20" s="77" t="s">
        <v>174</v>
      </c>
      <c r="X20" s="79">
        <v>2.6145000000000002E-2</v>
      </c>
      <c r="Y20" s="193"/>
      <c r="Z20" s="46"/>
      <c r="AA20" s="46"/>
    </row>
    <row r="21" spans="2:27" ht="15" customHeight="1" x14ac:dyDescent="0.25">
      <c r="B21" s="98"/>
      <c r="C21" s="16" t="s">
        <v>216</v>
      </c>
      <c r="D21" s="18" t="s">
        <v>16</v>
      </c>
      <c r="E21" s="21">
        <v>2.3800000000000002E-2</v>
      </c>
      <c r="F21" s="33"/>
      <c r="G21" s="33"/>
      <c r="H21" s="33"/>
      <c r="I21" s="33"/>
      <c r="J21" s="33"/>
      <c r="K21" s="33"/>
      <c r="L21" s="33"/>
      <c r="M21" s="33"/>
      <c r="N21" s="33"/>
      <c r="O21" s="33"/>
      <c r="P21" s="33"/>
      <c r="Q21" s="33"/>
      <c r="R21" s="33"/>
      <c r="S21" s="33"/>
      <c r="T21" s="26"/>
      <c r="V21" s="193"/>
      <c r="W21" s="77" t="s">
        <v>123</v>
      </c>
      <c r="X21" s="79">
        <v>1.8096000000000001E-2</v>
      </c>
      <c r="Y21" s="193"/>
      <c r="Z21" s="46"/>
      <c r="AA21" s="46"/>
    </row>
    <row r="22" spans="2:27" ht="15" customHeight="1" x14ac:dyDescent="0.25">
      <c r="B22" s="98"/>
      <c r="C22" s="16" t="s">
        <v>209</v>
      </c>
      <c r="D22" s="18" t="s">
        <v>172</v>
      </c>
      <c r="E22" s="21">
        <v>2.2200000000000001E-2</v>
      </c>
      <c r="F22" s="33"/>
      <c r="G22" s="33"/>
      <c r="H22" s="33"/>
      <c r="I22" s="33"/>
      <c r="J22" s="33"/>
      <c r="K22" s="33"/>
      <c r="L22" s="33"/>
      <c r="M22" s="33"/>
      <c r="N22" s="33"/>
      <c r="O22" s="33"/>
      <c r="P22" s="33"/>
      <c r="Q22" s="33"/>
      <c r="R22" s="33"/>
      <c r="S22" s="33"/>
      <c r="T22" s="26"/>
      <c r="V22" s="193"/>
      <c r="W22" s="77" t="s">
        <v>180</v>
      </c>
      <c r="X22" s="79">
        <v>1.5351999999999999E-2</v>
      </c>
      <c r="Y22" s="193"/>
      <c r="Z22" s="46"/>
      <c r="AA22" s="46"/>
    </row>
    <row r="23" spans="2:27" ht="15" customHeight="1" x14ac:dyDescent="0.25">
      <c r="B23" s="98"/>
      <c r="C23" s="90"/>
      <c r="D23" s="90"/>
      <c r="E23" s="188"/>
      <c r="F23" s="33"/>
      <c r="G23" s="33"/>
      <c r="H23" s="33"/>
      <c r="I23" s="33"/>
      <c r="J23" s="33"/>
      <c r="K23" s="33"/>
      <c r="L23" s="33"/>
      <c r="M23" s="33"/>
      <c r="N23" s="33"/>
      <c r="O23" s="33"/>
      <c r="P23" s="33"/>
      <c r="Q23" s="33"/>
      <c r="R23" s="33"/>
      <c r="S23" s="33"/>
      <c r="T23" s="26"/>
      <c r="V23" s="193"/>
      <c r="W23" s="77" t="s">
        <v>187</v>
      </c>
      <c r="X23" s="79">
        <v>1.4958000000000001E-2</v>
      </c>
      <c r="Y23" s="193"/>
      <c r="Z23" s="46"/>
      <c r="AA23" s="46"/>
    </row>
    <row r="24" spans="2:27" ht="15" customHeight="1" x14ac:dyDescent="0.25">
      <c r="B24" s="98"/>
      <c r="C24" s="92" t="s">
        <v>64</v>
      </c>
      <c r="D24" s="93"/>
      <c r="E24" s="94">
        <f>SUM(E8:E22)</f>
        <v>0.62039000000000011</v>
      </c>
      <c r="F24" s="33"/>
      <c r="G24" s="33"/>
      <c r="H24" s="33"/>
      <c r="I24" s="33"/>
      <c r="J24" s="33"/>
      <c r="K24" s="33"/>
      <c r="L24" s="33"/>
      <c r="M24" s="33"/>
      <c r="N24" s="33"/>
      <c r="O24" s="33"/>
      <c r="P24" s="33"/>
      <c r="Q24" s="33"/>
      <c r="R24" s="33"/>
      <c r="S24" s="33"/>
      <c r="T24" s="26"/>
      <c r="V24" s="193"/>
      <c r="W24" s="77" t="s">
        <v>120</v>
      </c>
      <c r="X24" s="79">
        <v>1.3495E-2</v>
      </c>
      <c r="Y24" s="193"/>
      <c r="Z24" s="46"/>
      <c r="AA24" s="46"/>
    </row>
    <row r="25" spans="2:27" ht="15" customHeight="1" x14ac:dyDescent="0.25">
      <c r="B25" s="98"/>
      <c r="F25" s="33"/>
      <c r="G25" s="33"/>
      <c r="H25" s="33"/>
      <c r="I25" s="33"/>
      <c r="J25" s="33"/>
      <c r="K25" s="33"/>
      <c r="L25" s="33"/>
      <c r="M25" s="33"/>
      <c r="N25" s="33"/>
      <c r="O25" s="33"/>
      <c r="P25" s="33"/>
      <c r="Q25" s="33"/>
      <c r="R25" s="33"/>
      <c r="S25" s="33"/>
      <c r="T25" s="26"/>
      <c r="V25" s="193"/>
      <c r="W25" s="77" t="s">
        <v>168</v>
      </c>
      <c r="X25" s="79">
        <v>9.8539999999999999E-3</v>
      </c>
      <c r="Y25" s="193"/>
      <c r="Z25" s="46"/>
      <c r="AA25" s="46"/>
    </row>
    <row r="26" spans="2:27" ht="15" customHeight="1" x14ac:dyDescent="0.25">
      <c r="B26" s="98"/>
      <c r="F26" s="33"/>
      <c r="G26" s="33"/>
      <c r="H26" s="33"/>
      <c r="I26" s="33"/>
      <c r="J26" s="33"/>
      <c r="K26" s="33"/>
      <c r="L26" s="33"/>
      <c r="M26" s="33"/>
      <c r="N26" s="33"/>
      <c r="O26" s="33"/>
      <c r="P26" s="33"/>
      <c r="Q26" s="33"/>
      <c r="R26" s="33"/>
      <c r="S26" s="33"/>
      <c r="T26" s="26"/>
      <c r="V26" s="193"/>
      <c r="W26" s="77" t="s">
        <v>185</v>
      </c>
      <c r="X26" s="79">
        <v>9.2420000000000002E-3</v>
      </c>
      <c r="Y26" s="193"/>
      <c r="Z26" s="46"/>
      <c r="AA26" s="46"/>
    </row>
    <row r="27" spans="2:27" ht="15" customHeight="1" x14ac:dyDescent="0.25">
      <c r="B27" s="98"/>
      <c r="D27" s="196"/>
      <c r="F27" s="33"/>
      <c r="G27" s="33"/>
      <c r="H27" s="33"/>
      <c r="I27" s="33"/>
      <c r="J27" s="33"/>
      <c r="K27" s="33"/>
      <c r="L27" s="33"/>
      <c r="M27" s="33"/>
      <c r="N27" s="33"/>
      <c r="O27" s="33"/>
      <c r="P27" s="33"/>
      <c r="Q27" s="33"/>
      <c r="R27" s="33"/>
      <c r="S27" s="33"/>
      <c r="T27" s="26"/>
      <c r="V27" s="193"/>
      <c r="W27" s="77" t="s">
        <v>170</v>
      </c>
      <c r="X27" s="79">
        <v>6.581E-3</v>
      </c>
      <c r="Y27" s="193"/>
      <c r="Z27" s="46"/>
      <c r="AA27" s="46"/>
    </row>
    <row r="28" spans="2:27" ht="15" customHeight="1" x14ac:dyDescent="0.25">
      <c r="B28" s="98"/>
      <c r="F28" s="33"/>
      <c r="G28" s="33"/>
      <c r="H28" s="33"/>
      <c r="I28" s="33"/>
      <c r="J28" s="33"/>
      <c r="K28" s="33"/>
      <c r="L28" s="33"/>
      <c r="M28" s="33"/>
      <c r="N28" s="33"/>
      <c r="O28" s="33"/>
      <c r="P28" s="33"/>
      <c r="Q28" s="33"/>
      <c r="R28" s="33"/>
      <c r="S28" s="33"/>
      <c r="T28" s="26"/>
      <c r="V28" s="193"/>
      <c r="W28" s="77" t="s">
        <v>184</v>
      </c>
      <c r="X28" s="79">
        <v>6.097E-3</v>
      </c>
      <c r="Y28" s="193"/>
      <c r="Z28" s="46"/>
      <c r="AA28" s="46"/>
    </row>
    <row r="29" spans="2:27" ht="15" customHeight="1" x14ac:dyDescent="0.25">
      <c r="B29" s="98"/>
      <c r="F29" s="33"/>
      <c r="G29" s="33"/>
      <c r="H29" s="33"/>
      <c r="I29" s="33"/>
      <c r="J29" s="33"/>
      <c r="K29" s="33"/>
      <c r="L29" s="33"/>
      <c r="M29" s="33"/>
      <c r="N29" s="33"/>
      <c r="O29" s="33"/>
      <c r="P29" s="33"/>
      <c r="Q29" s="33"/>
      <c r="R29" s="33"/>
      <c r="S29" s="33"/>
      <c r="T29" s="26"/>
      <c r="V29" s="193"/>
      <c r="W29" s="77" t="s">
        <v>189</v>
      </c>
      <c r="X29" s="79">
        <v>5.4039999999999999E-3</v>
      </c>
      <c r="Y29" s="193"/>
      <c r="Z29" s="46"/>
      <c r="AA29" s="46"/>
    </row>
    <row r="30" spans="2:27" ht="15" customHeight="1" x14ac:dyDescent="0.25">
      <c r="B30" s="98"/>
      <c r="F30" s="33"/>
      <c r="G30" s="33"/>
      <c r="H30" s="33"/>
      <c r="I30" s="33"/>
      <c r="J30" s="33"/>
      <c r="K30" s="33"/>
      <c r="L30" s="33"/>
      <c r="M30" s="33"/>
      <c r="N30" s="33"/>
      <c r="O30" s="33"/>
      <c r="P30" s="33"/>
      <c r="Q30" s="33"/>
      <c r="R30" s="33"/>
      <c r="S30" s="33"/>
      <c r="T30" s="26"/>
      <c r="V30" s="193"/>
      <c r="W30" s="68" t="s">
        <v>176</v>
      </c>
      <c r="X30" s="78">
        <v>1.6379999999999999E-3</v>
      </c>
      <c r="Y30" s="193"/>
      <c r="Z30" s="46"/>
      <c r="AA30" s="46"/>
    </row>
    <row r="31" spans="2:27" ht="15" customHeight="1" x14ac:dyDescent="0.25">
      <c r="B31" s="98"/>
      <c r="F31" s="33"/>
      <c r="G31" s="33"/>
      <c r="H31" s="33"/>
      <c r="I31" s="33"/>
      <c r="J31" s="33"/>
      <c r="K31" s="33"/>
      <c r="L31" s="33"/>
      <c r="M31" s="33"/>
      <c r="N31" s="33"/>
      <c r="O31" s="33"/>
      <c r="P31" s="33"/>
      <c r="Q31" s="33"/>
      <c r="R31" s="33"/>
      <c r="S31" s="33"/>
      <c r="T31" s="26"/>
      <c r="V31" s="193"/>
      <c r="W31" s="77"/>
      <c r="X31" s="78"/>
      <c r="Y31" s="193"/>
      <c r="Z31" s="46"/>
      <c r="AA31" s="46"/>
    </row>
    <row r="32" spans="2:27" ht="15" customHeight="1" thickBot="1" x14ac:dyDescent="0.3">
      <c r="B32" s="99"/>
      <c r="C32" s="100"/>
      <c r="D32" s="100"/>
      <c r="E32" s="100"/>
      <c r="F32" s="100"/>
      <c r="G32" s="100"/>
      <c r="H32" s="100"/>
      <c r="I32" s="100"/>
      <c r="J32" s="100"/>
      <c r="K32" s="100"/>
      <c r="L32" s="100"/>
      <c r="M32" s="100"/>
      <c r="N32" s="100"/>
      <c r="O32" s="100"/>
      <c r="P32" s="100"/>
      <c r="Q32" s="100"/>
      <c r="R32" s="100"/>
      <c r="S32" s="100"/>
      <c r="T32" s="27"/>
    </row>
    <row r="33" spans="2:18" ht="15" customHeight="1" thickBot="1" x14ac:dyDescent="0.3"/>
    <row r="34" spans="2:18" ht="15" customHeight="1" x14ac:dyDescent="0.25">
      <c r="B34" s="225" t="s">
        <v>117</v>
      </c>
      <c r="C34" s="226"/>
      <c r="D34" s="226"/>
      <c r="E34" s="226"/>
      <c r="F34" s="226"/>
      <c r="G34" s="226"/>
      <c r="H34" s="226"/>
      <c r="I34" s="226"/>
      <c r="J34" s="226"/>
      <c r="K34" s="226"/>
      <c r="L34" s="226"/>
      <c r="M34" s="226"/>
      <c r="N34" s="226"/>
      <c r="O34" s="226"/>
      <c r="P34" s="226"/>
      <c r="Q34" s="226"/>
      <c r="R34" s="227"/>
    </row>
    <row r="35" spans="2:18" ht="15" customHeight="1" x14ac:dyDescent="0.25">
      <c r="B35" s="228"/>
      <c r="C35" s="229"/>
      <c r="D35" s="229"/>
      <c r="E35" s="229"/>
      <c r="F35" s="229"/>
      <c r="G35" s="229"/>
      <c r="H35" s="229"/>
      <c r="I35" s="229"/>
      <c r="J35" s="229"/>
      <c r="K35" s="229"/>
      <c r="L35" s="229"/>
      <c r="M35" s="229"/>
      <c r="N35" s="229"/>
      <c r="O35" s="229"/>
      <c r="P35" s="229"/>
      <c r="Q35" s="229"/>
      <c r="R35" s="230"/>
    </row>
    <row r="36" spans="2:18" ht="15" customHeight="1" x14ac:dyDescent="0.25">
      <c r="B36" s="228"/>
      <c r="C36" s="229"/>
      <c r="D36" s="229"/>
      <c r="E36" s="229"/>
      <c r="F36" s="229"/>
      <c r="G36" s="229"/>
      <c r="H36" s="229"/>
      <c r="I36" s="229"/>
      <c r="J36" s="229"/>
      <c r="K36" s="229"/>
      <c r="L36" s="229"/>
      <c r="M36" s="229"/>
      <c r="N36" s="229"/>
      <c r="O36" s="229"/>
      <c r="P36" s="229"/>
      <c r="Q36" s="229"/>
      <c r="R36" s="230"/>
    </row>
    <row r="37" spans="2:18" ht="15" customHeight="1" x14ac:dyDescent="0.25">
      <c r="B37" s="228"/>
      <c r="C37" s="229"/>
      <c r="D37" s="229"/>
      <c r="E37" s="229"/>
      <c r="F37" s="229"/>
      <c r="G37" s="229"/>
      <c r="H37" s="229"/>
      <c r="I37" s="229"/>
      <c r="J37" s="229"/>
      <c r="K37" s="229"/>
      <c r="L37" s="229"/>
      <c r="M37" s="229"/>
      <c r="N37" s="229"/>
      <c r="O37" s="229"/>
      <c r="P37" s="229"/>
      <c r="Q37" s="229"/>
      <c r="R37" s="230"/>
    </row>
    <row r="38" spans="2:18" ht="15" customHeight="1" x14ac:dyDescent="0.25">
      <c r="B38" s="228"/>
      <c r="C38" s="229"/>
      <c r="D38" s="229"/>
      <c r="E38" s="229"/>
      <c r="F38" s="229"/>
      <c r="G38" s="229"/>
      <c r="H38" s="229"/>
      <c r="I38" s="229"/>
      <c r="J38" s="229"/>
      <c r="K38" s="229"/>
      <c r="L38" s="229"/>
      <c r="M38" s="229"/>
      <c r="N38" s="229"/>
      <c r="O38" s="229"/>
      <c r="P38" s="229"/>
      <c r="Q38" s="229"/>
      <c r="R38" s="230"/>
    </row>
    <row r="39" spans="2:18" ht="15" customHeight="1" x14ac:dyDescent="0.25">
      <c r="B39" s="228"/>
      <c r="C39" s="229"/>
      <c r="D39" s="229"/>
      <c r="E39" s="229"/>
      <c r="F39" s="229"/>
      <c r="G39" s="229"/>
      <c r="H39" s="229"/>
      <c r="I39" s="229"/>
      <c r="J39" s="229"/>
      <c r="K39" s="229"/>
      <c r="L39" s="229"/>
      <c r="M39" s="229"/>
      <c r="N39" s="229"/>
      <c r="O39" s="229"/>
      <c r="P39" s="229"/>
      <c r="Q39" s="229"/>
      <c r="R39" s="230"/>
    </row>
    <row r="40" spans="2:18" ht="21.75" customHeight="1" thickBot="1" x14ac:dyDescent="0.3">
      <c r="B40" s="231"/>
      <c r="C40" s="232"/>
      <c r="D40" s="232"/>
      <c r="E40" s="232"/>
      <c r="F40" s="232"/>
      <c r="G40" s="232"/>
      <c r="H40" s="232"/>
      <c r="I40" s="232"/>
      <c r="J40" s="232"/>
      <c r="K40" s="232"/>
      <c r="L40" s="232"/>
      <c r="M40" s="232"/>
      <c r="N40" s="232"/>
      <c r="O40" s="232"/>
      <c r="P40" s="232"/>
      <c r="Q40" s="232"/>
      <c r="R40" s="233"/>
    </row>
    <row r="41" spans="2:18" ht="15" customHeight="1" x14ac:dyDescent="0.25"/>
    <row r="42" spans="2:18" ht="15" customHeight="1" x14ac:dyDescent="0.25"/>
    <row r="43" spans="2:18" ht="15" customHeight="1" x14ac:dyDescent="0.25"/>
    <row r="44" spans="2:18" ht="15" customHeight="1" x14ac:dyDescent="0.25"/>
    <row r="45" spans="2:18" ht="15" customHeight="1" x14ac:dyDescent="0.25"/>
    <row r="46" spans="2:18" ht="15" customHeight="1" x14ac:dyDescent="0.25"/>
    <row r="47" spans="2:18" ht="15" customHeight="1" x14ac:dyDescent="0.25"/>
    <row r="48" spans="2:1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sheetData>
  <sortState ref="W9:X30">
    <sortCondition descending="1" ref="X9:X30"/>
  </sortState>
  <mergeCells count="3">
    <mergeCell ref="C3:S3"/>
    <mergeCell ref="D5:E5"/>
    <mergeCell ref="B34:R40"/>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68"/>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33.85546875" style="23" bestFit="1" customWidth="1"/>
    <col min="5" max="5" width="10.42578125" style="23" bestFit="1" customWidth="1"/>
    <col min="6" max="18" width="9.140625" style="23"/>
    <col min="19" max="19" width="9.85546875" style="23" customWidth="1"/>
    <col min="20" max="20" width="9.140625" style="23"/>
    <col min="21" max="21" width="9.140625" style="45"/>
    <col min="22" max="22" width="11" style="45" customWidth="1"/>
    <col min="23" max="23" width="46.42578125" style="45" bestFit="1" customWidth="1"/>
    <col min="24" max="25" width="9.140625" style="45"/>
    <col min="26" max="16384" width="9.140625" style="23"/>
  </cols>
  <sheetData>
    <row r="1" spans="1:24" ht="15.75" customHeight="1" thickBot="1" x14ac:dyDescent="0.3">
      <c r="A1" s="3"/>
    </row>
    <row r="2" spans="1:24" ht="15" customHeight="1" x14ac:dyDescent="0.25">
      <c r="B2" s="96"/>
      <c r="C2" s="97"/>
      <c r="D2" s="97"/>
      <c r="E2" s="97"/>
      <c r="F2" s="97"/>
      <c r="G2" s="97"/>
      <c r="H2" s="97"/>
      <c r="I2" s="97"/>
      <c r="J2" s="97"/>
      <c r="K2" s="97"/>
      <c r="L2" s="97"/>
      <c r="M2" s="97"/>
      <c r="N2" s="97"/>
      <c r="O2" s="97"/>
      <c r="P2" s="97"/>
      <c r="Q2" s="97"/>
      <c r="R2" s="97"/>
      <c r="S2" s="97"/>
      <c r="T2" s="25"/>
    </row>
    <row r="3" spans="1:24" ht="20.25" customHeight="1" x14ac:dyDescent="0.25">
      <c r="B3" s="98"/>
      <c r="C3" s="234" t="s">
        <v>105</v>
      </c>
      <c r="D3" s="235"/>
      <c r="E3" s="235"/>
      <c r="F3" s="235"/>
      <c r="G3" s="235"/>
      <c r="H3" s="235"/>
      <c r="I3" s="235"/>
      <c r="J3" s="235"/>
      <c r="K3" s="235"/>
      <c r="L3" s="235"/>
      <c r="M3" s="235"/>
      <c r="N3" s="235"/>
      <c r="O3" s="235"/>
      <c r="P3" s="235"/>
      <c r="Q3" s="235"/>
      <c r="R3" s="235"/>
      <c r="S3" s="235"/>
      <c r="T3" s="26"/>
    </row>
    <row r="4" spans="1:24" ht="15.75" customHeight="1" x14ac:dyDescent="0.25">
      <c r="B4" s="98"/>
      <c r="C4" s="85" t="s">
        <v>271</v>
      </c>
      <c r="D4" s="33"/>
      <c r="E4" s="33"/>
      <c r="F4" s="33"/>
      <c r="G4" s="33"/>
      <c r="H4" s="33"/>
      <c r="I4" s="33"/>
      <c r="J4" s="33"/>
      <c r="K4" s="33"/>
      <c r="L4" s="33"/>
      <c r="M4" s="33"/>
      <c r="N4" s="33"/>
      <c r="O4" s="33"/>
      <c r="P4" s="33"/>
      <c r="Q4" s="33"/>
      <c r="R4" s="33"/>
      <c r="S4" s="33"/>
      <c r="T4" s="26"/>
    </row>
    <row r="5" spans="1:24" ht="18" customHeight="1" x14ac:dyDescent="0.25">
      <c r="B5" s="98"/>
      <c r="C5" s="86" t="s">
        <v>272</v>
      </c>
      <c r="D5" s="236" t="s">
        <v>281</v>
      </c>
      <c r="E5" s="236"/>
      <c r="F5" s="33"/>
      <c r="G5" s="191"/>
      <c r="H5" s="33"/>
      <c r="I5" s="33"/>
      <c r="J5" s="33"/>
      <c r="K5" s="33"/>
      <c r="L5" s="33"/>
      <c r="M5" s="33"/>
      <c r="N5" s="33"/>
      <c r="O5" s="33"/>
      <c r="P5" s="33"/>
      <c r="Q5" s="33"/>
      <c r="R5" s="33"/>
      <c r="S5" s="33"/>
      <c r="T5" s="26"/>
    </row>
    <row r="6" spans="1:24" ht="15" customHeight="1" x14ac:dyDescent="0.25">
      <c r="B6" s="98"/>
      <c r="C6" s="33"/>
      <c r="D6" s="33"/>
      <c r="E6" s="33"/>
      <c r="F6" s="33"/>
      <c r="G6" s="33"/>
      <c r="H6" s="33"/>
      <c r="I6" s="33"/>
      <c r="J6" s="33"/>
      <c r="K6" s="33"/>
      <c r="L6" s="33"/>
      <c r="M6" s="33"/>
      <c r="N6" s="33"/>
      <c r="O6" s="33"/>
      <c r="P6" s="33"/>
      <c r="Q6" s="33"/>
      <c r="R6" s="33"/>
      <c r="S6" s="33"/>
      <c r="T6" s="26"/>
    </row>
    <row r="7" spans="1:24" ht="32.25" customHeight="1" x14ac:dyDescent="0.25">
      <c r="B7" s="98"/>
      <c r="C7" s="87" t="s">
        <v>0</v>
      </c>
      <c r="D7" s="88" t="s">
        <v>1</v>
      </c>
      <c r="E7" s="89" t="s">
        <v>2</v>
      </c>
      <c r="F7" s="33"/>
      <c r="G7" s="33"/>
      <c r="H7" s="33"/>
      <c r="I7" s="33"/>
      <c r="J7" s="33"/>
      <c r="K7" s="33"/>
      <c r="L7" s="33"/>
      <c r="M7" s="33"/>
      <c r="N7" s="33"/>
      <c r="O7" s="33"/>
      <c r="P7" s="33"/>
      <c r="Q7" s="33"/>
      <c r="R7" s="33"/>
      <c r="S7" s="33"/>
      <c r="T7" s="26"/>
      <c r="W7" s="45" t="s">
        <v>22</v>
      </c>
      <c r="X7" s="190" t="s">
        <v>2</v>
      </c>
    </row>
    <row r="8" spans="1:24" ht="15" customHeight="1" x14ac:dyDescent="0.25">
      <c r="B8" s="98"/>
      <c r="C8" s="15" t="s">
        <v>111</v>
      </c>
      <c r="D8" s="17" t="s">
        <v>24</v>
      </c>
      <c r="E8" s="19">
        <v>3.0942000000000001E-2</v>
      </c>
      <c r="F8" s="33"/>
      <c r="G8" s="33"/>
      <c r="H8" s="33"/>
      <c r="I8" s="33"/>
      <c r="J8" s="33"/>
      <c r="K8" s="33"/>
      <c r="L8" s="33"/>
      <c r="M8" s="33"/>
      <c r="N8" s="33"/>
      <c r="O8" s="33"/>
      <c r="P8" s="33"/>
      <c r="Q8" s="33"/>
      <c r="R8" s="33"/>
      <c r="S8" s="33"/>
      <c r="T8" s="26"/>
      <c r="W8" s="77" t="s">
        <v>172</v>
      </c>
      <c r="X8" s="79">
        <v>9.6270999999999995E-2</v>
      </c>
    </row>
    <row r="9" spans="1:24" ht="15.75" customHeight="1" x14ac:dyDescent="0.25">
      <c r="B9" s="98"/>
      <c r="C9" s="16" t="s">
        <v>161</v>
      </c>
      <c r="D9" s="18" t="s">
        <v>16</v>
      </c>
      <c r="E9" s="20">
        <v>2.9142999999999999E-2</v>
      </c>
      <c r="F9" s="33"/>
      <c r="G9" s="33"/>
      <c r="H9" s="33"/>
      <c r="I9" s="33"/>
      <c r="J9" s="33"/>
      <c r="K9" s="33"/>
      <c r="L9" s="33"/>
      <c r="M9" s="33"/>
      <c r="N9" s="33"/>
      <c r="O9" s="33"/>
      <c r="P9" s="33"/>
      <c r="Q9" s="33"/>
      <c r="R9" s="33"/>
      <c r="S9" s="33"/>
      <c r="T9" s="26"/>
      <c r="W9" s="77" t="s">
        <v>16</v>
      </c>
      <c r="X9" s="79">
        <v>9.5661999999999997E-2</v>
      </c>
    </row>
    <row r="10" spans="1:24" ht="15" customHeight="1" x14ac:dyDescent="0.25">
      <c r="B10" s="98"/>
      <c r="C10" s="16" t="s">
        <v>106</v>
      </c>
      <c r="D10" s="18" t="s">
        <v>168</v>
      </c>
      <c r="E10" s="20">
        <v>2.8605999999999999E-2</v>
      </c>
      <c r="F10" s="33"/>
      <c r="G10" s="33"/>
      <c r="H10" s="33"/>
      <c r="I10" s="33"/>
      <c r="J10" s="33"/>
      <c r="K10" s="33"/>
      <c r="L10" s="33"/>
      <c r="M10" s="33"/>
      <c r="N10" s="33"/>
      <c r="O10" s="33"/>
      <c r="P10" s="33"/>
      <c r="Q10" s="33"/>
      <c r="R10" s="33"/>
      <c r="S10" s="33"/>
      <c r="T10" s="26"/>
      <c r="W10" s="77" t="s">
        <v>24</v>
      </c>
      <c r="X10" s="79">
        <v>9.4338999999999992E-2</v>
      </c>
    </row>
    <row r="11" spans="1:24" ht="15" customHeight="1" x14ac:dyDescent="0.25">
      <c r="B11" s="98"/>
      <c r="C11" s="16" t="s">
        <v>250</v>
      </c>
      <c r="D11" s="18" t="s">
        <v>120</v>
      </c>
      <c r="E11" s="20">
        <v>2.7389E-2</v>
      </c>
      <c r="F11" s="33"/>
      <c r="G11" s="33"/>
      <c r="H11" s="33"/>
      <c r="I11" s="33"/>
      <c r="J11" s="33"/>
      <c r="K11" s="33"/>
      <c r="L11" s="33"/>
      <c r="M11" s="33"/>
      <c r="N11" s="33"/>
      <c r="O11" s="33"/>
      <c r="P11" s="33"/>
      <c r="Q11" s="33"/>
      <c r="R11" s="33"/>
      <c r="S11" s="33"/>
      <c r="T11" s="26"/>
      <c r="W11" s="77" t="s">
        <v>120</v>
      </c>
      <c r="X11" s="79">
        <v>6.9037000000000001E-2</v>
      </c>
    </row>
    <row r="12" spans="1:24" ht="15" customHeight="1" x14ac:dyDescent="0.25">
      <c r="B12" s="98"/>
      <c r="C12" s="16" t="s">
        <v>108</v>
      </c>
      <c r="D12" s="18" t="s">
        <v>16</v>
      </c>
      <c r="E12" s="20">
        <v>2.7362000000000001E-2</v>
      </c>
      <c r="F12" s="33"/>
      <c r="G12" s="33"/>
      <c r="H12" s="33"/>
      <c r="I12" s="33"/>
      <c r="J12" s="33"/>
      <c r="K12" s="33"/>
      <c r="L12" s="33"/>
      <c r="M12" s="33"/>
      <c r="N12" s="33"/>
      <c r="O12" s="33"/>
      <c r="P12" s="33"/>
      <c r="Q12" s="33"/>
      <c r="R12" s="33"/>
      <c r="S12" s="33"/>
      <c r="T12" s="26"/>
      <c r="W12" s="77" t="s">
        <v>179</v>
      </c>
      <c r="X12" s="79">
        <v>5.3845000000000004E-2</v>
      </c>
    </row>
    <row r="13" spans="1:24" ht="15" customHeight="1" x14ac:dyDescent="0.25">
      <c r="B13" s="98"/>
      <c r="C13" s="16" t="s">
        <v>236</v>
      </c>
      <c r="D13" s="18" t="s">
        <v>23</v>
      </c>
      <c r="E13" s="20">
        <v>2.7081999999999998E-2</v>
      </c>
      <c r="F13" s="33"/>
      <c r="G13" s="33"/>
      <c r="H13" s="33"/>
      <c r="I13" s="33"/>
      <c r="J13" s="33"/>
      <c r="K13" s="33"/>
      <c r="L13" s="33"/>
      <c r="M13" s="33"/>
      <c r="N13" s="33"/>
      <c r="O13" s="33"/>
      <c r="P13" s="33"/>
      <c r="Q13" s="33"/>
      <c r="R13" s="33"/>
      <c r="S13" s="33"/>
      <c r="T13" s="26"/>
      <c r="W13" s="77" t="s">
        <v>119</v>
      </c>
      <c r="X13" s="79">
        <v>3.9074999999999999E-2</v>
      </c>
    </row>
    <row r="14" spans="1:24" ht="15" customHeight="1" x14ac:dyDescent="0.25">
      <c r="B14" s="98"/>
      <c r="C14" s="16" t="s">
        <v>138</v>
      </c>
      <c r="D14" s="18" t="s">
        <v>24</v>
      </c>
      <c r="E14" s="20">
        <v>2.6598E-2</v>
      </c>
      <c r="F14" s="33"/>
      <c r="G14" s="33"/>
      <c r="H14" s="33"/>
      <c r="I14" s="33"/>
      <c r="J14" s="33"/>
      <c r="K14" s="33"/>
      <c r="L14" s="33"/>
      <c r="M14" s="33"/>
      <c r="N14" s="33"/>
      <c r="O14" s="33"/>
      <c r="P14" s="33"/>
      <c r="Q14" s="33"/>
      <c r="R14" s="33"/>
      <c r="S14" s="33"/>
      <c r="T14" s="26"/>
      <c r="W14" s="77" t="s">
        <v>4</v>
      </c>
      <c r="X14" s="79">
        <v>3.8925000000000001E-2</v>
      </c>
    </row>
    <row r="15" spans="1:24" ht="15" customHeight="1" x14ac:dyDescent="0.25">
      <c r="B15" s="98"/>
      <c r="C15" s="16" t="s">
        <v>251</v>
      </c>
      <c r="D15" s="18" t="s">
        <v>178</v>
      </c>
      <c r="E15" s="20">
        <v>2.4389000000000001E-2</v>
      </c>
      <c r="F15" s="33"/>
      <c r="G15" s="33"/>
      <c r="H15" s="33"/>
      <c r="I15" s="33"/>
      <c r="J15" s="33"/>
      <c r="K15" s="33"/>
      <c r="L15" s="33"/>
      <c r="M15" s="33"/>
      <c r="N15" s="33"/>
      <c r="O15" s="33"/>
      <c r="P15" s="33"/>
      <c r="Q15" s="33"/>
      <c r="R15" s="33"/>
      <c r="S15" s="33"/>
      <c r="T15" s="26"/>
      <c r="W15" s="77" t="s">
        <v>27</v>
      </c>
      <c r="X15" s="79">
        <v>3.6880999999999997E-2</v>
      </c>
    </row>
    <row r="16" spans="1:24" ht="15" customHeight="1" x14ac:dyDescent="0.25">
      <c r="B16" s="98"/>
      <c r="C16" s="16" t="s">
        <v>107</v>
      </c>
      <c r="D16" s="18" t="s">
        <v>179</v>
      </c>
      <c r="E16" s="20">
        <v>2.4097E-2</v>
      </c>
      <c r="F16" s="33"/>
      <c r="G16" s="33"/>
      <c r="H16" s="33"/>
      <c r="I16" s="33"/>
      <c r="J16" s="33"/>
      <c r="K16" s="33"/>
      <c r="L16" s="33"/>
      <c r="M16" s="33"/>
      <c r="N16" s="33"/>
      <c r="O16" s="33"/>
      <c r="P16" s="33"/>
      <c r="Q16" s="33"/>
      <c r="R16" s="33"/>
      <c r="S16" s="33"/>
      <c r="T16" s="26"/>
      <c r="W16" s="77" t="s">
        <v>170</v>
      </c>
      <c r="X16" s="79">
        <v>3.5971000000000003E-2</v>
      </c>
    </row>
    <row r="17" spans="2:24" ht="15" customHeight="1" x14ac:dyDescent="0.25">
      <c r="B17" s="98"/>
      <c r="C17" s="16" t="s">
        <v>210</v>
      </c>
      <c r="D17" s="18" t="s">
        <v>172</v>
      </c>
      <c r="E17" s="20">
        <v>2.3472E-2</v>
      </c>
      <c r="F17" s="33"/>
      <c r="G17" s="33"/>
      <c r="H17" s="33"/>
      <c r="I17" s="33"/>
      <c r="J17" s="33"/>
      <c r="K17" s="33"/>
      <c r="L17" s="33"/>
      <c r="M17" s="33"/>
      <c r="N17" s="33"/>
      <c r="O17" s="33"/>
      <c r="P17" s="33"/>
      <c r="Q17" s="33"/>
      <c r="R17" s="33"/>
      <c r="S17" s="33"/>
      <c r="T17" s="26"/>
      <c r="W17" s="77" t="s">
        <v>121</v>
      </c>
      <c r="X17" s="79">
        <v>3.3159000000000001E-2</v>
      </c>
    </row>
    <row r="18" spans="2:24" ht="15" customHeight="1" x14ac:dyDescent="0.25">
      <c r="B18" s="98"/>
      <c r="C18" s="16" t="s">
        <v>113</v>
      </c>
      <c r="D18" s="18" t="s">
        <v>3</v>
      </c>
      <c r="E18" s="20">
        <v>2.1961999999999999E-2</v>
      </c>
      <c r="F18" s="33"/>
      <c r="G18" s="33"/>
      <c r="H18" s="33"/>
      <c r="I18" s="33"/>
      <c r="J18" s="33"/>
      <c r="K18" s="33"/>
      <c r="L18" s="33"/>
      <c r="M18" s="33"/>
      <c r="N18" s="33"/>
      <c r="O18" s="33"/>
      <c r="P18" s="33"/>
      <c r="Q18" s="33"/>
      <c r="R18" s="33"/>
      <c r="S18" s="33"/>
      <c r="T18" s="26"/>
      <c r="W18" s="77" t="s">
        <v>109</v>
      </c>
      <c r="X18" s="79">
        <v>3.1744999999999995E-2</v>
      </c>
    </row>
    <row r="19" spans="2:24" ht="15" customHeight="1" x14ac:dyDescent="0.25">
      <c r="B19" s="98"/>
      <c r="C19" s="16" t="s">
        <v>192</v>
      </c>
      <c r="D19" s="18" t="s">
        <v>193</v>
      </c>
      <c r="E19" s="20">
        <v>2.1078E-2</v>
      </c>
      <c r="F19" s="33"/>
      <c r="G19" s="33"/>
      <c r="H19" s="33"/>
      <c r="I19" s="33"/>
      <c r="J19" s="33"/>
      <c r="K19" s="33"/>
      <c r="L19" s="33"/>
      <c r="M19" s="33"/>
      <c r="N19" s="33"/>
      <c r="O19" s="33"/>
      <c r="P19" s="33"/>
      <c r="Q19" s="33"/>
      <c r="R19" s="33"/>
      <c r="S19" s="33"/>
      <c r="T19" s="26"/>
      <c r="W19" s="77" t="s">
        <v>169</v>
      </c>
      <c r="X19" s="79">
        <v>3.1697000000000003E-2</v>
      </c>
    </row>
    <row r="20" spans="2:24" ht="15" customHeight="1" x14ac:dyDescent="0.25">
      <c r="B20" s="98"/>
      <c r="C20" s="16" t="s">
        <v>162</v>
      </c>
      <c r="D20" s="18" t="s">
        <v>119</v>
      </c>
      <c r="E20" s="20">
        <v>2.0988E-2</v>
      </c>
      <c r="F20" s="33"/>
      <c r="G20" s="33"/>
      <c r="H20" s="33"/>
      <c r="I20" s="33"/>
      <c r="J20" s="33"/>
      <c r="K20" s="33"/>
      <c r="L20" s="33"/>
      <c r="M20" s="33"/>
      <c r="N20" s="33"/>
      <c r="O20" s="33"/>
      <c r="P20" s="33"/>
      <c r="Q20" s="33"/>
      <c r="R20" s="33"/>
      <c r="S20" s="33"/>
      <c r="T20" s="26"/>
      <c r="W20" s="77" t="s">
        <v>3</v>
      </c>
      <c r="X20" s="79">
        <v>3.0776999999999999E-2</v>
      </c>
    </row>
    <row r="21" spans="2:24" ht="15" customHeight="1" x14ac:dyDescent="0.25">
      <c r="B21" s="98"/>
      <c r="C21" s="16" t="s">
        <v>259</v>
      </c>
      <c r="D21" s="18" t="s">
        <v>120</v>
      </c>
      <c r="E21" s="20">
        <v>2.0031E-2</v>
      </c>
      <c r="F21" s="33"/>
      <c r="G21" s="33"/>
      <c r="H21" s="33"/>
      <c r="I21" s="33"/>
      <c r="J21" s="33"/>
      <c r="K21" s="33"/>
      <c r="L21" s="33"/>
      <c r="M21" s="33"/>
      <c r="N21" s="33"/>
      <c r="O21" s="33"/>
      <c r="P21" s="33"/>
      <c r="Q21" s="33"/>
      <c r="R21" s="33"/>
      <c r="S21" s="33"/>
      <c r="T21" s="26"/>
      <c r="W21" s="77" t="s">
        <v>168</v>
      </c>
      <c r="X21" s="79">
        <v>2.8605999999999999E-2</v>
      </c>
    </row>
    <row r="22" spans="2:24" ht="15" customHeight="1" x14ac:dyDescent="0.25">
      <c r="B22" s="98"/>
      <c r="C22" s="16" t="s">
        <v>190</v>
      </c>
      <c r="D22" s="18" t="s">
        <v>172</v>
      </c>
      <c r="E22" s="20">
        <v>1.9868E-2</v>
      </c>
      <c r="F22" s="33"/>
      <c r="G22" s="33"/>
      <c r="H22" s="33"/>
      <c r="I22" s="33"/>
      <c r="J22" s="33"/>
      <c r="K22" s="33"/>
      <c r="L22" s="33"/>
      <c r="M22" s="33"/>
      <c r="N22" s="33"/>
      <c r="O22" s="33"/>
      <c r="P22" s="33"/>
      <c r="Q22" s="33"/>
      <c r="R22" s="33"/>
      <c r="S22" s="33"/>
      <c r="T22" s="26"/>
      <c r="W22" s="77" t="s">
        <v>23</v>
      </c>
      <c r="X22" s="79">
        <v>2.7081999999999998E-2</v>
      </c>
    </row>
    <row r="23" spans="2:24" ht="15" customHeight="1" x14ac:dyDescent="0.25">
      <c r="B23" s="98"/>
      <c r="C23" s="90"/>
      <c r="D23" s="192"/>
      <c r="E23" s="91"/>
      <c r="F23" s="33"/>
      <c r="G23" s="33"/>
      <c r="H23" s="33"/>
      <c r="I23" s="33"/>
      <c r="J23" s="33"/>
      <c r="K23" s="33"/>
      <c r="L23" s="33"/>
      <c r="M23" s="33"/>
      <c r="N23" s="33"/>
      <c r="O23" s="33"/>
      <c r="P23" s="33"/>
      <c r="Q23" s="33"/>
      <c r="R23" s="33"/>
      <c r="S23" s="33"/>
      <c r="T23" s="26"/>
      <c r="W23" s="77" t="s">
        <v>178</v>
      </c>
      <c r="X23" s="79">
        <v>2.4389000000000001E-2</v>
      </c>
    </row>
    <row r="24" spans="2:24" ht="15" customHeight="1" x14ac:dyDescent="0.25">
      <c r="B24" s="98"/>
      <c r="C24" s="92" t="s">
        <v>64</v>
      </c>
      <c r="D24" s="93"/>
      <c r="E24" s="94">
        <f>SUM(E8:E22)</f>
        <v>0.37300699999999998</v>
      </c>
      <c r="F24" s="33"/>
      <c r="G24" s="33"/>
      <c r="H24" s="33"/>
      <c r="I24" s="33"/>
      <c r="J24" s="33"/>
      <c r="K24" s="33"/>
      <c r="L24" s="33"/>
      <c r="M24" s="33"/>
      <c r="N24" s="33"/>
      <c r="O24" s="33"/>
      <c r="P24" s="33"/>
      <c r="Q24" s="33"/>
      <c r="R24" s="33"/>
      <c r="S24" s="33"/>
      <c r="T24" s="26"/>
      <c r="W24" s="77" t="s">
        <v>174</v>
      </c>
      <c r="X24" s="79">
        <v>2.3461000000000003E-2</v>
      </c>
    </row>
    <row r="25" spans="2:24" ht="15" customHeight="1" x14ac:dyDescent="0.25">
      <c r="B25" s="98"/>
      <c r="F25" s="33"/>
      <c r="G25" s="33"/>
      <c r="H25" s="33"/>
      <c r="I25" s="33"/>
      <c r="J25" s="33"/>
      <c r="K25" s="33"/>
      <c r="L25" s="33"/>
      <c r="M25" s="33"/>
      <c r="N25" s="33"/>
      <c r="O25" s="33"/>
      <c r="P25" s="33"/>
      <c r="Q25" s="33"/>
      <c r="R25" s="33"/>
      <c r="S25" s="33"/>
      <c r="T25" s="26"/>
      <c r="W25" s="77" t="s">
        <v>193</v>
      </c>
      <c r="X25" s="79">
        <v>2.1078E-2</v>
      </c>
    </row>
    <row r="26" spans="2:24" ht="15" customHeight="1" x14ac:dyDescent="0.25">
      <c r="B26" s="98"/>
      <c r="F26" s="33"/>
      <c r="G26" s="33"/>
      <c r="H26" s="33"/>
      <c r="I26" s="33"/>
      <c r="J26" s="33"/>
      <c r="K26" s="33"/>
      <c r="L26" s="33"/>
      <c r="M26" s="33"/>
      <c r="N26" s="33"/>
      <c r="O26" s="33"/>
      <c r="P26" s="33"/>
      <c r="Q26" s="33"/>
      <c r="R26" s="33"/>
      <c r="S26" s="33"/>
      <c r="T26" s="26"/>
      <c r="W26" s="77" t="s">
        <v>176</v>
      </c>
      <c r="X26" s="79">
        <v>1.7954999999999999E-2</v>
      </c>
    </row>
    <row r="27" spans="2:24" ht="15" customHeight="1" x14ac:dyDescent="0.25">
      <c r="B27" s="98"/>
      <c r="F27" s="33"/>
      <c r="G27" s="33"/>
      <c r="H27" s="33"/>
      <c r="I27" s="33"/>
      <c r="J27" s="33"/>
      <c r="K27" s="33"/>
      <c r="L27" s="33"/>
      <c r="M27" s="33"/>
      <c r="N27" s="33"/>
      <c r="O27" s="33"/>
      <c r="P27" s="33"/>
      <c r="Q27" s="33"/>
      <c r="R27" s="33"/>
      <c r="S27" s="33"/>
      <c r="T27" s="26"/>
      <c r="W27" s="77" t="s">
        <v>191</v>
      </c>
      <c r="X27" s="79">
        <v>1.5551000000000001E-2</v>
      </c>
    </row>
    <row r="28" spans="2:24" ht="15" customHeight="1" x14ac:dyDescent="0.25">
      <c r="B28" s="98"/>
      <c r="F28" s="33"/>
      <c r="G28" s="33"/>
      <c r="H28" s="33"/>
      <c r="I28" s="33"/>
      <c r="J28" s="33"/>
      <c r="K28" s="33"/>
      <c r="L28" s="33"/>
      <c r="M28" s="33"/>
      <c r="N28" s="33"/>
      <c r="O28" s="33"/>
      <c r="P28" s="33"/>
      <c r="Q28" s="33"/>
      <c r="R28" s="33"/>
      <c r="S28" s="33"/>
      <c r="T28" s="26"/>
      <c r="W28" s="77" t="s">
        <v>177</v>
      </c>
      <c r="X28" s="79">
        <v>1.5452E-2</v>
      </c>
    </row>
    <row r="29" spans="2:24" ht="15" customHeight="1" x14ac:dyDescent="0.25">
      <c r="B29" s="98"/>
      <c r="F29" s="33"/>
      <c r="G29" s="33"/>
      <c r="H29" s="33"/>
      <c r="I29" s="33"/>
      <c r="J29" s="33"/>
      <c r="K29" s="33"/>
      <c r="L29" s="33"/>
      <c r="M29" s="33"/>
      <c r="N29" s="33"/>
      <c r="O29" s="33"/>
      <c r="P29" s="33"/>
      <c r="Q29" s="33"/>
      <c r="R29" s="33"/>
      <c r="S29" s="33"/>
      <c r="T29" s="26"/>
      <c r="W29" s="77" t="s">
        <v>175</v>
      </c>
      <c r="X29" s="79">
        <v>1.4982000000000001E-2</v>
      </c>
    </row>
    <row r="30" spans="2:24" ht="15" customHeight="1" x14ac:dyDescent="0.25">
      <c r="B30" s="98"/>
      <c r="F30" s="33"/>
      <c r="G30" s="33"/>
      <c r="H30" s="33"/>
      <c r="I30" s="33"/>
      <c r="J30" s="33"/>
      <c r="K30" s="33"/>
      <c r="L30" s="33"/>
      <c r="M30" s="33"/>
      <c r="N30" s="33"/>
      <c r="O30" s="33"/>
      <c r="P30" s="33"/>
      <c r="Q30" s="33"/>
      <c r="R30" s="33"/>
      <c r="S30" s="33"/>
      <c r="T30" s="26"/>
      <c r="W30" s="77" t="s">
        <v>181</v>
      </c>
      <c r="X30" s="79">
        <v>1.4459E-2</v>
      </c>
    </row>
    <row r="31" spans="2:24" ht="15" customHeight="1" x14ac:dyDescent="0.25">
      <c r="B31" s="98"/>
      <c r="F31" s="33"/>
      <c r="G31" s="33"/>
      <c r="H31" s="33"/>
      <c r="I31" s="33"/>
      <c r="J31" s="33"/>
      <c r="K31" s="33"/>
      <c r="L31" s="33"/>
      <c r="M31" s="33"/>
      <c r="N31" s="33"/>
      <c r="O31" s="33"/>
      <c r="P31" s="33"/>
      <c r="Q31" s="33"/>
      <c r="R31" s="33"/>
      <c r="S31" s="33"/>
      <c r="T31" s="26"/>
      <c r="W31" s="77" t="s">
        <v>185</v>
      </c>
      <c r="X31" s="79">
        <v>1.4244E-2</v>
      </c>
    </row>
    <row r="32" spans="2:24" ht="15" customHeight="1" x14ac:dyDescent="0.25">
      <c r="B32" s="98"/>
      <c r="F32" s="33"/>
      <c r="G32" s="33"/>
      <c r="H32" s="33"/>
      <c r="I32" s="33"/>
      <c r="J32" s="33"/>
      <c r="K32" s="33"/>
      <c r="L32" s="33"/>
      <c r="M32" s="33"/>
      <c r="N32" s="33"/>
      <c r="O32" s="33"/>
      <c r="P32" s="33"/>
      <c r="Q32" s="33"/>
      <c r="R32" s="33"/>
      <c r="S32" s="33"/>
      <c r="T32" s="26"/>
      <c r="W32" s="77" t="s">
        <v>188</v>
      </c>
      <c r="X32" s="79">
        <v>1.3521E-2</v>
      </c>
    </row>
    <row r="33" spans="2:24" ht="15.75" customHeight="1" x14ac:dyDescent="0.25">
      <c r="B33" s="98"/>
      <c r="F33" s="33"/>
      <c r="G33" s="33"/>
      <c r="H33" s="33"/>
      <c r="I33" s="33"/>
      <c r="J33" s="33"/>
      <c r="K33" s="33"/>
      <c r="L33" s="33"/>
      <c r="M33" s="33"/>
      <c r="N33" s="33"/>
      <c r="O33" s="33"/>
      <c r="P33" s="33"/>
      <c r="Q33" s="33"/>
      <c r="R33" s="33"/>
      <c r="S33" s="33"/>
      <c r="T33" s="26"/>
      <c r="W33" s="77" t="s">
        <v>194</v>
      </c>
      <c r="X33" s="79">
        <v>1.2439E-2</v>
      </c>
    </row>
    <row r="34" spans="2:24" ht="15.75" customHeight="1" x14ac:dyDescent="0.25">
      <c r="B34" s="98"/>
      <c r="F34" s="33"/>
      <c r="G34" s="33"/>
      <c r="H34" s="33"/>
      <c r="I34" s="33"/>
      <c r="J34" s="33"/>
      <c r="K34" s="33"/>
      <c r="L34" s="33"/>
      <c r="M34" s="33"/>
      <c r="N34" s="33"/>
      <c r="O34" s="33"/>
      <c r="P34" s="33"/>
      <c r="Q34" s="33"/>
      <c r="R34" s="33"/>
      <c r="S34" s="33"/>
      <c r="T34" s="26"/>
      <c r="W34" s="77" t="s">
        <v>187</v>
      </c>
      <c r="X34" s="79">
        <v>1.1132E-2</v>
      </c>
    </row>
    <row r="35" spans="2:24" ht="15.75" customHeight="1" x14ac:dyDescent="0.25">
      <c r="B35" s="98"/>
      <c r="F35" s="33"/>
      <c r="G35" s="33"/>
      <c r="H35" s="33"/>
      <c r="I35" s="33"/>
      <c r="J35" s="33"/>
      <c r="K35" s="33"/>
      <c r="L35" s="33"/>
      <c r="M35" s="33"/>
      <c r="N35" s="33"/>
      <c r="O35" s="33"/>
      <c r="P35" s="33"/>
      <c r="Q35" s="33"/>
      <c r="R35" s="33"/>
      <c r="S35" s="33"/>
      <c r="T35" s="26"/>
      <c r="W35" s="77" t="s">
        <v>215</v>
      </c>
      <c r="X35" s="79">
        <v>1.1086E-2</v>
      </c>
    </row>
    <row r="36" spans="2:24" ht="15.75" customHeight="1" x14ac:dyDescent="0.25">
      <c r="B36" s="98"/>
      <c r="F36" s="33"/>
      <c r="G36" s="33"/>
      <c r="H36" s="33"/>
      <c r="I36" s="33"/>
      <c r="J36" s="33"/>
      <c r="K36" s="33"/>
      <c r="L36" s="33"/>
      <c r="M36" s="33"/>
      <c r="N36" s="33"/>
      <c r="O36" s="33"/>
      <c r="P36" s="33"/>
      <c r="Q36" s="33"/>
      <c r="R36" s="33"/>
      <c r="S36" s="33"/>
      <c r="T36" s="26"/>
      <c r="W36" s="77" t="s">
        <v>6</v>
      </c>
      <c r="X36" s="79">
        <v>1.1041E-2</v>
      </c>
    </row>
    <row r="37" spans="2:24" ht="15.75" customHeight="1" x14ac:dyDescent="0.25">
      <c r="B37" s="98"/>
      <c r="F37" s="33"/>
      <c r="G37" s="33"/>
      <c r="H37" s="33"/>
      <c r="I37" s="33"/>
      <c r="J37" s="33"/>
      <c r="K37" s="33"/>
      <c r="L37" s="33"/>
      <c r="M37" s="33"/>
      <c r="N37" s="33"/>
      <c r="O37" s="33"/>
      <c r="P37" s="33"/>
      <c r="Q37" s="33"/>
      <c r="R37" s="33"/>
      <c r="S37" s="33"/>
      <c r="T37" s="26"/>
      <c r="W37" s="77" t="s">
        <v>25</v>
      </c>
      <c r="X37" s="79">
        <v>8.6370000000000006E-3</v>
      </c>
    </row>
    <row r="38" spans="2:24" ht="15" customHeight="1" thickBot="1" x14ac:dyDescent="0.3">
      <c r="B38" s="99"/>
      <c r="C38" s="100"/>
      <c r="D38" s="100"/>
      <c r="E38" s="100"/>
      <c r="F38" s="100"/>
      <c r="G38" s="100"/>
      <c r="H38" s="100"/>
      <c r="I38" s="100"/>
      <c r="J38" s="100"/>
      <c r="K38" s="100"/>
      <c r="L38" s="100"/>
      <c r="M38" s="100"/>
      <c r="N38" s="100"/>
      <c r="O38" s="100"/>
      <c r="P38" s="100"/>
      <c r="Q38" s="100"/>
      <c r="R38" s="100"/>
      <c r="S38" s="100"/>
      <c r="T38" s="27"/>
      <c r="W38" s="45" t="s">
        <v>184</v>
      </c>
      <c r="X38" s="79">
        <v>6.1840000000000003E-3</v>
      </c>
    </row>
    <row r="39" spans="2:24" ht="15" customHeight="1" thickBot="1" x14ac:dyDescent="0.3"/>
    <row r="40" spans="2:24" ht="15" customHeight="1" x14ac:dyDescent="0.25">
      <c r="B40" s="225" t="s">
        <v>117</v>
      </c>
      <c r="C40" s="226"/>
      <c r="D40" s="226"/>
      <c r="E40" s="226"/>
      <c r="F40" s="226"/>
      <c r="G40" s="226"/>
      <c r="H40" s="226"/>
      <c r="I40" s="226"/>
      <c r="J40" s="226"/>
      <c r="K40" s="226"/>
      <c r="L40" s="226"/>
      <c r="M40" s="226"/>
      <c r="N40" s="226"/>
      <c r="O40" s="226"/>
      <c r="P40" s="226"/>
      <c r="Q40" s="226"/>
      <c r="R40" s="227"/>
    </row>
    <row r="41" spans="2:24" ht="15" customHeight="1" x14ac:dyDescent="0.25">
      <c r="B41" s="228"/>
      <c r="C41" s="229"/>
      <c r="D41" s="229"/>
      <c r="E41" s="229"/>
      <c r="F41" s="229"/>
      <c r="G41" s="229"/>
      <c r="H41" s="229"/>
      <c r="I41" s="229"/>
      <c r="J41" s="229"/>
      <c r="K41" s="229"/>
      <c r="L41" s="229"/>
      <c r="M41" s="229"/>
      <c r="N41" s="229"/>
      <c r="O41" s="229"/>
      <c r="P41" s="229"/>
      <c r="Q41" s="229"/>
      <c r="R41" s="230"/>
    </row>
    <row r="42" spans="2:24" ht="15" customHeight="1" x14ac:dyDescent="0.25">
      <c r="B42" s="228"/>
      <c r="C42" s="229"/>
      <c r="D42" s="229"/>
      <c r="E42" s="229"/>
      <c r="F42" s="229"/>
      <c r="G42" s="229"/>
      <c r="H42" s="229"/>
      <c r="I42" s="229"/>
      <c r="J42" s="229"/>
      <c r="K42" s="229"/>
      <c r="L42" s="229"/>
      <c r="M42" s="229"/>
      <c r="N42" s="229"/>
      <c r="O42" s="229"/>
      <c r="P42" s="229"/>
      <c r="Q42" s="229"/>
      <c r="R42" s="230"/>
    </row>
    <row r="43" spans="2:24" ht="15" customHeight="1" x14ac:dyDescent="0.25">
      <c r="B43" s="228"/>
      <c r="C43" s="229"/>
      <c r="D43" s="229"/>
      <c r="E43" s="229"/>
      <c r="F43" s="229"/>
      <c r="G43" s="229"/>
      <c r="H43" s="229"/>
      <c r="I43" s="229"/>
      <c r="J43" s="229"/>
      <c r="K43" s="229"/>
      <c r="L43" s="229"/>
      <c r="M43" s="229"/>
      <c r="N43" s="229"/>
      <c r="O43" s="229"/>
      <c r="P43" s="229"/>
      <c r="Q43" s="229"/>
      <c r="R43" s="230"/>
    </row>
    <row r="44" spans="2:24" ht="15" customHeight="1" x14ac:dyDescent="0.25">
      <c r="B44" s="228"/>
      <c r="C44" s="229"/>
      <c r="D44" s="229"/>
      <c r="E44" s="229"/>
      <c r="F44" s="229"/>
      <c r="G44" s="229"/>
      <c r="H44" s="229"/>
      <c r="I44" s="229"/>
      <c r="J44" s="229"/>
      <c r="K44" s="229"/>
      <c r="L44" s="229"/>
      <c r="M44" s="229"/>
      <c r="N44" s="229"/>
      <c r="O44" s="229"/>
      <c r="P44" s="229"/>
      <c r="Q44" s="229"/>
      <c r="R44" s="230"/>
    </row>
    <row r="45" spans="2:24" ht="15" customHeight="1" x14ac:dyDescent="0.25">
      <c r="B45" s="228"/>
      <c r="C45" s="229"/>
      <c r="D45" s="229"/>
      <c r="E45" s="229"/>
      <c r="F45" s="229"/>
      <c r="G45" s="229"/>
      <c r="H45" s="229"/>
      <c r="I45" s="229"/>
      <c r="J45" s="229"/>
      <c r="K45" s="229"/>
      <c r="L45" s="229"/>
      <c r="M45" s="229"/>
      <c r="N45" s="229"/>
      <c r="O45" s="229"/>
      <c r="P45" s="229"/>
      <c r="Q45" s="229"/>
      <c r="R45" s="230"/>
    </row>
    <row r="46" spans="2:24" ht="15" customHeight="1" thickBot="1" x14ac:dyDescent="0.3">
      <c r="B46" s="231"/>
      <c r="C46" s="232"/>
      <c r="D46" s="232"/>
      <c r="E46" s="232"/>
      <c r="F46" s="232"/>
      <c r="G46" s="232"/>
      <c r="H46" s="232"/>
      <c r="I46" s="232"/>
      <c r="J46" s="232"/>
      <c r="K46" s="232"/>
      <c r="L46" s="232"/>
      <c r="M46" s="232"/>
      <c r="N46" s="232"/>
      <c r="O46" s="232"/>
      <c r="P46" s="232"/>
      <c r="Q46" s="232"/>
      <c r="R46" s="233"/>
    </row>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row r="68"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dimension ref="A1:AB63"/>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27.140625" style="23" customWidth="1"/>
    <col min="5" max="5" width="10.42578125" style="23" bestFit="1" customWidth="1"/>
    <col min="6" max="18" width="9.140625" style="23"/>
    <col min="19" max="19" width="9.85546875" style="23" customWidth="1"/>
    <col min="20" max="20" width="9.140625" style="23"/>
    <col min="21" max="22" width="9.140625" style="45"/>
    <col min="23" max="23" width="46.42578125" style="45" bestFit="1" customWidth="1"/>
    <col min="24" max="24" width="9.140625" style="45" bestFit="1" customWidth="1"/>
    <col min="25" max="28" width="9.140625" style="45"/>
    <col min="29" max="16384" width="9.140625" style="23"/>
  </cols>
  <sheetData>
    <row r="1" spans="1:24" ht="15.75" customHeight="1" thickBot="1" x14ac:dyDescent="0.3">
      <c r="A1" s="3"/>
    </row>
    <row r="2" spans="1:24" ht="15" customHeight="1" x14ac:dyDescent="0.25">
      <c r="B2" s="96"/>
      <c r="C2" s="97"/>
      <c r="D2" s="97"/>
      <c r="E2" s="97"/>
      <c r="F2" s="97"/>
      <c r="G2" s="97"/>
      <c r="H2" s="97"/>
      <c r="I2" s="97"/>
      <c r="J2" s="97"/>
      <c r="K2" s="97"/>
      <c r="L2" s="97"/>
      <c r="M2" s="97"/>
      <c r="N2" s="97"/>
      <c r="O2" s="97"/>
      <c r="P2" s="97"/>
      <c r="Q2" s="97"/>
      <c r="R2" s="97"/>
      <c r="S2" s="97"/>
      <c r="T2" s="25"/>
    </row>
    <row r="3" spans="1:24" ht="20.25" customHeight="1" x14ac:dyDescent="0.25">
      <c r="B3" s="98"/>
      <c r="C3" s="234" t="s">
        <v>26</v>
      </c>
      <c r="D3" s="235"/>
      <c r="E3" s="235"/>
      <c r="F3" s="235"/>
      <c r="G3" s="235"/>
      <c r="H3" s="235"/>
      <c r="I3" s="235"/>
      <c r="J3" s="235"/>
      <c r="K3" s="235"/>
      <c r="L3" s="235"/>
      <c r="M3" s="235"/>
      <c r="N3" s="235"/>
      <c r="O3" s="235"/>
      <c r="P3" s="235"/>
      <c r="Q3" s="235"/>
      <c r="R3" s="235"/>
      <c r="S3" s="235"/>
      <c r="T3" s="26"/>
    </row>
    <row r="4" spans="1:24" ht="15.75" customHeight="1" x14ac:dyDescent="0.25">
      <c r="B4" s="98"/>
      <c r="C4" s="85" t="s">
        <v>271</v>
      </c>
      <c r="D4" s="33"/>
      <c r="E4" s="33"/>
      <c r="F4" s="33"/>
      <c r="G4" s="33"/>
      <c r="H4" s="33"/>
      <c r="I4" s="33"/>
      <c r="J4" s="33"/>
      <c r="K4" s="33"/>
      <c r="L4" s="33"/>
      <c r="M4" s="33"/>
      <c r="N4" s="33"/>
      <c r="O4" s="33"/>
      <c r="P4" s="33"/>
      <c r="Q4" s="33"/>
      <c r="R4" s="33"/>
      <c r="S4" s="33"/>
      <c r="T4" s="26"/>
    </row>
    <row r="5" spans="1:24" ht="18" customHeight="1" x14ac:dyDescent="0.25">
      <c r="B5" s="98"/>
      <c r="C5" s="86" t="s">
        <v>272</v>
      </c>
      <c r="D5" s="236" t="s">
        <v>282</v>
      </c>
      <c r="E5" s="236"/>
      <c r="F5" s="185"/>
      <c r="G5" s="33"/>
      <c r="H5" s="33"/>
      <c r="I5" s="33"/>
      <c r="J5" s="33"/>
      <c r="K5" s="33"/>
      <c r="L5" s="33"/>
      <c r="M5" s="33"/>
      <c r="N5" s="33"/>
      <c r="O5" s="33"/>
      <c r="P5" s="33"/>
      <c r="Q5" s="33"/>
      <c r="R5" s="33"/>
      <c r="S5" s="33"/>
      <c r="T5" s="26"/>
    </row>
    <row r="6" spans="1:24" ht="15" customHeight="1" x14ac:dyDescent="0.25">
      <c r="B6" s="98"/>
      <c r="C6" s="33"/>
      <c r="D6" s="33"/>
      <c r="E6" s="33"/>
      <c r="F6" s="33"/>
      <c r="G6" s="33"/>
      <c r="H6" s="33"/>
      <c r="I6" s="33"/>
      <c r="J6" s="33"/>
      <c r="K6" s="33"/>
      <c r="L6" s="33"/>
      <c r="M6" s="33"/>
      <c r="N6" s="33"/>
      <c r="O6" s="33"/>
      <c r="P6" s="33"/>
      <c r="Q6" s="33"/>
      <c r="R6" s="33"/>
      <c r="S6" s="33"/>
      <c r="T6" s="26"/>
    </row>
    <row r="7" spans="1:24" ht="32.25" customHeight="1" x14ac:dyDescent="0.25">
      <c r="B7" s="98"/>
      <c r="C7" s="186" t="s">
        <v>0</v>
      </c>
      <c r="D7" s="187" t="s">
        <v>1</v>
      </c>
      <c r="E7" s="186" t="s">
        <v>2</v>
      </c>
      <c r="F7" s="33"/>
      <c r="G7" s="33"/>
      <c r="H7" s="33"/>
      <c r="I7" s="33"/>
      <c r="J7" s="33"/>
      <c r="K7" s="33"/>
      <c r="L7" s="33"/>
      <c r="M7" s="33"/>
      <c r="N7" s="33"/>
      <c r="O7" s="33"/>
      <c r="P7" s="33"/>
      <c r="Q7" s="33"/>
      <c r="R7" s="33"/>
      <c r="S7" s="33"/>
      <c r="T7" s="26"/>
      <c r="W7" s="45" t="s">
        <v>22</v>
      </c>
      <c r="X7" s="45" t="s">
        <v>2</v>
      </c>
    </row>
    <row r="8" spans="1:24" ht="15" customHeight="1" x14ac:dyDescent="0.25">
      <c r="B8" s="98"/>
      <c r="C8" s="16" t="s">
        <v>36</v>
      </c>
      <c r="D8" s="18" t="s">
        <v>23</v>
      </c>
      <c r="E8" s="21">
        <v>9.9378999999999995E-2</v>
      </c>
      <c r="F8" s="33"/>
      <c r="G8" s="33"/>
      <c r="H8" s="33"/>
      <c r="I8" s="33"/>
      <c r="J8" s="33"/>
      <c r="K8" s="33"/>
      <c r="L8" s="33"/>
      <c r="M8" s="33"/>
      <c r="N8" s="33"/>
      <c r="O8" s="33"/>
      <c r="P8" s="33"/>
      <c r="Q8" s="33"/>
      <c r="R8" s="33"/>
      <c r="S8" s="33"/>
      <c r="T8" s="26"/>
      <c r="W8" s="77" t="s">
        <v>23</v>
      </c>
      <c r="X8" s="79">
        <v>0.27098699999999998</v>
      </c>
    </row>
    <row r="9" spans="1:24" ht="15.75" customHeight="1" x14ac:dyDescent="0.25">
      <c r="B9" s="98"/>
      <c r="C9" s="16" t="s">
        <v>78</v>
      </c>
      <c r="D9" s="18" t="s">
        <v>119</v>
      </c>
      <c r="E9" s="21">
        <v>7.9463000000000006E-2</v>
      </c>
      <c r="F9" s="33"/>
      <c r="G9" s="33"/>
      <c r="H9" s="33"/>
      <c r="I9" s="33"/>
      <c r="J9" s="33"/>
      <c r="K9" s="33"/>
      <c r="L9" s="33"/>
      <c r="M9" s="33"/>
      <c r="N9" s="33"/>
      <c r="O9" s="33"/>
      <c r="P9" s="33"/>
      <c r="Q9" s="33"/>
      <c r="R9" s="33"/>
      <c r="S9" s="33"/>
      <c r="T9" s="26"/>
      <c r="W9" s="77" t="s">
        <v>119</v>
      </c>
      <c r="X9" s="79">
        <v>0.17256100000000002</v>
      </c>
    </row>
    <row r="10" spans="1:24" ht="15" customHeight="1" x14ac:dyDescent="0.25">
      <c r="B10" s="98"/>
      <c r="C10" s="16" t="s">
        <v>89</v>
      </c>
      <c r="D10" s="18" t="s">
        <v>188</v>
      </c>
      <c r="E10" s="21">
        <v>5.7450000000000001E-2</v>
      </c>
      <c r="F10" s="33"/>
      <c r="G10" s="33"/>
      <c r="H10" s="33"/>
      <c r="I10" s="33"/>
      <c r="J10" s="33"/>
      <c r="K10" s="33"/>
      <c r="L10" s="33"/>
      <c r="M10" s="33"/>
      <c r="N10" s="33"/>
      <c r="O10" s="33"/>
      <c r="P10" s="33"/>
      <c r="Q10" s="33"/>
      <c r="R10" s="33"/>
      <c r="S10" s="33"/>
      <c r="T10" s="26"/>
      <c r="W10" s="77" t="s">
        <v>188</v>
      </c>
      <c r="X10" s="79">
        <v>0.10506600000000001</v>
      </c>
    </row>
    <row r="11" spans="1:24" ht="15" customHeight="1" x14ac:dyDescent="0.25">
      <c r="B11" s="98"/>
      <c r="C11" s="16" t="s">
        <v>93</v>
      </c>
      <c r="D11" s="18" t="s">
        <v>12</v>
      </c>
      <c r="E11" s="21">
        <v>5.4378999999999997E-2</v>
      </c>
      <c r="F11" s="33"/>
      <c r="G11" s="33"/>
      <c r="H11" s="33"/>
      <c r="I11" s="33"/>
      <c r="J11" s="33"/>
      <c r="K11" s="33"/>
      <c r="L11" s="33"/>
      <c r="M11" s="33"/>
      <c r="N11" s="33"/>
      <c r="O11" s="33"/>
      <c r="P11" s="33"/>
      <c r="Q11" s="33"/>
      <c r="R11" s="33"/>
      <c r="S11" s="33"/>
      <c r="T11" s="26"/>
      <c r="W11" s="77" t="s">
        <v>182</v>
      </c>
      <c r="X11" s="79">
        <v>7.874600000000001E-2</v>
      </c>
    </row>
    <row r="12" spans="1:24" ht="15" customHeight="1" x14ac:dyDescent="0.25">
      <c r="B12" s="98"/>
      <c r="C12" s="16" t="s">
        <v>91</v>
      </c>
      <c r="D12" s="18" t="s">
        <v>119</v>
      </c>
      <c r="E12" s="21">
        <v>4.4873000000000003E-2</v>
      </c>
      <c r="F12" s="33"/>
      <c r="G12" s="33"/>
      <c r="H12" s="33"/>
      <c r="I12" s="33"/>
      <c r="J12" s="33"/>
      <c r="K12" s="33"/>
      <c r="L12" s="33"/>
      <c r="M12" s="33"/>
      <c r="N12" s="33"/>
      <c r="O12" s="33"/>
      <c r="P12" s="33"/>
      <c r="Q12" s="33"/>
      <c r="R12" s="33"/>
      <c r="S12" s="33"/>
      <c r="T12" s="26"/>
      <c r="W12" s="77" t="s">
        <v>24</v>
      </c>
      <c r="X12" s="79">
        <v>5.7546E-2</v>
      </c>
    </row>
    <row r="13" spans="1:24" ht="15" customHeight="1" x14ac:dyDescent="0.25">
      <c r="B13" s="98"/>
      <c r="C13" s="16" t="s">
        <v>103</v>
      </c>
      <c r="D13" s="18" t="s">
        <v>11</v>
      </c>
      <c r="E13" s="21">
        <v>4.4391E-2</v>
      </c>
      <c r="F13" s="33"/>
      <c r="G13" s="33"/>
      <c r="H13" s="33"/>
      <c r="I13" s="33"/>
      <c r="J13" s="33"/>
      <c r="K13" s="33"/>
      <c r="L13" s="33"/>
      <c r="M13" s="33"/>
      <c r="N13" s="33"/>
      <c r="O13" s="33"/>
      <c r="P13" s="33"/>
      <c r="Q13" s="33"/>
      <c r="R13" s="33"/>
      <c r="S13" s="33"/>
      <c r="T13" s="26"/>
      <c r="W13" s="77" t="s">
        <v>12</v>
      </c>
      <c r="X13" s="79">
        <v>5.4378999999999997E-2</v>
      </c>
    </row>
    <row r="14" spans="1:24" ht="15" customHeight="1" x14ac:dyDescent="0.25">
      <c r="B14" s="98"/>
      <c r="C14" s="16" t="s">
        <v>195</v>
      </c>
      <c r="D14" s="18" t="s">
        <v>123</v>
      </c>
      <c r="E14" s="21">
        <v>4.2215999999999997E-2</v>
      </c>
      <c r="F14" s="33"/>
      <c r="G14" s="33"/>
      <c r="H14" s="33"/>
      <c r="I14" s="33"/>
      <c r="J14" s="33"/>
      <c r="K14" s="33"/>
      <c r="L14" s="33"/>
      <c r="M14" s="33"/>
      <c r="N14" s="33"/>
      <c r="O14" s="33"/>
      <c r="P14" s="33"/>
      <c r="Q14" s="33"/>
      <c r="R14" s="33"/>
      <c r="S14" s="33"/>
      <c r="T14" s="26"/>
      <c r="W14" s="77" t="s">
        <v>11</v>
      </c>
      <c r="X14" s="79">
        <v>5.2324999999999997E-2</v>
      </c>
    </row>
    <row r="15" spans="1:24" ht="15" customHeight="1" x14ac:dyDescent="0.25">
      <c r="B15" s="98"/>
      <c r="C15" s="16" t="s">
        <v>147</v>
      </c>
      <c r="D15" s="18" t="s">
        <v>182</v>
      </c>
      <c r="E15" s="21">
        <v>3.9917000000000001E-2</v>
      </c>
      <c r="F15" s="33"/>
      <c r="G15" s="33"/>
      <c r="H15" s="33"/>
      <c r="I15" s="33"/>
      <c r="J15" s="33"/>
      <c r="K15" s="33"/>
      <c r="L15" s="33"/>
      <c r="M15" s="33"/>
      <c r="N15" s="33"/>
      <c r="O15" s="33"/>
      <c r="P15" s="33"/>
      <c r="Q15" s="33"/>
      <c r="R15" s="33"/>
      <c r="S15" s="33"/>
      <c r="T15" s="26"/>
      <c r="W15" s="77" t="s">
        <v>25</v>
      </c>
      <c r="X15" s="79">
        <v>5.1096000000000003E-2</v>
      </c>
    </row>
    <row r="16" spans="1:24" ht="15" customHeight="1" x14ac:dyDescent="0.25">
      <c r="B16" s="98"/>
      <c r="C16" s="16" t="s">
        <v>148</v>
      </c>
      <c r="D16" s="18" t="s">
        <v>182</v>
      </c>
      <c r="E16" s="21">
        <v>3.8829000000000002E-2</v>
      </c>
      <c r="F16" s="33"/>
      <c r="G16" s="33"/>
      <c r="H16" s="33"/>
      <c r="I16" s="33"/>
      <c r="J16" s="33"/>
      <c r="K16" s="33"/>
      <c r="L16" s="33"/>
      <c r="M16" s="33"/>
      <c r="N16" s="33"/>
      <c r="O16" s="33"/>
      <c r="P16" s="33"/>
      <c r="Q16" s="33"/>
      <c r="R16" s="33"/>
      <c r="S16" s="33"/>
      <c r="T16" s="26"/>
      <c r="W16" s="77" t="s">
        <v>123</v>
      </c>
      <c r="X16" s="79">
        <v>4.2215999999999997E-2</v>
      </c>
    </row>
    <row r="17" spans="2:24" ht="15" customHeight="1" x14ac:dyDescent="0.25">
      <c r="B17" s="98"/>
      <c r="C17" s="16" t="s">
        <v>217</v>
      </c>
      <c r="D17" s="18" t="s">
        <v>119</v>
      </c>
      <c r="E17" s="21">
        <v>3.7451999999999999E-2</v>
      </c>
      <c r="F17" s="33"/>
      <c r="G17" s="33"/>
      <c r="H17" s="33"/>
      <c r="I17" s="33"/>
      <c r="J17" s="33"/>
      <c r="K17" s="33"/>
      <c r="L17" s="33"/>
      <c r="M17" s="33"/>
      <c r="N17" s="33"/>
      <c r="O17" s="33"/>
      <c r="P17" s="33"/>
      <c r="Q17" s="33"/>
      <c r="R17" s="33"/>
      <c r="S17" s="33"/>
      <c r="T17" s="26"/>
      <c r="W17" s="77" t="s">
        <v>10</v>
      </c>
      <c r="X17" s="79">
        <v>3.4583000000000003E-2</v>
      </c>
    </row>
    <row r="18" spans="2:24" ht="15" customHeight="1" x14ac:dyDescent="0.25">
      <c r="B18" s="98"/>
      <c r="C18" s="16" t="s">
        <v>75</v>
      </c>
      <c r="D18" s="18" t="s">
        <v>23</v>
      </c>
      <c r="E18" s="21">
        <v>3.5325000000000002E-2</v>
      </c>
      <c r="F18" s="33"/>
      <c r="G18" s="33"/>
      <c r="H18" s="33"/>
      <c r="I18" s="33"/>
      <c r="J18" s="33"/>
      <c r="K18" s="33"/>
      <c r="L18" s="33"/>
      <c r="M18" s="33"/>
      <c r="N18" s="33"/>
      <c r="O18" s="33"/>
      <c r="P18" s="33"/>
      <c r="Q18" s="33"/>
      <c r="R18" s="33"/>
      <c r="S18" s="33"/>
      <c r="T18" s="26"/>
      <c r="W18" s="77" t="s">
        <v>196</v>
      </c>
      <c r="X18" s="79">
        <v>3.1877999999999997E-2</v>
      </c>
    </row>
    <row r="19" spans="2:24" ht="15" customHeight="1" x14ac:dyDescent="0.25">
      <c r="B19" s="98"/>
      <c r="C19" s="16" t="s">
        <v>95</v>
      </c>
      <c r="D19" s="18" t="s">
        <v>10</v>
      </c>
      <c r="E19" s="21">
        <v>3.4583000000000003E-2</v>
      </c>
      <c r="F19" s="33"/>
      <c r="G19" s="33"/>
      <c r="H19" s="33"/>
      <c r="I19" s="33"/>
      <c r="J19" s="33"/>
      <c r="K19" s="33"/>
      <c r="L19" s="33"/>
      <c r="M19" s="33"/>
      <c r="N19" s="33"/>
      <c r="O19" s="33"/>
      <c r="P19" s="33"/>
      <c r="Q19" s="33"/>
      <c r="R19" s="33"/>
      <c r="S19" s="33"/>
      <c r="T19" s="26"/>
      <c r="W19" s="77" t="s">
        <v>176</v>
      </c>
      <c r="X19" s="79">
        <v>1.1483E-2</v>
      </c>
    </row>
    <row r="20" spans="2:24" ht="15" customHeight="1" x14ac:dyDescent="0.25">
      <c r="B20" s="98"/>
      <c r="C20" s="16" t="s">
        <v>204</v>
      </c>
      <c r="D20" s="18" t="s">
        <v>188</v>
      </c>
      <c r="E20" s="21">
        <v>3.2807000000000003E-2</v>
      </c>
      <c r="F20" s="33"/>
      <c r="G20" s="33"/>
      <c r="H20" s="33"/>
      <c r="I20" s="33"/>
      <c r="J20" s="33"/>
      <c r="K20" s="33"/>
      <c r="L20" s="33"/>
      <c r="M20" s="33"/>
      <c r="N20" s="33"/>
      <c r="O20" s="33"/>
      <c r="P20" s="33"/>
      <c r="Q20" s="33"/>
      <c r="R20" s="33"/>
      <c r="S20" s="33"/>
      <c r="T20" s="26"/>
      <c r="W20" s="77" t="s">
        <v>15</v>
      </c>
      <c r="X20" s="79">
        <v>1.0585000000000001E-2</v>
      </c>
    </row>
    <row r="21" spans="2:24" ht="15" customHeight="1" x14ac:dyDescent="0.25">
      <c r="B21" s="98"/>
      <c r="C21" s="16" t="s">
        <v>260</v>
      </c>
      <c r="D21" s="18" t="s">
        <v>23</v>
      </c>
      <c r="E21" s="21">
        <v>3.2550999999999997E-2</v>
      </c>
      <c r="F21" s="33"/>
      <c r="G21" s="33"/>
      <c r="H21" s="33"/>
      <c r="I21" s="33"/>
      <c r="J21" s="33"/>
      <c r="K21" s="33"/>
      <c r="L21" s="33"/>
      <c r="M21" s="33"/>
      <c r="N21" s="33"/>
      <c r="O21" s="33"/>
      <c r="P21" s="33"/>
      <c r="Q21" s="33"/>
      <c r="R21" s="33"/>
      <c r="S21" s="33"/>
      <c r="T21" s="26"/>
      <c r="W21" s="77" t="s">
        <v>6</v>
      </c>
      <c r="X21" s="79">
        <v>9.3229999999999997E-3</v>
      </c>
    </row>
    <row r="22" spans="2:24" ht="15" customHeight="1" x14ac:dyDescent="0.25">
      <c r="B22" s="98"/>
      <c r="C22" s="16" t="s">
        <v>252</v>
      </c>
      <c r="D22" s="18" t="s">
        <v>23</v>
      </c>
      <c r="E22" s="21">
        <v>3.2506E-2</v>
      </c>
      <c r="F22" s="33"/>
      <c r="G22" s="33"/>
      <c r="H22" s="33"/>
      <c r="I22" s="33"/>
      <c r="J22" s="33"/>
      <c r="K22" s="33"/>
      <c r="L22" s="33"/>
      <c r="M22" s="33"/>
      <c r="N22" s="33"/>
      <c r="O22" s="33"/>
      <c r="P22" s="33"/>
      <c r="Q22" s="33"/>
      <c r="R22" s="33"/>
      <c r="S22" s="33"/>
      <c r="T22" s="26"/>
      <c r="W22" s="68" t="s">
        <v>189</v>
      </c>
      <c r="X22" s="69">
        <v>7.6689999999999996E-3</v>
      </c>
    </row>
    <row r="23" spans="2:24" ht="15" customHeight="1" x14ac:dyDescent="0.25">
      <c r="B23" s="98"/>
      <c r="C23" s="90"/>
      <c r="D23" s="90"/>
      <c r="E23" s="188"/>
      <c r="F23" s="33"/>
      <c r="G23" s="33"/>
      <c r="H23" s="33"/>
      <c r="I23" s="33"/>
      <c r="J23" s="33"/>
      <c r="K23" s="33"/>
      <c r="L23" s="33"/>
      <c r="M23" s="33"/>
      <c r="N23" s="33"/>
      <c r="O23" s="33"/>
      <c r="P23" s="33"/>
      <c r="Q23" s="33"/>
      <c r="R23" s="33"/>
      <c r="S23" s="33"/>
      <c r="T23" s="26"/>
      <c r="W23" s="68"/>
      <c r="X23" s="69"/>
    </row>
    <row r="24" spans="2:24" ht="15" customHeight="1" x14ac:dyDescent="0.25">
      <c r="B24" s="98"/>
      <c r="C24" s="92" t="s">
        <v>64</v>
      </c>
      <c r="D24" s="93"/>
      <c r="E24" s="94">
        <f>SUM(E8:E22)</f>
        <v>0.70612100000000011</v>
      </c>
      <c r="F24" s="33"/>
      <c r="G24" s="33"/>
      <c r="H24" s="33"/>
      <c r="I24" s="33"/>
      <c r="J24" s="33"/>
      <c r="K24" s="33"/>
      <c r="L24" s="33"/>
      <c r="M24" s="33"/>
      <c r="N24" s="33"/>
      <c r="O24" s="33"/>
      <c r="P24" s="33"/>
      <c r="Q24" s="33"/>
      <c r="R24" s="33"/>
      <c r="S24" s="33"/>
      <c r="T24" s="26"/>
      <c r="W24" s="68"/>
      <c r="X24" s="69"/>
    </row>
    <row r="25" spans="2:24" ht="15" customHeight="1" x14ac:dyDescent="0.25">
      <c r="B25" s="98"/>
      <c r="F25" s="33"/>
      <c r="G25" s="33"/>
      <c r="H25" s="33"/>
      <c r="I25" s="33"/>
      <c r="J25" s="33"/>
      <c r="K25" s="33"/>
      <c r="L25" s="33"/>
      <c r="M25" s="33"/>
      <c r="N25" s="33"/>
      <c r="O25" s="33"/>
      <c r="P25" s="33"/>
      <c r="Q25" s="33"/>
      <c r="R25" s="33"/>
      <c r="S25" s="33"/>
      <c r="T25" s="26"/>
      <c r="W25" s="68"/>
      <c r="X25" s="69"/>
    </row>
    <row r="26" spans="2:24" ht="15" customHeight="1" x14ac:dyDescent="0.25">
      <c r="B26" s="98"/>
      <c r="F26" s="33"/>
      <c r="G26" s="33"/>
      <c r="H26" s="33"/>
      <c r="I26" s="33"/>
      <c r="J26" s="33"/>
      <c r="K26" s="33"/>
      <c r="L26" s="33"/>
      <c r="M26" s="33"/>
      <c r="N26" s="33"/>
      <c r="O26" s="33"/>
      <c r="P26" s="33"/>
      <c r="Q26" s="33"/>
      <c r="R26" s="33"/>
      <c r="S26" s="33"/>
      <c r="T26" s="26"/>
      <c r="W26" s="68"/>
      <c r="X26" s="69"/>
    </row>
    <row r="27" spans="2:24" ht="15" customHeight="1" x14ac:dyDescent="0.25">
      <c r="B27" s="98"/>
      <c r="F27" s="33"/>
      <c r="G27" s="33"/>
      <c r="H27" s="33"/>
      <c r="I27" s="33"/>
      <c r="J27" s="33"/>
      <c r="K27" s="33"/>
      <c r="L27" s="33"/>
      <c r="M27" s="33"/>
      <c r="N27" s="33"/>
      <c r="O27" s="33"/>
      <c r="P27" s="33"/>
      <c r="Q27" s="33"/>
      <c r="R27" s="33"/>
      <c r="S27" s="33"/>
      <c r="T27" s="26"/>
      <c r="W27" s="189"/>
      <c r="X27" s="190"/>
    </row>
    <row r="28" spans="2:24" ht="15" customHeight="1" x14ac:dyDescent="0.25">
      <c r="B28" s="98"/>
      <c r="F28" s="33"/>
      <c r="G28" s="33"/>
      <c r="H28" s="33"/>
      <c r="I28" s="33"/>
      <c r="J28" s="33"/>
      <c r="K28" s="33"/>
      <c r="L28" s="33"/>
      <c r="M28" s="33"/>
      <c r="N28" s="33"/>
      <c r="O28" s="33"/>
      <c r="P28" s="33"/>
      <c r="Q28" s="33"/>
      <c r="R28" s="33"/>
      <c r="S28" s="33"/>
      <c r="T28" s="26"/>
      <c r="W28" s="189"/>
      <c r="X28" s="190"/>
    </row>
    <row r="29" spans="2:24" ht="15" customHeight="1" x14ac:dyDescent="0.25">
      <c r="B29" s="98"/>
      <c r="F29" s="33"/>
      <c r="G29" s="33"/>
      <c r="H29" s="33"/>
      <c r="I29" s="33"/>
      <c r="J29" s="33"/>
      <c r="K29" s="33"/>
      <c r="L29" s="33"/>
      <c r="M29" s="33"/>
      <c r="N29" s="33"/>
      <c r="O29" s="33"/>
      <c r="P29" s="33"/>
      <c r="Q29" s="33"/>
      <c r="R29" s="33"/>
      <c r="S29" s="33"/>
      <c r="T29" s="26"/>
    </row>
    <row r="30" spans="2:24" ht="15" customHeight="1" x14ac:dyDescent="0.25">
      <c r="B30" s="98"/>
      <c r="F30" s="33"/>
      <c r="G30" s="33"/>
      <c r="H30" s="33"/>
      <c r="I30" s="33"/>
      <c r="J30" s="33"/>
      <c r="K30" s="33"/>
      <c r="L30" s="33"/>
      <c r="M30" s="33"/>
      <c r="N30" s="33"/>
      <c r="O30" s="33"/>
      <c r="P30" s="33"/>
      <c r="Q30" s="33"/>
      <c r="R30" s="33"/>
      <c r="S30" s="33"/>
      <c r="T30" s="26"/>
    </row>
    <row r="31" spans="2:24" ht="15" customHeight="1" x14ac:dyDescent="0.25">
      <c r="B31" s="98"/>
      <c r="F31" s="33"/>
      <c r="G31" s="33"/>
      <c r="H31" s="33"/>
      <c r="I31" s="33"/>
      <c r="J31" s="33"/>
      <c r="K31" s="33"/>
      <c r="L31" s="33"/>
      <c r="M31" s="33"/>
      <c r="N31" s="33"/>
      <c r="O31" s="33"/>
      <c r="P31" s="33"/>
      <c r="Q31" s="33"/>
      <c r="R31" s="33"/>
      <c r="S31" s="33"/>
      <c r="T31" s="26"/>
    </row>
    <row r="32" spans="2:24" ht="15.75" customHeight="1" x14ac:dyDescent="0.25">
      <c r="B32" s="98"/>
      <c r="F32" s="33"/>
      <c r="G32" s="33"/>
      <c r="H32" s="33"/>
      <c r="I32" s="33"/>
      <c r="J32" s="33"/>
      <c r="K32" s="33"/>
      <c r="L32" s="33"/>
      <c r="M32" s="33"/>
      <c r="N32" s="33"/>
      <c r="O32" s="33"/>
      <c r="P32" s="33"/>
      <c r="Q32" s="33"/>
      <c r="R32" s="33"/>
      <c r="S32" s="33"/>
      <c r="T32" s="26"/>
    </row>
    <row r="33" spans="2:20" ht="15" customHeight="1" x14ac:dyDescent="0.25">
      <c r="B33" s="98"/>
      <c r="F33" s="33"/>
      <c r="G33" s="33"/>
      <c r="H33" s="33"/>
      <c r="I33" s="33"/>
      <c r="J33" s="33"/>
      <c r="K33" s="33"/>
      <c r="L33" s="33"/>
      <c r="M33" s="33"/>
      <c r="N33" s="33"/>
      <c r="O33" s="33"/>
      <c r="P33" s="33"/>
      <c r="Q33" s="33"/>
      <c r="R33" s="33"/>
      <c r="S33" s="33"/>
      <c r="T33" s="26"/>
    </row>
    <row r="34" spans="2:20" ht="15" customHeight="1" thickBot="1" x14ac:dyDescent="0.3">
      <c r="B34" s="99"/>
      <c r="C34" s="100"/>
      <c r="D34" s="100"/>
      <c r="E34" s="100"/>
      <c r="F34" s="100"/>
      <c r="G34" s="100"/>
      <c r="H34" s="100"/>
      <c r="I34" s="100"/>
      <c r="J34" s="100"/>
      <c r="K34" s="100"/>
      <c r="L34" s="100"/>
      <c r="M34" s="100"/>
      <c r="N34" s="100"/>
      <c r="O34" s="100"/>
      <c r="P34" s="100"/>
      <c r="Q34" s="100"/>
      <c r="R34" s="100"/>
      <c r="S34" s="100"/>
      <c r="T34" s="27"/>
    </row>
    <row r="35" spans="2:20" ht="15" customHeight="1" thickBot="1" x14ac:dyDescent="0.3"/>
    <row r="36" spans="2:20" ht="15" customHeight="1" x14ac:dyDescent="0.25">
      <c r="B36" s="225" t="s">
        <v>117</v>
      </c>
      <c r="C36" s="226"/>
      <c r="D36" s="226"/>
      <c r="E36" s="226"/>
      <c r="F36" s="226"/>
      <c r="G36" s="226"/>
      <c r="H36" s="226"/>
      <c r="I36" s="226"/>
      <c r="J36" s="226"/>
      <c r="K36" s="226"/>
      <c r="L36" s="226"/>
      <c r="M36" s="226"/>
      <c r="N36" s="226"/>
      <c r="O36" s="226"/>
      <c r="P36" s="226"/>
      <c r="Q36" s="226"/>
      <c r="R36" s="227"/>
    </row>
    <row r="37" spans="2:20" ht="15" customHeight="1" x14ac:dyDescent="0.25">
      <c r="B37" s="228"/>
      <c r="C37" s="229"/>
      <c r="D37" s="229"/>
      <c r="E37" s="229"/>
      <c r="F37" s="229"/>
      <c r="G37" s="229"/>
      <c r="H37" s="229"/>
      <c r="I37" s="229"/>
      <c r="J37" s="229"/>
      <c r="K37" s="229"/>
      <c r="L37" s="229"/>
      <c r="M37" s="229"/>
      <c r="N37" s="229"/>
      <c r="O37" s="229"/>
      <c r="P37" s="229"/>
      <c r="Q37" s="229"/>
      <c r="R37" s="230"/>
    </row>
    <row r="38" spans="2:20" ht="15" customHeight="1" x14ac:dyDescent="0.25">
      <c r="B38" s="228"/>
      <c r="C38" s="229"/>
      <c r="D38" s="229"/>
      <c r="E38" s="229"/>
      <c r="F38" s="229"/>
      <c r="G38" s="229"/>
      <c r="H38" s="229"/>
      <c r="I38" s="229"/>
      <c r="J38" s="229"/>
      <c r="K38" s="229"/>
      <c r="L38" s="229"/>
      <c r="M38" s="229"/>
      <c r="N38" s="229"/>
      <c r="O38" s="229"/>
      <c r="P38" s="229"/>
      <c r="Q38" s="229"/>
      <c r="R38" s="230"/>
    </row>
    <row r="39" spans="2:20" ht="15" customHeight="1" x14ac:dyDescent="0.25">
      <c r="B39" s="228"/>
      <c r="C39" s="229"/>
      <c r="D39" s="229"/>
      <c r="E39" s="229"/>
      <c r="F39" s="229"/>
      <c r="G39" s="229"/>
      <c r="H39" s="229"/>
      <c r="I39" s="229"/>
      <c r="J39" s="229"/>
      <c r="K39" s="229"/>
      <c r="L39" s="229"/>
      <c r="M39" s="229"/>
      <c r="N39" s="229"/>
      <c r="O39" s="229"/>
      <c r="P39" s="229"/>
      <c r="Q39" s="229"/>
      <c r="R39" s="230"/>
    </row>
    <row r="40" spans="2:20" ht="15" customHeight="1" x14ac:dyDescent="0.25">
      <c r="B40" s="228"/>
      <c r="C40" s="229"/>
      <c r="D40" s="229"/>
      <c r="E40" s="229"/>
      <c r="F40" s="229"/>
      <c r="G40" s="229"/>
      <c r="H40" s="229"/>
      <c r="I40" s="229"/>
      <c r="J40" s="229"/>
      <c r="K40" s="229"/>
      <c r="L40" s="229"/>
      <c r="M40" s="229"/>
      <c r="N40" s="229"/>
      <c r="O40" s="229"/>
      <c r="P40" s="229"/>
      <c r="Q40" s="229"/>
      <c r="R40" s="230"/>
    </row>
    <row r="41" spans="2:20" ht="15" customHeight="1" x14ac:dyDescent="0.25">
      <c r="B41" s="228"/>
      <c r="C41" s="229"/>
      <c r="D41" s="229"/>
      <c r="E41" s="229"/>
      <c r="F41" s="229"/>
      <c r="G41" s="229"/>
      <c r="H41" s="229"/>
      <c r="I41" s="229"/>
      <c r="J41" s="229"/>
      <c r="K41" s="229"/>
      <c r="L41" s="229"/>
      <c r="M41" s="229"/>
      <c r="N41" s="229"/>
      <c r="O41" s="229"/>
      <c r="P41" s="229"/>
      <c r="Q41" s="229"/>
      <c r="R41" s="230"/>
    </row>
    <row r="42" spans="2:20" ht="15" customHeight="1" thickBot="1" x14ac:dyDescent="0.3">
      <c r="B42" s="231"/>
      <c r="C42" s="232"/>
      <c r="D42" s="232"/>
      <c r="E42" s="232"/>
      <c r="F42" s="232"/>
      <c r="G42" s="232"/>
      <c r="H42" s="232"/>
      <c r="I42" s="232"/>
      <c r="J42" s="232"/>
      <c r="K42" s="232"/>
      <c r="L42" s="232"/>
      <c r="M42" s="232"/>
      <c r="N42" s="232"/>
      <c r="O42" s="232"/>
      <c r="P42" s="232"/>
      <c r="Q42" s="232"/>
      <c r="R42" s="233"/>
    </row>
    <row r="43" spans="2:20" ht="15" customHeight="1" x14ac:dyDescent="0.25"/>
    <row r="44" spans="2:20" ht="15" customHeight="1" x14ac:dyDescent="0.25"/>
    <row r="45" spans="2:20" ht="15" customHeight="1" x14ac:dyDescent="0.25"/>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sheetData>
  <sortState ref="W8:X20">
    <sortCondition descending="1" ref="X8:X20"/>
  </sortState>
  <mergeCells count="3">
    <mergeCell ref="C3:S3"/>
    <mergeCell ref="D5:E5"/>
    <mergeCell ref="B36:R42"/>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DB752-2236-4BAA-9636-93A40AFD6A88}">
  <dimension ref="A1:X64"/>
  <sheetViews>
    <sheetView showGridLines="0" zoomScale="77" zoomScaleNormal="75" workbookViewId="0"/>
  </sheetViews>
  <sheetFormatPr defaultRowHeight="15" x14ac:dyDescent="0.25"/>
  <cols>
    <col min="1" max="1" width="2.85546875" style="23" customWidth="1"/>
    <col min="2" max="2" width="3.85546875" style="23" customWidth="1"/>
    <col min="3" max="3" width="58.7109375" style="23" bestFit="1" customWidth="1"/>
    <col min="4" max="4" width="28.28515625" style="23" customWidth="1"/>
    <col min="5" max="5" width="10.42578125" style="23" bestFit="1" customWidth="1"/>
    <col min="6" max="18" width="9.140625" style="23"/>
    <col min="19" max="19" width="9.85546875" style="23" customWidth="1"/>
    <col min="20" max="16384" width="9.140625" style="23"/>
  </cols>
  <sheetData>
    <row r="1" spans="1:24" ht="15.75" customHeight="1" thickBot="1" x14ac:dyDescent="0.3">
      <c r="A1" s="3"/>
    </row>
    <row r="2" spans="1:24" ht="15" customHeight="1" x14ac:dyDescent="0.25">
      <c r="B2" s="81"/>
      <c r="C2" s="32"/>
      <c r="D2" s="32"/>
      <c r="E2" s="32"/>
      <c r="F2" s="32"/>
      <c r="G2" s="32"/>
      <c r="H2" s="32"/>
      <c r="I2" s="32"/>
      <c r="J2" s="32"/>
      <c r="K2" s="32"/>
      <c r="L2" s="32"/>
      <c r="M2" s="32"/>
      <c r="N2" s="32"/>
      <c r="O2" s="32"/>
      <c r="P2" s="32"/>
      <c r="Q2" s="32"/>
      <c r="R2" s="32"/>
      <c r="S2" s="32"/>
      <c r="T2" s="32"/>
      <c r="U2" s="28"/>
    </row>
    <row r="3" spans="1:24" ht="20.25" customHeight="1" x14ac:dyDescent="0.25">
      <c r="B3" s="82"/>
      <c r="C3" s="234" t="s">
        <v>240</v>
      </c>
      <c r="D3" s="235"/>
      <c r="E3" s="235"/>
      <c r="F3" s="235"/>
      <c r="G3" s="235"/>
      <c r="H3" s="235"/>
      <c r="I3" s="235"/>
      <c r="J3" s="235"/>
      <c r="K3" s="235"/>
      <c r="L3" s="235"/>
      <c r="M3" s="235"/>
      <c r="N3" s="235"/>
      <c r="O3" s="235"/>
      <c r="P3" s="235"/>
      <c r="Q3" s="235"/>
      <c r="R3" s="235"/>
      <c r="S3" s="235"/>
      <c r="T3" s="83"/>
      <c r="U3" s="84"/>
    </row>
    <row r="4" spans="1:24" ht="15.75" customHeight="1" x14ac:dyDescent="0.25">
      <c r="B4" s="82"/>
      <c r="C4" s="85" t="s">
        <v>271</v>
      </c>
      <c r="D4" s="33"/>
      <c r="E4" s="33"/>
      <c r="F4" s="33"/>
      <c r="G4" s="33"/>
      <c r="H4" s="33"/>
      <c r="I4" s="33"/>
      <c r="J4" s="33"/>
      <c r="K4" s="33"/>
      <c r="L4" s="33"/>
      <c r="M4" s="33"/>
      <c r="N4" s="33"/>
      <c r="O4" s="33"/>
      <c r="P4" s="33"/>
      <c r="Q4" s="33"/>
      <c r="R4" s="33"/>
      <c r="S4" s="33"/>
      <c r="T4" s="33"/>
      <c r="U4" s="29"/>
    </row>
    <row r="5" spans="1:24" ht="18" customHeight="1" x14ac:dyDescent="0.25">
      <c r="B5" s="82"/>
      <c r="C5" s="86" t="s">
        <v>272</v>
      </c>
      <c r="D5" s="238" t="s">
        <v>283</v>
      </c>
      <c r="E5" s="238"/>
      <c r="F5" s="33"/>
      <c r="G5" s="33"/>
      <c r="H5" s="33"/>
      <c r="I5" s="33"/>
      <c r="J5" s="33"/>
      <c r="K5" s="33"/>
      <c r="L5" s="33"/>
      <c r="M5" s="33"/>
      <c r="N5" s="33"/>
      <c r="O5" s="33"/>
      <c r="P5" s="33"/>
      <c r="Q5" s="33"/>
      <c r="R5" s="33"/>
      <c r="S5" s="33"/>
      <c r="T5" s="33"/>
      <c r="U5" s="29"/>
    </row>
    <row r="6" spans="1:24" ht="15" customHeight="1" x14ac:dyDescent="0.25">
      <c r="B6" s="82"/>
      <c r="C6" s="33"/>
      <c r="D6" s="33"/>
      <c r="E6" s="33"/>
      <c r="F6" s="33"/>
      <c r="G6" s="33"/>
      <c r="H6" s="33"/>
      <c r="I6" s="33"/>
      <c r="J6" s="33"/>
      <c r="K6" s="33"/>
      <c r="L6" s="33"/>
      <c r="M6" s="33"/>
      <c r="N6" s="33"/>
      <c r="O6" s="33"/>
      <c r="P6" s="33"/>
      <c r="Q6" s="33"/>
      <c r="R6" s="33"/>
      <c r="S6" s="33"/>
      <c r="T6" s="33"/>
      <c r="U6" s="29"/>
    </row>
    <row r="7" spans="1:24" ht="32.25" customHeight="1" x14ac:dyDescent="0.25">
      <c r="B7" s="82"/>
      <c r="C7" s="87" t="s">
        <v>0</v>
      </c>
      <c r="D7" s="88" t="s">
        <v>1</v>
      </c>
      <c r="E7" s="89" t="s">
        <v>2</v>
      </c>
      <c r="F7" s="33"/>
      <c r="G7" s="33"/>
      <c r="H7" s="33"/>
      <c r="I7" s="33"/>
      <c r="J7" s="33"/>
      <c r="K7" s="33"/>
      <c r="L7" s="33"/>
      <c r="M7" s="33"/>
      <c r="N7" s="33"/>
      <c r="O7" s="33"/>
      <c r="P7" s="33"/>
      <c r="Q7" s="33"/>
      <c r="R7" s="33"/>
      <c r="S7" s="33"/>
      <c r="T7" s="33"/>
      <c r="U7" s="29"/>
      <c r="W7" s="45" t="s">
        <v>22</v>
      </c>
      <c r="X7" s="45" t="s">
        <v>2</v>
      </c>
    </row>
    <row r="8" spans="1:24" ht="15" customHeight="1" x14ac:dyDescent="0.25">
      <c r="B8" s="82"/>
      <c r="C8" s="15" t="s">
        <v>137</v>
      </c>
      <c r="D8" s="17" t="s">
        <v>175</v>
      </c>
      <c r="E8" s="19">
        <v>5.7539E-2</v>
      </c>
      <c r="F8" s="33"/>
      <c r="G8" s="33"/>
      <c r="H8" s="33"/>
      <c r="I8" s="33"/>
      <c r="J8" s="33"/>
      <c r="K8" s="33"/>
      <c r="L8" s="33"/>
      <c r="M8" s="33"/>
      <c r="N8" s="33"/>
      <c r="O8" s="33"/>
      <c r="P8" s="33"/>
      <c r="Q8" s="33"/>
      <c r="R8" s="33"/>
      <c r="S8" s="33"/>
      <c r="T8" s="33"/>
      <c r="U8" s="29"/>
      <c r="W8" s="68" t="s">
        <v>175</v>
      </c>
      <c r="X8" s="69">
        <v>0.248921</v>
      </c>
    </row>
    <row r="9" spans="1:24" ht="15.75" customHeight="1" x14ac:dyDescent="0.25">
      <c r="B9" s="82"/>
      <c r="C9" s="16" t="s">
        <v>183</v>
      </c>
      <c r="D9" s="18" t="s">
        <v>175</v>
      </c>
      <c r="E9" s="20">
        <v>5.0367000000000002E-2</v>
      </c>
      <c r="F9" s="33"/>
      <c r="G9" s="33"/>
      <c r="H9" s="33"/>
      <c r="I9" s="33"/>
      <c r="J9" s="33"/>
      <c r="K9" s="33"/>
      <c r="L9" s="33"/>
      <c r="M9" s="33"/>
      <c r="N9" s="33"/>
      <c r="O9" s="33"/>
      <c r="P9" s="33"/>
      <c r="Q9" s="33"/>
      <c r="R9" s="33"/>
      <c r="S9" s="33"/>
      <c r="T9" s="33"/>
      <c r="U9" s="29"/>
      <c r="W9" s="68" t="s">
        <v>172</v>
      </c>
      <c r="X9" s="69">
        <v>0.20726499999999998</v>
      </c>
    </row>
    <row r="10" spans="1:24" ht="15.75" x14ac:dyDescent="0.25">
      <c r="B10" s="82"/>
      <c r="C10" s="16" t="s">
        <v>239</v>
      </c>
      <c r="D10" s="18" t="s">
        <v>175</v>
      </c>
      <c r="E10" s="20">
        <v>4.3739E-2</v>
      </c>
      <c r="F10" s="33"/>
      <c r="G10" s="33"/>
      <c r="H10" s="33"/>
      <c r="I10" s="33"/>
      <c r="J10" s="33"/>
      <c r="K10" s="33"/>
      <c r="L10" s="33"/>
      <c r="M10" s="33"/>
      <c r="N10" s="33"/>
      <c r="O10" s="33"/>
      <c r="P10" s="33"/>
      <c r="Q10" s="33"/>
      <c r="R10" s="33"/>
      <c r="S10" s="33"/>
      <c r="T10" s="33"/>
      <c r="U10" s="29"/>
      <c r="W10" s="68" t="s">
        <v>188</v>
      </c>
      <c r="X10" s="69">
        <v>8.9109999999999995E-2</v>
      </c>
    </row>
    <row r="11" spans="1:24" ht="15.75" customHeight="1" x14ac:dyDescent="0.25">
      <c r="B11" s="82"/>
      <c r="C11" s="16" t="s">
        <v>114</v>
      </c>
      <c r="D11" s="18" t="s">
        <v>175</v>
      </c>
      <c r="E11" s="20">
        <v>3.9105000000000001E-2</v>
      </c>
      <c r="F11" s="33"/>
      <c r="G11" s="33"/>
      <c r="H11" s="33"/>
      <c r="I11" s="33"/>
      <c r="J11" s="33"/>
      <c r="K11" s="33"/>
      <c r="L11" s="33"/>
      <c r="M11" s="33"/>
      <c r="N11" s="33"/>
      <c r="O11" s="33"/>
      <c r="P11" s="33"/>
      <c r="Q11" s="33"/>
      <c r="R11" s="33"/>
      <c r="S11" s="33"/>
      <c r="T11" s="33"/>
      <c r="U11" s="29"/>
      <c r="W11" s="68" t="s">
        <v>193</v>
      </c>
      <c r="X11" s="69">
        <v>4.9014000000000002E-2</v>
      </c>
    </row>
    <row r="12" spans="1:24" ht="15" customHeight="1" x14ac:dyDescent="0.25">
      <c r="B12" s="82"/>
      <c r="C12" s="16" t="s">
        <v>253</v>
      </c>
      <c r="D12" s="18" t="s">
        <v>175</v>
      </c>
      <c r="E12" s="20">
        <v>3.8649999999999997E-2</v>
      </c>
      <c r="F12" s="33"/>
      <c r="G12" s="33"/>
      <c r="H12" s="33"/>
      <c r="I12" s="33"/>
      <c r="J12" s="33"/>
      <c r="K12" s="33"/>
      <c r="L12" s="33"/>
      <c r="M12" s="33"/>
      <c r="N12" s="33"/>
      <c r="O12" s="33"/>
      <c r="P12" s="33"/>
      <c r="Q12" s="33"/>
      <c r="R12" s="33"/>
      <c r="S12" s="33"/>
      <c r="T12" s="33"/>
      <c r="U12" s="29"/>
      <c r="W12" s="77" t="s">
        <v>196</v>
      </c>
      <c r="X12" s="79">
        <v>3.2985E-2</v>
      </c>
    </row>
    <row r="13" spans="1:24" ht="15" customHeight="1" x14ac:dyDescent="0.25">
      <c r="B13" s="82"/>
      <c r="C13" s="16" t="s">
        <v>205</v>
      </c>
      <c r="D13" s="18" t="s">
        <v>196</v>
      </c>
      <c r="E13" s="20">
        <v>3.2985E-2</v>
      </c>
      <c r="F13" s="33"/>
      <c r="G13" s="33"/>
      <c r="H13" s="33"/>
      <c r="I13" s="33"/>
      <c r="J13" s="33"/>
      <c r="K13" s="33"/>
      <c r="L13" s="33"/>
      <c r="M13" s="33"/>
      <c r="N13" s="33"/>
      <c r="O13" s="33"/>
      <c r="P13" s="33"/>
      <c r="Q13" s="33"/>
      <c r="R13" s="33"/>
      <c r="S13" s="33"/>
      <c r="T13" s="33"/>
      <c r="U13" s="29"/>
      <c r="W13" s="77" t="s">
        <v>24</v>
      </c>
      <c r="X13" s="79">
        <v>1.7736999999999999E-2</v>
      </c>
    </row>
    <row r="14" spans="1:24" ht="15" customHeight="1" x14ac:dyDescent="0.25">
      <c r="B14" s="82"/>
      <c r="C14" s="16" t="s">
        <v>241</v>
      </c>
      <c r="D14" s="18" t="s">
        <v>172</v>
      </c>
      <c r="E14" s="20">
        <v>3.2689000000000003E-2</v>
      </c>
      <c r="F14" s="33"/>
      <c r="G14" s="33"/>
      <c r="H14" s="33"/>
      <c r="I14" s="33"/>
      <c r="J14" s="33"/>
      <c r="K14" s="33"/>
      <c r="L14" s="33"/>
      <c r="M14" s="33"/>
      <c r="N14" s="33"/>
      <c r="O14" s="33"/>
      <c r="P14" s="33"/>
      <c r="Q14" s="33"/>
      <c r="R14" s="33"/>
      <c r="S14" s="33"/>
      <c r="T14" s="33"/>
      <c r="U14" s="29"/>
      <c r="W14" s="77"/>
      <c r="X14" s="79"/>
    </row>
    <row r="15" spans="1:24" ht="15" customHeight="1" x14ac:dyDescent="0.25">
      <c r="B15" s="82"/>
      <c r="C15" s="16" t="s">
        <v>171</v>
      </c>
      <c r="D15" s="18" t="s">
        <v>172</v>
      </c>
      <c r="E15" s="20">
        <v>2.7843E-2</v>
      </c>
      <c r="F15" s="33"/>
      <c r="G15" s="33"/>
      <c r="H15" s="33"/>
      <c r="I15" s="33"/>
      <c r="J15" s="33"/>
      <c r="K15" s="33"/>
      <c r="L15" s="33"/>
      <c r="M15" s="33"/>
      <c r="N15" s="33"/>
      <c r="O15" s="33"/>
      <c r="P15" s="33"/>
      <c r="Q15" s="33"/>
      <c r="R15" s="33"/>
      <c r="S15" s="33"/>
      <c r="T15" s="33"/>
      <c r="U15" s="29"/>
      <c r="W15" s="77"/>
      <c r="X15" s="79"/>
    </row>
    <row r="16" spans="1:24" ht="15" customHeight="1" x14ac:dyDescent="0.25">
      <c r="B16" s="82"/>
      <c r="C16" s="16" t="s">
        <v>254</v>
      </c>
      <c r="D16" s="18" t="s">
        <v>188</v>
      </c>
      <c r="E16" s="20">
        <v>2.6308000000000002E-2</v>
      </c>
      <c r="F16" s="33"/>
      <c r="G16" s="33"/>
      <c r="H16" s="33"/>
      <c r="I16" s="33"/>
      <c r="J16" s="33"/>
      <c r="K16" s="33"/>
      <c r="L16" s="33"/>
      <c r="M16" s="33"/>
      <c r="N16" s="33"/>
      <c r="O16" s="33"/>
      <c r="P16" s="33"/>
      <c r="Q16" s="33"/>
      <c r="R16" s="33"/>
      <c r="S16" s="33"/>
      <c r="T16" s="33"/>
      <c r="U16" s="29"/>
      <c r="W16" s="77"/>
      <c r="X16" s="79"/>
    </row>
    <row r="17" spans="2:24" ht="15" customHeight="1" x14ac:dyDescent="0.25">
      <c r="B17" s="82"/>
      <c r="C17" s="16" t="s">
        <v>165</v>
      </c>
      <c r="D17" s="18" t="s">
        <v>188</v>
      </c>
      <c r="E17" s="20">
        <v>2.6199E-2</v>
      </c>
      <c r="F17" s="33"/>
      <c r="G17" s="33"/>
      <c r="H17" s="33"/>
      <c r="I17" s="33"/>
      <c r="J17" s="33"/>
      <c r="K17" s="33"/>
      <c r="L17" s="33"/>
      <c r="M17" s="33"/>
      <c r="N17" s="33"/>
      <c r="O17" s="33"/>
      <c r="P17" s="33"/>
      <c r="Q17" s="33"/>
      <c r="R17" s="33"/>
      <c r="S17" s="33"/>
      <c r="T17" s="33"/>
      <c r="U17" s="29"/>
      <c r="W17" s="77"/>
      <c r="X17" s="79"/>
    </row>
    <row r="18" spans="2:24" ht="15" customHeight="1" x14ac:dyDescent="0.25">
      <c r="B18" s="82"/>
      <c r="C18" s="16" t="s">
        <v>242</v>
      </c>
      <c r="D18" s="18" t="s">
        <v>193</v>
      </c>
      <c r="E18" s="20">
        <v>2.5887E-2</v>
      </c>
      <c r="F18" s="33"/>
      <c r="G18" s="33"/>
      <c r="H18" s="33"/>
      <c r="I18" s="33"/>
      <c r="J18" s="33"/>
      <c r="K18" s="33"/>
      <c r="L18" s="33"/>
      <c r="M18" s="33"/>
      <c r="N18" s="33"/>
      <c r="O18" s="33"/>
      <c r="P18" s="33"/>
      <c r="Q18" s="33"/>
      <c r="R18" s="33"/>
      <c r="S18" s="33"/>
      <c r="T18" s="33"/>
      <c r="U18" s="29"/>
      <c r="W18" s="77"/>
      <c r="X18" s="79"/>
    </row>
    <row r="19" spans="2:24" ht="15" customHeight="1" x14ac:dyDescent="0.25">
      <c r="B19" s="82"/>
      <c r="C19" s="16" t="s">
        <v>192</v>
      </c>
      <c r="D19" s="18" t="s">
        <v>193</v>
      </c>
      <c r="E19" s="20">
        <v>2.3127000000000002E-2</v>
      </c>
      <c r="F19" s="33"/>
      <c r="G19" s="33"/>
      <c r="H19" s="33"/>
      <c r="I19" s="33"/>
      <c r="J19" s="33"/>
      <c r="K19" s="33"/>
      <c r="L19" s="33"/>
      <c r="M19" s="33"/>
      <c r="N19" s="33"/>
      <c r="O19" s="33"/>
      <c r="P19" s="33"/>
      <c r="Q19" s="33"/>
      <c r="R19" s="33"/>
      <c r="S19" s="33"/>
      <c r="T19" s="33"/>
      <c r="U19" s="29"/>
      <c r="W19" s="77"/>
      <c r="X19" s="79"/>
    </row>
    <row r="20" spans="2:24" ht="15" customHeight="1" x14ac:dyDescent="0.25">
      <c r="B20" s="82"/>
      <c r="C20" s="16" t="s">
        <v>204</v>
      </c>
      <c r="D20" s="18" t="s">
        <v>188</v>
      </c>
      <c r="E20" s="20">
        <v>2.0851000000000001E-2</v>
      </c>
      <c r="F20" s="33"/>
      <c r="G20" s="33"/>
      <c r="H20" s="33"/>
      <c r="I20" s="33"/>
      <c r="J20" s="33"/>
      <c r="K20" s="33"/>
      <c r="L20" s="33"/>
      <c r="M20" s="33"/>
      <c r="N20" s="33"/>
      <c r="O20" s="33"/>
      <c r="P20" s="33"/>
      <c r="Q20" s="33"/>
      <c r="R20" s="33"/>
      <c r="S20" s="33"/>
      <c r="T20" s="33"/>
      <c r="U20" s="29"/>
      <c r="W20" s="77"/>
      <c r="X20" s="79"/>
    </row>
    <row r="21" spans="2:24" ht="15" customHeight="1" x14ac:dyDescent="0.25">
      <c r="B21" s="82"/>
      <c r="C21" s="16" t="s">
        <v>255</v>
      </c>
      <c r="D21" s="18" t="s">
        <v>175</v>
      </c>
      <c r="E21" s="20">
        <v>1.9521E-2</v>
      </c>
      <c r="F21" s="33"/>
      <c r="G21" s="33"/>
      <c r="H21" s="33"/>
      <c r="I21" s="33"/>
      <c r="J21" s="33"/>
      <c r="K21" s="33"/>
      <c r="L21" s="33"/>
      <c r="M21" s="33"/>
      <c r="N21" s="33"/>
      <c r="O21" s="33"/>
      <c r="P21" s="33"/>
      <c r="Q21" s="33"/>
      <c r="R21" s="33"/>
      <c r="S21" s="33"/>
      <c r="T21" s="33"/>
      <c r="U21" s="29"/>
      <c r="W21" s="77"/>
      <c r="X21" s="79"/>
    </row>
    <row r="22" spans="2:24" ht="15" customHeight="1" x14ac:dyDescent="0.25">
      <c r="B22" s="82"/>
      <c r="C22" s="16" t="s">
        <v>209</v>
      </c>
      <c r="D22" s="18" t="s">
        <v>172</v>
      </c>
      <c r="E22" s="20">
        <v>1.8825999999999999E-2</v>
      </c>
      <c r="F22" s="33"/>
      <c r="G22" s="33"/>
      <c r="H22" s="33"/>
      <c r="I22" s="33"/>
      <c r="J22" s="33"/>
      <c r="K22" s="33"/>
      <c r="L22" s="33"/>
      <c r="M22" s="33"/>
      <c r="N22" s="33"/>
      <c r="O22" s="33"/>
      <c r="P22" s="33"/>
      <c r="Q22" s="33"/>
      <c r="R22" s="33"/>
      <c r="S22" s="33"/>
      <c r="T22" s="33"/>
      <c r="U22" s="29"/>
      <c r="W22" s="77"/>
      <c r="X22" s="79"/>
    </row>
    <row r="23" spans="2:24" ht="15" customHeight="1" x14ac:dyDescent="0.25">
      <c r="B23" s="82"/>
      <c r="C23" s="16"/>
      <c r="D23" s="18"/>
      <c r="E23" s="20"/>
      <c r="F23" s="33"/>
      <c r="G23" s="33"/>
      <c r="H23" s="33"/>
      <c r="I23" s="33"/>
      <c r="J23" s="33"/>
      <c r="K23" s="33"/>
      <c r="L23" s="33"/>
      <c r="M23" s="33"/>
      <c r="N23" s="33"/>
      <c r="O23" s="33"/>
      <c r="P23" s="33"/>
      <c r="Q23" s="33"/>
      <c r="R23" s="33"/>
      <c r="S23" s="33"/>
      <c r="T23" s="33"/>
      <c r="U23" s="29"/>
      <c r="W23" s="77"/>
      <c r="X23" s="79"/>
    </row>
    <row r="24" spans="2:24" ht="15" customHeight="1" x14ac:dyDescent="0.25">
      <c r="B24" s="82"/>
      <c r="C24" s="92" t="s">
        <v>64</v>
      </c>
      <c r="D24" s="93"/>
      <c r="E24" s="94">
        <f>SUM(E8:E22)</f>
        <v>0.48363600000000001</v>
      </c>
      <c r="F24" s="33"/>
      <c r="G24" s="33"/>
      <c r="H24" s="33"/>
      <c r="I24" s="33"/>
      <c r="J24" s="33"/>
      <c r="K24" s="33"/>
      <c r="L24" s="33"/>
      <c r="M24" s="33"/>
      <c r="N24" s="33"/>
      <c r="O24" s="33"/>
      <c r="P24" s="33"/>
      <c r="Q24" s="33"/>
      <c r="R24" s="33"/>
      <c r="S24" s="33"/>
      <c r="T24" s="33"/>
      <c r="U24" s="29"/>
      <c r="W24" s="77"/>
      <c r="X24" s="79"/>
    </row>
    <row r="25" spans="2:24" ht="15" customHeight="1" x14ac:dyDescent="0.25">
      <c r="B25" s="82"/>
      <c r="C25" s="33"/>
      <c r="D25" s="33"/>
      <c r="E25" s="33"/>
      <c r="F25" s="33"/>
      <c r="G25" s="33"/>
      <c r="H25" s="33"/>
      <c r="I25" s="33"/>
      <c r="J25" s="33"/>
      <c r="K25" s="33"/>
      <c r="L25" s="33"/>
      <c r="M25" s="33"/>
      <c r="N25" s="33"/>
      <c r="O25" s="33"/>
      <c r="P25" s="33"/>
      <c r="Q25" s="33"/>
      <c r="R25" s="33"/>
      <c r="S25" s="33"/>
      <c r="T25" s="33"/>
      <c r="U25" s="29"/>
      <c r="W25" s="77"/>
      <c r="X25" s="79"/>
    </row>
    <row r="26" spans="2:24" ht="15" customHeight="1" x14ac:dyDescent="0.25">
      <c r="B26" s="82"/>
      <c r="C26" s="33"/>
      <c r="D26" s="33"/>
      <c r="E26" s="33"/>
      <c r="F26" s="33"/>
      <c r="G26" s="33"/>
      <c r="H26" s="33"/>
      <c r="I26" s="33"/>
      <c r="J26" s="33"/>
      <c r="K26" s="33"/>
      <c r="L26" s="33"/>
      <c r="M26" s="33"/>
      <c r="N26" s="33"/>
      <c r="O26" s="33"/>
      <c r="P26" s="33"/>
      <c r="Q26" s="33"/>
      <c r="R26" s="33"/>
      <c r="S26" s="33"/>
      <c r="T26" s="33"/>
      <c r="U26" s="29"/>
      <c r="W26" s="77"/>
      <c r="X26" s="79"/>
    </row>
    <row r="27" spans="2:24" ht="15" customHeight="1" x14ac:dyDescent="0.25">
      <c r="B27" s="82"/>
      <c r="C27" s="33"/>
      <c r="D27" s="33"/>
      <c r="E27" s="33"/>
      <c r="F27" s="33"/>
      <c r="G27" s="33"/>
      <c r="H27" s="33"/>
      <c r="I27" s="33"/>
      <c r="J27" s="33"/>
      <c r="K27" s="33"/>
      <c r="L27" s="33"/>
      <c r="M27" s="33"/>
      <c r="N27" s="33"/>
      <c r="O27" s="33"/>
      <c r="P27" s="33"/>
      <c r="Q27" s="33"/>
      <c r="R27" s="33"/>
      <c r="S27" s="33"/>
      <c r="T27" s="33"/>
      <c r="U27" s="29"/>
      <c r="W27" s="77"/>
      <c r="X27" s="79"/>
    </row>
    <row r="28" spans="2:24" ht="15" customHeight="1" x14ac:dyDescent="0.25">
      <c r="B28" s="82"/>
      <c r="C28" s="33"/>
      <c r="D28" s="33"/>
      <c r="E28" s="33"/>
      <c r="F28" s="33"/>
      <c r="G28" s="33"/>
      <c r="H28" s="33"/>
      <c r="I28" s="33"/>
      <c r="J28" s="33"/>
      <c r="K28" s="33"/>
      <c r="L28" s="33"/>
      <c r="M28" s="33"/>
      <c r="N28" s="33"/>
      <c r="O28" s="33"/>
      <c r="P28" s="33"/>
      <c r="Q28" s="33"/>
      <c r="R28" s="33"/>
      <c r="S28" s="33"/>
      <c r="T28" s="33"/>
      <c r="U28" s="29"/>
      <c r="W28" s="77"/>
      <c r="X28" s="79"/>
    </row>
    <row r="29" spans="2:24" ht="15" customHeight="1" x14ac:dyDescent="0.25">
      <c r="B29" s="82"/>
      <c r="C29" s="33"/>
      <c r="D29" s="33"/>
      <c r="E29" s="33"/>
      <c r="F29" s="33"/>
      <c r="G29" s="33"/>
      <c r="H29" s="33"/>
      <c r="I29" s="33"/>
      <c r="J29" s="33"/>
      <c r="K29" s="33"/>
      <c r="L29" s="33"/>
      <c r="M29" s="33"/>
      <c r="N29" s="33"/>
      <c r="O29" s="33"/>
      <c r="P29" s="33"/>
      <c r="Q29" s="33"/>
      <c r="R29" s="33"/>
      <c r="S29" s="33"/>
      <c r="T29" s="33"/>
      <c r="U29" s="29"/>
      <c r="W29" s="77"/>
      <c r="X29" s="79"/>
    </row>
    <row r="30" spans="2:24" ht="15" customHeight="1" x14ac:dyDescent="0.25">
      <c r="B30" s="82"/>
      <c r="C30" s="33"/>
      <c r="D30" s="33"/>
      <c r="E30" s="33"/>
      <c r="F30" s="33"/>
      <c r="G30" s="33"/>
      <c r="H30" s="33"/>
      <c r="I30" s="33"/>
      <c r="J30" s="33"/>
      <c r="K30" s="33"/>
      <c r="L30" s="33"/>
      <c r="M30" s="33"/>
      <c r="N30" s="33"/>
      <c r="O30" s="33"/>
      <c r="P30" s="33"/>
      <c r="Q30" s="33"/>
      <c r="R30" s="33"/>
      <c r="S30" s="33"/>
      <c r="T30" s="33"/>
      <c r="U30" s="29"/>
      <c r="W30" s="77"/>
      <c r="X30" s="79"/>
    </row>
    <row r="31" spans="2:24" ht="15" customHeight="1" x14ac:dyDescent="0.25">
      <c r="B31" s="82"/>
      <c r="C31" s="33"/>
      <c r="D31" s="33"/>
      <c r="E31" s="33"/>
      <c r="F31" s="33"/>
      <c r="G31" s="33"/>
      <c r="H31" s="33"/>
      <c r="I31" s="33"/>
      <c r="J31" s="33"/>
      <c r="K31" s="33"/>
      <c r="L31" s="33"/>
      <c r="M31" s="33"/>
      <c r="N31" s="33"/>
      <c r="O31" s="33"/>
      <c r="P31" s="33"/>
      <c r="Q31" s="33"/>
      <c r="R31" s="33"/>
      <c r="S31" s="33"/>
      <c r="T31" s="33"/>
      <c r="U31" s="29"/>
      <c r="W31" s="77"/>
      <c r="X31" s="79"/>
    </row>
    <row r="32" spans="2:24" ht="15" customHeight="1" x14ac:dyDescent="0.25">
      <c r="B32" s="82"/>
      <c r="C32" s="33"/>
      <c r="D32" s="33"/>
      <c r="E32" s="33"/>
      <c r="F32" s="33"/>
      <c r="G32" s="33"/>
      <c r="H32" s="33"/>
      <c r="I32" s="33"/>
      <c r="J32" s="33"/>
      <c r="K32" s="33"/>
      <c r="L32" s="33"/>
      <c r="M32" s="33"/>
      <c r="N32" s="33"/>
      <c r="O32" s="33"/>
      <c r="P32" s="33"/>
      <c r="Q32" s="33"/>
      <c r="R32" s="33"/>
      <c r="S32" s="33"/>
      <c r="T32" s="33"/>
      <c r="U32" s="29"/>
      <c r="W32" s="77"/>
      <c r="X32" s="79"/>
    </row>
    <row r="33" spans="2:24" ht="15" customHeight="1" x14ac:dyDescent="0.25">
      <c r="B33" s="82"/>
      <c r="C33" s="33"/>
      <c r="D33" s="33"/>
      <c r="E33" s="33"/>
      <c r="F33" s="33"/>
      <c r="G33" s="33"/>
      <c r="H33" s="33"/>
      <c r="I33" s="33"/>
      <c r="J33" s="33"/>
      <c r="K33" s="33"/>
      <c r="L33" s="33"/>
      <c r="M33" s="33"/>
      <c r="N33" s="33"/>
      <c r="O33" s="33"/>
      <c r="P33" s="33"/>
      <c r="Q33" s="33"/>
      <c r="R33" s="33"/>
      <c r="S33" s="33"/>
      <c r="T33" s="33"/>
      <c r="U33" s="29"/>
      <c r="W33" s="77"/>
      <c r="X33" s="79"/>
    </row>
    <row r="34" spans="2:24" ht="15" customHeight="1" x14ac:dyDescent="0.25">
      <c r="B34" s="82"/>
      <c r="C34" s="33"/>
      <c r="D34" s="33"/>
      <c r="E34" s="33"/>
      <c r="F34" s="33"/>
      <c r="G34" s="33"/>
      <c r="H34" s="33"/>
      <c r="I34" s="33"/>
      <c r="J34" s="33"/>
      <c r="K34" s="33"/>
      <c r="L34" s="33"/>
      <c r="M34" s="33"/>
      <c r="N34" s="33"/>
      <c r="O34" s="33"/>
      <c r="P34" s="33"/>
      <c r="Q34" s="33"/>
      <c r="R34" s="33"/>
      <c r="S34" s="33"/>
      <c r="T34" s="33"/>
      <c r="U34" s="29"/>
      <c r="W34" s="77"/>
      <c r="X34" s="79"/>
    </row>
    <row r="35" spans="2:24" ht="15" customHeight="1" x14ac:dyDescent="0.25">
      <c r="B35" s="82"/>
      <c r="C35" s="33"/>
      <c r="D35" s="33"/>
      <c r="E35" s="33"/>
      <c r="F35" s="33"/>
      <c r="G35" s="33"/>
      <c r="H35" s="33"/>
      <c r="I35" s="33"/>
      <c r="J35" s="33"/>
      <c r="K35" s="33"/>
      <c r="L35" s="33"/>
      <c r="M35" s="33"/>
      <c r="N35" s="33"/>
      <c r="O35" s="33"/>
      <c r="P35" s="33"/>
      <c r="Q35" s="33"/>
      <c r="R35" s="33"/>
      <c r="S35" s="33"/>
      <c r="T35" s="33"/>
      <c r="U35" s="29"/>
      <c r="W35" s="77"/>
      <c r="X35" s="79"/>
    </row>
    <row r="36" spans="2:24" ht="15" customHeight="1" x14ac:dyDescent="0.25">
      <c r="B36" s="82"/>
      <c r="C36" s="33"/>
      <c r="D36" s="33"/>
      <c r="E36" s="33"/>
      <c r="F36" s="33"/>
      <c r="G36" s="33"/>
      <c r="H36" s="33"/>
      <c r="I36" s="33"/>
      <c r="J36" s="33"/>
      <c r="K36" s="33"/>
      <c r="L36" s="33"/>
      <c r="M36" s="33"/>
      <c r="N36" s="33"/>
      <c r="O36" s="33"/>
      <c r="P36" s="33"/>
      <c r="Q36" s="33"/>
      <c r="R36" s="33"/>
      <c r="S36" s="33"/>
      <c r="T36" s="33"/>
      <c r="U36" s="29"/>
      <c r="W36" s="77"/>
      <c r="X36" s="79"/>
    </row>
    <row r="37" spans="2:24" ht="15" customHeight="1" thickBot="1" x14ac:dyDescent="0.3">
      <c r="B37" s="95"/>
      <c r="C37" s="34"/>
      <c r="D37" s="34"/>
      <c r="E37" s="34"/>
      <c r="F37" s="34"/>
      <c r="G37" s="34"/>
      <c r="H37" s="34"/>
      <c r="I37" s="34"/>
      <c r="J37" s="34"/>
      <c r="K37" s="34"/>
      <c r="L37" s="34"/>
      <c r="M37" s="34"/>
      <c r="N37" s="34"/>
      <c r="O37" s="34"/>
      <c r="P37" s="34"/>
      <c r="Q37" s="34"/>
      <c r="R37" s="34"/>
      <c r="S37" s="34"/>
      <c r="T37" s="34"/>
      <c r="U37" s="30"/>
      <c r="W37" s="77"/>
      <c r="X37" s="79"/>
    </row>
    <row r="38" spans="2:24" ht="15" customHeight="1" thickBot="1" x14ac:dyDescent="0.3">
      <c r="W38" s="77"/>
      <c r="X38" s="79"/>
    </row>
    <row r="39" spans="2:24" ht="15" customHeight="1" x14ac:dyDescent="0.25">
      <c r="B39" s="225" t="s">
        <v>117</v>
      </c>
      <c r="C39" s="226"/>
      <c r="D39" s="226"/>
      <c r="E39" s="226"/>
      <c r="F39" s="226"/>
      <c r="G39" s="226"/>
      <c r="H39" s="226"/>
      <c r="I39" s="226"/>
      <c r="J39" s="226"/>
      <c r="K39" s="226"/>
      <c r="L39" s="226"/>
      <c r="M39" s="226"/>
      <c r="N39" s="227"/>
      <c r="W39" s="77"/>
      <c r="X39" s="79"/>
    </row>
    <row r="40" spans="2:24" ht="15" customHeight="1" x14ac:dyDescent="0.25">
      <c r="B40" s="228"/>
      <c r="C40" s="229"/>
      <c r="D40" s="229"/>
      <c r="E40" s="229"/>
      <c r="F40" s="229"/>
      <c r="G40" s="229"/>
      <c r="H40" s="229"/>
      <c r="I40" s="229"/>
      <c r="J40" s="229"/>
      <c r="K40" s="229"/>
      <c r="L40" s="229"/>
      <c r="M40" s="229"/>
      <c r="N40" s="230"/>
      <c r="W40" s="77"/>
      <c r="X40" s="79"/>
    </row>
    <row r="41" spans="2:24" ht="15" customHeight="1" x14ac:dyDescent="0.25">
      <c r="B41" s="228"/>
      <c r="C41" s="229"/>
      <c r="D41" s="229"/>
      <c r="E41" s="229"/>
      <c r="F41" s="229"/>
      <c r="G41" s="229"/>
      <c r="H41" s="229"/>
      <c r="I41" s="229"/>
      <c r="J41" s="229"/>
      <c r="K41" s="229"/>
      <c r="L41" s="229"/>
      <c r="M41" s="229"/>
      <c r="N41" s="230"/>
      <c r="W41" s="77"/>
      <c r="X41" s="79"/>
    </row>
    <row r="42" spans="2:24" ht="15" customHeight="1" x14ac:dyDescent="0.25">
      <c r="B42" s="228"/>
      <c r="C42" s="229"/>
      <c r="D42" s="229"/>
      <c r="E42" s="229"/>
      <c r="F42" s="229"/>
      <c r="G42" s="229"/>
      <c r="H42" s="229"/>
      <c r="I42" s="229"/>
      <c r="J42" s="229"/>
      <c r="K42" s="229"/>
      <c r="L42" s="229"/>
      <c r="M42" s="229"/>
      <c r="N42" s="230"/>
      <c r="W42" s="77"/>
      <c r="X42" s="79"/>
    </row>
    <row r="43" spans="2:24" ht="15" customHeight="1" x14ac:dyDescent="0.25">
      <c r="B43" s="228"/>
      <c r="C43" s="229"/>
      <c r="D43" s="229"/>
      <c r="E43" s="229"/>
      <c r="F43" s="229"/>
      <c r="G43" s="229"/>
      <c r="H43" s="229"/>
      <c r="I43" s="229"/>
      <c r="J43" s="229"/>
      <c r="K43" s="229"/>
      <c r="L43" s="229"/>
      <c r="M43" s="229"/>
      <c r="N43" s="230"/>
    </row>
    <row r="44" spans="2:24" ht="15" customHeight="1" x14ac:dyDescent="0.25">
      <c r="B44" s="228"/>
      <c r="C44" s="229"/>
      <c r="D44" s="229"/>
      <c r="E44" s="229"/>
      <c r="F44" s="229"/>
      <c r="G44" s="229"/>
      <c r="H44" s="229"/>
      <c r="I44" s="229"/>
      <c r="J44" s="229"/>
      <c r="K44" s="229"/>
      <c r="L44" s="229"/>
      <c r="M44" s="229"/>
      <c r="N44" s="230"/>
    </row>
    <row r="45" spans="2:24" ht="15" customHeight="1" thickBot="1" x14ac:dyDescent="0.3">
      <c r="B45" s="231"/>
      <c r="C45" s="232"/>
      <c r="D45" s="232"/>
      <c r="E45" s="232"/>
      <c r="F45" s="232"/>
      <c r="G45" s="232"/>
      <c r="H45" s="232"/>
      <c r="I45" s="232"/>
      <c r="J45" s="232"/>
      <c r="K45" s="232"/>
      <c r="L45" s="232"/>
      <c r="M45" s="232"/>
      <c r="N45" s="233"/>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C8:E19">
    <sortCondition descending="1" ref="E8"/>
  </sortState>
  <mergeCells count="3">
    <mergeCell ref="C3:S3"/>
    <mergeCell ref="D5:E5"/>
    <mergeCell ref="B39:N4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65"/>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28.28515625" style="23" bestFit="1" customWidth="1"/>
    <col min="5" max="5" width="10.42578125" style="23" bestFit="1" customWidth="1"/>
    <col min="6" max="6" width="26.5703125" style="23" customWidth="1"/>
    <col min="7" max="7" width="13.7109375" style="23" bestFit="1" customWidth="1"/>
    <col min="8" max="8" width="12.7109375" style="23" bestFit="1" customWidth="1"/>
    <col min="9" max="18" width="9.140625" style="23"/>
    <col min="19" max="19" width="9.85546875" style="23" customWidth="1"/>
    <col min="20" max="20" width="9.140625" style="23"/>
    <col min="21" max="21" width="8.42578125" style="23" customWidth="1"/>
    <col min="22" max="16384" width="9.140625" style="23"/>
  </cols>
  <sheetData>
    <row r="1" spans="1:25" ht="15.75" customHeight="1" thickBot="1" x14ac:dyDescent="0.3">
      <c r="A1" s="3"/>
    </row>
    <row r="2" spans="1:25" ht="15" customHeight="1" x14ac:dyDescent="0.25">
      <c r="B2" s="96"/>
      <c r="C2" s="97"/>
      <c r="D2" s="97"/>
      <c r="E2" s="97"/>
      <c r="F2" s="97"/>
      <c r="G2" s="97"/>
      <c r="H2" s="97"/>
      <c r="I2" s="97"/>
      <c r="J2" s="97"/>
      <c r="K2" s="97"/>
      <c r="L2" s="97"/>
      <c r="M2" s="97"/>
      <c r="N2" s="97"/>
      <c r="O2" s="97"/>
      <c r="P2" s="97"/>
      <c r="Q2" s="97"/>
      <c r="R2" s="97"/>
      <c r="S2" s="97"/>
      <c r="T2" s="25"/>
    </row>
    <row r="3" spans="1:25" ht="20.25" customHeight="1" x14ac:dyDescent="0.25">
      <c r="B3" s="98"/>
      <c r="C3" s="234" t="s">
        <v>87</v>
      </c>
      <c r="D3" s="235"/>
      <c r="E3" s="235"/>
      <c r="F3" s="235"/>
      <c r="G3" s="235"/>
      <c r="H3" s="235"/>
      <c r="I3" s="235"/>
      <c r="J3" s="235"/>
      <c r="K3" s="235"/>
      <c r="L3" s="235"/>
      <c r="M3" s="235"/>
      <c r="N3" s="235"/>
      <c r="O3" s="235"/>
      <c r="P3" s="235"/>
      <c r="Q3" s="235"/>
      <c r="R3" s="235"/>
      <c r="S3" s="235"/>
      <c r="T3" s="26"/>
    </row>
    <row r="4" spans="1:25" ht="15.75" customHeight="1" x14ac:dyDescent="0.25">
      <c r="B4" s="98"/>
      <c r="C4" s="85" t="s">
        <v>271</v>
      </c>
      <c r="D4" s="33"/>
      <c r="E4" s="33"/>
      <c r="F4" s="33"/>
      <c r="G4" s="33"/>
      <c r="H4" s="33"/>
      <c r="I4" s="33"/>
      <c r="J4" s="33"/>
      <c r="K4" s="33"/>
      <c r="L4" s="33"/>
      <c r="M4" s="33"/>
      <c r="N4" s="33"/>
      <c r="O4" s="33"/>
      <c r="P4" s="33"/>
      <c r="Q4" s="33"/>
      <c r="R4" s="33"/>
      <c r="S4" s="33"/>
      <c r="T4" s="26"/>
    </row>
    <row r="5" spans="1:25" ht="18" customHeight="1" x14ac:dyDescent="0.25">
      <c r="B5" s="98"/>
      <c r="C5" s="86" t="s">
        <v>272</v>
      </c>
      <c r="D5" s="236" t="s">
        <v>284</v>
      </c>
      <c r="E5" s="236"/>
      <c r="F5" s="33"/>
      <c r="G5" s="33"/>
      <c r="H5" s="33"/>
      <c r="I5" s="33"/>
      <c r="J5" s="33"/>
      <c r="K5" s="33"/>
      <c r="L5" s="33"/>
      <c r="M5" s="33"/>
      <c r="N5" s="33"/>
      <c r="O5" s="33"/>
      <c r="P5" s="33"/>
      <c r="Q5" s="33"/>
      <c r="R5" s="33"/>
      <c r="S5" s="33"/>
      <c r="T5" s="26"/>
    </row>
    <row r="6" spans="1:25" ht="15" customHeight="1" x14ac:dyDescent="0.25">
      <c r="B6" s="98"/>
      <c r="C6" s="33"/>
      <c r="D6" s="33"/>
      <c r="E6" s="33"/>
      <c r="F6" s="33"/>
      <c r="G6" s="33"/>
      <c r="H6" s="33"/>
      <c r="I6" s="33"/>
      <c r="J6" s="33"/>
      <c r="K6" s="33"/>
      <c r="L6" s="33"/>
      <c r="M6" s="33"/>
      <c r="N6" s="33"/>
      <c r="O6" s="33"/>
      <c r="P6" s="33"/>
      <c r="Q6" s="33"/>
      <c r="R6" s="33"/>
      <c r="S6" s="33"/>
      <c r="T6" s="26"/>
    </row>
    <row r="7" spans="1:25" ht="32.25" customHeight="1" x14ac:dyDescent="0.25">
      <c r="B7" s="98"/>
      <c r="C7" s="87" t="s">
        <v>0</v>
      </c>
      <c r="D7" s="88" t="s">
        <v>1</v>
      </c>
      <c r="E7" s="89" t="s">
        <v>2</v>
      </c>
      <c r="F7" s="33"/>
      <c r="G7" s="33"/>
      <c r="H7" s="33"/>
      <c r="I7" s="33"/>
      <c r="J7" s="33"/>
      <c r="K7" s="33"/>
      <c r="L7" s="33"/>
      <c r="M7" s="33"/>
      <c r="N7" s="33"/>
      <c r="O7" s="33"/>
      <c r="P7" s="33"/>
      <c r="Q7" s="33"/>
      <c r="R7" s="33"/>
      <c r="S7" s="33"/>
      <c r="T7" s="26"/>
      <c r="W7" s="45" t="s">
        <v>22</v>
      </c>
      <c r="X7" s="45" t="s">
        <v>2</v>
      </c>
    </row>
    <row r="8" spans="1:25" ht="15" customHeight="1" x14ac:dyDescent="0.25">
      <c r="B8" s="98"/>
      <c r="C8" s="15" t="s">
        <v>34</v>
      </c>
      <c r="D8" s="17" t="s">
        <v>3</v>
      </c>
      <c r="E8" s="19">
        <v>8.4084999999999993E-2</v>
      </c>
      <c r="F8" s="33"/>
      <c r="G8" s="33"/>
      <c r="H8" s="33"/>
      <c r="I8" s="33"/>
      <c r="J8" s="33"/>
      <c r="K8" s="33"/>
      <c r="L8" s="33"/>
      <c r="M8" s="33"/>
      <c r="N8" s="33"/>
      <c r="O8" s="33"/>
      <c r="P8" s="33"/>
      <c r="Q8" s="33"/>
      <c r="R8" s="33"/>
      <c r="S8" s="33"/>
      <c r="T8" s="26"/>
      <c r="W8" s="77" t="s">
        <v>3</v>
      </c>
      <c r="X8" s="79">
        <v>0.22892999999999999</v>
      </c>
      <c r="Y8" s="184"/>
    </row>
    <row r="9" spans="1:25" ht="15.75" customHeight="1" x14ac:dyDescent="0.25">
      <c r="B9" s="98"/>
      <c r="C9" s="16" t="s">
        <v>113</v>
      </c>
      <c r="D9" s="18" t="s">
        <v>3</v>
      </c>
      <c r="E9" s="20">
        <v>5.3352999999999998E-2</v>
      </c>
      <c r="F9" s="33"/>
      <c r="G9" s="33"/>
      <c r="H9" s="33"/>
      <c r="I9" s="33"/>
      <c r="J9" s="33"/>
      <c r="K9" s="33"/>
      <c r="L9" s="33"/>
      <c r="M9" s="33"/>
      <c r="N9" s="33"/>
      <c r="O9" s="33"/>
      <c r="P9" s="33"/>
      <c r="Q9" s="33"/>
      <c r="R9" s="33"/>
      <c r="S9" s="33"/>
      <c r="T9" s="26"/>
      <c r="W9" s="77" t="s">
        <v>169</v>
      </c>
      <c r="X9" s="79">
        <v>9.4253000000000003E-2</v>
      </c>
      <c r="Y9" s="184"/>
    </row>
    <row r="10" spans="1:25" ht="15" customHeight="1" x14ac:dyDescent="0.25">
      <c r="B10" s="98"/>
      <c r="C10" s="16" t="s">
        <v>29</v>
      </c>
      <c r="D10" s="18" t="s">
        <v>169</v>
      </c>
      <c r="E10" s="20">
        <v>5.0574000000000001E-2</v>
      </c>
      <c r="F10" s="33"/>
      <c r="G10" s="33"/>
      <c r="H10" s="33"/>
      <c r="I10" s="33"/>
      <c r="J10" s="33"/>
      <c r="K10" s="33"/>
      <c r="L10" s="33"/>
      <c r="M10" s="33"/>
      <c r="N10" s="33"/>
      <c r="O10" s="33"/>
      <c r="P10" s="33"/>
      <c r="Q10" s="33"/>
      <c r="R10" s="33"/>
      <c r="S10" s="33"/>
      <c r="T10" s="26"/>
      <c r="W10" s="77" t="s">
        <v>174</v>
      </c>
      <c r="X10" s="79">
        <v>6.3648999999999997E-2</v>
      </c>
      <c r="Y10" s="184"/>
    </row>
    <row r="11" spans="1:25" ht="15" customHeight="1" x14ac:dyDescent="0.25">
      <c r="B11" s="98"/>
      <c r="C11" s="16" t="s">
        <v>30</v>
      </c>
      <c r="D11" s="18" t="s">
        <v>3</v>
      </c>
      <c r="E11" s="20">
        <v>4.2463000000000001E-2</v>
      </c>
      <c r="F11" s="33"/>
      <c r="G11" s="33"/>
      <c r="H11" s="33"/>
      <c r="I11" s="33"/>
      <c r="J11" s="33"/>
      <c r="K11" s="33"/>
      <c r="L11" s="33"/>
      <c r="M11" s="33"/>
      <c r="N11" s="33"/>
      <c r="O11" s="33"/>
      <c r="P11" s="33"/>
      <c r="Q11" s="33"/>
      <c r="R11" s="33"/>
      <c r="S11" s="33"/>
      <c r="T11" s="26"/>
      <c r="W11" s="77" t="s">
        <v>175</v>
      </c>
      <c r="X11" s="79">
        <v>4.9877000000000005E-2</v>
      </c>
      <c r="Y11" s="184"/>
    </row>
    <row r="12" spans="1:25" ht="15" customHeight="1" x14ac:dyDescent="0.25">
      <c r="B12" s="98"/>
      <c r="C12" s="16" t="s">
        <v>33</v>
      </c>
      <c r="D12" s="18" t="s">
        <v>6</v>
      </c>
      <c r="E12" s="20">
        <v>3.7962000000000003E-2</v>
      </c>
      <c r="F12" s="33"/>
      <c r="G12" s="33"/>
      <c r="H12" s="33"/>
      <c r="I12" s="33"/>
      <c r="J12" s="33"/>
      <c r="K12" s="33"/>
      <c r="L12" s="33"/>
      <c r="M12" s="33"/>
      <c r="N12" s="33"/>
      <c r="O12" s="33"/>
      <c r="P12" s="33"/>
      <c r="Q12" s="33"/>
      <c r="R12" s="33"/>
      <c r="S12" s="33"/>
      <c r="T12" s="26"/>
      <c r="W12" s="77" t="s">
        <v>4</v>
      </c>
      <c r="X12" s="79">
        <v>4.5899999999999996E-2</v>
      </c>
      <c r="Y12" s="184"/>
    </row>
    <row r="13" spans="1:25" ht="15" customHeight="1" x14ac:dyDescent="0.25">
      <c r="B13" s="98"/>
      <c r="C13" s="16" t="s">
        <v>38</v>
      </c>
      <c r="D13" s="18" t="s">
        <v>3</v>
      </c>
      <c r="E13" s="20">
        <v>3.2471E-2</v>
      </c>
      <c r="F13" s="33"/>
      <c r="G13" s="33"/>
      <c r="H13" s="33"/>
      <c r="I13" s="33"/>
      <c r="J13" s="33"/>
      <c r="K13" s="33"/>
      <c r="L13" s="33"/>
      <c r="M13" s="33"/>
      <c r="N13" s="33"/>
      <c r="O13" s="33"/>
      <c r="P13" s="33"/>
      <c r="Q13" s="33"/>
      <c r="R13" s="33"/>
      <c r="S13" s="33"/>
      <c r="T13" s="26"/>
      <c r="W13" s="77" t="s">
        <v>182</v>
      </c>
      <c r="X13" s="79">
        <v>4.2862999999999998E-2</v>
      </c>
      <c r="Y13" s="184"/>
    </row>
    <row r="14" spans="1:25" ht="15" customHeight="1" x14ac:dyDescent="0.25">
      <c r="B14" s="98"/>
      <c r="C14" s="16" t="s">
        <v>93</v>
      </c>
      <c r="D14" s="18" t="s">
        <v>12</v>
      </c>
      <c r="E14" s="20">
        <v>2.8032000000000001E-2</v>
      </c>
      <c r="F14" s="33"/>
      <c r="G14" s="33"/>
      <c r="H14" s="33"/>
      <c r="I14" s="33"/>
      <c r="J14" s="33"/>
      <c r="K14" s="33"/>
      <c r="L14" s="33"/>
      <c r="M14" s="33"/>
      <c r="N14" s="33"/>
      <c r="O14" s="33"/>
      <c r="P14" s="33"/>
      <c r="Q14" s="33"/>
      <c r="R14" s="33"/>
      <c r="S14" s="33"/>
      <c r="T14" s="26"/>
      <c r="W14" s="77" t="s">
        <v>119</v>
      </c>
      <c r="X14" s="79">
        <v>3.9182000000000002E-2</v>
      </c>
      <c r="Y14" s="184"/>
    </row>
    <row r="15" spans="1:25" ht="15" customHeight="1" x14ac:dyDescent="0.25">
      <c r="B15" s="98"/>
      <c r="C15" s="16" t="s">
        <v>114</v>
      </c>
      <c r="D15" s="18" t="s">
        <v>175</v>
      </c>
      <c r="E15" s="20">
        <v>2.5054E-2</v>
      </c>
      <c r="F15" s="33"/>
      <c r="G15" s="33"/>
      <c r="H15" s="33"/>
      <c r="I15" s="33"/>
      <c r="J15" s="33"/>
      <c r="K15" s="33"/>
      <c r="L15" s="33"/>
      <c r="M15" s="33"/>
      <c r="N15" s="33"/>
      <c r="O15" s="33"/>
      <c r="P15" s="33"/>
      <c r="Q15" s="33"/>
      <c r="R15" s="33"/>
      <c r="S15" s="33"/>
      <c r="T15" s="26"/>
      <c r="W15" s="77" t="s">
        <v>172</v>
      </c>
      <c r="X15" s="79">
        <v>3.8580999999999997E-2</v>
      </c>
      <c r="Y15" s="184"/>
    </row>
    <row r="16" spans="1:25" ht="15" customHeight="1" x14ac:dyDescent="0.25">
      <c r="B16" s="98"/>
      <c r="C16" s="16" t="s">
        <v>183</v>
      </c>
      <c r="D16" s="18" t="s">
        <v>175</v>
      </c>
      <c r="E16" s="20">
        <v>2.4823000000000001E-2</v>
      </c>
      <c r="F16" s="33"/>
      <c r="G16" s="33"/>
      <c r="H16" s="33"/>
      <c r="I16" s="33"/>
      <c r="J16" s="33"/>
      <c r="K16" s="33"/>
      <c r="L16" s="33"/>
      <c r="M16" s="33"/>
      <c r="N16" s="33"/>
      <c r="O16" s="33"/>
      <c r="P16" s="33"/>
      <c r="Q16" s="33"/>
      <c r="R16" s="33"/>
      <c r="S16" s="33"/>
      <c r="T16" s="26"/>
      <c r="W16" s="77" t="s">
        <v>6</v>
      </c>
      <c r="X16" s="79">
        <v>3.7962000000000003E-2</v>
      </c>
      <c r="Y16" s="184"/>
    </row>
    <row r="17" spans="2:25" ht="15" customHeight="1" x14ac:dyDescent="0.25">
      <c r="B17" s="98"/>
      <c r="C17" s="16" t="s">
        <v>103</v>
      </c>
      <c r="D17" s="18" t="s">
        <v>11</v>
      </c>
      <c r="E17" s="20">
        <v>2.4516E-2</v>
      </c>
      <c r="F17" s="33"/>
      <c r="G17" s="33"/>
      <c r="H17" s="33"/>
      <c r="I17" s="33"/>
      <c r="J17" s="33"/>
      <c r="K17" s="33"/>
      <c r="L17" s="33"/>
      <c r="M17" s="33"/>
      <c r="N17" s="33"/>
      <c r="O17" s="33"/>
      <c r="P17" s="33"/>
      <c r="Q17" s="33"/>
      <c r="R17" s="33"/>
      <c r="S17" s="33"/>
      <c r="T17" s="26"/>
      <c r="W17" s="77" t="s">
        <v>11</v>
      </c>
      <c r="X17" s="79">
        <v>3.6615000000000002E-2</v>
      </c>
      <c r="Y17" s="184"/>
    </row>
    <row r="18" spans="2:25" ht="15" customHeight="1" x14ac:dyDescent="0.25">
      <c r="B18" s="98"/>
      <c r="C18" s="16" t="s">
        <v>257</v>
      </c>
      <c r="D18" s="18" t="s">
        <v>182</v>
      </c>
      <c r="E18" s="20">
        <v>2.2721000000000002E-2</v>
      </c>
      <c r="F18" s="33"/>
      <c r="G18" s="33"/>
      <c r="H18" s="33"/>
      <c r="I18" s="33"/>
      <c r="J18" s="33"/>
      <c r="K18" s="33"/>
      <c r="L18" s="33"/>
      <c r="M18" s="33"/>
      <c r="N18" s="33"/>
      <c r="O18" s="33"/>
      <c r="P18" s="33"/>
      <c r="Q18" s="33"/>
      <c r="R18" s="33"/>
      <c r="S18" s="33"/>
      <c r="T18" s="26"/>
      <c r="W18" s="77" t="s">
        <v>179</v>
      </c>
      <c r="X18" s="79">
        <v>3.5526000000000002E-2</v>
      </c>
      <c r="Y18" s="184"/>
    </row>
    <row r="19" spans="2:25" ht="15" customHeight="1" x14ac:dyDescent="0.25">
      <c r="B19" s="98"/>
      <c r="C19" s="16" t="s">
        <v>146</v>
      </c>
      <c r="D19" s="18" t="s">
        <v>182</v>
      </c>
      <c r="E19" s="20">
        <v>2.0142E-2</v>
      </c>
      <c r="F19" s="33"/>
      <c r="G19" s="33"/>
      <c r="H19" s="33"/>
      <c r="I19" s="33"/>
      <c r="J19" s="33"/>
      <c r="K19" s="33"/>
      <c r="L19" s="33"/>
      <c r="M19" s="33"/>
      <c r="N19" s="33"/>
      <c r="O19" s="33"/>
      <c r="P19" s="33"/>
      <c r="Q19" s="33"/>
      <c r="R19" s="33"/>
      <c r="S19" s="33"/>
      <c r="T19" s="26"/>
      <c r="W19" s="77" t="s">
        <v>24</v>
      </c>
      <c r="X19" s="79">
        <v>3.5242999999999997E-2</v>
      </c>
      <c r="Y19" s="184"/>
    </row>
    <row r="20" spans="2:25" ht="15" customHeight="1" x14ac:dyDescent="0.25">
      <c r="B20" s="98"/>
      <c r="C20" s="16" t="s">
        <v>166</v>
      </c>
      <c r="D20" s="18" t="s">
        <v>174</v>
      </c>
      <c r="E20" s="20">
        <v>2.0043999999999999E-2</v>
      </c>
      <c r="F20" s="33"/>
      <c r="G20" s="33"/>
      <c r="H20" s="33"/>
      <c r="I20" s="33"/>
      <c r="J20" s="33"/>
      <c r="K20" s="33"/>
      <c r="L20" s="33"/>
      <c r="M20" s="33"/>
      <c r="N20" s="33"/>
      <c r="O20" s="33"/>
      <c r="P20" s="33"/>
      <c r="Q20" s="33"/>
      <c r="R20" s="33"/>
      <c r="S20" s="33"/>
      <c r="T20" s="26"/>
      <c r="W20" s="77" t="s">
        <v>23</v>
      </c>
      <c r="X20" s="79">
        <v>3.1801999999999997E-2</v>
      </c>
      <c r="Y20" s="184"/>
    </row>
    <row r="21" spans="2:25" ht="15" customHeight="1" x14ac:dyDescent="0.25">
      <c r="B21" s="98"/>
      <c r="C21" s="16" t="s">
        <v>165</v>
      </c>
      <c r="D21" s="18" t="s">
        <v>188</v>
      </c>
      <c r="E21" s="20">
        <v>1.9838999999999999E-2</v>
      </c>
      <c r="F21" s="33"/>
      <c r="G21" s="33"/>
      <c r="H21" s="33"/>
      <c r="I21" s="33"/>
      <c r="J21" s="33"/>
      <c r="K21" s="33"/>
      <c r="L21" s="33"/>
      <c r="M21" s="33"/>
      <c r="N21" s="33"/>
      <c r="O21" s="33"/>
      <c r="P21" s="33"/>
      <c r="Q21" s="33"/>
      <c r="R21" s="33"/>
      <c r="S21" s="33"/>
      <c r="T21" s="26"/>
      <c r="W21" s="77" t="s">
        <v>120</v>
      </c>
      <c r="X21" s="79">
        <v>2.8735999999999998E-2</v>
      </c>
      <c r="Y21" s="184"/>
    </row>
    <row r="22" spans="2:25" ht="15" customHeight="1" x14ac:dyDescent="0.25">
      <c r="B22" s="98"/>
      <c r="C22" s="16" t="s">
        <v>92</v>
      </c>
      <c r="D22" s="18" t="s">
        <v>179</v>
      </c>
      <c r="E22" s="20">
        <v>1.9231999999999999E-2</v>
      </c>
      <c r="F22" s="33"/>
      <c r="G22" s="33"/>
      <c r="H22" s="33"/>
      <c r="I22" s="33"/>
      <c r="J22" s="33"/>
      <c r="K22" s="33"/>
      <c r="L22" s="33"/>
      <c r="M22" s="33"/>
      <c r="N22" s="33"/>
      <c r="O22" s="33"/>
      <c r="P22" s="33"/>
      <c r="Q22" s="33"/>
      <c r="R22" s="33"/>
      <c r="S22" s="33"/>
      <c r="T22" s="26"/>
      <c r="W22" s="77" t="s">
        <v>12</v>
      </c>
      <c r="X22" s="79">
        <v>2.8032000000000001E-2</v>
      </c>
      <c r="Y22" s="184"/>
    </row>
    <row r="23" spans="2:25" ht="15" customHeight="1" x14ac:dyDescent="0.25">
      <c r="B23" s="98"/>
      <c r="C23" s="90"/>
      <c r="D23" s="90"/>
      <c r="E23" s="91"/>
      <c r="F23" s="33"/>
      <c r="G23" s="33"/>
      <c r="H23" s="33"/>
      <c r="I23" s="33"/>
      <c r="J23" s="33"/>
      <c r="K23" s="33"/>
      <c r="L23" s="33"/>
      <c r="M23" s="33"/>
      <c r="N23" s="33"/>
      <c r="O23" s="33"/>
      <c r="P23" s="33"/>
      <c r="Q23" s="33"/>
      <c r="R23" s="33"/>
      <c r="S23" s="33"/>
      <c r="T23" s="26"/>
      <c r="W23" s="77" t="s">
        <v>16</v>
      </c>
      <c r="X23" s="79">
        <v>2.0601000000000001E-2</v>
      </c>
      <c r="Y23" s="184"/>
    </row>
    <row r="24" spans="2:25" ht="15" customHeight="1" x14ac:dyDescent="0.25">
      <c r="B24" s="98"/>
      <c r="C24" s="92" t="s">
        <v>64</v>
      </c>
      <c r="D24" s="93"/>
      <c r="E24" s="94">
        <f>SUM(E8:E22)</f>
        <v>0.50531100000000007</v>
      </c>
      <c r="F24" s="33"/>
      <c r="G24" s="33"/>
      <c r="H24" s="33"/>
      <c r="I24" s="33"/>
      <c r="J24" s="33"/>
      <c r="K24" s="33"/>
      <c r="L24" s="33"/>
      <c r="M24" s="33"/>
      <c r="N24" s="33"/>
      <c r="O24" s="33"/>
      <c r="P24" s="33"/>
      <c r="Q24" s="33"/>
      <c r="R24" s="33"/>
      <c r="S24" s="33"/>
      <c r="T24" s="26"/>
      <c r="W24" s="77" t="s">
        <v>188</v>
      </c>
      <c r="X24" s="79">
        <v>1.9838999999999999E-2</v>
      </c>
      <c r="Y24" s="184"/>
    </row>
    <row r="25" spans="2:25" ht="15" customHeight="1" x14ac:dyDescent="0.25">
      <c r="B25" s="98"/>
      <c r="F25" s="33"/>
      <c r="G25" s="33"/>
      <c r="H25" s="33"/>
      <c r="I25" s="33"/>
      <c r="J25" s="33"/>
      <c r="K25" s="33"/>
      <c r="L25" s="33"/>
      <c r="M25" s="33"/>
      <c r="N25" s="33"/>
      <c r="O25" s="33"/>
      <c r="P25" s="33"/>
      <c r="Q25" s="33"/>
      <c r="R25" s="33"/>
      <c r="S25" s="33"/>
      <c r="T25" s="26"/>
      <c r="W25" s="77" t="s">
        <v>168</v>
      </c>
      <c r="X25" s="79">
        <v>1.8527999999999999E-2</v>
      </c>
      <c r="Y25" s="184"/>
    </row>
    <row r="26" spans="2:25" ht="15" customHeight="1" x14ac:dyDescent="0.25">
      <c r="B26" s="98"/>
      <c r="F26" s="33"/>
      <c r="G26" s="33"/>
      <c r="H26" s="33"/>
      <c r="I26" s="33"/>
      <c r="J26" s="33"/>
      <c r="K26" s="33"/>
      <c r="L26" s="33"/>
      <c r="M26" s="33"/>
      <c r="N26" s="33"/>
      <c r="O26" s="33"/>
      <c r="P26" s="33"/>
      <c r="Q26" s="33"/>
      <c r="R26" s="33"/>
      <c r="S26" s="33"/>
      <c r="T26" s="26"/>
      <c r="W26" s="77" t="s">
        <v>10</v>
      </c>
      <c r="X26" s="79">
        <v>1.3644E-2</v>
      </c>
      <c r="Y26" s="184"/>
    </row>
    <row r="27" spans="2:25" ht="15" customHeight="1" x14ac:dyDescent="0.25">
      <c r="B27" s="98"/>
      <c r="F27" s="33"/>
      <c r="G27" s="33"/>
      <c r="H27" s="33"/>
      <c r="I27" s="33"/>
      <c r="J27" s="33"/>
      <c r="K27" s="33"/>
      <c r="L27" s="33"/>
      <c r="M27" s="33"/>
      <c r="N27" s="33"/>
      <c r="O27" s="33"/>
      <c r="P27" s="33"/>
      <c r="Q27" s="33"/>
      <c r="R27" s="33"/>
      <c r="S27" s="33"/>
      <c r="T27" s="26"/>
      <c r="W27" s="77" t="s">
        <v>178</v>
      </c>
      <c r="X27" s="79">
        <v>1.2383E-2</v>
      </c>
      <c r="Y27" s="184"/>
    </row>
    <row r="28" spans="2:25" ht="15" customHeight="1" x14ac:dyDescent="0.25">
      <c r="B28" s="98"/>
      <c r="F28" s="33"/>
      <c r="G28" s="33"/>
      <c r="H28" s="33"/>
      <c r="I28" s="33"/>
      <c r="J28" s="33"/>
      <c r="K28" s="33"/>
      <c r="L28" s="33"/>
      <c r="M28" s="33"/>
      <c r="N28" s="33"/>
      <c r="O28" s="33"/>
      <c r="P28" s="33"/>
      <c r="Q28" s="33"/>
      <c r="R28" s="33"/>
      <c r="S28" s="33"/>
      <c r="T28" s="26"/>
      <c r="W28" s="68" t="s">
        <v>122</v>
      </c>
      <c r="X28" s="69">
        <v>6.3889999999999997E-3</v>
      </c>
      <c r="Y28" s="184"/>
    </row>
    <row r="29" spans="2:25" ht="15" customHeight="1" x14ac:dyDescent="0.25">
      <c r="B29" s="98"/>
      <c r="F29" s="33"/>
      <c r="G29" s="33"/>
      <c r="H29" s="33"/>
      <c r="I29" s="33"/>
      <c r="J29" s="33"/>
      <c r="K29" s="33"/>
      <c r="L29" s="33"/>
      <c r="M29" s="33"/>
      <c r="N29" s="33"/>
      <c r="O29" s="33"/>
      <c r="P29" s="33"/>
      <c r="Q29" s="33"/>
      <c r="R29" s="33"/>
      <c r="S29" s="33"/>
      <c r="T29" s="26"/>
      <c r="W29" s="68" t="s">
        <v>180</v>
      </c>
      <c r="X29" s="69">
        <v>2.4710000000000001E-3</v>
      </c>
      <c r="Y29" s="184"/>
    </row>
    <row r="30" spans="2:25" ht="15" customHeight="1" x14ac:dyDescent="0.25">
      <c r="B30" s="98"/>
      <c r="F30" s="33"/>
      <c r="G30" s="33"/>
      <c r="H30" s="33"/>
      <c r="I30" s="33"/>
      <c r="J30" s="33"/>
      <c r="K30" s="33"/>
      <c r="L30" s="33"/>
      <c r="M30" s="33"/>
      <c r="N30" s="33"/>
      <c r="O30" s="33"/>
      <c r="P30" s="33"/>
      <c r="Q30" s="33"/>
      <c r="R30" s="33"/>
      <c r="S30" s="33"/>
      <c r="T30" s="26"/>
      <c r="W30" s="68"/>
      <c r="X30" s="69"/>
    </row>
    <row r="31" spans="2:25" ht="15" customHeight="1" x14ac:dyDescent="0.25">
      <c r="B31" s="98"/>
      <c r="F31" s="33"/>
      <c r="G31" s="33"/>
      <c r="H31" s="33"/>
      <c r="I31" s="33"/>
      <c r="J31" s="33"/>
      <c r="K31" s="33"/>
      <c r="L31" s="33"/>
      <c r="M31" s="33"/>
      <c r="N31" s="33"/>
      <c r="O31" s="33"/>
      <c r="P31" s="33"/>
      <c r="Q31" s="33"/>
      <c r="R31" s="33"/>
      <c r="S31" s="33"/>
      <c r="T31" s="26"/>
      <c r="W31" s="68"/>
      <c r="X31" s="69"/>
    </row>
    <row r="32" spans="2:25" ht="15" customHeight="1" x14ac:dyDescent="0.25">
      <c r="B32" s="98"/>
      <c r="F32" s="33"/>
      <c r="G32" s="33"/>
      <c r="H32" s="33"/>
      <c r="I32" s="33"/>
      <c r="J32" s="33"/>
      <c r="K32" s="33"/>
      <c r="L32" s="33"/>
      <c r="M32" s="33"/>
      <c r="N32" s="33"/>
      <c r="O32" s="33"/>
      <c r="P32" s="33"/>
      <c r="Q32" s="33"/>
      <c r="R32" s="33"/>
      <c r="S32" s="33"/>
      <c r="T32" s="26"/>
      <c r="W32" s="68"/>
      <c r="X32" s="69"/>
    </row>
    <row r="33" spans="2:24" ht="15" customHeight="1" x14ac:dyDescent="0.25">
      <c r="B33" s="98"/>
      <c r="F33" s="33"/>
      <c r="G33" s="33"/>
      <c r="H33" s="33"/>
      <c r="I33" s="33"/>
      <c r="J33" s="33"/>
      <c r="K33" s="33"/>
      <c r="L33" s="33"/>
      <c r="M33" s="33"/>
      <c r="N33" s="33"/>
      <c r="O33" s="33"/>
      <c r="P33" s="33"/>
      <c r="Q33" s="33"/>
      <c r="R33" s="33"/>
      <c r="S33" s="33"/>
      <c r="T33" s="26"/>
      <c r="W33" s="68"/>
      <c r="X33" s="69"/>
    </row>
    <row r="34" spans="2:24" ht="15" customHeight="1" x14ac:dyDescent="0.25">
      <c r="B34" s="98"/>
      <c r="F34" s="33"/>
      <c r="G34" s="33"/>
      <c r="H34" s="33"/>
      <c r="I34" s="33"/>
      <c r="J34" s="33"/>
      <c r="K34" s="33"/>
      <c r="L34" s="33"/>
      <c r="M34" s="33"/>
      <c r="N34" s="33"/>
      <c r="O34" s="33"/>
      <c r="P34" s="33"/>
      <c r="Q34" s="33"/>
      <c r="R34" s="33"/>
      <c r="S34" s="33"/>
      <c r="T34" s="26"/>
    </row>
    <row r="35" spans="2:24" ht="15" customHeight="1" x14ac:dyDescent="0.25">
      <c r="B35" s="98"/>
      <c r="F35" s="33"/>
      <c r="G35" s="33"/>
      <c r="H35" s="33"/>
      <c r="I35" s="33"/>
      <c r="J35" s="33"/>
      <c r="K35" s="33"/>
      <c r="L35" s="33"/>
      <c r="M35" s="33"/>
      <c r="N35" s="33"/>
      <c r="O35" s="33"/>
      <c r="P35" s="33"/>
      <c r="Q35" s="33"/>
      <c r="R35" s="33"/>
      <c r="S35" s="33"/>
      <c r="T35" s="26"/>
    </row>
    <row r="36" spans="2:24" ht="15" customHeight="1" x14ac:dyDescent="0.25">
      <c r="B36" s="98"/>
      <c r="F36" s="33"/>
      <c r="G36" s="33"/>
      <c r="H36" s="33"/>
      <c r="I36" s="33"/>
      <c r="J36" s="33"/>
      <c r="K36" s="33"/>
      <c r="L36" s="33"/>
      <c r="M36" s="33"/>
      <c r="N36" s="33"/>
      <c r="O36" s="33"/>
      <c r="P36" s="33"/>
      <c r="Q36" s="33"/>
      <c r="R36" s="33"/>
      <c r="S36" s="33"/>
      <c r="T36" s="26"/>
    </row>
    <row r="37" spans="2:24" ht="15" customHeight="1" x14ac:dyDescent="0.25">
      <c r="B37" s="98"/>
      <c r="F37" s="33"/>
      <c r="G37" s="33"/>
      <c r="H37" s="33"/>
      <c r="I37" s="33"/>
      <c r="J37" s="33"/>
      <c r="K37" s="33"/>
      <c r="L37" s="33"/>
      <c r="M37" s="33"/>
      <c r="N37" s="33"/>
      <c r="O37" s="33"/>
      <c r="P37" s="33"/>
      <c r="Q37" s="33"/>
      <c r="R37" s="33"/>
      <c r="S37" s="33"/>
      <c r="T37" s="26"/>
    </row>
    <row r="38" spans="2:24" ht="15" customHeight="1" thickBot="1" x14ac:dyDescent="0.3">
      <c r="B38" s="99"/>
      <c r="C38" s="100"/>
      <c r="D38" s="100"/>
      <c r="E38" s="100"/>
      <c r="F38" s="100"/>
      <c r="G38" s="100"/>
      <c r="H38" s="100"/>
      <c r="I38" s="100"/>
      <c r="J38" s="100"/>
      <c r="K38" s="100"/>
      <c r="L38" s="100"/>
      <c r="M38" s="100"/>
      <c r="N38" s="100"/>
      <c r="O38" s="100"/>
      <c r="P38" s="100"/>
      <c r="Q38" s="100"/>
      <c r="R38" s="100"/>
      <c r="S38" s="100"/>
      <c r="T38" s="27"/>
    </row>
    <row r="39" spans="2:24" ht="15" customHeight="1" thickBot="1" x14ac:dyDescent="0.3"/>
    <row r="40" spans="2:24" ht="15" customHeight="1" x14ac:dyDescent="0.25">
      <c r="B40" s="225" t="s">
        <v>117</v>
      </c>
      <c r="C40" s="226"/>
      <c r="D40" s="226"/>
      <c r="E40" s="226"/>
      <c r="F40" s="226"/>
      <c r="G40" s="226"/>
      <c r="H40" s="226"/>
      <c r="I40" s="226"/>
      <c r="J40" s="226"/>
      <c r="K40" s="226"/>
      <c r="L40" s="226"/>
      <c r="M40" s="226"/>
      <c r="N40" s="226"/>
      <c r="O40" s="226"/>
      <c r="P40" s="226"/>
      <c r="Q40" s="226"/>
      <c r="R40" s="227"/>
    </row>
    <row r="41" spans="2:24" ht="15" customHeight="1" x14ac:dyDescent="0.25">
      <c r="B41" s="228"/>
      <c r="C41" s="229"/>
      <c r="D41" s="229"/>
      <c r="E41" s="229"/>
      <c r="F41" s="229"/>
      <c r="G41" s="229"/>
      <c r="H41" s="229"/>
      <c r="I41" s="229"/>
      <c r="J41" s="229"/>
      <c r="K41" s="229"/>
      <c r="L41" s="229"/>
      <c r="M41" s="229"/>
      <c r="N41" s="229"/>
      <c r="O41" s="229"/>
      <c r="P41" s="229"/>
      <c r="Q41" s="229"/>
      <c r="R41" s="230"/>
    </row>
    <row r="42" spans="2:24" ht="15" customHeight="1" x14ac:dyDescent="0.25">
      <c r="B42" s="228"/>
      <c r="C42" s="229"/>
      <c r="D42" s="229"/>
      <c r="E42" s="229"/>
      <c r="F42" s="229"/>
      <c r="G42" s="229"/>
      <c r="H42" s="229"/>
      <c r="I42" s="229"/>
      <c r="J42" s="229"/>
      <c r="K42" s="229"/>
      <c r="L42" s="229"/>
      <c r="M42" s="229"/>
      <c r="N42" s="229"/>
      <c r="O42" s="229"/>
      <c r="P42" s="229"/>
      <c r="Q42" s="229"/>
      <c r="R42" s="230"/>
    </row>
    <row r="43" spans="2:24" ht="15" customHeight="1" x14ac:dyDescent="0.25">
      <c r="B43" s="228"/>
      <c r="C43" s="229"/>
      <c r="D43" s="229"/>
      <c r="E43" s="229"/>
      <c r="F43" s="229"/>
      <c r="G43" s="229"/>
      <c r="H43" s="229"/>
      <c r="I43" s="229"/>
      <c r="J43" s="229"/>
      <c r="K43" s="229"/>
      <c r="L43" s="229"/>
      <c r="M43" s="229"/>
      <c r="N43" s="229"/>
      <c r="O43" s="229"/>
      <c r="P43" s="229"/>
      <c r="Q43" s="229"/>
      <c r="R43" s="230"/>
    </row>
    <row r="44" spans="2:24" ht="15" customHeight="1" x14ac:dyDescent="0.25">
      <c r="B44" s="228"/>
      <c r="C44" s="229"/>
      <c r="D44" s="229"/>
      <c r="E44" s="229"/>
      <c r="F44" s="229"/>
      <c r="G44" s="229"/>
      <c r="H44" s="229"/>
      <c r="I44" s="229"/>
      <c r="J44" s="229"/>
      <c r="K44" s="229"/>
      <c r="L44" s="229"/>
      <c r="M44" s="229"/>
      <c r="N44" s="229"/>
      <c r="O44" s="229"/>
      <c r="P44" s="229"/>
      <c r="Q44" s="229"/>
      <c r="R44" s="230"/>
    </row>
    <row r="45" spans="2:24" ht="15" customHeight="1" x14ac:dyDescent="0.25">
      <c r="B45" s="228"/>
      <c r="C45" s="229"/>
      <c r="D45" s="229"/>
      <c r="E45" s="229"/>
      <c r="F45" s="229"/>
      <c r="G45" s="229"/>
      <c r="H45" s="229"/>
      <c r="I45" s="229"/>
      <c r="J45" s="229"/>
      <c r="K45" s="229"/>
      <c r="L45" s="229"/>
      <c r="M45" s="229"/>
      <c r="N45" s="229"/>
      <c r="O45" s="229"/>
      <c r="P45" s="229"/>
      <c r="Q45" s="229"/>
      <c r="R45" s="230"/>
    </row>
    <row r="46" spans="2:24" ht="15" customHeight="1" thickBot="1" x14ac:dyDescent="0.3">
      <c r="B46" s="231"/>
      <c r="C46" s="232"/>
      <c r="D46" s="232"/>
      <c r="E46" s="232"/>
      <c r="F46" s="232"/>
      <c r="G46" s="232"/>
      <c r="H46" s="232"/>
      <c r="I46" s="232"/>
      <c r="J46" s="232"/>
      <c r="K46" s="232"/>
      <c r="L46" s="232"/>
      <c r="M46" s="232"/>
      <c r="N46" s="232"/>
      <c r="O46" s="232"/>
      <c r="P46" s="232"/>
      <c r="Q46" s="232"/>
      <c r="R46" s="233"/>
    </row>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sortState ref="W8:X29">
    <sortCondition descending="1" ref="X8:X29"/>
  </sortState>
  <mergeCells count="3">
    <mergeCell ref="C3:S3"/>
    <mergeCell ref="D5:E5"/>
    <mergeCell ref="B40:R46"/>
  </mergeCell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A1489"/>
  <sheetViews>
    <sheetView showGridLines="0" zoomScale="75" zoomScaleNormal="75" workbookViewId="0"/>
  </sheetViews>
  <sheetFormatPr defaultRowHeight="15" x14ac:dyDescent="0.2"/>
  <cols>
    <col min="1" max="1" width="2.85546875" style="3" customWidth="1"/>
    <col min="2" max="2" width="3.85546875" style="3" customWidth="1"/>
    <col min="3" max="3" width="62.5703125" style="3" customWidth="1"/>
    <col min="4" max="4" width="41.140625" style="3" bestFit="1" customWidth="1"/>
    <col min="5" max="5" width="16.7109375" style="3" customWidth="1"/>
    <col min="6" max="6" width="3.85546875" style="3" customWidth="1"/>
    <col min="7" max="7" width="4.5703125" style="3" customWidth="1"/>
    <col min="8" max="8" width="14.5703125" style="3" bestFit="1" customWidth="1"/>
    <col min="9" max="10" width="9.140625" style="3"/>
    <col min="11" max="11" width="9.85546875" style="3" bestFit="1" customWidth="1"/>
    <col min="12" max="15" width="9.140625" style="3"/>
    <col min="16" max="16" width="2.85546875" style="3" customWidth="1"/>
    <col min="17" max="17" width="10.28515625" style="3" customWidth="1"/>
    <col min="18" max="18" width="9.42578125" style="3" customWidth="1"/>
    <col min="19" max="19" width="9.28515625" style="3" bestFit="1" customWidth="1"/>
    <col min="20" max="21" width="9.140625" style="3"/>
    <col min="22" max="22" width="10.5703125" style="3" bestFit="1" customWidth="1"/>
    <col min="23" max="16384" width="9.140625" style="3"/>
  </cols>
  <sheetData>
    <row r="1" spans="2:27" ht="15.75" thickBot="1" x14ac:dyDescent="0.25"/>
    <row r="2" spans="2:27" x14ac:dyDescent="0.2">
      <c r="B2" s="110"/>
      <c r="C2" s="49"/>
      <c r="D2" s="49"/>
      <c r="E2" s="49"/>
      <c r="F2" s="49"/>
      <c r="G2" s="49"/>
      <c r="H2" s="49"/>
      <c r="I2" s="49"/>
      <c r="J2" s="49"/>
      <c r="K2" s="49"/>
      <c r="L2" s="49"/>
      <c r="M2" s="49"/>
      <c r="N2" s="49"/>
      <c r="O2" s="49"/>
      <c r="P2" s="49"/>
      <c r="Q2" s="111"/>
    </row>
    <row r="3" spans="2:27" ht="20.25" customHeight="1" x14ac:dyDescent="0.2">
      <c r="B3" s="112"/>
      <c r="C3" s="219" t="s">
        <v>41</v>
      </c>
      <c r="D3" s="219"/>
      <c r="E3" s="219"/>
      <c r="F3" s="219"/>
      <c r="G3" s="219"/>
      <c r="H3" s="219"/>
      <c r="I3" s="219"/>
      <c r="J3" s="219"/>
      <c r="K3" s="219"/>
      <c r="L3" s="219"/>
      <c r="M3" s="219"/>
      <c r="N3" s="219"/>
      <c r="O3" s="219"/>
      <c r="P3" s="219"/>
      <c r="Q3" s="24"/>
    </row>
    <row r="4" spans="2:27" ht="15.75" x14ac:dyDescent="0.25">
      <c r="B4" s="112"/>
      <c r="C4" s="85" t="s">
        <v>271</v>
      </c>
      <c r="D4" s="5"/>
      <c r="E4" s="5"/>
      <c r="F4" s="5"/>
      <c r="G4" s="5"/>
      <c r="H4" s="5"/>
      <c r="I4" s="5"/>
      <c r="J4" s="5"/>
      <c r="K4" s="5"/>
      <c r="L4" s="5"/>
      <c r="M4" s="5"/>
      <c r="N4" s="5"/>
      <c r="O4" s="5"/>
      <c r="P4" s="5"/>
      <c r="Q4" s="24"/>
    </row>
    <row r="5" spans="2:27" ht="20.25" x14ac:dyDescent="0.2">
      <c r="B5" s="112"/>
      <c r="C5" s="86" t="s">
        <v>272</v>
      </c>
      <c r="D5" s="236" t="s">
        <v>285</v>
      </c>
      <c r="E5" s="236"/>
      <c r="F5" s="5"/>
      <c r="G5" s="5"/>
      <c r="H5" s="5"/>
      <c r="I5" s="5"/>
      <c r="J5" s="5"/>
      <c r="K5" s="5"/>
      <c r="L5" s="5"/>
      <c r="M5" s="5"/>
      <c r="N5" s="5"/>
      <c r="O5" s="5"/>
      <c r="P5" s="5"/>
      <c r="Q5" s="24"/>
    </row>
    <row r="6" spans="2:27" x14ac:dyDescent="0.2">
      <c r="B6" s="112"/>
      <c r="C6" s="5"/>
      <c r="D6" s="5"/>
      <c r="E6" s="5"/>
      <c r="F6" s="5"/>
      <c r="G6" s="5"/>
      <c r="H6" s="5"/>
      <c r="I6" s="5"/>
      <c r="J6" s="5"/>
      <c r="K6" s="5"/>
      <c r="L6" s="5"/>
      <c r="M6" s="5"/>
      <c r="N6" s="5"/>
      <c r="O6" s="5"/>
      <c r="P6" s="5"/>
      <c r="Q6" s="24"/>
      <c r="R6" s="2"/>
      <c r="S6" s="2"/>
      <c r="T6" s="1"/>
    </row>
    <row r="7" spans="2:27" ht="32.25" customHeight="1" x14ac:dyDescent="0.2">
      <c r="B7" s="112"/>
      <c r="C7" s="114" t="s">
        <v>0</v>
      </c>
      <c r="D7" s="114" t="s">
        <v>1</v>
      </c>
      <c r="E7" s="114" t="s">
        <v>2</v>
      </c>
      <c r="F7" s="5"/>
      <c r="G7" s="5"/>
      <c r="H7" s="5"/>
      <c r="I7" s="5"/>
      <c r="J7" s="5"/>
      <c r="K7" s="5"/>
      <c r="L7" s="5"/>
      <c r="M7" s="5"/>
      <c r="N7" s="5"/>
      <c r="O7" s="5"/>
      <c r="P7" s="5"/>
      <c r="Q7" s="24"/>
      <c r="R7" s="12" t="s">
        <v>42</v>
      </c>
      <c r="S7" s="12" t="s">
        <v>43</v>
      </c>
      <c r="T7" s="209"/>
    </row>
    <row r="8" spans="2:27" ht="15.75" x14ac:dyDescent="0.25">
      <c r="B8" s="112"/>
      <c r="C8" s="42"/>
      <c r="D8" s="42"/>
      <c r="E8" s="36"/>
      <c r="F8" s="5"/>
      <c r="G8" s="5"/>
      <c r="H8" s="5"/>
      <c r="I8" s="5"/>
      <c r="J8" s="5"/>
      <c r="K8" s="5"/>
      <c r="L8" s="5"/>
      <c r="M8" s="5"/>
      <c r="N8" s="5"/>
      <c r="O8" s="5"/>
      <c r="P8" s="5"/>
      <c r="Q8" s="24"/>
      <c r="R8" s="12" t="s">
        <v>44</v>
      </c>
      <c r="S8" s="13">
        <f>E9</f>
        <v>0.66695700000000002</v>
      </c>
      <c r="T8" s="209"/>
      <c r="V8" s="68"/>
      <c r="W8" s="69"/>
      <c r="Z8" s="52"/>
      <c r="AA8" s="52"/>
    </row>
    <row r="9" spans="2:27" ht="15.75" x14ac:dyDescent="0.25">
      <c r="B9" s="112"/>
      <c r="C9" s="132" t="s">
        <v>44</v>
      </c>
      <c r="D9" s="151"/>
      <c r="E9" s="133">
        <v>0.66695700000000002</v>
      </c>
      <c r="F9" s="57"/>
      <c r="G9" s="5"/>
      <c r="H9" s="5"/>
      <c r="I9" s="5"/>
      <c r="J9" s="5"/>
      <c r="K9" s="5"/>
      <c r="L9" s="5"/>
      <c r="M9" s="5"/>
      <c r="N9" s="5"/>
      <c r="O9" s="5"/>
      <c r="P9" s="5"/>
      <c r="Q9" s="24"/>
      <c r="R9" s="12" t="s">
        <v>45</v>
      </c>
      <c r="S9" s="13">
        <f>100%-S8</f>
        <v>0.33304299999999998</v>
      </c>
      <c r="T9" s="209"/>
      <c r="V9" s="68"/>
      <c r="W9" s="69"/>
      <c r="Z9" s="52"/>
      <c r="AA9" s="52"/>
    </row>
    <row r="10" spans="2:27" ht="15.75" x14ac:dyDescent="0.25">
      <c r="B10" s="112"/>
      <c r="C10" s="42"/>
      <c r="D10" s="42"/>
      <c r="E10" s="42"/>
      <c r="F10" s="57"/>
      <c r="G10" s="5"/>
      <c r="H10" s="5"/>
      <c r="I10" s="5"/>
      <c r="J10" s="5"/>
      <c r="K10" s="5"/>
      <c r="L10" s="5"/>
      <c r="M10" s="5"/>
      <c r="N10" s="5"/>
      <c r="O10" s="5"/>
      <c r="P10" s="5"/>
      <c r="Q10" s="24"/>
      <c r="R10" s="210"/>
      <c r="S10" s="209"/>
      <c r="T10" s="209"/>
      <c r="V10" s="68"/>
      <c r="W10" s="69"/>
      <c r="Z10" s="52"/>
      <c r="AA10" s="52"/>
    </row>
    <row r="11" spans="2:27" ht="15.75" x14ac:dyDescent="0.25">
      <c r="B11" s="112"/>
      <c r="C11" s="132" t="s">
        <v>46</v>
      </c>
      <c r="D11" s="151"/>
      <c r="E11" s="133">
        <v>3.1384000000000002E-2</v>
      </c>
      <c r="F11" s="57"/>
      <c r="G11" s="5"/>
      <c r="H11" s="5"/>
      <c r="I11" s="5"/>
      <c r="J11" s="5"/>
      <c r="K11" s="5"/>
      <c r="L11" s="5"/>
      <c r="M11" s="5"/>
      <c r="N11" s="5"/>
      <c r="O11" s="5"/>
      <c r="P11" s="5"/>
      <c r="Q11" s="24"/>
      <c r="R11" s="14"/>
      <c r="S11" s="1"/>
      <c r="T11" s="1"/>
      <c r="V11" s="68"/>
      <c r="W11" s="69"/>
    </row>
    <row r="12" spans="2:27" ht="15.75" x14ac:dyDescent="0.25">
      <c r="B12" s="112"/>
      <c r="C12" s="137"/>
      <c r="D12" s="180"/>
      <c r="E12" s="138"/>
      <c r="F12" s="57"/>
      <c r="G12" s="5"/>
      <c r="H12" s="5"/>
      <c r="I12" s="5"/>
      <c r="J12" s="5"/>
      <c r="K12" s="5"/>
      <c r="L12" s="5"/>
      <c r="M12" s="5"/>
      <c r="N12" s="5"/>
      <c r="O12" s="5"/>
      <c r="P12" s="5"/>
      <c r="Q12" s="24"/>
      <c r="R12" s="14"/>
      <c r="S12" s="1"/>
      <c r="T12" s="1"/>
      <c r="V12" s="68"/>
      <c r="W12" s="69"/>
    </row>
    <row r="13" spans="2:27" ht="15.75" x14ac:dyDescent="0.25">
      <c r="B13" s="112"/>
      <c r="C13" s="132" t="s">
        <v>83</v>
      </c>
      <c r="D13" s="151"/>
      <c r="E13" s="133">
        <v>2.6457999999999999E-2</v>
      </c>
      <c r="F13" s="57"/>
      <c r="G13" s="5"/>
      <c r="H13" s="5"/>
      <c r="I13" s="5"/>
      <c r="J13" s="5"/>
      <c r="K13" s="5"/>
      <c r="L13" s="5"/>
      <c r="M13" s="5"/>
      <c r="N13" s="5"/>
      <c r="O13" s="5"/>
      <c r="P13" s="5"/>
      <c r="Q13" s="24"/>
      <c r="R13" s="59"/>
      <c r="V13" s="68"/>
      <c r="W13" s="69"/>
    </row>
    <row r="14" spans="2:27" ht="15.75" x14ac:dyDescent="0.25">
      <c r="B14" s="112"/>
      <c r="C14" s="42"/>
      <c r="D14" s="42"/>
      <c r="E14" s="42"/>
      <c r="F14" s="57"/>
      <c r="G14" s="5"/>
      <c r="H14" s="5"/>
      <c r="I14" s="5"/>
      <c r="J14" s="5"/>
      <c r="K14" s="5"/>
      <c r="L14" s="5"/>
      <c r="M14" s="5"/>
      <c r="N14" s="5"/>
      <c r="O14" s="5"/>
      <c r="P14" s="5"/>
      <c r="Q14" s="24"/>
      <c r="R14" s="59"/>
      <c r="V14" s="68"/>
      <c r="W14" s="69"/>
    </row>
    <row r="15" spans="2:27" ht="15.75" x14ac:dyDescent="0.25">
      <c r="B15" s="112"/>
      <c r="C15" s="132" t="s">
        <v>47</v>
      </c>
      <c r="D15" s="151"/>
      <c r="E15" s="133">
        <v>2.0858000000000002E-2</v>
      </c>
      <c r="F15" s="57"/>
      <c r="G15" s="5"/>
      <c r="H15" s="5"/>
      <c r="I15" s="5"/>
      <c r="J15" s="5"/>
      <c r="K15" s="5"/>
      <c r="L15" s="5"/>
      <c r="M15" s="5"/>
      <c r="N15" s="5"/>
      <c r="O15" s="5"/>
      <c r="P15" s="5"/>
      <c r="Q15" s="24"/>
      <c r="R15" s="59"/>
      <c r="V15" s="68"/>
      <c r="W15" s="69"/>
    </row>
    <row r="16" spans="2:27" ht="15.75" x14ac:dyDescent="0.25">
      <c r="B16" s="112"/>
      <c r="C16" s="42"/>
      <c r="D16" s="42"/>
      <c r="E16" s="42"/>
      <c r="F16" s="57"/>
      <c r="G16" s="5"/>
      <c r="H16" s="5"/>
      <c r="I16" s="5"/>
      <c r="J16" s="5"/>
      <c r="K16" s="5"/>
      <c r="L16" s="5"/>
      <c r="M16" s="5"/>
      <c r="N16" s="5"/>
      <c r="O16" s="5"/>
      <c r="P16" s="5"/>
      <c r="Q16" s="24"/>
      <c r="R16" s="59"/>
      <c r="V16" s="68"/>
      <c r="W16" s="69"/>
    </row>
    <row r="17" spans="1:27" ht="31.5" x14ac:dyDescent="0.25">
      <c r="B17" s="112"/>
      <c r="C17" s="132" t="s">
        <v>206</v>
      </c>
      <c r="D17" s="151"/>
      <c r="E17" s="133">
        <v>7.0342000000000002E-2</v>
      </c>
      <c r="F17" s="57"/>
      <c r="G17" s="33"/>
      <c r="H17" s="33"/>
      <c r="I17" s="33"/>
      <c r="J17" s="33"/>
      <c r="K17" s="33"/>
      <c r="L17" s="33"/>
      <c r="M17" s="33"/>
      <c r="N17" s="33"/>
      <c r="O17" s="33"/>
      <c r="P17" s="33"/>
      <c r="Q17" s="24"/>
      <c r="R17" s="59"/>
    </row>
    <row r="18" spans="1:27" ht="15.75" x14ac:dyDescent="0.25">
      <c r="B18" s="112"/>
      <c r="C18" s="42"/>
      <c r="D18" s="42"/>
      <c r="E18" s="42"/>
      <c r="F18" s="5"/>
      <c r="G18" s="33"/>
      <c r="H18" s="33"/>
      <c r="I18" s="33"/>
      <c r="J18" s="33"/>
      <c r="K18" s="33"/>
      <c r="L18" s="33"/>
      <c r="M18" s="33"/>
      <c r="N18" s="33"/>
      <c r="O18" s="33"/>
      <c r="P18" s="33"/>
      <c r="Q18" s="24"/>
      <c r="R18" s="59"/>
    </row>
    <row r="19" spans="1:27" ht="15.75" x14ac:dyDescent="0.2">
      <c r="B19" s="112"/>
      <c r="C19" s="132" t="s">
        <v>98</v>
      </c>
      <c r="D19" s="151"/>
      <c r="E19" s="133">
        <v>7.0419999999999996E-3</v>
      </c>
      <c r="F19" s="181"/>
      <c r="G19" s="5"/>
      <c r="H19" s="5"/>
      <c r="I19" s="5"/>
      <c r="J19" s="5"/>
      <c r="K19" s="5"/>
      <c r="L19" s="5"/>
      <c r="M19" s="5"/>
      <c r="N19" s="5"/>
      <c r="O19" s="5"/>
      <c r="P19" s="5"/>
      <c r="Q19" s="24"/>
      <c r="R19" s="59"/>
    </row>
    <row r="20" spans="1:27" x14ac:dyDescent="0.2">
      <c r="B20" s="112"/>
      <c r="C20" s="42"/>
      <c r="D20" s="42"/>
      <c r="E20" s="42"/>
      <c r="F20" s="5"/>
      <c r="G20" s="5"/>
      <c r="H20" s="5"/>
      <c r="I20" s="5"/>
      <c r="J20" s="5"/>
      <c r="K20" s="5"/>
      <c r="L20" s="5"/>
      <c r="M20" s="5"/>
      <c r="N20" s="5"/>
      <c r="O20" s="5"/>
      <c r="P20" s="5"/>
      <c r="Q20" s="24"/>
      <c r="R20" s="59"/>
    </row>
    <row r="21" spans="1:27" ht="15.75" x14ac:dyDescent="0.2">
      <c r="B21" s="112"/>
      <c r="C21" s="132" t="s">
        <v>112</v>
      </c>
      <c r="D21" s="151"/>
      <c r="E21" s="133">
        <v>0.108643</v>
      </c>
      <c r="F21" s="181"/>
      <c r="G21" s="5"/>
      <c r="H21" s="5"/>
      <c r="I21" s="5"/>
      <c r="J21" s="5"/>
      <c r="K21" s="5"/>
      <c r="L21" s="5"/>
      <c r="M21" s="5"/>
      <c r="N21" s="5"/>
      <c r="O21" s="5"/>
      <c r="P21" s="5"/>
      <c r="Q21" s="24"/>
      <c r="R21" s="59"/>
    </row>
    <row r="22" spans="1:27" x14ac:dyDescent="0.2">
      <c r="B22" s="112"/>
      <c r="C22" s="42"/>
      <c r="D22" s="42"/>
      <c r="E22" s="42"/>
      <c r="F22" s="5"/>
      <c r="G22" s="5"/>
      <c r="H22" s="5"/>
      <c r="I22" s="5"/>
      <c r="J22" s="5"/>
      <c r="K22" s="5"/>
      <c r="L22" s="5"/>
      <c r="M22" s="5"/>
      <c r="N22" s="5"/>
      <c r="O22" s="5"/>
      <c r="P22" s="5"/>
      <c r="Q22" s="24"/>
      <c r="R22" s="59"/>
    </row>
    <row r="23" spans="1:27" ht="15.75" x14ac:dyDescent="0.2">
      <c r="B23" s="112"/>
      <c r="C23" s="132" t="s">
        <v>20</v>
      </c>
      <c r="D23" s="151"/>
      <c r="E23" s="133">
        <v>6.8315999999999988E-2</v>
      </c>
      <c r="F23" s="35"/>
      <c r="G23" s="5"/>
      <c r="H23" s="5"/>
      <c r="I23" s="5"/>
      <c r="J23" s="5"/>
      <c r="K23" s="5"/>
      <c r="L23" s="5"/>
      <c r="M23" s="5"/>
      <c r="N23" s="5"/>
      <c r="O23" s="5"/>
      <c r="P23" s="5"/>
      <c r="Q23" s="24"/>
      <c r="R23" s="59"/>
    </row>
    <row r="24" spans="1:27" x14ac:dyDescent="0.2">
      <c r="B24" s="112"/>
      <c r="C24" s="42"/>
      <c r="D24" s="42"/>
      <c r="E24" s="42"/>
      <c r="F24" s="5"/>
      <c r="G24" s="5"/>
      <c r="H24" s="5"/>
      <c r="I24" s="5"/>
      <c r="J24" s="5"/>
      <c r="K24" s="5"/>
      <c r="L24" s="5"/>
      <c r="M24" s="5"/>
      <c r="N24" s="5"/>
      <c r="O24" s="5"/>
      <c r="P24" s="5"/>
      <c r="Q24" s="24"/>
      <c r="R24" s="59"/>
    </row>
    <row r="25" spans="1:27" ht="15.75" x14ac:dyDescent="0.2">
      <c r="B25" s="112"/>
      <c r="C25" s="139" t="s">
        <v>21</v>
      </c>
      <c r="D25" s="182"/>
      <c r="E25" s="140">
        <f>E23+E21+E19+E17+E15+E13+E11+E9</f>
        <v>1</v>
      </c>
      <c r="F25" s="35"/>
      <c r="G25" s="5"/>
      <c r="H25" s="183"/>
      <c r="I25" s="5"/>
      <c r="J25" s="5"/>
      <c r="K25" s="5"/>
      <c r="L25" s="5"/>
      <c r="M25" s="5"/>
      <c r="N25" s="5"/>
      <c r="O25" s="5"/>
      <c r="P25" s="5"/>
      <c r="Q25" s="24"/>
      <c r="R25" s="59"/>
    </row>
    <row r="26" spans="1:27" x14ac:dyDescent="0.2">
      <c r="B26" s="112"/>
      <c r="F26" s="5"/>
      <c r="G26" s="5"/>
      <c r="H26" s="5"/>
      <c r="I26" s="5"/>
      <c r="J26" s="5"/>
      <c r="K26" s="5"/>
      <c r="L26" s="5"/>
      <c r="M26" s="5"/>
      <c r="N26" s="5"/>
      <c r="O26" s="5"/>
      <c r="P26" s="5"/>
      <c r="Q26" s="24"/>
      <c r="R26" s="59"/>
    </row>
    <row r="27" spans="1:27" ht="15.75" thickBot="1" x14ac:dyDescent="0.25">
      <c r="A27" s="5"/>
      <c r="B27" s="116"/>
      <c r="C27" s="54"/>
      <c r="D27" s="54"/>
      <c r="E27" s="54"/>
      <c r="F27" s="54"/>
      <c r="G27" s="54"/>
      <c r="H27" s="54"/>
      <c r="I27" s="54"/>
      <c r="J27" s="54"/>
      <c r="K27" s="54"/>
      <c r="L27" s="54"/>
      <c r="M27" s="54"/>
      <c r="N27" s="54"/>
      <c r="O27" s="54"/>
      <c r="P27" s="54"/>
      <c r="Q27" s="143"/>
      <c r="R27" s="60"/>
      <c r="S27" s="5"/>
      <c r="T27" s="5"/>
      <c r="U27" s="5"/>
      <c r="V27" s="5"/>
      <c r="W27" s="5"/>
      <c r="X27" s="5"/>
      <c r="Y27" s="5"/>
      <c r="Z27" s="5"/>
      <c r="AA27" s="5"/>
    </row>
    <row r="28" spans="1:27" ht="15.75" thickBot="1" x14ac:dyDescent="0.25">
      <c r="A28" s="5"/>
      <c r="B28" s="5"/>
      <c r="C28" s="5"/>
      <c r="D28" s="5"/>
      <c r="E28" s="5"/>
      <c r="F28" s="5"/>
      <c r="G28" s="5"/>
      <c r="H28" s="5"/>
      <c r="I28" s="5"/>
      <c r="J28" s="5"/>
      <c r="K28" s="5"/>
      <c r="L28" s="5"/>
      <c r="M28" s="5"/>
      <c r="N28" s="5"/>
      <c r="O28" s="5"/>
      <c r="P28" s="5"/>
      <c r="Q28" s="5"/>
      <c r="R28" s="60"/>
      <c r="S28" s="5"/>
      <c r="T28" s="5"/>
      <c r="U28" s="5"/>
      <c r="V28" s="5"/>
      <c r="W28" s="5"/>
      <c r="X28" s="5"/>
      <c r="Y28" s="5"/>
      <c r="Z28" s="5"/>
      <c r="AA28" s="5"/>
    </row>
    <row r="29" spans="1:27" x14ac:dyDescent="0.2">
      <c r="A29" s="5"/>
      <c r="B29" s="225" t="s">
        <v>117</v>
      </c>
      <c r="C29" s="226"/>
      <c r="D29" s="226"/>
      <c r="E29" s="226"/>
      <c r="F29" s="226"/>
      <c r="G29" s="226"/>
      <c r="H29" s="226"/>
      <c r="I29" s="226"/>
      <c r="J29" s="226"/>
      <c r="K29" s="226"/>
      <c r="L29" s="226"/>
      <c r="M29" s="226"/>
      <c r="N29" s="226"/>
      <c r="O29" s="226"/>
      <c r="P29" s="226"/>
      <c r="Q29" s="227"/>
      <c r="R29" s="60"/>
      <c r="S29" s="5"/>
      <c r="T29" s="5"/>
      <c r="U29" s="5"/>
      <c r="V29" s="5"/>
      <c r="W29" s="5"/>
      <c r="X29" s="5"/>
      <c r="Y29" s="5"/>
      <c r="Z29" s="5"/>
      <c r="AA29" s="5"/>
    </row>
    <row r="30" spans="1:27" x14ac:dyDescent="0.2">
      <c r="A30" s="5"/>
      <c r="B30" s="228"/>
      <c r="C30" s="229"/>
      <c r="D30" s="229"/>
      <c r="E30" s="229"/>
      <c r="F30" s="229"/>
      <c r="G30" s="229"/>
      <c r="H30" s="229"/>
      <c r="I30" s="229"/>
      <c r="J30" s="229"/>
      <c r="K30" s="229"/>
      <c r="L30" s="229"/>
      <c r="M30" s="229"/>
      <c r="N30" s="229"/>
      <c r="O30" s="229"/>
      <c r="P30" s="229"/>
      <c r="Q30" s="230"/>
      <c r="R30" s="60"/>
      <c r="S30" s="5"/>
      <c r="T30" s="5"/>
      <c r="U30" s="5"/>
      <c r="V30" s="5"/>
      <c r="W30" s="5"/>
      <c r="X30" s="5"/>
      <c r="Y30" s="5"/>
      <c r="Z30" s="5"/>
      <c r="AA30" s="5"/>
    </row>
    <row r="31" spans="1:27" x14ac:dyDescent="0.2">
      <c r="A31" s="5"/>
      <c r="B31" s="228"/>
      <c r="C31" s="229"/>
      <c r="D31" s="229"/>
      <c r="E31" s="229"/>
      <c r="F31" s="229"/>
      <c r="G31" s="229"/>
      <c r="H31" s="229"/>
      <c r="I31" s="229"/>
      <c r="J31" s="229"/>
      <c r="K31" s="229"/>
      <c r="L31" s="229"/>
      <c r="M31" s="229"/>
      <c r="N31" s="229"/>
      <c r="O31" s="229"/>
      <c r="P31" s="229"/>
      <c r="Q31" s="230"/>
      <c r="R31" s="60"/>
      <c r="S31" s="5"/>
      <c r="T31" s="5"/>
      <c r="U31" s="5"/>
      <c r="V31" s="5"/>
      <c r="W31" s="5"/>
      <c r="X31" s="5"/>
      <c r="Y31" s="5"/>
      <c r="Z31" s="5"/>
      <c r="AA31" s="5"/>
    </row>
    <row r="32" spans="1:27" x14ac:dyDescent="0.2">
      <c r="A32" s="5"/>
      <c r="B32" s="228"/>
      <c r="C32" s="229"/>
      <c r="D32" s="229"/>
      <c r="E32" s="229"/>
      <c r="F32" s="229"/>
      <c r="G32" s="229"/>
      <c r="H32" s="229"/>
      <c r="I32" s="229"/>
      <c r="J32" s="229"/>
      <c r="K32" s="229"/>
      <c r="L32" s="229"/>
      <c r="M32" s="229"/>
      <c r="N32" s="229"/>
      <c r="O32" s="229"/>
      <c r="P32" s="229"/>
      <c r="Q32" s="230"/>
      <c r="R32" s="60"/>
      <c r="S32" s="5"/>
      <c r="T32" s="5"/>
      <c r="U32" s="5"/>
      <c r="V32" s="5"/>
      <c r="W32" s="5"/>
      <c r="X32" s="5"/>
      <c r="Y32" s="5"/>
      <c r="Z32" s="5"/>
      <c r="AA32" s="5"/>
    </row>
    <row r="33" spans="1:27" x14ac:dyDescent="0.2">
      <c r="A33" s="5"/>
      <c r="B33" s="228"/>
      <c r="C33" s="229"/>
      <c r="D33" s="229"/>
      <c r="E33" s="229"/>
      <c r="F33" s="229"/>
      <c r="G33" s="229"/>
      <c r="H33" s="229"/>
      <c r="I33" s="229"/>
      <c r="J33" s="229"/>
      <c r="K33" s="229"/>
      <c r="L33" s="229"/>
      <c r="M33" s="229"/>
      <c r="N33" s="229"/>
      <c r="O33" s="229"/>
      <c r="P33" s="229"/>
      <c r="Q33" s="230"/>
      <c r="R33" s="60"/>
      <c r="S33" s="5"/>
      <c r="T33" s="5"/>
      <c r="U33" s="5"/>
      <c r="V33" s="5"/>
      <c r="W33" s="5"/>
      <c r="X33" s="5"/>
      <c r="Y33" s="5"/>
      <c r="Z33" s="5"/>
      <c r="AA33" s="5"/>
    </row>
    <row r="34" spans="1:27" x14ac:dyDescent="0.2">
      <c r="A34" s="5"/>
      <c r="B34" s="228"/>
      <c r="C34" s="229"/>
      <c r="D34" s="229"/>
      <c r="E34" s="229"/>
      <c r="F34" s="229"/>
      <c r="G34" s="229"/>
      <c r="H34" s="229"/>
      <c r="I34" s="229"/>
      <c r="J34" s="229"/>
      <c r="K34" s="229"/>
      <c r="L34" s="229"/>
      <c r="M34" s="229"/>
      <c r="N34" s="229"/>
      <c r="O34" s="229"/>
      <c r="P34" s="229"/>
      <c r="Q34" s="230"/>
      <c r="R34" s="60"/>
      <c r="S34" s="5"/>
      <c r="T34" s="5"/>
      <c r="U34" s="5"/>
      <c r="V34" s="5"/>
      <c r="W34" s="5"/>
      <c r="X34" s="5"/>
      <c r="Y34" s="5"/>
      <c r="Z34" s="5"/>
      <c r="AA34" s="5"/>
    </row>
    <row r="35" spans="1:27" ht="15.75" thickBot="1" x14ac:dyDescent="0.25">
      <c r="A35" s="5"/>
      <c r="B35" s="231"/>
      <c r="C35" s="232"/>
      <c r="D35" s="232"/>
      <c r="E35" s="232"/>
      <c r="F35" s="232"/>
      <c r="G35" s="232"/>
      <c r="H35" s="232"/>
      <c r="I35" s="232"/>
      <c r="J35" s="232"/>
      <c r="K35" s="232"/>
      <c r="L35" s="232"/>
      <c r="M35" s="232"/>
      <c r="N35" s="232"/>
      <c r="O35" s="232"/>
      <c r="P35" s="232"/>
      <c r="Q35" s="233"/>
      <c r="R35" s="60"/>
      <c r="S35" s="5"/>
      <c r="T35" s="5"/>
      <c r="U35" s="5"/>
      <c r="V35" s="5"/>
      <c r="W35" s="5"/>
      <c r="X35" s="5"/>
      <c r="Y35" s="5"/>
      <c r="Z35" s="5"/>
      <c r="AA35" s="5"/>
    </row>
    <row r="36" spans="1:27" x14ac:dyDescent="0.2">
      <c r="A36" s="5"/>
      <c r="B36" s="5"/>
      <c r="F36" s="5"/>
      <c r="G36" s="5"/>
      <c r="H36" s="5"/>
      <c r="I36" s="5"/>
      <c r="J36" s="5"/>
      <c r="K36" s="5"/>
      <c r="L36" s="5"/>
      <c r="M36" s="5"/>
      <c r="N36" s="5"/>
      <c r="O36" s="5"/>
      <c r="P36" s="5"/>
      <c r="Q36" s="5"/>
      <c r="R36" s="60"/>
      <c r="S36" s="5"/>
      <c r="T36" s="5"/>
      <c r="U36" s="5"/>
      <c r="V36" s="5"/>
      <c r="W36" s="5"/>
      <c r="X36" s="5"/>
      <c r="Y36" s="5"/>
      <c r="Z36" s="5"/>
      <c r="AA36" s="5"/>
    </row>
    <row r="37" spans="1:27" x14ac:dyDescent="0.2">
      <c r="A37" s="5"/>
      <c r="B37" s="5"/>
      <c r="F37" s="5"/>
      <c r="G37" s="5"/>
      <c r="H37" s="5"/>
      <c r="I37" s="5"/>
      <c r="J37" s="5"/>
      <c r="K37" s="5"/>
      <c r="L37" s="5"/>
      <c r="M37" s="5"/>
      <c r="N37" s="5"/>
      <c r="O37" s="5"/>
      <c r="P37" s="5"/>
      <c r="Q37" s="5"/>
      <c r="R37" s="60"/>
      <c r="S37" s="5"/>
      <c r="T37" s="5"/>
      <c r="U37" s="5"/>
      <c r="V37" s="5"/>
      <c r="W37" s="5"/>
      <c r="X37" s="5"/>
      <c r="Y37" s="5"/>
      <c r="Z37" s="5"/>
      <c r="AA37" s="5"/>
    </row>
    <row r="38" spans="1:27" x14ac:dyDescent="0.2">
      <c r="A38" s="5"/>
      <c r="B38" s="5"/>
      <c r="F38" s="5"/>
      <c r="G38" s="5"/>
      <c r="H38" s="5"/>
      <c r="I38" s="5"/>
      <c r="J38" s="5"/>
      <c r="K38" s="5"/>
      <c r="L38" s="5"/>
      <c r="M38" s="5"/>
      <c r="N38" s="5"/>
      <c r="O38" s="5"/>
      <c r="P38" s="5"/>
      <c r="Q38" s="5"/>
      <c r="R38" s="60"/>
      <c r="S38" s="5"/>
      <c r="T38" s="5"/>
      <c r="U38" s="5"/>
      <c r="V38" s="5"/>
      <c r="W38" s="5"/>
      <c r="X38" s="5"/>
      <c r="Y38" s="5"/>
      <c r="Z38" s="5"/>
      <c r="AA38" s="5"/>
    </row>
    <row r="39" spans="1:27" x14ac:dyDescent="0.2">
      <c r="A39" s="5"/>
      <c r="B39" s="5"/>
      <c r="F39" s="5"/>
      <c r="G39" s="5"/>
      <c r="H39" s="5"/>
      <c r="I39" s="5"/>
      <c r="J39" s="5"/>
      <c r="K39" s="5"/>
      <c r="L39" s="5"/>
      <c r="M39" s="5"/>
      <c r="N39" s="5"/>
      <c r="O39" s="5"/>
      <c r="P39" s="5"/>
      <c r="Q39" s="5"/>
      <c r="R39" s="60"/>
      <c r="S39" s="5"/>
      <c r="T39" s="5"/>
      <c r="U39" s="5"/>
      <c r="V39" s="5"/>
      <c r="W39" s="5"/>
      <c r="X39" s="5"/>
      <c r="Y39" s="5"/>
      <c r="Z39" s="5"/>
      <c r="AA39" s="5"/>
    </row>
    <row r="40" spans="1:27" x14ac:dyDescent="0.2">
      <c r="A40" s="5"/>
      <c r="B40" s="5"/>
      <c r="F40" s="5"/>
      <c r="G40" s="5"/>
      <c r="H40" s="5"/>
      <c r="I40" s="5"/>
      <c r="J40" s="5"/>
      <c r="K40" s="5"/>
      <c r="L40" s="5"/>
      <c r="M40" s="5"/>
      <c r="N40" s="5"/>
      <c r="O40" s="5"/>
      <c r="P40" s="5"/>
      <c r="Q40" s="5"/>
      <c r="R40" s="60"/>
      <c r="S40" s="5"/>
      <c r="T40" s="5"/>
      <c r="U40" s="5"/>
      <c r="V40" s="5"/>
      <c r="W40" s="5"/>
      <c r="X40" s="5"/>
      <c r="Y40" s="5"/>
      <c r="Z40" s="5"/>
      <c r="AA40" s="5"/>
    </row>
    <row r="41" spans="1:27" x14ac:dyDescent="0.2">
      <c r="A41" s="5"/>
      <c r="B41" s="5"/>
      <c r="F41" s="5"/>
      <c r="G41" s="5"/>
      <c r="H41" s="5"/>
      <c r="I41" s="5"/>
      <c r="J41" s="5"/>
      <c r="K41" s="5"/>
      <c r="L41" s="5"/>
      <c r="M41" s="5"/>
      <c r="N41" s="5"/>
      <c r="O41" s="5"/>
      <c r="P41" s="5"/>
      <c r="Q41" s="5"/>
      <c r="R41" s="60"/>
      <c r="S41" s="5"/>
      <c r="T41" s="5"/>
      <c r="U41" s="5"/>
      <c r="V41" s="5"/>
      <c r="W41" s="5"/>
      <c r="X41" s="5"/>
      <c r="Y41" s="5"/>
      <c r="Z41" s="5"/>
      <c r="AA41" s="5"/>
    </row>
    <row r="42" spans="1:27" x14ac:dyDescent="0.2">
      <c r="A42" s="5"/>
      <c r="B42" s="5"/>
      <c r="F42" s="5"/>
      <c r="G42" s="5"/>
      <c r="H42" s="5"/>
      <c r="I42" s="5"/>
      <c r="J42" s="5"/>
      <c r="K42" s="5"/>
      <c r="L42" s="5"/>
      <c r="M42" s="5"/>
      <c r="N42" s="5"/>
      <c r="O42" s="5"/>
      <c r="P42" s="5"/>
      <c r="Q42" s="5"/>
      <c r="R42" s="60"/>
      <c r="S42" s="5"/>
      <c r="T42" s="5"/>
      <c r="U42" s="5"/>
      <c r="V42" s="5"/>
      <c r="W42" s="5"/>
      <c r="X42" s="5"/>
      <c r="Y42" s="5"/>
      <c r="Z42" s="5"/>
      <c r="AA42" s="5"/>
    </row>
    <row r="43" spans="1:27" x14ac:dyDescent="0.2">
      <c r="A43" s="5"/>
      <c r="B43" s="5"/>
      <c r="F43" s="5"/>
      <c r="G43" s="5"/>
      <c r="H43" s="5"/>
      <c r="I43" s="5"/>
      <c r="J43" s="5"/>
      <c r="K43" s="5"/>
      <c r="L43" s="5"/>
      <c r="M43" s="5"/>
      <c r="N43" s="5"/>
      <c r="O43" s="5"/>
      <c r="P43" s="5"/>
      <c r="Q43" s="5"/>
      <c r="R43" s="60"/>
      <c r="S43" s="5"/>
      <c r="T43" s="5"/>
      <c r="U43" s="5"/>
      <c r="V43" s="5"/>
      <c r="W43" s="5"/>
      <c r="X43" s="5"/>
      <c r="Y43" s="5"/>
      <c r="Z43" s="5"/>
      <c r="AA43" s="5"/>
    </row>
    <row r="44" spans="1:27" x14ac:dyDescent="0.2">
      <c r="A44" s="5"/>
      <c r="B44" s="5"/>
      <c r="F44" s="5"/>
      <c r="G44" s="5"/>
      <c r="H44" s="5"/>
      <c r="I44" s="5"/>
      <c r="J44" s="5"/>
      <c r="K44" s="5"/>
      <c r="L44" s="5"/>
      <c r="M44" s="5"/>
      <c r="N44" s="5"/>
      <c r="O44" s="5"/>
      <c r="P44" s="5"/>
      <c r="Q44" s="5"/>
      <c r="R44" s="60"/>
      <c r="S44" s="5"/>
      <c r="T44" s="5"/>
      <c r="U44" s="5"/>
      <c r="V44" s="5"/>
      <c r="W44" s="5"/>
      <c r="X44" s="5"/>
      <c r="Y44" s="5"/>
      <c r="Z44" s="5"/>
      <c r="AA44" s="5"/>
    </row>
    <row r="45" spans="1:27" x14ac:dyDescent="0.2">
      <c r="A45" s="5"/>
      <c r="B45" s="5"/>
      <c r="F45" s="5"/>
      <c r="G45" s="5"/>
      <c r="H45" s="5"/>
      <c r="I45" s="5"/>
      <c r="J45" s="5"/>
      <c r="K45" s="5"/>
      <c r="L45" s="5"/>
      <c r="M45" s="5"/>
      <c r="N45" s="5"/>
      <c r="O45" s="5"/>
      <c r="P45" s="5"/>
      <c r="Q45" s="5"/>
      <c r="R45" s="60"/>
      <c r="S45" s="5"/>
      <c r="T45" s="5"/>
      <c r="U45" s="5"/>
      <c r="V45" s="5"/>
      <c r="W45" s="5"/>
      <c r="X45" s="5"/>
      <c r="Y45" s="5"/>
      <c r="Z45" s="5"/>
      <c r="AA45" s="5"/>
    </row>
    <row r="46" spans="1:27" x14ac:dyDescent="0.2">
      <c r="A46" s="5"/>
      <c r="B46" s="5"/>
      <c r="C46" s="5"/>
      <c r="D46" s="5"/>
      <c r="E46" s="5"/>
      <c r="F46" s="5"/>
      <c r="G46" s="5"/>
      <c r="H46" s="5"/>
      <c r="I46" s="5"/>
      <c r="J46" s="5"/>
      <c r="K46" s="5"/>
      <c r="L46" s="5"/>
      <c r="M46" s="5"/>
      <c r="N46" s="5"/>
      <c r="O46" s="5"/>
      <c r="P46" s="5"/>
      <c r="Q46" s="5"/>
      <c r="R46" s="60"/>
      <c r="S46" s="5"/>
      <c r="T46" s="5"/>
      <c r="U46" s="5"/>
      <c r="V46" s="5"/>
      <c r="W46" s="5"/>
      <c r="X46" s="5"/>
      <c r="Y46" s="5"/>
      <c r="Z46" s="5"/>
      <c r="AA46" s="5"/>
    </row>
    <row r="47" spans="1:27" x14ac:dyDescent="0.2">
      <c r="A47" s="5"/>
      <c r="B47" s="5"/>
      <c r="C47" s="5"/>
      <c r="D47" s="5"/>
      <c r="E47" s="5"/>
      <c r="F47" s="5"/>
      <c r="G47" s="5"/>
      <c r="H47" s="5"/>
      <c r="I47" s="5"/>
      <c r="J47" s="5"/>
      <c r="K47" s="5"/>
      <c r="L47" s="5"/>
      <c r="M47" s="5"/>
      <c r="N47" s="5"/>
      <c r="O47" s="5"/>
      <c r="P47" s="5"/>
      <c r="Q47" s="5"/>
      <c r="R47" s="60"/>
      <c r="S47" s="5"/>
      <c r="T47" s="5"/>
      <c r="U47" s="5"/>
      <c r="V47" s="5"/>
      <c r="W47" s="5"/>
      <c r="X47" s="5"/>
      <c r="Y47" s="5"/>
      <c r="Z47" s="5"/>
      <c r="AA47" s="5"/>
    </row>
    <row r="48" spans="1:27" x14ac:dyDescent="0.2">
      <c r="A48" s="5"/>
      <c r="B48" s="5"/>
      <c r="C48" s="5"/>
      <c r="D48" s="5"/>
      <c r="E48" s="5"/>
      <c r="F48" s="5"/>
      <c r="G48" s="5"/>
      <c r="H48" s="5"/>
      <c r="I48" s="5"/>
      <c r="J48" s="5"/>
      <c r="K48" s="5"/>
      <c r="L48" s="5"/>
      <c r="M48" s="5"/>
      <c r="N48" s="5"/>
      <c r="O48" s="5"/>
      <c r="P48" s="5"/>
      <c r="Q48" s="5"/>
      <c r="R48" s="60"/>
      <c r="S48" s="5"/>
      <c r="T48" s="5"/>
      <c r="U48" s="5"/>
      <c r="V48" s="5"/>
      <c r="W48" s="5"/>
      <c r="X48" s="5"/>
      <c r="Y48" s="5"/>
      <c r="Z48" s="5"/>
      <c r="AA48" s="5"/>
    </row>
    <row r="49" spans="1:27" x14ac:dyDescent="0.2">
      <c r="A49" s="5"/>
      <c r="B49" s="5"/>
      <c r="C49" s="5"/>
      <c r="D49" s="5"/>
      <c r="E49" s="5"/>
      <c r="F49" s="5"/>
      <c r="G49" s="5"/>
      <c r="H49" s="5"/>
      <c r="I49" s="5"/>
      <c r="J49" s="5"/>
      <c r="K49" s="5"/>
      <c r="L49" s="5"/>
      <c r="M49" s="5"/>
      <c r="N49" s="5"/>
      <c r="O49" s="5"/>
      <c r="P49" s="5"/>
      <c r="Q49" s="5"/>
      <c r="R49" s="60"/>
      <c r="S49" s="5"/>
      <c r="T49" s="5"/>
      <c r="U49" s="5"/>
      <c r="V49" s="5"/>
      <c r="W49" s="5"/>
      <c r="X49" s="5"/>
      <c r="Y49" s="5"/>
      <c r="Z49" s="5"/>
      <c r="AA49" s="5"/>
    </row>
    <row r="50" spans="1:27" x14ac:dyDescent="0.2">
      <c r="A50" s="5"/>
      <c r="B50" s="5"/>
      <c r="C50" s="5"/>
      <c r="D50" s="5"/>
      <c r="E50" s="5"/>
      <c r="F50" s="5"/>
      <c r="G50" s="5"/>
      <c r="H50" s="5"/>
      <c r="I50" s="5"/>
      <c r="J50" s="5"/>
      <c r="K50" s="5"/>
      <c r="L50" s="5"/>
      <c r="M50" s="5"/>
      <c r="N50" s="5"/>
      <c r="O50" s="5"/>
      <c r="P50" s="5"/>
      <c r="Q50" s="5"/>
      <c r="R50" s="60"/>
      <c r="S50" s="5"/>
      <c r="T50" s="5"/>
      <c r="U50" s="5"/>
      <c r="V50" s="5"/>
      <c r="W50" s="5"/>
      <c r="X50" s="5"/>
      <c r="Y50" s="5"/>
      <c r="Z50" s="5"/>
      <c r="AA50" s="5"/>
    </row>
    <row r="51" spans="1:27" x14ac:dyDescent="0.2">
      <c r="A51" s="5"/>
      <c r="B51" s="5"/>
      <c r="C51" s="5"/>
      <c r="D51" s="5"/>
      <c r="E51" s="5"/>
      <c r="F51" s="5"/>
      <c r="G51" s="5"/>
      <c r="H51" s="5"/>
      <c r="I51" s="5"/>
      <c r="J51" s="5"/>
      <c r="K51" s="5"/>
      <c r="L51" s="5"/>
      <c r="M51" s="5"/>
      <c r="N51" s="5"/>
      <c r="O51" s="5"/>
      <c r="P51" s="5"/>
      <c r="Q51" s="5"/>
      <c r="R51" s="60"/>
      <c r="S51" s="5"/>
      <c r="T51" s="5"/>
      <c r="U51" s="5"/>
      <c r="V51" s="5"/>
      <c r="W51" s="5"/>
      <c r="X51" s="5"/>
      <c r="Y51" s="5"/>
      <c r="Z51" s="5"/>
      <c r="AA51" s="5"/>
    </row>
    <row r="52" spans="1:27" x14ac:dyDescent="0.2">
      <c r="A52" s="5"/>
      <c r="B52" s="5"/>
      <c r="C52" s="5"/>
      <c r="D52" s="5"/>
      <c r="E52" s="5"/>
      <c r="F52" s="5"/>
      <c r="G52" s="5"/>
      <c r="H52" s="5"/>
      <c r="I52" s="5"/>
      <c r="J52" s="5"/>
      <c r="K52" s="5"/>
      <c r="L52" s="5"/>
      <c r="M52" s="5"/>
      <c r="N52" s="5"/>
      <c r="O52" s="5"/>
      <c r="P52" s="5"/>
      <c r="Q52" s="5"/>
      <c r="R52" s="60"/>
      <c r="S52" s="5"/>
      <c r="T52" s="5"/>
      <c r="U52" s="5"/>
      <c r="V52" s="5"/>
      <c r="W52" s="5"/>
      <c r="X52" s="5"/>
      <c r="Y52" s="5"/>
      <c r="Z52" s="5"/>
      <c r="AA52" s="5"/>
    </row>
    <row r="53" spans="1:27" x14ac:dyDescent="0.2">
      <c r="A53" s="5"/>
      <c r="B53" s="5"/>
      <c r="C53" s="5"/>
      <c r="D53" s="5"/>
      <c r="E53" s="5"/>
      <c r="F53" s="5"/>
      <c r="G53" s="5"/>
      <c r="H53" s="5"/>
      <c r="I53" s="5"/>
      <c r="J53" s="5"/>
      <c r="K53" s="5"/>
      <c r="L53" s="5"/>
      <c r="M53" s="5"/>
      <c r="N53" s="5"/>
      <c r="O53" s="5"/>
      <c r="P53" s="5"/>
      <c r="Q53" s="5"/>
      <c r="R53" s="60"/>
      <c r="S53" s="5"/>
      <c r="T53" s="5"/>
      <c r="U53" s="5"/>
      <c r="V53" s="5"/>
      <c r="W53" s="5"/>
      <c r="X53" s="5"/>
      <c r="Y53" s="5"/>
      <c r="Z53" s="5"/>
      <c r="AA53" s="5"/>
    </row>
    <row r="54" spans="1:27" x14ac:dyDescent="0.2">
      <c r="A54" s="5"/>
      <c r="B54" s="5"/>
      <c r="C54" s="5"/>
      <c r="D54" s="5"/>
      <c r="E54" s="5"/>
      <c r="F54" s="5"/>
      <c r="G54" s="5"/>
      <c r="H54" s="5"/>
      <c r="I54" s="5"/>
      <c r="J54" s="5"/>
      <c r="K54" s="5"/>
      <c r="L54" s="5"/>
      <c r="M54" s="5"/>
      <c r="N54" s="5"/>
      <c r="O54" s="5"/>
      <c r="P54" s="5"/>
      <c r="Q54" s="5"/>
      <c r="R54" s="60"/>
      <c r="S54" s="5"/>
      <c r="T54" s="5"/>
      <c r="U54" s="5"/>
      <c r="V54" s="5"/>
      <c r="W54" s="5"/>
      <c r="X54" s="5"/>
      <c r="Y54" s="5"/>
      <c r="Z54" s="5"/>
      <c r="AA54" s="5"/>
    </row>
    <row r="55" spans="1:27" x14ac:dyDescent="0.2">
      <c r="A55" s="5"/>
      <c r="B55" s="5"/>
      <c r="C55" s="5"/>
      <c r="D55" s="5"/>
      <c r="E55" s="5"/>
      <c r="F55" s="5"/>
      <c r="G55" s="5"/>
      <c r="H55" s="5"/>
      <c r="I55" s="5"/>
      <c r="J55" s="5"/>
      <c r="K55" s="5"/>
      <c r="L55" s="5"/>
      <c r="M55" s="5"/>
      <c r="N55" s="5"/>
      <c r="O55" s="5"/>
      <c r="P55" s="5"/>
      <c r="Q55" s="5"/>
      <c r="R55" s="60"/>
      <c r="S55" s="5"/>
      <c r="T55" s="5"/>
      <c r="U55" s="5"/>
      <c r="V55" s="5"/>
      <c r="W55" s="5"/>
      <c r="X55" s="5"/>
      <c r="Y55" s="5"/>
      <c r="Z55" s="5"/>
      <c r="AA55" s="5"/>
    </row>
    <row r="56" spans="1:27" x14ac:dyDescent="0.2">
      <c r="A56" s="5"/>
      <c r="B56" s="5"/>
      <c r="C56" s="5"/>
      <c r="D56" s="5"/>
      <c r="E56" s="5"/>
      <c r="F56" s="5"/>
      <c r="G56" s="5"/>
      <c r="H56" s="5"/>
      <c r="I56" s="5"/>
      <c r="J56" s="5"/>
      <c r="K56" s="5"/>
      <c r="L56" s="5"/>
      <c r="M56" s="5"/>
      <c r="N56" s="5"/>
      <c r="O56" s="5"/>
      <c r="P56" s="5"/>
      <c r="Q56" s="5"/>
      <c r="R56" s="60"/>
      <c r="S56" s="5"/>
      <c r="T56" s="5"/>
      <c r="U56" s="5"/>
      <c r="V56" s="5"/>
      <c r="W56" s="5"/>
      <c r="X56" s="5"/>
      <c r="Y56" s="5"/>
      <c r="Z56" s="5"/>
      <c r="AA56" s="5"/>
    </row>
    <row r="57" spans="1:27" x14ac:dyDescent="0.2">
      <c r="A57" s="5"/>
      <c r="B57" s="5"/>
      <c r="C57" s="5"/>
      <c r="D57" s="5"/>
      <c r="E57" s="5"/>
      <c r="F57" s="5"/>
      <c r="G57" s="5"/>
      <c r="H57" s="5"/>
      <c r="I57" s="5"/>
      <c r="J57" s="5"/>
      <c r="K57" s="5"/>
      <c r="L57" s="5"/>
      <c r="M57" s="5"/>
      <c r="N57" s="5"/>
      <c r="O57" s="5"/>
      <c r="P57" s="5"/>
      <c r="Q57" s="5"/>
      <c r="R57" s="60"/>
      <c r="S57" s="5"/>
      <c r="T57" s="5"/>
      <c r="U57" s="5"/>
      <c r="V57" s="5"/>
      <c r="W57" s="5"/>
      <c r="X57" s="5"/>
      <c r="Y57" s="5"/>
      <c r="Z57" s="5"/>
      <c r="AA57" s="5"/>
    </row>
    <row r="58" spans="1:27" x14ac:dyDescent="0.2">
      <c r="A58" s="5"/>
      <c r="B58" s="5"/>
      <c r="C58" s="5"/>
      <c r="D58" s="5"/>
      <c r="E58" s="5"/>
      <c r="F58" s="5"/>
      <c r="G58" s="5"/>
      <c r="H58" s="5"/>
      <c r="I58" s="5"/>
      <c r="J58" s="5"/>
      <c r="K58" s="5"/>
      <c r="L58" s="5"/>
      <c r="M58" s="5"/>
      <c r="N58" s="5"/>
      <c r="O58" s="5"/>
      <c r="P58" s="5"/>
      <c r="Q58" s="5"/>
      <c r="R58" s="60"/>
      <c r="S58" s="5"/>
      <c r="T58" s="5"/>
      <c r="U58" s="5"/>
      <c r="V58" s="5"/>
      <c r="W58" s="5"/>
      <c r="X58" s="5"/>
      <c r="Y58" s="5"/>
      <c r="Z58" s="5"/>
      <c r="AA58" s="5"/>
    </row>
    <row r="59" spans="1:27" x14ac:dyDescent="0.2">
      <c r="A59" s="5"/>
      <c r="B59" s="5"/>
      <c r="C59" s="5"/>
      <c r="D59" s="5"/>
      <c r="E59" s="5"/>
      <c r="F59" s="5"/>
      <c r="G59" s="5"/>
      <c r="H59" s="5"/>
      <c r="I59" s="5"/>
      <c r="J59" s="5"/>
      <c r="K59" s="5"/>
      <c r="L59" s="5"/>
      <c r="M59" s="5"/>
      <c r="N59" s="5"/>
      <c r="O59" s="5"/>
      <c r="P59" s="5"/>
      <c r="Q59" s="5"/>
      <c r="R59" s="60"/>
      <c r="S59" s="5"/>
      <c r="T59" s="5"/>
      <c r="U59" s="5"/>
      <c r="V59" s="5"/>
      <c r="W59" s="5"/>
      <c r="X59" s="5"/>
      <c r="Y59" s="5"/>
      <c r="Z59" s="5"/>
      <c r="AA59" s="5"/>
    </row>
    <row r="60" spans="1:27" x14ac:dyDescent="0.2">
      <c r="A60" s="5"/>
      <c r="B60" s="5"/>
      <c r="C60" s="5"/>
      <c r="D60" s="5"/>
      <c r="E60" s="5"/>
      <c r="F60" s="5"/>
      <c r="G60" s="5"/>
      <c r="H60" s="5"/>
      <c r="I60" s="5"/>
      <c r="J60" s="5"/>
      <c r="K60" s="5"/>
      <c r="L60" s="5"/>
      <c r="M60" s="5"/>
      <c r="N60" s="5"/>
      <c r="O60" s="5"/>
      <c r="P60" s="5"/>
      <c r="Q60" s="5"/>
      <c r="R60" s="60"/>
      <c r="S60" s="5"/>
      <c r="T60" s="5"/>
      <c r="U60" s="5"/>
      <c r="V60" s="5"/>
      <c r="W60" s="5"/>
      <c r="X60" s="5"/>
      <c r="Y60" s="5"/>
      <c r="Z60" s="5"/>
      <c r="AA60" s="5"/>
    </row>
    <row r="61" spans="1:27" x14ac:dyDescent="0.2">
      <c r="A61" s="5"/>
      <c r="B61" s="5"/>
      <c r="C61" s="5"/>
      <c r="D61" s="5"/>
      <c r="E61" s="5"/>
      <c r="F61" s="5"/>
      <c r="G61" s="5"/>
      <c r="H61" s="5"/>
      <c r="I61" s="5"/>
      <c r="J61" s="5"/>
      <c r="K61" s="5"/>
      <c r="L61" s="5"/>
      <c r="M61" s="5"/>
      <c r="N61" s="5"/>
      <c r="O61" s="5"/>
      <c r="P61" s="5"/>
      <c r="Q61" s="5"/>
      <c r="R61" s="60"/>
      <c r="S61" s="5"/>
      <c r="T61" s="5"/>
      <c r="U61" s="5"/>
      <c r="V61" s="5"/>
      <c r="W61" s="5"/>
      <c r="X61" s="5"/>
      <c r="Y61" s="5"/>
      <c r="Z61" s="5"/>
      <c r="AA61" s="5"/>
    </row>
    <row r="62" spans="1:27" x14ac:dyDescent="0.2">
      <c r="A62" s="5"/>
      <c r="B62" s="5"/>
      <c r="C62" s="5"/>
      <c r="D62" s="5"/>
      <c r="E62" s="5"/>
      <c r="F62" s="5"/>
      <c r="G62" s="5"/>
      <c r="H62" s="5"/>
      <c r="I62" s="5"/>
      <c r="J62" s="5"/>
      <c r="K62" s="5"/>
      <c r="L62" s="5"/>
      <c r="M62" s="5"/>
      <c r="N62" s="5"/>
      <c r="O62" s="5"/>
      <c r="P62" s="5"/>
      <c r="Q62" s="5"/>
      <c r="R62" s="60"/>
      <c r="S62" s="5"/>
      <c r="T62" s="5"/>
      <c r="U62" s="5"/>
      <c r="V62" s="5"/>
      <c r="W62" s="5"/>
      <c r="X62" s="5"/>
      <c r="Y62" s="5"/>
      <c r="Z62" s="5"/>
      <c r="AA62" s="5"/>
    </row>
    <row r="63" spans="1:27" x14ac:dyDescent="0.2">
      <c r="A63" s="5"/>
      <c r="B63" s="5"/>
      <c r="C63" s="5"/>
      <c r="D63" s="5"/>
      <c r="E63" s="5"/>
      <c r="F63" s="5"/>
      <c r="G63" s="5"/>
      <c r="H63" s="5"/>
      <c r="I63" s="5"/>
      <c r="J63" s="5"/>
      <c r="K63" s="5"/>
      <c r="L63" s="5"/>
      <c r="M63" s="5"/>
      <c r="N63" s="5"/>
      <c r="O63" s="5"/>
      <c r="P63" s="5"/>
      <c r="Q63" s="5"/>
      <c r="R63" s="60"/>
      <c r="S63" s="5"/>
      <c r="T63" s="5"/>
      <c r="U63" s="5"/>
      <c r="V63" s="5"/>
      <c r="W63" s="5"/>
      <c r="X63" s="5"/>
      <c r="Y63" s="5"/>
      <c r="Z63" s="5"/>
      <c r="AA63" s="5"/>
    </row>
    <row r="64" spans="1:27" x14ac:dyDescent="0.2">
      <c r="A64" s="5"/>
      <c r="B64" s="5"/>
      <c r="C64" s="5"/>
      <c r="D64" s="5"/>
      <c r="E64" s="5"/>
      <c r="F64" s="5"/>
      <c r="G64" s="5"/>
      <c r="H64" s="5"/>
      <c r="I64" s="5"/>
      <c r="J64" s="5"/>
      <c r="K64" s="5"/>
      <c r="L64" s="5"/>
      <c r="M64" s="5"/>
      <c r="N64" s="5"/>
      <c r="O64" s="5"/>
      <c r="P64" s="5"/>
      <c r="Q64" s="5"/>
      <c r="R64" s="60"/>
      <c r="S64" s="5"/>
      <c r="T64" s="5"/>
      <c r="U64" s="5"/>
      <c r="V64" s="5"/>
      <c r="W64" s="5"/>
      <c r="X64" s="5"/>
      <c r="Y64" s="5"/>
      <c r="Z64" s="5"/>
      <c r="AA64" s="5"/>
    </row>
    <row r="65" spans="1:27" x14ac:dyDescent="0.2">
      <c r="A65" s="5"/>
      <c r="B65" s="5"/>
      <c r="C65" s="5"/>
      <c r="D65" s="5"/>
      <c r="E65" s="5"/>
      <c r="F65" s="5"/>
      <c r="G65" s="5"/>
      <c r="H65" s="5"/>
      <c r="I65" s="5"/>
      <c r="J65" s="5"/>
      <c r="K65" s="5"/>
      <c r="L65" s="5"/>
      <c r="M65" s="5"/>
      <c r="N65" s="5"/>
      <c r="O65" s="5"/>
      <c r="P65" s="5"/>
      <c r="Q65" s="5"/>
      <c r="R65" s="60"/>
      <c r="S65" s="5"/>
      <c r="T65" s="5"/>
      <c r="U65" s="5"/>
      <c r="V65" s="5"/>
      <c r="W65" s="5"/>
      <c r="X65" s="5"/>
      <c r="Y65" s="5"/>
      <c r="Z65" s="5"/>
      <c r="AA65" s="5"/>
    </row>
    <row r="66" spans="1:27" x14ac:dyDescent="0.2">
      <c r="A66" s="5"/>
      <c r="B66" s="5"/>
      <c r="C66" s="5"/>
      <c r="D66" s="5"/>
      <c r="E66" s="5"/>
      <c r="F66" s="5"/>
      <c r="G66" s="5"/>
      <c r="H66" s="5"/>
      <c r="I66" s="5"/>
      <c r="J66" s="5"/>
      <c r="K66" s="5"/>
      <c r="L66" s="5"/>
      <c r="M66" s="5"/>
      <c r="N66" s="5"/>
      <c r="O66" s="5"/>
      <c r="P66" s="5"/>
      <c r="Q66" s="5"/>
      <c r="R66" s="60"/>
      <c r="S66" s="5"/>
      <c r="T66" s="5"/>
      <c r="U66" s="5"/>
      <c r="V66" s="5"/>
      <c r="W66" s="5"/>
      <c r="X66" s="5"/>
      <c r="Y66" s="5"/>
      <c r="Z66" s="5"/>
      <c r="AA66" s="5"/>
    </row>
    <row r="67" spans="1:27" x14ac:dyDescent="0.2">
      <c r="A67" s="5"/>
      <c r="B67" s="5"/>
      <c r="C67" s="5"/>
      <c r="D67" s="5"/>
      <c r="E67" s="5"/>
      <c r="F67" s="5"/>
      <c r="G67" s="5"/>
      <c r="H67" s="5"/>
      <c r="I67" s="5"/>
      <c r="J67" s="5"/>
      <c r="K67" s="5"/>
      <c r="L67" s="5"/>
      <c r="M67" s="5"/>
      <c r="N67" s="5"/>
      <c r="O67" s="5"/>
      <c r="P67" s="5"/>
      <c r="Q67" s="5"/>
      <c r="R67" s="60"/>
      <c r="S67" s="5"/>
      <c r="T67" s="5"/>
      <c r="U67" s="5"/>
      <c r="V67" s="5"/>
      <c r="W67" s="5"/>
      <c r="X67" s="5"/>
      <c r="Y67" s="5"/>
      <c r="Z67" s="5"/>
      <c r="AA67" s="5"/>
    </row>
    <row r="68" spans="1:27" x14ac:dyDescent="0.2">
      <c r="A68" s="5"/>
      <c r="B68" s="5"/>
      <c r="C68" s="5"/>
      <c r="D68" s="5"/>
      <c r="E68" s="5"/>
      <c r="F68" s="5"/>
      <c r="G68" s="5"/>
      <c r="H68" s="5"/>
      <c r="I68" s="5"/>
      <c r="J68" s="5"/>
      <c r="K68" s="5"/>
      <c r="L68" s="5"/>
      <c r="M68" s="5"/>
      <c r="N68" s="5"/>
      <c r="O68" s="5"/>
      <c r="P68" s="5"/>
      <c r="Q68" s="5"/>
      <c r="R68" s="60"/>
      <c r="S68" s="5"/>
      <c r="T68" s="5"/>
      <c r="U68" s="5"/>
      <c r="V68" s="5"/>
      <c r="W68" s="5"/>
      <c r="X68" s="5"/>
      <c r="Y68" s="5"/>
      <c r="Z68" s="5"/>
      <c r="AA68" s="5"/>
    </row>
    <row r="69" spans="1:27" x14ac:dyDescent="0.2">
      <c r="A69" s="5"/>
      <c r="B69" s="5"/>
      <c r="C69" s="5"/>
      <c r="D69" s="5"/>
      <c r="E69" s="5"/>
      <c r="F69" s="5"/>
      <c r="G69" s="5"/>
      <c r="H69" s="5"/>
      <c r="I69" s="5"/>
      <c r="J69" s="5"/>
      <c r="K69" s="5"/>
      <c r="L69" s="5"/>
      <c r="M69" s="5"/>
      <c r="N69" s="5"/>
      <c r="O69" s="5"/>
      <c r="P69" s="5"/>
      <c r="Q69" s="5"/>
      <c r="R69" s="60"/>
      <c r="S69" s="5"/>
      <c r="T69" s="5"/>
      <c r="U69" s="5"/>
      <c r="V69" s="5"/>
      <c r="W69" s="5"/>
      <c r="X69" s="5"/>
      <c r="Y69" s="5"/>
      <c r="Z69" s="5"/>
      <c r="AA69" s="5"/>
    </row>
    <row r="70" spans="1:27" x14ac:dyDescent="0.2">
      <c r="A70" s="5"/>
      <c r="B70" s="5"/>
      <c r="C70" s="5"/>
      <c r="D70" s="5"/>
      <c r="E70" s="5"/>
      <c r="F70" s="5"/>
      <c r="G70" s="5"/>
      <c r="H70" s="5"/>
      <c r="I70" s="5"/>
      <c r="J70" s="5"/>
      <c r="K70" s="5"/>
      <c r="L70" s="5"/>
      <c r="M70" s="5"/>
      <c r="N70" s="5"/>
      <c r="O70" s="5"/>
      <c r="P70" s="5"/>
      <c r="Q70" s="5"/>
      <c r="R70" s="60"/>
      <c r="S70" s="5"/>
      <c r="T70" s="5"/>
      <c r="U70" s="5"/>
      <c r="V70" s="5"/>
      <c r="W70" s="5"/>
      <c r="X70" s="5"/>
      <c r="Y70" s="5"/>
      <c r="Z70" s="5"/>
      <c r="AA70" s="5"/>
    </row>
    <row r="71" spans="1:27" x14ac:dyDescent="0.2">
      <c r="A71" s="5"/>
      <c r="B71" s="5"/>
      <c r="C71" s="5"/>
      <c r="D71" s="5"/>
      <c r="E71" s="5"/>
      <c r="F71" s="5"/>
      <c r="G71" s="5"/>
      <c r="H71" s="5"/>
      <c r="I71" s="5"/>
      <c r="J71" s="5"/>
      <c r="K71" s="5"/>
      <c r="L71" s="5"/>
      <c r="M71" s="5"/>
      <c r="N71" s="5"/>
      <c r="O71" s="5"/>
      <c r="P71" s="5"/>
      <c r="Q71" s="5"/>
      <c r="R71" s="60"/>
      <c r="S71" s="5"/>
      <c r="T71" s="5"/>
      <c r="U71" s="5"/>
      <c r="V71" s="5"/>
      <c r="W71" s="5"/>
      <c r="X71" s="5"/>
      <c r="Y71" s="5"/>
      <c r="Z71" s="5"/>
      <c r="AA71" s="5"/>
    </row>
    <row r="72" spans="1:27" x14ac:dyDescent="0.2">
      <c r="A72" s="5"/>
      <c r="B72" s="5"/>
      <c r="C72" s="5"/>
      <c r="D72" s="5"/>
      <c r="E72" s="5"/>
      <c r="F72" s="5"/>
      <c r="G72" s="5"/>
      <c r="H72" s="5"/>
      <c r="I72" s="5"/>
      <c r="J72" s="5"/>
      <c r="K72" s="5"/>
      <c r="L72" s="5"/>
      <c r="M72" s="5"/>
      <c r="N72" s="5"/>
      <c r="O72" s="5"/>
      <c r="P72" s="5"/>
      <c r="Q72" s="5"/>
      <c r="R72" s="60"/>
      <c r="S72" s="5"/>
      <c r="T72" s="5"/>
      <c r="U72" s="5"/>
      <c r="V72" s="5"/>
      <c r="W72" s="5"/>
      <c r="X72" s="5"/>
      <c r="Y72" s="5"/>
      <c r="Z72" s="5"/>
      <c r="AA72" s="5"/>
    </row>
    <row r="73" spans="1:27" x14ac:dyDescent="0.2">
      <c r="A73" s="5"/>
      <c r="B73" s="5"/>
      <c r="C73" s="5"/>
      <c r="D73" s="5"/>
      <c r="E73" s="5"/>
      <c r="F73" s="5"/>
      <c r="G73" s="5"/>
      <c r="H73" s="5"/>
      <c r="I73" s="5"/>
      <c r="J73" s="5"/>
      <c r="K73" s="5"/>
      <c r="L73" s="5"/>
      <c r="M73" s="5"/>
      <c r="N73" s="5"/>
      <c r="O73" s="5"/>
      <c r="P73" s="5"/>
      <c r="Q73" s="5"/>
      <c r="R73" s="60"/>
      <c r="S73" s="5"/>
      <c r="T73" s="5"/>
      <c r="U73" s="5"/>
      <c r="V73" s="5"/>
      <c r="W73" s="5"/>
      <c r="X73" s="5"/>
      <c r="Y73" s="5"/>
      <c r="Z73" s="5"/>
      <c r="AA73" s="5"/>
    </row>
    <row r="74" spans="1:27" x14ac:dyDescent="0.2">
      <c r="A74" s="5"/>
      <c r="B74" s="5"/>
      <c r="C74" s="5"/>
      <c r="D74" s="5"/>
      <c r="E74" s="5"/>
      <c r="F74" s="5"/>
      <c r="G74" s="5"/>
      <c r="H74" s="5"/>
      <c r="I74" s="5"/>
      <c r="J74" s="5"/>
      <c r="K74" s="5"/>
      <c r="L74" s="5"/>
      <c r="M74" s="5"/>
      <c r="N74" s="5"/>
      <c r="O74" s="5"/>
      <c r="P74" s="5"/>
      <c r="Q74" s="5"/>
      <c r="R74" s="60"/>
      <c r="S74" s="5"/>
      <c r="T74" s="5"/>
      <c r="U74" s="5"/>
      <c r="V74" s="5"/>
      <c r="W74" s="5"/>
      <c r="X74" s="5"/>
      <c r="Y74" s="5"/>
      <c r="Z74" s="5"/>
      <c r="AA74" s="5"/>
    </row>
    <row r="75" spans="1:27" x14ac:dyDescent="0.2">
      <c r="A75" s="5"/>
      <c r="B75" s="5"/>
      <c r="C75" s="5"/>
      <c r="D75" s="5"/>
      <c r="E75" s="5"/>
      <c r="F75" s="5"/>
      <c r="G75" s="5"/>
      <c r="H75" s="5"/>
      <c r="I75" s="5"/>
      <c r="J75" s="5"/>
      <c r="K75" s="5"/>
      <c r="L75" s="5"/>
      <c r="M75" s="5"/>
      <c r="N75" s="5"/>
      <c r="O75" s="5"/>
      <c r="P75" s="5"/>
      <c r="Q75" s="5"/>
      <c r="R75" s="60"/>
      <c r="S75" s="5"/>
      <c r="T75" s="5"/>
      <c r="U75" s="5"/>
      <c r="V75" s="5"/>
      <c r="W75" s="5"/>
      <c r="X75" s="5"/>
      <c r="Y75" s="5"/>
      <c r="Z75" s="5"/>
      <c r="AA75" s="5"/>
    </row>
    <row r="76" spans="1:27" x14ac:dyDescent="0.2">
      <c r="A76" s="5"/>
      <c r="B76" s="5"/>
      <c r="C76" s="5"/>
      <c r="D76" s="5"/>
      <c r="E76" s="5"/>
      <c r="F76" s="5"/>
      <c r="G76" s="5"/>
      <c r="H76" s="5"/>
      <c r="I76" s="5"/>
      <c r="J76" s="5"/>
      <c r="K76" s="5"/>
      <c r="L76" s="5"/>
      <c r="M76" s="5"/>
      <c r="N76" s="5"/>
      <c r="O76" s="5"/>
      <c r="P76" s="5"/>
      <c r="Q76" s="5"/>
      <c r="R76" s="60"/>
      <c r="S76" s="5"/>
      <c r="T76" s="5"/>
      <c r="U76" s="5"/>
      <c r="V76" s="5"/>
      <c r="W76" s="5"/>
      <c r="X76" s="5"/>
      <c r="Y76" s="5"/>
      <c r="Z76" s="5"/>
      <c r="AA76" s="5"/>
    </row>
    <row r="77" spans="1:27" x14ac:dyDescent="0.2">
      <c r="A77" s="5"/>
      <c r="B77" s="5"/>
      <c r="C77" s="5"/>
      <c r="D77" s="5"/>
      <c r="E77" s="5"/>
      <c r="F77" s="5"/>
      <c r="G77" s="5"/>
      <c r="H77" s="5"/>
      <c r="I77" s="5"/>
      <c r="J77" s="5"/>
      <c r="K77" s="5"/>
      <c r="L77" s="5"/>
      <c r="M77" s="5"/>
      <c r="N77" s="5"/>
      <c r="O77" s="5"/>
      <c r="P77" s="5"/>
      <c r="Q77" s="5"/>
      <c r="R77" s="60"/>
      <c r="S77" s="5"/>
      <c r="T77" s="5"/>
      <c r="U77" s="5"/>
      <c r="V77" s="5"/>
      <c r="W77" s="5"/>
      <c r="X77" s="5"/>
      <c r="Y77" s="5"/>
      <c r="Z77" s="5"/>
      <c r="AA77" s="5"/>
    </row>
    <row r="78" spans="1:27" x14ac:dyDescent="0.2">
      <c r="A78" s="5"/>
      <c r="B78" s="5"/>
      <c r="C78" s="5"/>
      <c r="D78" s="5"/>
      <c r="E78" s="5"/>
      <c r="F78" s="5"/>
      <c r="G78" s="5"/>
      <c r="H78" s="5"/>
      <c r="I78" s="5"/>
      <c r="J78" s="5"/>
      <c r="K78" s="5"/>
      <c r="L78" s="5"/>
      <c r="M78" s="5"/>
      <c r="N78" s="5"/>
      <c r="O78" s="5"/>
      <c r="P78" s="5"/>
      <c r="Q78" s="5"/>
      <c r="R78" s="60"/>
      <c r="S78" s="5"/>
      <c r="T78" s="5"/>
      <c r="U78" s="5"/>
      <c r="V78" s="5"/>
      <c r="W78" s="5"/>
      <c r="X78" s="5"/>
      <c r="Y78" s="5"/>
      <c r="Z78" s="5"/>
      <c r="AA78" s="5"/>
    </row>
    <row r="79" spans="1:27" x14ac:dyDescent="0.2">
      <c r="A79" s="5"/>
      <c r="B79" s="5"/>
      <c r="C79" s="5"/>
      <c r="D79" s="5"/>
      <c r="E79" s="5"/>
      <c r="F79" s="5"/>
      <c r="G79" s="5"/>
      <c r="H79" s="5"/>
      <c r="I79" s="5"/>
      <c r="J79" s="5"/>
      <c r="K79" s="5"/>
      <c r="L79" s="5"/>
      <c r="M79" s="5"/>
      <c r="N79" s="5"/>
      <c r="O79" s="5"/>
      <c r="P79" s="5"/>
      <c r="Q79" s="5"/>
      <c r="R79" s="60"/>
      <c r="S79" s="5"/>
      <c r="T79" s="5"/>
      <c r="U79" s="5"/>
      <c r="V79" s="5"/>
      <c r="W79" s="5"/>
      <c r="X79" s="5"/>
      <c r="Y79" s="5"/>
      <c r="Z79" s="5"/>
      <c r="AA79" s="5"/>
    </row>
    <row r="80" spans="1:27" x14ac:dyDescent="0.2">
      <c r="A80" s="5"/>
      <c r="B80" s="5"/>
      <c r="C80" s="5"/>
      <c r="D80" s="5"/>
      <c r="E80" s="5"/>
      <c r="F80" s="5"/>
      <c r="G80" s="5"/>
      <c r="H80" s="5"/>
      <c r="I80" s="5"/>
      <c r="J80" s="5"/>
      <c r="K80" s="5"/>
      <c r="L80" s="5"/>
      <c r="M80" s="5"/>
      <c r="N80" s="5"/>
      <c r="O80" s="5"/>
      <c r="P80" s="5"/>
      <c r="Q80" s="5"/>
      <c r="R80" s="60"/>
      <c r="S80" s="5"/>
      <c r="T80" s="5"/>
      <c r="U80" s="5"/>
      <c r="V80" s="5"/>
      <c r="W80" s="5"/>
      <c r="X80" s="5"/>
      <c r="Y80" s="5"/>
      <c r="Z80" s="5"/>
      <c r="AA80" s="5"/>
    </row>
    <row r="81" spans="1:27" x14ac:dyDescent="0.2">
      <c r="A81" s="5"/>
      <c r="B81" s="5"/>
      <c r="C81" s="5"/>
      <c r="D81" s="5"/>
      <c r="E81" s="5"/>
      <c r="F81" s="5"/>
      <c r="G81" s="5"/>
      <c r="H81" s="5"/>
      <c r="I81" s="5"/>
      <c r="J81" s="5"/>
      <c r="K81" s="5"/>
      <c r="L81" s="5"/>
      <c r="M81" s="5"/>
      <c r="N81" s="5"/>
      <c r="O81" s="5"/>
      <c r="P81" s="5"/>
      <c r="Q81" s="5"/>
      <c r="R81" s="60"/>
      <c r="S81" s="5"/>
      <c r="T81" s="5"/>
      <c r="U81" s="5"/>
      <c r="V81" s="5"/>
      <c r="W81" s="5"/>
      <c r="X81" s="5"/>
      <c r="Y81" s="5"/>
      <c r="Z81" s="5"/>
      <c r="AA81" s="5"/>
    </row>
    <row r="82" spans="1:27" x14ac:dyDescent="0.2">
      <c r="A82" s="5"/>
      <c r="B82" s="5"/>
      <c r="C82" s="5"/>
      <c r="D82" s="5"/>
      <c r="E82" s="5"/>
      <c r="F82" s="5"/>
      <c r="G82" s="5"/>
      <c r="H82" s="5"/>
      <c r="I82" s="5"/>
      <c r="J82" s="5"/>
      <c r="K82" s="5"/>
      <c r="L82" s="5"/>
      <c r="M82" s="5"/>
      <c r="N82" s="5"/>
      <c r="O82" s="5"/>
      <c r="P82" s="5"/>
      <c r="Q82" s="5"/>
      <c r="R82" s="60"/>
      <c r="S82" s="5"/>
      <c r="T82" s="5"/>
      <c r="U82" s="5"/>
      <c r="V82" s="5"/>
      <c r="W82" s="5"/>
      <c r="X82" s="5"/>
      <c r="Y82" s="5"/>
      <c r="Z82" s="5"/>
      <c r="AA82" s="5"/>
    </row>
    <row r="83" spans="1:27" x14ac:dyDescent="0.2">
      <c r="A83" s="5"/>
      <c r="B83" s="5"/>
      <c r="C83" s="5"/>
      <c r="D83" s="5"/>
      <c r="E83" s="5"/>
      <c r="F83" s="5"/>
      <c r="G83" s="5"/>
      <c r="H83" s="5"/>
      <c r="I83" s="5"/>
      <c r="J83" s="5"/>
      <c r="K83" s="5"/>
      <c r="L83" s="5"/>
      <c r="M83" s="5"/>
      <c r="N83" s="5"/>
      <c r="O83" s="5"/>
      <c r="P83" s="5"/>
      <c r="Q83" s="5"/>
      <c r="R83" s="60"/>
      <c r="S83" s="5"/>
      <c r="T83" s="5"/>
      <c r="U83" s="5"/>
      <c r="V83" s="5"/>
      <c r="W83" s="5"/>
      <c r="X83" s="5"/>
      <c r="Y83" s="5"/>
      <c r="Z83" s="5"/>
      <c r="AA83" s="5"/>
    </row>
    <row r="84" spans="1:27" x14ac:dyDescent="0.2">
      <c r="A84" s="5"/>
      <c r="B84" s="5"/>
      <c r="C84" s="5"/>
      <c r="D84" s="5"/>
      <c r="E84" s="5"/>
      <c r="F84" s="5"/>
      <c r="G84" s="5"/>
      <c r="H84" s="5"/>
      <c r="I84" s="5"/>
      <c r="J84" s="5"/>
      <c r="K84" s="5"/>
      <c r="L84" s="5"/>
      <c r="M84" s="5"/>
      <c r="N84" s="5"/>
      <c r="O84" s="5"/>
      <c r="P84" s="5"/>
      <c r="Q84" s="5"/>
      <c r="R84" s="60"/>
      <c r="S84" s="5"/>
      <c r="T84" s="5"/>
      <c r="U84" s="5"/>
      <c r="V84" s="5"/>
      <c r="W84" s="5"/>
      <c r="X84" s="5"/>
      <c r="Y84" s="5"/>
      <c r="Z84" s="5"/>
      <c r="AA84" s="5"/>
    </row>
    <row r="85" spans="1:27" x14ac:dyDescent="0.2">
      <c r="A85" s="5"/>
      <c r="B85" s="5"/>
      <c r="C85" s="5"/>
      <c r="D85" s="5"/>
      <c r="E85" s="5"/>
      <c r="F85" s="5"/>
      <c r="G85" s="5"/>
      <c r="H85" s="5"/>
      <c r="I85" s="5"/>
      <c r="J85" s="5"/>
      <c r="K85" s="5"/>
      <c r="L85" s="5"/>
      <c r="M85" s="5"/>
      <c r="N85" s="5"/>
      <c r="O85" s="5"/>
      <c r="P85" s="5"/>
      <c r="Q85" s="5"/>
      <c r="R85" s="60"/>
      <c r="S85" s="5"/>
      <c r="T85" s="5"/>
      <c r="U85" s="5"/>
      <c r="V85" s="5"/>
      <c r="W85" s="5"/>
      <c r="X85" s="5"/>
      <c r="Y85" s="5"/>
      <c r="Z85" s="5"/>
      <c r="AA85" s="5"/>
    </row>
    <row r="86" spans="1:27" x14ac:dyDescent="0.2">
      <c r="A86" s="5"/>
      <c r="B86" s="5"/>
      <c r="C86" s="5"/>
      <c r="D86" s="5"/>
      <c r="E86" s="5"/>
      <c r="F86" s="5"/>
      <c r="G86" s="5"/>
      <c r="H86" s="5"/>
      <c r="I86" s="5"/>
      <c r="J86" s="5"/>
      <c r="K86" s="5"/>
      <c r="L86" s="5"/>
      <c r="M86" s="5"/>
      <c r="N86" s="5"/>
      <c r="O86" s="5"/>
      <c r="P86" s="5"/>
      <c r="Q86" s="5"/>
      <c r="R86" s="60"/>
      <c r="S86" s="5"/>
      <c r="T86" s="5"/>
      <c r="U86" s="5"/>
      <c r="V86" s="5"/>
      <c r="W86" s="5"/>
      <c r="X86" s="5"/>
      <c r="Y86" s="5"/>
      <c r="Z86" s="5"/>
      <c r="AA86" s="5"/>
    </row>
    <row r="87" spans="1:27" x14ac:dyDescent="0.2">
      <c r="A87" s="5"/>
      <c r="B87" s="5"/>
      <c r="C87" s="5"/>
      <c r="D87" s="5"/>
      <c r="E87" s="5"/>
      <c r="F87" s="5"/>
      <c r="G87" s="5"/>
      <c r="H87" s="5"/>
      <c r="I87" s="5"/>
      <c r="J87" s="5"/>
      <c r="K87" s="5"/>
      <c r="L87" s="5"/>
      <c r="M87" s="5"/>
      <c r="N87" s="5"/>
      <c r="O87" s="5"/>
      <c r="P87" s="5"/>
      <c r="Q87" s="5"/>
      <c r="R87" s="60"/>
      <c r="S87" s="5"/>
      <c r="T87" s="5"/>
      <c r="U87" s="5"/>
      <c r="V87" s="5"/>
      <c r="W87" s="5"/>
      <c r="X87" s="5"/>
      <c r="Y87" s="5"/>
      <c r="Z87" s="5"/>
      <c r="AA87" s="5"/>
    </row>
    <row r="88" spans="1:27" x14ac:dyDescent="0.2">
      <c r="A88" s="5"/>
      <c r="B88" s="5"/>
      <c r="C88" s="5"/>
      <c r="D88" s="5"/>
      <c r="E88" s="5"/>
      <c r="F88" s="5"/>
      <c r="G88" s="5"/>
      <c r="H88" s="5"/>
      <c r="I88" s="5"/>
      <c r="J88" s="5"/>
      <c r="K88" s="5"/>
      <c r="L88" s="5"/>
      <c r="M88" s="5"/>
      <c r="N88" s="5"/>
      <c r="O88" s="5"/>
      <c r="P88" s="5"/>
      <c r="Q88" s="5"/>
      <c r="R88" s="60"/>
      <c r="S88" s="5"/>
      <c r="T88" s="5"/>
      <c r="U88" s="5"/>
      <c r="V88" s="5"/>
      <c r="W88" s="5"/>
      <c r="X88" s="5"/>
      <c r="Y88" s="5"/>
      <c r="Z88" s="5"/>
      <c r="AA88" s="5"/>
    </row>
    <row r="89" spans="1:27" x14ac:dyDescent="0.2">
      <c r="A89" s="5"/>
      <c r="B89" s="5"/>
      <c r="C89" s="5"/>
      <c r="D89" s="5"/>
      <c r="E89" s="5"/>
      <c r="F89" s="5"/>
      <c r="G89" s="5"/>
      <c r="H89" s="5"/>
      <c r="I89" s="5"/>
      <c r="J89" s="5"/>
      <c r="K89" s="5"/>
      <c r="L89" s="5"/>
      <c r="M89" s="5"/>
      <c r="N89" s="5"/>
      <c r="O89" s="5"/>
      <c r="P89" s="5"/>
      <c r="Q89" s="5"/>
      <c r="R89" s="60"/>
      <c r="S89" s="5"/>
      <c r="T89" s="5"/>
      <c r="U89" s="5"/>
      <c r="V89" s="5"/>
      <c r="W89" s="5"/>
      <c r="X89" s="5"/>
      <c r="Y89" s="5"/>
      <c r="Z89" s="5"/>
      <c r="AA89" s="5"/>
    </row>
    <row r="90" spans="1:27" x14ac:dyDescent="0.2">
      <c r="A90" s="5"/>
      <c r="B90" s="5"/>
      <c r="C90" s="5"/>
      <c r="D90" s="5"/>
      <c r="E90" s="5"/>
      <c r="F90" s="5"/>
      <c r="G90" s="5"/>
      <c r="H90" s="5"/>
      <c r="I90" s="5"/>
      <c r="J90" s="5"/>
      <c r="K90" s="5"/>
      <c r="L90" s="5"/>
      <c r="M90" s="5"/>
      <c r="N90" s="5"/>
      <c r="O90" s="5"/>
      <c r="P90" s="5"/>
      <c r="Q90" s="5"/>
      <c r="R90" s="60"/>
      <c r="S90" s="5"/>
      <c r="T90" s="5"/>
      <c r="U90" s="5"/>
      <c r="V90" s="5"/>
      <c r="W90" s="5"/>
      <c r="X90" s="5"/>
      <c r="Y90" s="5"/>
      <c r="Z90" s="5"/>
      <c r="AA90" s="5"/>
    </row>
    <row r="91" spans="1:27" x14ac:dyDescent="0.2">
      <c r="A91" s="5"/>
      <c r="B91" s="5"/>
      <c r="C91" s="5"/>
      <c r="D91" s="5"/>
      <c r="E91" s="5"/>
      <c r="F91" s="5"/>
      <c r="G91" s="5"/>
      <c r="H91" s="5"/>
      <c r="I91" s="5"/>
      <c r="J91" s="5"/>
      <c r="K91" s="5"/>
      <c r="L91" s="5"/>
      <c r="M91" s="5"/>
      <c r="N91" s="5"/>
      <c r="O91" s="5"/>
      <c r="P91" s="5"/>
      <c r="Q91" s="5"/>
      <c r="R91" s="60"/>
      <c r="S91" s="5"/>
      <c r="T91" s="5"/>
      <c r="U91" s="5"/>
      <c r="V91" s="5"/>
      <c r="W91" s="5"/>
      <c r="X91" s="5"/>
      <c r="Y91" s="5"/>
      <c r="Z91" s="5"/>
      <c r="AA91" s="5"/>
    </row>
    <row r="92" spans="1:27" x14ac:dyDescent="0.2">
      <c r="A92" s="5"/>
      <c r="B92" s="5"/>
      <c r="C92" s="5"/>
      <c r="D92" s="5"/>
      <c r="E92" s="5"/>
      <c r="F92" s="5"/>
      <c r="G92" s="5"/>
      <c r="H92" s="5"/>
      <c r="I92" s="5"/>
      <c r="J92" s="5"/>
      <c r="K92" s="5"/>
      <c r="L92" s="5"/>
      <c r="M92" s="5"/>
      <c r="N92" s="5"/>
      <c r="O92" s="5"/>
      <c r="P92" s="5"/>
      <c r="Q92" s="5"/>
      <c r="R92" s="60"/>
      <c r="S92" s="5"/>
      <c r="T92" s="5"/>
      <c r="U92" s="5"/>
      <c r="V92" s="5"/>
      <c r="W92" s="5"/>
      <c r="X92" s="5"/>
      <c r="Y92" s="5"/>
      <c r="Z92" s="5"/>
      <c r="AA92" s="5"/>
    </row>
    <row r="93" spans="1:27" x14ac:dyDescent="0.2">
      <c r="A93" s="5"/>
      <c r="B93" s="5"/>
      <c r="C93" s="5"/>
      <c r="D93" s="5"/>
      <c r="E93" s="5"/>
      <c r="F93" s="5"/>
      <c r="G93" s="5"/>
      <c r="H93" s="5"/>
      <c r="I93" s="5"/>
      <c r="J93" s="5"/>
      <c r="K93" s="5"/>
      <c r="L93" s="5"/>
      <c r="M93" s="5"/>
      <c r="N93" s="5"/>
      <c r="O93" s="5"/>
      <c r="P93" s="5"/>
      <c r="Q93" s="5"/>
      <c r="R93" s="60"/>
      <c r="S93" s="5"/>
      <c r="T93" s="5"/>
      <c r="U93" s="5"/>
      <c r="V93" s="5"/>
      <c r="W93" s="5"/>
      <c r="X93" s="5"/>
      <c r="Y93" s="5"/>
      <c r="Z93" s="5"/>
      <c r="AA93" s="5"/>
    </row>
    <row r="94" spans="1:27" x14ac:dyDescent="0.2">
      <c r="A94" s="5"/>
      <c r="B94" s="5"/>
      <c r="C94" s="5"/>
      <c r="D94" s="5"/>
      <c r="E94" s="5"/>
      <c r="F94" s="5"/>
      <c r="G94" s="5"/>
      <c r="H94" s="5"/>
      <c r="I94" s="5"/>
      <c r="J94" s="5"/>
      <c r="K94" s="5"/>
      <c r="L94" s="5"/>
      <c r="M94" s="5"/>
      <c r="N94" s="5"/>
      <c r="O94" s="5"/>
      <c r="P94" s="5"/>
      <c r="Q94" s="5"/>
      <c r="R94" s="60"/>
      <c r="S94" s="5"/>
      <c r="T94" s="5"/>
      <c r="U94" s="5"/>
      <c r="V94" s="5"/>
      <c r="W94" s="5"/>
      <c r="X94" s="5"/>
      <c r="Y94" s="5"/>
      <c r="Z94" s="5"/>
      <c r="AA94" s="5"/>
    </row>
    <row r="95" spans="1:27" x14ac:dyDescent="0.2">
      <c r="A95" s="5"/>
      <c r="B95" s="5"/>
      <c r="C95" s="5"/>
      <c r="D95" s="5"/>
      <c r="E95" s="5"/>
      <c r="F95" s="5"/>
      <c r="G95" s="5"/>
      <c r="H95" s="5"/>
      <c r="I95" s="5"/>
      <c r="J95" s="5"/>
      <c r="K95" s="5"/>
      <c r="L95" s="5"/>
      <c r="M95" s="5"/>
      <c r="N95" s="5"/>
      <c r="O95" s="5"/>
      <c r="P95" s="5"/>
      <c r="Q95" s="5"/>
      <c r="R95" s="60"/>
      <c r="S95" s="5"/>
      <c r="T95" s="5"/>
      <c r="U95" s="5"/>
      <c r="V95" s="5"/>
      <c r="W95" s="5"/>
      <c r="X95" s="5"/>
      <c r="Y95" s="5"/>
      <c r="Z95" s="5"/>
      <c r="AA95" s="5"/>
    </row>
    <row r="96" spans="1:27" x14ac:dyDescent="0.2">
      <c r="A96" s="5"/>
      <c r="B96" s="5"/>
      <c r="C96" s="5"/>
      <c r="D96" s="5"/>
      <c r="E96" s="5"/>
      <c r="F96" s="5"/>
      <c r="G96" s="5"/>
      <c r="H96" s="5"/>
      <c r="I96" s="5"/>
      <c r="J96" s="5"/>
      <c r="K96" s="5"/>
      <c r="L96" s="5"/>
      <c r="M96" s="5"/>
      <c r="N96" s="5"/>
      <c r="O96" s="5"/>
      <c r="P96" s="5"/>
      <c r="Q96" s="5"/>
      <c r="R96" s="60"/>
      <c r="S96" s="5"/>
      <c r="T96" s="5"/>
      <c r="U96" s="5"/>
      <c r="V96" s="5"/>
      <c r="W96" s="5"/>
      <c r="X96" s="5"/>
      <c r="Y96" s="5"/>
      <c r="Z96" s="5"/>
      <c r="AA96" s="5"/>
    </row>
    <row r="97" spans="1:27" x14ac:dyDescent="0.2">
      <c r="A97" s="5"/>
      <c r="B97" s="5"/>
      <c r="C97" s="5"/>
      <c r="D97" s="5"/>
      <c r="E97" s="5"/>
      <c r="F97" s="5"/>
      <c r="G97" s="5"/>
      <c r="H97" s="5"/>
      <c r="I97" s="5"/>
      <c r="J97" s="5"/>
      <c r="K97" s="5"/>
      <c r="L97" s="5"/>
      <c r="M97" s="5"/>
      <c r="N97" s="5"/>
      <c r="O97" s="5"/>
      <c r="P97" s="5"/>
      <c r="Q97" s="5"/>
      <c r="R97" s="60"/>
      <c r="S97" s="5"/>
      <c r="T97" s="5"/>
      <c r="U97" s="5"/>
      <c r="V97" s="5"/>
      <c r="W97" s="5"/>
      <c r="X97" s="5"/>
      <c r="Y97" s="5"/>
      <c r="Z97" s="5"/>
      <c r="AA97" s="5"/>
    </row>
    <row r="98" spans="1:27" x14ac:dyDescent="0.2">
      <c r="B98" s="5"/>
      <c r="C98" s="5"/>
      <c r="D98" s="5"/>
      <c r="E98" s="5"/>
      <c r="F98" s="5"/>
      <c r="G98" s="5"/>
      <c r="H98" s="5"/>
      <c r="I98" s="5"/>
      <c r="J98" s="5"/>
      <c r="K98" s="5"/>
      <c r="L98" s="5"/>
      <c r="M98" s="5"/>
      <c r="N98" s="5"/>
      <c r="O98" s="5"/>
      <c r="P98" s="5"/>
      <c r="Q98" s="5"/>
      <c r="R98" s="59"/>
    </row>
    <row r="99" spans="1:27" x14ac:dyDescent="0.2">
      <c r="B99" s="5"/>
      <c r="C99" s="5"/>
      <c r="D99" s="5"/>
      <c r="E99" s="5"/>
      <c r="F99" s="5"/>
      <c r="G99" s="5"/>
      <c r="H99" s="5"/>
      <c r="I99" s="5"/>
      <c r="J99" s="5"/>
      <c r="K99" s="5"/>
      <c r="L99" s="5"/>
      <c r="M99" s="5"/>
      <c r="N99" s="5"/>
      <c r="O99" s="5"/>
      <c r="P99" s="5"/>
      <c r="Q99" s="5"/>
      <c r="R99" s="59"/>
    </row>
    <row r="100" spans="1:27" x14ac:dyDescent="0.2">
      <c r="B100" s="5"/>
      <c r="C100" s="5"/>
      <c r="D100" s="5"/>
      <c r="E100" s="5"/>
      <c r="F100" s="5"/>
      <c r="G100" s="5"/>
      <c r="H100" s="5"/>
      <c r="I100" s="5"/>
      <c r="J100" s="5"/>
      <c r="K100" s="5"/>
      <c r="L100" s="5"/>
      <c r="M100" s="5"/>
      <c r="N100" s="5"/>
      <c r="O100" s="5"/>
      <c r="P100" s="5"/>
      <c r="Q100" s="5"/>
      <c r="R100" s="59"/>
    </row>
    <row r="101" spans="1:27" x14ac:dyDescent="0.2">
      <c r="B101" s="5"/>
      <c r="C101" s="5"/>
      <c r="D101" s="5"/>
      <c r="E101" s="5"/>
      <c r="F101" s="5"/>
      <c r="G101" s="5"/>
      <c r="H101" s="5"/>
      <c r="I101" s="5"/>
      <c r="J101" s="5"/>
      <c r="K101" s="5"/>
      <c r="L101" s="5"/>
      <c r="M101" s="5"/>
      <c r="N101" s="5"/>
      <c r="O101" s="5"/>
      <c r="P101" s="5"/>
      <c r="Q101" s="5"/>
      <c r="R101" s="59"/>
    </row>
    <row r="102" spans="1:27" x14ac:dyDescent="0.2">
      <c r="R102" s="59"/>
    </row>
    <row r="103" spans="1:27" x14ac:dyDescent="0.2">
      <c r="R103" s="59"/>
    </row>
    <row r="104" spans="1:27" x14ac:dyDescent="0.2">
      <c r="R104" s="59"/>
    </row>
    <row r="105" spans="1:27" x14ac:dyDescent="0.2">
      <c r="R105" s="59"/>
    </row>
    <row r="106" spans="1:27" x14ac:dyDescent="0.2">
      <c r="R106" s="59"/>
    </row>
    <row r="107" spans="1:27" x14ac:dyDescent="0.2">
      <c r="R107" s="59"/>
    </row>
    <row r="108" spans="1:27" x14ac:dyDescent="0.2">
      <c r="R108" s="59"/>
    </row>
    <row r="109" spans="1:27" x14ac:dyDescent="0.2">
      <c r="R109" s="59"/>
    </row>
    <row r="110" spans="1:27" x14ac:dyDescent="0.2">
      <c r="R110" s="59"/>
    </row>
    <row r="111" spans="1:27" x14ac:dyDescent="0.2">
      <c r="R111" s="59"/>
    </row>
    <row r="112" spans="1:27" x14ac:dyDescent="0.2">
      <c r="R112" s="59"/>
    </row>
    <row r="113" spans="18:18" x14ac:dyDescent="0.2">
      <c r="R113" s="59"/>
    </row>
    <row r="114" spans="18:18" x14ac:dyDescent="0.2">
      <c r="R114" s="59"/>
    </row>
    <row r="115" spans="18:18" x14ac:dyDescent="0.2">
      <c r="R115" s="59"/>
    </row>
    <row r="116" spans="18:18" x14ac:dyDescent="0.2">
      <c r="R116" s="59"/>
    </row>
    <row r="117" spans="18:18" x14ac:dyDescent="0.2">
      <c r="R117" s="59"/>
    </row>
    <row r="118" spans="18:18" x14ac:dyDescent="0.2">
      <c r="R118" s="59"/>
    </row>
    <row r="119" spans="18:18" x14ac:dyDescent="0.2">
      <c r="R119" s="59"/>
    </row>
    <row r="120" spans="18:18" x14ac:dyDescent="0.2">
      <c r="R120" s="59"/>
    </row>
    <row r="121" spans="18:18" x14ac:dyDescent="0.2">
      <c r="R121" s="59"/>
    </row>
    <row r="122" spans="18:18" x14ac:dyDescent="0.2">
      <c r="R122" s="59"/>
    </row>
    <row r="123" spans="18:18" x14ac:dyDescent="0.2">
      <c r="R123" s="59"/>
    </row>
    <row r="124" spans="18:18" x14ac:dyDescent="0.2">
      <c r="R124" s="59"/>
    </row>
    <row r="125" spans="18:18" x14ac:dyDescent="0.2">
      <c r="R125" s="59"/>
    </row>
    <row r="126" spans="18:18" x14ac:dyDescent="0.2">
      <c r="R126" s="59"/>
    </row>
    <row r="127" spans="18:18" x14ac:dyDescent="0.2">
      <c r="R127" s="59"/>
    </row>
    <row r="128" spans="18:18" x14ac:dyDescent="0.2">
      <c r="R128" s="59"/>
    </row>
    <row r="129" spans="18:18" x14ac:dyDescent="0.2">
      <c r="R129" s="59"/>
    </row>
    <row r="130" spans="18:18" x14ac:dyDescent="0.2">
      <c r="R130" s="59"/>
    </row>
    <row r="131" spans="18:18" x14ac:dyDescent="0.2">
      <c r="R131" s="59"/>
    </row>
    <row r="132" spans="18:18" x14ac:dyDescent="0.2">
      <c r="R132" s="59"/>
    </row>
    <row r="133" spans="18:18" x14ac:dyDescent="0.2">
      <c r="R133" s="59"/>
    </row>
    <row r="134" spans="18:18" x14ac:dyDescent="0.2">
      <c r="R134" s="59"/>
    </row>
    <row r="135" spans="18:18" x14ac:dyDescent="0.2">
      <c r="R135" s="59"/>
    </row>
    <row r="136" spans="18:18" x14ac:dyDescent="0.2">
      <c r="R136" s="59"/>
    </row>
    <row r="137" spans="18:18" x14ac:dyDescent="0.2">
      <c r="R137" s="59"/>
    </row>
    <row r="138" spans="18:18" x14ac:dyDescent="0.2">
      <c r="R138" s="59"/>
    </row>
    <row r="139" spans="18:18" x14ac:dyDescent="0.2">
      <c r="R139" s="59"/>
    </row>
    <row r="140" spans="18:18" x14ac:dyDescent="0.2">
      <c r="R140" s="59"/>
    </row>
    <row r="141" spans="18:18" x14ac:dyDescent="0.2">
      <c r="R141" s="59"/>
    </row>
    <row r="142" spans="18:18" x14ac:dyDescent="0.2">
      <c r="R142" s="59"/>
    </row>
    <row r="143" spans="18:18" x14ac:dyDescent="0.2">
      <c r="R143" s="59"/>
    </row>
    <row r="144" spans="18:18" x14ac:dyDescent="0.2">
      <c r="R144" s="59"/>
    </row>
    <row r="145" spans="18:18" x14ac:dyDescent="0.2">
      <c r="R145" s="59"/>
    </row>
    <row r="146" spans="18:18" x14ac:dyDescent="0.2">
      <c r="R146" s="59"/>
    </row>
    <row r="147" spans="18:18" x14ac:dyDescent="0.2">
      <c r="R147" s="59"/>
    </row>
    <row r="148" spans="18:18" x14ac:dyDescent="0.2">
      <c r="R148" s="59"/>
    </row>
    <row r="149" spans="18:18" x14ac:dyDescent="0.2">
      <c r="R149" s="59"/>
    </row>
    <row r="150" spans="18:18" x14ac:dyDescent="0.2">
      <c r="R150" s="59"/>
    </row>
    <row r="151" spans="18:18" x14ac:dyDescent="0.2">
      <c r="R151" s="59"/>
    </row>
    <row r="152" spans="18:18" x14ac:dyDescent="0.2">
      <c r="R152" s="59"/>
    </row>
    <row r="153" spans="18:18" x14ac:dyDescent="0.2">
      <c r="R153" s="59"/>
    </row>
    <row r="154" spans="18:18" x14ac:dyDescent="0.2">
      <c r="R154" s="59"/>
    </row>
    <row r="155" spans="18:18" x14ac:dyDescent="0.2">
      <c r="R155" s="59"/>
    </row>
    <row r="156" spans="18:18" x14ac:dyDescent="0.2">
      <c r="R156" s="59"/>
    </row>
    <row r="157" spans="18:18" x14ac:dyDescent="0.2">
      <c r="R157" s="59"/>
    </row>
    <row r="158" spans="18:18" x14ac:dyDescent="0.2">
      <c r="R158" s="59"/>
    </row>
    <row r="159" spans="18:18" x14ac:dyDescent="0.2">
      <c r="R159" s="59"/>
    </row>
    <row r="160" spans="18:18" x14ac:dyDescent="0.2">
      <c r="R160" s="59"/>
    </row>
    <row r="161" spans="18:18" x14ac:dyDescent="0.2">
      <c r="R161" s="59"/>
    </row>
    <row r="162" spans="18:18" x14ac:dyDescent="0.2">
      <c r="R162" s="59"/>
    </row>
    <row r="163" spans="18:18" x14ac:dyDescent="0.2">
      <c r="R163" s="59"/>
    </row>
    <row r="164" spans="18:18" x14ac:dyDescent="0.2">
      <c r="R164" s="59"/>
    </row>
    <row r="165" spans="18:18" x14ac:dyDescent="0.2">
      <c r="R165" s="59"/>
    </row>
    <row r="166" spans="18:18" x14ac:dyDescent="0.2">
      <c r="R166" s="59"/>
    </row>
    <row r="167" spans="18:18" x14ac:dyDescent="0.2">
      <c r="R167" s="59"/>
    </row>
    <row r="168" spans="18:18" x14ac:dyDescent="0.2">
      <c r="R168" s="59"/>
    </row>
    <row r="169" spans="18:18" x14ac:dyDescent="0.2">
      <c r="R169" s="59"/>
    </row>
    <row r="170" spans="18:18" x14ac:dyDescent="0.2">
      <c r="R170" s="59"/>
    </row>
    <row r="171" spans="18:18" x14ac:dyDescent="0.2">
      <c r="R171" s="59"/>
    </row>
    <row r="172" spans="18:18" x14ac:dyDescent="0.2">
      <c r="R172" s="59"/>
    </row>
    <row r="173" spans="18:18" x14ac:dyDescent="0.2">
      <c r="R173" s="59"/>
    </row>
    <row r="174" spans="18:18" x14ac:dyDescent="0.2">
      <c r="R174" s="59"/>
    </row>
    <row r="175" spans="18:18" x14ac:dyDescent="0.2">
      <c r="R175" s="59"/>
    </row>
    <row r="176" spans="18:18" x14ac:dyDescent="0.2">
      <c r="R176" s="59"/>
    </row>
    <row r="177" spans="18:18" x14ac:dyDescent="0.2">
      <c r="R177" s="59"/>
    </row>
    <row r="178" spans="18:18" x14ac:dyDescent="0.2">
      <c r="R178" s="59"/>
    </row>
    <row r="179" spans="18:18" x14ac:dyDescent="0.2">
      <c r="R179" s="59"/>
    </row>
    <row r="180" spans="18:18" x14ac:dyDescent="0.2">
      <c r="R180" s="59"/>
    </row>
    <row r="181" spans="18:18" x14ac:dyDescent="0.2">
      <c r="R181" s="59"/>
    </row>
    <row r="182" spans="18:18" x14ac:dyDescent="0.2">
      <c r="R182" s="59"/>
    </row>
    <row r="183" spans="18:18" x14ac:dyDescent="0.2">
      <c r="R183" s="59"/>
    </row>
    <row r="184" spans="18:18" x14ac:dyDescent="0.2">
      <c r="R184" s="59"/>
    </row>
    <row r="185" spans="18:18" x14ac:dyDescent="0.2">
      <c r="R185" s="59"/>
    </row>
    <row r="186" spans="18:18" x14ac:dyDescent="0.2">
      <c r="R186" s="59"/>
    </row>
    <row r="187" spans="18:18" x14ac:dyDescent="0.2">
      <c r="R187" s="59"/>
    </row>
    <row r="188" spans="18:18" x14ac:dyDescent="0.2">
      <c r="R188" s="59"/>
    </row>
    <row r="189" spans="18:18" x14ac:dyDescent="0.2">
      <c r="R189" s="59"/>
    </row>
    <row r="190" spans="18:18" x14ac:dyDescent="0.2">
      <c r="R190" s="59"/>
    </row>
    <row r="191" spans="18:18" x14ac:dyDescent="0.2">
      <c r="R191" s="59"/>
    </row>
    <row r="192" spans="18:18" x14ac:dyDescent="0.2">
      <c r="R192" s="59"/>
    </row>
    <row r="193" spans="18:18" x14ac:dyDescent="0.2">
      <c r="R193" s="59"/>
    </row>
    <row r="194" spans="18:18" x14ac:dyDescent="0.2">
      <c r="R194" s="59"/>
    </row>
    <row r="195" spans="18:18" x14ac:dyDescent="0.2">
      <c r="R195" s="59"/>
    </row>
    <row r="196" spans="18:18" x14ac:dyDescent="0.2">
      <c r="R196" s="59"/>
    </row>
    <row r="197" spans="18:18" x14ac:dyDescent="0.2">
      <c r="R197" s="59"/>
    </row>
    <row r="198" spans="18:18" x14ac:dyDescent="0.2">
      <c r="R198" s="59"/>
    </row>
    <row r="199" spans="18:18" x14ac:dyDescent="0.2">
      <c r="R199" s="59"/>
    </row>
    <row r="200" spans="18:18" x14ac:dyDescent="0.2">
      <c r="R200" s="59"/>
    </row>
    <row r="201" spans="18:18" x14ac:dyDescent="0.2">
      <c r="R201" s="59"/>
    </row>
    <row r="202" spans="18:18" x14ac:dyDescent="0.2">
      <c r="R202" s="59"/>
    </row>
    <row r="203" spans="18:18" x14ac:dyDescent="0.2">
      <c r="R203" s="59"/>
    </row>
    <row r="204" spans="18:18" x14ac:dyDescent="0.2">
      <c r="R204" s="59"/>
    </row>
    <row r="205" spans="18:18" x14ac:dyDescent="0.2">
      <c r="R205" s="59"/>
    </row>
    <row r="206" spans="18:18" x14ac:dyDescent="0.2">
      <c r="R206" s="59"/>
    </row>
    <row r="207" spans="18:18" x14ac:dyDescent="0.2">
      <c r="R207" s="59"/>
    </row>
    <row r="208" spans="18:18" x14ac:dyDescent="0.2">
      <c r="R208" s="59"/>
    </row>
    <row r="209" spans="18:18" x14ac:dyDescent="0.2">
      <c r="R209" s="59"/>
    </row>
    <row r="210" spans="18:18" x14ac:dyDescent="0.2">
      <c r="R210" s="59"/>
    </row>
    <row r="211" spans="18:18" x14ac:dyDescent="0.2">
      <c r="R211" s="59"/>
    </row>
    <row r="212" spans="18:18" x14ac:dyDescent="0.2">
      <c r="R212" s="59"/>
    </row>
    <row r="213" spans="18:18" x14ac:dyDescent="0.2">
      <c r="R213" s="59"/>
    </row>
    <row r="214" spans="18:18" x14ac:dyDescent="0.2">
      <c r="R214" s="59"/>
    </row>
    <row r="215" spans="18:18" x14ac:dyDescent="0.2">
      <c r="R215" s="59"/>
    </row>
    <row r="216" spans="18:18" x14ac:dyDescent="0.2">
      <c r="R216" s="59"/>
    </row>
    <row r="217" spans="18:18" x14ac:dyDescent="0.2">
      <c r="R217" s="59"/>
    </row>
    <row r="218" spans="18:18" x14ac:dyDescent="0.2">
      <c r="R218" s="59"/>
    </row>
    <row r="219" spans="18:18" x14ac:dyDescent="0.2">
      <c r="R219" s="59"/>
    </row>
    <row r="220" spans="18:18" x14ac:dyDescent="0.2">
      <c r="R220" s="59"/>
    </row>
    <row r="221" spans="18:18" x14ac:dyDescent="0.2">
      <c r="R221" s="59"/>
    </row>
    <row r="222" spans="18:18" x14ac:dyDescent="0.2">
      <c r="R222" s="59"/>
    </row>
    <row r="223" spans="18:18" x14ac:dyDescent="0.2">
      <c r="R223" s="59"/>
    </row>
    <row r="224" spans="18:18" x14ac:dyDescent="0.2">
      <c r="R224" s="59"/>
    </row>
    <row r="225" spans="18:18" x14ac:dyDescent="0.2">
      <c r="R225" s="59"/>
    </row>
    <row r="226" spans="18:18" x14ac:dyDescent="0.2">
      <c r="R226" s="59"/>
    </row>
    <row r="227" spans="18:18" x14ac:dyDescent="0.2">
      <c r="R227" s="59"/>
    </row>
    <row r="228" spans="18:18" x14ac:dyDescent="0.2">
      <c r="R228" s="59"/>
    </row>
    <row r="229" spans="18:18" x14ac:dyDescent="0.2">
      <c r="R229" s="59"/>
    </row>
    <row r="230" spans="18:18" x14ac:dyDescent="0.2">
      <c r="R230" s="59"/>
    </row>
    <row r="231" spans="18:18" x14ac:dyDescent="0.2">
      <c r="R231" s="59"/>
    </row>
    <row r="232" spans="18:18" x14ac:dyDescent="0.2">
      <c r="R232" s="59"/>
    </row>
    <row r="233" spans="18:18" x14ac:dyDescent="0.2">
      <c r="R233" s="59"/>
    </row>
    <row r="234" spans="18:18" x14ac:dyDescent="0.2">
      <c r="R234" s="59"/>
    </row>
    <row r="235" spans="18:18" x14ac:dyDescent="0.2">
      <c r="R235" s="59"/>
    </row>
    <row r="236" spans="18:18" x14ac:dyDescent="0.2">
      <c r="R236" s="59"/>
    </row>
    <row r="237" spans="18:18" x14ac:dyDescent="0.2">
      <c r="R237" s="59"/>
    </row>
    <row r="238" spans="18:18" x14ac:dyDescent="0.2">
      <c r="R238" s="59"/>
    </row>
    <row r="239" spans="18:18" x14ac:dyDescent="0.2">
      <c r="R239" s="59"/>
    </row>
    <row r="240" spans="18:18" x14ac:dyDescent="0.2">
      <c r="R240" s="59"/>
    </row>
    <row r="241" spans="18:18" x14ac:dyDescent="0.2">
      <c r="R241" s="59"/>
    </row>
    <row r="242" spans="18:18" x14ac:dyDescent="0.2">
      <c r="R242" s="59"/>
    </row>
    <row r="243" spans="18:18" x14ac:dyDescent="0.2">
      <c r="R243" s="59"/>
    </row>
    <row r="244" spans="18:18" x14ac:dyDescent="0.2">
      <c r="R244" s="59"/>
    </row>
    <row r="245" spans="18:18" x14ac:dyDescent="0.2">
      <c r="R245" s="59"/>
    </row>
    <row r="246" spans="18:18" x14ac:dyDescent="0.2">
      <c r="R246" s="59"/>
    </row>
    <row r="247" spans="18:18" x14ac:dyDescent="0.2">
      <c r="R247" s="59"/>
    </row>
    <row r="248" spans="18:18" x14ac:dyDescent="0.2">
      <c r="R248" s="59"/>
    </row>
    <row r="249" spans="18:18" x14ac:dyDescent="0.2">
      <c r="R249" s="59"/>
    </row>
    <row r="250" spans="18:18" x14ac:dyDescent="0.2">
      <c r="R250" s="59"/>
    </row>
    <row r="251" spans="18:18" x14ac:dyDescent="0.2">
      <c r="R251" s="59"/>
    </row>
    <row r="252" spans="18:18" x14ac:dyDescent="0.2">
      <c r="R252" s="59"/>
    </row>
    <row r="253" spans="18:18" x14ac:dyDescent="0.2">
      <c r="R253" s="59"/>
    </row>
    <row r="254" spans="18:18" x14ac:dyDescent="0.2">
      <c r="R254" s="59"/>
    </row>
    <row r="255" spans="18:18" x14ac:dyDescent="0.2">
      <c r="R255" s="59"/>
    </row>
    <row r="256" spans="18:18" x14ac:dyDescent="0.2">
      <c r="R256" s="59"/>
    </row>
    <row r="257" spans="18:18" x14ac:dyDescent="0.2">
      <c r="R257" s="59"/>
    </row>
    <row r="258" spans="18:18" x14ac:dyDescent="0.2">
      <c r="R258" s="59"/>
    </row>
    <row r="259" spans="18:18" x14ac:dyDescent="0.2">
      <c r="R259" s="59"/>
    </row>
    <row r="260" spans="18:18" x14ac:dyDescent="0.2">
      <c r="R260" s="59"/>
    </row>
    <row r="261" spans="18:18" x14ac:dyDescent="0.2">
      <c r="R261" s="59"/>
    </row>
    <row r="262" spans="18:18" x14ac:dyDescent="0.2">
      <c r="R262" s="59"/>
    </row>
    <row r="263" spans="18:18" x14ac:dyDescent="0.2">
      <c r="R263" s="59"/>
    </row>
    <row r="264" spans="18:18" x14ac:dyDescent="0.2">
      <c r="R264" s="59"/>
    </row>
    <row r="265" spans="18:18" x14ac:dyDescent="0.2">
      <c r="R265" s="59"/>
    </row>
    <row r="266" spans="18:18" x14ac:dyDescent="0.2">
      <c r="R266" s="59"/>
    </row>
    <row r="267" spans="18:18" x14ac:dyDescent="0.2">
      <c r="R267" s="59"/>
    </row>
    <row r="268" spans="18:18" x14ac:dyDescent="0.2">
      <c r="R268" s="59"/>
    </row>
    <row r="269" spans="18:18" x14ac:dyDescent="0.2">
      <c r="R269" s="59"/>
    </row>
    <row r="270" spans="18:18" x14ac:dyDescent="0.2">
      <c r="R270" s="59"/>
    </row>
    <row r="271" spans="18:18" x14ac:dyDescent="0.2">
      <c r="R271" s="59"/>
    </row>
    <row r="272" spans="18:18" x14ac:dyDescent="0.2">
      <c r="R272" s="59"/>
    </row>
    <row r="273" spans="18:18" x14ac:dyDescent="0.2">
      <c r="R273" s="59"/>
    </row>
    <row r="274" spans="18:18" x14ac:dyDescent="0.2">
      <c r="R274" s="59"/>
    </row>
    <row r="275" spans="18:18" x14ac:dyDescent="0.2">
      <c r="R275" s="59"/>
    </row>
    <row r="276" spans="18:18" x14ac:dyDescent="0.2">
      <c r="R276" s="59"/>
    </row>
    <row r="277" spans="18:18" x14ac:dyDescent="0.2">
      <c r="R277" s="59"/>
    </row>
    <row r="278" spans="18:18" x14ac:dyDescent="0.2">
      <c r="R278" s="59"/>
    </row>
    <row r="279" spans="18:18" x14ac:dyDescent="0.2">
      <c r="R279" s="59"/>
    </row>
    <row r="280" spans="18:18" x14ac:dyDescent="0.2">
      <c r="R280" s="59"/>
    </row>
    <row r="281" spans="18:18" x14ac:dyDescent="0.2">
      <c r="R281" s="59"/>
    </row>
    <row r="282" spans="18:18" x14ac:dyDescent="0.2">
      <c r="R282" s="59"/>
    </row>
    <row r="283" spans="18:18" x14ac:dyDescent="0.2">
      <c r="R283" s="59"/>
    </row>
    <row r="284" spans="18:18" x14ac:dyDescent="0.2">
      <c r="R284" s="59"/>
    </row>
    <row r="285" spans="18:18" x14ac:dyDescent="0.2">
      <c r="R285" s="59"/>
    </row>
    <row r="286" spans="18:18" x14ac:dyDescent="0.2">
      <c r="R286" s="59"/>
    </row>
    <row r="287" spans="18:18" x14ac:dyDescent="0.2">
      <c r="R287" s="59"/>
    </row>
    <row r="288" spans="18:18" x14ac:dyDescent="0.2">
      <c r="R288" s="59"/>
    </row>
    <row r="289" spans="18:18" x14ac:dyDescent="0.2">
      <c r="R289" s="59"/>
    </row>
    <row r="290" spans="18:18" x14ac:dyDescent="0.2">
      <c r="R290" s="59"/>
    </row>
    <row r="291" spans="18:18" x14ac:dyDescent="0.2">
      <c r="R291" s="59"/>
    </row>
    <row r="292" spans="18:18" x14ac:dyDescent="0.2">
      <c r="R292" s="59"/>
    </row>
    <row r="293" spans="18:18" x14ac:dyDescent="0.2">
      <c r="R293" s="59"/>
    </row>
    <row r="294" spans="18:18" x14ac:dyDescent="0.2">
      <c r="R294" s="59"/>
    </row>
    <row r="295" spans="18:18" x14ac:dyDescent="0.2">
      <c r="R295" s="59"/>
    </row>
    <row r="296" spans="18:18" x14ac:dyDescent="0.2">
      <c r="R296" s="59"/>
    </row>
    <row r="297" spans="18:18" x14ac:dyDescent="0.2">
      <c r="R297" s="59"/>
    </row>
    <row r="298" spans="18:18" x14ac:dyDescent="0.2">
      <c r="R298" s="59"/>
    </row>
    <row r="299" spans="18:18" x14ac:dyDescent="0.2">
      <c r="R299" s="59"/>
    </row>
    <row r="300" spans="18:18" x14ac:dyDescent="0.2">
      <c r="R300" s="59"/>
    </row>
    <row r="301" spans="18:18" x14ac:dyDescent="0.2">
      <c r="R301" s="59"/>
    </row>
    <row r="302" spans="18:18" x14ac:dyDescent="0.2">
      <c r="R302" s="59"/>
    </row>
    <row r="303" spans="18:18" x14ac:dyDescent="0.2">
      <c r="R303" s="59"/>
    </row>
    <row r="304" spans="18:18" x14ac:dyDescent="0.2">
      <c r="R304" s="59"/>
    </row>
    <row r="305" spans="18:18" x14ac:dyDescent="0.2">
      <c r="R305" s="59"/>
    </row>
    <row r="306" spans="18:18" x14ac:dyDescent="0.2">
      <c r="R306" s="59"/>
    </row>
    <row r="307" spans="18:18" x14ac:dyDescent="0.2">
      <c r="R307" s="59"/>
    </row>
    <row r="308" spans="18:18" x14ac:dyDescent="0.2">
      <c r="R308" s="59"/>
    </row>
    <row r="309" spans="18:18" x14ac:dyDescent="0.2">
      <c r="R309" s="59"/>
    </row>
    <row r="310" spans="18:18" x14ac:dyDescent="0.2">
      <c r="R310" s="59"/>
    </row>
    <row r="311" spans="18:18" x14ac:dyDescent="0.2">
      <c r="R311" s="59"/>
    </row>
    <row r="312" spans="18:18" x14ac:dyDescent="0.2">
      <c r="R312" s="59"/>
    </row>
    <row r="313" spans="18:18" x14ac:dyDescent="0.2">
      <c r="R313" s="59"/>
    </row>
    <row r="314" spans="18:18" x14ac:dyDescent="0.2">
      <c r="R314" s="59"/>
    </row>
    <row r="315" spans="18:18" x14ac:dyDescent="0.2">
      <c r="R315" s="59"/>
    </row>
    <row r="316" spans="18:18" x14ac:dyDescent="0.2">
      <c r="R316" s="59"/>
    </row>
    <row r="317" spans="18:18" x14ac:dyDescent="0.2">
      <c r="R317" s="59"/>
    </row>
    <row r="318" spans="18:18" x14ac:dyDescent="0.2">
      <c r="R318" s="59"/>
    </row>
    <row r="319" spans="18:18" x14ac:dyDescent="0.2">
      <c r="R319" s="59"/>
    </row>
    <row r="320" spans="18:18" x14ac:dyDescent="0.2">
      <c r="R320" s="59"/>
    </row>
    <row r="321" spans="18:18" x14ac:dyDescent="0.2">
      <c r="R321" s="59"/>
    </row>
    <row r="322" spans="18:18" x14ac:dyDescent="0.2">
      <c r="R322" s="59"/>
    </row>
    <row r="323" spans="18:18" x14ac:dyDescent="0.2">
      <c r="R323" s="59"/>
    </row>
    <row r="324" spans="18:18" x14ac:dyDescent="0.2">
      <c r="R324" s="59"/>
    </row>
    <row r="325" spans="18:18" x14ac:dyDescent="0.2">
      <c r="R325" s="59"/>
    </row>
    <row r="326" spans="18:18" x14ac:dyDescent="0.2">
      <c r="R326" s="59"/>
    </row>
    <row r="327" spans="18:18" x14ac:dyDescent="0.2">
      <c r="R327" s="59"/>
    </row>
    <row r="328" spans="18:18" x14ac:dyDescent="0.2">
      <c r="R328" s="59"/>
    </row>
    <row r="329" spans="18:18" x14ac:dyDescent="0.2">
      <c r="R329" s="59"/>
    </row>
    <row r="330" spans="18:18" x14ac:dyDescent="0.2">
      <c r="R330" s="59"/>
    </row>
    <row r="331" spans="18:18" x14ac:dyDescent="0.2">
      <c r="R331" s="59"/>
    </row>
    <row r="332" spans="18:18" x14ac:dyDescent="0.2">
      <c r="R332" s="59"/>
    </row>
    <row r="333" spans="18:18" x14ac:dyDescent="0.2">
      <c r="R333" s="59"/>
    </row>
    <row r="334" spans="18:18" x14ac:dyDescent="0.2">
      <c r="R334" s="59"/>
    </row>
    <row r="335" spans="18:18" x14ac:dyDescent="0.2">
      <c r="R335" s="59"/>
    </row>
    <row r="336" spans="18:18" x14ac:dyDescent="0.2">
      <c r="R336" s="59"/>
    </row>
    <row r="337" spans="18:18" x14ac:dyDescent="0.2">
      <c r="R337" s="59"/>
    </row>
    <row r="338" spans="18:18" x14ac:dyDescent="0.2">
      <c r="R338" s="59"/>
    </row>
    <row r="339" spans="18:18" x14ac:dyDescent="0.2">
      <c r="R339" s="59"/>
    </row>
    <row r="340" spans="18:18" x14ac:dyDescent="0.2">
      <c r="R340" s="59"/>
    </row>
    <row r="341" spans="18:18" x14ac:dyDescent="0.2">
      <c r="R341" s="59"/>
    </row>
    <row r="342" spans="18:18" x14ac:dyDescent="0.2">
      <c r="R342" s="59"/>
    </row>
    <row r="343" spans="18:18" x14ac:dyDescent="0.2">
      <c r="R343" s="59"/>
    </row>
    <row r="344" spans="18:18" x14ac:dyDescent="0.2">
      <c r="R344" s="59"/>
    </row>
    <row r="345" spans="18:18" x14ac:dyDescent="0.2">
      <c r="R345" s="59"/>
    </row>
    <row r="346" spans="18:18" x14ac:dyDescent="0.2">
      <c r="R346" s="59"/>
    </row>
    <row r="347" spans="18:18" x14ac:dyDescent="0.2">
      <c r="R347" s="59"/>
    </row>
    <row r="348" spans="18:18" x14ac:dyDescent="0.2">
      <c r="R348" s="59"/>
    </row>
    <row r="349" spans="18:18" x14ac:dyDescent="0.2">
      <c r="R349" s="59"/>
    </row>
    <row r="350" spans="18:18" x14ac:dyDescent="0.2">
      <c r="R350" s="59"/>
    </row>
    <row r="351" spans="18:18" x14ac:dyDescent="0.2">
      <c r="R351" s="59"/>
    </row>
    <row r="352" spans="18:18" x14ac:dyDescent="0.2">
      <c r="R352" s="59"/>
    </row>
    <row r="353" spans="18:18" x14ac:dyDescent="0.2">
      <c r="R353" s="59"/>
    </row>
    <row r="354" spans="18:18" x14ac:dyDescent="0.2">
      <c r="R354" s="59"/>
    </row>
    <row r="355" spans="18:18" x14ac:dyDescent="0.2">
      <c r="R355" s="59"/>
    </row>
    <row r="356" spans="18:18" x14ac:dyDescent="0.2">
      <c r="R356" s="59"/>
    </row>
    <row r="357" spans="18:18" x14ac:dyDescent="0.2">
      <c r="R357" s="59"/>
    </row>
    <row r="358" spans="18:18" x14ac:dyDescent="0.2">
      <c r="R358" s="59"/>
    </row>
    <row r="359" spans="18:18" x14ac:dyDescent="0.2">
      <c r="R359" s="59"/>
    </row>
    <row r="360" spans="18:18" x14ac:dyDescent="0.2">
      <c r="R360" s="59"/>
    </row>
    <row r="361" spans="18:18" x14ac:dyDescent="0.2">
      <c r="R361" s="59"/>
    </row>
    <row r="362" spans="18:18" x14ac:dyDescent="0.2">
      <c r="R362" s="59"/>
    </row>
    <row r="363" spans="18:18" x14ac:dyDescent="0.2">
      <c r="R363" s="59"/>
    </row>
    <row r="364" spans="18:18" x14ac:dyDescent="0.2">
      <c r="R364" s="59"/>
    </row>
    <row r="365" spans="18:18" x14ac:dyDescent="0.2">
      <c r="R365" s="59"/>
    </row>
    <row r="366" spans="18:18" x14ac:dyDescent="0.2">
      <c r="R366" s="59"/>
    </row>
    <row r="367" spans="18:18" x14ac:dyDescent="0.2">
      <c r="R367" s="59"/>
    </row>
    <row r="368" spans="18:18" x14ac:dyDescent="0.2">
      <c r="R368" s="59"/>
    </row>
    <row r="369" spans="18:18" x14ac:dyDescent="0.2">
      <c r="R369" s="59"/>
    </row>
    <row r="370" spans="18:18" x14ac:dyDescent="0.2">
      <c r="R370" s="59"/>
    </row>
    <row r="371" spans="18:18" x14ac:dyDescent="0.2">
      <c r="R371" s="59"/>
    </row>
    <row r="372" spans="18:18" x14ac:dyDescent="0.2">
      <c r="R372" s="59"/>
    </row>
    <row r="373" spans="18:18" x14ac:dyDescent="0.2">
      <c r="R373" s="59"/>
    </row>
    <row r="374" spans="18:18" x14ac:dyDescent="0.2">
      <c r="R374" s="59"/>
    </row>
    <row r="375" spans="18:18" x14ac:dyDescent="0.2">
      <c r="R375" s="59"/>
    </row>
    <row r="376" spans="18:18" x14ac:dyDescent="0.2">
      <c r="R376" s="59"/>
    </row>
    <row r="377" spans="18:18" x14ac:dyDescent="0.2">
      <c r="R377" s="59"/>
    </row>
    <row r="378" spans="18:18" x14ac:dyDescent="0.2">
      <c r="R378" s="59"/>
    </row>
    <row r="379" spans="18:18" x14ac:dyDescent="0.2">
      <c r="R379" s="59"/>
    </row>
    <row r="380" spans="18:18" x14ac:dyDescent="0.2">
      <c r="R380" s="59"/>
    </row>
    <row r="381" spans="18:18" x14ac:dyDescent="0.2">
      <c r="R381" s="59"/>
    </row>
    <row r="382" spans="18:18" x14ac:dyDescent="0.2">
      <c r="R382" s="59"/>
    </row>
    <row r="383" spans="18:18" x14ac:dyDescent="0.2">
      <c r="R383" s="59"/>
    </row>
    <row r="384" spans="18:18" x14ac:dyDescent="0.2">
      <c r="R384" s="59"/>
    </row>
    <row r="385" spans="18:18" x14ac:dyDescent="0.2">
      <c r="R385" s="59"/>
    </row>
    <row r="386" spans="18:18" x14ac:dyDescent="0.2">
      <c r="R386" s="59"/>
    </row>
    <row r="387" spans="18:18" x14ac:dyDescent="0.2">
      <c r="R387" s="59"/>
    </row>
    <row r="388" spans="18:18" x14ac:dyDescent="0.2">
      <c r="R388" s="59"/>
    </row>
    <row r="389" spans="18:18" x14ac:dyDescent="0.2">
      <c r="R389" s="59"/>
    </row>
    <row r="390" spans="18:18" x14ac:dyDescent="0.2">
      <c r="R390" s="59"/>
    </row>
    <row r="391" spans="18:18" x14ac:dyDescent="0.2">
      <c r="R391" s="59"/>
    </row>
    <row r="392" spans="18:18" x14ac:dyDescent="0.2">
      <c r="R392" s="59"/>
    </row>
    <row r="393" spans="18:18" x14ac:dyDescent="0.2">
      <c r="R393" s="59"/>
    </row>
    <row r="394" spans="18:18" x14ac:dyDescent="0.2">
      <c r="R394" s="59"/>
    </row>
    <row r="395" spans="18:18" x14ac:dyDescent="0.2">
      <c r="R395" s="59"/>
    </row>
    <row r="396" spans="18:18" x14ac:dyDescent="0.2">
      <c r="R396" s="59"/>
    </row>
    <row r="397" spans="18:18" x14ac:dyDescent="0.2">
      <c r="R397" s="59"/>
    </row>
    <row r="398" spans="18:18" x14ac:dyDescent="0.2">
      <c r="R398" s="59"/>
    </row>
    <row r="399" spans="18:18" x14ac:dyDescent="0.2">
      <c r="R399" s="59"/>
    </row>
    <row r="400" spans="18:18" x14ac:dyDescent="0.2">
      <c r="R400" s="59"/>
    </row>
    <row r="401" spans="18:18" x14ac:dyDescent="0.2">
      <c r="R401" s="59"/>
    </row>
    <row r="402" spans="18:18" x14ac:dyDescent="0.2">
      <c r="R402" s="59"/>
    </row>
    <row r="403" spans="18:18" x14ac:dyDescent="0.2">
      <c r="R403" s="59"/>
    </row>
    <row r="404" spans="18:18" x14ac:dyDescent="0.2">
      <c r="R404" s="59"/>
    </row>
    <row r="405" spans="18:18" x14ac:dyDescent="0.2">
      <c r="R405" s="59"/>
    </row>
    <row r="406" spans="18:18" x14ac:dyDescent="0.2">
      <c r="R406" s="59"/>
    </row>
    <row r="407" spans="18:18" x14ac:dyDescent="0.2">
      <c r="R407" s="59"/>
    </row>
    <row r="408" spans="18:18" x14ac:dyDescent="0.2">
      <c r="R408" s="59"/>
    </row>
    <row r="409" spans="18:18" x14ac:dyDescent="0.2">
      <c r="R409" s="59"/>
    </row>
    <row r="410" spans="18:18" x14ac:dyDescent="0.2">
      <c r="R410" s="59"/>
    </row>
    <row r="411" spans="18:18" x14ac:dyDescent="0.2">
      <c r="R411" s="59"/>
    </row>
    <row r="412" spans="18:18" x14ac:dyDescent="0.2">
      <c r="R412" s="59"/>
    </row>
    <row r="413" spans="18:18" x14ac:dyDescent="0.2">
      <c r="R413" s="59"/>
    </row>
    <row r="414" spans="18:18" x14ac:dyDescent="0.2">
      <c r="R414" s="59"/>
    </row>
    <row r="415" spans="18:18" x14ac:dyDescent="0.2">
      <c r="R415" s="59"/>
    </row>
    <row r="416" spans="18:18" x14ac:dyDescent="0.2">
      <c r="R416" s="59"/>
    </row>
    <row r="417" spans="18:18" x14ac:dyDescent="0.2">
      <c r="R417" s="59"/>
    </row>
    <row r="418" spans="18:18" x14ac:dyDescent="0.2">
      <c r="R418" s="59"/>
    </row>
    <row r="419" spans="18:18" x14ac:dyDescent="0.2">
      <c r="R419" s="59"/>
    </row>
    <row r="420" spans="18:18" x14ac:dyDescent="0.2">
      <c r="R420" s="59"/>
    </row>
    <row r="421" spans="18:18" x14ac:dyDescent="0.2">
      <c r="R421" s="59"/>
    </row>
    <row r="422" spans="18:18" x14ac:dyDescent="0.2">
      <c r="R422" s="59"/>
    </row>
    <row r="423" spans="18:18" x14ac:dyDescent="0.2">
      <c r="R423" s="59"/>
    </row>
    <row r="424" spans="18:18" x14ac:dyDescent="0.2">
      <c r="R424" s="59"/>
    </row>
    <row r="425" spans="18:18" x14ac:dyDescent="0.2">
      <c r="R425" s="59"/>
    </row>
    <row r="426" spans="18:18" x14ac:dyDescent="0.2">
      <c r="R426" s="59"/>
    </row>
    <row r="427" spans="18:18" x14ac:dyDescent="0.2">
      <c r="R427" s="59"/>
    </row>
    <row r="428" spans="18:18" x14ac:dyDescent="0.2">
      <c r="R428" s="59"/>
    </row>
    <row r="429" spans="18:18" x14ac:dyDescent="0.2">
      <c r="R429" s="59"/>
    </row>
    <row r="430" spans="18:18" x14ac:dyDescent="0.2">
      <c r="R430" s="59"/>
    </row>
    <row r="431" spans="18:18" x14ac:dyDescent="0.2">
      <c r="R431" s="59"/>
    </row>
    <row r="432" spans="18:18" x14ac:dyDescent="0.2">
      <c r="R432" s="59"/>
    </row>
    <row r="433" spans="18:18" x14ac:dyDescent="0.2">
      <c r="R433" s="59"/>
    </row>
    <row r="434" spans="18:18" x14ac:dyDescent="0.2">
      <c r="R434" s="59"/>
    </row>
    <row r="435" spans="18:18" x14ac:dyDescent="0.2">
      <c r="R435" s="59"/>
    </row>
    <row r="436" spans="18:18" x14ac:dyDescent="0.2">
      <c r="R436" s="59"/>
    </row>
    <row r="437" spans="18:18" x14ac:dyDescent="0.2">
      <c r="R437" s="59"/>
    </row>
    <row r="438" spans="18:18" x14ac:dyDescent="0.2">
      <c r="R438" s="59"/>
    </row>
    <row r="439" spans="18:18" x14ac:dyDescent="0.2">
      <c r="R439" s="59"/>
    </row>
    <row r="440" spans="18:18" x14ac:dyDescent="0.2">
      <c r="R440" s="59"/>
    </row>
    <row r="441" spans="18:18" x14ac:dyDescent="0.2">
      <c r="R441" s="59"/>
    </row>
    <row r="442" spans="18:18" x14ac:dyDescent="0.2">
      <c r="R442" s="59"/>
    </row>
    <row r="443" spans="18:18" x14ac:dyDescent="0.2">
      <c r="R443" s="59"/>
    </row>
    <row r="444" spans="18:18" x14ac:dyDescent="0.2">
      <c r="R444" s="59"/>
    </row>
    <row r="445" spans="18:18" x14ac:dyDescent="0.2">
      <c r="R445" s="59"/>
    </row>
    <row r="446" spans="18:18" x14ac:dyDescent="0.2">
      <c r="R446" s="59"/>
    </row>
    <row r="447" spans="18:18" x14ac:dyDescent="0.2">
      <c r="R447" s="59"/>
    </row>
    <row r="448" spans="18:18" x14ac:dyDescent="0.2">
      <c r="R448" s="59"/>
    </row>
    <row r="449" spans="18:18" x14ac:dyDescent="0.2">
      <c r="R449" s="59"/>
    </row>
    <row r="450" spans="18:18" x14ac:dyDescent="0.2">
      <c r="R450" s="59"/>
    </row>
    <row r="451" spans="18:18" x14ac:dyDescent="0.2">
      <c r="R451" s="59"/>
    </row>
    <row r="452" spans="18:18" x14ac:dyDescent="0.2">
      <c r="R452" s="59"/>
    </row>
    <row r="453" spans="18:18" x14ac:dyDescent="0.2">
      <c r="R453" s="59"/>
    </row>
    <row r="454" spans="18:18" x14ac:dyDescent="0.2">
      <c r="R454" s="59"/>
    </row>
    <row r="455" spans="18:18" x14ac:dyDescent="0.2">
      <c r="R455" s="59"/>
    </row>
    <row r="456" spans="18:18" x14ac:dyDescent="0.2">
      <c r="R456" s="59"/>
    </row>
    <row r="457" spans="18:18" x14ac:dyDescent="0.2">
      <c r="R457" s="59"/>
    </row>
    <row r="458" spans="18:18" x14ac:dyDescent="0.2">
      <c r="R458" s="59"/>
    </row>
    <row r="459" spans="18:18" x14ac:dyDescent="0.2">
      <c r="R459" s="59"/>
    </row>
    <row r="460" spans="18:18" x14ac:dyDescent="0.2">
      <c r="R460" s="59"/>
    </row>
    <row r="461" spans="18:18" x14ac:dyDescent="0.2">
      <c r="R461" s="59"/>
    </row>
    <row r="462" spans="18:18" x14ac:dyDescent="0.2">
      <c r="R462" s="59"/>
    </row>
    <row r="463" spans="18:18" x14ac:dyDescent="0.2">
      <c r="R463" s="59"/>
    </row>
    <row r="464" spans="18:18" x14ac:dyDescent="0.2">
      <c r="R464" s="59"/>
    </row>
    <row r="465" spans="18:18" x14ac:dyDescent="0.2">
      <c r="R465" s="59"/>
    </row>
    <row r="466" spans="18:18" x14ac:dyDescent="0.2">
      <c r="R466" s="59"/>
    </row>
    <row r="467" spans="18:18" x14ac:dyDescent="0.2">
      <c r="R467" s="59"/>
    </row>
    <row r="468" spans="18:18" x14ac:dyDescent="0.2">
      <c r="R468" s="59"/>
    </row>
    <row r="469" spans="18:18" x14ac:dyDescent="0.2">
      <c r="R469" s="59"/>
    </row>
    <row r="470" spans="18:18" x14ac:dyDescent="0.2">
      <c r="R470" s="59"/>
    </row>
    <row r="471" spans="18:18" x14ac:dyDescent="0.2">
      <c r="R471" s="59"/>
    </row>
    <row r="472" spans="18:18" x14ac:dyDescent="0.2">
      <c r="R472" s="59"/>
    </row>
    <row r="473" spans="18:18" x14ac:dyDescent="0.2">
      <c r="R473" s="59"/>
    </row>
    <row r="474" spans="18:18" x14ac:dyDescent="0.2">
      <c r="R474" s="59"/>
    </row>
    <row r="475" spans="18:18" x14ac:dyDescent="0.2">
      <c r="R475" s="59"/>
    </row>
    <row r="476" spans="18:18" x14ac:dyDescent="0.2">
      <c r="R476" s="59"/>
    </row>
    <row r="477" spans="18:18" x14ac:dyDescent="0.2">
      <c r="R477" s="59"/>
    </row>
    <row r="478" spans="18:18" x14ac:dyDescent="0.2">
      <c r="R478" s="59"/>
    </row>
    <row r="479" spans="18:18" x14ac:dyDescent="0.2">
      <c r="R479" s="59"/>
    </row>
    <row r="480" spans="18:18" x14ac:dyDescent="0.2">
      <c r="R480" s="59"/>
    </row>
    <row r="481" spans="18:18" x14ac:dyDescent="0.2">
      <c r="R481" s="59"/>
    </row>
    <row r="482" spans="18:18" x14ac:dyDescent="0.2">
      <c r="R482" s="59"/>
    </row>
    <row r="483" spans="18:18" x14ac:dyDescent="0.2">
      <c r="R483" s="59"/>
    </row>
    <row r="484" spans="18:18" x14ac:dyDescent="0.2">
      <c r="R484" s="59"/>
    </row>
    <row r="485" spans="18:18" x14ac:dyDescent="0.2">
      <c r="R485" s="59"/>
    </row>
    <row r="486" spans="18:18" x14ac:dyDescent="0.2">
      <c r="R486" s="59"/>
    </row>
    <row r="487" spans="18:18" x14ac:dyDescent="0.2">
      <c r="R487" s="59"/>
    </row>
    <row r="488" spans="18:18" x14ac:dyDescent="0.2">
      <c r="R488" s="59"/>
    </row>
    <row r="489" spans="18:18" x14ac:dyDescent="0.2">
      <c r="R489" s="59"/>
    </row>
    <row r="490" spans="18:18" x14ac:dyDescent="0.2">
      <c r="R490" s="59"/>
    </row>
    <row r="491" spans="18:18" x14ac:dyDescent="0.2">
      <c r="R491" s="59"/>
    </row>
    <row r="492" spans="18:18" x14ac:dyDescent="0.2">
      <c r="R492" s="59"/>
    </row>
    <row r="493" spans="18:18" x14ac:dyDescent="0.2">
      <c r="R493" s="59"/>
    </row>
    <row r="494" spans="18:18" x14ac:dyDescent="0.2">
      <c r="R494" s="59"/>
    </row>
    <row r="495" spans="18:18" x14ac:dyDescent="0.2">
      <c r="R495" s="59"/>
    </row>
    <row r="496" spans="18:18" x14ac:dyDescent="0.2">
      <c r="R496" s="59"/>
    </row>
    <row r="497" spans="18:18" x14ac:dyDescent="0.2">
      <c r="R497" s="59"/>
    </row>
    <row r="498" spans="18:18" x14ac:dyDescent="0.2">
      <c r="R498" s="59"/>
    </row>
    <row r="499" spans="18:18" x14ac:dyDescent="0.2">
      <c r="R499" s="59"/>
    </row>
    <row r="500" spans="18:18" x14ac:dyDescent="0.2">
      <c r="R500" s="59"/>
    </row>
    <row r="501" spans="18:18" x14ac:dyDescent="0.2">
      <c r="R501" s="59"/>
    </row>
    <row r="502" spans="18:18" x14ac:dyDescent="0.2">
      <c r="R502" s="59"/>
    </row>
    <row r="503" spans="18:18" x14ac:dyDescent="0.2">
      <c r="R503" s="59"/>
    </row>
    <row r="504" spans="18:18" x14ac:dyDescent="0.2">
      <c r="R504" s="59"/>
    </row>
    <row r="505" spans="18:18" x14ac:dyDescent="0.2">
      <c r="R505" s="59"/>
    </row>
    <row r="506" spans="18:18" x14ac:dyDescent="0.2">
      <c r="R506" s="59"/>
    </row>
    <row r="507" spans="18:18" x14ac:dyDescent="0.2">
      <c r="R507" s="59"/>
    </row>
    <row r="508" spans="18:18" x14ac:dyDescent="0.2">
      <c r="R508" s="59"/>
    </row>
    <row r="509" spans="18:18" x14ac:dyDescent="0.2">
      <c r="R509" s="59"/>
    </row>
    <row r="510" spans="18:18" x14ac:dyDescent="0.2">
      <c r="R510" s="59"/>
    </row>
    <row r="511" spans="18:18" x14ac:dyDescent="0.2">
      <c r="R511" s="59"/>
    </row>
    <row r="512" spans="18:18" x14ac:dyDescent="0.2">
      <c r="R512" s="59"/>
    </row>
    <row r="513" spans="18:18" x14ac:dyDescent="0.2">
      <c r="R513" s="59"/>
    </row>
    <row r="514" spans="18:18" x14ac:dyDescent="0.2">
      <c r="R514" s="59"/>
    </row>
    <row r="515" spans="18:18" x14ac:dyDescent="0.2">
      <c r="R515" s="59"/>
    </row>
    <row r="516" spans="18:18" x14ac:dyDescent="0.2">
      <c r="R516" s="59"/>
    </row>
    <row r="517" spans="18:18" x14ac:dyDescent="0.2">
      <c r="R517" s="59"/>
    </row>
    <row r="518" spans="18:18" x14ac:dyDescent="0.2">
      <c r="R518" s="59"/>
    </row>
    <row r="519" spans="18:18" x14ac:dyDescent="0.2">
      <c r="R519" s="59"/>
    </row>
    <row r="520" spans="18:18" x14ac:dyDescent="0.2">
      <c r="R520" s="59"/>
    </row>
    <row r="521" spans="18:18" x14ac:dyDescent="0.2">
      <c r="R521" s="59"/>
    </row>
    <row r="522" spans="18:18" x14ac:dyDescent="0.2">
      <c r="R522" s="59"/>
    </row>
    <row r="523" spans="18:18" x14ac:dyDescent="0.2">
      <c r="R523" s="59"/>
    </row>
    <row r="524" spans="18:18" x14ac:dyDescent="0.2">
      <c r="R524" s="59"/>
    </row>
    <row r="525" spans="18:18" x14ac:dyDescent="0.2">
      <c r="R525" s="59"/>
    </row>
    <row r="526" spans="18:18" x14ac:dyDescent="0.2">
      <c r="R526" s="59"/>
    </row>
    <row r="527" spans="18:18" x14ac:dyDescent="0.2">
      <c r="R527" s="59"/>
    </row>
    <row r="528" spans="18:18" x14ac:dyDescent="0.2">
      <c r="R528" s="59"/>
    </row>
    <row r="529" spans="18:18" x14ac:dyDescent="0.2">
      <c r="R529" s="59"/>
    </row>
    <row r="530" spans="18:18" x14ac:dyDescent="0.2">
      <c r="R530" s="59"/>
    </row>
    <row r="531" spans="18:18" x14ac:dyDescent="0.2">
      <c r="R531" s="59"/>
    </row>
    <row r="532" spans="18:18" x14ac:dyDescent="0.2">
      <c r="R532" s="59"/>
    </row>
    <row r="533" spans="18:18" x14ac:dyDescent="0.2">
      <c r="R533" s="59"/>
    </row>
    <row r="534" spans="18:18" x14ac:dyDescent="0.2">
      <c r="R534" s="59"/>
    </row>
    <row r="535" spans="18:18" x14ac:dyDescent="0.2">
      <c r="R535" s="59"/>
    </row>
    <row r="536" spans="18:18" x14ac:dyDescent="0.2">
      <c r="R536" s="59"/>
    </row>
    <row r="537" spans="18:18" x14ac:dyDescent="0.2">
      <c r="R537" s="59"/>
    </row>
    <row r="538" spans="18:18" x14ac:dyDescent="0.2">
      <c r="R538" s="59"/>
    </row>
    <row r="539" spans="18:18" x14ac:dyDescent="0.2">
      <c r="R539" s="59"/>
    </row>
    <row r="540" spans="18:18" x14ac:dyDescent="0.2">
      <c r="R540" s="59"/>
    </row>
    <row r="541" spans="18:18" x14ac:dyDescent="0.2">
      <c r="R541" s="59"/>
    </row>
    <row r="542" spans="18:18" x14ac:dyDescent="0.2">
      <c r="R542" s="59"/>
    </row>
    <row r="543" spans="18:18" x14ac:dyDescent="0.2">
      <c r="R543" s="59"/>
    </row>
    <row r="544" spans="18:18" x14ac:dyDescent="0.2">
      <c r="R544" s="59"/>
    </row>
    <row r="545" spans="18:18" x14ac:dyDescent="0.2">
      <c r="R545" s="59"/>
    </row>
    <row r="546" spans="18:18" x14ac:dyDescent="0.2">
      <c r="R546" s="59"/>
    </row>
    <row r="547" spans="18:18" x14ac:dyDescent="0.2">
      <c r="R547" s="59"/>
    </row>
    <row r="548" spans="18:18" x14ac:dyDescent="0.2">
      <c r="R548" s="59"/>
    </row>
    <row r="549" spans="18:18" x14ac:dyDescent="0.2">
      <c r="R549" s="59"/>
    </row>
    <row r="550" spans="18:18" x14ac:dyDescent="0.2">
      <c r="R550" s="59"/>
    </row>
    <row r="551" spans="18:18" x14ac:dyDescent="0.2">
      <c r="R551" s="59"/>
    </row>
    <row r="552" spans="18:18" x14ac:dyDescent="0.2">
      <c r="R552" s="59"/>
    </row>
    <row r="553" spans="18:18" x14ac:dyDescent="0.2">
      <c r="R553" s="59"/>
    </row>
    <row r="554" spans="18:18" x14ac:dyDescent="0.2">
      <c r="R554" s="59"/>
    </row>
    <row r="555" spans="18:18" x14ac:dyDescent="0.2">
      <c r="R555" s="59"/>
    </row>
    <row r="556" spans="18:18" x14ac:dyDescent="0.2">
      <c r="R556" s="59"/>
    </row>
    <row r="557" spans="18:18" x14ac:dyDescent="0.2">
      <c r="R557" s="59"/>
    </row>
    <row r="558" spans="18:18" x14ac:dyDescent="0.2">
      <c r="R558" s="59"/>
    </row>
    <row r="559" spans="18:18" x14ac:dyDescent="0.2">
      <c r="R559" s="59"/>
    </row>
    <row r="560" spans="18:18" x14ac:dyDescent="0.2">
      <c r="R560" s="59"/>
    </row>
    <row r="561" spans="18:18" x14ac:dyDescent="0.2">
      <c r="R561" s="59"/>
    </row>
    <row r="562" spans="18:18" x14ac:dyDescent="0.2">
      <c r="R562" s="59"/>
    </row>
    <row r="563" spans="18:18" x14ac:dyDescent="0.2">
      <c r="R563" s="59"/>
    </row>
    <row r="564" spans="18:18" x14ac:dyDescent="0.2">
      <c r="R564" s="59"/>
    </row>
    <row r="565" spans="18:18" x14ac:dyDescent="0.2">
      <c r="R565" s="59"/>
    </row>
    <row r="566" spans="18:18" x14ac:dyDescent="0.2">
      <c r="R566" s="59"/>
    </row>
    <row r="567" spans="18:18" x14ac:dyDescent="0.2">
      <c r="R567" s="59"/>
    </row>
    <row r="568" spans="18:18" x14ac:dyDescent="0.2">
      <c r="R568" s="59"/>
    </row>
    <row r="569" spans="18:18" x14ac:dyDescent="0.2">
      <c r="R569" s="59"/>
    </row>
    <row r="570" spans="18:18" x14ac:dyDescent="0.2">
      <c r="R570" s="59"/>
    </row>
    <row r="571" spans="18:18" x14ac:dyDescent="0.2">
      <c r="R571" s="59"/>
    </row>
    <row r="572" spans="18:18" x14ac:dyDescent="0.2">
      <c r="R572" s="59"/>
    </row>
    <row r="573" spans="18:18" x14ac:dyDescent="0.2">
      <c r="R573" s="59"/>
    </row>
    <row r="574" spans="18:18" x14ac:dyDescent="0.2">
      <c r="R574" s="59"/>
    </row>
    <row r="575" spans="18:18" x14ac:dyDescent="0.2">
      <c r="R575" s="59"/>
    </row>
    <row r="576" spans="18:18" x14ac:dyDescent="0.2">
      <c r="R576" s="59"/>
    </row>
    <row r="577" spans="18:18" x14ac:dyDescent="0.2">
      <c r="R577" s="59"/>
    </row>
    <row r="578" spans="18:18" x14ac:dyDescent="0.2">
      <c r="R578" s="59"/>
    </row>
    <row r="579" spans="18:18" x14ac:dyDescent="0.2">
      <c r="R579" s="59"/>
    </row>
    <row r="580" spans="18:18" x14ac:dyDescent="0.2">
      <c r="R580" s="59"/>
    </row>
    <row r="581" spans="18:18" x14ac:dyDescent="0.2">
      <c r="R581" s="59"/>
    </row>
    <row r="582" spans="18:18" x14ac:dyDescent="0.2">
      <c r="R582" s="59"/>
    </row>
    <row r="583" spans="18:18" x14ac:dyDescent="0.2">
      <c r="R583" s="59"/>
    </row>
    <row r="584" spans="18:18" x14ac:dyDescent="0.2">
      <c r="R584" s="59"/>
    </row>
    <row r="585" spans="18:18" x14ac:dyDescent="0.2">
      <c r="R585" s="59"/>
    </row>
    <row r="586" spans="18:18" x14ac:dyDescent="0.2">
      <c r="R586" s="59"/>
    </row>
    <row r="587" spans="18:18" x14ac:dyDescent="0.2">
      <c r="R587" s="59"/>
    </row>
    <row r="588" spans="18:18" x14ac:dyDescent="0.2">
      <c r="R588" s="59"/>
    </row>
    <row r="589" spans="18:18" x14ac:dyDescent="0.2">
      <c r="R589" s="59"/>
    </row>
    <row r="590" spans="18:18" x14ac:dyDescent="0.2">
      <c r="R590" s="59"/>
    </row>
    <row r="591" spans="18:18" x14ac:dyDescent="0.2">
      <c r="R591" s="59"/>
    </row>
    <row r="592" spans="18:18" x14ac:dyDescent="0.2">
      <c r="R592" s="59"/>
    </row>
    <row r="593" spans="18:18" x14ac:dyDescent="0.2">
      <c r="R593" s="59"/>
    </row>
    <row r="594" spans="18:18" x14ac:dyDescent="0.2">
      <c r="R594" s="59"/>
    </row>
    <row r="595" spans="18:18" x14ac:dyDescent="0.2">
      <c r="R595" s="59"/>
    </row>
    <row r="596" spans="18:18" x14ac:dyDescent="0.2">
      <c r="R596" s="59"/>
    </row>
    <row r="597" spans="18:18" x14ac:dyDescent="0.2">
      <c r="R597" s="59"/>
    </row>
    <row r="598" spans="18:18" x14ac:dyDescent="0.2">
      <c r="R598" s="59"/>
    </row>
    <row r="599" spans="18:18" x14ac:dyDescent="0.2">
      <c r="R599" s="59"/>
    </row>
    <row r="600" spans="18:18" x14ac:dyDescent="0.2">
      <c r="R600" s="59"/>
    </row>
    <row r="601" spans="18:18" x14ac:dyDescent="0.2">
      <c r="R601" s="59"/>
    </row>
    <row r="602" spans="18:18" x14ac:dyDescent="0.2">
      <c r="R602" s="59"/>
    </row>
    <row r="603" spans="18:18" x14ac:dyDescent="0.2">
      <c r="R603" s="59"/>
    </row>
    <row r="604" spans="18:18" x14ac:dyDescent="0.2">
      <c r="R604" s="59"/>
    </row>
    <row r="605" spans="18:18" x14ac:dyDescent="0.2">
      <c r="R605" s="59"/>
    </row>
    <row r="606" spans="18:18" x14ac:dyDescent="0.2">
      <c r="R606" s="59"/>
    </row>
    <row r="607" spans="18:18" x14ac:dyDescent="0.2">
      <c r="R607" s="59"/>
    </row>
    <row r="608" spans="18:18" x14ac:dyDescent="0.2">
      <c r="R608" s="59"/>
    </row>
    <row r="609" spans="18:18" x14ac:dyDescent="0.2">
      <c r="R609" s="59"/>
    </row>
    <row r="610" spans="18:18" x14ac:dyDescent="0.2">
      <c r="R610" s="59"/>
    </row>
    <row r="611" spans="18:18" x14ac:dyDescent="0.2">
      <c r="R611" s="59"/>
    </row>
    <row r="612" spans="18:18" x14ac:dyDescent="0.2">
      <c r="R612" s="59"/>
    </row>
    <row r="613" spans="18:18" x14ac:dyDescent="0.2">
      <c r="R613" s="59"/>
    </row>
    <row r="614" spans="18:18" x14ac:dyDescent="0.2">
      <c r="R614" s="59"/>
    </row>
    <row r="615" spans="18:18" x14ac:dyDescent="0.2">
      <c r="R615" s="59"/>
    </row>
    <row r="616" spans="18:18" x14ac:dyDescent="0.2">
      <c r="R616" s="59"/>
    </row>
    <row r="617" spans="18:18" x14ac:dyDescent="0.2">
      <c r="R617" s="59"/>
    </row>
    <row r="618" spans="18:18" x14ac:dyDescent="0.2">
      <c r="R618" s="59"/>
    </row>
    <row r="619" spans="18:18" x14ac:dyDescent="0.2">
      <c r="R619" s="59"/>
    </row>
    <row r="620" spans="18:18" x14ac:dyDescent="0.2">
      <c r="R620" s="59"/>
    </row>
    <row r="621" spans="18:18" x14ac:dyDescent="0.2">
      <c r="R621" s="59"/>
    </row>
    <row r="622" spans="18:18" x14ac:dyDescent="0.2">
      <c r="R622" s="59"/>
    </row>
    <row r="623" spans="18:18" x14ac:dyDescent="0.2">
      <c r="R623" s="59"/>
    </row>
    <row r="624" spans="18:18" x14ac:dyDescent="0.2">
      <c r="R624" s="59"/>
    </row>
    <row r="625" spans="18:18" x14ac:dyDescent="0.2">
      <c r="R625" s="59"/>
    </row>
    <row r="626" spans="18:18" x14ac:dyDescent="0.2">
      <c r="R626" s="59"/>
    </row>
    <row r="627" spans="18:18" x14ac:dyDescent="0.2">
      <c r="R627" s="59"/>
    </row>
    <row r="628" spans="18:18" x14ac:dyDescent="0.2">
      <c r="R628" s="59"/>
    </row>
    <row r="629" spans="18:18" x14ac:dyDescent="0.2">
      <c r="R629" s="59"/>
    </row>
    <row r="630" spans="18:18" x14ac:dyDescent="0.2">
      <c r="R630" s="59"/>
    </row>
    <row r="631" spans="18:18" x14ac:dyDescent="0.2">
      <c r="R631" s="59"/>
    </row>
    <row r="632" spans="18:18" x14ac:dyDescent="0.2">
      <c r="R632" s="59"/>
    </row>
    <row r="633" spans="18:18" x14ac:dyDescent="0.2">
      <c r="R633" s="59"/>
    </row>
    <row r="634" spans="18:18" x14ac:dyDescent="0.2">
      <c r="R634" s="59"/>
    </row>
    <row r="635" spans="18:18" x14ac:dyDescent="0.2">
      <c r="R635" s="59"/>
    </row>
    <row r="636" spans="18:18" x14ac:dyDescent="0.2">
      <c r="R636" s="59"/>
    </row>
    <row r="637" spans="18:18" x14ac:dyDescent="0.2">
      <c r="R637" s="59"/>
    </row>
    <row r="638" spans="18:18" x14ac:dyDescent="0.2">
      <c r="R638" s="59"/>
    </row>
    <row r="639" spans="18:18" x14ac:dyDescent="0.2">
      <c r="R639" s="59"/>
    </row>
    <row r="640" spans="18:18" x14ac:dyDescent="0.2">
      <c r="R640" s="59"/>
    </row>
    <row r="641" spans="18:18" x14ac:dyDescent="0.2">
      <c r="R641" s="59"/>
    </row>
    <row r="642" spans="18:18" x14ac:dyDescent="0.2">
      <c r="R642" s="59"/>
    </row>
    <row r="643" spans="18:18" x14ac:dyDescent="0.2">
      <c r="R643" s="59"/>
    </row>
    <row r="644" spans="18:18" x14ac:dyDescent="0.2">
      <c r="R644" s="59"/>
    </row>
    <row r="645" spans="18:18" x14ac:dyDescent="0.2">
      <c r="R645" s="59"/>
    </row>
    <row r="646" spans="18:18" x14ac:dyDescent="0.2">
      <c r="R646" s="59"/>
    </row>
    <row r="647" spans="18:18" x14ac:dyDescent="0.2">
      <c r="R647" s="59"/>
    </row>
    <row r="648" spans="18:18" x14ac:dyDescent="0.2">
      <c r="R648" s="59"/>
    </row>
    <row r="649" spans="18:18" x14ac:dyDescent="0.2">
      <c r="R649" s="59"/>
    </row>
    <row r="650" spans="18:18" x14ac:dyDescent="0.2">
      <c r="R650" s="59"/>
    </row>
    <row r="651" spans="18:18" x14ac:dyDescent="0.2">
      <c r="R651" s="59"/>
    </row>
    <row r="652" spans="18:18" x14ac:dyDescent="0.2">
      <c r="R652" s="59"/>
    </row>
    <row r="653" spans="18:18" x14ac:dyDescent="0.2">
      <c r="R653" s="59"/>
    </row>
    <row r="654" spans="18:18" x14ac:dyDescent="0.2">
      <c r="R654" s="59"/>
    </row>
    <row r="655" spans="18:18" x14ac:dyDescent="0.2">
      <c r="R655" s="59"/>
    </row>
    <row r="656" spans="18:18" x14ac:dyDescent="0.2">
      <c r="R656" s="59"/>
    </row>
    <row r="657" spans="18:18" x14ac:dyDescent="0.2">
      <c r="R657" s="59"/>
    </row>
    <row r="658" spans="18:18" x14ac:dyDescent="0.2">
      <c r="R658" s="59"/>
    </row>
    <row r="659" spans="18:18" x14ac:dyDescent="0.2">
      <c r="R659" s="59"/>
    </row>
    <row r="660" spans="18:18" x14ac:dyDescent="0.2">
      <c r="R660" s="59"/>
    </row>
    <row r="661" spans="18:18" x14ac:dyDescent="0.2">
      <c r="R661" s="59"/>
    </row>
    <row r="662" spans="18:18" x14ac:dyDescent="0.2">
      <c r="R662" s="59"/>
    </row>
    <row r="663" spans="18:18" x14ac:dyDescent="0.2">
      <c r="R663" s="59"/>
    </row>
    <row r="664" spans="18:18" x14ac:dyDescent="0.2">
      <c r="R664" s="59"/>
    </row>
    <row r="665" spans="18:18" x14ac:dyDescent="0.2">
      <c r="R665" s="59"/>
    </row>
    <row r="666" spans="18:18" x14ac:dyDescent="0.2">
      <c r="R666" s="59"/>
    </row>
    <row r="667" spans="18:18" x14ac:dyDescent="0.2">
      <c r="R667" s="59"/>
    </row>
    <row r="668" spans="18:18" x14ac:dyDescent="0.2">
      <c r="R668" s="59"/>
    </row>
    <row r="669" spans="18:18" x14ac:dyDescent="0.2">
      <c r="R669" s="59"/>
    </row>
    <row r="670" spans="18:18" x14ac:dyDescent="0.2">
      <c r="R670" s="59"/>
    </row>
    <row r="671" spans="18:18" x14ac:dyDescent="0.2">
      <c r="R671" s="59"/>
    </row>
    <row r="672" spans="18:18" x14ac:dyDescent="0.2">
      <c r="R672" s="59"/>
    </row>
    <row r="673" spans="18:18" x14ac:dyDescent="0.2">
      <c r="R673" s="59"/>
    </row>
    <row r="674" spans="18:18" x14ac:dyDescent="0.2">
      <c r="R674" s="59"/>
    </row>
    <row r="675" spans="18:18" x14ac:dyDescent="0.2">
      <c r="R675" s="59"/>
    </row>
    <row r="676" spans="18:18" x14ac:dyDescent="0.2">
      <c r="R676" s="59"/>
    </row>
    <row r="677" spans="18:18" x14ac:dyDescent="0.2">
      <c r="R677" s="59"/>
    </row>
    <row r="678" spans="18:18" x14ac:dyDescent="0.2">
      <c r="R678" s="59"/>
    </row>
    <row r="679" spans="18:18" x14ac:dyDescent="0.2">
      <c r="R679" s="59"/>
    </row>
    <row r="680" spans="18:18" x14ac:dyDescent="0.2">
      <c r="R680" s="59"/>
    </row>
    <row r="681" spans="18:18" x14ac:dyDescent="0.2">
      <c r="R681" s="59"/>
    </row>
    <row r="682" spans="18:18" x14ac:dyDescent="0.2">
      <c r="R682" s="59"/>
    </row>
    <row r="683" spans="18:18" x14ac:dyDescent="0.2">
      <c r="R683" s="59"/>
    </row>
    <row r="684" spans="18:18" x14ac:dyDescent="0.2">
      <c r="R684" s="59"/>
    </row>
    <row r="685" spans="18:18" x14ac:dyDescent="0.2">
      <c r="R685" s="59"/>
    </row>
    <row r="686" spans="18:18" x14ac:dyDescent="0.2">
      <c r="R686" s="59"/>
    </row>
    <row r="687" spans="18:18" x14ac:dyDescent="0.2">
      <c r="R687" s="59"/>
    </row>
    <row r="688" spans="18:18" x14ac:dyDescent="0.2">
      <c r="R688" s="59"/>
    </row>
    <row r="689" spans="18:18" x14ac:dyDescent="0.2">
      <c r="R689" s="59"/>
    </row>
    <row r="690" spans="18:18" x14ac:dyDescent="0.2">
      <c r="R690" s="59"/>
    </row>
    <row r="691" spans="18:18" x14ac:dyDescent="0.2">
      <c r="R691" s="59"/>
    </row>
    <row r="692" spans="18:18" x14ac:dyDescent="0.2">
      <c r="R692" s="59"/>
    </row>
    <row r="693" spans="18:18" x14ac:dyDescent="0.2">
      <c r="R693" s="59"/>
    </row>
    <row r="694" spans="18:18" x14ac:dyDescent="0.2">
      <c r="R694" s="59"/>
    </row>
    <row r="695" spans="18:18" x14ac:dyDescent="0.2">
      <c r="R695" s="59"/>
    </row>
    <row r="696" spans="18:18" x14ac:dyDescent="0.2">
      <c r="R696" s="59"/>
    </row>
    <row r="697" spans="18:18" x14ac:dyDescent="0.2">
      <c r="R697" s="59"/>
    </row>
    <row r="698" spans="18:18" x14ac:dyDescent="0.2">
      <c r="R698" s="59"/>
    </row>
    <row r="699" spans="18:18" x14ac:dyDescent="0.2">
      <c r="R699" s="59"/>
    </row>
    <row r="700" spans="18:18" x14ac:dyDescent="0.2">
      <c r="R700" s="59"/>
    </row>
    <row r="701" spans="18:18" x14ac:dyDescent="0.2">
      <c r="R701" s="59"/>
    </row>
    <row r="702" spans="18:18" x14ac:dyDescent="0.2">
      <c r="R702" s="59"/>
    </row>
    <row r="703" spans="18:18" x14ac:dyDescent="0.2">
      <c r="R703" s="59"/>
    </row>
    <row r="704" spans="18:18" x14ac:dyDescent="0.2">
      <c r="R704" s="59"/>
    </row>
    <row r="705" spans="18:18" x14ac:dyDescent="0.2">
      <c r="R705" s="59"/>
    </row>
    <row r="706" spans="18:18" x14ac:dyDescent="0.2">
      <c r="R706" s="59"/>
    </row>
    <row r="707" spans="18:18" x14ac:dyDescent="0.2">
      <c r="R707" s="59"/>
    </row>
    <row r="708" spans="18:18" x14ac:dyDescent="0.2">
      <c r="R708" s="59"/>
    </row>
    <row r="709" spans="18:18" x14ac:dyDescent="0.2">
      <c r="R709" s="59"/>
    </row>
    <row r="710" spans="18:18" x14ac:dyDescent="0.2">
      <c r="R710" s="59"/>
    </row>
    <row r="711" spans="18:18" x14ac:dyDescent="0.2">
      <c r="R711" s="59"/>
    </row>
    <row r="712" spans="18:18" x14ac:dyDescent="0.2">
      <c r="R712" s="59"/>
    </row>
    <row r="713" spans="18:18" x14ac:dyDescent="0.2">
      <c r="R713" s="59"/>
    </row>
    <row r="714" spans="18:18" x14ac:dyDescent="0.2">
      <c r="R714" s="59"/>
    </row>
    <row r="715" spans="18:18" x14ac:dyDescent="0.2">
      <c r="R715" s="59"/>
    </row>
    <row r="716" spans="18:18" x14ac:dyDescent="0.2">
      <c r="R716" s="59"/>
    </row>
    <row r="717" spans="18:18" x14ac:dyDescent="0.2">
      <c r="R717" s="59"/>
    </row>
    <row r="718" spans="18:18" x14ac:dyDescent="0.2">
      <c r="R718" s="59"/>
    </row>
    <row r="719" spans="18:18" x14ac:dyDescent="0.2">
      <c r="R719" s="59"/>
    </row>
    <row r="720" spans="18:18" x14ac:dyDescent="0.2">
      <c r="R720" s="59"/>
    </row>
    <row r="721" spans="18:18" x14ac:dyDescent="0.2">
      <c r="R721" s="59"/>
    </row>
    <row r="722" spans="18:18" x14ac:dyDescent="0.2">
      <c r="R722" s="59"/>
    </row>
    <row r="723" spans="18:18" x14ac:dyDescent="0.2">
      <c r="R723" s="59"/>
    </row>
    <row r="724" spans="18:18" x14ac:dyDescent="0.2">
      <c r="R724" s="59"/>
    </row>
    <row r="725" spans="18:18" x14ac:dyDescent="0.2">
      <c r="R725" s="59"/>
    </row>
    <row r="726" spans="18:18" x14ac:dyDescent="0.2">
      <c r="R726" s="59"/>
    </row>
    <row r="727" spans="18:18" x14ac:dyDescent="0.2">
      <c r="R727" s="59"/>
    </row>
    <row r="728" spans="18:18" x14ac:dyDescent="0.2">
      <c r="R728" s="59"/>
    </row>
    <row r="729" spans="18:18" x14ac:dyDescent="0.2">
      <c r="R729" s="59"/>
    </row>
    <row r="730" spans="18:18" x14ac:dyDescent="0.2">
      <c r="R730" s="59"/>
    </row>
    <row r="731" spans="18:18" x14ac:dyDescent="0.2">
      <c r="R731" s="59"/>
    </row>
    <row r="732" spans="18:18" x14ac:dyDescent="0.2">
      <c r="R732" s="59"/>
    </row>
    <row r="733" spans="18:18" x14ac:dyDescent="0.2">
      <c r="R733" s="59"/>
    </row>
    <row r="734" spans="18:18" x14ac:dyDescent="0.2">
      <c r="R734" s="59"/>
    </row>
    <row r="735" spans="18:18" x14ac:dyDescent="0.2">
      <c r="R735" s="59"/>
    </row>
    <row r="736" spans="18:18" x14ac:dyDescent="0.2">
      <c r="R736" s="59"/>
    </row>
    <row r="737" spans="18:18" x14ac:dyDescent="0.2">
      <c r="R737" s="59"/>
    </row>
    <row r="738" spans="18:18" x14ac:dyDescent="0.2">
      <c r="R738" s="59"/>
    </row>
    <row r="739" spans="18:18" x14ac:dyDescent="0.2">
      <c r="R739" s="59"/>
    </row>
    <row r="740" spans="18:18" x14ac:dyDescent="0.2">
      <c r="R740" s="59"/>
    </row>
    <row r="741" spans="18:18" x14ac:dyDescent="0.2">
      <c r="R741" s="59"/>
    </row>
    <row r="742" spans="18:18" x14ac:dyDescent="0.2">
      <c r="R742" s="59"/>
    </row>
    <row r="743" spans="18:18" x14ac:dyDescent="0.2">
      <c r="R743" s="59"/>
    </row>
    <row r="744" spans="18:18" x14ac:dyDescent="0.2">
      <c r="R744" s="59"/>
    </row>
    <row r="745" spans="18:18" x14ac:dyDescent="0.2">
      <c r="R745" s="59"/>
    </row>
    <row r="746" spans="18:18" x14ac:dyDescent="0.2">
      <c r="R746" s="59"/>
    </row>
    <row r="747" spans="18:18" x14ac:dyDescent="0.2">
      <c r="R747" s="59"/>
    </row>
    <row r="748" spans="18:18" x14ac:dyDescent="0.2">
      <c r="R748" s="59"/>
    </row>
    <row r="749" spans="18:18" x14ac:dyDescent="0.2">
      <c r="R749" s="59"/>
    </row>
    <row r="750" spans="18:18" x14ac:dyDescent="0.2">
      <c r="R750" s="59"/>
    </row>
    <row r="751" spans="18:18" x14ac:dyDescent="0.2">
      <c r="R751" s="59"/>
    </row>
    <row r="752" spans="18:18" x14ac:dyDescent="0.2">
      <c r="R752" s="59"/>
    </row>
    <row r="753" spans="18:18" x14ac:dyDescent="0.2">
      <c r="R753" s="59"/>
    </row>
    <row r="754" spans="18:18" x14ac:dyDescent="0.2">
      <c r="R754" s="59"/>
    </row>
    <row r="755" spans="18:18" x14ac:dyDescent="0.2">
      <c r="R755" s="59"/>
    </row>
    <row r="756" spans="18:18" x14ac:dyDescent="0.2">
      <c r="R756" s="59"/>
    </row>
    <row r="757" spans="18:18" x14ac:dyDescent="0.2">
      <c r="R757" s="59"/>
    </row>
    <row r="758" spans="18:18" x14ac:dyDescent="0.2">
      <c r="R758" s="59"/>
    </row>
    <row r="759" spans="18:18" x14ac:dyDescent="0.2">
      <c r="R759" s="59"/>
    </row>
    <row r="760" spans="18:18" x14ac:dyDescent="0.2">
      <c r="R760" s="59"/>
    </row>
    <row r="761" spans="18:18" x14ac:dyDescent="0.2">
      <c r="R761" s="59"/>
    </row>
    <row r="762" spans="18:18" x14ac:dyDescent="0.2">
      <c r="R762" s="59"/>
    </row>
    <row r="763" spans="18:18" x14ac:dyDescent="0.2">
      <c r="R763" s="59"/>
    </row>
    <row r="764" spans="18:18" x14ac:dyDescent="0.2">
      <c r="R764" s="59"/>
    </row>
    <row r="765" spans="18:18" x14ac:dyDescent="0.2">
      <c r="R765" s="59"/>
    </row>
    <row r="766" spans="18:18" x14ac:dyDescent="0.2">
      <c r="R766" s="59"/>
    </row>
    <row r="767" spans="18:18" x14ac:dyDescent="0.2">
      <c r="R767" s="59"/>
    </row>
    <row r="768" spans="18:18" x14ac:dyDescent="0.2">
      <c r="R768" s="59"/>
    </row>
    <row r="769" spans="18:18" x14ac:dyDescent="0.2">
      <c r="R769" s="59"/>
    </row>
    <row r="770" spans="18:18" x14ac:dyDescent="0.2">
      <c r="R770" s="59"/>
    </row>
    <row r="771" spans="18:18" x14ac:dyDescent="0.2">
      <c r="R771" s="59"/>
    </row>
    <row r="772" spans="18:18" x14ac:dyDescent="0.2">
      <c r="R772" s="59"/>
    </row>
    <row r="773" spans="18:18" x14ac:dyDescent="0.2">
      <c r="R773" s="59"/>
    </row>
    <row r="774" spans="18:18" x14ac:dyDescent="0.2">
      <c r="R774" s="59"/>
    </row>
    <row r="775" spans="18:18" x14ac:dyDescent="0.2">
      <c r="R775" s="59"/>
    </row>
    <row r="776" spans="18:18" x14ac:dyDescent="0.2">
      <c r="R776" s="59"/>
    </row>
    <row r="777" spans="18:18" x14ac:dyDescent="0.2">
      <c r="R777" s="59"/>
    </row>
    <row r="778" spans="18:18" x14ac:dyDescent="0.2">
      <c r="R778" s="59"/>
    </row>
    <row r="779" spans="18:18" x14ac:dyDescent="0.2">
      <c r="R779" s="59"/>
    </row>
    <row r="780" spans="18:18" x14ac:dyDescent="0.2">
      <c r="R780" s="59"/>
    </row>
    <row r="781" spans="18:18" x14ac:dyDescent="0.2">
      <c r="R781" s="59"/>
    </row>
    <row r="782" spans="18:18" x14ac:dyDescent="0.2">
      <c r="R782" s="59"/>
    </row>
    <row r="783" spans="18:18" x14ac:dyDescent="0.2">
      <c r="R783" s="59"/>
    </row>
    <row r="784" spans="18:18" x14ac:dyDescent="0.2">
      <c r="R784" s="59"/>
    </row>
    <row r="785" spans="18:18" x14ac:dyDescent="0.2">
      <c r="R785" s="59"/>
    </row>
    <row r="786" spans="18:18" x14ac:dyDescent="0.2">
      <c r="R786" s="59"/>
    </row>
    <row r="787" spans="18:18" x14ac:dyDescent="0.2">
      <c r="R787" s="59"/>
    </row>
    <row r="788" spans="18:18" x14ac:dyDescent="0.2">
      <c r="R788" s="59"/>
    </row>
    <row r="789" spans="18:18" x14ac:dyDescent="0.2">
      <c r="R789" s="59"/>
    </row>
    <row r="790" spans="18:18" x14ac:dyDescent="0.2">
      <c r="R790" s="59"/>
    </row>
    <row r="791" spans="18:18" x14ac:dyDescent="0.2">
      <c r="R791" s="59"/>
    </row>
    <row r="792" spans="18:18" x14ac:dyDescent="0.2">
      <c r="R792" s="59"/>
    </row>
    <row r="793" spans="18:18" x14ac:dyDescent="0.2">
      <c r="R793" s="59"/>
    </row>
    <row r="794" spans="18:18" x14ac:dyDescent="0.2">
      <c r="R794" s="59"/>
    </row>
    <row r="795" spans="18:18" x14ac:dyDescent="0.2">
      <c r="R795" s="59"/>
    </row>
    <row r="796" spans="18:18" x14ac:dyDescent="0.2">
      <c r="R796" s="59"/>
    </row>
    <row r="797" spans="18:18" x14ac:dyDescent="0.2">
      <c r="R797" s="59"/>
    </row>
    <row r="798" spans="18:18" x14ac:dyDescent="0.2">
      <c r="R798" s="59"/>
    </row>
    <row r="799" spans="18:18" x14ac:dyDescent="0.2">
      <c r="R799" s="59"/>
    </row>
    <row r="800" spans="18:18" x14ac:dyDescent="0.2">
      <c r="R800" s="59"/>
    </row>
    <row r="801" spans="18:18" x14ac:dyDescent="0.2">
      <c r="R801" s="59"/>
    </row>
    <row r="802" spans="18:18" x14ac:dyDescent="0.2">
      <c r="R802" s="59"/>
    </row>
    <row r="803" spans="18:18" x14ac:dyDescent="0.2">
      <c r="R803" s="59"/>
    </row>
    <row r="804" spans="18:18" x14ac:dyDescent="0.2">
      <c r="R804" s="59"/>
    </row>
    <row r="805" spans="18:18" x14ac:dyDescent="0.2">
      <c r="R805" s="59"/>
    </row>
    <row r="806" spans="18:18" x14ac:dyDescent="0.2">
      <c r="R806" s="59"/>
    </row>
    <row r="807" spans="18:18" x14ac:dyDescent="0.2">
      <c r="R807" s="59"/>
    </row>
    <row r="808" spans="18:18" x14ac:dyDescent="0.2">
      <c r="R808" s="59"/>
    </row>
    <row r="809" spans="18:18" x14ac:dyDescent="0.2">
      <c r="R809" s="59"/>
    </row>
    <row r="810" spans="18:18" x14ac:dyDescent="0.2">
      <c r="R810" s="59"/>
    </row>
    <row r="811" spans="18:18" x14ac:dyDescent="0.2">
      <c r="R811" s="59"/>
    </row>
    <row r="812" spans="18:18" x14ac:dyDescent="0.2">
      <c r="R812" s="59"/>
    </row>
    <row r="813" spans="18:18" x14ac:dyDescent="0.2">
      <c r="R813" s="59"/>
    </row>
    <row r="814" spans="18:18" x14ac:dyDescent="0.2">
      <c r="R814" s="59"/>
    </row>
    <row r="815" spans="18:18" x14ac:dyDescent="0.2">
      <c r="R815" s="59"/>
    </row>
    <row r="816" spans="18:18" x14ac:dyDescent="0.2">
      <c r="R816" s="59"/>
    </row>
    <row r="817" spans="18:18" x14ac:dyDescent="0.2">
      <c r="R817" s="59"/>
    </row>
    <row r="818" spans="18:18" x14ac:dyDescent="0.2">
      <c r="R818" s="59"/>
    </row>
    <row r="819" spans="18:18" x14ac:dyDescent="0.2">
      <c r="R819" s="59"/>
    </row>
    <row r="820" spans="18:18" x14ac:dyDescent="0.2">
      <c r="R820" s="59"/>
    </row>
    <row r="821" spans="18:18" x14ac:dyDescent="0.2">
      <c r="R821" s="59"/>
    </row>
    <row r="822" spans="18:18" x14ac:dyDescent="0.2">
      <c r="R822" s="59"/>
    </row>
    <row r="823" spans="18:18" x14ac:dyDescent="0.2">
      <c r="R823" s="59"/>
    </row>
    <row r="824" spans="18:18" x14ac:dyDescent="0.2">
      <c r="R824" s="59"/>
    </row>
    <row r="825" spans="18:18" x14ac:dyDescent="0.2">
      <c r="R825" s="59"/>
    </row>
    <row r="826" spans="18:18" x14ac:dyDescent="0.2">
      <c r="R826" s="59"/>
    </row>
    <row r="827" spans="18:18" x14ac:dyDescent="0.2">
      <c r="R827" s="59"/>
    </row>
    <row r="828" spans="18:18" x14ac:dyDescent="0.2">
      <c r="R828" s="59"/>
    </row>
    <row r="829" spans="18:18" x14ac:dyDescent="0.2">
      <c r="R829" s="59"/>
    </row>
    <row r="830" spans="18:18" x14ac:dyDescent="0.2">
      <c r="R830" s="59"/>
    </row>
    <row r="831" spans="18:18" x14ac:dyDescent="0.2">
      <c r="R831" s="59"/>
    </row>
    <row r="832" spans="18:18" x14ac:dyDescent="0.2">
      <c r="R832" s="59"/>
    </row>
    <row r="833" spans="18:18" x14ac:dyDescent="0.2">
      <c r="R833" s="59"/>
    </row>
    <row r="834" spans="18:18" x14ac:dyDescent="0.2">
      <c r="R834" s="59"/>
    </row>
    <row r="835" spans="18:18" x14ac:dyDescent="0.2">
      <c r="R835" s="59"/>
    </row>
    <row r="836" spans="18:18" x14ac:dyDescent="0.2">
      <c r="R836" s="59"/>
    </row>
    <row r="837" spans="18:18" x14ac:dyDescent="0.2">
      <c r="R837" s="59"/>
    </row>
    <row r="838" spans="18:18" x14ac:dyDescent="0.2">
      <c r="R838" s="59"/>
    </row>
    <row r="839" spans="18:18" x14ac:dyDescent="0.2">
      <c r="R839" s="59"/>
    </row>
    <row r="840" spans="18:18" x14ac:dyDescent="0.2">
      <c r="R840" s="59"/>
    </row>
    <row r="841" spans="18:18" x14ac:dyDescent="0.2">
      <c r="R841" s="59"/>
    </row>
    <row r="842" spans="18:18" x14ac:dyDescent="0.2">
      <c r="R842" s="59"/>
    </row>
    <row r="843" spans="18:18" x14ac:dyDescent="0.2">
      <c r="R843" s="59"/>
    </row>
    <row r="844" spans="18:18" x14ac:dyDescent="0.2">
      <c r="R844" s="59"/>
    </row>
    <row r="845" spans="18:18" x14ac:dyDescent="0.2">
      <c r="R845" s="59"/>
    </row>
    <row r="846" spans="18:18" x14ac:dyDescent="0.2">
      <c r="R846" s="59"/>
    </row>
    <row r="847" spans="18:18" x14ac:dyDescent="0.2">
      <c r="R847" s="59"/>
    </row>
    <row r="848" spans="18:18" x14ac:dyDescent="0.2">
      <c r="R848" s="59"/>
    </row>
    <row r="849" spans="18:18" x14ac:dyDescent="0.2">
      <c r="R849" s="59"/>
    </row>
    <row r="850" spans="18:18" x14ac:dyDescent="0.2">
      <c r="R850" s="59"/>
    </row>
    <row r="851" spans="18:18" x14ac:dyDescent="0.2">
      <c r="R851" s="59"/>
    </row>
    <row r="852" spans="18:18" x14ac:dyDescent="0.2">
      <c r="R852" s="59"/>
    </row>
    <row r="853" spans="18:18" x14ac:dyDescent="0.2">
      <c r="R853" s="59"/>
    </row>
    <row r="854" spans="18:18" x14ac:dyDescent="0.2">
      <c r="R854" s="59"/>
    </row>
    <row r="855" spans="18:18" x14ac:dyDescent="0.2">
      <c r="R855" s="59"/>
    </row>
    <row r="856" spans="18:18" x14ac:dyDescent="0.2">
      <c r="R856" s="59"/>
    </row>
    <row r="857" spans="18:18" x14ac:dyDescent="0.2">
      <c r="R857" s="59"/>
    </row>
    <row r="858" spans="18:18" x14ac:dyDescent="0.2">
      <c r="R858" s="59"/>
    </row>
    <row r="859" spans="18:18" x14ac:dyDescent="0.2">
      <c r="R859" s="59"/>
    </row>
    <row r="860" spans="18:18" x14ac:dyDescent="0.2">
      <c r="R860" s="59"/>
    </row>
    <row r="861" spans="18:18" x14ac:dyDescent="0.2">
      <c r="R861" s="59"/>
    </row>
    <row r="862" spans="18:18" x14ac:dyDescent="0.2">
      <c r="R862" s="59"/>
    </row>
    <row r="863" spans="18:18" x14ac:dyDescent="0.2">
      <c r="R863" s="59"/>
    </row>
    <row r="864" spans="18:18" x14ac:dyDescent="0.2">
      <c r="R864" s="59"/>
    </row>
    <row r="865" spans="18:18" x14ac:dyDescent="0.2">
      <c r="R865" s="59"/>
    </row>
    <row r="866" spans="18:18" x14ac:dyDescent="0.2">
      <c r="R866" s="59"/>
    </row>
    <row r="867" spans="18:18" x14ac:dyDescent="0.2">
      <c r="R867" s="59"/>
    </row>
    <row r="868" spans="18:18" x14ac:dyDescent="0.2">
      <c r="R868" s="59"/>
    </row>
    <row r="869" spans="18:18" x14ac:dyDescent="0.2">
      <c r="R869" s="59"/>
    </row>
    <row r="870" spans="18:18" x14ac:dyDescent="0.2">
      <c r="R870" s="59"/>
    </row>
    <row r="871" spans="18:18" x14ac:dyDescent="0.2">
      <c r="R871" s="59"/>
    </row>
    <row r="872" spans="18:18" x14ac:dyDescent="0.2">
      <c r="R872" s="59"/>
    </row>
    <row r="873" spans="18:18" x14ac:dyDescent="0.2">
      <c r="R873" s="59"/>
    </row>
    <row r="874" spans="18:18" x14ac:dyDescent="0.2">
      <c r="R874" s="59"/>
    </row>
    <row r="875" spans="18:18" x14ac:dyDescent="0.2">
      <c r="R875" s="59"/>
    </row>
    <row r="876" spans="18:18" x14ac:dyDescent="0.2">
      <c r="R876" s="59"/>
    </row>
    <row r="877" spans="18:18" x14ac:dyDescent="0.2">
      <c r="R877" s="59"/>
    </row>
    <row r="878" spans="18:18" x14ac:dyDescent="0.2">
      <c r="R878" s="59"/>
    </row>
    <row r="879" spans="18:18" x14ac:dyDescent="0.2">
      <c r="R879" s="59"/>
    </row>
    <row r="880" spans="18:18" x14ac:dyDescent="0.2">
      <c r="R880" s="59"/>
    </row>
    <row r="881" spans="18:18" x14ac:dyDescent="0.2">
      <c r="R881" s="59"/>
    </row>
    <row r="882" spans="18:18" x14ac:dyDescent="0.2">
      <c r="R882" s="59"/>
    </row>
    <row r="883" spans="18:18" x14ac:dyDescent="0.2">
      <c r="R883" s="59"/>
    </row>
    <row r="884" spans="18:18" x14ac:dyDescent="0.2">
      <c r="R884" s="59"/>
    </row>
    <row r="885" spans="18:18" x14ac:dyDescent="0.2">
      <c r="R885" s="59"/>
    </row>
    <row r="886" spans="18:18" x14ac:dyDescent="0.2">
      <c r="R886" s="59"/>
    </row>
    <row r="887" spans="18:18" x14ac:dyDescent="0.2">
      <c r="R887" s="59"/>
    </row>
    <row r="888" spans="18:18" x14ac:dyDescent="0.2">
      <c r="R888" s="59"/>
    </row>
    <row r="889" spans="18:18" x14ac:dyDescent="0.2">
      <c r="R889" s="59"/>
    </row>
    <row r="890" spans="18:18" x14ac:dyDescent="0.2">
      <c r="R890" s="59"/>
    </row>
    <row r="891" spans="18:18" x14ac:dyDescent="0.2">
      <c r="R891" s="59"/>
    </row>
    <row r="892" spans="18:18" x14ac:dyDescent="0.2">
      <c r="R892" s="59"/>
    </row>
    <row r="893" spans="18:18" x14ac:dyDescent="0.2">
      <c r="R893" s="59"/>
    </row>
    <row r="894" spans="18:18" x14ac:dyDescent="0.2">
      <c r="R894" s="59"/>
    </row>
    <row r="895" spans="18:18" x14ac:dyDescent="0.2">
      <c r="R895" s="59"/>
    </row>
    <row r="896" spans="18:18" x14ac:dyDescent="0.2">
      <c r="R896" s="59"/>
    </row>
    <row r="897" spans="18:18" x14ac:dyDescent="0.2">
      <c r="R897" s="59"/>
    </row>
    <row r="898" spans="18:18" x14ac:dyDescent="0.2">
      <c r="R898" s="59"/>
    </row>
    <row r="899" spans="18:18" x14ac:dyDescent="0.2">
      <c r="R899" s="59"/>
    </row>
    <row r="900" spans="18:18" x14ac:dyDescent="0.2">
      <c r="R900" s="59"/>
    </row>
    <row r="901" spans="18:18" x14ac:dyDescent="0.2">
      <c r="R901" s="59"/>
    </row>
    <row r="902" spans="18:18" x14ac:dyDescent="0.2">
      <c r="R902" s="59"/>
    </row>
    <row r="903" spans="18:18" x14ac:dyDescent="0.2">
      <c r="R903" s="59"/>
    </row>
    <row r="904" spans="18:18" x14ac:dyDescent="0.2">
      <c r="R904" s="59"/>
    </row>
    <row r="905" spans="18:18" x14ac:dyDescent="0.2">
      <c r="R905" s="59"/>
    </row>
    <row r="906" spans="18:18" x14ac:dyDescent="0.2">
      <c r="R906" s="59"/>
    </row>
    <row r="907" spans="18:18" x14ac:dyDescent="0.2">
      <c r="R907" s="59"/>
    </row>
    <row r="908" spans="18:18" x14ac:dyDescent="0.2">
      <c r="R908" s="59"/>
    </row>
    <row r="909" spans="18:18" x14ac:dyDescent="0.2">
      <c r="R909" s="59"/>
    </row>
    <row r="910" spans="18:18" x14ac:dyDescent="0.2">
      <c r="R910" s="59"/>
    </row>
    <row r="911" spans="18:18" x14ac:dyDescent="0.2">
      <c r="R911" s="59"/>
    </row>
    <row r="912" spans="18:18" x14ac:dyDescent="0.2">
      <c r="R912" s="59"/>
    </row>
    <row r="913" spans="18:18" x14ac:dyDescent="0.2">
      <c r="R913" s="59"/>
    </row>
    <row r="914" spans="18:18" x14ac:dyDescent="0.2">
      <c r="R914" s="59"/>
    </row>
    <row r="915" spans="18:18" x14ac:dyDescent="0.2">
      <c r="R915" s="59"/>
    </row>
    <row r="916" spans="18:18" x14ac:dyDescent="0.2">
      <c r="R916" s="59"/>
    </row>
    <row r="917" spans="18:18" x14ac:dyDescent="0.2">
      <c r="R917" s="59"/>
    </row>
    <row r="918" spans="18:18" x14ac:dyDescent="0.2">
      <c r="R918" s="59"/>
    </row>
    <row r="919" spans="18:18" x14ac:dyDescent="0.2">
      <c r="R919" s="59"/>
    </row>
    <row r="920" spans="18:18" x14ac:dyDescent="0.2">
      <c r="R920" s="59"/>
    </row>
    <row r="921" spans="18:18" x14ac:dyDescent="0.2">
      <c r="R921" s="59"/>
    </row>
    <row r="922" spans="18:18" x14ac:dyDescent="0.2">
      <c r="R922" s="59"/>
    </row>
    <row r="923" spans="18:18" x14ac:dyDescent="0.2">
      <c r="R923" s="59"/>
    </row>
    <row r="924" spans="18:18" x14ac:dyDescent="0.2">
      <c r="R924" s="59"/>
    </row>
    <row r="925" spans="18:18" x14ac:dyDescent="0.2">
      <c r="R925" s="59"/>
    </row>
    <row r="926" spans="18:18" x14ac:dyDescent="0.2">
      <c r="R926" s="59"/>
    </row>
    <row r="927" spans="18:18" x14ac:dyDescent="0.2">
      <c r="R927" s="59"/>
    </row>
    <row r="928" spans="18:18" x14ac:dyDescent="0.2">
      <c r="R928" s="59"/>
    </row>
    <row r="929" spans="18:18" x14ac:dyDescent="0.2">
      <c r="R929" s="59"/>
    </row>
    <row r="930" spans="18:18" x14ac:dyDescent="0.2">
      <c r="R930" s="59"/>
    </row>
    <row r="931" spans="18:18" x14ac:dyDescent="0.2">
      <c r="R931" s="59"/>
    </row>
    <row r="932" spans="18:18" x14ac:dyDescent="0.2">
      <c r="R932" s="59"/>
    </row>
    <row r="933" spans="18:18" x14ac:dyDescent="0.2">
      <c r="R933" s="59"/>
    </row>
    <row r="934" spans="18:18" x14ac:dyDescent="0.2">
      <c r="R934" s="59"/>
    </row>
    <row r="935" spans="18:18" x14ac:dyDescent="0.2">
      <c r="R935" s="59"/>
    </row>
    <row r="936" spans="18:18" x14ac:dyDescent="0.2">
      <c r="R936" s="59"/>
    </row>
    <row r="937" spans="18:18" x14ac:dyDescent="0.2">
      <c r="R937" s="59"/>
    </row>
    <row r="938" spans="18:18" x14ac:dyDescent="0.2">
      <c r="R938" s="59"/>
    </row>
    <row r="939" spans="18:18" x14ac:dyDescent="0.2">
      <c r="R939" s="59"/>
    </row>
    <row r="940" spans="18:18" x14ac:dyDescent="0.2">
      <c r="R940" s="59"/>
    </row>
    <row r="941" spans="18:18" x14ac:dyDescent="0.2">
      <c r="R941" s="59"/>
    </row>
    <row r="942" spans="18:18" x14ac:dyDescent="0.2">
      <c r="R942" s="59"/>
    </row>
    <row r="943" spans="18:18" x14ac:dyDescent="0.2">
      <c r="R943" s="59"/>
    </row>
    <row r="944" spans="18:18" x14ac:dyDescent="0.2">
      <c r="R944" s="59"/>
    </row>
    <row r="945" spans="18:18" x14ac:dyDescent="0.2">
      <c r="R945" s="59"/>
    </row>
    <row r="946" spans="18:18" x14ac:dyDescent="0.2">
      <c r="R946" s="59"/>
    </row>
    <row r="947" spans="18:18" x14ac:dyDescent="0.2">
      <c r="R947" s="59"/>
    </row>
    <row r="948" spans="18:18" x14ac:dyDescent="0.2">
      <c r="R948" s="59"/>
    </row>
    <row r="949" spans="18:18" x14ac:dyDescent="0.2">
      <c r="R949" s="59"/>
    </row>
    <row r="950" spans="18:18" x14ac:dyDescent="0.2">
      <c r="R950" s="59"/>
    </row>
    <row r="951" spans="18:18" x14ac:dyDescent="0.2">
      <c r="R951" s="59"/>
    </row>
    <row r="952" spans="18:18" x14ac:dyDescent="0.2">
      <c r="R952" s="59"/>
    </row>
    <row r="953" spans="18:18" x14ac:dyDescent="0.2">
      <c r="R953" s="59"/>
    </row>
    <row r="954" spans="18:18" x14ac:dyDescent="0.2">
      <c r="R954" s="59"/>
    </row>
    <row r="955" spans="18:18" x14ac:dyDescent="0.2">
      <c r="R955" s="59"/>
    </row>
    <row r="956" spans="18:18" x14ac:dyDescent="0.2">
      <c r="R956" s="59"/>
    </row>
    <row r="957" spans="18:18" x14ac:dyDescent="0.2">
      <c r="R957" s="59"/>
    </row>
    <row r="958" spans="18:18" x14ac:dyDescent="0.2">
      <c r="R958" s="59"/>
    </row>
    <row r="959" spans="18:18" x14ac:dyDescent="0.2">
      <c r="R959" s="59"/>
    </row>
    <row r="960" spans="18:18" x14ac:dyDescent="0.2">
      <c r="R960" s="59"/>
    </row>
    <row r="961" spans="18:18" x14ac:dyDescent="0.2">
      <c r="R961" s="59"/>
    </row>
    <row r="962" spans="18:18" x14ac:dyDescent="0.2">
      <c r="R962" s="59"/>
    </row>
    <row r="963" spans="18:18" x14ac:dyDescent="0.2">
      <c r="R963" s="59"/>
    </row>
    <row r="964" spans="18:18" x14ac:dyDescent="0.2">
      <c r="R964" s="59"/>
    </row>
    <row r="965" spans="18:18" x14ac:dyDescent="0.2">
      <c r="R965" s="59"/>
    </row>
    <row r="966" spans="18:18" x14ac:dyDescent="0.2">
      <c r="R966" s="59"/>
    </row>
    <row r="967" spans="18:18" x14ac:dyDescent="0.2">
      <c r="R967" s="59"/>
    </row>
    <row r="968" spans="18:18" x14ac:dyDescent="0.2">
      <c r="R968" s="59"/>
    </row>
    <row r="969" spans="18:18" x14ac:dyDescent="0.2">
      <c r="R969" s="59"/>
    </row>
    <row r="970" spans="18:18" x14ac:dyDescent="0.2">
      <c r="R970" s="59"/>
    </row>
    <row r="971" spans="18:18" x14ac:dyDescent="0.2">
      <c r="R971" s="59"/>
    </row>
    <row r="972" spans="18:18" x14ac:dyDescent="0.2">
      <c r="R972" s="59"/>
    </row>
    <row r="973" spans="18:18" x14ac:dyDescent="0.2">
      <c r="R973" s="59"/>
    </row>
    <row r="974" spans="18:18" x14ac:dyDescent="0.2">
      <c r="R974" s="59"/>
    </row>
    <row r="975" spans="18:18" x14ac:dyDescent="0.2">
      <c r="R975" s="59"/>
    </row>
    <row r="976" spans="18:18" x14ac:dyDescent="0.2">
      <c r="R976" s="59"/>
    </row>
    <row r="977" spans="18:18" x14ac:dyDescent="0.2">
      <c r="R977" s="59"/>
    </row>
    <row r="978" spans="18:18" x14ac:dyDescent="0.2">
      <c r="R978" s="59"/>
    </row>
    <row r="979" spans="18:18" x14ac:dyDescent="0.2">
      <c r="R979" s="59"/>
    </row>
    <row r="980" spans="18:18" x14ac:dyDescent="0.2">
      <c r="R980" s="59"/>
    </row>
    <row r="981" spans="18:18" x14ac:dyDescent="0.2">
      <c r="R981" s="59"/>
    </row>
    <row r="982" spans="18:18" x14ac:dyDescent="0.2">
      <c r="R982" s="59"/>
    </row>
    <row r="983" spans="18:18" x14ac:dyDescent="0.2">
      <c r="R983" s="59"/>
    </row>
    <row r="984" spans="18:18" x14ac:dyDescent="0.2">
      <c r="R984" s="59"/>
    </row>
    <row r="985" spans="18:18" x14ac:dyDescent="0.2">
      <c r="R985" s="59"/>
    </row>
    <row r="986" spans="18:18" x14ac:dyDescent="0.2">
      <c r="R986" s="59"/>
    </row>
    <row r="987" spans="18:18" x14ac:dyDescent="0.2">
      <c r="R987" s="59"/>
    </row>
    <row r="988" spans="18:18" x14ac:dyDescent="0.2">
      <c r="R988" s="59"/>
    </row>
    <row r="989" spans="18:18" x14ac:dyDescent="0.2">
      <c r="R989" s="59"/>
    </row>
    <row r="990" spans="18:18" x14ac:dyDescent="0.2">
      <c r="R990" s="59"/>
    </row>
    <row r="991" spans="18:18" x14ac:dyDescent="0.2">
      <c r="R991" s="59"/>
    </row>
    <row r="992" spans="18:18" x14ac:dyDescent="0.2">
      <c r="R992" s="59"/>
    </row>
    <row r="993" spans="18:18" x14ac:dyDescent="0.2">
      <c r="R993" s="59"/>
    </row>
    <row r="994" spans="18:18" x14ac:dyDescent="0.2">
      <c r="R994" s="59"/>
    </row>
    <row r="995" spans="18:18" x14ac:dyDescent="0.2">
      <c r="R995" s="59"/>
    </row>
    <row r="996" spans="18:18" x14ac:dyDescent="0.2">
      <c r="R996" s="59"/>
    </row>
    <row r="997" spans="18:18" x14ac:dyDescent="0.2">
      <c r="R997" s="59"/>
    </row>
    <row r="998" spans="18:18" x14ac:dyDescent="0.2">
      <c r="R998" s="59"/>
    </row>
    <row r="999" spans="18:18" x14ac:dyDescent="0.2">
      <c r="R999" s="59"/>
    </row>
    <row r="1000" spans="18:18" x14ac:dyDescent="0.2">
      <c r="R1000" s="59"/>
    </row>
    <row r="1001" spans="18:18" x14ac:dyDescent="0.2">
      <c r="R1001" s="59"/>
    </row>
    <row r="1002" spans="18:18" x14ac:dyDescent="0.2">
      <c r="R1002" s="59"/>
    </row>
    <row r="1003" spans="18:18" x14ac:dyDescent="0.2">
      <c r="R1003" s="59"/>
    </row>
    <row r="1004" spans="18:18" x14ac:dyDescent="0.2">
      <c r="R1004" s="59"/>
    </row>
    <row r="1005" spans="18:18" x14ac:dyDescent="0.2">
      <c r="R1005" s="59"/>
    </row>
    <row r="1006" spans="18:18" x14ac:dyDescent="0.2">
      <c r="R1006" s="59"/>
    </row>
    <row r="1007" spans="18:18" x14ac:dyDescent="0.2">
      <c r="R1007" s="59"/>
    </row>
    <row r="1008" spans="18:18" x14ac:dyDescent="0.2">
      <c r="R1008" s="59"/>
    </row>
    <row r="1009" spans="18:18" x14ac:dyDescent="0.2">
      <c r="R1009" s="59"/>
    </row>
    <row r="1010" spans="18:18" x14ac:dyDescent="0.2">
      <c r="R1010" s="59"/>
    </row>
    <row r="1011" spans="18:18" x14ac:dyDescent="0.2">
      <c r="R1011" s="59"/>
    </row>
    <row r="1012" spans="18:18" x14ac:dyDescent="0.2">
      <c r="R1012" s="59"/>
    </row>
    <row r="1013" spans="18:18" x14ac:dyDescent="0.2">
      <c r="R1013" s="59"/>
    </row>
    <row r="1014" spans="18:18" x14ac:dyDescent="0.2">
      <c r="R1014" s="59"/>
    </row>
    <row r="1015" spans="18:18" x14ac:dyDescent="0.2">
      <c r="R1015" s="59"/>
    </row>
    <row r="1016" spans="18:18" x14ac:dyDescent="0.2">
      <c r="R1016" s="59"/>
    </row>
    <row r="1017" spans="18:18" x14ac:dyDescent="0.2">
      <c r="R1017" s="59"/>
    </row>
    <row r="1018" spans="18:18" x14ac:dyDescent="0.2">
      <c r="R1018" s="59"/>
    </row>
    <row r="1019" spans="18:18" x14ac:dyDescent="0.2">
      <c r="R1019" s="59"/>
    </row>
    <row r="1020" spans="18:18" x14ac:dyDescent="0.2">
      <c r="R1020" s="59"/>
    </row>
    <row r="1021" spans="18:18" x14ac:dyDescent="0.2">
      <c r="R1021" s="59"/>
    </row>
    <row r="1022" spans="18:18" x14ac:dyDescent="0.2">
      <c r="R1022" s="59"/>
    </row>
    <row r="1023" spans="18:18" x14ac:dyDescent="0.2">
      <c r="R1023" s="59"/>
    </row>
    <row r="1024" spans="18:18" x14ac:dyDescent="0.2">
      <c r="R1024" s="59"/>
    </row>
    <row r="1025" spans="18:18" x14ac:dyDescent="0.2">
      <c r="R1025" s="59"/>
    </row>
    <row r="1026" spans="18:18" x14ac:dyDescent="0.2">
      <c r="R1026" s="59"/>
    </row>
    <row r="1027" spans="18:18" x14ac:dyDescent="0.2">
      <c r="R1027" s="59"/>
    </row>
    <row r="1028" spans="18:18" x14ac:dyDescent="0.2">
      <c r="R1028" s="59"/>
    </row>
    <row r="1029" spans="18:18" x14ac:dyDescent="0.2">
      <c r="R1029" s="59"/>
    </row>
    <row r="1030" spans="18:18" x14ac:dyDescent="0.2">
      <c r="R1030" s="59"/>
    </row>
    <row r="1031" spans="18:18" x14ac:dyDescent="0.2">
      <c r="R1031" s="59"/>
    </row>
    <row r="1032" spans="18:18" x14ac:dyDescent="0.2">
      <c r="R1032" s="59"/>
    </row>
    <row r="1033" spans="18:18" x14ac:dyDescent="0.2">
      <c r="R1033" s="59"/>
    </row>
    <row r="1034" spans="18:18" x14ac:dyDescent="0.2">
      <c r="R1034" s="59"/>
    </row>
    <row r="1035" spans="18:18" x14ac:dyDescent="0.2">
      <c r="R1035" s="59"/>
    </row>
    <row r="1036" spans="18:18" x14ac:dyDescent="0.2">
      <c r="R1036" s="59"/>
    </row>
    <row r="1037" spans="18:18" x14ac:dyDescent="0.2">
      <c r="R1037" s="59"/>
    </row>
    <row r="1038" spans="18:18" x14ac:dyDescent="0.2">
      <c r="R1038" s="59"/>
    </row>
    <row r="1039" spans="18:18" x14ac:dyDescent="0.2">
      <c r="R1039" s="59"/>
    </row>
    <row r="1040" spans="18:18" x14ac:dyDescent="0.2">
      <c r="R1040" s="59"/>
    </row>
    <row r="1041" spans="18:18" x14ac:dyDescent="0.2">
      <c r="R1041" s="59"/>
    </row>
    <row r="1042" spans="18:18" x14ac:dyDescent="0.2">
      <c r="R1042" s="59"/>
    </row>
    <row r="1043" spans="18:18" x14ac:dyDescent="0.2">
      <c r="R1043" s="59"/>
    </row>
    <row r="1044" spans="18:18" x14ac:dyDescent="0.2">
      <c r="R1044" s="59"/>
    </row>
    <row r="1045" spans="18:18" x14ac:dyDescent="0.2">
      <c r="R1045" s="59"/>
    </row>
    <row r="1046" spans="18:18" x14ac:dyDescent="0.2">
      <c r="R1046" s="59"/>
    </row>
    <row r="1047" spans="18:18" x14ac:dyDescent="0.2">
      <c r="R1047" s="59"/>
    </row>
    <row r="1048" spans="18:18" x14ac:dyDescent="0.2">
      <c r="R1048" s="59"/>
    </row>
    <row r="1049" spans="18:18" x14ac:dyDescent="0.2">
      <c r="R1049" s="59"/>
    </row>
    <row r="1050" spans="18:18" x14ac:dyDescent="0.2">
      <c r="R1050" s="59"/>
    </row>
    <row r="1051" spans="18:18" x14ac:dyDescent="0.2">
      <c r="R1051" s="59"/>
    </row>
    <row r="1052" spans="18:18" x14ac:dyDescent="0.2">
      <c r="R1052" s="59"/>
    </row>
    <row r="1053" spans="18:18" x14ac:dyDescent="0.2">
      <c r="R1053" s="59"/>
    </row>
    <row r="1054" spans="18:18" x14ac:dyDescent="0.2">
      <c r="R1054" s="59"/>
    </row>
    <row r="1055" spans="18:18" x14ac:dyDescent="0.2">
      <c r="R1055" s="59"/>
    </row>
    <row r="1056" spans="18:18" x14ac:dyDescent="0.2">
      <c r="R1056" s="59"/>
    </row>
    <row r="1057" spans="18:18" x14ac:dyDescent="0.2">
      <c r="R1057" s="59"/>
    </row>
    <row r="1058" spans="18:18" x14ac:dyDescent="0.2">
      <c r="R1058" s="59"/>
    </row>
    <row r="1059" spans="18:18" x14ac:dyDescent="0.2">
      <c r="R1059" s="59"/>
    </row>
    <row r="1060" spans="18:18" x14ac:dyDescent="0.2">
      <c r="R1060" s="59"/>
    </row>
    <row r="1061" spans="18:18" x14ac:dyDescent="0.2">
      <c r="R1061" s="59"/>
    </row>
    <row r="1062" spans="18:18" x14ac:dyDescent="0.2">
      <c r="R1062" s="59"/>
    </row>
    <row r="1063" spans="18:18" x14ac:dyDescent="0.2">
      <c r="R1063" s="59"/>
    </row>
    <row r="1064" spans="18:18" x14ac:dyDescent="0.2">
      <c r="R1064" s="59"/>
    </row>
    <row r="1065" spans="18:18" x14ac:dyDescent="0.2">
      <c r="R1065" s="59"/>
    </row>
    <row r="1066" spans="18:18" x14ac:dyDescent="0.2">
      <c r="R1066" s="59"/>
    </row>
    <row r="1067" spans="18:18" x14ac:dyDescent="0.2">
      <c r="R1067" s="59"/>
    </row>
    <row r="1068" spans="18:18" x14ac:dyDescent="0.2">
      <c r="R1068" s="59"/>
    </row>
    <row r="1069" spans="18:18" x14ac:dyDescent="0.2">
      <c r="R1069" s="59"/>
    </row>
    <row r="1070" spans="18:18" x14ac:dyDescent="0.2">
      <c r="R1070" s="59"/>
    </row>
    <row r="1071" spans="18:18" x14ac:dyDescent="0.2">
      <c r="R1071" s="59"/>
    </row>
    <row r="1072" spans="18:18" x14ac:dyDescent="0.2">
      <c r="R1072" s="59"/>
    </row>
    <row r="1073" spans="18:18" x14ac:dyDescent="0.2">
      <c r="R1073" s="59"/>
    </row>
    <row r="1074" spans="18:18" x14ac:dyDescent="0.2">
      <c r="R1074" s="59"/>
    </row>
    <row r="1075" spans="18:18" x14ac:dyDescent="0.2">
      <c r="R1075" s="59"/>
    </row>
    <row r="1076" spans="18:18" x14ac:dyDescent="0.2">
      <c r="R1076" s="59"/>
    </row>
    <row r="1077" spans="18:18" x14ac:dyDescent="0.2">
      <c r="R1077" s="59"/>
    </row>
    <row r="1078" spans="18:18" x14ac:dyDescent="0.2">
      <c r="R1078" s="59"/>
    </row>
    <row r="1079" spans="18:18" x14ac:dyDescent="0.2">
      <c r="R1079" s="59"/>
    </row>
    <row r="1080" spans="18:18" x14ac:dyDescent="0.2">
      <c r="R1080" s="59"/>
    </row>
    <row r="1081" spans="18:18" x14ac:dyDescent="0.2">
      <c r="R1081" s="59"/>
    </row>
    <row r="1082" spans="18:18" x14ac:dyDescent="0.2">
      <c r="R1082" s="59"/>
    </row>
    <row r="1083" spans="18:18" x14ac:dyDescent="0.2">
      <c r="R1083" s="59"/>
    </row>
    <row r="1084" spans="18:18" x14ac:dyDescent="0.2">
      <c r="R1084" s="59"/>
    </row>
    <row r="1085" spans="18:18" x14ac:dyDescent="0.2">
      <c r="R1085" s="59"/>
    </row>
    <row r="1086" spans="18:18" x14ac:dyDescent="0.2">
      <c r="R1086" s="59"/>
    </row>
    <row r="1087" spans="18:18" x14ac:dyDescent="0.2">
      <c r="R1087" s="59"/>
    </row>
    <row r="1088" spans="18:18" x14ac:dyDescent="0.2">
      <c r="R1088" s="59"/>
    </row>
    <row r="1089" spans="18:18" x14ac:dyDescent="0.2">
      <c r="R1089" s="59"/>
    </row>
    <row r="1090" spans="18:18" x14ac:dyDescent="0.2">
      <c r="R1090" s="59"/>
    </row>
    <row r="1091" spans="18:18" x14ac:dyDescent="0.2">
      <c r="R1091" s="59"/>
    </row>
    <row r="1092" spans="18:18" x14ac:dyDescent="0.2">
      <c r="R1092" s="59"/>
    </row>
    <row r="1093" spans="18:18" x14ac:dyDescent="0.2">
      <c r="R1093" s="59"/>
    </row>
    <row r="1094" spans="18:18" x14ac:dyDescent="0.2">
      <c r="R1094" s="59"/>
    </row>
    <row r="1095" spans="18:18" x14ac:dyDescent="0.2">
      <c r="R1095" s="59"/>
    </row>
    <row r="1096" spans="18:18" x14ac:dyDescent="0.2">
      <c r="R1096" s="59"/>
    </row>
    <row r="1097" spans="18:18" x14ac:dyDescent="0.2">
      <c r="R1097" s="59"/>
    </row>
    <row r="1098" spans="18:18" x14ac:dyDescent="0.2">
      <c r="R1098" s="59"/>
    </row>
    <row r="1099" spans="18:18" x14ac:dyDescent="0.2">
      <c r="R1099" s="59"/>
    </row>
    <row r="1100" spans="18:18" x14ac:dyDescent="0.2">
      <c r="R1100" s="59"/>
    </row>
    <row r="1101" spans="18:18" x14ac:dyDescent="0.2">
      <c r="R1101" s="59"/>
    </row>
    <row r="1102" spans="18:18" x14ac:dyDescent="0.2">
      <c r="R1102" s="59"/>
    </row>
    <row r="1103" spans="18:18" x14ac:dyDescent="0.2">
      <c r="R1103" s="59"/>
    </row>
    <row r="1104" spans="18:18" x14ac:dyDescent="0.2">
      <c r="R1104" s="59"/>
    </row>
    <row r="1105" spans="18:18" x14ac:dyDescent="0.2">
      <c r="R1105" s="59"/>
    </row>
    <row r="1106" spans="18:18" x14ac:dyDescent="0.2">
      <c r="R1106" s="59"/>
    </row>
    <row r="1107" spans="18:18" x14ac:dyDescent="0.2">
      <c r="R1107" s="59"/>
    </row>
    <row r="1108" spans="18:18" x14ac:dyDescent="0.2">
      <c r="R1108" s="59"/>
    </row>
    <row r="1109" spans="18:18" x14ac:dyDescent="0.2">
      <c r="R1109" s="59"/>
    </row>
    <row r="1110" spans="18:18" x14ac:dyDescent="0.2">
      <c r="R1110" s="59"/>
    </row>
    <row r="1111" spans="18:18" x14ac:dyDescent="0.2">
      <c r="R1111" s="59"/>
    </row>
    <row r="1112" spans="18:18" x14ac:dyDescent="0.2">
      <c r="R1112" s="59"/>
    </row>
    <row r="1113" spans="18:18" x14ac:dyDescent="0.2">
      <c r="R1113" s="59"/>
    </row>
    <row r="1114" spans="18:18" x14ac:dyDescent="0.2">
      <c r="R1114" s="59"/>
    </row>
    <row r="1115" spans="18:18" x14ac:dyDescent="0.2">
      <c r="R1115" s="59"/>
    </row>
    <row r="1116" spans="18:18" x14ac:dyDescent="0.2">
      <c r="R1116" s="59"/>
    </row>
    <row r="1117" spans="18:18" x14ac:dyDescent="0.2">
      <c r="R1117" s="59"/>
    </row>
    <row r="1118" spans="18:18" x14ac:dyDescent="0.2">
      <c r="R1118" s="59"/>
    </row>
    <row r="1119" spans="18:18" x14ac:dyDescent="0.2">
      <c r="R1119" s="59"/>
    </row>
    <row r="1120" spans="18:18" x14ac:dyDescent="0.2">
      <c r="R1120" s="59"/>
    </row>
    <row r="1121" spans="18:18" x14ac:dyDescent="0.2">
      <c r="R1121" s="59"/>
    </row>
    <row r="1122" spans="18:18" x14ac:dyDescent="0.2">
      <c r="R1122" s="59"/>
    </row>
    <row r="1123" spans="18:18" x14ac:dyDescent="0.2">
      <c r="R1123" s="59"/>
    </row>
    <row r="1124" spans="18:18" x14ac:dyDescent="0.2">
      <c r="R1124" s="59"/>
    </row>
    <row r="1125" spans="18:18" x14ac:dyDescent="0.2">
      <c r="R1125" s="59"/>
    </row>
    <row r="1126" spans="18:18" x14ac:dyDescent="0.2">
      <c r="R1126" s="59"/>
    </row>
    <row r="1127" spans="18:18" x14ac:dyDescent="0.2">
      <c r="R1127" s="59"/>
    </row>
    <row r="1128" spans="18:18" x14ac:dyDescent="0.2">
      <c r="R1128" s="59"/>
    </row>
    <row r="1129" spans="18:18" x14ac:dyDescent="0.2">
      <c r="R1129" s="59"/>
    </row>
    <row r="1130" spans="18:18" x14ac:dyDescent="0.2">
      <c r="R1130" s="59"/>
    </row>
    <row r="1131" spans="18:18" x14ac:dyDescent="0.2">
      <c r="R1131" s="59"/>
    </row>
    <row r="1132" spans="18:18" x14ac:dyDescent="0.2">
      <c r="R1132" s="59"/>
    </row>
    <row r="1133" spans="18:18" x14ac:dyDescent="0.2">
      <c r="R1133" s="59"/>
    </row>
    <row r="1134" spans="18:18" x14ac:dyDescent="0.2">
      <c r="R1134" s="59"/>
    </row>
    <row r="1135" spans="18:18" x14ac:dyDescent="0.2">
      <c r="R1135" s="59"/>
    </row>
    <row r="1136" spans="18:18" x14ac:dyDescent="0.2">
      <c r="R1136" s="59"/>
    </row>
    <row r="1137" spans="18:18" x14ac:dyDescent="0.2">
      <c r="R1137" s="59"/>
    </row>
    <row r="1138" spans="18:18" x14ac:dyDescent="0.2">
      <c r="R1138" s="59"/>
    </row>
    <row r="1139" spans="18:18" x14ac:dyDescent="0.2">
      <c r="R1139" s="59"/>
    </row>
    <row r="1140" spans="18:18" x14ac:dyDescent="0.2">
      <c r="R1140" s="59"/>
    </row>
    <row r="1141" spans="18:18" x14ac:dyDescent="0.2">
      <c r="R1141" s="59"/>
    </row>
    <row r="1142" spans="18:18" x14ac:dyDescent="0.2">
      <c r="R1142" s="59"/>
    </row>
    <row r="1143" spans="18:18" x14ac:dyDescent="0.2">
      <c r="R1143" s="59"/>
    </row>
    <row r="1144" spans="18:18" x14ac:dyDescent="0.2">
      <c r="R1144" s="59"/>
    </row>
    <row r="1145" spans="18:18" x14ac:dyDescent="0.2">
      <c r="R1145" s="59"/>
    </row>
    <row r="1146" spans="18:18" x14ac:dyDescent="0.2">
      <c r="R1146" s="59"/>
    </row>
    <row r="1147" spans="18:18" x14ac:dyDescent="0.2">
      <c r="R1147" s="59"/>
    </row>
    <row r="1148" spans="18:18" x14ac:dyDescent="0.2">
      <c r="R1148" s="59"/>
    </row>
    <row r="1149" spans="18:18" x14ac:dyDescent="0.2">
      <c r="R1149" s="59"/>
    </row>
    <row r="1150" spans="18:18" x14ac:dyDescent="0.2">
      <c r="R1150" s="59"/>
    </row>
    <row r="1151" spans="18:18" x14ac:dyDescent="0.2">
      <c r="R1151" s="59"/>
    </row>
    <row r="1152" spans="18:18" x14ac:dyDescent="0.2">
      <c r="R1152" s="59"/>
    </row>
    <row r="1153" spans="18:18" x14ac:dyDescent="0.2">
      <c r="R1153" s="59"/>
    </row>
    <row r="1154" spans="18:18" x14ac:dyDescent="0.2">
      <c r="R1154" s="59"/>
    </row>
    <row r="1155" spans="18:18" x14ac:dyDescent="0.2">
      <c r="R1155" s="59"/>
    </row>
    <row r="1156" spans="18:18" x14ac:dyDescent="0.2">
      <c r="R1156" s="59"/>
    </row>
    <row r="1157" spans="18:18" x14ac:dyDescent="0.2">
      <c r="R1157" s="59"/>
    </row>
    <row r="1158" spans="18:18" x14ac:dyDescent="0.2">
      <c r="R1158" s="59"/>
    </row>
    <row r="1159" spans="18:18" x14ac:dyDescent="0.2">
      <c r="R1159" s="59"/>
    </row>
    <row r="1160" spans="18:18" x14ac:dyDescent="0.2">
      <c r="R1160" s="59"/>
    </row>
    <row r="1161" spans="18:18" x14ac:dyDescent="0.2">
      <c r="R1161" s="59"/>
    </row>
    <row r="1162" spans="18:18" x14ac:dyDescent="0.2">
      <c r="R1162" s="59"/>
    </row>
    <row r="1163" spans="18:18" x14ac:dyDescent="0.2">
      <c r="R1163" s="59"/>
    </row>
    <row r="1164" spans="18:18" x14ac:dyDescent="0.2">
      <c r="R1164" s="59"/>
    </row>
    <row r="1165" spans="18:18" x14ac:dyDescent="0.2">
      <c r="R1165" s="59"/>
    </row>
    <row r="1166" spans="18:18" x14ac:dyDescent="0.2">
      <c r="R1166" s="59"/>
    </row>
    <row r="1167" spans="18:18" x14ac:dyDescent="0.2">
      <c r="R1167" s="59"/>
    </row>
    <row r="1168" spans="18:18" x14ac:dyDescent="0.2">
      <c r="R1168" s="59"/>
    </row>
    <row r="1169" spans="18:18" x14ac:dyDescent="0.2">
      <c r="R1169" s="59"/>
    </row>
    <row r="1170" spans="18:18" x14ac:dyDescent="0.2">
      <c r="R1170" s="59"/>
    </row>
    <row r="1171" spans="18:18" x14ac:dyDescent="0.2">
      <c r="R1171" s="59"/>
    </row>
    <row r="1172" spans="18:18" x14ac:dyDescent="0.2">
      <c r="R1172" s="59"/>
    </row>
    <row r="1173" spans="18:18" x14ac:dyDescent="0.2">
      <c r="R1173" s="59"/>
    </row>
    <row r="1174" spans="18:18" x14ac:dyDescent="0.2">
      <c r="R1174" s="59"/>
    </row>
    <row r="1175" spans="18:18" x14ac:dyDescent="0.2">
      <c r="R1175" s="59"/>
    </row>
    <row r="1176" spans="18:18" x14ac:dyDescent="0.2">
      <c r="R1176" s="59"/>
    </row>
    <row r="1177" spans="18:18" x14ac:dyDescent="0.2">
      <c r="R1177" s="59"/>
    </row>
    <row r="1178" spans="18:18" x14ac:dyDescent="0.2">
      <c r="R1178" s="59"/>
    </row>
    <row r="1179" spans="18:18" x14ac:dyDescent="0.2">
      <c r="R1179" s="59"/>
    </row>
    <row r="1180" spans="18:18" x14ac:dyDescent="0.2">
      <c r="R1180" s="59"/>
    </row>
    <row r="1181" spans="18:18" x14ac:dyDescent="0.2">
      <c r="R1181" s="59"/>
    </row>
    <row r="1182" spans="18:18" x14ac:dyDescent="0.2">
      <c r="R1182" s="59"/>
    </row>
    <row r="1183" spans="18:18" x14ac:dyDescent="0.2">
      <c r="R1183" s="59"/>
    </row>
    <row r="1184" spans="18:18" x14ac:dyDescent="0.2">
      <c r="R1184" s="59"/>
    </row>
    <row r="1185" spans="18:18" x14ac:dyDescent="0.2">
      <c r="R1185" s="59"/>
    </row>
    <row r="1186" spans="18:18" x14ac:dyDescent="0.2">
      <c r="R1186" s="59"/>
    </row>
    <row r="1187" spans="18:18" x14ac:dyDescent="0.2">
      <c r="R1187" s="59"/>
    </row>
    <row r="1188" spans="18:18" x14ac:dyDescent="0.2">
      <c r="R1188" s="59"/>
    </row>
    <row r="1189" spans="18:18" x14ac:dyDescent="0.2">
      <c r="R1189" s="59"/>
    </row>
    <row r="1190" spans="18:18" x14ac:dyDescent="0.2">
      <c r="R1190" s="59"/>
    </row>
    <row r="1191" spans="18:18" x14ac:dyDescent="0.2">
      <c r="R1191" s="59"/>
    </row>
    <row r="1192" spans="18:18" x14ac:dyDescent="0.2">
      <c r="R1192" s="59"/>
    </row>
    <row r="1193" spans="18:18" x14ac:dyDescent="0.2">
      <c r="R1193" s="59"/>
    </row>
    <row r="1194" spans="18:18" x14ac:dyDescent="0.2">
      <c r="R1194" s="59"/>
    </row>
    <row r="1195" spans="18:18" x14ac:dyDescent="0.2">
      <c r="R1195" s="59"/>
    </row>
    <row r="1196" spans="18:18" x14ac:dyDescent="0.2">
      <c r="R1196" s="59"/>
    </row>
    <row r="1197" spans="18:18" x14ac:dyDescent="0.2">
      <c r="R1197" s="59"/>
    </row>
    <row r="1198" spans="18:18" x14ac:dyDescent="0.2">
      <c r="R1198" s="59"/>
    </row>
    <row r="1199" spans="18:18" x14ac:dyDescent="0.2">
      <c r="R1199" s="59"/>
    </row>
    <row r="1200" spans="18:18" x14ac:dyDescent="0.2">
      <c r="R1200" s="59"/>
    </row>
    <row r="1201" spans="18:18" x14ac:dyDescent="0.2">
      <c r="R1201" s="59"/>
    </row>
    <row r="1202" spans="18:18" x14ac:dyDescent="0.2">
      <c r="R1202" s="59"/>
    </row>
    <row r="1203" spans="18:18" x14ac:dyDescent="0.2">
      <c r="R1203" s="59"/>
    </row>
    <row r="1204" spans="18:18" x14ac:dyDescent="0.2">
      <c r="R1204" s="59"/>
    </row>
    <row r="1205" spans="18:18" x14ac:dyDescent="0.2">
      <c r="R1205" s="59"/>
    </row>
    <row r="1206" spans="18:18" x14ac:dyDescent="0.2">
      <c r="R1206" s="59"/>
    </row>
    <row r="1207" spans="18:18" x14ac:dyDescent="0.2">
      <c r="R1207" s="59"/>
    </row>
    <row r="1208" spans="18:18" x14ac:dyDescent="0.2">
      <c r="R1208" s="59"/>
    </row>
    <row r="1209" spans="18:18" x14ac:dyDescent="0.2">
      <c r="R1209" s="59"/>
    </row>
    <row r="1210" spans="18:18" x14ac:dyDescent="0.2">
      <c r="R1210" s="59"/>
    </row>
    <row r="1211" spans="18:18" x14ac:dyDescent="0.2">
      <c r="R1211" s="59"/>
    </row>
    <row r="1212" spans="18:18" x14ac:dyDescent="0.2">
      <c r="R1212" s="59"/>
    </row>
    <row r="1213" spans="18:18" x14ac:dyDescent="0.2">
      <c r="R1213" s="59"/>
    </row>
    <row r="1214" spans="18:18" x14ac:dyDescent="0.2">
      <c r="R1214" s="59"/>
    </row>
    <row r="1215" spans="18:18" x14ac:dyDescent="0.2">
      <c r="R1215" s="59"/>
    </row>
    <row r="1216" spans="18:18" x14ac:dyDescent="0.2">
      <c r="R1216" s="59"/>
    </row>
    <row r="1217" spans="18:18" x14ac:dyDescent="0.2">
      <c r="R1217" s="59"/>
    </row>
    <row r="1218" spans="18:18" x14ac:dyDescent="0.2">
      <c r="R1218" s="59"/>
    </row>
    <row r="1219" spans="18:18" x14ac:dyDescent="0.2">
      <c r="R1219" s="59"/>
    </row>
    <row r="1220" spans="18:18" x14ac:dyDescent="0.2">
      <c r="R1220" s="59"/>
    </row>
    <row r="1221" spans="18:18" x14ac:dyDescent="0.2">
      <c r="R1221" s="59"/>
    </row>
    <row r="1222" spans="18:18" x14ac:dyDescent="0.2">
      <c r="R1222" s="59"/>
    </row>
    <row r="1223" spans="18:18" x14ac:dyDescent="0.2">
      <c r="R1223" s="59"/>
    </row>
    <row r="1224" spans="18:18" x14ac:dyDescent="0.2">
      <c r="R1224" s="59"/>
    </row>
    <row r="1225" spans="18:18" x14ac:dyDescent="0.2">
      <c r="R1225" s="59"/>
    </row>
    <row r="1226" spans="18:18" x14ac:dyDescent="0.2">
      <c r="R1226" s="59"/>
    </row>
    <row r="1227" spans="18:18" x14ac:dyDescent="0.2">
      <c r="R1227" s="59"/>
    </row>
    <row r="1228" spans="18:18" x14ac:dyDescent="0.2">
      <c r="R1228" s="59"/>
    </row>
    <row r="1229" spans="18:18" x14ac:dyDescent="0.2">
      <c r="R1229" s="59"/>
    </row>
    <row r="1230" spans="18:18" x14ac:dyDescent="0.2">
      <c r="R1230" s="59"/>
    </row>
    <row r="1231" spans="18:18" x14ac:dyDescent="0.2">
      <c r="R1231" s="59"/>
    </row>
    <row r="1232" spans="18:18" x14ac:dyDescent="0.2">
      <c r="R1232" s="59"/>
    </row>
    <row r="1233" spans="18:18" x14ac:dyDescent="0.2">
      <c r="R1233" s="59"/>
    </row>
    <row r="1234" spans="18:18" x14ac:dyDescent="0.2">
      <c r="R1234" s="59"/>
    </row>
    <row r="1235" spans="18:18" x14ac:dyDescent="0.2">
      <c r="R1235" s="59"/>
    </row>
    <row r="1236" spans="18:18" x14ac:dyDescent="0.2">
      <c r="R1236" s="59"/>
    </row>
    <row r="1237" spans="18:18" x14ac:dyDescent="0.2">
      <c r="R1237" s="59"/>
    </row>
    <row r="1238" spans="18:18" x14ac:dyDescent="0.2">
      <c r="R1238" s="59"/>
    </row>
    <row r="1239" spans="18:18" x14ac:dyDescent="0.2">
      <c r="R1239" s="59"/>
    </row>
    <row r="1240" spans="18:18" x14ac:dyDescent="0.2">
      <c r="R1240" s="59"/>
    </row>
    <row r="1241" spans="18:18" x14ac:dyDescent="0.2">
      <c r="R1241" s="59"/>
    </row>
    <row r="1242" spans="18:18" x14ac:dyDescent="0.2">
      <c r="R1242" s="59"/>
    </row>
    <row r="1243" spans="18:18" x14ac:dyDescent="0.2">
      <c r="R1243" s="59"/>
    </row>
    <row r="1244" spans="18:18" x14ac:dyDescent="0.2">
      <c r="R1244" s="59"/>
    </row>
    <row r="1245" spans="18:18" x14ac:dyDescent="0.2">
      <c r="R1245" s="59"/>
    </row>
    <row r="1246" spans="18:18" x14ac:dyDescent="0.2">
      <c r="R1246" s="59"/>
    </row>
    <row r="1247" spans="18:18" x14ac:dyDescent="0.2">
      <c r="R1247" s="59"/>
    </row>
    <row r="1248" spans="18:18" x14ac:dyDescent="0.2">
      <c r="R1248" s="59"/>
    </row>
    <row r="1249" spans="18:18" x14ac:dyDescent="0.2">
      <c r="R1249" s="59"/>
    </row>
    <row r="1250" spans="18:18" x14ac:dyDescent="0.2">
      <c r="R1250" s="59"/>
    </row>
    <row r="1251" spans="18:18" x14ac:dyDescent="0.2">
      <c r="R1251" s="59"/>
    </row>
    <row r="1252" spans="18:18" x14ac:dyDescent="0.2">
      <c r="R1252" s="59"/>
    </row>
    <row r="1253" spans="18:18" x14ac:dyDescent="0.2">
      <c r="R1253" s="59"/>
    </row>
    <row r="1254" spans="18:18" x14ac:dyDescent="0.2">
      <c r="R1254" s="59"/>
    </row>
    <row r="1255" spans="18:18" x14ac:dyDescent="0.2">
      <c r="R1255" s="59"/>
    </row>
    <row r="1256" spans="18:18" x14ac:dyDescent="0.2">
      <c r="R1256" s="59"/>
    </row>
    <row r="1257" spans="18:18" x14ac:dyDescent="0.2">
      <c r="R1257" s="59"/>
    </row>
    <row r="1258" spans="18:18" x14ac:dyDescent="0.2">
      <c r="R1258" s="59"/>
    </row>
    <row r="1259" spans="18:18" x14ac:dyDescent="0.2">
      <c r="R1259" s="59"/>
    </row>
    <row r="1260" spans="18:18" x14ac:dyDescent="0.2">
      <c r="R1260" s="59"/>
    </row>
    <row r="1261" spans="18:18" x14ac:dyDescent="0.2">
      <c r="R1261" s="59"/>
    </row>
    <row r="1262" spans="18:18" x14ac:dyDescent="0.2">
      <c r="R1262" s="59"/>
    </row>
    <row r="1263" spans="18:18" x14ac:dyDescent="0.2">
      <c r="R1263" s="59"/>
    </row>
    <row r="1264" spans="18:18" x14ac:dyDescent="0.2">
      <c r="R1264" s="59"/>
    </row>
    <row r="1265" spans="18:18" x14ac:dyDescent="0.2">
      <c r="R1265" s="59"/>
    </row>
    <row r="1266" spans="18:18" x14ac:dyDescent="0.2">
      <c r="R1266" s="59"/>
    </row>
    <row r="1267" spans="18:18" x14ac:dyDescent="0.2">
      <c r="R1267" s="59"/>
    </row>
    <row r="1268" spans="18:18" x14ac:dyDescent="0.2">
      <c r="R1268" s="59"/>
    </row>
    <row r="1269" spans="18:18" x14ac:dyDescent="0.2">
      <c r="R1269" s="59"/>
    </row>
    <row r="1270" spans="18:18" x14ac:dyDescent="0.2">
      <c r="R1270" s="59"/>
    </row>
    <row r="1271" spans="18:18" x14ac:dyDescent="0.2">
      <c r="R1271" s="59"/>
    </row>
    <row r="1272" spans="18:18" x14ac:dyDescent="0.2">
      <c r="R1272" s="59"/>
    </row>
    <row r="1273" spans="18:18" x14ac:dyDescent="0.2">
      <c r="R1273" s="59"/>
    </row>
    <row r="1274" spans="18:18" x14ac:dyDescent="0.2">
      <c r="R1274" s="59"/>
    </row>
    <row r="1275" spans="18:18" x14ac:dyDescent="0.2">
      <c r="R1275" s="59"/>
    </row>
    <row r="1276" spans="18:18" x14ac:dyDescent="0.2">
      <c r="R1276" s="59"/>
    </row>
    <row r="1277" spans="18:18" x14ac:dyDescent="0.2">
      <c r="R1277" s="59"/>
    </row>
    <row r="1278" spans="18:18" x14ac:dyDescent="0.2">
      <c r="R1278" s="59"/>
    </row>
    <row r="1279" spans="18:18" x14ac:dyDescent="0.2">
      <c r="R1279" s="59"/>
    </row>
    <row r="1280" spans="18:18" x14ac:dyDescent="0.2">
      <c r="R1280" s="59"/>
    </row>
    <row r="1281" spans="18:18" x14ac:dyDescent="0.2">
      <c r="R1281" s="59"/>
    </row>
    <row r="1282" spans="18:18" x14ac:dyDescent="0.2">
      <c r="R1282" s="59"/>
    </row>
    <row r="1283" spans="18:18" x14ac:dyDescent="0.2">
      <c r="R1283" s="59"/>
    </row>
    <row r="1284" spans="18:18" x14ac:dyDescent="0.2">
      <c r="R1284" s="59"/>
    </row>
    <row r="1285" spans="18:18" x14ac:dyDescent="0.2">
      <c r="R1285" s="59"/>
    </row>
    <row r="1286" spans="18:18" x14ac:dyDescent="0.2">
      <c r="R1286" s="59"/>
    </row>
    <row r="1287" spans="18:18" x14ac:dyDescent="0.2">
      <c r="R1287" s="59"/>
    </row>
    <row r="1288" spans="18:18" x14ac:dyDescent="0.2">
      <c r="R1288" s="59"/>
    </row>
    <row r="1289" spans="18:18" x14ac:dyDescent="0.2">
      <c r="R1289" s="59"/>
    </row>
    <row r="1290" spans="18:18" x14ac:dyDescent="0.2">
      <c r="R1290" s="59"/>
    </row>
    <row r="1291" spans="18:18" x14ac:dyDescent="0.2">
      <c r="R1291" s="59"/>
    </row>
    <row r="1292" spans="18:18" x14ac:dyDescent="0.2">
      <c r="R1292" s="59"/>
    </row>
    <row r="1293" spans="18:18" x14ac:dyDescent="0.2">
      <c r="R1293" s="59"/>
    </row>
    <row r="1294" spans="18:18" x14ac:dyDescent="0.2">
      <c r="R1294" s="59"/>
    </row>
    <row r="1295" spans="18:18" x14ac:dyDescent="0.2">
      <c r="R1295" s="59"/>
    </row>
    <row r="1296" spans="18:18" x14ac:dyDescent="0.2">
      <c r="R1296" s="59"/>
    </row>
    <row r="1297" spans="18:18" x14ac:dyDescent="0.2">
      <c r="R1297" s="59"/>
    </row>
    <row r="1298" spans="18:18" x14ac:dyDescent="0.2">
      <c r="R1298" s="59"/>
    </row>
    <row r="1299" spans="18:18" x14ac:dyDescent="0.2">
      <c r="R1299" s="59"/>
    </row>
    <row r="1300" spans="18:18" x14ac:dyDescent="0.2">
      <c r="R1300" s="59"/>
    </row>
    <row r="1301" spans="18:18" x14ac:dyDescent="0.2">
      <c r="R1301" s="59"/>
    </row>
    <row r="1302" spans="18:18" x14ac:dyDescent="0.2">
      <c r="R1302" s="59"/>
    </row>
    <row r="1303" spans="18:18" x14ac:dyDescent="0.2">
      <c r="R1303" s="59"/>
    </row>
    <row r="1304" spans="18:18" x14ac:dyDescent="0.2">
      <c r="R1304" s="59"/>
    </row>
    <row r="1305" spans="18:18" x14ac:dyDescent="0.2">
      <c r="R1305" s="59"/>
    </row>
    <row r="1306" spans="18:18" x14ac:dyDescent="0.2">
      <c r="R1306" s="59"/>
    </row>
    <row r="1307" spans="18:18" x14ac:dyDescent="0.2">
      <c r="R1307" s="59"/>
    </row>
    <row r="1308" spans="18:18" x14ac:dyDescent="0.2">
      <c r="R1308" s="59"/>
    </row>
    <row r="1309" spans="18:18" x14ac:dyDescent="0.2">
      <c r="R1309" s="59"/>
    </row>
    <row r="1310" spans="18:18" x14ac:dyDescent="0.2">
      <c r="R1310" s="59"/>
    </row>
    <row r="1311" spans="18:18" x14ac:dyDescent="0.2">
      <c r="R1311" s="59"/>
    </row>
    <row r="1312" spans="18:18" x14ac:dyDescent="0.2">
      <c r="R1312" s="59"/>
    </row>
    <row r="1313" spans="18:18" x14ac:dyDescent="0.2">
      <c r="R1313" s="59"/>
    </row>
    <row r="1314" spans="18:18" x14ac:dyDescent="0.2">
      <c r="R1314" s="59"/>
    </row>
    <row r="1315" spans="18:18" x14ac:dyDescent="0.2">
      <c r="R1315" s="59"/>
    </row>
    <row r="1316" spans="18:18" x14ac:dyDescent="0.2">
      <c r="R1316" s="59"/>
    </row>
    <row r="1317" spans="18:18" x14ac:dyDescent="0.2">
      <c r="R1317" s="59"/>
    </row>
    <row r="1318" spans="18:18" x14ac:dyDescent="0.2">
      <c r="R1318" s="59"/>
    </row>
    <row r="1319" spans="18:18" x14ac:dyDescent="0.2">
      <c r="R1319" s="59"/>
    </row>
    <row r="1320" spans="18:18" x14ac:dyDescent="0.2">
      <c r="R1320" s="59"/>
    </row>
    <row r="1321" spans="18:18" x14ac:dyDescent="0.2">
      <c r="R1321" s="59"/>
    </row>
    <row r="1322" spans="18:18" x14ac:dyDescent="0.2">
      <c r="R1322" s="59"/>
    </row>
    <row r="1323" spans="18:18" x14ac:dyDescent="0.2">
      <c r="R1323" s="59"/>
    </row>
    <row r="1324" spans="18:18" x14ac:dyDescent="0.2">
      <c r="R1324" s="59"/>
    </row>
    <row r="1325" spans="18:18" x14ac:dyDescent="0.2">
      <c r="R1325" s="59"/>
    </row>
    <row r="1326" spans="18:18" x14ac:dyDescent="0.2">
      <c r="R1326" s="59"/>
    </row>
    <row r="1327" spans="18:18" x14ac:dyDescent="0.2">
      <c r="R1327" s="59"/>
    </row>
    <row r="1328" spans="18:18" x14ac:dyDescent="0.2">
      <c r="R1328" s="59"/>
    </row>
    <row r="1329" spans="18:18" x14ac:dyDescent="0.2">
      <c r="R1329" s="59"/>
    </row>
    <row r="1330" spans="18:18" x14ac:dyDescent="0.2">
      <c r="R1330" s="59"/>
    </row>
    <row r="1331" spans="18:18" x14ac:dyDescent="0.2">
      <c r="R1331" s="59"/>
    </row>
    <row r="1332" spans="18:18" x14ac:dyDescent="0.2">
      <c r="R1332" s="59"/>
    </row>
    <row r="1333" spans="18:18" x14ac:dyDescent="0.2">
      <c r="R1333" s="59"/>
    </row>
    <row r="1334" spans="18:18" x14ac:dyDescent="0.2">
      <c r="R1334" s="59"/>
    </row>
    <row r="1335" spans="18:18" x14ac:dyDescent="0.2">
      <c r="R1335" s="59"/>
    </row>
    <row r="1336" spans="18:18" x14ac:dyDescent="0.2">
      <c r="R1336" s="59"/>
    </row>
    <row r="1337" spans="18:18" x14ac:dyDescent="0.2">
      <c r="R1337" s="59"/>
    </row>
    <row r="1338" spans="18:18" x14ac:dyDescent="0.2">
      <c r="R1338" s="59"/>
    </row>
    <row r="1339" spans="18:18" x14ac:dyDescent="0.2">
      <c r="R1339" s="59"/>
    </row>
    <row r="1340" spans="18:18" x14ac:dyDescent="0.2">
      <c r="R1340" s="59"/>
    </row>
    <row r="1341" spans="18:18" x14ac:dyDescent="0.2">
      <c r="R1341" s="59"/>
    </row>
    <row r="1342" spans="18:18" x14ac:dyDescent="0.2">
      <c r="R1342" s="59"/>
    </row>
    <row r="1343" spans="18:18" x14ac:dyDescent="0.2">
      <c r="R1343" s="59"/>
    </row>
    <row r="1344" spans="18:18" x14ac:dyDescent="0.2">
      <c r="R1344" s="59"/>
    </row>
    <row r="1345" spans="18:18" x14ac:dyDescent="0.2">
      <c r="R1345" s="59"/>
    </row>
    <row r="1346" spans="18:18" x14ac:dyDescent="0.2">
      <c r="R1346" s="59"/>
    </row>
    <row r="1347" spans="18:18" x14ac:dyDescent="0.2">
      <c r="R1347" s="59"/>
    </row>
    <row r="1348" spans="18:18" x14ac:dyDescent="0.2">
      <c r="R1348" s="59"/>
    </row>
    <row r="1349" spans="18:18" x14ac:dyDescent="0.2">
      <c r="R1349" s="59"/>
    </row>
    <row r="1350" spans="18:18" x14ac:dyDescent="0.2">
      <c r="R1350" s="59"/>
    </row>
    <row r="1351" spans="18:18" x14ac:dyDescent="0.2">
      <c r="R1351" s="59"/>
    </row>
    <row r="1352" spans="18:18" x14ac:dyDescent="0.2">
      <c r="R1352" s="59"/>
    </row>
    <row r="1353" spans="18:18" x14ac:dyDescent="0.2">
      <c r="R1353" s="59"/>
    </row>
    <row r="1354" spans="18:18" x14ac:dyDescent="0.2">
      <c r="R1354" s="59"/>
    </row>
    <row r="1355" spans="18:18" x14ac:dyDescent="0.2">
      <c r="R1355" s="59"/>
    </row>
    <row r="1356" spans="18:18" x14ac:dyDescent="0.2">
      <c r="R1356" s="59"/>
    </row>
    <row r="1357" spans="18:18" x14ac:dyDescent="0.2">
      <c r="R1357" s="59"/>
    </row>
    <row r="1358" spans="18:18" x14ac:dyDescent="0.2">
      <c r="R1358" s="59"/>
    </row>
    <row r="1359" spans="18:18" x14ac:dyDescent="0.2">
      <c r="R1359" s="59"/>
    </row>
    <row r="1360" spans="18:18" x14ac:dyDescent="0.2">
      <c r="R1360" s="59"/>
    </row>
    <row r="1361" spans="18:18" x14ac:dyDescent="0.2">
      <c r="R1361" s="59"/>
    </row>
    <row r="1362" spans="18:18" x14ac:dyDescent="0.2">
      <c r="R1362" s="59"/>
    </row>
    <row r="1363" spans="18:18" x14ac:dyDescent="0.2">
      <c r="R1363" s="59"/>
    </row>
    <row r="1364" spans="18:18" x14ac:dyDescent="0.2">
      <c r="R1364" s="59"/>
    </row>
    <row r="1365" spans="18:18" x14ac:dyDescent="0.2">
      <c r="R1365" s="59"/>
    </row>
    <row r="1366" spans="18:18" x14ac:dyDescent="0.2">
      <c r="R1366" s="59"/>
    </row>
    <row r="1367" spans="18:18" x14ac:dyDescent="0.2">
      <c r="R1367" s="59"/>
    </row>
    <row r="1368" spans="18:18" x14ac:dyDescent="0.2">
      <c r="R1368" s="59"/>
    </row>
    <row r="1369" spans="18:18" x14ac:dyDescent="0.2">
      <c r="R1369" s="59"/>
    </row>
    <row r="1370" spans="18:18" x14ac:dyDescent="0.2">
      <c r="R1370" s="59"/>
    </row>
    <row r="1371" spans="18:18" x14ac:dyDescent="0.2">
      <c r="R1371" s="59"/>
    </row>
    <row r="1372" spans="18:18" x14ac:dyDescent="0.2">
      <c r="R1372" s="59"/>
    </row>
    <row r="1373" spans="18:18" x14ac:dyDescent="0.2">
      <c r="R1373" s="59"/>
    </row>
    <row r="1374" spans="18:18" x14ac:dyDescent="0.2">
      <c r="R1374" s="59"/>
    </row>
    <row r="1375" spans="18:18" x14ac:dyDescent="0.2">
      <c r="R1375" s="59"/>
    </row>
    <row r="1376" spans="18:18" x14ac:dyDescent="0.2">
      <c r="R1376" s="59"/>
    </row>
    <row r="1377" spans="18:18" x14ac:dyDescent="0.2">
      <c r="R1377" s="59"/>
    </row>
    <row r="1378" spans="18:18" x14ac:dyDescent="0.2">
      <c r="R1378" s="59"/>
    </row>
    <row r="1379" spans="18:18" x14ac:dyDescent="0.2">
      <c r="R1379" s="59"/>
    </row>
    <row r="1380" spans="18:18" x14ac:dyDescent="0.2">
      <c r="R1380" s="59"/>
    </row>
    <row r="1381" spans="18:18" x14ac:dyDescent="0.2">
      <c r="R1381" s="59"/>
    </row>
    <row r="1382" spans="18:18" x14ac:dyDescent="0.2">
      <c r="R1382" s="59"/>
    </row>
    <row r="1383" spans="18:18" x14ac:dyDescent="0.2">
      <c r="R1383" s="59"/>
    </row>
    <row r="1384" spans="18:18" x14ac:dyDescent="0.2">
      <c r="R1384" s="59"/>
    </row>
    <row r="1385" spans="18:18" x14ac:dyDescent="0.2">
      <c r="R1385" s="59"/>
    </row>
    <row r="1386" spans="18:18" x14ac:dyDescent="0.2">
      <c r="R1386" s="59"/>
    </row>
    <row r="1387" spans="18:18" x14ac:dyDescent="0.2">
      <c r="R1387" s="59"/>
    </row>
    <row r="1388" spans="18:18" x14ac:dyDescent="0.2">
      <c r="R1388" s="59"/>
    </row>
    <row r="1389" spans="18:18" x14ac:dyDescent="0.2">
      <c r="R1389" s="59"/>
    </row>
    <row r="1390" spans="18:18" x14ac:dyDescent="0.2">
      <c r="R1390" s="59"/>
    </row>
    <row r="1391" spans="18:18" x14ac:dyDescent="0.2">
      <c r="R1391" s="59"/>
    </row>
    <row r="1392" spans="18:18" x14ac:dyDescent="0.2">
      <c r="R1392" s="59"/>
    </row>
    <row r="1393" spans="18:18" x14ac:dyDescent="0.2">
      <c r="R1393" s="59"/>
    </row>
    <row r="1394" spans="18:18" x14ac:dyDescent="0.2">
      <c r="R1394" s="59"/>
    </row>
    <row r="1395" spans="18:18" x14ac:dyDescent="0.2">
      <c r="R1395" s="59"/>
    </row>
    <row r="1396" spans="18:18" x14ac:dyDescent="0.2">
      <c r="R1396" s="59"/>
    </row>
    <row r="1397" spans="18:18" x14ac:dyDescent="0.2">
      <c r="R1397" s="59"/>
    </row>
    <row r="1398" spans="18:18" x14ac:dyDescent="0.2">
      <c r="R1398" s="59"/>
    </row>
    <row r="1399" spans="18:18" x14ac:dyDescent="0.2">
      <c r="R1399" s="59"/>
    </row>
    <row r="1400" spans="18:18" x14ac:dyDescent="0.2">
      <c r="R1400" s="59"/>
    </row>
    <row r="1401" spans="18:18" x14ac:dyDescent="0.2">
      <c r="R1401" s="59"/>
    </row>
    <row r="1402" spans="18:18" x14ac:dyDescent="0.2">
      <c r="R1402" s="59"/>
    </row>
    <row r="1403" spans="18:18" x14ac:dyDescent="0.2">
      <c r="R1403" s="59"/>
    </row>
    <row r="1404" spans="18:18" x14ac:dyDescent="0.2">
      <c r="R1404" s="59"/>
    </row>
    <row r="1405" spans="18:18" x14ac:dyDescent="0.2">
      <c r="R1405" s="59"/>
    </row>
    <row r="1406" spans="18:18" x14ac:dyDescent="0.2">
      <c r="R1406" s="59"/>
    </row>
    <row r="1407" spans="18:18" x14ac:dyDescent="0.2">
      <c r="R1407" s="59"/>
    </row>
    <row r="1408" spans="18:18" x14ac:dyDescent="0.2">
      <c r="R1408" s="59"/>
    </row>
    <row r="1409" spans="18:18" x14ac:dyDescent="0.2">
      <c r="R1409" s="59"/>
    </row>
    <row r="1410" spans="18:18" x14ac:dyDescent="0.2">
      <c r="R1410" s="59"/>
    </row>
    <row r="1411" spans="18:18" x14ac:dyDescent="0.2">
      <c r="R1411" s="59"/>
    </row>
    <row r="1412" spans="18:18" x14ac:dyDescent="0.2">
      <c r="R1412" s="59"/>
    </row>
    <row r="1413" spans="18:18" x14ac:dyDescent="0.2">
      <c r="R1413" s="59"/>
    </row>
    <row r="1414" spans="18:18" x14ac:dyDescent="0.2">
      <c r="R1414" s="59"/>
    </row>
    <row r="1415" spans="18:18" x14ac:dyDescent="0.2">
      <c r="R1415" s="59"/>
    </row>
    <row r="1416" spans="18:18" x14ac:dyDescent="0.2">
      <c r="R1416" s="59"/>
    </row>
    <row r="1417" spans="18:18" x14ac:dyDescent="0.2">
      <c r="R1417" s="59"/>
    </row>
    <row r="1418" spans="18:18" x14ac:dyDescent="0.2">
      <c r="R1418" s="59"/>
    </row>
    <row r="1419" spans="18:18" x14ac:dyDescent="0.2">
      <c r="R1419" s="59"/>
    </row>
    <row r="1420" spans="18:18" x14ac:dyDescent="0.2">
      <c r="R1420" s="59"/>
    </row>
    <row r="1421" spans="18:18" x14ac:dyDescent="0.2">
      <c r="R1421" s="59"/>
    </row>
    <row r="1422" spans="18:18" x14ac:dyDescent="0.2">
      <c r="R1422" s="59"/>
    </row>
    <row r="1423" spans="18:18" x14ac:dyDescent="0.2">
      <c r="R1423" s="59"/>
    </row>
    <row r="1424" spans="18:18" x14ac:dyDescent="0.2">
      <c r="R1424" s="59"/>
    </row>
    <row r="1425" spans="18:18" x14ac:dyDescent="0.2">
      <c r="R1425" s="59"/>
    </row>
    <row r="1426" spans="18:18" x14ac:dyDescent="0.2">
      <c r="R1426" s="59"/>
    </row>
    <row r="1427" spans="18:18" x14ac:dyDescent="0.2">
      <c r="R1427" s="59"/>
    </row>
    <row r="1428" spans="18:18" x14ac:dyDescent="0.2">
      <c r="R1428" s="59"/>
    </row>
    <row r="1429" spans="18:18" x14ac:dyDescent="0.2">
      <c r="R1429" s="59"/>
    </row>
    <row r="1430" spans="18:18" x14ac:dyDescent="0.2">
      <c r="R1430" s="59"/>
    </row>
    <row r="1431" spans="18:18" x14ac:dyDescent="0.2">
      <c r="R1431" s="59"/>
    </row>
    <row r="1432" spans="18:18" x14ac:dyDescent="0.2">
      <c r="R1432" s="59"/>
    </row>
    <row r="1433" spans="18:18" x14ac:dyDescent="0.2">
      <c r="R1433" s="59"/>
    </row>
    <row r="1434" spans="18:18" x14ac:dyDescent="0.2">
      <c r="R1434" s="59"/>
    </row>
    <row r="1435" spans="18:18" x14ac:dyDescent="0.2">
      <c r="R1435" s="59"/>
    </row>
    <row r="1436" spans="18:18" x14ac:dyDescent="0.2">
      <c r="R1436" s="59"/>
    </row>
    <row r="1437" spans="18:18" x14ac:dyDescent="0.2">
      <c r="R1437" s="59"/>
    </row>
    <row r="1438" spans="18:18" x14ac:dyDescent="0.2">
      <c r="R1438" s="59"/>
    </row>
    <row r="1439" spans="18:18" x14ac:dyDescent="0.2">
      <c r="R1439" s="59"/>
    </row>
    <row r="1440" spans="18:18" x14ac:dyDescent="0.2">
      <c r="R1440" s="59"/>
    </row>
    <row r="1441" spans="18:18" x14ac:dyDescent="0.2">
      <c r="R1441" s="59"/>
    </row>
    <row r="1442" spans="18:18" x14ac:dyDescent="0.2">
      <c r="R1442" s="59"/>
    </row>
    <row r="1443" spans="18:18" x14ac:dyDescent="0.2">
      <c r="R1443" s="59"/>
    </row>
    <row r="1444" spans="18:18" x14ac:dyDescent="0.2">
      <c r="R1444" s="59"/>
    </row>
    <row r="1445" spans="18:18" x14ac:dyDescent="0.2">
      <c r="R1445" s="59"/>
    </row>
    <row r="1446" spans="18:18" x14ac:dyDescent="0.2">
      <c r="R1446" s="59"/>
    </row>
    <row r="1447" spans="18:18" x14ac:dyDescent="0.2">
      <c r="R1447" s="59"/>
    </row>
    <row r="1448" spans="18:18" x14ac:dyDescent="0.2">
      <c r="R1448" s="59"/>
    </row>
    <row r="1449" spans="18:18" x14ac:dyDescent="0.2">
      <c r="R1449" s="59"/>
    </row>
    <row r="1450" spans="18:18" x14ac:dyDescent="0.2">
      <c r="R1450" s="59"/>
    </row>
    <row r="1451" spans="18:18" x14ac:dyDescent="0.2">
      <c r="R1451" s="59"/>
    </row>
    <row r="1452" spans="18:18" x14ac:dyDescent="0.2">
      <c r="R1452" s="59"/>
    </row>
    <row r="1453" spans="18:18" x14ac:dyDescent="0.2">
      <c r="R1453" s="59"/>
    </row>
    <row r="1454" spans="18:18" x14ac:dyDescent="0.2">
      <c r="R1454" s="59"/>
    </row>
    <row r="1455" spans="18:18" x14ac:dyDescent="0.2">
      <c r="R1455" s="59"/>
    </row>
    <row r="1456" spans="18:18" x14ac:dyDescent="0.2">
      <c r="R1456" s="59"/>
    </row>
    <row r="1457" spans="18:18" x14ac:dyDescent="0.2">
      <c r="R1457" s="59"/>
    </row>
    <row r="1458" spans="18:18" x14ac:dyDescent="0.2">
      <c r="R1458" s="59"/>
    </row>
    <row r="1459" spans="18:18" x14ac:dyDescent="0.2">
      <c r="R1459" s="59"/>
    </row>
    <row r="1460" spans="18:18" x14ac:dyDescent="0.2">
      <c r="R1460" s="59"/>
    </row>
    <row r="1461" spans="18:18" x14ac:dyDescent="0.2">
      <c r="R1461" s="59"/>
    </row>
    <row r="1462" spans="18:18" x14ac:dyDescent="0.2">
      <c r="R1462" s="59"/>
    </row>
    <row r="1463" spans="18:18" x14ac:dyDescent="0.2">
      <c r="R1463" s="59"/>
    </row>
    <row r="1464" spans="18:18" x14ac:dyDescent="0.2">
      <c r="R1464" s="59"/>
    </row>
    <row r="1465" spans="18:18" x14ac:dyDescent="0.2">
      <c r="R1465" s="59"/>
    </row>
    <row r="1466" spans="18:18" x14ac:dyDescent="0.2">
      <c r="R1466" s="59"/>
    </row>
    <row r="1467" spans="18:18" x14ac:dyDescent="0.2">
      <c r="R1467" s="59"/>
    </row>
    <row r="1468" spans="18:18" x14ac:dyDescent="0.2">
      <c r="R1468" s="59"/>
    </row>
    <row r="1469" spans="18:18" x14ac:dyDescent="0.2">
      <c r="R1469" s="59"/>
    </row>
    <row r="1470" spans="18:18" x14ac:dyDescent="0.2">
      <c r="R1470" s="59"/>
    </row>
    <row r="1471" spans="18:18" x14ac:dyDescent="0.2">
      <c r="R1471" s="59"/>
    </row>
    <row r="1472" spans="18:18" x14ac:dyDescent="0.2">
      <c r="R1472" s="59"/>
    </row>
    <row r="1473" spans="18:18" x14ac:dyDescent="0.2">
      <c r="R1473" s="59"/>
    </row>
    <row r="1474" spans="18:18" x14ac:dyDescent="0.2">
      <c r="R1474" s="59"/>
    </row>
    <row r="1475" spans="18:18" x14ac:dyDescent="0.2">
      <c r="R1475" s="59"/>
    </row>
    <row r="1476" spans="18:18" x14ac:dyDescent="0.2">
      <c r="R1476" s="59"/>
    </row>
    <row r="1477" spans="18:18" x14ac:dyDescent="0.2">
      <c r="R1477" s="59"/>
    </row>
    <row r="1478" spans="18:18" x14ac:dyDescent="0.2">
      <c r="R1478" s="59"/>
    </row>
    <row r="1479" spans="18:18" x14ac:dyDescent="0.2">
      <c r="R1479" s="59"/>
    </row>
    <row r="1480" spans="18:18" x14ac:dyDescent="0.2">
      <c r="R1480" s="59"/>
    </row>
    <row r="1481" spans="18:18" x14ac:dyDescent="0.2">
      <c r="R1481" s="59"/>
    </row>
    <row r="1482" spans="18:18" x14ac:dyDescent="0.2">
      <c r="R1482" s="59"/>
    </row>
    <row r="1483" spans="18:18" x14ac:dyDescent="0.2">
      <c r="R1483" s="59"/>
    </row>
    <row r="1484" spans="18:18" x14ac:dyDescent="0.2">
      <c r="R1484" s="59"/>
    </row>
    <row r="1485" spans="18:18" x14ac:dyDescent="0.2">
      <c r="R1485" s="59"/>
    </row>
    <row r="1486" spans="18:18" x14ac:dyDescent="0.2">
      <c r="R1486" s="59"/>
    </row>
    <row r="1487" spans="18:18" x14ac:dyDescent="0.2">
      <c r="R1487" s="59"/>
    </row>
    <row r="1488" spans="18:18" x14ac:dyDescent="0.2">
      <c r="R1488" s="59"/>
    </row>
    <row r="1489" spans="18:18" x14ac:dyDescent="0.2">
      <c r="R1489" s="59"/>
    </row>
  </sheetData>
  <mergeCells count="3">
    <mergeCell ref="C3:P3"/>
    <mergeCell ref="D5:E5"/>
    <mergeCell ref="B29:Q35"/>
  </mergeCells>
  <pageMargins left="0.7" right="0.7" top="0.75" bottom="0.75" header="0.3" footer="0.3"/>
  <pageSetup scale="6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pageSetUpPr fitToPage="1"/>
  </sheetPr>
  <dimension ref="A1:Y71"/>
  <sheetViews>
    <sheetView showGridLines="0" zoomScale="80" zoomScaleNormal="80" workbookViewId="0"/>
  </sheetViews>
  <sheetFormatPr defaultRowHeight="15" x14ac:dyDescent="0.25"/>
  <cols>
    <col min="1" max="1" width="2.85546875" style="23" customWidth="1"/>
    <col min="2" max="2" width="3.85546875" style="23" customWidth="1"/>
    <col min="3" max="3" width="58.7109375" style="23" bestFit="1" customWidth="1"/>
    <col min="4" max="4" width="30.5703125" style="23" customWidth="1"/>
    <col min="5" max="5" width="15" style="23" bestFit="1" customWidth="1"/>
    <col min="6" max="6" width="9.140625" style="23"/>
    <col min="7" max="7" width="11.5703125" style="23" bestFit="1" customWidth="1"/>
    <col min="8" max="18" width="9.140625" style="23"/>
    <col min="19" max="19" width="9.85546875" style="23" customWidth="1"/>
    <col min="20" max="22" width="9.140625" style="23"/>
    <col min="23" max="23" width="47" style="23" bestFit="1" customWidth="1"/>
    <col min="24" max="24" width="9.85546875" style="23" bestFit="1" customWidth="1"/>
    <col min="25" max="16384" width="9.140625" style="23"/>
  </cols>
  <sheetData>
    <row r="1" spans="1:25" ht="15.75" customHeight="1" thickBot="1" x14ac:dyDescent="0.3">
      <c r="A1" s="3"/>
    </row>
    <row r="2" spans="1:25" ht="15" customHeight="1" x14ac:dyDescent="0.25">
      <c r="B2" s="81"/>
      <c r="C2" s="32"/>
      <c r="D2" s="32"/>
      <c r="E2" s="32"/>
      <c r="F2" s="32"/>
      <c r="G2" s="32"/>
      <c r="H2" s="32"/>
      <c r="I2" s="32"/>
      <c r="J2" s="32"/>
      <c r="K2" s="32"/>
      <c r="L2" s="32"/>
      <c r="M2" s="32"/>
      <c r="N2" s="32"/>
      <c r="O2" s="32"/>
      <c r="P2" s="32"/>
      <c r="Q2" s="32"/>
      <c r="R2" s="32"/>
      <c r="S2" s="32"/>
      <c r="T2" s="28"/>
    </row>
    <row r="3" spans="1:25" ht="20.25" customHeight="1" x14ac:dyDescent="0.25">
      <c r="B3" s="82"/>
      <c r="C3" s="234" t="s">
        <v>124</v>
      </c>
      <c r="D3" s="235"/>
      <c r="E3" s="235"/>
      <c r="F3" s="235"/>
      <c r="G3" s="235"/>
      <c r="H3" s="235"/>
      <c r="I3" s="235"/>
      <c r="J3" s="235"/>
      <c r="K3" s="235"/>
      <c r="L3" s="235"/>
      <c r="M3" s="235"/>
      <c r="N3" s="235"/>
      <c r="O3" s="235"/>
      <c r="P3" s="235"/>
      <c r="Q3" s="235"/>
      <c r="R3" s="235"/>
      <c r="S3" s="235"/>
      <c r="T3" s="29"/>
    </row>
    <row r="4" spans="1:25" ht="15.75" customHeight="1" x14ac:dyDescent="0.25">
      <c r="B4" s="82"/>
      <c r="C4" s="85" t="s">
        <v>271</v>
      </c>
      <c r="D4" s="33"/>
      <c r="E4" s="33"/>
      <c r="F4" s="33"/>
      <c r="G4" s="33"/>
      <c r="H4" s="33"/>
      <c r="I4" s="33"/>
      <c r="J4" s="33"/>
      <c r="K4" s="33"/>
      <c r="L4" s="33"/>
      <c r="M4" s="33"/>
      <c r="N4" s="33"/>
      <c r="O4" s="33"/>
      <c r="P4" s="33"/>
      <c r="Q4" s="33"/>
      <c r="R4" s="33"/>
      <c r="S4" s="33"/>
      <c r="T4" s="29"/>
    </row>
    <row r="5" spans="1:25" ht="18" customHeight="1" x14ac:dyDescent="0.25">
      <c r="B5" s="82"/>
      <c r="C5" s="86" t="s">
        <v>272</v>
      </c>
      <c r="D5" s="236" t="s">
        <v>286</v>
      </c>
      <c r="E5" s="236"/>
      <c r="F5" s="33"/>
      <c r="G5" s="33"/>
      <c r="H5" s="33"/>
      <c r="I5" s="33"/>
      <c r="J5" s="33"/>
      <c r="K5" s="33"/>
      <c r="L5" s="33"/>
      <c r="M5" s="33"/>
      <c r="N5" s="33"/>
      <c r="O5" s="33"/>
      <c r="P5" s="33"/>
      <c r="Q5" s="33"/>
      <c r="R5" s="33"/>
      <c r="S5" s="33"/>
      <c r="T5" s="29"/>
    </row>
    <row r="6" spans="1:25" ht="15" customHeight="1" x14ac:dyDescent="0.25">
      <c r="B6" s="82"/>
      <c r="C6" s="33"/>
      <c r="D6" s="33"/>
      <c r="E6" s="33"/>
      <c r="F6" s="33"/>
      <c r="G6" s="33"/>
      <c r="H6" s="33"/>
      <c r="I6" s="33"/>
      <c r="J6" s="33"/>
      <c r="K6" s="33"/>
      <c r="L6" s="33"/>
      <c r="M6" s="33"/>
      <c r="N6" s="33"/>
      <c r="O6" s="33"/>
      <c r="P6" s="33"/>
      <c r="Q6" s="33"/>
      <c r="R6" s="33"/>
      <c r="S6" s="33"/>
      <c r="T6" s="29"/>
      <c r="W6" s="45"/>
      <c r="X6" s="45"/>
      <c r="Y6" s="45"/>
    </row>
    <row r="7" spans="1:25" ht="32.25" customHeight="1" x14ac:dyDescent="0.25">
      <c r="B7" s="82"/>
      <c r="C7" s="152" t="s">
        <v>0</v>
      </c>
      <c r="D7" s="88" t="s">
        <v>49</v>
      </c>
      <c r="E7" s="89" t="s">
        <v>2</v>
      </c>
      <c r="F7" s="33"/>
      <c r="G7" s="33"/>
      <c r="H7" s="33"/>
      <c r="I7" s="33"/>
      <c r="J7" s="33"/>
      <c r="K7" s="33"/>
      <c r="L7" s="33"/>
      <c r="M7" s="33"/>
      <c r="N7" s="33"/>
      <c r="O7" s="33"/>
      <c r="P7" s="33"/>
      <c r="Q7" s="33"/>
      <c r="R7" s="33"/>
      <c r="S7" s="33"/>
      <c r="T7" s="29"/>
      <c r="W7" s="45" t="s">
        <v>22</v>
      </c>
      <c r="X7" s="45" t="s">
        <v>2</v>
      </c>
      <c r="Y7" s="45"/>
    </row>
    <row r="8" spans="1:25" ht="15" customHeight="1" x14ac:dyDescent="0.25">
      <c r="B8" s="82"/>
      <c r="C8" s="153" t="s">
        <v>34</v>
      </c>
      <c r="D8" s="16" t="s">
        <v>3</v>
      </c>
      <c r="E8" s="154">
        <v>5.8118000000000003E-2</v>
      </c>
      <c r="F8" s="33"/>
      <c r="G8" s="33"/>
      <c r="H8" s="33"/>
      <c r="I8" s="33"/>
      <c r="J8" s="33"/>
      <c r="K8" s="33"/>
      <c r="L8" s="33"/>
      <c r="M8" s="33"/>
      <c r="N8" s="33"/>
      <c r="O8" s="33"/>
      <c r="P8" s="33"/>
      <c r="Q8" s="33"/>
      <c r="R8" s="33"/>
      <c r="S8" s="33"/>
      <c r="T8" s="29"/>
      <c r="W8" s="211" t="s">
        <v>3</v>
      </c>
      <c r="X8" s="212">
        <v>0.13033100000000003</v>
      </c>
      <c r="Y8" s="45"/>
    </row>
    <row r="9" spans="1:25" ht="15.75" customHeight="1" x14ac:dyDescent="0.25">
      <c r="B9" s="82"/>
      <c r="C9" s="153" t="s">
        <v>29</v>
      </c>
      <c r="D9" s="16" t="s">
        <v>169</v>
      </c>
      <c r="E9" s="154">
        <v>4.5465999999999999E-2</v>
      </c>
      <c r="F9" s="33"/>
      <c r="G9" s="33"/>
      <c r="H9" s="33"/>
      <c r="I9" s="33"/>
      <c r="J9" s="33"/>
      <c r="K9" s="33"/>
      <c r="L9" s="33"/>
      <c r="M9" s="33"/>
      <c r="N9" s="33"/>
      <c r="O9" s="33"/>
      <c r="P9" s="33"/>
      <c r="Q9" s="33"/>
      <c r="R9" s="33"/>
      <c r="S9" s="33"/>
      <c r="T9" s="29"/>
      <c r="W9" s="211" t="s">
        <v>169</v>
      </c>
      <c r="X9" s="212">
        <v>6.7257999999999998E-2</v>
      </c>
      <c r="Y9" s="45"/>
    </row>
    <row r="10" spans="1:25" ht="15" customHeight="1" x14ac:dyDescent="0.25">
      <c r="B10" s="82"/>
      <c r="C10" s="153" t="s">
        <v>30</v>
      </c>
      <c r="D10" s="16" t="s">
        <v>3</v>
      </c>
      <c r="E10" s="154">
        <v>4.2530999999999999E-2</v>
      </c>
      <c r="F10" s="33"/>
      <c r="G10" s="33"/>
      <c r="H10" s="33"/>
      <c r="I10" s="33"/>
      <c r="J10" s="33"/>
      <c r="K10" s="33"/>
      <c r="L10" s="33"/>
      <c r="M10" s="33"/>
      <c r="N10" s="33"/>
      <c r="O10" s="33"/>
      <c r="P10" s="33"/>
      <c r="Q10" s="33"/>
      <c r="R10" s="33"/>
      <c r="S10" s="33"/>
      <c r="T10" s="29"/>
      <c r="W10" s="211" t="s">
        <v>4</v>
      </c>
      <c r="X10" s="212">
        <v>5.4044999999999996E-2</v>
      </c>
      <c r="Y10" s="45"/>
    </row>
    <row r="11" spans="1:25" ht="15" customHeight="1" x14ac:dyDescent="0.25">
      <c r="B11" s="82"/>
      <c r="C11" s="153" t="s">
        <v>115</v>
      </c>
      <c r="D11" s="16" t="s">
        <v>4</v>
      </c>
      <c r="E11" s="154">
        <v>3.0838000000000001E-2</v>
      </c>
      <c r="F11" s="33"/>
      <c r="G11" s="33"/>
      <c r="H11" s="33"/>
      <c r="I11" s="33"/>
      <c r="J11" s="33"/>
      <c r="K11" s="33"/>
      <c r="L11" s="33"/>
      <c r="M11" s="33"/>
      <c r="N11" s="33"/>
      <c r="O11" s="33"/>
      <c r="P11" s="33"/>
      <c r="Q11" s="33"/>
      <c r="R11" s="33"/>
      <c r="S11" s="33"/>
      <c r="T11" s="29"/>
      <c r="W11" s="211" t="s">
        <v>175</v>
      </c>
      <c r="X11" s="212">
        <v>4.0668000000000003E-2</v>
      </c>
      <c r="Y11" s="45"/>
    </row>
    <row r="12" spans="1:25" ht="15" customHeight="1" x14ac:dyDescent="0.25">
      <c r="B12" s="82"/>
      <c r="C12" s="153" t="s">
        <v>183</v>
      </c>
      <c r="D12" s="16" t="s">
        <v>175</v>
      </c>
      <c r="E12" s="154">
        <v>2.2948999999999997E-2</v>
      </c>
      <c r="F12" s="33"/>
      <c r="G12" s="33"/>
      <c r="H12" s="33"/>
      <c r="I12" s="33"/>
      <c r="J12" s="33"/>
      <c r="K12" s="33"/>
      <c r="L12" s="33"/>
      <c r="M12" s="33"/>
      <c r="N12" s="33"/>
      <c r="O12" s="33"/>
      <c r="P12" s="33"/>
      <c r="Q12" s="33"/>
      <c r="R12" s="33"/>
      <c r="S12" s="33"/>
      <c r="T12" s="29"/>
      <c r="W12" s="211" t="s">
        <v>172</v>
      </c>
      <c r="X12" s="212">
        <v>2.6981999999999999E-2</v>
      </c>
      <c r="Y12" s="45"/>
    </row>
    <row r="13" spans="1:25" ht="15" customHeight="1" x14ac:dyDescent="0.25">
      <c r="B13" s="82"/>
      <c r="C13" s="153" t="s">
        <v>93</v>
      </c>
      <c r="D13" s="16" t="s">
        <v>12</v>
      </c>
      <c r="E13" s="154">
        <v>2.1013999999999998E-2</v>
      </c>
      <c r="F13" s="33"/>
      <c r="G13" s="33"/>
      <c r="H13" s="33"/>
      <c r="I13" s="33"/>
      <c r="J13" s="33"/>
      <c r="K13" s="33"/>
      <c r="L13" s="33"/>
      <c r="M13" s="33"/>
      <c r="N13" s="33"/>
      <c r="O13" s="33"/>
      <c r="P13" s="33"/>
      <c r="Q13" s="33"/>
      <c r="R13" s="33"/>
      <c r="S13" s="33"/>
      <c r="T13" s="29"/>
      <c r="W13" s="211" t="s">
        <v>179</v>
      </c>
      <c r="X13" s="212">
        <v>2.6811999999999999E-2</v>
      </c>
      <c r="Y13" s="45"/>
    </row>
    <row r="14" spans="1:25" ht="15.75" customHeight="1" x14ac:dyDescent="0.25">
      <c r="B14" s="82"/>
      <c r="C14" s="153" t="s">
        <v>126</v>
      </c>
      <c r="D14" s="16" t="s">
        <v>27</v>
      </c>
      <c r="E14" s="154">
        <v>2.0737999999999999E-2</v>
      </c>
      <c r="F14" s="33"/>
      <c r="G14" s="33"/>
      <c r="H14" s="33"/>
      <c r="I14" s="33"/>
      <c r="J14" s="33"/>
      <c r="K14" s="33"/>
      <c r="L14" s="33"/>
      <c r="M14" s="33"/>
      <c r="N14" s="33"/>
      <c r="O14" s="33"/>
      <c r="P14" s="33"/>
      <c r="Q14" s="33"/>
      <c r="R14" s="33"/>
      <c r="S14" s="33"/>
      <c r="T14" s="29"/>
      <c r="W14" s="211" t="s">
        <v>27</v>
      </c>
      <c r="X14" s="212">
        <v>2.4398E-2</v>
      </c>
      <c r="Y14" s="45"/>
    </row>
    <row r="15" spans="1:25" ht="15.75" x14ac:dyDescent="0.25">
      <c r="B15" s="82"/>
      <c r="C15" s="153" t="s">
        <v>167</v>
      </c>
      <c r="D15" s="16" t="s">
        <v>4</v>
      </c>
      <c r="E15" s="154">
        <v>2.0067999999999999E-2</v>
      </c>
      <c r="F15" s="33"/>
      <c r="G15" s="33"/>
      <c r="H15" s="33"/>
      <c r="I15" s="33"/>
      <c r="J15" s="33"/>
      <c r="K15" s="33"/>
      <c r="L15" s="33"/>
      <c r="M15" s="33"/>
      <c r="N15" s="33"/>
      <c r="O15" s="33"/>
      <c r="P15" s="33"/>
      <c r="Q15" s="33"/>
      <c r="R15" s="33"/>
      <c r="S15" s="33"/>
      <c r="T15" s="29"/>
      <c r="W15" s="211" t="s">
        <v>12</v>
      </c>
      <c r="X15" s="212">
        <v>2.1013999999999998E-2</v>
      </c>
      <c r="Y15" s="45"/>
    </row>
    <row r="16" spans="1:25" ht="15.75" customHeight="1" x14ac:dyDescent="0.25">
      <c r="B16" s="82"/>
      <c r="C16" s="153" t="s">
        <v>113</v>
      </c>
      <c r="D16" s="16" t="s">
        <v>3</v>
      </c>
      <c r="E16" s="154">
        <v>1.7451999999999999E-2</v>
      </c>
      <c r="F16" s="33"/>
      <c r="G16" s="33"/>
      <c r="H16" s="33"/>
      <c r="I16" s="33"/>
      <c r="J16" s="33"/>
      <c r="K16" s="33"/>
      <c r="L16" s="33"/>
      <c r="M16" s="33"/>
      <c r="N16" s="33"/>
      <c r="O16" s="33"/>
      <c r="P16" s="33"/>
      <c r="Q16" s="33"/>
      <c r="R16" s="33"/>
      <c r="S16" s="33"/>
      <c r="T16" s="29"/>
      <c r="W16" s="211" t="s">
        <v>6</v>
      </c>
      <c r="X16" s="212">
        <v>1.4897000000000001E-2</v>
      </c>
      <c r="Y16" s="45"/>
    </row>
    <row r="17" spans="2:25" ht="15" customHeight="1" x14ac:dyDescent="0.25">
      <c r="B17" s="82"/>
      <c r="C17" s="153" t="s">
        <v>33</v>
      </c>
      <c r="D17" s="16" t="s">
        <v>6</v>
      </c>
      <c r="E17" s="154">
        <v>1.4897000000000001E-2</v>
      </c>
      <c r="F17" s="33"/>
      <c r="G17" s="33"/>
      <c r="H17" s="33"/>
      <c r="I17" s="33"/>
      <c r="J17" s="33"/>
      <c r="K17" s="33"/>
      <c r="L17" s="33"/>
      <c r="M17" s="33"/>
      <c r="N17" s="33"/>
      <c r="O17" s="33"/>
      <c r="P17" s="33"/>
      <c r="Q17" s="33"/>
      <c r="R17" s="33"/>
      <c r="S17" s="33"/>
      <c r="T17" s="29"/>
      <c r="W17" s="211" t="s">
        <v>24</v>
      </c>
      <c r="X17" s="212">
        <v>1.3143999999999999E-2</v>
      </c>
      <c r="Y17" s="45"/>
    </row>
    <row r="18" spans="2:25" ht="15" customHeight="1" x14ac:dyDescent="0.25">
      <c r="B18" s="82"/>
      <c r="C18" s="153" t="s">
        <v>243</v>
      </c>
      <c r="D18" s="16" t="s">
        <v>168</v>
      </c>
      <c r="E18" s="154">
        <v>1.3042000000000002E-2</v>
      </c>
      <c r="F18" s="33"/>
      <c r="G18" s="33"/>
      <c r="H18" s="33"/>
      <c r="I18" s="33"/>
      <c r="J18" s="33"/>
      <c r="K18" s="33"/>
      <c r="L18" s="33"/>
      <c r="M18" s="33"/>
      <c r="N18" s="33"/>
      <c r="O18" s="33"/>
      <c r="P18" s="33"/>
      <c r="Q18" s="33"/>
      <c r="R18" s="33"/>
      <c r="S18" s="33"/>
      <c r="T18" s="29"/>
      <c r="W18" s="211" t="s">
        <v>168</v>
      </c>
      <c r="X18" s="212">
        <v>1.3042000000000002E-2</v>
      </c>
      <c r="Y18" s="45"/>
    </row>
    <row r="19" spans="2:25" ht="15" customHeight="1" x14ac:dyDescent="0.25">
      <c r="B19" s="82"/>
      <c r="C19" s="153" t="s">
        <v>216</v>
      </c>
      <c r="D19" s="16" t="s">
        <v>16</v>
      </c>
      <c r="E19" s="154">
        <v>1.2867E-2</v>
      </c>
      <c r="F19" s="33"/>
      <c r="G19" s="33"/>
      <c r="H19" s="33"/>
      <c r="I19" s="33"/>
      <c r="J19" s="33"/>
      <c r="K19" s="33"/>
      <c r="L19" s="33"/>
      <c r="M19" s="33"/>
      <c r="N19" s="33"/>
      <c r="O19" s="33"/>
      <c r="P19" s="33"/>
      <c r="Q19" s="33"/>
      <c r="R19" s="33"/>
      <c r="S19" s="33"/>
      <c r="T19" s="29"/>
      <c r="W19" s="211" t="s">
        <v>16</v>
      </c>
      <c r="X19" s="212">
        <v>1.2867E-2</v>
      </c>
      <c r="Y19" s="45"/>
    </row>
    <row r="20" spans="2:25" ht="15" customHeight="1" x14ac:dyDescent="0.25">
      <c r="B20" s="82"/>
      <c r="C20" s="153" t="s">
        <v>244</v>
      </c>
      <c r="D20" s="16" t="s">
        <v>174</v>
      </c>
      <c r="E20" s="154">
        <v>1.2664999999999999E-2</v>
      </c>
      <c r="F20" s="33"/>
      <c r="G20" s="33"/>
      <c r="H20" s="33"/>
      <c r="I20" s="33"/>
      <c r="J20" s="33"/>
      <c r="K20" s="33"/>
      <c r="L20" s="33"/>
      <c r="M20" s="33"/>
      <c r="N20" s="33"/>
      <c r="O20" s="33"/>
      <c r="P20" s="33"/>
      <c r="Q20" s="33"/>
      <c r="R20" s="33"/>
      <c r="S20" s="33"/>
      <c r="T20" s="29"/>
      <c r="W20" s="211" t="s">
        <v>174</v>
      </c>
      <c r="X20" s="212">
        <v>1.2658999999999998E-2</v>
      </c>
      <c r="Y20" s="45"/>
    </row>
    <row r="21" spans="2:25" ht="15" customHeight="1" x14ac:dyDescent="0.25">
      <c r="B21" s="82"/>
      <c r="C21" s="153" t="s">
        <v>261</v>
      </c>
      <c r="D21" s="16" t="s">
        <v>169</v>
      </c>
      <c r="E21" s="154">
        <v>1.2086E-2</v>
      </c>
      <c r="F21" s="33"/>
      <c r="G21" s="33"/>
      <c r="H21" s="33"/>
      <c r="I21" s="33"/>
      <c r="J21" s="33"/>
      <c r="K21" s="33"/>
      <c r="L21" s="33"/>
      <c r="M21" s="33"/>
      <c r="N21" s="33"/>
      <c r="O21" s="33"/>
      <c r="P21" s="33"/>
      <c r="Q21" s="33"/>
      <c r="R21" s="33"/>
      <c r="S21" s="33"/>
      <c r="T21" s="29"/>
      <c r="W21" s="211" t="s">
        <v>180</v>
      </c>
      <c r="X21" s="212">
        <v>1.1859000000000001E-2</v>
      </c>
      <c r="Y21" s="45"/>
    </row>
    <row r="22" spans="2:25" ht="15" customHeight="1" x14ac:dyDescent="0.25">
      <c r="B22" s="82"/>
      <c r="C22" s="153" t="s">
        <v>39</v>
      </c>
      <c r="D22" s="16" t="s">
        <v>180</v>
      </c>
      <c r="E22" s="154">
        <v>1.1859000000000001E-2</v>
      </c>
      <c r="F22" s="33"/>
      <c r="G22" s="33"/>
      <c r="H22" s="33"/>
      <c r="I22" s="33"/>
      <c r="J22" s="33"/>
      <c r="K22" s="33"/>
      <c r="L22" s="33"/>
      <c r="M22" s="33"/>
      <c r="N22" s="33"/>
      <c r="O22" s="33"/>
      <c r="P22" s="33"/>
      <c r="Q22" s="33"/>
      <c r="R22" s="33"/>
      <c r="S22" s="33"/>
      <c r="T22" s="29"/>
      <c r="W22" s="211" t="s">
        <v>109</v>
      </c>
      <c r="X22" s="212">
        <v>1.0701E-2</v>
      </c>
      <c r="Y22" s="45"/>
    </row>
    <row r="23" spans="2:25" ht="16.5" customHeight="1" x14ac:dyDescent="0.25">
      <c r="B23" s="82"/>
      <c r="C23" s="156" t="s">
        <v>79</v>
      </c>
      <c r="D23" s="157"/>
      <c r="E23" s="158">
        <f>SUM(E8:E22)</f>
        <v>0.35659000000000002</v>
      </c>
      <c r="F23" s="33"/>
      <c r="G23" s="33"/>
      <c r="H23" s="33"/>
      <c r="I23" s="33"/>
      <c r="J23" s="33"/>
      <c r="K23" s="33"/>
      <c r="L23" s="33"/>
      <c r="M23" s="33"/>
      <c r="N23" s="33"/>
      <c r="O23" s="33"/>
      <c r="P23" s="33"/>
      <c r="Q23" s="33"/>
      <c r="R23" s="33"/>
      <c r="S23" s="33"/>
      <c r="T23" s="29"/>
      <c r="W23" s="211" t="s">
        <v>119</v>
      </c>
      <c r="X23" s="212">
        <v>1.0640999999999998E-2</v>
      </c>
      <c r="Y23" s="45"/>
    </row>
    <row r="24" spans="2:25" ht="15" customHeight="1" x14ac:dyDescent="0.25">
      <c r="B24" s="82"/>
      <c r="C24" s="159"/>
      <c r="D24" s="101"/>
      <c r="E24" s="154"/>
      <c r="F24" s="33"/>
      <c r="G24" s="33"/>
      <c r="H24" s="33"/>
      <c r="I24" s="33"/>
      <c r="J24" s="33"/>
      <c r="K24" s="33"/>
      <c r="L24" s="33"/>
      <c r="M24" s="33"/>
      <c r="N24" s="33"/>
      <c r="O24" s="33"/>
      <c r="P24" s="33"/>
      <c r="Q24" s="33"/>
      <c r="R24" s="33"/>
      <c r="S24" s="33"/>
      <c r="T24" s="29"/>
      <c r="W24" s="211" t="s">
        <v>170</v>
      </c>
      <c r="X24" s="212">
        <v>5.3140000000000001E-3</v>
      </c>
      <c r="Y24" s="45"/>
    </row>
    <row r="25" spans="2:25" ht="15" customHeight="1" x14ac:dyDescent="0.25">
      <c r="B25" s="82"/>
      <c r="C25" s="156" t="s">
        <v>69</v>
      </c>
      <c r="D25" s="157"/>
      <c r="E25" s="160">
        <v>0.15766599999999997</v>
      </c>
      <c r="F25" s="33"/>
      <c r="G25" s="33"/>
      <c r="H25" s="33"/>
      <c r="I25" s="33"/>
      <c r="J25" s="33"/>
      <c r="K25" s="33"/>
      <c r="L25" s="33"/>
      <c r="M25" s="33"/>
      <c r="N25" s="33"/>
      <c r="O25" s="33"/>
      <c r="P25" s="33"/>
      <c r="Q25" s="33"/>
      <c r="R25" s="33"/>
      <c r="S25" s="33"/>
      <c r="T25" s="29"/>
      <c r="W25" s="211" t="s">
        <v>189</v>
      </c>
      <c r="X25" s="212">
        <v>4.9979999999999998E-3</v>
      </c>
      <c r="Y25" s="45"/>
    </row>
    <row r="26" spans="2:25" ht="15" customHeight="1" x14ac:dyDescent="0.25">
      <c r="B26" s="82"/>
      <c r="C26" s="159"/>
      <c r="D26" s="101"/>
      <c r="E26" s="154"/>
      <c r="F26" s="33"/>
      <c r="G26" s="33"/>
      <c r="H26" s="33"/>
      <c r="I26" s="33"/>
      <c r="J26" s="33"/>
      <c r="K26" s="33"/>
      <c r="L26" s="33"/>
      <c r="M26" s="33"/>
      <c r="N26" s="33"/>
      <c r="O26" s="33"/>
      <c r="P26" s="33"/>
      <c r="Q26" s="33"/>
      <c r="R26" s="33"/>
      <c r="S26" s="33"/>
      <c r="T26" s="29"/>
      <c r="W26" s="211" t="s">
        <v>181</v>
      </c>
      <c r="X26" s="212">
        <v>4.7689999999999998E-3</v>
      </c>
      <c r="Y26" s="45"/>
    </row>
    <row r="27" spans="2:25" ht="18" customHeight="1" x14ac:dyDescent="0.25">
      <c r="B27" s="82"/>
      <c r="C27" s="156" t="s">
        <v>68</v>
      </c>
      <c r="D27" s="132"/>
      <c r="E27" s="161">
        <v>0.19317200000000001</v>
      </c>
      <c r="F27" s="33"/>
      <c r="G27" s="33"/>
      <c r="H27" s="33"/>
      <c r="I27" s="33"/>
      <c r="J27" s="33"/>
      <c r="K27" s="33"/>
      <c r="L27" s="33"/>
      <c r="M27" s="33"/>
      <c r="N27" s="33"/>
      <c r="O27" s="33"/>
      <c r="P27" s="33"/>
      <c r="Q27" s="33"/>
      <c r="R27" s="33"/>
      <c r="S27" s="33"/>
      <c r="T27" s="29"/>
      <c r="W27" s="211" t="s">
        <v>182</v>
      </c>
      <c r="X27" s="212">
        <v>4.2160000000000001E-3</v>
      </c>
    </row>
    <row r="28" spans="2:25" ht="18" customHeight="1" x14ac:dyDescent="0.25">
      <c r="B28" s="82"/>
      <c r="C28" s="159"/>
      <c r="D28" s="101"/>
      <c r="E28" s="154"/>
      <c r="F28" s="33"/>
      <c r="G28" s="33"/>
      <c r="H28" s="33"/>
      <c r="I28" s="33"/>
      <c r="J28" s="33"/>
      <c r="K28" s="33"/>
      <c r="L28" s="33"/>
      <c r="M28" s="33"/>
      <c r="N28" s="33"/>
      <c r="O28" s="33"/>
      <c r="P28" s="33"/>
      <c r="Q28" s="33"/>
      <c r="R28" s="33"/>
      <c r="S28" s="33"/>
      <c r="T28" s="29"/>
      <c r="W28" s="211" t="s">
        <v>185</v>
      </c>
      <c r="X28" s="212">
        <v>2.418E-3</v>
      </c>
    </row>
    <row r="29" spans="2:25" ht="15" customHeight="1" x14ac:dyDescent="0.25">
      <c r="B29" s="82"/>
      <c r="C29" s="153" t="s">
        <v>104</v>
      </c>
      <c r="D29" s="16" t="s">
        <v>74</v>
      </c>
      <c r="E29" s="154">
        <v>9.0080000000000004E-3</v>
      </c>
      <c r="F29" s="33"/>
      <c r="G29" s="33"/>
      <c r="H29" s="33"/>
      <c r="I29" s="33"/>
      <c r="J29" s="33"/>
      <c r="K29" s="33"/>
      <c r="L29" s="33"/>
      <c r="M29" s="33"/>
      <c r="N29" s="33"/>
      <c r="O29" s="33"/>
      <c r="P29" s="33"/>
      <c r="Q29" s="33"/>
      <c r="R29" s="33"/>
      <c r="S29" s="33"/>
      <c r="T29" s="29"/>
      <c r="W29" s="211" t="s">
        <v>123</v>
      </c>
      <c r="X29" s="212">
        <v>1.083E-3</v>
      </c>
    </row>
    <row r="30" spans="2:25" ht="15" customHeight="1" x14ac:dyDescent="0.25">
      <c r="B30" s="82"/>
      <c r="C30" s="153" t="s">
        <v>73</v>
      </c>
      <c r="D30" s="16" t="s">
        <v>74</v>
      </c>
      <c r="E30" s="154">
        <v>9.2E-5</v>
      </c>
      <c r="F30" s="33"/>
      <c r="G30" s="162"/>
      <c r="H30" s="33"/>
      <c r="I30" s="33"/>
      <c r="J30" s="33"/>
      <c r="K30" s="33"/>
      <c r="L30" s="33"/>
      <c r="M30" s="33"/>
      <c r="N30" s="33"/>
      <c r="O30" s="33"/>
      <c r="P30" s="33"/>
      <c r="Q30" s="33"/>
      <c r="R30" s="33"/>
      <c r="S30" s="33"/>
      <c r="T30" s="29"/>
      <c r="W30" s="211" t="s">
        <v>184</v>
      </c>
      <c r="X30" s="212">
        <v>1.4400000000000003E-4</v>
      </c>
    </row>
    <row r="31" spans="2:25" ht="15" customHeight="1" x14ac:dyDescent="0.25">
      <c r="B31" s="82"/>
      <c r="C31" s="163" t="s">
        <v>5</v>
      </c>
      <c r="D31" s="157"/>
      <c r="E31" s="158">
        <f>SUM(E29:E30)</f>
        <v>9.1000000000000004E-3</v>
      </c>
      <c r="F31" s="33"/>
      <c r="G31" s="164"/>
      <c r="H31" s="33"/>
      <c r="I31" s="33"/>
      <c r="J31" s="33"/>
      <c r="K31" s="33"/>
      <c r="L31" s="33"/>
      <c r="M31" s="33"/>
      <c r="N31" s="33"/>
      <c r="O31" s="33"/>
      <c r="P31" s="33"/>
      <c r="Q31" s="33"/>
      <c r="R31" s="33"/>
      <c r="S31" s="33"/>
      <c r="T31" s="29"/>
      <c r="W31" s="211" t="s">
        <v>176</v>
      </c>
      <c r="X31" s="212">
        <v>-4.0000000000000972E-6</v>
      </c>
    </row>
    <row r="32" spans="2:25" ht="15" customHeight="1" x14ac:dyDescent="0.25">
      <c r="B32" s="82"/>
      <c r="C32" s="159"/>
      <c r="D32" s="101"/>
      <c r="E32" s="154"/>
      <c r="F32" s="33"/>
      <c r="G32" s="33"/>
      <c r="H32" s="33"/>
      <c r="I32" s="165"/>
      <c r="J32" s="33"/>
      <c r="K32" s="33"/>
      <c r="L32" s="33"/>
      <c r="M32" s="33"/>
      <c r="N32" s="33"/>
      <c r="O32" s="33"/>
      <c r="P32" s="33"/>
      <c r="Q32" s="33"/>
      <c r="R32" s="33"/>
      <c r="S32" s="33"/>
      <c r="T32" s="29"/>
      <c r="W32" s="211"/>
      <c r="X32" s="212"/>
    </row>
    <row r="33" spans="2:24" ht="15" customHeight="1" x14ac:dyDescent="0.25">
      <c r="B33" s="82"/>
      <c r="C33" s="159" t="s">
        <v>262</v>
      </c>
      <c r="D33" s="101" t="s">
        <v>154</v>
      </c>
      <c r="E33" s="154">
        <v>3.3272999999999997E-2</v>
      </c>
      <c r="F33" s="33"/>
      <c r="G33" s="33"/>
      <c r="H33" s="33"/>
      <c r="I33" s="165"/>
      <c r="J33" s="33"/>
      <c r="K33" s="33"/>
      <c r="L33" s="33"/>
      <c r="M33" s="33"/>
      <c r="N33" s="33"/>
      <c r="O33" s="33"/>
      <c r="P33" s="33"/>
      <c r="Q33" s="33"/>
      <c r="R33" s="33"/>
      <c r="S33" s="33"/>
      <c r="T33" s="29"/>
      <c r="W33" s="68"/>
      <c r="X33" s="69"/>
    </row>
    <row r="34" spans="2:24" ht="15" customHeight="1" x14ac:dyDescent="0.25">
      <c r="B34" s="82"/>
      <c r="C34" s="159" t="s">
        <v>30</v>
      </c>
      <c r="D34" s="101" t="s">
        <v>154</v>
      </c>
      <c r="E34" s="154">
        <v>2.6083000000000002E-2</v>
      </c>
      <c r="F34" s="33"/>
      <c r="G34" s="166"/>
      <c r="H34" s="33"/>
      <c r="I34" s="165"/>
      <c r="J34" s="33"/>
      <c r="K34" s="33"/>
      <c r="L34" s="33"/>
      <c r="M34" s="33"/>
      <c r="N34" s="33"/>
      <c r="O34" s="33"/>
      <c r="P34" s="33"/>
      <c r="Q34" s="33"/>
      <c r="R34" s="33"/>
      <c r="S34" s="33"/>
      <c r="T34" s="29"/>
      <c r="W34" s="68"/>
      <c r="X34" s="69"/>
    </row>
    <row r="35" spans="2:24" ht="15" customHeight="1" x14ac:dyDescent="0.25">
      <c r="B35" s="82"/>
      <c r="C35" s="159" t="s">
        <v>225</v>
      </c>
      <c r="D35" s="101" t="s">
        <v>154</v>
      </c>
      <c r="E35" s="154">
        <v>8.822E-3</v>
      </c>
      <c r="F35" s="33"/>
      <c r="G35" s="33"/>
      <c r="H35" s="33"/>
      <c r="I35" s="165"/>
      <c r="J35" s="33"/>
      <c r="K35" s="33"/>
      <c r="L35" s="33"/>
      <c r="M35" s="33"/>
      <c r="N35" s="33"/>
      <c r="O35" s="33"/>
      <c r="P35" s="33"/>
      <c r="Q35" s="33"/>
      <c r="R35" s="33"/>
      <c r="S35" s="33"/>
      <c r="T35" s="29"/>
    </row>
    <row r="36" spans="2:24" ht="15" customHeight="1" x14ac:dyDescent="0.25">
      <c r="B36" s="82"/>
      <c r="C36" s="163" t="s">
        <v>83</v>
      </c>
      <c r="D36" s="157"/>
      <c r="E36" s="158">
        <f>SUM(E33:E35)</f>
        <v>6.8178000000000002E-2</v>
      </c>
      <c r="F36" s="33"/>
      <c r="G36" s="33"/>
      <c r="H36" s="33"/>
      <c r="I36" s="165"/>
      <c r="J36" s="33"/>
      <c r="K36" s="33"/>
      <c r="L36" s="33"/>
      <c r="M36" s="33"/>
      <c r="N36" s="33"/>
      <c r="O36" s="33"/>
      <c r="P36" s="33"/>
      <c r="Q36" s="33"/>
      <c r="R36" s="33"/>
      <c r="S36" s="33"/>
      <c r="T36" s="29"/>
    </row>
    <row r="37" spans="2:24" s="65" customFormat="1" ht="15" customHeight="1" x14ac:dyDescent="0.25">
      <c r="B37" s="167"/>
      <c r="C37" s="168"/>
      <c r="D37" s="169"/>
      <c r="E37" s="170"/>
      <c r="F37" s="63"/>
      <c r="G37" s="63"/>
      <c r="H37" s="63"/>
      <c r="I37" s="171"/>
      <c r="J37" s="63"/>
      <c r="K37" s="63"/>
      <c r="L37" s="63"/>
      <c r="M37" s="63"/>
      <c r="N37" s="63"/>
      <c r="O37" s="63"/>
      <c r="P37" s="63"/>
      <c r="Q37" s="63"/>
      <c r="R37" s="63"/>
      <c r="S37" s="63"/>
      <c r="T37" s="64"/>
    </row>
    <row r="38" spans="2:24" s="65" customFormat="1" ht="15" customHeight="1" x14ac:dyDescent="0.25">
      <c r="B38" s="167"/>
      <c r="C38" s="159" t="s">
        <v>263</v>
      </c>
      <c r="D38" s="101" t="s">
        <v>154</v>
      </c>
      <c r="E38" s="154">
        <v>8.8109999999999994E-3</v>
      </c>
      <c r="F38" s="63"/>
      <c r="G38" s="63"/>
      <c r="H38" s="63"/>
      <c r="I38" s="171"/>
      <c r="J38" s="63"/>
      <c r="K38" s="63"/>
      <c r="L38" s="63"/>
      <c r="M38" s="63"/>
      <c r="N38" s="63"/>
      <c r="O38" s="63"/>
      <c r="P38" s="63"/>
      <c r="Q38" s="63"/>
      <c r="R38" s="63"/>
      <c r="S38" s="63"/>
      <c r="T38" s="64"/>
    </row>
    <row r="39" spans="2:24" s="65" customFormat="1" ht="15" customHeight="1" x14ac:dyDescent="0.25">
      <c r="B39" s="167"/>
      <c r="C39" s="163" t="s">
        <v>83</v>
      </c>
      <c r="D39" s="157"/>
      <c r="E39" s="158">
        <v>8.8109999999999994E-3</v>
      </c>
      <c r="F39" s="63"/>
      <c r="G39" s="63"/>
      <c r="H39" s="63"/>
      <c r="I39" s="171"/>
      <c r="J39" s="63"/>
      <c r="K39" s="63"/>
      <c r="L39" s="63"/>
      <c r="M39" s="63"/>
      <c r="N39" s="63"/>
      <c r="O39" s="63"/>
      <c r="P39" s="63"/>
      <c r="Q39" s="63"/>
      <c r="R39" s="63"/>
      <c r="S39" s="63"/>
      <c r="T39" s="64"/>
    </row>
    <row r="40" spans="2:24" s="65" customFormat="1" ht="15" customHeight="1" x14ac:dyDescent="0.25">
      <c r="B40" s="167"/>
      <c r="C40" s="168"/>
      <c r="D40" s="169"/>
      <c r="E40" s="170"/>
      <c r="F40" s="63"/>
      <c r="G40" s="63"/>
      <c r="H40" s="63"/>
      <c r="I40" s="171"/>
      <c r="J40" s="63"/>
      <c r="K40" s="63"/>
      <c r="L40" s="63"/>
      <c r="M40" s="63"/>
      <c r="N40" s="63"/>
      <c r="O40" s="63"/>
      <c r="P40" s="63"/>
      <c r="Q40" s="63"/>
      <c r="R40" s="63"/>
      <c r="S40" s="63"/>
      <c r="T40" s="64"/>
    </row>
    <row r="41" spans="2:24" s="65" customFormat="1" ht="15" customHeight="1" x14ac:dyDescent="0.25">
      <c r="B41" s="167"/>
      <c r="C41" s="172" t="s">
        <v>127</v>
      </c>
      <c r="D41" s="173" t="s">
        <v>71</v>
      </c>
      <c r="E41" s="174">
        <v>0.107155</v>
      </c>
      <c r="F41" s="63"/>
      <c r="G41" s="63"/>
      <c r="H41" s="63"/>
      <c r="I41" s="171"/>
      <c r="J41" s="63"/>
      <c r="K41" s="63"/>
      <c r="L41" s="63"/>
      <c r="M41" s="63"/>
      <c r="N41" s="63"/>
      <c r="O41" s="63"/>
      <c r="P41" s="63"/>
      <c r="Q41" s="63"/>
      <c r="R41" s="63"/>
      <c r="S41" s="63"/>
      <c r="T41" s="64"/>
    </row>
    <row r="42" spans="2:24" s="65" customFormat="1" ht="15" customHeight="1" x14ac:dyDescent="0.25">
      <c r="B42" s="167"/>
      <c r="C42" s="172" t="s">
        <v>226</v>
      </c>
      <c r="D42" s="173" t="s">
        <v>71</v>
      </c>
      <c r="E42" s="174">
        <v>3.6350000000000002E-3</v>
      </c>
      <c r="F42" s="63"/>
      <c r="G42" s="63"/>
      <c r="H42" s="63"/>
      <c r="I42" s="171"/>
      <c r="J42" s="63"/>
      <c r="K42" s="63"/>
      <c r="L42" s="63"/>
      <c r="M42" s="63"/>
      <c r="N42" s="63"/>
      <c r="O42" s="63"/>
      <c r="P42" s="63"/>
      <c r="Q42" s="63"/>
      <c r="R42" s="63"/>
      <c r="S42" s="63"/>
      <c r="T42" s="64"/>
    </row>
    <row r="43" spans="2:24" s="65" customFormat="1" ht="15" customHeight="1" x14ac:dyDescent="0.25">
      <c r="B43" s="167"/>
      <c r="C43" s="156" t="s">
        <v>47</v>
      </c>
      <c r="D43" s="132"/>
      <c r="E43" s="158">
        <f>E41+E42</f>
        <v>0.11079</v>
      </c>
      <c r="F43" s="63"/>
      <c r="G43" s="63"/>
      <c r="H43" s="63"/>
      <c r="I43" s="171"/>
      <c r="J43" s="63"/>
      <c r="K43" s="63"/>
      <c r="L43" s="63"/>
      <c r="M43" s="63"/>
      <c r="N43" s="63"/>
      <c r="O43" s="63"/>
      <c r="P43" s="63"/>
      <c r="Q43" s="63"/>
      <c r="R43" s="63"/>
      <c r="S43" s="63"/>
      <c r="T43" s="64"/>
    </row>
    <row r="44" spans="2:24" ht="15" customHeight="1" x14ac:dyDescent="0.25">
      <c r="B44" s="82"/>
      <c r="C44" s="168"/>
      <c r="D44" s="169"/>
      <c r="E44" s="170"/>
      <c r="F44" s="33"/>
      <c r="G44" s="33"/>
      <c r="H44" s="33"/>
      <c r="I44" s="165"/>
      <c r="J44" s="33"/>
      <c r="K44" s="33"/>
      <c r="L44" s="33"/>
      <c r="M44" s="33"/>
      <c r="N44" s="33"/>
      <c r="O44" s="33"/>
      <c r="P44" s="33"/>
      <c r="Q44" s="33"/>
      <c r="R44" s="33"/>
      <c r="S44" s="33"/>
      <c r="T44" s="29"/>
    </row>
    <row r="45" spans="2:24" ht="15" customHeight="1" x14ac:dyDescent="0.25">
      <c r="B45" s="82"/>
      <c r="C45" s="172" t="s">
        <v>219</v>
      </c>
      <c r="D45" s="173" t="s">
        <v>71</v>
      </c>
      <c r="E45" s="174">
        <v>1.7954000000000001E-2</v>
      </c>
      <c r="F45" s="33"/>
      <c r="G45" s="33"/>
      <c r="H45" s="33"/>
      <c r="I45" s="165"/>
      <c r="J45" s="33"/>
      <c r="K45" s="33"/>
      <c r="L45" s="33"/>
      <c r="M45" s="33"/>
      <c r="N45" s="33"/>
      <c r="O45" s="33"/>
      <c r="P45" s="33"/>
      <c r="Q45" s="33"/>
      <c r="R45" s="33"/>
      <c r="S45" s="33"/>
      <c r="T45" s="29"/>
    </row>
    <row r="46" spans="2:24" ht="15" customHeight="1" x14ac:dyDescent="0.25">
      <c r="B46" s="82"/>
      <c r="C46" s="172" t="s">
        <v>265</v>
      </c>
      <c r="D46" s="173" t="s">
        <v>71</v>
      </c>
      <c r="E46" s="174">
        <v>1.7562999999999999E-2</v>
      </c>
      <c r="F46" s="33"/>
      <c r="G46" s="33"/>
      <c r="H46" s="33"/>
      <c r="I46" s="33"/>
      <c r="J46" s="33"/>
      <c r="K46" s="33"/>
      <c r="L46" s="33"/>
      <c r="M46" s="33"/>
      <c r="N46" s="33"/>
      <c r="O46" s="33"/>
      <c r="P46" s="33"/>
      <c r="Q46" s="33"/>
      <c r="R46" s="33"/>
      <c r="S46" s="33"/>
      <c r="T46" s="29"/>
    </row>
    <row r="47" spans="2:24" ht="15" customHeight="1" x14ac:dyDescent="0.25">
      <c r="B47" s="82"/>
      <c r="C47" s="172" t="s">
        <v>264</v>
      </c>
      <c r="D47" s="173" t="s">
        <v>71</v>
      </c>
      <c r="E47" s="174">
        <v>8.8280000000000008E-3</v>
      </c>
      <c r="F47" s="33"/>
      <c r="G47" s="33"/>
      <c r="H47" s="33"/>
      <c r="I47" s="33"/>
      <c r="J47" s="33"/>
      <c r="K47" s="33"/>
      <c r="L47" s="33"/>
      <c r="M47" s="33"/>
      <c r="N47" s="33"/>
      <c r="O47" s="33"/>
      <c r="P47" s="33"/>
      <c r="Q47" s="33"/>
      <c r="R47" s="33"/>
      <c r="S47" s="33"/>
      <c r="T47" s="29"/>
    </row>
    <row r="48" spans="2:24" ht="15" customHeight="1" x14ac:dyDescent="0.25">
      <c r="B48" s="82"/>
      <c r="C48" s="175" t="s">
        <v>112</v>
      </c>
      <c r="D48" s="176"/>
      <c r="E48" s="160">
        <f>SUM(E45:E47)</f>
        <v>4.4345000000000002E-2</v>
      </c>
      <c r="F48" s="33"/>
      <c r="G48" s="33"/>
      <c r="H48" s="33"/>
      <c r="I48" s="33"/>
      <c r="J48" s="33"/>
      <c r="K48" s="33"/>
      <c r="L48" s="33"/>
      <c r="M48" s="33"/>
      <c r="N48" s="33"/>
      <c r="O48" s="33"/>
      <c r="P48" s="33"/>
      <c r="Q48" s="33"/>
      <c r="R48" s="33"/>
      <c r="S48" s="33"/>
      <c r="T48" s="29"/>
    </row>
    <row r="49" spans="2:20" ht="15" customHeight="1" x14ac:dyDescent="0.25">
      <c r="B49" s="82"/>
      <c r="C49" s="177"/>
      <c r="D49" s="101"/>
      <c r="E49" s="178"/>
      <c r="F49" s="33"/>
      <c r="G49" s="166"/>
      <c r="H49" s="33"/>
      <c r="I49" s="33"/>
      <c r="J49" s="33"/>
      <c r="K49" s="33"/>
      <c r="L49" s="33"/>
      <c r="M49" s="33"/>
      <c r="N49" s="33"/>
      <c r="O49" s="33"/>
      <c r="P49" s="33"/>
      <c r="Q49" s="33"/>
      <c r="R49" s="33"/>
      <c r="S49" s="33"/>
      <c r="T49" s="29"/>
    </row>
    <row r="50" spans="2:20" ht="15" customHeight="1" x14ac:dyDescent="0.25">
      <c r="B50" s="82"/>
      <c r="C50" s="175" t="s">
        <v>88</v>
      </c>
      <c r="D50" s="176"/>
      <c r="E50" s="160">
        <v>5.1347999999999991E-2</v>
      </c>
      <c r="F50" s="33"/>
      <c r="G50" s="33"/>
      <c r="H50" s="33"/>
      <c r="I50" s="33"/>
      <c r="J50" s="33"/>
      <c r="K50" s="33"/>
      <c r="L50" s="33"/>
      <c r="M50" s="33"/>
      <c r="N50" s="33"/>
      <c r="O50" s="33"/>
      <c r="P50" s="33"/>
      <c r="Q50" s="33"/>
      <c r="R50" s="33"/>
      <c r="S50" s="33"/>
      <c r="T50" s="29"/>
    </row>
    <row r="51" spans="2:20" ht="15" customHeight="1" x14ac:dyDescent="0.25">
      <c r="B51" s="82"/>
      <c r="C51" s="177"/>
      <c r="D51" s="137"/>
      <c r="E51" s="178"/>
      <c r="F51" s="33"/>
      <c r="G51" s="33"/>
      <c r="H51" s="33"/>
      <c r="I51" s="33"/>
      <c r="J51" s="33"/>
      <c r="K51" s="33"/>
      <c r="L51" s="33"/>
      <c r="M51" s="33"/>
      <c r="N51" s="33"/>
      <c r="O51" s="33"/>
      <c r="P51" s="33"/>
      <c r="Q51" s="33"/>
      <c r="R51" s="33"/>
      <c r="S51" s="33"/>
      <c r="T51" s="29"/>
    </row>
    <row r="52" spans="2:20" ht="15" customHeight="1" x14ac:dyDescent="0.25">
      <c r="B52" s="82"/>
      <c r="C52" s="179" t="s">
        <v>21</v>
      </c>
      <c r="D52" s="93"/>
      <c r="E52" s="94">
        <f>E50+E48+E43+E36+E31+E27+E25+E23+E39</f>
        <v>0.99999999999999989</v>
      </c>
      <c r="F52" s="33"/>
      <c r="G52" s="33"/>
      <c r="H52" s="33"/>
      <c r="I52" s="33"/>
      <c r="J52" s="33"/>
      <c r="K52" s="33"/>
      <c r="L52" s="33"/>
      <c r="M52" s="33"/>
      <c r="N52" s="33"/>
      <c r="O52" s="33"/>
      <c r="P52" s="33"/>
      <c r="Q52" s="33"/>
      <c r="R52" s="33"/>
      <c r="S52" s="33"/>
      <c r="T52" s="29"/>
    </row>
    <row r="53" spans="2:20" ht="15" customHeight="1" x14ac:dyDescent="0.25">
      <c r="B53" s="82"/>
      <c r="F53" s="33"/>
      <c r="G53" s="33"/>
      <c r="H53" s="33"/>
      <c r="I53" s="33"/>
      <c r="J53" s="33"/>
      <c r="K53" s="33"/>
      <c r="L53" s="33"/>
      <c r="M53" s="33"/>
      <c r="N53" s="33"/>
      <c r="O53" s="33"/>
      <c r="P53" s="33"/>
      <c r="Q53" s="33"/>
      <c r="R53" s="33"/>
      <c r="S53" s="33"/>
      <c r="T53" s="29"/>
    </row>
    <row r="54" spans="2:20" ht="15" customHeight="1" thickBot="1" x14ac:dyDescent="0.3">
      <c r="B54" s="95"/>
      <c r="C54" s="34"/>
      <c r="D54" s="34"/>
      <c r="E54" s="34"/>
      <c r="F54" s="34"/>
      <c r="G54" s="34"/>
      <c r="H54" s="34"/>
      <c r="I54" s="34"/>
      <c r="J54" s="34"/>
      <c r="K54" s="34"/>
      <c r="L54" s="34"/>
      <c r="M54" s="34"/>
      <c r="N54" s="34"/>
      <c r="O54" s="34"/>
      <c r="P54" s="34"/>
      <c r="Q54" s="34"/>
      <c r="R54" s="34"/>
      <c r="S54" s="34"/>
      <c r="T54" s="30"/>
    </row>
    <row r="55" spans="2:20" ht="15" customHeight="1" thickBot="1" x14ac:dyDescent="0.3"/>
    <row r="56" spans="2:20" ht="15" customHeight="1" x14ac:dyDescent="0.25">
      <c r="B56" s="225" t="s">
        <v>117</v>
      </c>
      <c r="C56" s="226"/>
      <c r="D56" s="226"/>
      <c r="E56" s="226"/>
      <c r="F56" s="226"/>
      <c r="G56" s="226"/>
      <c r="H56" s="226"/>
      <c r="I56" s="226"/>
      <c r="J56" s="226"/>
      <c r="K56" s="226"/>
      <c r="L56" s="226"/>
      <c r="M56" s="226"/>
      <c r="N56" s="226"/>
      <c r="O56" s="226"/>
      <c r="P56" s="226"/>
      <c r="Q56" s="227"/>
    </row>
    <row r="57" spans="2:20" ht="15" customHeight="1" x14ac:dyDescent="0.25">
      <c r="B57" s="228"/>
      <c r="C57" s="229"/>
      <c r="D57" s="229"/>
      <c r="E57" s="229"/>
      <c r="F57" s="229"/>
      <c r="G57" s="229"/>
      <c r="H57" s="229"/>
      <c r="I57" s="229"/>
      <c r="J57" s="229"/>
      <c r="K57" s="229"/>
      <c r="L57" s="229"/>
      <c r="M57" s="229"/>
      <c r="N57" s="229"/>
      <c r="O57" s="229"/>
      <c r="P57" s="229"/>
      <c r="Q57" s="230"/>
    </row>
    <row r="58" spans="2:20" ht="15" customHeight="1" x14ac:dyDescent="0.25">
      <c r="B58" s="228"/>
      <c r="C58" s="229"/>
      <c r="D58" s="229"/>
      <c r="E58" s="229"/>
      <c r="F58" s="229"/>
      <c r="G58" s="229"/>
      <c r="H58" s="229"/>
      <c r="I58" s="229"/>
      <c r="J58" s="229"/>
      <c r="K58" s="229"/>
      <c r="L58" s="229"/>
      <c r="M58" s="229"/>
      <c r="N58" s="229"/>
      <c r="O58" s="229"/>
      <c r="P58" s="229"/>
      <c r="Q58" s="230"/>
    </row>
    <row r="59" spans="2:20" ht="15" customHeight="1" x14ac:dyDescent="0.25">
      <c r="B59" s="228"/>
      <c r="C59" s="229"/>
      <c r="D59" s="229"/>
      <c r="E59" s="229"/>
      <c r="F59" s="229"/>
      <c r="G59" s="229"/>
      <c r="H59" s="229"/>
      <c r="I59" s="229"/>
      <c r="J59" s="229"/>
      <c r="K59" s="229"/>
      <c r="L59" s="229"/>
      <c r="M59" s="229"/>
      <c r="N59" s="229"/>
      <c r="O59" s="229"/>
      <c r="P59" s="229"/>
      <c r="Q59" s="230"/>
    </row>
    <row r="60" spans="2:20" ht="15" customHeight="1" x14ac:dyDescent="0.25">
      <c r="B60" s="228"/>
      <c r="C60" s="229"/>
      <c r="D60" s="229"/>
      <c r="E60" s="229"/>
      <c r="F60" s="229"/>
      <c r="G60" s="229"/>
      <c r="H60" s="229"/>
      <c r="I60" s="229"/>
      <c r="J60" s="229"/>
      <c r="K60" s="229"/>
      <c r="L60" s="229"/>
      <c r="M60" s="229"/>
      <c r="N60" s="229"/>
      <c r="O60" s="229"/>
      <c r="P60" s="229"/>
      <c r="Q60" s="230"/>
    </row>
    <row r="61" spans="2:20" ht="15" customHeight="1" x14ac:dyDescent="0.25">
      <c r="B61" s="228"/>
      <c r="C61" s="229"/>
      <c r="D61" s="229"/>
      <c r="E61" s="229"/>
      <c r="F61" s="229"/>
      <c r="G61" s="229"/>
      <c r="H61" s="229"/>
      <c r="I61" s="229"/>
      <c r="J61" s="229"/>
      <c r="K61" s="229"/>
      <c r="L61" s="229"/>
      <c r="M61" s="229"/>
      <c r="N61" s="229"/>
      <c r="O61" s="229"/>
      <c r="P61" s="229"/>
      <c r="Q61" s="230"/>
    </row>
    <row r="62" spans="2:20" ht="15" customHeight="1" thickBot="1" x14ac:dyDescent="0.3">
      <c r="B62" s="231"/>
      <c r="C62" s="232"/>
      <c r="D62" s="232"/>
      <c r="E62" s="232"/>
      <c r="F62" s="232"/>
      <c r="G62" s="232"/>
      <c r="H62" s="232"/>
      <c r="I62" s="232"/>
      <c r="J62" s="232"/>
      <c r="K62" s="232"/>
      <c r="L62" s="232"/>
      <c r="M62" s="232"/>
      <c r="N62" s="232"/>
      <c r="O62" s="232"/>
      <c r="P62" s="232"/>
      <c r="Q62" s="233"/>
    </row>
    <row r="63" spans="2:20" ht="15" customHeight="1" x14ac:dyDescent="0.25"/>
    <row r="64" spans="2:20"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sheetData>
  <sortState ref="C45:E47">
    <sortCondition descending="1" ref="E45"/>
  </sortState>
  <mergeCells count="3">
    <mergeCell ref="C3:S3"/>
    <mergeCell ref="D5:E5"/>
    <mergeCell ref="B56:Q62"/>
  </mergeCells>
  <pageMargins left="0.7" right="0.7" top="0.75" bottom="0.75" header="0.3" footer="0.3"/>
  <pageSetup scale="37"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pageSetUpPr fitToPage="1"/>
  </sheetPr>
  <dimension ref="A1:S668"/>
  <sheetViews>
    <sheetView showGridLines="0" zoomScale="80" zoomScaleNormal="80" zoomScaleSheetLayoutView="76" workbookViewId="0"/>
  </sheetViews>
  <sheetFormatPr defaultRowHeight="15" x14ac:dyDescent="0.2"/>
  <cols>
    <col min="1" max="1" width="2.85546875" style="3" customWidth="1"/>
    <col min="2" max="2" width="3.85546875" style="3" customWidth="1"/>
    <col min="3" max="3" width="46.5703125" style="3" customWidth="1"/>
    <col min="4" max="4" width="33.7109375" style="3" customWidth="1"/>
    <col min="5" max="5" width="16.7109375" style="3" customWidth="1"/>
    <col min="6" max="6" width="9.140625" style="3"/>
    <col min="7" max="14" width="12" style="3" customWidth="1"/>
    <col min="15" max="17" width="9.140625" style="3"/>
    <col min="18" max="18" width="9.85546875" style="3" customWidth="1"/>
    <col min="19" max="19" width="13.140625" style="3" bestFit="1" customWidth="1"/>
    <col min="20" max="20" width="9.28515625" style="3" bestFit="1" customWidth="1"/>
    <col min="21" max="16384" width="9.140625" style="3"/>
  </cols>
  <sheetData>
    <row r="1" spans="2:19" ht="15.75" thickBot="1" x14ac:dyDescent="0.25"/>
    <row r="2" spans="2:19" x14ac:dyDescent="0.2">
      <c r="B2" s="110"/>
      <c r="C2" s="49"/>
      <c r="D2" s="49"/>
      <c r="E2" s="49"/>
      <c r="F2" s="49"/>
      <c r="G2" s="49"/>
      <c r="H2" s="49"/>
      <c r="I2" s="49"/>
      <c r="J2" s="49"/>
      <c r="K2" s="49"/>
      <c r="L2" s="49"/>
      <c r="M2" s="49"/>
      <c r="N2" s="111"/>
    </row>
    <row r="3" spans="2:19" ht="20.25" customHeight="1" x14ac:dyDescent="0.2">
      <c r="B3" s="112"/>
      <c r="C3" s="219" t="s">
        <v>76</v>
      </c>
      <c r="D3" s="219"/>
      <c r="E3" s="219"/>
      <c r="F3" s="219"/>
      <c r="G3" s="219"/>
      <c r="H3" s="219"/>
      <c r="I3" s="219"/>
      <c r="J3" s="219"/>
      <c r="K3" s="219"/>
      <c r="L3" s="219"/>
      <c r="M3" s="219"/>
      <c r="N3" s="220"/>
    </row>
    <row r="4" spans="2:19" ht="15.75" x14ac:dyDescent="0.25">
      <c r="B4" s="112"/>
      <c r="C4" s="85" t="s">
        <v>271</v>
      </c>
      <c r="D4" s="33"/>
      <c r="E4" s="33"/>
      <c r="F4" s="5"/>
      <c r="G4" s="5"/>
      <c r="H4" s="5"/>
      <c r="I4" s="5"/>
      <c r="J4" s="5"/>
      <c r="K4" s="5"/>
      <c r="L4" s="5"/>
      <c r="M4" s="5"/>
      <c r="N4" s="24"/>
    </row>
    <row r="5" spans="2:19" ht="20.25" customHeight="1" x14ac:dyDescent="0.2">
      <c r="B5" s="112"/>
      <c r="C5" s="86" t="s">
        <v>272</v>
      </c>
      <c r="D5" s="236" t="s">
        <v>287</v>
      </c>
      <c r="E5" s="236"/>
      <c r="F5" s="5"/>
      <c r="G5" s="5"/>
      <c r="H5" s="5"/>
      <c r="I5" s="5"/>
      <c r="J5" s="5"/>
      <c r="K5" s="5"/>
      <c r="L5" s="5"/>
      <c r="M5" s="5"/>
      <c r="N5" s="24"/>
    </row>
    <row r="6" spans="2:19" ht="15.75" x14ac:dyDescent="0.25">
      <c r="B6" s="112"/>
      <c r="C6" s="33"/>
      <c r="D6" s="33"/>
      <c r="E6" s="33"/>
      <c r="F6" s="5"/>
      <c r="G6" s="5"/>
      <c r="H6" s="5"/>
      <c r="I6" s="5"/>
      <c r="J6" s="5"/>
      <c r="K6" s="5"/>
      <c r="L6" s="5"/>
      <c r="M6" s="5"/>
      <c r="N6" s="24"/>
    </row>
    <row r="7" spans="2:19" ht="32.25" customHeight="1" x14ac:dyDescent="0.2">
      <c r="B7" s="112"/>
      <c r="C7" s="114" t="s">
        <v>48</v>
      </c>
      <c r="D7" s="144" t="s">
        <v>49</v>
      </c>
      <c r="E7" s="144" t="s">
        <v>50</v>
      </c>
      <c r="F7" s="5"/>
      <c r="G7" s="221" t="s">
        <v>51</v>
      </c>
      <c r="H7" s="221"/>
      <c r="I7" s="221"/>
      <c r="J7" s="221"/>
      <c r="K7" s="221"/>
      <c r="L7" s="221"/>
      <c r="M7" s="221"/>
      <c r="N7" s="222"/>
    </row>
    <row r="8" spans="2:19" x14ac:dyDescent="0.2">
      <c r="B8" s="112"/>
      <c r="C8" s="145" t="s">
        <v>34</v>
      </c>
      <c r="D8" s="146" t="s">
        <v>3</v>
      </c>
      <c r="E8" s="126">
        <v>2.1121999999999998E-2</v>
      </c>
      <c r="F8" s="5"/>
      <c r="G8" s="5" t="s">
        <v>52</v>
      </c>
      <c r="H8" s="35">
        <v>1</v>
      </c>
      <c r="I8" s="55">
        <f>H8/SUM($H$8:$H$10)</f>
        <v>1</v>
      </c>
      <c r="J8" s="5"/>
      <c r="K8" s="35"/>
      <c r="L8" s="5"/>
      <c r="M8" s="5"/>
      <c r="N8" s="24"/>
      <c r="S8" s="59"/>
    </row>
    <row r="9" spans="2:19" ht="15.75" customHeight="1" x14ac:dyDescent="0.2">
      <c r="B9" s="112"/>
      <c r="C9" s="147" t="s">
        <v>30</v>
      </c>
      <c r="D9" s="42" t="s">
        <v>3</v>
      </c>
      <c r="E9" s="44">
        <v>1.9869000000000001E-2</v>
      </c>
      <c r="F9" s="5"/>
      <c r="G9" s="5" t="s">
        <v>66</v>
      </c>
      <c r="H9" s="6">
        <v>0</v>
      </c>
      <c r="I9" s="55">
        <f>H9/SUM($H$8:$H$10)</f>
        <v>0</v>
      </c>
      <c r="J9" s="5" t="s">
        <v>149</v>
      </c>
      <c r="K9" s="35">
        <f>E23+E25</f>
        <v>0.22166300000000003</v>
      </c>
      <c r="L9" s="5"/>
      <c r="M9" s="5"/>
      <c r="N9" s="24"/>
      <c r="S9" s="59"/>
    </row>
    <row r="10" spans="2:19" x14ac:dyDescent="0.2">
      <c r="B10" s="112"/>
      <c r="C10" s="147" t="s">
        <v>113</v>
      </c>
      <c r="D10" s="42" t="s">
        <v>3</v>
      </c>
      <c r="E10" s="44">
        <v>1.6507000000000001E-2</v>
      </c>
      <c r="F10" s="35"/>
      <c r="G10" s="5" t="s">
        <v>53</v>
      </c>
      <c r="H10" s="6">
        <v>0</v>
      </c>
      <c r="I10" s="55">
        <f>H10/SUM($H$8:$H$10)</f>
        <v>0</v>
      </c>
      <c r="J10" s="5" t="s">
        <v>20</v>
      </c>
      <c r="K10" s="35">
        <f>E35</f>
        <v>0.12355499999999998</v>
      </c>
      <c r="L10" s="5"/>
      <c r="M10" s="5"/>
      <c r="N10" s="24"/>
      <c r="S10" s="59"/>
    </row>
    <row r="11" spans="2:19" x14ac:dyDescent="0.2">
      <c r="B11" s="112"/>
      <c r="C11" s="147" t="s">
        <v>93</v>
      </c>
      <c r="D11" s="42" t="s">
        <v>12</v>
      </c>
      <c r="E11" s="44">
        <v>1.5913999999999998E-2</v>
      </c>
      <c r="F11" s="5"/>
      <c r="G11" s="5"/>
      <c r="H11" s="5"/>
      <c r="I11" s="5"/>
      <c r="J11" s="5" t="s">
        <v>70</v>
      </c>
      <c r="K11" s="35">
        <f>E29</f>
        <v>0.54002499999999998</v>
      </c>
      <c r="L11" s="5"/>
      <c r="M11" s="5"/>
      <c r="N11" s="24"/>
      <c r="S11" s="59"/>
    </row>
    <row r="12" spans="2:19" ht="15.75" customHeight="1" x14ac:dyDescent="0.2">
      <c r="B12" s="112"/>
      <c r="C12" s="147" t="s">
        <v>35</v>
      </c>
      <c r="D12" s="42" t="s">
        <v>169</v>
      </c>
      <c r="E12" s="44">
        <v>1.5204000000000002E-2</v>
      </c>
      <c r="F12" s="35"/>
      <c r="G12" s="5"/>
      <c r="H12" s="35"/>
      <c r="I12" s="5"/>
      <c r="J12" s="5" t="s">
        <v>46</v>
      </c>
      <c r="K12" s="35">
        <f>E33</f>
        <v>3.1461000000000003E-2</v>
      </c>
      <c r="L12" s="5"/>
      <c r="M12" s="5"/>
      <c r="N12" s="24"/>
      <c r="S12" s="59"/>
    </row>
    <row r="13" spans="2:19" x14ac:dyDescent="0.2">
      <c r="B13" s="112"/>
      <c r="C13" s="147" t="s">
        <v>29</v>
      </c>
      <c r="D13" s="42" t="s">
        <v>169</v>
      </c>
      <c r="E13" s="44">
        <v>1.3672999999999999E-2</v>
      </c>
      <c r="F13" s="35"/>
      <c r="G13" s="5"/>
      <c r="H13" s="5"/>
      <c r="I13" s="5"/>
      <c r="J13" s="5" t="s">
        <v>130</v>
      </c>
      <c r="K13" s="35">
        <f>E27</f>
        <v>8.3295999999999995E-2</v>
      </c>
      <c r="L13" s="5"/>
      <c r="M13" s="5"/>
      <c r="N13" s="24"/>
      <c r="S13" s="59"/>
    </row>
    <row r="14" spans="2:19" x14ac:dyDescent="0.2">
      <c r="B14" s="112"/>
      <c r="C14" s="147" t="s">
        <v>100</v>
      </c>
      <c r="D14" s="42" t="s">
        <v>174</v>
      </c>
      <c r="E14" s="44">
        <v>9.8770000000000004E-3</v>
      </c>
      <c r="F14" s="35"/>
      <c r="G14" s="5"/>
      <c r="H14" s="5"/>
      <c r="I14" s="5"/>
      <c r="J14" s="5"/>
      <c r="K14" s="35"/>
      <c r="L14" s="5"/>
      <c r="M14" s="5"/>
      <c r="N14" s="24"/>
      <c r="S14" s="59"/>
    </row>
    <row r="15" spans="2:19" x14ac:dyDescent="0.2">
      <c r="B15" s="112"/>
      <c r="C15" s="147" t="s">
        <v>78</v>
      </c>
      <c r="D15" s="42" t="s">
        <v>119</v>
      </c>
      <c r="E15" s="44">
        <v>7.8340000000000007E-3</v>
      </c>
      <c r="F15" s="5"/>
      <c r="G15" s="5"/>
      <c r="H15" s="5"/>
      <c r="I15" s="5"/>
      <c r="L15" s="5"/>
      <c r="M15" s="5"/>
      <c r="N15" s="24"/>
      <c r="S15" s="59"/>
    </row>
    <row r="16" spans="2:19" x14ac:dyDescent="0.2">
      <c r="B16" s="112"/>
      <c r="C16" s="147" t="s">
        <v>126</v>
      </c>
      <c r="D16" s="42" t="s">
        <v>27</v>
      </c>
      <c r="E16" s="44">
        <v>7.7010000000000004E-3</v>
      </c>
      <c r="F16" s="5"/>
      <c r="G16" s="5"/>
      <c r="H16" s="5"/>
      <c r="I16" s="5"/>
      <c r="J16" s="5"/>
      <c r="K16" s="5"/>
      <c r="L16" s="5"/>
      <c r="M16" s="5"/>
      <c r="N16" s="24"/>
      <c r="S16" s="59"/>
    </row>
    <row r="17" spans="2:19" x14ac:dyDescent="0.2">
      <c r="B17" s="112"/>
      <c r="C17" s="148" t="s">
        <v>36</v>
      </c>
      <c r="D17" s="128" t="s">
        <v>23</v>
      </c>
      <c r="E17" s="44">
        <v>7.4799999999999997E-3</v>
      </c>
      <c r="F17" s="5"/>
      <c r="G17" s="5"/>
      <c r="H17" s="5"/>
      <c r="I17" s="5"/>
      <c r="J17" s="5"/>
      <c r="K17" s="5"/>
      <c r="L17" s="5"/>
      <c r="M17" s="5"/>
      <c r="N17" s="24"/>
      <c r="S17" s="59"/>
    </row>
    <row r="18" spans="2:19" x14ac:dyDescent="0.2">
      <c r="B18" s="112"/>
      <c r="C18" s="147" t="s">
        <v>183</v>
      </c>
      <c r="D18" s="42" t="s">
        <v>175</v>
      </c>
      <c r="E18" s="44">
        <v>7.2730000000000017E-3</v>
      </c>
      <c r="F18" s="5"/>
      <c r="G18" s="5"/>
      <c r="H18" s="5"/>
      <c r="I18" s="5"/>
      <c r="J18" s="5"/>
      <c r="K18" s="5"/>
      <c r="L18" s="5"/>
      <c r="M18" s="5"/>
      <c r="N18" s="24"/>
      <c r="S18" s="59"/>
    </row>
    <row r="19" spans="2:19" x14ac:dyDescent="0.2">
      <c r="B19" s="112"/>
      <c r="C19" s="147" t="s">
        <v>115</v>
      </c>
      <c r="D19" s="42" t="s">
        <v>4</v>
      </c>
      <c r="E19" s="44">
        <v>6.973E-3</v>
      </c>
      <c r="F19" s="5"/>
      <c r="G19" s="5"/>
      <c r="H19" s="5"/>
      <c r="I19" s="5"/>
      <c r="J19" s="5"/>
      <c r="K19" s="5"/>
      <c r="L19" s="5"/>
      <c r="M19" s="5"/>
      <c r="N19" s="24"/>
      <c r="S19" s="59"/>
    </row>
    <row r="20" spans="2:19" ht="15.75" customHeight="1" x14ac:dyDescent="0.25">
      <c r="B20" s="112"/>
      <c r="C20" s="147" t="s">
        <v>148</v>
      </c>
      <c r="D20" s="42" t="s">
        <v>182</v>
      </c>
      <c r="E20" s="44">
        <v>6.8630000000000002E-3</v>
      </c>
      <c r="F20" s="5"/>
      <c r="G20" s="239" t="s">
        <v>158</v>
      </c>
      <c r="H20" s="240"/>
      <c r="I20" s="240"/>
      <c r="J20" s="240"/>
      <c r="K20" s="240"/>
      <c r="L20" s="149">
        <v>46</v>
      </c>
      <c r="M20" s="150"/>
      <c r="N20" s="131"/>
      <c r="P20" s="23"/>
      <c r="S20" s="59"/>
    </row>
    <row r="21" spans="2:19" ht="15.75" x14ac:dyDescent="0.25">
      <c r="B21" s="112"/>
      <c r="C21" s="147" t="s">
        <v>137</v>
      </c>
      <c r="D21" s="42" t="s">
        <v>175</v>
      </c>
      <c r="E21" s="44">
        <v>6.4390000000000003E-3</v>
      </c>
      <c r="F21" s="5"/>
      <c r="G21" s="5"/>
      <c r="H21" s="5"/>
      <c r="I21" s="5"/>
      <c r="J21" s="5"/>
      <c r="K21" s="5"/>
      <c r="L21" s="5"/>
      <c r="M21" s="5"/>
      <c r="N21" s="24"/>
      <c r="P21" s="23"/>
      <c r="S21" s="59"/>
    </row>
    <row r="22" spans="2:19" ht="15.75" x14ac:dyDescent="0.25">
      <c r="B22" s="112"/>
      <c r="C22" s="147" t="s">
        <v>266</v>
      </c>
      <c r="D22" s="42" t="s">
        <v>25</v>
      </c>
      <c r="E22" s="44">
        <v>6.3049999999999998E-3</v>
      </c>
      <c r="F22" s="5"/>
      <c r="G22" s="35"/>
      <c r="H22" s="35"/>
      <c r="I22" s="35"/>
      <c r="J22" s="5"/>
      <c r="K22" s="35"/>
      <c r="L22" s="5"/>
      <c r="M22" s="5"/>
      <c r="N22" s="24"/>
      <c r="P22" s="23"/>
      <c r="S22" s="59"/>
    </row>
    <row r="23" spans="2:19" ht="15.75" customHeight="1" x14ac:dyDescent="0.25">
      <c r="B23" s="112"/>
      <c r="C23" s="132" t="s">
        <v>128</v>
      </c>
      <c r="D23" s="132"/>
      <c r="E23" s="133">
        <f>SUM(E8:E22)</f>
        <v>0.16903400000000002</v>
      </c>
      <c r="F23" s="5"/>
      <c r="G23" s="221" t="s">
        <v>56</v>
      </c>
      <c r="H23" s="221"/>
      <c r="I23" s="221"/>
      <c r="J23" s="221"/>
      <c r="K23" s="221"/>
      <c r="L23" s="221"/>
      <c r="M23" s="221"/>
      <c r="N23" s="222"/>
      <c r="P23" s="23"/>
      <c r="S23" s="59"/>
    </row>
    <row r="24" spans="2:19" ht="15.75" x14ac:dyDescent="0.25">
      <c r="B24" s="112"/>
      <c r="C24" s="4"/>
      <c r="D24" s="4"/>
      <c r="E24" s="6"/>
      <c r="F24" s="5"/>
      <c r="G24" s="5"/>
      <c r="H24" s="5"/>
      <c r="I24" s="5"/>
      <c r="J24" s="5"/>
      <c r="K24" s="5"/>
      <c r="L24" s="5"/>
      <c r="M24" s="5"/>
      <c r="N24" s="24"/>
      <c r="P24" s="23"/>
      <c r="S24" s="59"/>
    </row>
    <row r="25" spans="2:19" ht="15.75" x14ac:dyDescent="0.25">
      <c r="B25" s="112"/>
      <c r="C25" s="132" t="s">
        <v>129</v>
      </c>
      <c r="D25" s="132"/>
      <c r="E25" s="133">
        <v>5.2629000000000002E-2</v>
      </c>
      <c r="F25" s="5"/>
      <c r="G25" s="5"/>
      <c r="H25" s="5"/>
      <c r="I25" s="5"/>
      <c r="J25" s="5"/>
      <c r="K25" s="5"/>
      <c r="L25" s="5"/>
      <c r="M25" s="5"/>
      <c r="N25" s="24"/>
      <c r="P25" s="23"/>
      <c r="S25" s="59"/>
    </row>
    <row r="26" spans="2:19" ht="15.75" x14ac:dyDescent="0.25">
      <c r="B26" s="112"/>
      <c r="C26" s="4"/>
      <c r="D26" s="4"/>
      <c r="E26" s="6"/>
      <c r="F26" s="5"/>
      <c r="G26" s="5"/>
      <c r="H26" s="5"/>
      <c r="I26" s="5"/>
      <c r="J26" s="5"/>
      <c r="K26" s="5"/>
      <c r="L26" s="5"/>
      <c r="M26" s="5"/>
      <c r="N26" s="24"/>
      <c r="P26" s="23"/>
      <c r="S26" s="59"/>
    </row>
    <row r="27" spans="2:19" ht="31.5" x14ac:dyDescent="0.25">
      <c r="B27" s="112"/>
      <c r="C27" s="132" t="s">
        <v>202</v>
      </c>
      <c r="D27" s="151"/>
      <c r="E27" s="133">
        <v>8.3295999999999995E-2</v>
      </c>
      <c r="F27" s="5"/>
      <c r="G27" s="5"/>
      <c r="H27" s="5"/>
      <c r="I27" s="5"/>
      <c r="J27" s="5"/>
      <c r="K27" s="5"/>
      <c r="L27" s="5"/>
      <c r="M27" s="5"/>
      <c r="N27" s="24"/>
      <c r="P27" s="23"/>
      <c r="S27" s="59"/>
    </row>
    <row r="28" spans="2:19" ht="15.75" x14ac:dyDescent="0.25">
      <c r="B28" s="112"/>
      <c r="C28" s="4"/>
      <c r="D28" s="4"/>
      <c r="E28" s="6"/>
      <c r="F28" s="5"/>
      <c r="G28" s="5"/>
      <c r="H28" s="5"/>
      <c r="I28" s="5"/>
      <c r="J28" s="5"/>
      <c r="K28" s="5"/>
      <c r="L28" s="5"/>
      <c r="M28" s="5"/>
      <c r="N28" s="24"/>
      <c r="P28" s="23"/>
      <c r="S28" s="59"/>
    </row>
    <row r="29" spans="2:19" ht="15.75" x14ac:dyDescent="0.25">
      <c r="B29" s="112"/>
      <c r="C29" s="132" t="s">
        <v>68</v>
      </c>
      <c r="D29" s="132"/>
      <c r="E29" s="133">
        <v>0.54002499999999998</v>
      </c>
      <c r="F29" s="5"/>
      <c r="G29" s="5"/>
      <c r="H29" s="5"/>
      <c r="I29" s="5"/>
      <c r="J29" s="5"/>
      <c r="K29" s="5"/>
      <c r="L29" s="5"/>
      <c r="M29" s="5"/>
      <c r="N29" s="24"/>
      <c r="P29" s="23"/>
      <c r="S29" s="59"/>
    </row>
    <row r="30" spans="2:19" ht="15.75" x14ac:dyDescent="0.25">
      <c r="B30" s="112"/>
      <c r="C30" s="70"/>
      <c r="D30" s="31"/>
      <c r="E30" s="73"/>
      <c r="F30" s="5"/>
      <c r="G30" s="5"/>
      <c r="H30" s="5"/>
      <c r="I30" s="5"/>
      <c r="J30" s="5"/>
      <c r="K30" s="5"/>
      <c r="L30" s="5"/>
      <c r="M30" s="5"/>
      <c r="N30" s="24"/>
      <c r="P30" s="23"/>
      <c r="S30" s="59"/>
    </row>
    <row r="31" spans="2:19" ht="15.75" x14ac:dyDescent="0.25">
      <c r="B31" s="112"/>
      <c r="C31" s="31" t="s">
        <v>90</v>
      </c>
      <c r="D31" s="31" t="s">
        <v>74</v>
      </c>
      <c r="E31" s="51">
        <v>3.1459000000000001E-2</v>
      </c>
      <c r="F31" s="5"/>
      <c r="G31" s="5"/>
      <c r="H31" s="5"/>
      <c r="I31" s="5"/>
      <c r="J31" s="5"/>
      <c r="K31" s="5"/>
      <c r="L31" s="5"/>
      <c r="M31" s="5"/>
      <c r="N31" s="24"/>
      <c r="P31" s="23"/>
      <c r="S31" s="59"/>
    </row>
    <row r="32" spans="2:19" ht="15.75" x14ac:dyDescent="0.25">
      <c r="B32" s="112"/>
      <c r="C32" s="31" t="s">
        <v>125</v>
      </c>
      <c r="D32" s="31" t="s">
        <v>74</v>
      </c>
      <c r="E32" s="51">
        <v>1.9999999999999999E-6</v>
      </c>
      <c r="F32" s="5"/>
      <c r="G32" s="5"/>
      <c r="H32" s="5"/>
      <c r="I32" s="5"/>
      <c r="J32" s="5"/>
      <c r="K32" s="5"/>
      <c r="L32" s="5"/>
      <c r="M32" s="5"/>
      <c r="N32" s="24"/>
      <c r="P32" s="23"/>
      <c r="S32" s="59"/>
    </row>
    <row r="33" spans="1:19" ht="15" customHeight="1" x14ac:dyDescent="0.25">
      <c r="B33" s="112"/>
      <c r="C33" s="132" t="s">
        <v>54</v>
      </c>
      <c r="D33" s="132"/>
      <c r="E33" s="133">
        <f>E31+E32</f>
        <v>3.1461000000000003E-2</v>
      </c>
      <c r="F33" s="5"/>
      <c r="G33" s="5"/>
      <c r="H33" s="5"/>
      <c r="I33" s="5"/>
      <c r="J33" s="5"/>
      <c r="K33" s="5"/>
      <c r="L33" s="5"/>
      <c r="M33" s="5"/>
      <c r="N33" s="24"/>
      <c r="P33" s="23"/>
      <c r="S33" s="59"/>
    </row>
    <row r="34" spans="1:19" ht="15" customHeight="1" x14ac:dyDescent="0.25">
      <c r="B34" s="112"/>
      <c r="C34" s="137"/>
      <c r="D34" s="137"/>
      <c r="E34" s="138"/>
      <c r="F34" s="5"/>
      <c r="G34" s="5"/>
      <c r="H34" s="5"/>
      <c r="I34" s="5"/>
      <c r="J34" s="5"/>
      <c r="K34" s="5"/>
      <c r="L34" s="5"/>
      <c r="M34" s="5"/>
      <c r="N34" s="24"/>
      <c r="P34" s="23"/>
      <c r="S34" s="59"/>
    </row>
    <row r="35" spans="1:19" s="58" customFormat="1" ht="15.75" x14ac:dyDescent="0.25">
      <c r="B35" s="134"/>
      <c r="C35" s="132" t="s">
        <v>20</v>
      </c>
      <c r="D35" s="132"/>
      <c r="E35" s="133">
        <v>0.12355499999999998</v>
      </c>
      <c r="F35" s="47"/>
      <c r="G35" s="47"/>
      <c r="H35" s="47"/>
      <c r="I35" s="47"/>
      <c r="J35" s="47"/>
      <c r="K35" s="47"/>
      <c r="L35" s="47"/>
      <c r="M35" s="47"/>
      <c r="N35" s="135"/>
      <c r="P35" s="65"/>
      <c r="S35" s="136"/>
    </row>
    <row r="36" spans="1:19" s="58" customFormat="1" ht="15.75" x14ac:dyDescent="0.25">
      <c r="B36" s="134"/>
      <c r="C36" s="4"/>
      <c r="D36" s="4"/>
      <c r="E36" s="36"/>
      <c r="F36" s="47"/>
      <c r="G36" s="47"/>
      <c r="H36" s="47"/>
      <c r="I36" s="47"/>
      <c r="J36" s="47"/>
      <c r="K36" s="47"/>
      <c r="L36" s="47"/>
      <c r="M36" s="47"/>
      <c r="N36" s="135"/>
      <c r="P36" s="65"/>
      <c r="S36" s="136"/>
    </row>
    <row r="37" spans="1:19" ht="15.75" x14ac:dyDescent="0.25">
      <c r="B37" s="112"/>
      <c r="C37" s="139" t="s">
        <v>21</v>
      </c>
      <c r="D37" s="139"/>
      <c r="E37" s="140">
        <f>E35+E33+E29+E27+E25+E23</f>
        <v>1</v>
      </c>
      <c r="F37" s="5"/>
      <c r="G37" s="5"/>
      <c r="H37" s="5"/>
      <c r="I37" s="5"/>
      <c r="J37" s="5"/>
      <c r="K37" s="5"/>
      <c r="L37" s="5"/>
      <c r="M37" s="5"/>
      <c r="N37" s="24"/>
      <c r="P37" s="23"/>
      <c r="S37" s="59"/>
    </row>
    <row r="38" spans="1:19" ht="15.75" x14ac:dyDescent="0.25">
      <c r="B38" s="112"/>
      <c r="F38" s="5"/>
      <c r="G38" s="5"/>
      <c r="H38" s="5"/>
      <c r="I38" s="5"/>
      <c r="J38" s="5"/>
      <c r="K38" s="5"/>
      <c r="L38" s="5"/>
      <c r="M38" s="5"/>
      <c r="N38" s="24"/>
      <c r="P38" s="23"/>
      <c r="S38" s="59"/>
    </row>
    <row r="39" spans="1:19" ht="15.75" x14ac:dyDescent="0.25">
      <c r="B39" s="112"/>
      <c r="F39" s="5"/>
      <c r="G39" s="5"/>
      <c r="H39" s="5"/>
      <c r="I39" s="5"/>
      <c r="J39" s="5"/>
      <c r="K39" s="5"/>
      <c r="L39" s="5"/>
      <c r="M39" s="5"/>
      <c r="N39" s="24"/>
      <c r="P39" s="23"/>
      <c r="S39" s="59"/>
    </row>
    <row r="40" spans="1:19" ht="15.75" x14ac:dyDescent="0.25">
      <c r="B40" s="112"/>
      <c r="F40" s="5"/>
      <c r="G40" s="5"/>
      <c r="H40" s="5"/>
      <c r="I40" s="5"/>
      <c r="J40" s="5"/>
      <c r="K40" s="5"/>
      <c r="L40" s="5"/>
      <c r="M40" s="5"/>
      <c r="N40" s="24"/>
      <c r="P40" s="23"/>
      <c r="S40" s="59"/>
    </row>
    <row r="41" spans="1:19" ht="15.75" x14ac:dyDescent="0.25">
      <c r="B41" s="112"/>
      <c r="C41" s="5"/>
      <c r="D41" s="5"/>
      <c r="E41" s="5"/>
      <c r="F41" s="5"/>
      <c r="G41" s="5"/>
      <c r="H41" s="5"/>
      <c r="I41" s="5"/>
      <c r="J41" s="5"/>
      <c r="K41" s="5"/>
      <c r="L41" s="5"/>
      <c r="M41" s="5"/>
      <c r="N41" s="24"/>
      <c r="P41" s="23"/>
      <c r="S41" s="59"/>
    </row>
    <row r="42" spans="1:19" ht="15.75" x14ac:dyDescent="0.25">
      <c r="B42" s="112"/>
      <c r="F42" s="5"/>
      <c r="G42" s="5"/>
      <c r="H42" s="5"/>
      <c r="I42" s="5"/>
      <c r="J42" s="5"/>
      <c r="K42" s="5"/>
      <c r="L42" s="5"/>
      <c r="M42" s="5"/>
      <c r="N42" s="24"/>
      <c r="P42" s="23"/>
      <c r="S42" s="59"/>
    </row>
    <row r="43" spans="1:19" ht="15.75" x14ac:dyDescent="0.25">
      <c r="B43" s="112"/>
      <c r="F43" s="5"/>
      <c r="G43" s="5"/>
      <c r="H43" s="5"/>
      <c r="I43" s="5"/>
      <c r="J43" s="5"/>
      <c r="K43" s="5"/>
      <c r="L43" s="5"/>
      <c r="M43" s="5"/>
      <c r="N43" s="24"/>
      <c r="P43" s="23"/>
      <c r="S43" s="59"/>
    </row>
    <row r="44" spans="1:19" ht="15.75" x14ac:dyDescent="0.25">
      <c r="B44" s="112"/>
      <c r="C44" s="5"/>
      <c r="D44" s="5"/>
      <c r="E44" s="5"/>
      <c r="F44" s="5"/>
      <c r="G44" s="5"/>
      <c r="H44" s="5"/>
      <c r="I44" s="5"/>
      <c r="J44" s="5"/>
      <c r="K44" s="5"/>
      <c r="L44" s="5"/>
      <c r="M44" s="5"/>
      <c r="N44" s="24"/>
      <c r="P44" s="23"/>
      <c r="S44" s="59"/>
    </row>
    <row r="45" spans="1:19" ht="15.75" x14ac:dyDescent="0.25">
      <c r="B45" s="112"/>
      <c r="C45" s="5"/>
      <c r="D45" s="5"/>
      <c r="E45" s="5"/>
      <c r="F45" s="5"/>
      <c r="G45" s="5"/>
      <c r="H45" s="5"/>
      <c r="I45" s="5"/>
      <c r="J45" s="5"/>
      <c r="K45" s="5"/>
      <c r="L45" s="5"/>
      <c r="M45" s="5"/>
      <c r="N45" s="24"/>
      <c r="P45" s="23"/>
      <c r="S45" s="59"/>
    </row>
    <row r="46" spans="1:19" ht="15.75" x14ac:dyDescent="0.25">
      <c r="B46" s="112"/>
      <c r="C46" s="5"/>
      <c r="D46" s="5"/>
      <c r="E46" s="71"/>
      <c r="F46" s="5"/>
      <c r="G46" s="5"/>
      <c r="H46" s="5"/>
      <c r="I46" s="5"/>
      <c r="J46" s="5"/>
      <c r="K46" s="5"/>
      <c r="L46" s="5"/>
      <c r="M46" s="5"/>
      <c r="N46" s="24"/>
      <c r="P46" s="23"/>
      <c r="S46" s="59"/>
    </row>
    <row r="47" spans="1:19" ht="15.75" x14ac:dyDescent="0.25">
      <c r="B47" s="112"/>
      <c r="C47" s="5"/>
      <c r="D47" s="5"/>
      <c r="E47" s="72"/>
      <c r="F47" s="5"/>
      <c r="G47" s="5"/>
      <c r="H47" s="5"/>
      <c r="I47" s="5"/>
      <c r="J47" s="5"/>
      <c r="K47" s="5"/>
      <c r="L47" s="5"/>
      <c r="M47" s="5"/>
      <c r="N47" s="24"/>
      <c r="P47" s="23"/>
      <c r="S47" s="59"/>
    </row>
    <row r="48" spans="1:19" x14ac:dyDescent="0.2">
      <c r="A48" s="5"/>
      <c r="B48" s="112"/>
      <c r="C48" s="5"/>
      <c r="D48" s="5"/>
      <c r="E48" s="5"/>
      <c r="F48" s="5"/>
      <c r="G48" s="5"/>
      <c r="H48" s="5"/>
      <c r="I48" s="5"/>
      <c r="J48" s="5"/>
      <c r="K48" s="5"/>
      <c r="L48" s="5"/>
      <c r="M48" s="5"/>
      <c r="N48" s="24"/>
      <c r="O48" s="5"/>
      <c r="S48" s="59"/>
    </row>
    <row r="49" spans="2:19" ht="11.25" customHeight="1" thickBot="1" x14ac:dyDescent="0.25">
      <c r="B49" s="116"/>
      <c r="C49" s="54"/>
      <c r="D49" s="54"/>
      <c r="E49" s="54"/>
      <c r="F49" s="54"/>
      <c r="G49" s="54"/>
      <c r="H49" s="54"/>
      <c r="I49" s="54"/>
      <c r="J49" s="54"/>
      <c r="K49" s="54"/>
      <c r="L49" s="54"/>
      <c r="M49" s="54"/>
      <c r="N49" s="143"/>
      <c r="S49" s="59"/>
    </row>
    <row r="50" spans="2:19" ht="15.75" thickBot="1" x14ac:dyDescent="0.25">
      <c r="S50" s="59"/>
    </row>
    <row r="51" spans="2:19" x14ac:dyDescent="0.2">
      <c r="B51" s="225" t="s">
        <v>117</v>
      </c>
      <c r="C51" s="226"/>
      <c r="D51" s="226"/>
      <c r="E51" s="226"/>
      <c r="F51" s="226"/>
      <c r="G51" s="226"/>
      <c r="H51" s="226"/>
      <c r="I51" s="226"/>
      <c r="J51" s="226"/>
      <c r="K51" s="226"/>
      <c r="L51" s="226"/>
      <c r="M51" s="226"/>
      <c r="N51" s="226"/>
      <c r="O51" s="226"/>
      <c r="P51" s="227"/>
      <c r="S51" s="59"/>
    </row>
    <row r="52" spans="2:19" x14ac:dyDescent="0.2">
      <c r="B52" s="228"/>
      <c r="C52" s="229"/>
      <c r="D52" s="229"/>
      <c r="E52" s="229"/>
      <c r="F52" s="229"/>
      <c r="G52" s="229"/>
      <c r="H52" s="229"/>
      <c r="I52" s="229"/>
      <c r="J52" s="229"/>
      <c r="K52" s="229"/>
      <c r="L52" s="229"/>
      <c r="M52" s="229"/>
      <c r="N52" s="229"/>
      <c r="O52" s="229"/>
      <c r="P52" s="230"/>
      <c r="S52" s="59"/>
    </row>
    <row r="53" spans="2:19" x14ac:dyDescent="0.2">
      <c r="B53" s="228"/>
      <c r="C53" s="229"/>
      <c r="D53" s="229"/>
      <c r="E53" s="229"/>
      <c r="F53" s="229"/>
      <c r="G53" s="229"/>
      <c r="H53" s="229"/>
      <c r="I53" s="229"/>
      <c r="J53" s="229"/>
      <c r="K53" s="229"/>
      <c r="L53" s="229"/>
      <c r="M53" s="229"/>
      <c r="N53" s="229"/>
      <c r="O53" s="229"/>
      <c r="P53" s="230"/>
      <c r="S53" s="59"/>
    </row>
    <row r="54" spans="2:19" x14ac:dyDescent="0.2">
      <c r="B54" s="228"/>
      <c r="C54" s="229"/>
      <c r="D54" s="229"/>
      <c r="E54" s="229"/>
      <c r="F54" s="229"/>
      <c r="G54" s="229"/>
      <c r="H54" s="229"/>
      <c r="I54" s="229"/>
      <c r="J54" s="229"/>
      <c r="K54" s="229"/>
      <c r="L54" s="229"/>
      <c r="M54" s="229"/>
      <c r="N54" s="229"/>
      <c r="O54" s="229"/>
      <c r="P54" s="230"/>
      <c r="S54" s="59"/>
    </row>
    <row r="55" spans="2:19" x14ac:dyDescent="0.2">
      <c r="B55" s="228"/>
      <c r="C55" s="229"/>
      <c r="D55" s="229"/>
      <c r="E55" s="229"/>
      <c r="F55" s="229"/>
      <c r="G55" s="229"/>
      <c r="H55" s="229"/>
      <c r="I55" s="229"/>
      <c r="J55" s="229"/>
      <c r="K55" s="229"/>
      <c r="L55" s="229"/>
      <c r="M55" s="229"/>
      <c r="N55" s="229"/>
      <c r="O55" s="229"/>
      <c r="P55" s="230"/>
      <c r="S55" s="59"/>
    </row>
    <row r="56" spans="2:19" x14ac:dyDescent="0.2">
      <c r="B56" s="228"/>
      <c r="C56" s="229"/>
      <c r="D56" s="229"/>
      <c r="E56" s="229"/>
      <c r="F56" s="229"/>
      <c r="G56" s="229"/>
      <c r="H56" s="229"/>
      <c r="I56" s="229"/>
      <c r="J56" s="229"/>
      <c r="K56" s="229"/>
      <c r="L56" s="229"/>
      <c r="M56" s="229"/>
      <c r="N56" s="229"/>
      <c r="O56" s="229"/>
      <c r="P56" s="230"/>
      <c r="S56" s="59"/>
    </row>
    <row r="57" spans="2:19" ht="15.75" thickBot="1" x14ac:dyDescent="0.25">
      <c r="B57" s="231"/>
      <c r="C57" s="232"/>
      <c r="D57" s="232"/>
      <c r="E57" s="232"/>
      <c r="F57" s="232"/>
      <c r="G57" s="232"/>
      <c r="H57" s="232"/>
      <c r="I57" s="232"/>
      <c r="J57" s="232"/>
      <c r="K57" s="232"/>
      <c r="L57" s="232"/>
      <c r="M57" s="232"/>
      <c r="N57" s="232"/>
      <c r="O57" s="232"/>
      <c r="P57" s="233"/>
      <c r="S57" s="59"/>
    </row>
    <row r="58" spans="2:19" x14ac:dyDescent="0.2">
      <c r="S58" s="59"/>
    </row>
    <row r="59" spans="2:19" x14ac:dyDescent="0.2">
      <c r="S59" s="59"/>
    </row>
    <row r="60" spans="2:19" x14ac:dyDescent="0.2">
      <c r="S60" s="59"/>
    </row>
    <row r="61" spans="2:19" x14ac:dyDescent="0.2">
      <c r="S61" s="59"/>
    </row>
    <row r="62" spans="2:19" x14ac:dyDescent="0.2">
      <c r="S62" s="59"/>
    </row>
    <row r="63" spans="2:19" x14ac:dyDescent="0.2">
      <c r="S63" s="59"/>
    </row>
    <row r="64" spans="2:19" x14ac:dyDescent="0.2">
      <c r="S64" s="59"/>
    </row>
    <row r="65" spans="19:19" x14ac:dyDescent="0.2">
      <c r="S65" s="59"/>
    </row>
    <row r="66" spans="19:19" x14ac:dyDescent="0.2">
      <c r="S66" s="59"/>
    </row>
    <row r="67" spans="19:19" x14ac:dyDescent="0.2">
      <c r="S67" s="59"/>
    </row>
    <row r="68" spans="19:19" x14ac:dyDescent="0.2">
      <c r="S68" s="59"/>
    </row>
    <row r="69" spans="19:19" x14ac:dyDescent="0.2">
      <c r="S69" s="59"/>
    </row>
    <row r="70" spans="19:19" x14ac:dyDescent="0.2">
      <c r="S70" s="59"/>
    </row>
    <row r="71" spans="19:19" x14ac:dyDescent="0.2">
      <c r="S71" s="59"/>
    </row>
    <row r="72" spans="19:19" x14ac:dyDescent="0.2">
      <c r="S72" s="59"/>
    </row>
    <row r="73" spans="19:19" x14ac:dyDescent="0.2">
      <c r="S73" s="59"/>
    </row>
    <row r="74" spans="19:19" x14ac:dyDescent="0.2">
      <c r="S74" s="59"/>
    </row>
    <row r="75" spans="19:19" x14ac:dyDescent="0.2">
      <c r="S75" s="59"/>
    </row>
    <row r="76" spans="19:19" x14ac:dyDescent="0.2">
      <c r="S76" s="59"/>
    </row>
    <row r="77" spans="19:19" x14ac:dyDescent="0.2">
      <c r="S77" s="59"/>
    </row>
    <row r="78" spans="19:19" x14ac:dyDescent="0.2">
      <c r="S78" s="59"/>
    </row>
    <row r="79" spans="19:19" x14ac:dyDescent="0.2">
      <c r="S79" s="59"/>
    </row>
    <row r="80" spans="19:19" x14ac:dyDescent="0.2">
      <c r="S80" s="59"/>
    </row>
    <row r="81" spans="19:19" x14ac:dyDescent="0.2">
      <c r="S81" s="59"/>
    </row>
    <row r="82" spans="19:19" x14ac:dyDescent="0.2">
      <c r="S82" s="59"/>
    </row>
    <row r="83" spans="19:19" x14ac:dyDescent="0.2">
      <c r="S83" s="59"/>
    </row>
    <row r="84" spans="19:19" x14ac:dyDescent="0.2">
      <c r="S84" s="59"/>
    </row>
    <row r="85" spans="19:19" x14ac:dyDescent="0.2">
      <c r="S85" s="59"/>
    </row>
    <row r="86" spans="19:19" x14ac:dyDescent="0.2">
      <c r="S86" s="59"/>
    </row>
    <row r="87" spans="19:19" x14ac:dyDescent="0.2">
      <c r="S87" s="59"/>
    </row>
    <row r="88" spans="19:19" x14ac:dyDescent="0.2">
      <c r="S88" s="59"/>
    </row>
    <row r="89" spans="19:19" x14ac:dyDescent="0.2">
      <c r="S89" s="59"/>
    </row>
    <row r="90" spans="19:19" x14ac:dyDescent="0.2">
      <c r="S90" s="59"/>
    </row>
    <row r="91" spans="19:19" x14ac:dyDescent="0.2">
      <c r="S91" s="59"/>
    </row>
    <row r="92" spans="19:19" x14ac:dyDescent="0.2">
      <c r="S92" s="59"/>
    </row>
    <row r="93" spans="19:19" x14ac:dyDescent="0.2">
      <c r="S93" s="59"/>
    </row>
    <row r="94" spans="19:19" x14ac:dyDescent="0.2">
      <c r="S94" s="59"/>
    </row>
    <row r="95" spans="19:19" x14ac:dyDescent="0.2">
      <c r="S95" s="59"/>
    </row>
    <row r="96" spans="19:19" x14ac:dyDescent="0.2">
      <c r="S96" s="59"/>
    </row>
    <row r="97" spans="19:19" x14ac:dyDescent="0.2">
      <c r="S97" s="59"/>
    </row>
    <row r="98" spans="19:19" x14ac:dyDescent="0.2">
      <c r="S98" s="59"/>
    </row>
    <row r="99" spans="19:19" x14ac:dyDescent="0.2">
      <c r="S99" s="59"/>
    </row>
    <row r="100" spans="19:19" x14ac:dyDescent="0.2">
      <c r="S100" s="59"/>
    </row>
    <row r="101" spans="19:19" x14ac:dyDescent="0.2">
      <c r="S101" s="59"/>
    </row>
    <row r="102" spans="19:19" x14ac:dyDescent="0.2">
      <c r="S102" s="59"/>
    </row>
    <row r="103" spans="19:19" x14ac:dyDescent="0.2">
      <c r="S103" s="59"/>
    </row>
    <row r="104" spans="19:19" x14ac:dyDescent="0.2">
      <c r="S104" s="59"/>
    </row>
    <row r="105" spans="19:19" x14ac:dyDescent="0.2">
      <c r="S105" s="59"/>
    </row>
    <row r="106" spans="19:19" x14ac:dyDescent="0.2">
      <c r="S106" s="59"/>
    </row>
    <row r="107" spans="19:19" x14ac:dyDescent="0.2">
      <c r="S107" s="59"/>
    </row>
    <row r="108" spans="19:19" x14ac:dyDescent="0.2">
      <c r="S108" s="59"/>
    </row>
    <row r="109" spans="19:19" x14ac:dyDescent="0.2">
      <c r="S109" s="59"/>
    </row>
    <row r="110" spans="19:19" x14ac:dyDescent="0.2">
      <c r="S110" s="59"/>
    </row>
    <row r="111" spans="19:19" x14ac:dyDescent="0.2">
      <c r="S111" s="59"/>
    </row>
    <row r="112" spans="19:19" x14ac:dyDescent="0.2">
      <c r="S112" s="59"/>
    </row>
    <row r="113" spans="19:19" x14ac:dyDescent="0.2">
      <c r="S113" s="59"/>
    </row>
    <row r="114" spans="19:19" x14ac:dyDescent="0.2">
      <c r="S114" s="59"/>
    </row>
    <row r="115" spans="19:19" x14ac:dyDescent="0.2">
      <c r="S115" s="59"/>
    </row>
    <row r="116" spans="19:19" x14ac:dyDescent="0.2">
      <c r="S116" s="59"/>
    </row>
    <row r="117" spans="19:19" x14ac:dyDescent="0.2">
      <c r="S117" s="59"/>
    </row>
    <row r="118" spans="19:19" x14ac:dyDescent="0.2">
      <c r="S118" s="59"/>
    </row>
    <row r="119" spans="19:19" x14ac:dyDescent="0.2">
      <c r="S119" s="59"/>
    </row>
    <row r="120" spans="19:19" x14ac:dyDescent="0.2">
      <c r="S120" s="59"/>
    </row>
    <row r="121" spans="19:19" x14ac:dyDescent="0.2">
      <c r="S121" s="59"/>
    </row>
    <row r="122" spans="19:19" x14ac:dyDescent="0.2">
      <c r="S122" s="59"/>
    </row>
    <row r="123" spans="19:19" x14ac:dyDescent="0.2">
      <c r="S123" s="59"/>
    </row>
    <row r="124" spans="19:19" x14ac:dyDescent="0.2">
      <c r="S124" s="59"/>
    </row>
    <row r="125" spans="19:19" x14ac:dyDescent="0.2">
      <c r="S125" s="59"/>
    </row>
    <row r="126" spans="19:19" x14ac:dyDescent="0.2">
      <c r="S126" s="59"/>
    </row>
    <row r="127" spans="19:19" x14ac:dyDescent="0.2">
      <c r="S127" s="59"/>
    </row>
    <row r="128" spans="19:19" x14ac:dyDescent="0.2">
      <c r="S128" s="59"/>
    </row>
    <row r="129" spans="19:19" x14ac:dyDescent="0.2">
      <c r="S129" s="59"/>
    </row>
    <row r="130" spans="19:19" x14ac:dyDescent="0.2">
      <c r="S130" s="59"/>
    </row>
    <row r="131" spans="19:19" x14ac:dyDescent="0.2">
      <c r="S131" s="59"/>
    </row>
    <row r="132" spans="19:19" x14ac:dyDescent="0.2">
      <c r="S132" s="59"/>
    </row>
    <row r="133" spans="19:19" x14ac:dyDescent="0.2">
      <c r="S133" s="59"/>
    </row>
    <row r="134" spans="19:19" x14ac:dyDescent="0.2">
      <c r="S134" s="59"/>
    </row>
    <row r="135" spans="19:19" x14ac:dyDescent="0.2">
      <c r="S135" s="59"/>
    </row>
    <row r="136" spans="19:19" x14ac:dyDescent="0.2">
      <c r="S136" s="59"/>
    </row>
    <row r="137" spans="19:19" x14ac:dyDescent="0.2">
      <c r="S137" s="59"/>
    </row>
    <row r="138" spans="19:19" x14ac:dyDescent="0.2">
      <c r="S138" s="59"/>
    </row>
    <row r="139" spans="19:19" x14ac:dyDescent="0.2">
      <c r="S139" s="59"/>
    </row>
    <row r="140" spans="19:19" x14ac:dyDescent="0.2">
      <c r="S140" s="59"/>
    </row>
    <row r="141" spans="19:19" x14ac:dyDescent="0.2">
      <c r="S141" s="59"/>
    </row>
    <row r="142" spans="19:19" x14ac:dyDescent="0.2">
      <c r="S142" s="59"/>
    </row>
    <row r="143" spans="19:19" x14ac:dyDescent="0.2">
      <c r="S143" s="59"/>
    </row>
    <row r="144" spans="19:19" x14ac:dyDescent="0.2">
      <c r="S144" s="59"/>
    </row>
    <row r="145" spans="19:19" x14ac:dyDescent="0.2">
      <c r="S145" s="59"/>
    </row>
    <row r="146" spans="19:19" x14ac:dyDescent="0.2">
      <c r="S146" s="59"/>
    </row>
    <row r="147" spans="19:19" x14ac:dyDescent="0.2">
      <c r="S147" s="59"/>
    </row>
    <row r="148" spans="19:19" x14ac:dyDescent="0.2">
      <c r="S148" s="59"/>
    </row>
    <row r="149" spans="19:19" x14ac:dyDescent="0.2">
      <c r="S149" s="59"/>
    </row>
    <row r="150" spans="19:19" x14ac:dyDescent="0.2">
      <c r="S150" s="59"/>
    </row>
    <row r="151" spans="19:19" x14ac:dyDescent="0.2">
      <c r="S151" s="59"/>
    </row>
    <row r="152" spans="19:19" x14ac:dyDescent="0.2">
      <c r="S152" s="59"/>
    </row>
    <row r="153" spans="19:19" x14ac:dyDescent="0.2">
      <c r="S153" s="59"/>
    </row>
    <row r="154" spans="19:19" x14ac:dyDescent="0.2">
      <c r="S154" s="59"/>
    </row>
    <row r="155" spans="19:19" x14ac:dyDescent="0.2">
      <c r="S155" s="59"/>
    </row>
    <row r="156" spans="19:19" x14ac:dyDescent="0.2">
      <c r="S156" s="59"/>
    </row>
    <row r="157" spans="19:19" x14ac:dyDescent="0.2">
      <c r="S157" s="59"/>
    </row>
    <row r="158" spans="19:19" x14ac:dyDescent="0.2">
      <c r="S158" s="59"/>
    </row>
    <row r="159" spans="19:19" x14ac:dyDescent="0.2">
      <c r="S159" s="59"/>
    </row>
    <row r="160" spans="19:19" x14ac:dyDescent="0.2">
      <c r="S160" s="59"/>
    </row>
    <row r="161" spans="19:19" x14ac:dyDescent="0.2">
      <c r="S161" s="59"/>
    </row>
    <row r="162" spans="19:19" x14ac:dyDescent="0.2">
      <c r="S162" s="59"/>
    </row>
    <row r="163" spans="19:19" x14ac:dyDescent="0.2">
      <c r="S163" s="59"/>
    </row>
    <row r="164" spans="19:19" x14ac:dyDescent="0.2">
      <c r="S164" s="59"/>
    </row>
    <row r="165" spans="19:19" x14ac:dyDescent="0.2">
      <c r="S165" s="59"/>
    </row>
    <row r="166" spans="19:19" x14ac:dyDescent="0.2">
      <c r="S166" s="59"/>
    </row>
    <row r="167" spans="19:19" x14ac:dyDescent="0.2">
      <c r="S167" s="59"/>
    </row>
    <row r="168" spans="19:19" x14ac:dyDescent="0.2">
      <c r="S168" s="59"/>
    </row>
    <row r="169" spans="19:19" x14ac:dyDescent="0.2">
      <c r="S169" s="59"/>
    </row>
    <row r="170" spans="19:19" x14ac:dyDescent="0.2">
      <c r="S170" s="59"/>
    </row>
    <row r="171" spans="19:19" x14ac:dyDescent="0.2">
      <c r="S171" s="59"/>
    </row>
    <row r="172" spans="19:19" x14ac:dyDescent="0.2">
      <c r="S172" s="59"/>
    </row>
    <row r="173" spans="19:19" x14ac:dyDescent="0.2">
      <c r="S173" s="59"/>
    </row>
    <row r="174" spans="19:19" x14ac:dyDescent="0.2">
      <c r="S174" s="59"/>
    </row>
    <row r="175" spans="19:19" x14ac:dyDescent="0.2">
      <c r="S175" s="59"/>
    </row>
    <row r="176" spans="19:19" x14ac:dyDescent="0.2">
      <c r="S176" s="59"/>
    </row>
    <row r="177" spans="19:19" x14ac:dyDescent="0.2">
      <c r="S177" s="59"/>
    </row>
    <row r="178" spans="19:19" x14ac:dyDescent="0.2">
      <c r="S178" s="59"/>
    </row>
    <row r="179" spans="19:19" x14ac:dyDescent="0.2">
      <c r="S179" s="59"/>
    </row>
    <row r="180" spans="19:19" x14ac:dyDescent="0.2">
      <c r="S180" s="59"/>
    </row>
    <row r="181" spans="19:19" x14ac:dyDescent="0.2">
      <c r="S181" s="59"/>
    </row>
    <row r="182" spans="19:19" x14ac:dyDescent="0.2">
      <c r="S182" s="59"/>
    </row>
    <row r="183" spans="19:19" x14ac:dyDescent="0.2">
      <c r="S183" s="59"/>
    </row>
    <row r="184" spans="19:19" x14ac:dyDescent="0.2">
      <c r="S184" s="59"/>
    </row>
    <row r="185" spans="19:19" x14ac:dyDescent="0.2">
      <c r="S185" s="59"/>
    </row>
    <row r="186" spans="19:19" x14ac:dyDescent="0.2">
      <c r="S186" s="59"/>
    </row>
    <row r="187" spans="19:19" x14ac:dyDescent="0.2">
      <c r="S187" s="59"/>
    </row>
    <row r="188" spans="19:19" x14ac:dyDescent="0.2">
      <c r="S188" s="59"/>
    </row>
    <row r="189" spans="19:19" x14ac:dyDescent="0.2">
      <c r="S189" s="59"/>
    </row>
    <row r="190" spans="19:19" x14ac:dyDescent="0.2">
      <c r="S190" s="59"/>
    </row>
    <row r="191" spans="19:19" x14ac:dyDescent="0.2">
      <c r="S191" s="59"/>
    </row>
    <row r="192" spans="19:19" x14ac:dyDescent="0.2">
      <c r="S192" s="59"/>
    </row>
    <row r="193" spans="19:19" x14ac:dyDescent="0.2">
      <c r="S193" s="59"/>
    </row>
    <row r="194" spans="19:19" x14ac:dyDescent="0.2">
      <c r="S194" s="59"/>
    </row>
    <row r="195" spans="19:19" x14ac:dyDescent="0.2">
      <c r="S195" s="59"/>
    </row>
    <row r="196" spans="19:19" x14ac:dyDescent="0.2">
      <c r="S196" s="59"/>
    </row>
    <row r="197" spans="19:19" x14ac:dyDescent="0.2">
      <c r="S197" s="59"/>
    </row>
    <row r="198" spans="19:19" x14ac:dyDescent="0.2">
      <c r="S198" s="59"/>
    </row>
    <row r="199" spans="19:19" x14ac:dyDescent="0.2">
      <c r="S199" s="59"/>
    </row>
    <row r="200" spans="19:19" x14ac:dyDescent="0.2">
      <c r="S200" s="59"/>
    </row>
    <row r="201" spans="19:19" x14ac:dyDescent="0.2">
      <c r="S201" s="59"/>
    </row>
    <row r="202" spans="19:19" x14ac:dyDescent="0.2">
      <c r="S202" s="59"/>
    </row>
    <row r="203" spans="19:19" x14ac:dyDescent="0.2">
      <c r="S203" s="59"/>
    </row>
    <row r="204" spans="19:19" x14ac:dyDescent="0.2">
      <c r="S204" s="59"/>
    </row>
    <row r="205" spans="19:19" x14ac:dyDescent="0.2">
      <c r="S205" s="59"/>
    </row>
    <row r="206" spans="19:19" x14ac:dyDescent="0.2">
      <c r="S206" s="59"/>
    </row>
    <row r="207" spans="19:19" x14ac:dyDescent="0.2">
      <c r="S207" s="59"/>
    </row>
    <row r="208" spans="19:19" x14ac:dyDescent="0.2">
      <c r="S208" s="59"/>
    </row>
    <row r="209" spans="19:19" x14ac:dyDescent="0.2">
      <c r="S209" s="59"/>
    </row>
    <row r="210" spans="19:19" x14ac:dyDescent="0.2">
      <c r="S210" s="59"/>
    </row>
    <row r="211" spans="19:19" x14ac:dyDescent="0.2">
      <c r="S211" s="59"/>
    </row>
    <row r="212" spans="19:19" x14ac:dyDescent="0.2">
      <c r="S212" s="59"/>
    </row>
    <row r="213" spans="19:19" x14ac:dyDescent="0.2">
      <c r="S213" s="59"/>
    </row>
    <row r="214" spans="19:19" x14ac:dyDescent="0.2">
      <c r="S214" s="59"/>
    </row>
    <row r="215" spans="19:19" x14ac:dyDescent="0.2">
      <c r="S215" s="59"/>
    </row>
    <row r="216" spans="19:19" x14ac:dyDescent="0.2">
      <c r="S216" s="59"/>
    </row>
    <row r="217" spans="19:19" x14ac:dyDescent="0.2">
      <c r="S217" s="59"/>
    </row>
    <row r="218" spans="19:19" x14ac:dyDescent="0.2">
      <c r="S218" s="59"/>
    </row>
    <row r="219" spans="19:19" x14ac:dyDescent="0.2">
      <c r="S219" s="59"/>
    </row>
    <row r="220" spans="19:19" x14ac:dyDescent="0.2">
      <c r="S220" s="59"/>
    </row>
    <row r="221" spans="19:19" x14ac:dyDescent="0.2">
      <c r="S221" s="59"/>
    </row>
    <row r="222" spans="19:19" x14ac:dyDescent="0.2">
      <c r="S222" s="59"/>
    </row>
    <row r="223" spans="19:19" x14ac:dyDescent="0.2">
      <c r="S223" s="59"/>
    </row>
    <row r="224" spans="19:19" x14ac:dyDescent="0.2">
      <c r="S224" s="59"/>
    </row>
    <row r="225" spans="19:19" x14ac:dyDescent="0.2">
      <c r="S225" s="59"/>
    </row>
    <row r="226" spans="19:19" x14ac:dyDescent="0.2">
      <c r="S226" s="59"/>
    </row>
    <row r="227" spans="19:19" x14ac:dyDescent="0.2">
      <c r="S227" s="59"/>
    </row>
    <row r="228" spans="19:19" x14ac:dyDescent="0.2">
      <c r="S228" s="59"/>
    </row>
    <row r="229" spans="19:19" x14ac:dyDescent="0.2">
      <c r="S229" s="59"/>
    </row>
    <row r="230" spans="19:19" x14ac:dyDescent="0.2">
      <c r="S230" s="59"/>
    </row>
    <row r="231" spans="19:19" x14ac:dyDescent="0.2">
      <c r="S231" s="59"/>
    </row>
    <row r="232" spans="19:19" x14ac:dyDescent="0.2">
      <c r="S232" s="59"/>
    </row>
    <row r="233" spans="19:19" x14ac:dyDescent="0.2">
      <c r="S233" s="59"/>
    </row>
    <row r="234" spans="19:19" x14ac:dyDescent="0.2">
      <c r="S234" s="59"/>
    </row>
    <row r="235" spans="19:19" x14ac:dyDescent="0.2">
      <c r="S235" s="59"/>
    </row>
    <row r="236" spans="19:19" x14ac:dyDescent="0.2">
      <c r="S236" s="59"/>
    </row>
    <row r="237" spans="19:19" x14ac:dyDescent="0.2">
      <c r="S237" s="59"/>
    </row>
    <row r="238" spans="19:19" x14ac:dyDescent="0.2">
      <c r="S238" s="59"/>
    </row>
    <row r="239" spans="19:19" x14ac:dyDescent="0.2">
      <c r="S239" s="59"/>
    </row>
    <row r="240" spans="19:19" x14ac:dyDescent="0.2">
      <c r="S240" s="59"/>
    </row>
    <row r="241" spans="19:19" x14ac:dyDescent="0.2">
      <c r="S241" s="59"/>
    </row>
    <row r="242" spans="19:19" x14ac:dyDescent="0.2">
      <c r="S242" s="59"/>
    </row>
    <row r="243" spans="19:19" x14ac:dyDescent="0.2">
      <c r="S243" s="59"/>
    </row>
    <row r="244" spans="19:19" x14ac:dyDescent="0.2">
      <c r="S244" s="59"/>
    </row>
    <row r="245" spans="19:19" x14ac:dyDescent="0.2">
      <c r="S245" s="59"/>
    </row>
    <row r="246" spans="19:19" x14ac:dyDescent="0.2">
      <c r="S246" s="59"/>
    </row>
    <row r="247" spans="19:19" x14ac:dyDescent="0.2">
      <c r="S247" s="59"/>
    </row>
    <row r="248" spans="19:19" x14ac:dyDescent="0.2">
      <c r="S248" s="59"/>
    </row>
    <row r="249" spans="19:19" x14ac:dyDescent="0.2">
      <c r="S249" s="59"/>
    </row>
    <row r="250" spans="19:19" x14ac:dyDescent="0.2">
      <c r="S250" s="59"/>
    </row>
    <row r="251" spans="19:19" x14ac:dyDescent="0.2">
      <c r="S251" s="59"/>
    </row>
    <row r="252" spans="19:19" x14ac:dyDescent="0.2">
      <c r="S252" s="59"/>
    </row>
    <row r="253" spans="19:19" x14ac:dyDescent="0.2">
      <c r="S253" s="59"/>
    </row>
    <row r="254" spans="19:19" x14ac:dyDescent="0.2">
      <c r="S254" s="59"/>
    </row>
    <row r="255" spans="19:19" x14ac:dyDescent="0.2">
      <c r="S255" s="59"/>
    </row>
    <row r="256" spans="19:19" x14ac:dyDescent="0.2">
      <c r="S256" s="59"/>
    </row>
    <row r="257" spans="19:19" x14ac:dyDescent="0.2">
      <c r="S257" s="59"/>
    </row>
    <row r="258" spans="19:19" x14ac:dyDescent="0.2">
      <c r="S258" s="59"/>
    </row>
    <row r="259" spans="19:19" x14ac:dyDescent="0.2">
      <c r="S259" s="59"/>
    </row>
    <row r="260" spans="19:19" x14ac:dyDescent="0.2">
      <c r="S260" s="59"/>
    </row>
    <row r="261" spans="19:19" x14ac:dyDescent="0.2">
      <c r="S261" s="59"/>
    </row>
    <row r="262" spans="19:19" x14ac:dyDescent="0.2">
      <c r="S262" s="59"/>
    </row>
    <row r="263" spans="19:19" x14ac:dyDescent="0.2">
      <c r="S263" s="59"/>
    </row>
    <row r="264" spans="19:19" x14ac:dyDescent="0.2">
      <c r="S264" s="59"/>
    </row>
    <row r="265" spans="19:19" x14ac:dyDescent="0.2">
      <c r="S265" s="59"/>
    </row>
    <row r="266" spans="19:19" x14ac:dyDescent="0.2">
      <c r="S266" s="59"/>
    </row>
    <row r="267" spans="19:19" x14ac:dyDescent="0.2">
      <c r="S267" s="59"/>
    </row>
    <row r="268" spans="19:19" x14ac:dyDescent="0.2">
      <c r="S268" s="59"/>
    </row>
    <row r="269" spans="19:19" x14ac:dyDescent="0.2">
      <c r="S269" s="59"/>
    </row>
    <row r="270" spans="19:19" x14ac:dyDescent="0.2">
      <c r="S270" s="59"/>
    </row>
    <row r="271" spans="19:19" x14ac:dyDescent="0.2">
      <c r="S271" s="59"/>
    </row>
    <row r="272" spans="19:19" x14ac:dyDescent="0.2">
      <c r="S272" s="59"/>
    </row>
    <row r="273" spans="19:19" x14ac:dyDescent="0.2">
      <c r="S273" s="59"/>
    </row>
    <row r="274" spans="19:19" x14ac:dyDescent="0.2">
      <c r="S274" s="59"/>
    </row>
    <row r="275" spans="19:19" x14ac:dyDescent="0.2">
      <c r="S275" s="59"/>
    </row>
    <row r="276" spans="19:19" x14ac:dyDescent="0.2">
      <c r="S276" s="59"/>
    </row>
    <row r="277" spans="19:19" x14ac:dyDescent="0.2">
      <c r="S277" s="59"/>
    </row>
    <row r="278" spans="19:19" x14ac:dyDescent="0.2">
      <c r="S278" s="59"/>
    </row>
    <row r="279" spans="19:19" x14ac:dyDescent="0.2">
      <c r="S279" s="59"/>
    </row>
    <row r="280" spans="19:19" x14ac:dyDescent="0.2">
      <c r="S280" s="59"/>
    </row>
    <row r="281" spans="19:19" x14ac:dyDescent="0.2">
      <c r="S281" s="59"/>
    </row>
    <row r="282" spans="19:19" x14ac:dyDescent="0.2">
      <c r="S282" s="59"/>
    </row>
    <row r="283" spans="19:19" x14ac:dyDescent="0.2">
      <c r="S283" s="59"/>
    </row>
    <row r="284" spans="19:19" x14ac:dyDescent="0.2">
      <c r="S284" s="59"/>
    </row>
    <row r="285" spans="19:19" x14ac:dyDescent="0.2">
      <c r="S285" s="59"/>
    </row>
    <row r="286" spans="19:19" x14ac:dyDescent="0.2">
      <c r="S286" s="59"/>
    </row>
    <row r="287" spans="19:19" x14ac:dyDescent="0.2">
      <c r="S287" s="59"/>
    </row>
    <row r="288" spans="19:19" x14ac:dyDescent="0.2">
      <c r="S288" s="59"/>
    </row>
    <row r="289" spans="19:19" x14ac:dyDescent="0.2">
      <c r="S289" s="59"/>
    </row>
    <row r="290" spans="19:19" x14ac:dyDescent="0.2">
      <c r="S290" s="59"/>
    </row>
    <row r="291" spans="19:19" x14ac:dyDescent="0.2">
      <c r="S291" s="59"/>
    </row>
    <row r="292" spans="19:19" x14ac:dyDescent="0.2">
      <c r="S292" s="59"/>
    </row>
    <row r="293" spans="19:19" x14ac:dyDescent="0.2">
      <c r="S293" s="59"/>
    </row>
    <row r="294" spans="19:19" x14ac:dyDescent="0.2">
      <c r="S294" s="59"/>
    </row>
    <row r="295" spans="19:19" x14ac:dyDescent="0.2">
      <c r="S295" s="59"/>
    </row>
    <row r="296" spans="19:19" x14ac:dyDescent="0.2">
      <c r="S296" s="59"/>
    </row>
    <row r="297" spans="19:19" x14ac:dyDescent="0.2">
      <c r="S297" s="59"/>
    </row>
    <row r="298" spans="19:19" x14ac:dyDescent="0.2">
      <c r="S298" s="59"/>
    </row>
    <row r="299" spans="19:19" x14ac:dyDescent="0.2">
      <c r="S299" s="59"/>
    </row>
    <row r="300" spans="19:19" x14ac:dyDescent="0.2">
      <c r="S300" s="59"/>
    </row>
    <row r="301" spans="19:19" x14ac:dyDescent="0.2">
      <c r="S301" s="59"/>
    </row>
    <row r="302" spans="19:19" x14ac:dyDescent="0.2">
      <c r="S302" s="59"/>
    </row>
    <row r="303" spans="19:19" x14ac:dyDescent="0.2">
      <c r="S303" s="59"/>
    </row>
    <row r="304" spans="19:19" x14ac:dyDescent="0.2">
      <c r="S304" s="59"/>
    </row>
    <row r="305" spans="19:19" x14ac:dyDescent="0.2">
      <c r="S305" s="59"/>
    </row>
    <row r="306" spans="19:19" x14ac:dyDescent="0.2">
      <c r="S306" s="59"/>
    </row>
    <row r="307" spans="19:19" x14ac:dyDescent="0.2">
      <c r="S307" s="59"/>
    </row>
    <row r="308" spans="19:19" x14ac:dyDescent="0.2">
      <c r="S308" s="59"/>
    </row>
    <row r="309" spans="19:19" x14ac:dyDescent="0.2">
      <c r="S309" s="59"/>
    </row>
    <row r="310" spans="19:19" x14ac:dyDescent="0.2">
      <c r="S310" s="59"/>
    </row>
    <row r="311" spans="19:19" x14ac:dyDescent="0.2">
      <c r="S311" s="59"/>
    </row>
    <row r="312" spans="19:19" x14ac:dyDescent="0.2">
      <c r="S312" s="59"/>
    </row>
    <row r="313" spans="19:19" x14ac:dyDescent="0.2">
      <c r="S313" s="59"/>
    </row>
    <row r="314" spans="19:19" x14ac:dyDescent="0.2">
      <c r="S314" s="59"/>
    </row>
    <row r="315" spans="19:19" x14ac:dyDescent="0.2">
      <c r="S315" s="59"/>
    </row>
    <row r="316" spans="19:19" x14ac:dyDescent="0.2">
      <c r="S316" s="59"/>
    </row>
    <row r="317" spans="19:19" x14ac:dyDescent="0.2">
      <c r="S317" s="59"/>
    </row>
    <row r="318" spans="19:19" x14ac:dyDescent="0.2">
      <c r="S318" s="59"/>
    </row>
    <row r="319" spans="19:19" x14ac:dyDescent="0.2">
      <c r="S319" s="59"/>
    </row>
    <row r="320" spans="19:19" x14ac:dyDescent="0.2">
      <c r="S320" s="59"/>
    </row>
    <row r="321" spans="19:19" x14ac:dyDescent="0.2">
      <c r="S321" s="59"/>
    </row>
    <row r="322" spans="19:19" x14ac:dyDescent="0.2">
      <c r="S322" s="59"/>
    </row>
    <row r="323" spans="19:19" x14ac:dyDescent="0.2">
      <c r="S323" s="59"/>
    </row>
    <row r="324" spans="19:19" x14ac:dyDescent="0.2">
      <c r="S324" s="59"/>
    </row>
    <row r="325" spans="19:19" x14ac:dyDescent="0.2">
      <c r="S325" s="59"/>
    </row>
    <row r="326" spans="19:19" x14ac:dyDescent="0.2">
      <c r="S326" s="59"/>
    </row>
    <row r="327" spans="19:19" x14ac:dyDescent="0.2">
      <c r="S327" s="59"/>
    </row>
    <row r="328" spans="19:19" x14ac:dyDescent="0.2">
      <c r="S328" s="59"/>
    </row>
    <row r="329" spans="19:19" x14ac:dyDescent="0.2">
      <c r="S329" s="59"/>
    </row>
    <row r="330" spans="19:19" x14ac:dyDescent="0.2">
      <c r="S330" s="59"/>
    </row>
    <row r="331" spans="19:19" x14ac:dyDescent="0.2">
      <c r="S331" s="59"/>
    </row>
    <row r="332" spans="19:19" x14ac:dyDescent="0.2">
      <c r="S332" s="59"/>
    </row>
    <row r="333" spans="19:19" x14ac:dyDescent="0.2">
      <c r="S333" s="59"/>
    </row>
    <row r="334" spans="19:19" x14ac:dyDescent="0.2">
      <c r="S334" s="59"/>
    </row>
    <row r="335" spans="19:19" x14ac:dyDescent="0.2">
      <c r="S335" s="59"/>
    </row>
    <row r="336" spans="19:19" x14ac:dyDescent="0.2">
      <c r="S336" s="59"/>
    </row>
    <row r="337" spans="19:19" x14ac:dyDescent="0.2">
      <c r="S337" s="59"/>
    </row>
    <row r="338" spans="19:19" x14ac:dyDescent="0.2">
      <c r="S338" s="59"/>
    </row>
    <row r="339" spans="19:19" x14ac:dyDescent="0.2">
      <c r="S339" s="59"/>
    </row>
    <row r="340" spans="19:19" x14ac:dyDescent="0.2">
      <c r="S340" s="59"/>
    </row>
    <row r="341" spans="19:19" x14ac:dyDescent="0.2">
      <c r="S341" s="59"/>
    </row>
    <row r="342" spans="19:19" x14ac:dyDescent="0.2">
      <c r="S342" s="59"/>
    </row>
    <row r="343" spans="19:19" x14ac:dyDescent="0.2">
      <c r="S343" s="59"/>
    </row>
    <row r="344" spans="19:19" x14ac:dyDescent="0.2">
      <c r="S344" s="59"/>
    </row>
    <row r="345" spans="19:19" x14ac:dyDescent="0.2">
      <c r="S345" s="59"/>
    </row>
    <row r="346" spans="19:19" x14ac:dyDescent="0.2">
      <c r="S346" s="59"/>
    </row>
    <row r="347" spans="19:19" x14ac:dyDescent="0.2">
      <c r="S347" s="59"/>
    </row>
    <row r="348" spans="19:19" x14ac:dyDescent="0.2">
      <c r="S348" s="59"/>
    </row>
    <row r="349" spans="19:19" x14ac:dyDescent="0.2">
      <c r="S349" s="59"/>
    </row>
    <row r="350" spans="19:19" x14ac:dyDescent="0.2">
      <c r="S350" s="59"/>
    </row>
    <row r="351" spans="19:19" x14ac:dyDescent="0.2">
      <c r="S351" s="59"/>
    </row>
    <row r="352" spans="19:19" x14ac:dyDescent="0.2">
      <c r="S352" s="59"/>
    </row>
    <row r="353" spans="19:19" x14ac:dyDescent="0.2">
      <c r="S353" s="59"/>
    </row>
    <row r="354" spans="19:19" x14ac:dyDescent="0.2">
      <c r="S354" s="59"/>
    </row>
    <row r="355" spans="19:19" x14ac:dyDescent="0.2">
      <c r="S355" s="59"/>
    </row>
    <row r="356" spans="19:19" x14ac:dyDescent="0.2">
      <c r="S356" s="59"/>
    </row>
    <row r="357" spans="19:19" x14ac:dyDescent="0.2">
      <c r="S357" s="59"/>
    </row>
    <row r="358" spans="19:19" x14ac:dyDescent="0.2">
      <c r="S358" s="59"/>
    </row>
    <row r="359" spans="19:19" x14ac:dyDescent="0.2">
      <c r="S359" s="59"/>
    </row>
    <row r="360" spans="19:19" x14ac:dyDescent="0.2">
      <c r="S360" s="59"/>
    </row>
    <row r="361" spans="19:19" x14ac:dyDescent="0.2">
      <c r="S361" s="59"/>
    </row>
    <row r="362" spans="19:19" x14ac:dyDescent="0.2">
      <c r="S362" s="59"/>
    </row>
    <row r="363" spans="19:19" x14ac:dyDescent="0.2">
      <c r="S363" s="59"/>
    </row>
    <row r="364" spans="19:19" x14ac:dyDescent="0.2">
      <c r="S364" s="59"/>
    </row>
    <row r="365" spans="19:19" x14ac:dyDescent="0.2">
      <c r="S365" s="59"/>
    </row>
    <row r="366" spans="19:19" x14ac:dyDescent="0.2">
      <c r="S366" s="59"/>
    </row>
    <row r="367" spans="19:19" x14ac:dyDescent="0.2">
      <c r="S367" s="59"/>
    </row>
    <row r="368" spans="19:19" x14ac:dyDescent="0.2">
      <c r="S368" s="59"/>
    </row>
    <row r="369" spans="19:19" x14ac:dyDescent="0.2">
      <c r="S369" s="59"/>
    </row>
    <row r="370" spans="19:19" x14ac:dyDescent="0.2">
      <c r="S370" s="59"/>
    </row>
    <row r="371" spans="19:19" x14ac:dyDescent="0.2">
      <c r="S371" s="59"/>
    </row>
    <row r="372" spans="19:19" x14ac:dyDescent="0.2">
      <c r="S372" s="59"/>
    </row>
    <row r="373" spans="19:19" x14ac:dyDescent="0.2">
      <c r="S373" s="59"/>
    </row>
    <row r="374" spans="19:19" x14ac:dyDescent="0.2">
      <c r="S374" s="59"/>
    </row>
    <row r="375" spans="19:19" x14ac:dyDescent="0.2">
      <c r="S375" s="59"/>
    </row>
    <row r="376" spans="19:19" x14ac:dyDescent="0.2">
      <c r="S376" s="59"/>
    </row>
    <row r="377" spans="19:19" x14ac:dyDescent="0.2">
      <c r="S377" s="59"/>
    </row>
    <row r="378" spans="19:19" x14ac:dyDescent="0.2">
      <c r="S378" s="59"/>
    </row>
    <row r="379" spans="19:19" x14ac:dyDescent="0.2">
      <c r="S379" s="59"/>
    </row>
    <row r="380" spans="19:19" x14ac:dyDescent="0.2">
      <c r="S380" s="59"/>
    </row>
    <row r="381" spans="19:19" x14ac:dyDescent="0.2">
      <c r="S381" s="59"/>
    </row>
    <row r="382" spans="19:19" x14ac:dyDescent="0.2">
      <c r="S382" s="59"/>
    </row>
    <row r="383" spans="19:19" x14ac:dyDescent="0.2">
      <c r="S383" s="59"/>
    </row>
    <row r="384" spans="19:19" x14ac:dyDescent="0.2">
      <c r="S384" s="59"/>
    </row>
    <row r="385" spans="19:19" x14ac:dyDescent="0.2">
      <c r="S385" s="59"/>
    </row>
    <row r="386" spans="19:19" x14ac:dyDescent="0.2">
      <c r="S386" s="59"/>
    </row>
    <row r="387" spans="19:19" x14ac:dyDescent="0.2">
      <c r="S387" s="59"/>
    </row>
    <row r="388" spans="19:19" x14ac:dyDescent="0.2">
      <c r="S388" s="59"/>
    </row>
    <row r="389" spans="19:19" x14ac:dyDescent="0.2">
      <c r="S389" s="59"/>
    </row>
    <row r="390" spans="19:19" x14ac:dyDescent="0.2">
      <c r="S390" s="59"/>
    </row>
    <row r="391" spans="19:19" x14ac:dyDescent="0.2">
      <c r="S391" s="59"/>
    </row>
    <row r="392" spans="19:19" x14ac:dyDescent="0.2">
      <c r="S392" s="59"/>
    </row>
    <row r="393" spans="19:19" x14ac:dyDescent="0.2">
      <c r="S393" s="59"/>
    </row>
    <row r="394" spans="19:19" x14ac:dyDescent="0.2">
      <c r="S394" s="59"/>
    </row>
    <row r="395" spans="19:19" x14ac:dyDescent="0.2">
      <c r="S395" s="59"/>
    </row>
    <row r="396" spans="19:19" x14ac:dyDescent="0.2">
      <c r="S396" s="59"/>
    </row>
    <row r="397" spans="19:19" x14ac:dyDescent="0.2">
      <c r="S397" s="59"/>
    </row>
    <row r="398" spans="19:19" x14ac:dyDescent="0.2">
      <c r="S398" s="59"/>
    </row>
    <row r="399" spans="19:19" x14ac:dyDescent="0.2">
      <c r="S399" s="59"/>
    </row>
    <row r="400" spans="19:19" x14ac:dyDescent="0.2">
      <c r="S400" s="59"/>
    </row>
    <row r="401" spans="19:19" x14ac:dyDescent="0.2">
      <c r="S401" s="59"/>
    </row>
    <row r="402" spans="19:19" x14ac:dyDescent="0.2">
      <c r="S402" s="59"/>
    </row>
    <row r="403" spans="19:19" x14ac:dyDescent="0.2">
      <c r="S403" s="59"/>
    </row>
    <row r="404" spans="19:19" x14ac:dyDescent="0.2">
      <c r="S404" s="59"/>
    </row>
    <row r="405" spans="19:19" x14ac:dyDescent="0.2">
      <c r="S405" s="59"/>
    </row>
    <row r="406" spans="19:19" x14ac:dyDescent="0.2">
      <c r="S406" s="59"/>
    </row>
    <row r="407" spans="19:19" x14ac:dyDescent="0.2">
      <c r="S407" s="59"/>
    </row>
    <row r="408" spans="19:19" x14ac:dyDescent="0.2">
      <c r="S408" s="59"/>
    </row>
    <row r="409" spans="19:19" x14ac:dyDescent="0.2">
      <c r="S409" s="59"/>
    </row>
    <row r="410" spans="19:19" x14ac:dyDescent="0.2">
      <c r="S410" s="59"/>
    </row>
    <row r="411" spans="19:19" x14ac:dyDescent="0.2">
      <c r="S411" s="59"/>
    </row>
    <row r="412" spans="19:19" x14ac:dyDescent="0.2">
      <c r="S412" s="59"/>
    </row>
    <row r="413" spans="19:19" x14ac:dyDescent="0.2">
      <c r="S413" s="59"/>
    </row>
    <row r="414" spans="19:19" x14ac:dyDescent="0.2">
      <c r="S414" s="59"/>
    </row>
    <row r="415" spans="19:19" x14ac:dyDescent="0.2">
      <c r="S415" s="59"/>
    </row>
    <row r="416" spans="19:19" x14ac:dyDescent="0.2">
      <c r="S416" s="59"/>
    </row>
    <row r="417" spans="19:19" x14ac:dyDescent="0.2">
      <c r="S417" s="59"/>
    </row>
    <row r="418" spans="19:19" x14ac:dyDescent="0.2">
      <c r="S418" s="59"/>
    </row>
    <row r="419" spans="19:19" x14ac:dyDescent="0.2">
      <c r="S419" s="59"/>
    </row>
    <row r="420" spans="19:19" x14ac:dyDescent="0.2">
      <c r="S420" s="59"/>
    </row>
    <row r="421" spans="19:19" x14ac:dyDescent="0.2">
      <c r="S421" s="59"/>
    </row>
    <row r="422" spans="19:19" x14ac:dyDescent="0.2">
      <c r="S422" s="59"/>
    </row>
    <row r="423" spans="19:19" x14ac:dyDescent="0.2">
      <c r="S423" s="59"/>
    </row>
    <row r="424" spans="19:19" x14ac:dyDescent="0.2">
      <c r="S424" s="59"/>
    </row>
    <row r="425" spans="19:19" x14ac:dyDescent="0.2">
      <c r="S425" s="59"/>
    </row>
    <row r="426" spans="19:19" x14ac:dyDescent="0.2">
      <c r="S426" s="59"/>
    </row>
    <row r="427" spans="19:19" x14ac:dyDescent="0.2">
      <c r="S427" s="59"/>
    </row>
    <row r="428" spans="19:19" x14ac:dyDescent="0.2">
      <c r="S428" s="59"/>
    </row>
    <row r="429" spans="19:19" x14ac:dyDescent="0.2">
      <c r="S429" s="59"/>
    </row>
    <row r="430" spans="19:19" x14ac:dyDescent="0.2">
      <c r="S430" s="59"/>
    </row>
    <row r="431" spans="19:19" x14ac:dyDescent="0.2">
      <c r="S431" s="59"/>
    </row>
    <row r="432" spans="19:19" x14ac:dyDescent="0.2">
      <c r="S432" s="59"/>
    </row>
    <row r="433" spans="19:19" x14ac:dyDescent="0.2">
      <c r="S433" s="59"/>
    </row>
    <row r="434" spans="19:19" x14ac:dyDescent="0.2">
      <c r="S434" s="59"/>
    </row>
    <row r="435" spans="19:19" x14ac:dyDescent="0.2">
      <c r="S435" s="59"/>
    </row>
    <row r="436" spans="19:19" x14ac:dyDescent="0.2">
      <c r="S436" s="59"/>
    </row>
    <row r="437" spans="19:19" x14ac:dyDescent="0.2">
      <c r="S437" s="59"/>
    </row>
    <row r="438" spans="19:19" x14ac:dyDescent="0.2">
      <c r="S438" s="59"/>
    </row>
    <row r="439" spans="19:19" x14ac:dyDescent="0.2">
      <c r="S439" s="59"/>
    </row>
    <row r="440" spans="19:19" x14ac:dyDescent="0.2">
      <c r="S440" s="59"/>
    </row>
    <row r="441" spans="19:19" x14ac:dyDescent="0.2">
      <c r="S441" s="59"/>
    </row>
    <row r="442" spans="19:19" x14ac:dyDescent="0.2">
      <c r="S442" s="59"/>
    </row>
    <row r="443" spans="19:19" x14ac:dyDescent="0.2">
      <c r="S443" s="59"/>
    </row>
    <row r="444" spans="19:19" x14ac:dyDescent="0.2">
      <c r="S444" s="59"/>
    </row>
    <row r="445" spans="19:19" x14ac:dyDescent="0.2">
      <c r="S445" s="59"/>
    </row>
    <row r="446" spans="19:19" x14ac:dyDescent="0.2">
      <c r="S446" s="59"/>
    </row>
    <row r="447" spans="19:19" x14ac:dyDescent="0.2">
      <c r="S447" s="59"/>
    </row>
    <row r="448" spans="19:19" x14ac:dyDescent="0.2">
      <c r="S448" s="59"/>
    </row>
    <row r="449" spans="19:19" x14ac:dyDescent="0.2">
      <c r="S449" s="59"/>
    </row>
    <row r="450" spans="19:19" x14ac:dyDescent="0.2">
      <c r="S450" s="59"/>
    </row>
    <row r="451" spans="19:19" x14ac:dyDescent="0.2">
      <c r="S451" s="59"/>
    </row>
    <row r="452" spans="19:19" x14ac:dyDescent="0.2">
      <c r="S452" s="59"/>
    </row>
    <row r="453" spans="19:19" x14ac:dyDescent="0.2">
      <c r="S453" s="59"/>
    </row>
    <row r="454" spans="19:19" x14ac:dyDescent="0.2">
      <c r="S454" s="59"/>
    </row>
    <row r="455" spans="19:19" x14ac:dyDescent="0.2">
      <c r="S455" s="59"/>
    </row>
    <row r="456" spans="19:19" x14ac:dyDescent="0.2">
      <c r="S456" s="59"/>
    </row>
    <row r="457" spans="19:19" x14ac:dyDescent="0.2">
      <c r="S457" s="59"/>
    </row>
    <row r="458" spans="19:19" x14ac:dyDescent="0.2">
      <c r="S458" s="59"/>
    </row>
    <row r="459" spans="19:19" x14ac:dyDescent="0.2">
      <c r="S459" s="59"/>
    </row>
    <row r="460" spans="19:19" x14ac:dyDescent="0.2">
      <c r="S460" s="59"/>
    </row>
    <row r="461" spans="19:19" x14ac:dyDescent="0.2">
      <c r="S461" s="59"/>
    </row>
    <row r="462" spans="19:19" x14ac:dyDescent="0.2">
      <c r="S462" s="59"/>
    </row>
    <row r="463" spans="19:19" x14ac:dyDescent="0.2">
      <c r="S463" s="59"/>
    </row>
    <row r="464" spans="19:19" x14ac:dyDescent="0.2">
      <c r="S464" s="59"/>
    </row>
    <row r="465" spans="19:19" x14ac:dyDescent="0.2">
      <c r="S465" s="59"/>
    </row>
    <row r="466" spans="19:19" x14ac:dyDescent="0.2">
      <c r="S466" s="59"/>
    </row>
    <row r="467" spans="19:19" x14ac:dyDescent="0.2">
      <c r="S467" s="59"/>
    </row>
    <row r="468" spans="19:19" x14ac:dyDescent="0.2">
      <c r="S468" s="59"/>
    </row>
    <row r="469" spans="19:19" x14ac:dyDescent="0.2">
      <c r="S469" s="59"/>
    </row>
    <row r="470" spans="19:19" x14ac:dyDescent="0.2">
      <c r="S470" s="59"/>
    </row>
    <row r="471" spans="19:19" x14ac:dyDescent="0.2">
      <c r="S471" s="59"/>
    </row>
    <row r="472" spans="19:19" x14ac:dyDescent="0.2">
      <c r="S472" s="59"/>
    </row>
    <row r="473" spans="19:19" x14ac:dyDescent="0.2">
      <c r="S473" s="59"/>
    </row>
    <row r="474" spans="19:19" x14ac:dyDescent="0.2">
      <c r="S474" s="59"/>
    </row>
    <row r="475" spans="19:19" x14ac:dyDescent="0.2">
      <c r="S475" s="59"/>
    </row>
    <row r="476" spans="19:19" x14ac:dyDescent="0.2">
      <c r="S476" s="59"/>
    </row>
    <row r="477" spans="19:19" x14ac:dyDescent="0.2">
      <c r="S477" s="59"/>
    </row>
    <row r="478" spans="19:19" x14ac:dyDescent="0.2">
      <c r="S478" s="59"/>
    </row>
    <row r="479" spans="19:19" x14ac:dyDescent="0.2">
      <c r="S479" s="59"/>
    </row>
    <row r="480" spans="19:19" x14ac:dyDescent="0.2">
      <c r="S480" s="59"/>
    </row>
    <row r="481" spans="19:19" x14ac:dyDescent="0.2">
      <c r="S481" s="59"/>
    </row>
    <row r="482" spans="19:19" x14ac:dyDescent="0.2">
      <c r="S482" s="59"/>
    </row>
    <row r="483" spans="19:19" x14ac:dyDescent="0.2">
      <c r="S483" s="59"/>
    </row>
    <row r="484" spans="19:19" x14ac:dyDescent="0.2">
      <c r="S484" s="59"/>
    </row>
    <row r="485" spans="19:19" x14ac:dyDescent="0.2">
      <c r="S485" s="59"/>
    </row>
    <row r="486" spans="19:19" x14ac:dyDescent="0.2">
      <c r="S486" s="59"/>
    </row>
    <row r="487" spans="19:19" x14ac:dyDescent="0.2">
      <c r="S487" s="59"/>
    </row>
    <row r="488" spans="19:19" x14ac:dyDescent="0.2">
      <c r="S488" s="59"/>
    </row>
    <row r="489" spans="19:19" x14ac:dyDescent="0.2">
      <c r="S489" s="59"/>
    </row>
    <row r="490" spans="19:19" x14ac:dyDescent="0.2">
      <c r="S490" s="59"/>
    </row>
    <row r="491" spans="19:19" x14ac:dyDescent="0.2">
      <c r="S491" s="59"/>
    </row>
    <row r="492" spans="19:19" x14ac:dyDescent="0.2">
      <c r="S492" s="59"/>
    </row>
    <row r="493" spans="19:19" x14ac:dyDescent="0.2">
      <c r="S493" s="59"/>
    </row>
    <row r="494" spans="19:19" x14ac:dyDescent="0.2">
      <c r="S494" s="59"/>
    </row>
    <row r="495" spans="19:19" x14ac:dyDescent="0.2">
      <c r="S495" s="59"/>
    </row>
    <row r="496" spans="19:19" x14ac:dyDescent="0.2">
      <c r="S496" s="59"/>
    </row>
    <row r="497" spans="19:19" x14ac:dyDescent="0.2">
      <c r="S497" s="59"/>
    </row>
    <row r="498" spans="19:19" x14ac:dyDescent="0.2">
      <c r="S498" s="59"/>
    </row>
    <row r="499" spans="19:19" x14ac:dyDescent="0.2">
      <c r="S499" s="59"/>
    </row>
    <row r="500" spans="19:19" x14ac:dyDescent="0.2">
      <c r="S500" s="59"/>
    </row>
    <row r="501" spans="19:19" x14ac:dyDescent="0.2">
      <c r="S501" s="59"/>
    </row>
    <row r="502" spans="19:19" x14ac:dyDescent="0.2">
      <c r="S502" s="59"/>
    </row>
    <row r="503" spans="19:19" x14ac:dyDescent="0.2">
      <c r="S503" s="59"/>
    </row>
    <row r="504" spans="19:19" x14ac:dyDescent="0.2">
      <c r="S504" s="59"/>
    </row>
    <row r="505" spans="19:19" x14ac:dyDescent="0.2">
      <c r="S505" s="59"/>
    </row>
    <row r="506" spans="19:19" x14ac:dyDescent="0.2">
      <c r="S506" s="59"/>
    </row>
    <row r="507" spans="19:19" x14ac:dyDescent="0.2">
      <c r="S507" s="59"/>
    </row>
    <row r="508" spans="19:19" x14ac:dyDescent="0.2">
      <c r="S508" s="59"/>
    </row>
    <row r="509" spans="19:19" x14ac:dyDescent="0.2">
      <c r="S509" s="59"/>
    </row>
    <row r="510" spans="19:19" x14ac:dyDescent="0.2">
      <c r="S510" s="59"/>
    </row>
    <row r="511" spans="19:19" x14ac:dyDescent="0.2">
      <c r="S511" s="59"/>
    </row>
    <row r="512" spans="19:19" x14ac:dyDescent="0.2">
      <c r="S512" s="59"/>
    </row>
    <row r="513" spans="19:19" x14ac:dyDescent="0.2">
      <c r="S513" s="59"/>
    </row>
    <row r="514" spans="19:19" x14ac:dyDescent="0.2">
      <c r="S514" s="59"/>
    </row>
    <row r="515" spans="19:19" x14ac:dyDescent="0.2">
      <c r="S515" s="59"/>
    </row>
    <row r="516" spans="19:19" x14ac:dyDescent="0.2">
      <c r="S516" s="59"/>
    </row>
    <row r="517" spans="19:19" x14ac:dyDescent="0.2">
      <c r="S517" s="59"/>
    </row>
    <row r="518" spans="19:19" x14ac:dyDescent="0.2">
      <c r="S518" s="59"/>
    </row>
    <row r="519" spans="19:19" x14ac:dyDescent="0.2">
      <c r="S519" s="59"/>
    </row>
    <row r="520" spans="19:19" x14ac:dyDescent="0.2">
      <c r="S520" s="59"/>
    </row>
    <row r="521" spans="19:19" x14ac:dyDescent="0.2">
      <c r="S521" s="59"/>
    </row>
    <row r="522" spans="19:19" x14ac:dyDescent="0.2">
      <c r="S522" s="59"/>
    </row>
    <row r="523" spans="19:19" x14ac:dyDescent="0.2">
      <c r="S523" s="59"/>
    </row>
    <row r="524" spans="19:19" x14ac:dyDescent="0.2">
      <c r="S524" s="59"/>
    </row>
    <row r="525" spans="19:19" x14ac:dyDescent="0.2">
      <c r="S525" s="59"/>
    </row>
    <row r="526" spans="19:19" x14ac:dyDescent="0.2">
      <c r="S526" s="59"/>
    </row>
    <row r="527" spans="19:19" x14ac:dyDescent="0.2">
      <c r="S527" s="59"/>
    </row>
    <row r="528" spans="19:19" x14ac:dyDescent="0.2">
      <c r="S528" s="59"/>
    </row>
    <row r="529" spans="19:19" x14ac:dyDescent="0.2">
      <c r="S529" s="59"/>
    </row>
    <row r="530" spans="19:19" x14ac:dyDescent="0.2">
      <c r="S530" s="59"/>
    </row>
    <row r="531" spans="19:19" x14ac:dyDescent="0.2">
      <c r="S531" s="59"/>
    </row>
    <row r="532" spans="19:19" x14ac:dyDescent="0.2">
      <c r="S532" s="59"/>
    </row>
    <row r="533" spans="19:19" x14ac:dyDescent="0.2">
      <c r="S533" s="59"/>
    </row>
    <row r="534" spans="19:19" x14ac:dyDescent="0.2">
      <c r="S534" s="59"/>
    </row>
    <row r="535" spans="19:19" x14ac:dyDescent="0.2">
      <c r="S535" s="59"/>
    </row>
    <row r="536" spans="19:19" x14ac:dyDescent="0.2">
      <c r="S536" s="59"/>
    </row>
    <row r="537" spans="19:19" x14ac:dyDescent="0.2">
      <c r="S537" s="59"/>
    </row>
    <row r="538" spans="19:19" x14ac:dyDescent="0.2">
      <c r="S538" s="59"/>
    </row>
    <row r="539" spans="19:19" x14ac:dyDescent="0.2">
      <c r="S539" s="59"/>
    </row>
    <row r="540" spans="19:19" x14ac:dyDescent="0.2">
      <c r="S540" s="59"/>
    </row>
    <row r="541" spans="19:19" x14ac:dyDescent="0.2">
      <c r="S541" s="59"/>
    </row>
    <row r="542" spans="19:19" x14ac:dyDescent="0.2">
      <c r="S542" s="59"/>
    </row>
    <row r="543" spans="19:19" x14ac:dyDescent="0.2">
      <c r="S543" s="59"/>
    </row>
    <row r="544" spans="19:19" x14ac:dyDescent="0.2">
      <c r="S544" s="59"/>
    </row>
    <row r="545" spans="19:19" x14ac:dyDescent="0.2">
      <c r="S545" s="59"/>
    </row>
    <row r="546" spans="19:19" x14ac:dyDescent="0.2">
      <c r="S546" s="59"/>
    </row>
    <row r="547" spans="19:19" x14ac:dyDescent="0.2">
      <c r="S547" s="59"/>
    </row>
    <row r="548" spans="19:19" x14ac:dyDescent="0.2">
      <c r="S548" s="59"/>
    </row>
    <row r="549" spans="19:19" x14ac:dyDescent="0.2">
      <c r="S549" s="59"/>
    </row>
    <row r="550" spans="19:19" x14ac:dyDescent="0.2">
      <c r="S550" s="59"/>
    </row>
    <row r="551" spans="19:19" x14ac:dyDescent="0.2">
      <c r="S551" s="59"/>
    </row>
    <row r="552" spans="19:19" x14ac:dyDescent="0.2">
      <c r="S552" s="59"/>
    </row>
    <row r="553" spans="19:19" x14ac:dyDescent="0.2">
      <c r="S553" s="59"/>
    </row>
    <row r="554" spans="19:19" x14ac:dyDescent="0.2">
      <c r="S554" s="59"/>
    </row>
    <row r="555" spans="19:19" x14ac:dyDescent="0.2">
      <c r="S555" s="59"/>
    </row>
    <row r="556" spans="19:19" x14ac:dyDescent="0.2">
      <c r="S556" s="59"/>
    </row>
    <row r="557" spans="19:19" x14ac:dyDescent="0.2">
      <c r="S557" s="59"/>
    </row>
    <row r="558" spans="19:19" x14ac:dyDescent="0.2">
      <c r="S558" s="59"/>
    </row>
    <row r="559" spans="19:19" x14ac:dyDescent="0.2">
      <c r="S559" s="59"/>
    </row>
    <row r="560" spans="19:19" x14ac:dyDescent="0.2">
      <c r="S560" s="59"/>
    </row>
    <row r="561" spans="19:19" x14ac:dyDescent="0.2">
      <c r="S561" s="59"/>
    </row>
    <row r="562" spans="19:19" x14ac:dyDescent="0.2">
      <c r="S562" s="59"/>
    </row>
    <row r="563" spans="19:19" x14ac:dyDescent="0.2">
      <c r="S563" s="59"/>
    </row>
    <row r="564" spans="19:19" x14ac:dyDescent="0.2">
      <c r="S564" s="59"/>
    </row>
    <row r="565" spans="19:19" x14ac:dyDescent="0.2">
      <c r="S565" s="59"/>
    </row>
    <row r="566" spans="19:19" x14ac:dyDescent="0.2">
      <c r="S566" s="59"/>
    </row>
    <row r="567" spans="19:19" x14ac:dyDescent="0.2">
      <c r="S567" s="59"/>
    </row>
    <row r="568" spans="19:19" x14ac:dyDescent="0.2">
      <c r="S568" s="59"/>
    </row>
    <row r="569" spans="19:19" x14ac:dyDescent="0.2">
      <c r="S569" s="59"/>
    </row>
    <row r="570" spans="19:19" x14ac:dyDescent="0.2">
      <c r="S570" s="59"/>
    </row>
    <row r="571" spans="19:19" x14ac:dyDescent="0.2">
      <c r="S571" s="59"/>
    </row>
    <row r="572" spans="19:19" x14ac:dyDescent="0.2">
      <c r="S572" s="59"/>
    </row>
    <row r="573" spans="19:19" x14ac:dyDescent="0.2">
      <c r="S573" s="59"/>
    </row>
    <row r="574" spans="19:19" x14ac:dyDescent="0.2">
      <c r="S574" s="59"/>
    </row>
    <row r="575" spans="19:19" x14ac:dyDescent="0.2">
      <c r="S575" s="59"/>
    </row>
    <row r="576" spans="19:19" x14ac:dyDescent="0.2">
      <c r="S576" s="59"/>
    </row>
    <row r="577" spans="19:19" x14ac:dyDescent="0.2">
      <c r="S577" s="59"/>
    </row>
    <row r="578" spans="19:19" x14ac:dyDescent="0.2">
      <c r="S578" s="59"/>
    </row>
    <row r="579" spans="19:19" x14ac:dyDescent="0.2">
      <c r="S579" s="59"/>
    </row>
    <row r="580" spans="19:19" x14ac:dyDescent="0.2">
      <c r="S580" s="59"/>
    </row>
    <row r="581" spans="19:19" x14ac:dyDescent="0.2">
      <c r="S581" s="59"/>
    </row>
    <row r="582" spans="19:19" x14ac:dyDescent="0.2">
      <c r="S582" s="59"/>
    </row>
    <row r="583" spans="19:19" x14ac:dyDescent="0.2">
      <c r="S583" s="59"/>
    </row>
    <row r="584" spans="19:19" x14ac:dyDescent="0.2">
      <c r="S584" s="59"/>
    </row>
    <row r="585" spans="19:19" x14ac:dyDescent="0.2">
      <c r="S585" s="59"/>
    </row>
    <row r="586" spans="19:19" x14ac:dyDescent="0.2">
      <c r="S586" s="59"/>
    </row>
    <row r="587" spans="19:19" x14ac:dyDescent="0.2">
      <c r="S587" s="59"/>
    </row>
    <row r="588" spans="19:19" x14ac:dyDescent="0.2">
      <c r="S588" s="59"/>
    </row>
    <row r="589" spans="19:19" x14ac:dyDescent="0.2">
      <c r="S589" s="59"/>
    </row>
    <row r="590" spans="19:19" x14ac:dyDescent="0.2">
      <c r="S590" s="59"/>
    </row>
    <row r="591" spans="19:19" x14ac:dyDescent="0.2">
      <c r="S591" s="59"/>
    </row>
    <row r="592" spans="19:19" x14ac:dyDescent="0.2">
      <c r="S592" s="59"/>
    </row>
    <row r="593" spans="19:19" x14ac:dyDescent="0.2">
      <c r="S593" s="59"/>
    </row>
    <row r="594" spans="19:19" x14ac:dyDescent="0.2">
      <c r="S594" s="59"/>
    </row>
    <row r="595" spans="19:19" x14ac:dyDescent="0.2">
      <c r="S595" s="59"/>
    </row>
    <row r="596" spans="19:19" x14ac:dyDescent="0.2">
      <c r="S596" s="59"/>
    </row>
    <row r="597" spans="19:19" x14ac:dyDescent="0.2">
      <c r="S597" s="59"/>
    </row>
    <row r="598" spans="19:19" x14ac:dyDescent="0.2">
      <c r="S598" s="59"/>
    </row>
    <row r="599" spans="19:19" x14ac:dyDescent="0.2">
      <c r="S599" s="59"/>
    </row>
    <row r="600" spans="19:19" x14ac:dyDescent="0.2">
      <c r="S600" s="59"/>
    </row>
    <row r="601" spans="19:19" x14ac:dyDescent="0.2">
      <c r="S601" s="59"/>
    </row>
    <row r="602" spans="19:19" x14ac:dyDescent="0.2">
      <c r="S602" s="59"/>
    </row>
    <row r="603" spans="19:19" x14ac:dyDescent="0.2">
      <c r="S603" s="59"/>
    </row>
    <row r="604" spans="19:19" x14ac:dyDescent="0.2">
      <c r="S604" s="59"/>
    </row>
    <row r="605" spans="19:19" x14ac:dyDescent="0.2">
      <c r="S605" s="59"/>
    </row>
    <row r="606" spans="19:19" x14ac:dyDescent="0.2">
      <c r="S606" s="59"/>
    </row>
    <row r="607" spans="19:19" x14ac:dyDescent="0.2">
      <c r="S607" s="59"/>
    </row>
    <row r="608" spans="19:19" x14ac:dyDescent="0.2">
      <c r="S608" s="59"/>
    </row>
    <row r="609" spans="19:19" x14ac:dyDescent="0.2">
      <c r="S609" s="59"/>
    </row>
    <row r="610" spans="19:19" x14ac:dyDescent="0.2">
      <c r="S610" s="59"/>
    </row>
    <row r="611" spans="19:19" x14ac:dyDescent="0.2">
      <c r="S611" s="59"/>
    </row>
    <row r="612" spans="19:19" x14ac:dyDescent="0.2">
      <c r="S612" s="59"/>
    </row>
    <row r="613" spans="19:19" x14ac:dyDescent="0.2">
      <c r="S613" s="59"/>
    </row>
    <row r="614" spans="19:19" x14ac:dyDescent="0.2">
      <c r="S614" s="59"/>
    </row>
    <row r="615" spans="19:19" x14ac:dyDescent="0.2">
      <c r="S615" s="59"/>
    </row>
    <row r="616" spans="19:19" x14ac:dyDescent="0.2">
      <c r="S616" s="59"/>
    </row>
    <row r="617" spans="19:19" x14ac:dyDescent="0.2">
      <c r="S617" s="59"/>
    </row>
    <row r="618" spans="19:19" x14ac:dyDescent="0.2">
      <c r="S618" s="59"/>
    </row>
    <row r="619" spans="19:19" x14ac:dyDescent="0.2">
      <c r="S619" s="59"/>
    </row>
    <row r="620" spans="19:19" x14ac:dyDescent="0.2">
      <c r="S620" s="59"/>
    </row>
    <row r="621" spans="19:19" x14ac:dyDescent="0.2">
      <c r="S621" s="59"/>
    </row>
    <row r="622" spans="19:19" x14ac:dyDescent="0.2">
      <c r="S622" s="59"/>
    </row>
    <row r="623" spans="19:19" x14ac:dyDescent="0.2">
      <c r="S623" s="59"/>
    </row>
    <row r="624" spans="19:19" x14ac:dyDescent="0.2">
      <c r="S624" s="59"/>
    </row>
    <row r="625" spans="19:19" x14ac:dyDescent="0.2">
      <c r="S625" s="59"/>
    </row>
    <row r="626" spans="19:19" x14ac:dyDescent="0.2">
      <c r="S626" s="59"/>
    </row>
    <row r="627" spans="19:19" x14ac:dyDescent="0.2">
      <c r="S627" s="59"/>
    </row>
    <row r="628" spans="19:19" x14ac:dyDescent="0.2">
      <c r="S628" s="59"/>
    </row>
    <row r="629" spans="19:19" x14ac:dyDescent="0.2">
      <c r="S629" s="59"/>
    </row>
    <row r="630" spans="19:19" x14ac:dyDescent="0.2">
      <c r="S630" s="59"/>
    </row>
    <row r="631" spans="19:19" x14ac:dyDescent="0.2">
      <c r="S631" s="59"/>
    </row>
    <row r="632" spans="19:19" x14ac:dyDescent="0.2">
      <c r="S632" s="59"/>
    </row>
    <row r="633" spans="19:19" x14ac:dyDescent="0.2">
      <c r="S633" s="59"/>
    </row>
    <row r="634" spans="19:19" x14ac:dyDescent="0.2">
      <c r="S634" s="59"/>
    </row>
    <row r="635" spans="19:19" x14ac:dyDescent="0.2">
      <c r="S635" s="59"/>
    </row>
    <row r="636" spans="19:19" x14ac:dyDescent="0.2">
      <c r="S636" s="59"/>
    </row>
    <row r="637" spans="19:19" x14ac:dyDescent="0.2">
      <c r="S637" s="59"/>
    </row>
    <row r="638" spans="19:19" x14ac:dyDescent="0.2">
      <c r="S638" s="59"/>
    </row>
    <row r="639" spans="19:19" x14ac:dyDescent="0.2">
      <c r="S639" s="59"/>
    </row>
    <row r="640" spans="19:19" x14ac:dyDescent="0.2">
      <c r="S640" s="59"/>
    </row>
    <row r="641" spans="19:19" x14ac:dyDescent="0.2">
      <c r="S641" s="59"/>
    </row>
    <row r="642" spans="19:19" x14ac:dyDescent="0.2">
      <c r="S642" s="59"/>
    </row>
    <row r="643" spans="19:19" x14ac:dyDescent="0.2">
      <c r="S643" s="59"/>
    </row>
    <row r="644" spans="19:19" x14ac:dyDescent="0.2">
      <c r="S644" s="59"/>
    </row>
    <row r="645" spans="19:19" x14ac:dyDescent="0.2">
      <c r="S645" s="59"/>
    </row>
    <row r="646" spans="19:19" x14ac:dyDescent="0.2">
      <c r="S646" s="59"/>
    </row>
    <row r="647" spans="19:19" x14ac:dyDescent="0.2">
      <c r="S647" s="59"/>
    </row>
    <row r="648" spans="19:19" x14ac:dyDescent="0.2">
      <c r="S648" s="59"/>
    </row>
    <row r="649" spans="19:19" x14ac:dyDescent="0.2">
      <c r="S649" s="59"/>
    </row>
    <row r="650" spans="19:19" x14ac:dyDescent="0.2">
      <c r="S650" s="59"/>
    </row>
    <row r="651" spans="19:19" x14ac:dyDescent="0.2">
      <c r="S651" s="59"/>
    </row>
    <row r="652" spans="19:19" x14ac:dyDescent="0.2">
      <c r="S652" s="59"/>
    </row>
    <row r="653" spans="19:19" x14ac:dyDescent="0.2">
      <c r="S653" s="59"/>
    </row>
    <row r="654" spans="19:19" x14ac:dyDescent="0.2">
      <c r="S654" s="59"/>
    </row>
    <row r="655" spans="19:19" x14ac:dyDescent="0.2">
      <c r="S655" s="59"/>
    </row>
    <row r="656" spans="19:19" x14ac:dyDescent="0.2">
      <c r="S656" s="59"/>
    </row>
    <row r="657" spans="19:19" x14ac:dyDescent="0.2">
      <c r="S657" s="59"/>
    </row>
    <row r="658" spans="19:19" x14ac:dyDescent="0.2">
      <c r="S658" s="59"/>
    </row>
    <row r="659" spans="19:19" x14ac:dyDescent="0.2">
      <c r="S659" s="59"/>
    </row>
    <row r="660" spans="19:19" x14ac:dyDescent="0.2">
      <c r="S660" s="59"/>
    </row>
    <row r="661" spans="19:19" x14ac:dyDescent="0.2">
      <c r="S661" s="59"/>
    </row>
    <row r="662" spans="19:19" x14ac:dyDescent="0.2">
      <c r="S662" s="59"/>
    </row>
    <row r="663" spans="19:19" x14ac:dyDescent="0.2">
      <c r="S663" s="59"/>
    </row>
    <row r="664" spans="19:19" x14ac:dyDescent="0.2">
      <c r="S664" s="59"/>
    </row>
    <row r="665" spans="19:19" x14ac:dyDescent="0.2">
      <c r="S665" s="59"/>
    </row>
    <row r="666" spans="19:19" x14ac:dyDescent="0.2">
      <c r="S666" s="59"/>
    </row>
    <row r="667" spans="19:19" x14ac:dyDescent="0.2">
      <c r="S667" s="59"/>
    </row>
    <row r="668" spans="19:19" x14ac:dyDescent="0.2">
      <c r="S668" s="59"/>
    </row>
  </sheetData>
  <sortState ref="C32:E32">
    <sortCondition descending="1" ref="E31"/>
  </sortState>
  <mergeCells count="6">
    <mergeCell ref="B51:P57"/>
    <mergeCell ref="C3:N3"/>
    <mergeCell ref="D5:E5"/>
    <mergeCell ref="G7:N7"/>
    <mergeCell ref="G20:K20"/>
    <mergeCell ref="G23:N23"/>
  </mergeCells>
  <pageMargins left="0.7" right="0.7" top="0.75" bottom="0.75" header="0.3" footer="0.3"/>
  <pageSetup paperSize="9" scale="49"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pageSetUpPr fitToPage="1"/>
  </sheetPr>
  <dimension ref="A1:V674"/>
  <sheetViews>
    <sheetView showGridLines="0" zoomScale="80" zoomScaleNormal="80" workbookViewId="0"/>
  </sheetViews>
  <sheetFormatPr defaultRowHeight="15" x14ac:dyDescent="0.2"/>
  <cols>
    <col min="1" max="1" width="2.85546875" style="3" customWidth="1"/>
    <col min="2" max="2" width="3.85546875" style="3" customWidth="1"/>
    <col min="3" max="3" width="58.7109375" style="3" bestFit="1" customWidth="1"/>
    <col min="4" max="4" width="30" style="3" customWidth="1"/>
    <col min="5" max="5" width="16.7109375" style="3" customWidth="1"/>
    <col min="6" max="6" width="9.140625" style="3"/>
    <col min="7"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8" ht="15.75" thickBot="1" x14ac:dyDescent="0.25"/>
    <row r="2" spans="2:18" x14ac:dyDescent="0.2">
      <c r="B2" s="110"/>
      <c r="C2" s="49"/>
      <c r="D2" s="49"/>
      <c r="E2" s="49"/>
      <c r="F2" s="49"/>
      <c r="G2" s="49"/>
      <c r="H2" s="49"/>
      <c r="I2" s="49"/>
      <c r="J2" s="49"/>
      <c r="K2" s="49"/>
      <c r="L2" s="49"/>
      <c r="M2" s="49"/>
      <c r="N2" s="111"/>
    </row>
    <row r="3" spans="2:18" ht="20.25" customHeight="1" x14ac:dyDescent="0.2">
      <c r="B3" s="112"/>
      <c r="C3" s="219" t="s">
        <v>84</v>
      </c>
      <c r="D3" s="219"/>
      <c r="E3" s="219"/>
      <c r="F3" s="219"/>
      <c r="G3" s="219"/>
      <c r="H3" s="219"/>
      <c r="I3" s="219"/>
      <c r="J3" s="219"/>
      <c r="K3" s="219"/>
      <c r="L3" s="219"/>
      <c r="M3" s="219"/>
      <c r="N3" s="220"/>
    </row>
    <row r="4" spans="2:18" ht="15.75" x14ac:dyDescent="0.25">
      <c r="B4" s="112"/>
      <c r="C4" s="85" t="s">
        <v>271</v>
      </c>
      <c r="D4" s="33"/>
      <c r="E4" s="33"/>
      <c r="F4" s="5"/>
      <c r="G4" s="5"/>
      <c r="H4" s="5"/>
      <c r="I4" s="5"/>
      <c r="J4" s="5"/>
      <c r="K4" s="5"/>
      <c r="L4" s="5"/>
      <c r="M4" s="5"/>
      <c r="N4" s="24"/>
    </row>
    <row r="5" spans="2:18" ht="20.25" customHeight="1" x14ac:dyDescent="0.2">
      <c r="B5" s="112"/>
      <c r="C5" s="86" t="s">
        <v>272</v>
      </c>
      <c r="D5" s="236" t="s">
        <v>288</v>
      </c>
      <c r="E5" s="236"/>
      <c r="F5" s="5"/>
      <c r="G5" s="5"/>
      <c r="H5" s="5"/>
      <c r="I5" s="5"/>
      <c r="J5" s="5"/>
      <c r="K5" s="5"/>
      <c r="L5" s="5"/>
      <c r="M5" s="5"/>
      <c r="N5" s="24"/>
    </row>
    <row r="6" spans="2:18" ht="15.75" x14ac:dyDescent="0.25">
      <c r="B6" s="112"/>
      <c r="C6" s="33"/>
      <c r="D6" s="33"/>
      <c r="E6" s="33"/>
      <c r="F6" s="5"/>
      <c r="G6" s="5"/>
      <c r="H6" s="5"/>
      <c r="I6" s="5"/>
      <c r="J6" s="5"/>
      <c r="K6" s="5"/>
      <c r="L6" s="5"/>
      <c r="M6" s="5"/>
      <c r="N6" s="24"/>
    </row>
    <row r="7" spans="2:18" ht="32.25" customHeight="1" x14ac:dyDescent="0.2">
      <c r="B7" s="112"/>
      <c r="C7" s="114" t="s">
        <v>48</v>
      </c>
      <c r="D7" s="114" t="s">
        <v>49</v>
      </c>
      <c r="E7" s="114" t="s">
        <v>50</v>
      </c>
      <c r="F7" s="5"/>
      <c r="G7" s="221" t="s">
        <v>51</v>
      </c>
      <c r="H7" s="221"/>
      <c r="I7" s="221"/>
      <c r="J7" s="221"/>
      <c r="K7" s="221"/>
      <c r="L7" s="221"/>
      <c r="M7" s="221"/>
      <c r="N7" s="222"/>
    </row>
    <row r="8" spans="2:18" x14ac:dyDescent="0.2">
      <c r="B8" s="112"/>
      <c r="C8" s="15" t="s">
        <v>225</v>
      </c>
      <c r="D8" s="17" t="s">
        <v>3</v>
      </c>
      <c r="E8" s="19">
        <v>6.9709999999999998E-3</v>
      </c>
      <c r="F8" s="5"/>
      <c r="G8" s="5" t="s">
        <v>52</v>
      </c>
      <c r="H8" s="35">
        <v>1</v>
      </c>
      <c r="I8" s="55">
        <f>H8/SUM($H$8:$H$10)</f>
        <v>1</v>
      </c>
      <c r="J8" s="5"/>
      <c r="K8" s="35"/>
      <c r="L8" s="5"/>
      <c r="M8" s="5"/>
      <c r="N8" s="24"/>
      <c r="R8" s="59"/>
    </row>
    <row r="9" spans="2:18" ht="15.75" customHeight="1" x14ac:dyDescent="0.2">
      <c r="B9" s="112"/>
      <c r="C9" s="16" t="s">
        <v>126</v>
      </c>
      <c r="D9" s="18" t="s">
        <v>27</v>
      </c>
      <c r="E9" s="20">
        <v>6.3470000000000002E-3</v>
      </c>
      <c r="F9" s="5"/>
      <c r="G9" s="5" t="s">
        <v>66</v>
      </c>
      <c r="H9" s="56">
        <v>0</v>
      </c>
      <c r="I9" s="55">
        <f t="shared" ref="I9:I10" si="0">H9/SUM($H$8:$H$10)</f>
        <v>0</v>
      </c>
      <c r="J9" s="5" t="s">
        <v>46</v>
      </c>
      <c r="K9" s="35">
        <f>E35</f>
        <v>6.5836999999999993E-2</v>
      </c>
      <c r="L9" s="5"/>
      <c r="M9" s="5"/>
      <c r="N9" s="24"/>
      <c r="R9" s="59"/>
    </row>
    <row r="10" spans="2:18" x14ac:dyDescent="0.2">
      <c r="B10" s="112"/>
      <c r="C10" s="16" t="s">
        <v>227</v>
      </c>
      <c r="D10" s="18" t="s">
        <v>170</v>
      </c>
      <c r="E10" s="20">
        <v>6.0670000000000003E-3</v>
      </c>
      <c r="F10" s="35"/>
      <c r="G10" s="5" t="s">
        <v>53</v>
      </c>
      <c r="H10" s="56">
        <v>0</v>
      </c>
      <c r="I10" s="55">
        <f t="shared" si="0"/>
        <v>0</v>
      </c>
      <c r="J10" s="5" t="s">
        <v>145</v>
      </c>
      <c r="K10" s="35">
        <f>E24+E29+E27</f>
        <v>0.21725699999999998</v>
      </c>
      <c r="L10" s="5"/>
      <c r="M10" s="5"/>
      <c r="N10" s="24"/>
      <c r="R10" s="59"/>
    </row>
    <row r="11" spans="2:18" ht="30" x14ac:dyDescent="0.2">
      <c r="B11" s="112"/>
      <c r="C11" s="16" t="s">
        <v>224</v>
      </c>
      <c r="D11" s="18" t="s">
        <v>179</v>
      </c>
      <c r="E11" s="20">
        <v>5.8009999999999997E-3</v>
      </c>
      <c r="F11" s="5"/>
      <c r="G11" s="5"/>
      <c r="H11" s="5"/>
      <c r="I11" s="5"/>
      <c r="J11" s="5" t="s">
        <v>83</v>
      </c>
      <c r="K11" s="35">
        <f>E38</f>
        <v>6.1362E-2</v>
      </c>
      <c r="L11" s="5"/>
      <c r="M11" s="5"/>
      <c r="N11" s="24"/>
      <c r="R11" s="59"/>
    </row>
    <row r="12" spans="2:18" ht="15.75" customHeight="1" x14ac:dyDescent="0.2">
      <c r="B12" s="112"/>
      <c r="C12" s="16" t="s">
        <v>173</v>
      </c>
      <c r="D12" s="18" t="s">
        <v>4</v>
      </c>
      <c r="E12" s="20">
        <v>5.7930000000000004E-3</v>
      </c>
      <c r="F12" s="35"/>
      <c r="G12" s="5"/>
      <c r="H12" s="35"/>
      <c r="I12" s="5"/>
      <c r="J12" s="5" t="s">
        <v>20</v>
      </c>
      <c r="K12" s="35">
        <f>E51</f>
        <v>0.19502000000000003</v>
      </c>
      <c r="L12" s="5"/>
      <c r="M12" s="5"/>
      <c r="N12" s="24"/>
      <c r="R12" s="59"/>
    </row>
    <row r="13" spans="2:18" x14ac:dyDescent="0.2">
      <c r="B13" s="112"/>
      <c r="C13" s="16" t="s">
        <v>186</v>
      </c>
      <c r="D13" s="18" t="s">
        <v>120</v>
      </c>
      <c r="E13" s="20">
        <v>5.6129999999999999E-3</v>
      </c>
      <c r="F13" s="35"/>
      <c r="G13" s="5"/>
      <c r="H13" s="5"/>
      <c r="I13" s="5"/>
      <c r="J13" s="5" t="s">
        <v>47</v>
      </c>
      <c r="K13" s="35">
        <f>E46</f>
        <v>0.39640800000000004</v>
      </c>
      <c r="L13" s="5"/>
      <c r="M13" s="5"/>
      <c r="N13" s="24"/>
      <c r="R13" s="59"/>
    </row>
    <row r="14" spans="2:18" x14ac:dyDescent="0.2">
      <c r="B14" s="112"/>
      <c r="C14" s="16" t="s">
        <v>161</v>
      </c>
      <c r="D14" s="18" t="s">
        <v>16</v>
      </c>
      <c r="E14" s="20">
        <v>4.9610000000000001E-3</v>
      </c>
      <c r="F14" s="35"/>
      <c r="G14" s="5"/>
      <c r="H14" s="5"/>
      <c r="I14" s="5"/>
      <c r="J14" s="5" t="s">
        <v>67</v>
      </c>
      <c r="K14" s="35">
        <f>E49</f>
        <v>6.4116000000000006E-2</v>
      </c>
      <c r="L14" s="5"/>
      <c r="M14" s="5"/>
      <c r="N14" s="24"/>
      <c r="R14" s="59"/>
    </row>
    <row r="15" spans="2:18" x14ac:dyDescent="0.2">
      <c r="B15" s="112"/>
      <c r="C15" s="16" t="s">
        <v>35</v>
      </c>
      <c r="D15" s="18" t="s">
        <v>169</v>
      </c>
      <c r="E15" s="20">
        <v>4.9370000000000004E-3</v>
      </c>
      <c r="F15" s="5"/>
      <c r="G15" s="5"/>
      <c r="H15" s="5"/>
      <c r="I15" s="5"/>
      <c r="L15" s="5"/>
      <c r="M15" s="5"/>
      <c r="N15" s="24"/>
      <c r="R15" s="59"/>
    </row>
    <row r="16" spans="2:18" ht="30" x14ac:dyDescent="0.2">
      <c r="B16" s="112"/>
      <c r="C16" s="16" t="s">
        <v>207</v>
      </c>
      <c r="D16" s="18" t="s">
        <v>179</v>
      </c>
      <c r="E16" s="20">
        <v>4.7780000000000001E-3</v>
      </c>
      <c r="F16" s="5"/>
      <c r="G16" s="5"/>
      <c r="H16" s="5"/>
      <c r="I16" s="5"/>
      <c r="J16" s="5"/>
      <c r="K16" s="5"/>
      <c r="L16" s="5"/>
      <c r="M16" s="5"/>
      <c r="N16" s="24"/>
      <c r="R16" s="59"/>
    </row>
    <row r="17" spans="2:22" x14ac:dyDescent="0.2">
      <c r="B17" s="112"/>
      <c r="C17" s="16" t="s">
        <v>203</v>
      </c>
      <c r="D17" s="18" t="s">
        <v>175</v>
      </c>
      <c r="E17" s="20">
        <v>4.7650000000000001E-3</v>
      </c>
      <c r="F17" s="5"/>
      <c r="G17" s="5"/>
      <c r="H17" s="5"/>
      <c r="I17" s="5"/>
      <c r="J17" s="5"/>
      <c r="K17" s="5"/>
      <c r="L17" s="5"/>
      <c r="M17" s="5"/>
      <c r="N17" s="24"/>
      <c r="R17" s="59"/>
    </row>
    <row r="18" spans="2:22" x14ac:dyDescent="0.2">
      <c r="B18" s="112"/>
      <c r="C18" s="16" t="s">
        <v>245</v>
      </c>
      <c r="D18" s="18" t="s">
        <v>172</v>
      </c>
      <c r="E18" s="20">
        <v>4.7330000000000002E-3</v>
      </c>
      <c r="F18" s="5"/>
      <c r="G18" s="5"/>
      <c r="H18" s="5"/>
      <c r="I18" s="5"/>
      <c r="J18" s="5"/>
      <c r="K18" s="5"/>
      <c r="L18" s="5"/>
      <c r="M18" s="5"/>
      <c r="N18" s="24"/>
      <c r="R18" s="59"/>
    </row>
    <row r="19" spans="2:22" x14ac:dyDescent="0.2">
      <c r="B19" s="112"/>
      <c r="C19" s="16" t="s">
        <v>108</v>
      </c>
      <c r="D19" s="18" t="s">
        <v>16</v>
      </c>
      <c r="E19" s="20">
        <v>4.712E-3</v>
      </c>
      <c r="F19" s="5"/>
      <c r="G19" s="5"/>
      <c r="H19" s="5"/>
      <c r="I19" s="5"/>
      <c r="J19" s="5"/>
      <c r="K19" s="5"/>
      <c r="L19" s="5"/>
      <c r="M19" s="5"/>
      <c r="N19" s="24"/>
      <c r="R19" s="59"/>
    </row>
    <row r="20" spans="2:22" ht="15.75" customHeight="1" x14ac:dyDescent="0.25">
      <c r="B20" s="112"/>
      <c r="C20" s="16" t="s">
        <v>135</v>
      </c>
      <c r="D20" s="18" t="s">
        <v>120</v>
      </c>
      <c r="E20" s="20">
        <v>4.6610000000000002E-3</v>
      </c>
      <c r="F20" s="5"/>
      <c r="G20" s="239" t="s">
        <v>150</v>
      </c>
      <c r="H20" s="240"/>
      <c r="I20" s="240"/>
      <c r="J20" s="240"/>
      <c r="K20" s="240"/>
      <c r="L20" s="129">
        <v>2.16</v>
      </c>
      <c r="M20" s="130"/>
      <c r="N20" s="131"/>
      <c r="R20" s="59"/>
    </row>
    <row r="21" spans="2:22" x14ac:dyDescent="0.2">
      <c r="B21" s="112"/>
      <c r="C21" s="16" t="s">
        <v>267</v>
      </c>
      <c r="D21" s="18" t="s">
        <v>169</v>
      </c>
      <c r="E21" s="20">
        <v>4.4530000000000004E-3</v>
      </c>
      <c r="F21" s="5"/>
      <c r="G21" s="5"/>
      <c r="H21" s="5"/>
      <c r="I21" s="5"/>
      <c r="J21" s="5"/>
      <c r="K21" s="5"/>
      <c r="L21" s="5"/>
      <c r="M21" s="5"/>
      <c r="N21" s="24"/>
      <c r="R21" s="59"/>
    </row>
    <row r="22" spans="2:22" x14ac:dyDescent="0.2">
      <c r="B22" s="112"/>
      <c r="C22" s="16" t="s">
        <v>222</v>
      </c>
      <c r="D22" s="18" t="s">
        <v>27</v>
      </c>
      <c r="E22" s="20">
        <v>4.4209999999999996E-3</v>
      </c>
      <c r="F22" s="5"/>
      <c r="G22" s="35"/>
      <c r="H22" s="35"/>
      <c r="I22" s="35"/>
      <c r="J22" s="5"/>
      <c r="K22" s="35"/>
      <c r="L22" s="5"/>
      <c r="M22" s="5"/>
      <c r="N22" s="24"/>
      <c r="R22" s="59"/>
    </row>
    <row r="23" spans="2:22" ht="15.75" customHeight="1" x14ac:dyDescent="0.2">
      <c r="B23" s="112"/>
      <c r="C23" s="22"/>
      <c r="D23" s="22"/>
      <c r="E23" s="43"/>
      <c r="F23" s="5"/>
      <c r="G23" s="221" t="s">
        <v>56</v>
      </c>
      <c r="H23" s="221"/>
      <c r="I23" s="221"/>
      <c r="J23" s="221"/>
      <c r="K23" s="221"/>
      <c r="L23" s="221"/>
      <c r="M23" s="221"/>
      <c r="N23" s="222"/>
      <c r="R23" s="59"/>
    </row>
    <row r="24" spans="2:22" ht="15.75" x14ac:dyDescent="0.2">
      <c r="B24" s="112"/>
      <c r="C24" s="141" t="s">
        <v>65</v>
      </c>
      <c r="D24" s="141"/>
      <c r="E24" s="142">
        <f>SUM(E8:E22)</f>
        <v>7.9012999999999986E-2</v>
      </c>
      <c r="F24" s="5"/>
      <c r="G24" s="5"/>
      <c r="H24" s="5"/>
      <c r="I24" s="5"/>
      <c r="J24" s="5"/>
      <c r="K24" s="5"/>
      <c r="L24" s="5"/>
      <c r="M24" s="5"/>
      <c r="N24" s="24"/>
      <c r="R24" s="59"/>
    </row>
    <row r="25" spans="2:22" x14ac:dyDescent="0.2">
      <c r="B25" s="112"/>
      <c r="C25" s="4"/>
      <c r="D25" s="4"/>
      <c r="E25" s="6"/>
      <c r="F25" s="5"/>
      <c r="G25" s="5"/>
      <c r="H25" s="5"/>
      <c r="I25" s="5"/>
      <c r="J25" s="5"/>
      <c r="K25" s="5"/>
      <c r="L25" s="5"/>
      <c r="M25" s="5"/>
      <c r="N25" s="24"/>
      <c r="R25" s="59"/>
    </row>
    <row r="26" spans="2:22" x14ac:dyDescent="0.2">
      <c r="B26" s="112"/>
      <c r="C26" s="4" t="s">
        <v>228</v>
      </c>
      <c r="D26" s="4"/>
      <c r="E26" s="6">
        <v>8.4843000000000002E-2</v>
      </c>
      <c r="F26" s="5"/>
      <c r="G26" s="5"/>
      <c r="H26" s="5"/>
      <c r="I26" s="5"/>
      <c r="J26" s="5"/>
      <c r="K26" s="5"/>
      <c r="L26" s="5"/>
      <c r="M26" s="5"/>
      <c r="N26" s="24"/>
      <c r="R26" s="59"/>
    </row>
    <row r="27" spans="2:22" ht="15.75" x14ac:dyDescent="0.2">
      <c r="B27" s="112"/>
      <c r="C27" s="132" t="s">
        <v>116</v>
      </c>
      <c r="D27" s="132"/>
      <c r="E27" s="133">
        <v>8.4843000000000002E-2</v>
      </c>
      <c r="F27" s="5"/>
      <c r="G27" s="5"/>
      <c r="H27" s="5"/>
      <c r="I27" s="5"/>
      <c r="J27" s="5"/>
      <c r="K27" s="5"/>
      <c r="L27" s="5"/>
      <c r="M27" s="5"/>
      <c r="N27" s="24"/>
      <c r="R27" s="59"/>
    </row>
    <row r="28" spans="2:22" s="58" customFormat="1" ht="15.75" x14ac:dyDescent="0.2">
      <c r="B28" s="134"/>
      <c r="C28" s="137"/>
      <c r="D28" s="137"/>
      <c r="E28" s="138"/>
      <c r="F28" s="47"/>
      <c r="G28" s="47"/>
      <c r="H28" s="47"/>
      <c r="I28" s="47"/>
      <c r="J28" s="47"/>
      <c r="K28" s="47"/>
      <c r="L28" s="47"/>
      <c r="M28" s="47"/>
      <c r="N28" s="135"/>
      <c r="R28" s="136"/>
    </row>
    <row r="29" spans="2:22" ht="15.75" x14ac:dyDescent="0.2">
      <c r="B29" s="112"/>
      <c r="C29" s="132" t="s">
        <v>85</v>
      </c>
      <c r="D29" s="132"/>
      <c r="E29" s="133">
        <v>5.340099999999999E-2</v>
      </c>
      <c r="F29" s="5"/>
      <c r="G29" s="5"/>
      <c r="H29" s="5"/>
      <c r="I29" s="5"/>
      <c r="J29" s="5"/>
      <c r="K29" s="5"/>
      <c r="L29" s="5"/>
      <c r="M29" s="5"/>
      <c r="N29" s="24"/>
      <c r="R29" s="59"/>
      <c r="U29" s="3" t="s">
        <v>11</v>
      </c>
      <c r="V29" s="3">
        <v>1.1159000000000001E-2</v>
      </c>
    </row>
    <row r="30" spans="2:22" x14ac:dyDescent="0.2">
      <c r="B30" s="112"/>
      <c r="C30" s="42"/>
      <c r="D30" s="42"/>
      <c r="E30" s="76"/>
      <c r="F30" s="5"/>
      <c r="G30" s="5"/>
      <c r="H30" s="5"/>
      <c r="I30" s="5"/>
      <c r="J30" s="5"/>
      <c r="K30" s="5"/>
      <c r="L30" s="5"/>
      <c r="M30" s="5"/>
      <c r="N30" s="24"/>
      <c r="R30" s="59"/>
      <c r="U30" s="3" t="s">
        <v>18</v>
      </c>
      <c r="V30" s="3">
        <v>1.0543E-2</v>
      </c>
    </row>
    <row r="31" spans="2:22" x14ac:dyDescent="0.2">
      <c r="B31" s="112"/>
      <c r="C31" s="42" t="s">
        <v>104</v>
      </c>
      <c r="D31" s="42" t="s">
        <v>74</v>
      </c>
      <c r="E31" s="6">
        <v>3.2316999999999999E-2</v>
      </c>
      <c r="F31" s="5"/>
      <c r="G31" s="5"/>
      <c r="H31" s="5"/>
      <c r="I31" s="5"/>
      <c r="J31" s="5"/>
      <c r="K31" s="5"/>
      <c r="L31" s="5"/>
      <c r="M31" s="5"/>
      <c r="N31" s="24"/>
      <c r="R31" s="59"/>
    </row>
    <row r="32" spans="2:22" x14ac:dyDescent="0.2">
      <c r="B32" s="112"/>
      <c r="C32" s="42" t="s">
        <v>102</v>
      </c>
      <c r="D32" s="42" t="s">
        <v>74</v>
      </c>
      <c r="E32" s="6">
        <v>3.1615999999999998E-2</v>
      </c>
      <c r="F32" s="5"/>
      <c r="G32" s="5"/>
      <c r="H32" s="5"/>
      <c r="I32" s="5"/>
      <c r="J32" s="5"/>
      <c r="K32" s="5"/>
      <c r="L32" s="5"/>
      <c r="M32" s="5"/>
      <c r="N32" s="24"/>
      <c r="R32" s="59"/>
    </row>
    <row r="33" spans="1:18" x14ac:dyDescent="0.2">
      <c r="B33" s="112"/>
      <c r="C33" s="42" t="s">
        <v>94</v>
      </c>
      <c r="D33" s="42" t="s">
        <v>74</v>
      </c>
      <c r="E33" s="6">
        <v>1.8929999999999999E-3</v>
      </c>
      <c r="F33" s="5"/>
      <c r="G33" s="5"/>
      <c r="H33" s="5"/>
      <c r="I33" s="5"/>
      <c r="J33" s="5"/>
      <c r="K33" s="5"/>
      <c r="L33" s="5"/>
      <c r="M33" s="5"/>
      <c r="N33" s="24"/>
      <c r="R33" s="59"/>
    </row>
    <row r="34" spans="1:18" x14ac:dyDescent="0.2">
      <c r="B34" s="112"/>
      <c r="C34" s="42" t="s">
        <v>125</v>
      </c>
      <c r="D34" s="42" t="s">
        <v>74</v>
      </c>
      <c r="E34" s="76">
        <v>1.1E-5</v>
      </c>
      <c r="F34" s="5"/>
      <c r="G34" s="5"/>
      <c r="H34" s="5"/>
      <c r="I34" s="5"/>
      <c r="J34" s="5"/>
      <c r="K34" s="5"/>
      <c r="L34" s="5"/>
      <c r="M34" s="5"/>
      <c r="N34" s="24"/>
      <c r="R34" s="59"/>
    </row>
    <row r="35" spans="1:18" ht="15.75" x14ac:dyDescent="0.2">
      <c r="B35" s="112"/>
      <c r="C35" s="132" t="s">
        <v>54</v>
      </c>
      <c r="D35" s="132"/>
      <c r="E35" s="133">
        <f>SUM(E31:E34)</f>
        <v>6.5836999999999993E-2</v>
      </c>
      <c r="F35" s="5"/>
      <c r="G35" s="5"/>
      <c r="H35" s="5"/>
      <c r="I35" s="5"/>
      <c r="J35" s="5"/>
      <c r="K35" s="5"/>
      <c r="L35" s="5"/>
      <c r="M35" s="5"/>
      <c r="N35" s="24"/>
      <c r="R35" s="59"/>
    </row>
    <row r="36" spans="1:18" x14ac:dyDescent="0.2">
      <c r="B36" s="112"/>
      <c r="C36" s="4"/>
      <c r="D36" s="4"/>
      <c r="E36" s="6"/>
      <c r="F36" s="5"/>
      <c r="G36" s="5"/>
      <c r="H36" s="5"/>
      <c r="I36" s="5"/>
      <c r="J36" s="5"/>
      <c r="K36" s="5"/>
      <c r="L36" s="5"/>
      <c r="M36" s="5"/>
      <c r="N36" s="24"/>
      <c r="R36" s="59"/>
    </row>
    <row r="37" spans="1:18" x14ac:dyDescent="0.2">
      <c r="B37" s="112"/>
      <c r="C37" s="42" t="s">
        <v>37</v>
      </c>
      <c r="D37" s="42" t="s">
        <v>154</v>
      </c>
      <c r="E37" s="6">
        <v>6.1362E-2</v>
      </c>
      <c r="F37" s="5"/>
      <c r="G37" s="5"/>
      <c r="H37" s="5"/>
      <c r="I37" s="5"/>
      <c r="J37" s="5"/>
      <c r="K37" s="5"/>
      <c r="L37" s="5"/>
      <c r="M37" s="5"/>
      <c r="N37" s="24"/>
      <c r="R37" s="59"/>
    </row>
    <row r="38" spans="1:18" ht="15.75" x14ac:dyDescent="0.2">
      <c r="B38" s="112"/>
      <c r="C38" s="132" t="s">
        <v>83</v>
      </c>
      <c r="D38" s="132"/>
      <c r="E38" s="133">
        <v>6.1362E-2</v>
      </c>
      <c r="F38" s="5"/>
      <c r="G38" s="5"/>
      <c r="H38" s="5"/>
      <c r="I38" s="5"/>
      <c r="J38" s="5"/>
      <c r="K38" s="5"/>
      <c r="L38" s="5"/>
      <c r="M38" s="5"/>
      <c r="N38" s="24"/>
      <c r="R38" s="59"/>
    </row>
    <row r="39" spans="1:18" x14ac:dyDescent="0.2">
      <c r="B39" s="112"/>
      <c r="C39" s="4"/>
      <c r="D39" s="4"/>
      <c r="E39" s="6"/>
      <c r="F39" s="5"/>
      <c r="G39" s="5"/>
      <c r="H39" s="5"/>
      <c r="I39" s="5"/>
      <c r="J39" s="5"/>
      <c r="K39" s="5"/>
      <c r="L39" s="5"/>
      <c r="M39" s="5"/>
      <c r="N39" s="24"/>
      <c r="R39" s="59"/>
    </row>
    <row r="40" spans="1:18" x14ac:dyDescent="0.2">
      <c r="B40" s="112"/>
      <c r="C40" s="42" t="s">
        <v>127</v>
      </c>
      <c r="D40" s="42" t="s">
        <v>71</v>
      </c>
      <c r="E40" s="6">
        <v>0.27183099999999999</v>
      </c>
      <c r="F40" s="5"/>
      <c r="G40" s="5"/>
      <c r="H40" s="5"/>
      <c r="I40" s="5"/>
      <c r="J40" s="5"/>
      <c r="K40" s="5"/>
      <c r="L40" s="5"/>
      <c r="M40" s="5"/>
      <c r="N40" s="24"/>
      <c r="R40" s="59"/>
    </row>
    <row r="41" spans="1:18" x14ac:dyDescent="0.2">
      <c r="B41" s="112"/>
      <c r="C41" s="42" t="s">
        <v>157</v>
      </c>
      <c r="D41" s="42" t="s">
        <v>71</v>
      </c>
      <c r="E41" s="6">
        <v>3.2654000000000002E-2</v>
      </c>
      <c r="F41" s="5"/>
      <c r="G41" s="5"/>
      <c r="H41" s="5"/>
      <c r="I41" s="5"/>
      <c r="J41" s="5"/>
      <c r="K41" s="5"/>
      <c r="L41" s="5"/>
      <c r="M41" s="5"/>
      <c r="N41" s="24"/>
      <c r="R41" s="59"/>
    </row>
    <row r="42" spans="1:18" x14ac:dyDescent="0.2">
      <c r="B42" s="112"/>
      <c r="C42" s="42" t="s">
        <v>86</v>
      </c>
      <c r="D42" s="42" t="s">
        <v>71</v>
      </c>
      <c r="E42" s="6">
        <v>3.2578999999999997E-2</v>
      </c>
      <c r="F42" s="5"/>
      <c r="G42" s="5"/>
      <c r="H42" s="5"/>
      <c r="I42" s="5"/>
      <c r="J42" s="5"/>
      <c r="K42" s="5"/>
      <c r="L42" s="5"/>
      <c r="M42" s="5"/>
      <c r="N42" s="24"/>
      <c r="R42" s="59"/>
    </row>
    <row r="43" spans="1:18" x14ac:dyDescent="0.2">
      <c r="B43" s="112"/>
      <c r="C43" s="42" t="s">
        <v>96</v>
      </c>
      <c r="D43" s="42" t="s">
        <v>71</v>
      </c>
      <c r="E43" s="6">
        <v>2.1353E-2</v>
      </c>
      <c r="F43" s="5"/>
      <c r="G43" s="53"/>
      <c r="H43" s="5"/>
      <c r="I43" s="5"/>
      <c r="J43" s="5"/>
      <c r="K43" s="5"/>
      <c r="L43" s="5"/>
      <c r="M43" s="5"/>
      <c r="N43" s="24"/>
      <c r="R43" s="59"/>
    </row>
    <row r="44" spans="1:18" x14ac:dyDescent="0.2">
      <c r="B44" s="112"/>
      <c r="C44" s="42" t="s">
        <v>101</v>
      </c>
      <c r="D44" s="42" t="s">
        <v>71</v>
      </c>
      <c r="E44" s="6">
        <v>2.1121999999999998E-2</v>
      </c>
      <c r="F44" s="5"/>
      <c r="G44" s="5"/>
      <c r="H44" s="5"/>
      <c r="I44" s="5"/>
      <c r="J44" s="5"/>
      <c r="K44" s="5"/>
      <c r="L44" s="5"/>
      <c r="M44" s="5"/>
      <c r="N44" s="24"/>
      <c r="R44" s="59"/>
    </row>
    <row r="45" spans="1:18" x14ac:dyDescent="0.2">
      <c r="A45" s="5"/>
      <c r="B45" s="112"/>
      <c r="C45" s="42" t="s">
        <v>156</v>
      </c>
      <c r="D45" s="42" t="s">
        <v>71</v>
      </c>
      <c r="E45" s="6">
        <v>1.6868999999999999E-2</v>
      </c>
      <c r="F45" s="5"/>
      <c r="J45" s="5"/>
      <c r="K45" s="5"/>
      <c r="L45" s="5"/>
      <c r="M45" s="5"/>
      <c r="N45" s="24"/>
      <c r="O45" s="5"/>
      <c r="R45" s="59"/>
    </row>
    <row r="46" spans="1:18" ht="15.75" x14ac:dyDescent="0.2">
      <c r="A46" s="5"/>
      <c r="B46" s="112"/>
      <c r="C46" s="132" t="s">
        <v>47</v>
      </c>
      <c r="D46" s="132"/>
      <c r="E46" s="133">
        <f>SUM(E40:E45)</f>
        <v>0.39640800000000004</v>
      </c>
      <c r="F46" s="5"/>
      <c r="G46" s="5"/>
      <c r="H46" s="5"/>
      <c r="I46" s="5"/>
      <c r="J46" s="5"/>
      <c r="K46" s="5"/>
      <c r="L46" s="5"/>
      <c r="M46" s="5"/>
      <c r="N46" s="24"/>
      <c r="O46" s="5"/>
      <c r="R46" s="59"/>
    </row>
    <row r="47" spans="1:18" x14ac:dyDescent="0.2">
      <c r="A47" s="5"/>
      <c r="B47" s="112"/>
      <c r="C47" s="42"/>
      <c r="D47" s="42"/>
      <c r="E47" s="42"/>
      <c r="F47" s="5"/>
      <c r="G47" s="5"/>
      <c r="H47" s="5"/>
      <c r="I47" s="5"/>
      <c r="J47" s="5"/>
      <c r="K47" s="5"/>
      <c r="L47" s="5"/>
      <c r="M47" s="5"/>
      <c r="N47" s="24"/>
      <c r="O47" s="5"/>
      <c r="R47" s="59"/>
    </row>
    <row r="48" spans="1:18" x14ac:dyDescent="0.2">
      <c r="A48" s="5"/>
      <c r="B48" s="112"/>
      <c r="C48" s="42" t="s">
        <v>155</v>
      </c>
      <c r="D48" s="42" t="s">
        <v>71</v>
      </c>
      <c r="E48" s="6">
        <v>6.4116000000000006E-2</v>
      </c>
      <c r="F48" s="5"/>
      <c r="G48" s="5"/>
      <c r="H48" s="5"/>
      <c r="I48" s="5"/>
      <c r="J48" s="5"/>
      <c r="K48" s="5"/>
      <c r="L48" s="5"/>
      <c r="M48" s="5"/>
      <c r="N48" s="24"/>
      <c r="O48" s="5"/>
      <c r="R48" s="59"/>
    </row>
    <row r="49" spans="1:18" ht="15.75" x14ac:dyDescent="0.2">
      <c r="A49" s="5"/>
      <c r="B49" s="112"/>
      <c r="C49" s="132" t="s">
        <v>67</v>
      </c>
      <c r="D49" s="132"/>
      <c r="E49" s="133">
        <v>6.4116000000000006E-2</v>
      </c>
      <c r="F49" s="5"/>
      <c r="G49" s="5"/>
      <c r="H49" s="5"/>
      <c r="I49" s="5"/>
      <c r="J49" s="5"/>
      <c r="K49" s="5"/>
      <c r="L49" s="5"/>
      <c r="M49" s="5"/>
      <c r="N49" s="24"/>
      <c r="O49" s="5"/>
      <c r="R49" s="59"/>
    </row>
    <row r="50" spans="1:18" x14ac:dyDescent="0.2">
      <c r="A50" s="5"/>
      <c r="B50" s="112"/>
      <c r="C50" s="4"/>
      <c r="D50" s="4"/>
      <c r="E50" s="6"/>
      <c r="F50" s="5"/>
      <c r="G50" s="5"/>
      <c r="H50" s="5"/>
      <c r="I50" s="5"/>
      <c r="J50" s="5"/>
      <c r="K50" s="5"/>
      <c r="L50" s="5"/>
      <c r="M50" s="5"/>
      <c r="N50" s="24"/>
      <c r="O50" s="5"/>
      <c r="R50" s="59"/>
    </row>
    <row r="51" spans="1:18" ht="15.75" x14ac:dyDescent="0.2">
      <c r="A51" s="5"/>
      <c r="B51" s="112"/>
      <c r="C51" s="132" t="s">
        <v>20</v>
      </c>
      <c r="D51" s="132"/>
      <c r="E51" s="133">
        <v>0.19502000000000003</v>
      </c>
      <c r="F51" s="5"/>
      <c r="G51" s="5"/>
      <c r="H51" s="5"/>
      <c r="I51" s="5"/>
      <c r="J51" s="5"/>
      <c r="K51" s="5"/>
      <c r="L51" s="5"/>
      <c r="M51" s="5"/>
      <c r="N51" s="24"/>
      <c r="O51" s="5"/>
      <c r="R51" s="59"/>
    </row>
    <row r="52" spans="1:18" x14ac:dyDescent="0.2">
      <c r="A52" s="5"/>
      <c r="B52" s="112"/>
      <c r="C52" s="4"/>
      <c r="D52" s="4"/>
      <c r="E52" s="36"/>
      <c r="F52" s="5"/>
      <c r="G52" s="5"/>
      <c r="H52" s="5"/>
      <c r="I52" s="5"/>
      <c r="J52" s="5"/>
      <c r="K52" s="5"/>
      <c r="L52" s="5"/>
      <c r="M52" s="5"/>
      <c r="N52" s="24"/>
      <c r="O52" s="5"/>
      <c r="R52" s="59"/>
    </row>
    <row r="53" spans="1:18" ht="15.75" x14ac:dyDescent="0.2">
      <c r="A53" s="5"/>
      <c r="B53" s="112"/>
      <c r="C53" s="139" t="s">
        <v>21</v>
      </c>
      <c r="D53" s="139"/>
      <c r="E53" s="140">
        <f>E51+E49+E46+E38+E35+E29+E27+E24</f>
        <v>1.0000000000000002</v>
      </c>
      <c r="F53" s="5"/>
      <c r="G53" s="5"/>
      <c r="H53" s="5"/>
      <c r="I53" s="5"/>
      <c r="J53" s="5"/>
      <c r="K53" s="5"/>
      <c r="L53" s="5"/>
      <c r="M53" s="5"/>
      <c r="N53" s="24"/>
      <c r="O53" s="5"/>
      <c r="R53" s="59"/>
    </row>
    <row r="54" spans="1:18" x14ac:dyDescent="0.2">
      <c r="A54" s="5"/>
      <c r="B54" s="112"/>
      <c r="F54" s="5"/>
      <c r="G54" s="5"/>
      <c r="H54" s="5"/>
      <c r="I54" s="5"/>
      <c r="J54" s="5"/>
      <c r="K54" s="5"/>
      <c r="L54" s="5"/>
      <c r="M54" s="5"/>
      <c r="N54" s="24"/>
      <c r="O54" s="5"/>
      <c r="R54" s="59"/>
    </row>
    <row r="55" spans="1:18" ht="15.75" thickBot="1" x14ac:dyDescent="0.25">
      <c r="A55" s="5"/>
      <c r="B55" s="116"/>
      <c r="C55" s="66"/>
      <c r="D55" s="66"/>
      <c r="E55" s="67"/>
      <c r="F55" s="54"/>
      <c r="G55" s="54"/>
      <c r="H55" s="54"/>
      <c r="I55" s="54"/>
      <c r="J55" s="54"/>
      <c r="K55" s="54"/>
      <c r="L55" s="54"/>
      <c r="M55" s="54"/>
      <c r="N55" s="143"/>
      <c r="O55" s="5"/>
      <c r="R55" s="59"/>
    </row>
    <row r="56" spans="1:18" ht="15.75" thickBot="1" x14ac:dyDescent="0.25">
      <c r="R56" s="59"/>
    </row>
    <row r="57" spans="1:18" x14ac:dyDescent="0.2">
      <c r="B57" s="225" t="s">
        <v>117</v>
      </c>
      <c r="C57" s="226"/>
      <c r="D57" s="226"/>
      <c r="E57" s="226"/>
      <c r="F57" s="226"/>
      <c r="G57" s="226"/>
      <c r="H57" s="226"/>
      <c r="I57" s="226"/>
      <c r="J57" s="226"/>
      <c r="K57" s="226"/>
      <c r="L57" s="226"/>
      <c r="M57" s="226"/>
      <c r="N57" s="226"/>
      <c r="O57" s="227"/>
      <c r="R57" s="59"/>
    </row>
    <row r="58" spans="1:18" x14ac:dyDescent="0.2">
      <c r="B58" s="228"/>
      <c r="C58" s="229"/>
      <c r="D58" s="229"/>
      <c r="E58" s="229"/>
      <c r="F58" s="229"/>
      <c r="G58" s="229"/>
      <c r="H58" s="229"/>
      <c r="I58" s="229"/>
      <c r="J58" s="229"/>
      <c r="K58" s="229"/>
      <c r="L58" s="229"/>
      <c r="M58" s="229"/>
      <c r="N58" s="229"/>
      <c r="O58" s="230"/>
      <c r="R58" s="59"/>
    </row>
    <row r="59" spans="1:18" x14ac:dyDescent="0.2">
      <c r="B59" s="228"/>
      <c r="C59" s="229"/>
      <c r="D59" s="229"/>
      <c r="E59" s="229"/>
      <c r="F59" s="229"/>
      <c r="G59" s="229"/>
      <c r="H59" s="229"/>
      <c r="I59" s="229"/>
      <c r="J59" s="229"/>
      <c r="K59" s="229"/>
      <c r="L59" s="229"/>
      <c r="M59" s="229"/>
      <c r="N59" s="229"/>
      <c r="O59" s="230"/>
      <c r="R59" s="59"/>
    </row>
    <row r="60" spans="1:18" x14ac:dyDescent="0.2">
      <c r="B60" s="228"/>
      <c r="C60" s="229"/>
      <c r="D60" s="229"/>
      <c r="E60" s="229"/>
      <c r="F60" s="229"/>
      <c r="G60" s="229"/>
      <c r="H60" s="229"/>
      <c r="I60" s="229"/>
      <c r="J60" s="229"/>
      <c r="K60" s="229"/>
      <c r="L60" s="229"/>
      <c r="M60" s="229"/>
      <c r="N60" s="229"/>
      <c r="O60" s="230"/>
      <c r="R60" s="59"/>
    </row>
    <row r="61" spans="1:18" x14ac:dyDescent="0.2">
      <c r="B61" s="228"/>
      <c r="C61" s="229"/>
      <c r="D61" s="229"/>
      <c r="E61" s="229"/>
      <c r="F61" s="229"/>
      <c r="G61" s="229"/>
      <c r="H61" s="229"/>
      <c r="I61" s="229"/>
      <c r="J61" s="229"/>
      <c r="K61" s="229"/>
      <c r="L61" s="229"/>
      <c r="M61" s="229"/>
      <c r="N61" s="229"/>
      <c r="O61" s="230"/>
      <c r="R61" s="59"/>
    </row>
    <row r="62" spans="1:18" x14ac:dyDescent="0.2">
      <c r="B62" s="228"/>
      <c r="C62" s="229"/>
      <c r="D62" s="229"/>
      <c r="E62" s="229"/>
      <c r="F62" s="229"/>
      <c r="G62" s="229"/>
      <c r="H62" s="229"/>
      <c r="I62" s="229"/>
      <c r="J62" s="229"/>
      <c r="K62" s="229"/>
      <c r="L62" s="229"/>
      <c r="M62" s="229"/>
      <c r="N62" s="229"/>
      <c r="O62" s="230"/>
      <c r="R62" s="59"/>
    </row>
    <row r="63" spans="1:18" ht="15.75" thickBot="1" x14ac:dyDescent="0.25">
      <c r="B63" s="231"/>
      <c r="C63" s="232"/>
      <c r="D63" s="232"/>
      <c r="E63" s="232"/>
      <c r="F63" s="232"/>
      <c r="G63" s="232"/>
      <c r="H63" s="232"/>
      <c r="I63" s="232"/>
      <c r="J63" s="232"/>
      <c r="K63" s="232"/>
      <c r="L63" s="232"/>
      <c r="M63" s="232"/>
      <c r="N63" s="232"/>
      <c r="O63" s="233"/>
      <c r="R63" s="59"/>
    </row>
    <row r="64" spans="1:18" x14ac:dyDescent="0.2">
      <c r="R64" s="59"/>
    </row>
    <row r="65" spans="18:18" x14ac:dyDescent="0.2">
      <c r="R65" s="59"/>
    </row>
    <row r="66" spans="18:18" x14ac:dyDescent="0.2">
      <c r="R66" s="59"/>
    </row>
    <row r="67" spans="18:18" x14ac:dyDescent="0.2">
      <c r="R67" s="59"/>
    </row>
    <row r="68" spans="18:18" x14ac:dyDescent="0.2">
      <c r="R68" s="59"/>
    </row>
    <row r="69" spans="18:18" x14ac:dyDescent="0.2">
      <c r="R69" s="59"/>
    </row>
    <row r="70" spans="18:18" x14ac:dyDescent="0.2">
      <c r="R70" s="59"/>
    </row>
    <row r="71" spans="18:18" x14ac:dyDescent="0.2">
      <c r="R71" s="59"/>
    </row>
    <row r="72" spans="18:18" x14ac:dyDescent="0.2">
      <c r="R72" s="59"/>
    </row>
    <row r="73" spans="18:18" x14ac:dyDescent="0.2">
      <c r="R73" s="59"/>
    </row>
    <row r="74" spans="18:18" x14ac:dyDescent="0.2">
      <c r="R74" s="59"/>
    </row>
    <row r="75" spans="18:18" x14ac:dyDescent="0.2">
      <c r="R75" s="59"/>
    </row>
    <row r="76" spans="18:18" x14ac:dyDescent="0.2">
      <c r="R76" s="59"/>
    </row>
    <row r="77" spans="18:18" x14ac:dyDescent="0.2">
      <c r="R77" s="59"/>
    </row>
    <row r="78" spans="18:18" x14ac:dyDescent="0.2">
      <c r="R78" s="59"/>
    </row>
    <row r="79" spans="18:18" x14ac:dyDescent="0.2">
      <c r="R79" s="59"/>
    </row>
    <row r="80" spans="18:18" x14ac:dyDescent="0.2">
      <c r="R80" s="59"/>
    </row>
    <row r="81" spans="18:18" x14ac:dyDescent="0.2">
      <c r="R81" s="59"/>
    </row>
    <row r="82" spans="18:18" x14ac:dyDescent="0.2">
      <c r="R82" s="59"/>
    </row>
    <row r="83" spans="18:18" x14ac:dyDescent="0.2">
      <c r="R83" s="59"/>
    </row>
    <row r="84" spans="18:18" x14ac:dyDescent="0.2">
      <c r="R84" s="59"/>
    </row>
    <row r="85" spans="18:18" x14ac:dyDescent="0.2">
      <c r="R85" s="59"/>
    </row>
    <row r="86" spans="18:18" x14ac:dyDescent="0.2">
      <c r="R86" s="59"/>
    </row>
    <row r="87" spans="18:18" x14ac:dyDescent="0.2">
      <c r="R87" s="59"/>
    </row>
    <row r="88" spans="18:18" x14ac:dyDescent="0.2">
      <c r="R88" s="59"/>
    </row>
    <row r="89" spans="18:18" x14ac:dyDescent="0.2">
      <c r="R89" s="59"/>
    </row>
    <row r="90" spans="18:18" x14ac:dyDescent="0.2">
      <c r="R90" s="59"/>
    </row>
    <row r="91" spans="18:18" x14ac:dyDescent="0.2">
      <c r="R91" s="59"/>
    </row>
    <row r="92" spans="18:18" x14ac:dyDescent="0.2">
      <c r="R92" s="59"/>
    </row>
    <row r="93" spans="18:18" x14ac:dyDescent="0.2">
      <c r="R93" s="59"/>
    </row>
    <row r="94" spans="18:18" x14ac:dyDescent="0.2">
      <c r="R94" s="59"/>
    </row>
    <row r="95" spans="18:18" x14ac:dyDescent="0.2">
      <c r="R95" s="59"/>
    </row>
    <row r="96" spans="18:18" x14ac:dyDescent="0.2">
      <c r="R96" s="59"/>
    </row>
    <row r="97" spans="18:18" x14ac:dyDescent="0.2">
      <c r="R97" s="59"/>
    </row>
    <row r="98" spans="18:18" x14ac:dyDescent="0.2">
      <c r="R98" s="59"/>
    </row>
    <row r="99" spans="18:18" x14ac:dyDescent="0.2">
      <c r="R99" s="59"/>
    </row>
    <row r="100" spans="18:18" x14ac:dyDescent="0.2">
      <c r="R100" s="59"/>
    </row>
    <row r="101" spans="18:18" x14ac:dyDescent="0.2">
      <c r="R101" s="59"/>
    </row>
    <row r="102" spans="18:18" x14ac:dyDescent="0.2">
      <c r="R102" s="59"/>
    </row>
    <row r="103" spans="18:18" x14ac:dyDescent="0.2">
      <c r="R103" s="59"/>
    </row>
    <row r="104" spans="18:18" x14ac:dyDescent="0.2">
      <c r="R104" s="59"/>
    </row>
    <row r="105" spans="18:18" x14ac:dyDescent="0.2">
      <c r="R105" s="59"/>
    </row>
    <row r="106" spans="18:18" x14ac:dyDescent="0.2">
      <c r="R106" s="59"/>
    </row>
    <row r="107" spans="18:18" x14ac:dyDescent="0.2">
      <c r="R107" s="59"/>
    </row>
    <row r="108" spans="18:18" x14ac:dyDescent="0.2">
      <c r="R108" s="59"/>
    </row>
    <row r="109" spans="18:18" x14ac:dyDescent="0.2">
      <c r="R109" s="59"/>
    </row>
    <row r="110" spans="18:18" x14ac:dyDescent="0.2">
      <c r="R110" s="59"/>
    </row>
    <row r="111" spans="18:18" x14ac:dyDescent="0.2">
      <c r="R111" s="59"/>
    </row>
    <row r="112" spans="18:18" x14ac:dyDescent="0.2">
      <c r="R112" s="59"/>
    </row>
    <row r="113" spans="18:18" x14ac:dyDescent="0.2">
      <c r="R113" s="59"/>
    </row>
    <row r="114" spans="18:18" x14ac:dyDescent="0.2">
      <c r="R114" s="59"/>
    </row>
    <row r="115" spans="18:18" x14ac:dyDescent="0.2">
      <c r="R115" s="59"/>
    </row>
    <row r="116" spans="18:18" x14ac:dyDescent="0.2">
      <c r="R116" s="59"/>
    </row>
    <row r="117" spans="18:18" x14ac:dyDescent="0.2">
      <c r="R117" s="59"/>
    </row>
    <row r="118" spans="18:18" x14ac:dyDescent="0.2">
      <c r="R118" s="59"/>
    </row>
    <row r="119" spans="18:18" x14ac:dyDescent="0.2">
      <c r="R119" s="59"/>
    </row>
    <row r="120" spans="18:18" x14ac:dyDescent="0.2">
      <c r="R120" s="59"/>
    </row>
    <row r="121" spans="18:18" x14ac:dyDescent="0.2">
      <c r="R121" s="59"/>
    </row>
    <row r="122" spans="18:18" x14ac:dyDescent="0.2">
      <c r="R122" s="59"/>
    </row>
    <row r="123" spans="18:18" x14ac:dyDescent="0.2">
      <c r="R123" s="59"/>
    </row>
    <row r="124" spans="18:18" x14ac:dyDescent="0.2">
      <c r="R124" s="59"/>
    </row>
    <row r="125" spans="18:18" x14ac:dyDescent="0.2">
      <c r="R125" s="59"/>
    </row>
    <row r="126" spans="18:18" x14ac:dyDescent="0.2">
      <c r="R126" s="59"/>
    </row>
    <row r="127" spans="18:18" x14ac:dyDescent="0.2">
      <c r="R127" s="59"/>
    </row>
    <row r="128" spans="18:18" x14ac:dyDescent="0.2">
      <c r="R128" s="59"/>
    </row>
    <row r="129" spans="18:18" x14ac:dyDescent="0.2">
      <c r="R129" s="59"/>
    </row>
    <row r="130" spans="18:18" x14ac:dyDescent="0.2">
      <c r="R130" s="59"/>
    </row>
    <row r="131" spans="18:18" x14ac:dyDescent="0.2">
      <c r="R131" s="59"/>
    </row>
    <row r="132" spans="18:18" x14ac:dyDescent="0.2">
      <c r="R132" s="59"/>
    </row>
    <row r="133" spans="18:18" x14ac:dyDescent="0.2">
      <c r="R133" s="59"/>
    </row>
    <row r="134" spans="18:18" x14ac:dyDescent="0.2">
      <c r="R134" s="59"/>
    </row>
    <row r="135" spans="18:18" x14ac:dyDescent="0.2">
      <c r="R135" s="59"/>
    </row>
    <row r="136" spans="18:18" x14ac:dyDescent="0.2">
      <c r="R136" s="59"/>
    </row>
    <row r="137" spans="18:18" x14ac:dyDescent="0.2">
      <c r="R137" s="59"/>
    </row>
    <row r="138" spans="18:18" x14ac:dyDescent="0.2">
      <c r="R138" s="59"/>
    </row>
    <row r="139" spans="18:18" x14ac:dyDescent="0.2">
      <c r="R139" s="59"/>
    </row>
    <row r="140" spans="18:18" x14ac:dyDescent="0.2">
      <c r="R140" s="59"/>
    </row>
    <row r="141" spans="18:18" x14ac:dyDescent="0.2">
      <c r="R141" s="59"/>
    </row>
    <row r="142" spans="18:18" x14ac:dyDescent="0.2">
      <c r="R142" s="59"/>
    </row>
    <row r="143" spans="18:18" x14ac:dyDescent="0.2">
      <c r="R143" s="59"/>
    </row>
    <row r="144" spans="18:18" x14ac:dyDescent="0.2">
      <c r="R144" s="59"/>
    </row>
    <row r="145" spans="18:18" x14ac:dyDescent="0.2">
      <c r="R145" s="59"/>
    </row>
    <row r="146" spans="18:18" x14ac:dyDescent="0.2">
      <c r="R146" s="59"/>
    </row>
    <row r="147" spans="18:18" x14ac:dyDescent="0.2">
      <c r="R147" s="59"/>
    </row>
    <row r="148" spans="18:18" x14ac:dyDescent="0.2">
      <c r="R148" s="59"/>
    </row>
    <row r="149" spans="18:18" x14ac:dyDescent="0.2">
      <c r="R149" s="59"/>
    </row>
    <row r="150" spans="18:18" x14ac:dyDescent="0.2">
      <c r="R150" s="59"/>
    </row>
    <row r="151" spans="18:18" x14ac:dyDescent="0.2">
      <c r="R151" s="59"/>
    </row>
    <row r="152" spans="18:18" x14ac:dyDescent="0.2">
      <c r="R152" s="59"/>
    </row>
    <row r="153" spans="18:18" x14ac:dyDescent="0.2">
      <c r="R153" s="59"/>
    </row>
    <row r="154" spans="18:18" x14ac:dyDescent="0.2">
      <c r="R154" s="59"/>
    </row>
    <row r="155" spans="18:18" x14ac:dyDescent="0.2">
      <c r="R155" s="59"/>
    </row>
    <row r="156" spans="18:18" x14ac:dyDescent="0.2">
      <c r="R156" s="59"/>
    </row>
    <row r="157" spans="18:18" x14ac:dyDescent="0.2">
      <c r="R157" s="59"/>
    </row>
    <row r="158" spans="18:18" x14ac:dyDescent="0.2">
      <c r="R158" s="59"/>
    </row>
    <row r="159" spans="18:18" x14ac:dyDescent="0.2">
      <c r="R159" s="59"/>
    </row>
    <row r="160" spans="18:18" x14ac:dyDescent="0.2">
      <c r="R160" s="59"/>
    </row>
    <row r="161" spans="18:18" x14ac:dyDescent="0.2">
      <c r="R161" s="59"/>
    </row>
    <row r="162" spans="18:18" x14ac:dyDescent="0.2">
      <c r="R162" s="59"/>
    </row>
    <row r="163" spans="18:18" x14ac:dyDescent="0.2">
      <c r="R163" s="59"/>
    </row>
    <row r="164" spans="18:18" x14ac:dyDescent="0.2">
      <c r="R164" s="59"/>
    </row>
    <row r="165" spans="18:18" x14ac:dyDescent="0.2">
      <c r="R165" s="59"/>
    </row>
    <row r="166" spans="18:18" x14ac:dyDescent="0.2">
      <c r="R166" s="59"/>
    </row>
    <row r="167" spans="18:18" x14ac:dyDescent="0.2">
      <c r="R167" s="59"/>
    </row>
    <row r="168" spans="18:18" x14ac:dyDescent="0.2">
      <c r="R168" s="59"/>
    </row>
    <row r="169" spans="18:18" x14ac:dyDescent="0.2">
      <c r="R169" s="59"/>
    </row>
    <row r="170" spans="18:18" x14ac:dyDescent="0.2">
      <c r="R170" s="59"/>
    </row>
    <row r="171" spans="18:18" x14ac:dyDescent="0.2">
      <c r="R171" s="59"/>
    </row>
    <row r="172" spans="18:18" x14ac:dyDescent="0.2">
      <c r="R172" s="59"/>
    </row>
    <row r="173" spans="18:18" x14ac:dyDescent="0.2">
      <c r="R173" s="59"/>
    </row>
    <row r="174" spans="18:18" x14ac:dyDescent="0.2">
      <c r="R174" s="59"/>
    </row>
    <row r="175" spans="18:18" x14ac:dyDescent="0.2">
      <c r="R175" s="59"/>
    </row>
    <row r="176" spans="18:18" x14ac:dyDescent="0.2">
      <c r="R176" s="59"/>
    </row>
    <row r="177" spans="18:18" x14ac:dyDescent="0.2">
      <c r="R177" s="59"/>
    </row>
    <row r="178" spans="18:18" x14ac:dyDescent="0.2">
      <c r="R178" s="59"/>
    </row>
    <row r="179" spans="18:18" x14ac:dyDescent="0.2">
      <c r="R179" s="59"/>
    </row>
    <row r="180" spans="18:18" x14ac:dyDescent="0.2">
      <c r="R180" s="59"/>
    </row>
    <row r="181" spans="18:18" x14ac:dyDescent="0.2">
      <c r="R181" s="59"/>
    </row>
    <row r="182" spans="18:18" x14ac:dyDescent="0.2">
      <c r="R182" s="59"/>
    </row>
    <row r="183" spans="18:18" x14ac:dyDescent="0.2">
      <c r="R183" s="59"/>
    </row>
    <row r="184" spans="18:18" x14ac:dyDescent="0.2">
      <c r="R184" s="59"/>
    </row>
    <row r="185" spans="18:18" x14ac:dyDescent="0.2">
      <c r="R185" s="59"/>
    </row>
    <row r="186" spans="18:18" x14ac:dyDescent="0.2">
      <c r="R186" s="59"/>
    </row>
    <row r="187" spans="18:18" x14ac:dyDescent="0.2">
      <c r="R187" s="59"/>
    </row>
    <row r="188" spans="18:18" x14ac:dyDescent="0.2">
      <c r="R188" s="59"/>
    </row>
    <row r="189" spans="18:18" x14ac:dyDescent="0.2">
      <c r="R189" s="59"/>
    </row>
    <row r="190" spans="18:18" x14ac:dyDescent="0.2">
      <c r="R190" s="59"/>
    </row>
    <row r="191" spans="18:18" x14ac:dyDescent="0.2">
      <c r="R191" s="59"/>
    </row>
    <row r="192" spans="18:18" x14ac:dyDescent="0.2">
      <c r="R192" s="59"/>
    </row>
    <row r="193" spans="18:18" x14ac:dyDescent="0.2">
      <c r="R193" s="59"/>
    </row>
    <row r="194" spans="18:18" x14ac:dyDescent="0.2">
      <c r="R194" s="59"/>
    </row>
    <row r="195" spans="18:18" x14ac:dyDescent="0.2">
      <c r="R195" s="59"/>
    </row>
    <row r="196" spans="18:18" x14ac:dyDescent="0.2">
      <c r="R196" s="59"/>
    </row>
    <row r="197" spans="18:18" x14ac:dyDescent="0.2">
      <c r="R197" s="59"/>
    </row>
    <row r="198" spans="18:18" x14ac:dyDescent="0.2">
      <c r="R198" s="59"/>
    </row>
    <row r="199" spans="18:18" x14ac:dyDescent="0.2">
      <c r="R199" s="59"/>
    </row>
    <row r="200" spans="18:18" x14ac:dyDescent="0.2">
      <c r="R200" s="59"/>
    </row>
    <row r="201" spans="18:18" x14ac:dyDescent="0.2">
      <c r="R201" s="59"/>
    </row>
    <row r="202" spans="18:18" x14ac:dyDescent="0.2">
      <c r="R202" s="59"/>
    </row>
    <row r="203" spans="18:18" x14ac:dyDescent="0.2">
      <c r="R203" s="59"/>
    </row>
    <row r="204" spans="18:18" x14ac:dyDescent="0.2">
      <c r="R204" s="59"/>
    </row>
    <row r="205" spans="18:18" x14ac:dyDescent="0.2">
      <c r="R205" s="59"/>
    </row>
    <row r="206" spans="18:18" x14ac:dyDescent="0.2">
      <c r="R206" s="59"/>
    </row>
    <row r="207" spans="18:18" x14ac:dyDescent="0.2">
      <c r="R207" s="59"/>
    </row>
    <row r="208" spans="18:18" x14ac:dyDescent="0.2">
      <c r="R208" s="59"/>
    </row>
    <row r="209" spans="18:18" x14ac:dyDescent="0.2">
      <c r="R209" s="59"/>
    </row>
    <row r="210" spans="18:18" x14ac:dyDescent="0.2">
      <c r="R210" s="59"/>
    </row>
    <row r="211" spans="18:18" x14ac:dyDescent="0.2">
      <c r="R211" s="59"/>
    </row>
    <row r="212" spans="18:18" x14ac:dyDescent="0.2">
      <c r="R212" s="59"/>
    </row>
    <row r="213" spans="18:18" x14ac:dyDescent="0.2">
      <c r="R213" s="59"/>
    </row>
    <row r="214" spans="18:18" x14ac:dyDescent="0.2">
      <c r="R214" s="59"/>
    </row>
    <row r="215" spans="18:18" x14ac:dyDescent="0.2">
      <c r="R215" s="59"/>
    </row>
    <row r="216" spans="18:18" x14ac:dyDescent="0.2">
      <c r="R216" s="59"/>
    </row>
    <row r="217" spans="18:18" x14ac:dyDescent="0.2">
      <c r="R217" s="59"/>
    </row>
    <row r="218" spans="18:18" x14ac:dyDescent="0.2">
      <c r="R218" s="59"/>
    </row>
    <row r="219" spans="18:18" x14ac:dyDescent="0.2">
      <c r="R219" s="59"/>
    </row>
    <row r="220" spans="18:18" x14ac:dyDescent="0.2">
      <c r="R220" s="59"/>
    </row>
    <row r="221" spans="18:18" x14ac:dyDescent="0.2">
      <c r="R221" s="59"/>
    </row>
    <row r="222" spans="18:18" x14ac:dyDescent="0.2">
      <c r="R222" s="59"/>
    </row>
    <row r="223" spans="18:18" x14ac:dyDescent="0.2">
      <c r="R223" s="59"/>
    </row>
    <row r="224" spans="18:18" x14ac:dyDescent="0.2">
      <c r="R224" s="59"/>
    </row>
    <row r="225" spans="18:18" x14ac:dyDescent="0.2">
      <c r="R225" s="59"/>
    </row>
    <row r="226" spans="18:18" x14ac:dyDescent="0.2">
      <c r="R226" s="59"/>
    </row>
    <row r="227" spans="18:18" x14ac:dyDescent="0.2">
      <c r="R227" s="59"/>
    </row>
    <row r="228" spans="18:18" x14ac:dyDescent="0.2">
      <c r="R228" s="59"/>
    </row>
    <row r="229" spans="18:18" x14ac:dyDescent="0.2">
      <c r="R229" s="59"/>
    </row>
    <row r="230" spans="18:18" x14ac:dyDescent="0.2">
      <c r="R230" s="59"/>
    </row>
    <row r="231" spans="18:18" x14ac:dyDescent="0.2">
      <c r="R231" s="59"/>
    </row>
    <row r="232" spans="18:18" x14ac:dyDescent="0.2">
      <c r="R232" s="59"/>
    </row>
    <row r="233" spans="18:18" x14ac:dyDescent="0.2">
      <c r="R233" s="59"/>
    </row>
    <row r="234" spans="18:18" x14ac:dyDescent="0.2">
      <c r="R234" s="59"/>
    </row>
    <row r="235" spans="18:18" x14ac:dyDescent="0.2">
      <c r="R235" s="59"/>
    </row>
    <row r="236" spans="18:18" x14ac:dyDescent="0.2">
      <c r="R236" s="59"/>
    </row>
    <row r="237" spans="18:18" x14ac:dyDescent="0.2">
      <c r="R237" s="59"/>
    </row>
    <row r="238" spans="18:18" x14ac:dyDescent="0.2">
      <c r="R238" s="59"/>
    </row>
    <row r="239" spans="18:18" x14ac:dyDescent="0.2">
      <c r="R239" s="59"/>
    </row>
    <row r="240" spans="18:18" x14ac:dyDescent="0.2">
      <c r="R240" s="59"/>
    </row>
    <row r="241" spans="18:18" x14ac:dyDescent="0.2">
      <c r="R241" s="59"/>
    </row>
    <row r="242" spans="18:18" x14ac:dyDescent="0.2">
      <c r="R242" s="59"/>
    </row>
    <row r="243" spans="18:18" x14ac:dyDescent="0.2">
      <c r="R243" s="59"/>
    </row>
    <row r="244" spans="18:18" x14ac:dyDescent="0.2">
      <c r="R244" s="59"/>
    </row>
    <row r="245" spans="18:18" x14ac:dyDescent="0.2">
      <c r="R245" s="59"/>
    </row>
    <row r="246" spans="18:18" x14ac:dyDescent="0.2">
      <c r="R246" s="59"/>
    </row>
    <row r="247" spans="18:18" x14ac:dyDescent="0.2">
      <c r="R247" s="59"/>
    </row>
    <row r="248" spans="18:18" x14ac:dyDescent="0.2">
      <c r="R248" s="59"/>
    </row>
    <row r="249" spans="18:18" x14ac:dyDescent="0.2">
      <c r="R249" s="59"/>
    </row>
    <row r="250" spans="18:18" x14ac:dyDescent="0.2">
      <c r="R250" s="59"/>
    </row>
    <row r="251" spans="18:18" x14ac:dyDescent="0.2">
      <c r="R251" s="59"/>
    </row>
    <row r="252" spans="18:18" x14ac:dyDescent="0.2">
      <c r="R252" s="59"/>
    </row>
    <row r="253" spans="18:18" x14ac:dyDescent="0.2">
      <c r="R253" s="59"/>
    </row>
    <row r="254" spans="18:18" x14ac:dyDescent="0.2">
      <c r="R254" s="59"/>
    </row>
    <row r="255" spans="18:18" x14ac:dyDescent="0.2">
      <c r="R255" s="59"/>
    </row>
    <row r="256" spans="18:18" x14ac:dyDescent="0.2">
      <c r="R256" s="59"/>
    </row>
    <row r="257" spans="18:18" x14ac:dyDescent="0.2">
      <c r="R257" s="59"/>
    </row>
    <row r="258" spans="18:18" x14ac:dyDescent="0.2">
      <c r="R258" s="59"/>
    </row>
    <row r="259" spans="18:18" x14ac:dyDescent="0.2">
      <c r="R259" s="59"/>
    </row>
    <row r="260" spans="18:18" x14ac:dyDescent="0.2">
      <c r="R260" s="59"/>
    </row>
    <row r="261" spans="18:18" x14ac:dyDescent="0.2">
      <c r="R261" s="59"/>
    </row>
    <row r="262" spans="18:18" x14ac:dyDescent="0.2">
      <c r="R262" s="59"/>
    </row>
    <row r="263" spans="18:18" x14ac:dyDescent="0.2">
      <c r="R263" s="59"/>
    </row>
    <row r="264" spans="18:18" x14ac:dyDescent="0.2">
      <c r="R264" s="59"/>
    </row>
    <row r="265" spans="18:18" x14ac:dyDescent="0.2">
      <c r="R265" s="59"/>
    </row>
    <row r="266" spans="18:18" x14ac:dyDescent="0.2">
      <c r="R266" s="59"/>
    </row>
    <row r="267" spans="18:18" x14ac:dyDescent="0.2">
      <c r="R267" s="59"/>
    </row>
    <row r="268" spans="18:18" x14ac:dyDescent="0.2">
      <c r="R268" s="59"/>
    </row>
    <row r="269" spans="18:18" x14ac:dyDescent="0.2">
      <c r="R269" s="59"/>
    </row>
    <row r="270" spans="18:18" x14ac:dyDescent="0.2">
      <c r="R270" s="59"/>
    </row>
    <row r="271" spans="18:18" x14ac:dyDescent="0.2">
      <c r="R271" s="59"/>
    </row>
    <row r="272" spans="18:18" x14ac:dyDescent="0.2">
      <c r="R272" s="59"/>
    </row>
    <row r="273" spans="18:18" x14ac:dyDescent="0.2">
      <c r="R273" s="59"/>
    </row>
    <row r="274" spans="18:18" x14ac:dyDescent="0.2">
      <c r="R274" s="59"/>
    </row>
    <row r="275" spans="18:18" x14ac:dyDescent="0.2">
      <c r="R275" s="59"/>
    </row>
    <row r="276" spans="18:18" x14ac:dyDescent="0.2">
      <c r="R276" s="59"/>
    </row>
    <row r="277" spans="18:18" x14ac:dyDescent="0.2">
      <c r="R277" s="59"/>
    </row>
    <row r="278" spans="18:18" x14ac:dyDescent="0.2">
      <c r="R278" s="59"/>
    </row>
    <row r="279" spans="18:18" x14ac:dyDescent="0.2">
      <c r="R279" s="59"/>
    </row>
    <row r="280" spans="18:18" x14ac:dyDescent="0.2">
      <c r="R280" s="59"/>
    </row>
    <row r="281" spans="18:18" x14ac:dyDescent="0.2">
      <c r="R281" s="59"/>
    </row>
    <row r="282" spans="18:18" x14ac:dyDescent="0.2">
      <c r="R282" s="59"/>
    </row>
    <row r="283" spans="18:18" x14ac:dyDescent="0.2">
      <c r="R283" s="59"/>
    </row>
    <row r="284" spans="18:18" x14ac:dyDescent="0.2">
      <c r="R284" s="59"/>
    </row>
    <row r="285" spans="18:18" x14ac:dyDescent="0.2">
      <c r="R285" s="59"/>
    </row>
    <row r="286" spans="18:18" x14ac:dyDescent="0.2">
      <c r="R286" s="59"/>
    </row>
    <row r="287" spans="18:18" x14ac:dyDescent="0.2">
      <c r="R287" s="59"/>
    </row>
    <row r="288" spans="18:18" x14ac:dyDescent="0.2">
      <c r="R288" s="59"/>
    </row>
    <row r="289" spans="18:18" x14ac:dyDescent="0.2">
      <c r="R289" s="59"/>
    </row>
    <row r="290" spans="18:18" x14ac:dyDescent="0.2">
      <c r="R290" s="59"/>
    </row>
    <row r="291" spans="18:18" x14ac:dyDescent="0.2">
      <c r="R291" s="59"/>
    </row>
    <row r="292" spans="18:18" x14ac:dyDescent="0.2">
      <c r="R292" s="59"/>
    </row>
    <row r="293" spans="18:18" x14ac:dyDescent="0.2">
      <c r="R293" s="59"/>
    </row>
    <row r="294" spans="18:18" x14ac:dyDescent="0.2">
      <c r="R294" s="59"/>
    </row>
    <row r="295" spans="18:18" x14ac:dyDescent="0.2">
      <c r="R295" s="59"/>
    </row>
    <row r="296" spans="18:18" x14ac:dyDescent="0.2">
      <c r="R296" s="59"/>
    </row>
    <row r="297" spans="18:18" x14ac:dyDescent="0.2">
      <c r="R297" s="59"/>
    </row>
    <row r="298" spans="18:18" x14ac:dyDescent="0.2">
      <c r="R298" s="59"/>
    </row>
    <row r="299" spans="18:18" x14ac:dyDescent="0.2">
      <c r="R299" s="59"/>
    </row>
    <row r="300" spans="18:18" x14ac:dyDescent="0.2">
      <c r="R300" s="59"/>
    </row>
    <row r="301" spans="18:18" x14ac:dyDescent="0.2">
      <c r="R301" s="59"/>
    </row>
    <row r="302" spans="18:18" x14ac:dyDescent="0.2">
      <c r="R302" s="59"/>
    </row>
    <row r="303" spans="18:18" x14ac:dyDescent="0.2">
      <c r="R303" s="59"/>
    </row>
    <row r="304" spans="18:18" x14ac:dyDescent="0.2">
      <c r="R304" s="59"/>
    </row>
    <row r="305" spans="18:18" x14ac:dyDescent="0.2">
      <c r="R305" s="59"/>
    </row>
    <row r="306" spans="18:18" x14ac:dyDescent="0.2">
      <c r="R306" s="59"/>
    </row>
    <row r="307" spans="18:18" x14ac:dyDescent="0.2">
      <c r="R307" s="59"/>
    </row>
    <row r="308" spans="18:18" x14ac:dyDescent="0.2">
      <c r="R308" s="59"/>
    </row>
    <row r="309" spans="18:18" x14ac:dyDescent="0.2">
      <c r="R309" s="59"/>
    </row>
    <row r="310" spans="18:18" x14ac:dyDescent="0.2">
      <c r="R310" s="59"/>
    </row>
    <row r="311" spans="18:18" x14ac:dyDescent="0.2">
      <c r="R311" s="59"/>
    </row>
    <row r="312" spans="18:18" x14ac:dyDescent="0.2">
      <c r="R312" s="59"/>
    </row>
    <row r="313" spans="18:18" x14ac:dyDescent="0.2">
      <c r="R313" s="59"/>
    </row>
    <row r="314" spans="18:18" x14ac:dyDescent="0.2">
      <c r="R314" s="59"/>
    </row>
    <row r="315" spans="18:18" x14ac:dyDescent="0.2">
      <c r="R315" s="59"/>
    </row>
    <row r="316" spans="18:18" x14ac:dyDescent="0.2">
      <c r="R316" s="59"/>
    </row>
    <row r="317" spans="18:18" x14ac:dyDescent="0.2">
      <c r="R317" s="59"/>
    </row>
    <row r="318" spans="18:18" x14ac:dyDescent="0.2">
      <c r="R318" s="59"/>
    </row>
    <row r="319" spans="18:18" x14ac:dyDescent="0.2">
      <c r="R319" s="59"/>
    </row>
    <row r="320" spans="18:18" x14ac:dyDescent="0.2">
      <c r="R320" s="59"/>
    </row>
    <row r="321" spans="18:18" x14ac:dyDescent="0.2">
      <c r="R321" s="59"/>
    </row>
    <row r="322" spans="18:18" x14ac:dyDescent="0.2">
      <c r="R322" s="59"/>
    </row>
    <row r="323" spans="18:18" x14ac:dyDescent="0.2">
      <c r="R323" s="59"/>
    </row>
    <row r="324" spans="18:18" x14ac:dyDescent="0.2">
      <c r="R324" s="59"/>
    </row>
    <row r="325" spans="18:18" x14ac:dyDescent="0.2">
      <c r="R325" s="59"/>
    </row>
    <row r="326" spans="18:18" x14ac:dyDescent="0.2">
      <c r="R326" s="59"/>
    </row>
    <row r="327" spans="18:18" x14ac:dyDescent="0.2">
      <c r="R327" s="59"/>
    </row>
    <row r="328" spans="18:18" x14ac:dyDescent="0.2">
      <c r="R328" s="59"/>
    </row>
    <row r="329" spans="18:18" x14ac:dyDescent="0.2">
      <c r="R329" s="59"/>
    </row>
    <row r="330" spans="18:18" x14ac:dyDescent="0.2">
      <c r="R330" s="59"/>
    </row>
    <row r="331" spans="18:18" x14ac:dyDescent="0.2">
      <c r="R331" s="59"/>
    </row>
    <row r="332" spans="18:18" x14ac:dyDescent="0.2">
      <c r="R332" s="59"/>
    </row>
    <row r="333" spans="18:18" x14ac:dyDescent="0.2">
      <c r="R333" s="59"/>
    </row>
    <row r="334" spans="18:18" x14ac:dyDescent="0.2">
      <c r="R334" s="59"/>
    </row>
    <row r="335" spans="18:18" x14ac:dyDescent="0.2">
      <c r="R335" s="59"/>
    </row>
    <row r="336" spans="18:18" x14ac:dyDescent="0.2">
      <c r="R336" s="59"/>
    </row>
    <row r="337" spans="18:18" x14ac:dyDescent="0.2">
      <c r="R337" s="59"/>
    </row>
    <row r="338" spans="18:18" x14ac:dyDescent="0.2">
      <c r="R338" s="59"/>
    </row>
    <row r="339" spans="18:18" x14ac:dyDescent="0.2">
      <c r="R339" s="59"/>
    </row>
    <row r="340" spans="18:18" x14ac:dyDescent="0.2">
      <c r="R340" s="59"/>
    </row>
    <row r="341" spans="18:18" x14ac:dyDescent="0.2">
      <c r="R341" s="59"/>
    </row>
    <row r="342" spans="18:18" x14ac:dyDescent="0.2">
      <c r="R342" s="59"/>
    </row>
    <row r="343" spans="18:18" x14ac:dyDescent="0.2">
      <c r="R343" s="59"/>
    </row>
    <row r="344" spans="18:18" x14ac:dyDescent="0.2">
      <c r="R344" s="59"/>
    </row>
    <row r="345" spans="18:18" x14ac:dyDescent="0.2">
      <c r="R345" s="59"/>
    </row>
    <row r="346" spans="18:18" x14ac:dyDescent="0.2">
      <c r="R346" s="59"/>
    </row>
    <row r="347" spans="18:18" x14ac:dyDescent="0.2">
      <c r="R347" s="59"/>
    </row>
    <row r="348" spans="18:18" x14ac:dyDescent="0.2">
      <c r="R348" s="59"/>
    </row>
    <row r="349" spans="18:18" x14ac:dyDescent="0.2">
      <c r="R349" s="59"/>
    </row>
    <row r="350" spans="18:18" x14ac:dyDescent="0.2">
      <c r="R350" s="59"/>
    </row>
    <row r="351" spans="18:18" x14ac:dyDescent="0.2">
      <c r="R351" s="59"/>
    </row>
    <row r="352" spans="18:18" x14ac:dyDescent="0.2">
      <c r="R352" s="59"/>
    </row>
    <row r="353" spans="18:18" x14ac:dyDescent="0.2">
      <c r="R353" s="59"/>
    </row>
    <row r="354" spans="18:18" x14ac:dyDescent="0.2">
      <c r="R354" s="59"/>
    </row>
    <row r="355" spans="18:18" x14ac:dyDescent="0.2">
      <c r="R355" s="59"/>
    </row>
    <row r="356" spans="18:18" x14ac:dyDescent="0.2">
      <c r="R356" s="59"/>
    </row>
    <row r="357" spans="18:18" x14ac:dyDescent="0.2">
      <c r="R357" s="59"/>
    </row>
    <row r="358" spans="18:18" x14ac:dyDescent="0.2">
      <c r="R358" s="59"/>
    </row>
    <row r="359" spans="18:18" x14ac:dyDescent="0.2">
      <c r="R359" s="59"/>
    </row>
    <row r="360" spans="18:18" x14ac:dyDescent="0.2">
      <c r="R360" s="59"/>
    </row>
    <row r="361" spans="18:18" x14ac:dyDescent="0.2">
      <c r="R361" s="59"/>
    </row>
    <row r="362" spans="18:18" x14ac:dyDescent="0.2">
      <c r="R362" s="59"/>
    </row>
    <row r="363" spans="18:18" x14ac:dyDescent="0.2">
      <c r="R363" s="59"/>
    </row>
    <row r="364" spans="18:18" x14ac:dyDescent="0.2">
      <c r="R364" s="59"/>
    </row>
    <row r="365" spans="18:18" x14ac:dyDescent="0.2">
      <c r="R365" s="59"/>
    </row>
    <row r="366" spans="18:18" x14ac:dyDescent="0.2">
      <c r="R366" s="59"/>
    </row>
    <row r="367" spans="18:18" x14ac:dyDescent="0.2">
      <c r="R367" s="59"/>
    </row>
    <row r="368" spans="18:18" x14ac:dyDescent="0.2">
      <c r="R368" s="59"/>
    </row>
    <row r="369" spans="18:18" x14ac:dyDescent="0.2">
      <c r="R369" s="59"/>
    </row>
    <row r="370" spans="18:18" x14ac:dyDescent="0.2">
      <c r="R370" s="59"/>
    </row>
    <row r="371" spans="18:18" x14ac:dyDescent="0.2">
      <c r="R371" s="59"/>
    </row>
    <row r="372" spans="18:18" x14ac:dyDescent="0.2">
      <c r="R372" s="59"/>
    </row>
    <row r="373" spans="18:18" x14ac:dyDescent="0.2">
      <c r="R373" s="59"/>
    </row>
    <row r="374" spans="18:18" x14ac:dyDescent="0.2">
      <c r="R374" s="59"/>
    </row>
    <row r="375" spans="18:18" x14ac:dyDescent="0.2">
      <c r="R375" s="59"/>
    </row>
    <row r="376" spans="18:18" x14ac:dyDescent="0.2">
      <c r="R376" s="59"/>
    </row>
    <row r="377" spans="18:18" x14ac:dyDescent="0.2">
      <c r="R377" s="59"/>
    </row>
    <row r="378" spans="18:18" x14ac:dyDescent="0.2">
      <c r="R378" s="59"/>
    </row>
    <row r="379" spans="18:18" x14ac:dyDescent="0.2">
      <c r="R379" s="59"/>
    </row>
    <row r="380" spans="18:18" x14ac:dyDescent="0.2">
      <c r="R380" s="59"/>
    </row>
    <row r="381" spans="18:18" x14ac:dyDescent="0.2">
      <c r="R381" s="59"/>
    </row>
    <row r="382" spans="18:18" x14ac:dyDescent="0.2">
      <c r="R382" s="59"/>
    </row>
    <row r="383" spans="18:18" x14ac:dyDescent="0.2">
      <c r="R383" s="59"/>
    </row>
    <row r="384" spans="18:18" x14ac:dyDescent="0.2">
      <c r="R384" s="59"/>
    </row>
    <row r="385" spans="18:18" x14ac:dyDescent="0.2">
      <c r="R385" s="59"/>
    </row>
    <row r="386" spans="18:18" x14ac:dyDescent="0.2">
      <c r="R386" s="59"/>
    </row>
    <row r="387" spans="18:18" x14ac:dyDescent="0.2">
      <c r="R387" s="59"/>
    </row>
    <row r="388" spans="18:18" x14ac:dyDescent="0.2">
      <c r="R388" s="59"/>
    </row>
    <row r="389" spans="18:18" x14ac:dyDescent="0.2">
      <c r="R389" s="59"/>
    </row>
    <row r="390" spans="18:18" x14ac:dyDescent="0.2">
      <c r="R390" s="59"/>
    </row>
    <row r="391" spans="18:18" x14ac:dyDescent="0.2">
      <c r="R391" s="59"/>
    </row>
    <row r="392" spans="18:18" x14ac:dyDescent="0.2">
      <c r="R392" s="59"/>
    </row>
    <row r="393" spans="18:18" x14ac:dyDescent="0.2">
      <c r="R393" s="59"/>
    </row>
    <row r="394" spans="18:18" x14ac:dyDescent="0.2">
      <c r="R394" s="59"/>
    </row>
    <row r="395" spans="18:18" x14ac:dyDescent="0.2">
      <c r="R395" s="59"/>
    </row>
    <row r="396" spans="18:18" x14ac:dyDescent="0.2">
      <c r="R396" s="59"/>
    </row>
    <row r="397" spans="18:18" x14ac:dyDescent="0.2">
      <c r="R397" s="59"/>
    </row>
    <row r="398" spans="18:18" x14ac:dyDescent="0.2">
      <c r="R398" s="59"/>
    </row>
    <row r="399" spans="18:18" x14ac:dyDescent="0.2">
      <c r="R399" s="59"/>
    </row>
    <row r="400" spans="18:18" x14ac:dyDescent="0.2">
      <c r="R400" s="59"/>
    </row>
    <row r="401" spans="18:18" x14ac:dyDescent="0.2">
      <c r="R401" s="59"/>
    </row>
    <row r="402" spans="18:18" x14ac:dyDescent="0.2">
      <c r="R402" s="59"/>
    </row>
    <row r="403" spans="18:18" x14ac:dyDescent="0.2">
      <c r="R403" s="59"/>
    </row>
    <row r="404" spans="18:18" x14ac:dyDescent="0.2">
      <c r="R404" s="59"/>
    </row>
    <row r="405" spans="18:18" x14ac:dyDescent="0.2">
      <c r="R405" s="59"/>
    </row>
    <row r="406" spans="18:18" x14ac:dyDescent="0.2">
      <c r="R406" s="59"/>
    </row>
    <row r="407" spans="18:18" x14ac:dyDescent="0.2">
      <c r="R407" s="59"/>
    </row>
    <row r="408" spans="18:18" x14ac:dyDescent="0.2">
      <c r="R408" s="59"/>
    </row>
    <row r="409" spans="18:18" x14ac:dyDescent="0.2">
      <c r="R409" s="59"/>
    </row>
    <row r="410" spans="18:18" x14ac:dyDescent="0.2">
      <c r="R410" s="59"/>
    </row>
    <row r="411" spans="18:18" x14ac:dyDescent="0.2">
      <c r="R411" s="59"/>
    </row>
    <row r="412" spans="18:18" x14ac:dyDescent="0.2">
      <c r="R412" s="59"/>
    </row>
    <row r="413" spans="18:18" x14ac:dyDescent="0.2">
      <c r="R413" s="59"/>
    </row>
    <row r="414" spans="18:18" x14ac:dyDescent="0.2">
      <c r="R414" s="59"/>
    </row>
    <row r="415" spans="18:18" x14ac:dyDescent="0.2">
      <c r="R415" s="59"/>
    </row>
    <row r="416" spans="18:18" x14ac:dyDescent="0.2">
      <c r="R416" s="59"/>
    </row>
    <row r="417" spans="18:18" x14ac:dyDescent="0.2">
      <c r="R417" s="59"/>
    </row>
    <row r="418" spans="18:18" x14ac:dyDescent="0.2">
      <c r="R418" s="59"/>
    </row>
    <row r="419" spans="18:18" x14ac:dyDescent="0.2">
      <c r="R419" s="59"/>
    </row>
    <row r="420" spans="18:18" x14ac:dyDescent="0.2">
      <c r="R420" s="59"/>
    </row>
    <row r="421" spans="18:18" x14ac:dyDescent="0.2">
      <c r="R421" s="59"/>
    </row>
    <row r="422" spans="18:18" x14ac:dyDescent="0.2">
      <c r="R422" s="59"/>
    </row>
    <row r="423" spans="18:18" x14ac:dyDescent="0.2">
      <c r="R423" s="59"/>
    </row>
    <row r="424" spans="18:18" x14ac:dyDescent="0.2">
      <c r="R424" s="59"/>
    </row>
    <row r="425" spans="18:18" x14ac:dyDescent="0.2">
      <c r="R425" s="59"/>
    </row>
    <row r="426" spans="18:18" x14ac:dyDescent="0.2">
      <c r="R426" s="59"/>
    </row>
    <row r="427" spans="18:18" x14ac:dyDescent="0.2">
      <c r="R427" s="59"/>
    </row>
    <row r="428" spans="18:18" x14ac:dyDescent="0.2">
      <c r="R428" s="59"/>
    </row>
    <row r="429" spans="18:18" x14ac:dyDescent="0.2">
      <c r="R429" s="59"/>
    </row>
    <row r="430" spans="18:18" x14ac:dyDescent="0.2">
      <c r="R430" s="59"/>
    </row>
    <row r="431" spans="18:18" x14ac:dyDescent="0.2">
      <c r="R431" s="59"/>
    </row>
    <row r="432" spans="18:18" x14ac:dyDescent="0.2">
      <c r="R432" s="59"/>
    </row>
    <row r="433" spans="18:18" x14ac:dyDescent="0.2">
      <c r="R433" s="59"/>
    </row>
    <row r="434" spans="18:18" x14ac:dyDescent="0.2">
      <c r="R434" s="59"/>
    </row>
    <row r="435" spans="18:18" x14ac:dyDescent="0.2">
      <c r="R435" s="59"/>
    </row>
    <row r="436" spans="18:18" x14ac:dyDescent="0.2">
      <c r="R436" s="59"/>
    </row>
    <row r="437" spans="18:18" x14ac:dyDescent="0.2">
      <c r="R437" s="59"/>
    </row>
    <row r="438" spans="18:18" x14ac:dyDescent="0.2">
      <c r="R438" s="59"/>
    </row>
    <row r="439" spans="18:18" x14ac:dyDescent="0.2">
      <c r="R439" s="59"/>
    </row>
    <row r="440" spans="18:18" x14ac:dyDescent="0.2">
      <c r="R440" s="59"/>
    </row>
    <row r="441" spans="18:18" x14ac:dyDescent="0.2">
      <c r="R441" s="59"/>
    </row>
    <row r="442" spans="18:18" x14ac:dyDescent="0.2">
      <c r="R442" s="59"/>
    </row>
    <row r="443" spans="18:18" x14ac:dyDescent="0.2">
      <c r="R443" s="59"/>
    </row>
    <row r="444" spans="18:18" x14ac:dyDescent="0.2">
      <c r="R444" s="59"/>
    </row>
    <row r="445" spans="18:18" x14ac:dyDescent="0.2">
      <c r="R445" s="59"/>
    </row>
    <row r="446" spans="18:18" x14ac:dyDescent="0.2">
      <c r="R446" s="59"/>
    </row>
    <row r="447" spans="18:18" x14ac:dyDescent="0.2">
      <c r="R447" s="59"/>
    </row>
    <row r="448" spans="18:18" x14ac:dyDescent="0.2">
      <c r="R448" s="59"/>
    </row>
    <row r="449" spans="18:18" x14ac:dyDescent="0.2">
      <c r="R449" s="59"/>
    </row>
    <row r="450" spans="18:18" x14ac:dyDescent="0.2">
      <c r="R450" s="59"/>
    </row>
    <row r="451" spans="18:18" x14ac:dyDescent="0.2">
      <c r="R451" s="59"/>
    </row>
    <row r="452" spans="18:18" x14ac:dyDescent="0.2">
      <c r="R452" s="59"/>
    </row>
    <row r="453" spans="18:18" x14ac:dyDescent="0.2">
      <c r="R453" s="59"/>
    </row>
    <row r="454" spans="18:18" x14ac:dyDescent="0.2">
      <c r="R454" s="59"/>
    </row>
    <row r="455" spans="18:18" x14ac:dyDescent="0.2">
      <c r="R455" s="59"/>
    </row>
    <row r="456" spans="18:18" x14ac:dyDescent="0.2">
      <c r="R456" s="59"/>
    </row>
    <row r="457" spans="18:18" x14ac:dyDescent="0.2">
      <c r="R457" s="59"/>
    </row>
    <row r="458" spans="18:18" x14ac:dyDescent="0.2">
      <c r="R458" s="59"/>
    </row>
    <row r="459" spans="18:18" x14ac:dyDescent="0.2">
      <c r="R459" s="59"/>
    </row>
    <row r="460" spans="18:18" x14ac:dyDescent="0.2">
      <c r="R460" s="59"/>
    </row>
    <row r="461" spans="18:18" x14ac:dyDescent="0.2">
      <c r="R461" s="59"/>
    </row>
    <row r="462" spans="18:18" x14ac:dyDescent="0.2">
      <c r="R462" s="59"/>
    </row>
    <row r="463" spans="18:18" x14ac:dyDescent="0.2">
      <c r="R463" s="59"/>
    </row>
    <row r="464" spans="18:18" x14ac:dyDescent="0.2">
      <c r="R464" s="59"/>
    </row>
    <row r="465" spans="18:18" x14ac:dyDescent="0.2">
      <c r="R465" s="59"/>
    </row>
    <row r="466" spans="18:18" x14ac:dyDescent="0.2">
      <c r="R466" s="59"/>
    </row>
    <row r="467" spans="18:18" x14ac:dyDescent="0.2">
      <c r="R467" s="59"/>
    </row>
    <row r="468" spans="18:18" x14ac:dyDescent="0.2">
      <c r="R468" s="59"/>
    </row>
    <row r="469" spans="18:18" x14ac:dyDescent="0.2">
      <c r="R469" s="59"/>
    </row>
    <row r="470" spans="18:18" x14ac:dyDescent="0.2">
      <c r="R470" s="59"/>
    </row>
    <row r="471" spans="18:18" x14ac:dyDescent="0.2">
      <c r="R471" s="59"/>
    </row>
    <row r="472" spans="18:18" x14ac:dyDescent="0.2">
      <c r="R472" s="59"/>
    </row>
    <row r="473" spans="18:18" x14ac:dyDescent="0.2">
      <c r="R473" s="59"/>
    </row>
    <row r="474" spans="18:18" x14ac:dyDescent="0.2">
      <c r="R474" s="59"/>
    </row>
    <row r="475" spans="18:18" x14ac:dyDescent="0.2">
      <c r="R475" s="59"/>
    </row>
    <row r="476" spans="18:18" x14ac:dyDescent="0.2">
      <c r="R476" s="59"/>
    </row>
    <row r="477" spans="18:18" x14ac:dyDescent="0.2">
      <c r="R477" s="59"/>
    </row>
    <row r="478" spans="18:18" x14ac:dyDescent="0.2">
      <c r="R478" s="59"/>
    </row>
    <row r="479" spans="18:18" x14ac:dyDescent="0.2">
      <c r="R479" s="59"/>
    </row>
    <row r="480" spans="18:18" x14ac:dyDescent="0.2">
      <c r="R480" s="59"/>
    </row>
    <row r="481" spans="18:18" x14ac:dyDescent="0.2">
      <c r="R481" s="59"/>
    </row>
    <row r="482" spans="18:18" x14ac:dyDescent="0.2">
      <c r="R482" s="59"/>
    </row>
    <row r="483" spans="18:18" x14ac:dyDescent="0.2">
      <c r="R483" s="59"/>
    </row>
    <row r="484" spans="18:18" x14ac:dyDescent="0.2">
      <c r="R484" s="59"/>
    </row>
    <row r="485" spans="18:18" x14ac:dyDescent="0.2">
      <c r="R485" s="59"/>
    </row>
    <row r="486" spans="18:18" x14ac:dyDescent="0.2">
      <c r="R486" s="59"/>
    </row>
    <row r="487" spans="18:18" x14ac:dyDescent="0.2">
      <c r="R487" s="59"/>
    </row>
    <row r="488" spans="18:18" x14ac:dyDescent="0.2">
      <c r="R488" s="59"/>
    </row>
    <row r="489" spans="18:18" x14ac:dyDescent="0.2">
      <c r="R489" s="59"/>
    </row>
    <row r="490" spans="18:18" x14ac:dyDescent="0.2">
      <c r="R490" s="59"/>
    </row>
    <row r="491" spans="18:18" x14ac:dyDescent="0.2">
      <c r="R491" s="59"/>
    </row>
    <row r="492" spans="18:18" x14ac:dyDescent="0.2">
      <c r="R492" s="59"/>
    </row>
    <row r="493" spans="18:18" x14ac:dyDescent="0.2">
      <c r="R493" s="59"/>
    </row>
    <row r="494" spans="18:18" x14ac:dyDescent="0.2">
      <c r="R494" s="59"/>
    </row>
    <row r="495" spans="18:18" x14ac:dyDescent="0.2">
      <c r="R495" s="59"/>
    </row>
    <row r="496" spans="18:18" x14ac:dyDescent="0.2">
      <c r="R496" s="59"/>
    </row>
    <row r="497" spans="18:18" x14ac:dyDescent="0.2">
      <c r="R497" s="59"/>
    </row>
    <row r="498" spans="18:18" x14ac:dyDescent="0.2">
      <c r="R498" s="59"/>
    </row>
    <row r="499" spans="18:18" x14ac:dyDescent="0.2">
      <c r="R499" s="59"/>
    </row>
    <row r="500" spans="18:18" x14ac:dyDescent="0.2">
      <c r="R500" s="59"/>
    </row>
    <row r="501" spans="18:18" x14ac:dyDescent="0.2">
      <c r="R501" s="59"/>
    </row>
    <row r="502" spans="18:18" x14ac:dyDescent="0.2">
      <c r="R502" s="59"/>
    </row>
    <row r="503" spans="18:18" x14ac:dyDescent="0.2">
      <c r="R503" s="59"/>
    </row>
    <row r="504" spans="18:18" x14ac:dyDescent="0.2">
      <c r="R504" s="59"/>
    </row>
    <row r="505" spans="18:18" x14ac:dyDescent="0.2">
      <c r="R505" s="59"/>
    </row>
    <row r="506" spans="18:18" x14ac:dyDescent="0.2">
      <c r="R506" s="59"/>
    </row>
    <row r="507" spans="18:18" x14ac:dyDescent="0.2">
      <c r="R507" s="59"/>
    </row>
    <row r="508" spans="18:18" x14ac:dyDescent="0.2">
      <c r="R508" s="59"/>
    </row>
    <row r="509" spans="18:18" x14ac:dyDescent="0.2">
      <c r="R509" s="59"/>
    </row>
    <row r="510" spans="18:18" x14ac:dyDescent="0.2">
      <c r="R510" s="59"/>
    </row>
    <row r="511" spans="18:18" x14ac:dyDescent="0.2">
      <c r="R511" s="59"/>
    </row>
    <row r="512" spans="18:18" x14ac:dyDescent="0.2">
      <c r="R512" s="59"/>
    </row>
    <row r="513" spans="18:18" x14ac:dyDescent="0.2">
      <c r="R513" s="59"/>
    </row>
    <row r="514" spans="18:18" x14ac:dyDescent="0.2">
      <c r="R514" s="59"/>
    </row>
    <row r="515" spans="18:18" x14ac:dyDescent="0.2">
      <c r="R515" s="59"/>
    </row>
    <row r="516" spans="18:18" x14ac:dyDescent="0.2">
      <c r="R516" s="59"/>
    </row>
    <row r="517" spans="18:18" x14ac:dyDescent="0.2">
      <c r="R517" s="59"/>
    </row>
    <row r="518" spans="18:18" x14ac:dyDescent="0.2">
      <c r="R518" s="59"/>
    </row>
    <row r="519" spans="18:18" x14ac:dyDescent="0.2">
      <c r="R519" s="59"/>
    </row>
    <row r="520" spans="18:18" x14ac:dyDescent="0.2">
      <c r="R520" s="59"/>
    </row>
    <row r="521" spans="18:18" x14ac:dyDescent="0.2">
      <c r="R521" s="59"/>
    </row>
    <row r="522" spans="18:18" x14ac:dyDescent="0.2">
      <c r="R522" s="59"/>
    </row>
    <row r="523" spans="18:18" x14ac:dyDescent="0.2">
      <c r="R523" s="59"/>
    </row>
    <row r="524" spans="18:18" x14ac:dyDescent="0.2">
      <c r="R524" s="59"/>
    </row>
    <row r="525" spans="18:18" x14ac:dyDescent="0.2">
      <c r="R525" s="59"/>
    </row>
    <row r="526" spans="18:18" x14ac:dyDescent="0.2">
      <c r="R526" s="59"/>
    </row>
    <row r="527" spans="18:18" x14ac:dyDescent="0.2">
      <c r="R527" s="59"/>
    </row>
    <row r="528" spans="18:18" x14ac:dyDescent="0.2">
      <c r="R528" s="59"/>
    </row>
    <row r="529" spans="18:18" x14ac:dyDescent="0.2">
      <c r="R529" s="59"/>
    </row>
    <row r="530" spans="18:18" x14ac:dyDescent="0.2">
      <c r="R530" s="59"/>
    </row>
    <row r="531" spans="18:18" x14ac:dyDescent="0.2">
      <c r="R531" s="59"/>
    </row>
    <row r="532" spans="18:18" x14ac:dyDescent="0.2">
      <c r="R532" s="59"/>
    </row>
    <row r="533" spans="18:18" x14ac:dyDescent="0.2">
      <c r="R533" s="59"/>
    </row>
    <row r="534" spans="18:18" x14ac:dyDescent="0.2">
      <c r="R534" s="59"/>
    </row>
    <row r="535" spans="18:18" x14ac:dyDescent="0.2">
      <c r="R535" s="59"/>
    </row>
    <row r="536" spans="18:18" x14ac:dyDescent="0.2">
      <c r="R536" s="59"/>
    </row>
    <row r="537" spans="18:18" x14ac:dyDescent="0.2">
      <c r="R537" s="59"/>
    </row>
    <row r="538" spans="18:18" x14ac:dyDescent="0.2">
      <c r="R538" s="59"/>
    </row>
    <row r="539" spans="18:18" x14ac:dyDescent="0.2">
      <c r="R539" s="59"/>
    </row>
    <row r="540" spans="18:18" x14ac:dyDescent="0.2">
      <c r="R540" s="59"/>
    </row>
    <row r="541" spans="18:18" x14ac:dyDescent="0.2">
      <c r="R541" s="59"/>
    </row>
    <row r="542" spans="18:18" x14ac:dyDescent="0.2">
      <c r="R542" s="59"/>
    </row>
    <row r="543" spans="18:18" x14ac:dyDescent="0.2">
      <c r="R543" s="59"/>
    </row>
    <row r="544" spans="18:18" x14ac:dyDescent="0.2">
      <c r="R544" s="59"/>
    </row>
    <row r="545" spans="18:18" x14ac:dyDescent="0.2">
      <c r="R545" s="59"/>
    </row>
    <row r="546" spans="18:18" x14ac:dyDescent="0.2">
      <c r="R546" s="59"/>
    </row>
    <row r="547" spans="18:18" x14ac:dyDescent="0.2">
      <c r="R547" s="59"/>
    </row>
    <row r="548" spans="18:18" x14ac:dyDescent="0.2">
      <c r="R548" s="59"/>
    </row>
    <row r="549" spans="18:18" x14ac:dyDescent="0.2">
      <c r="R549" s="59"/>
    </row>
    <row r="550" spans="18:18" x14ac:dyDescent="0.2">
      <c r="R550" s="59"/>
    </row>
    <row r="551" spans="18:18" x14ac:dyDescent="0.2">
      <c r="R551" s="59"/>
    </row>
    <row r="552" spans="18:18" x14ac:dyDescent="0.2">
      <c r="R552" s="59"/>
    </row>
    <row r="553" spans="18:18" x14ac:dyDescent="0.2">
      <c r="R553" s="59"/>
    </row>
    <row r="554" spans="18:18" x14ac:dyDescent="0.2">
      <c r="R554" s="59"/>
    </row>
    <row r="555" spans="18:18" x14ac:dyDescent="0.2">
      <c r="R555" s="59"/>
    </row>
    <row r="556" spans="18:18" x14ac:dyDescent="0.2">
      <c r="R556" s="59"/>
    </row>
    <row r="557" spans="18:18" x14ac:dyDescent="0.2">
      <c r="R557" s="59"/>
    </row>
    <row r="558" spans="18:18" x14ac:dyDescent="0.2">
      <c r="R558" s="59"/>
    </row>
    <row r="559" spans="18:18" x14ac:dyDescent="0.2">
      <c r="R559" s="59"/>
    </row>
    <row r="560" spans="18:18" x14ac:dyDescent="0.2">
      <c r="R560" s="59"/>
    </row>
    <row r="561" spans="18:18" x14ac:dyDescent="0.2">
      <c r="R561" s="59"/>
    </row>
    <row r="562" spans="18:18" x14ac:dyDescent="0.2">
      <c r="R562" s="59"/>
    </row>
    <row r="563" spans="18:18" x14ac:dyDescent="0.2">
      <c r="R563" s="59"/>
    </row>
    <row r="564" spans="18:18" x14ac:dyDescent="0.2">
      <c r="R564" s="59"/>
    </row>
    <row r="565" spans="18:18" x14ac:dyDescent="0.2">
      <c r="R565" s="59"/>
    </row>
    <row r="566" spans="18:18" x14ac:dyDescent="0.2">
      <c r="R566" s="59"/>
    </row>
    <row r="567" spans="18:18" x14ac:dyDescent="0.2">
      <c r="R567" s="59"/>
    </row>
    <row r="568" spans="18:18" x14ac:dyDescent="0.2">
      <c r="R568" s="59"/>
    </row>
    <row r="569" spans="18:18" x14ac:dyDescent="0.2">
      <c r="R569" s="59"/>
    </row>
    <row r="570" spans="18:18" x14ac:dyDescent="0.2">
      <c r="R570" s="59"/>
    </row>
    <row r="571" spans="18:18" x14ac:dyDescent="0.2">
      <c r="R571" s="59"/>
    </row>
    <row r="572" spans="18:18" x14ac:dyDescent="0.2">
      <c r="R572" s="59"/>
    </row>
    <row r="573" spans="18:18" x14ac:dyDescent="0.2">
      <c r="R573" s="59"/>
    </row>
    <row r="574" spans="18:18" x14ac:dyDescent="0.2">
      <c r="R574" s="59"/>
    </row>
    <row r="575" spans="18:18" x14ac:dyDescent="0.2">
      <c r="R575" s="59"/>
    </row>
    <row r="576" spans="18:18" x14ac:dyDescent="0.2">
      <c r="R576" s="59"/>
    </row>
    <row r="577" spans="18:18" x14ac:dyDescent="0.2">
      <c r="R577" s="59"/>
    </row>
    <row r="578" spans="18:18" x14ac:dyDescent="0.2">
      <c r="R578" s="59"/>
    </row>
    <row r="579" spans="18:18" x14ac:dyDescent="0.2">
      <c r="R579" s="59"/>
    </row>
    <row r="580" spans="18:18" x14ac:dyDescent="0.2">
      <c r="R580" s="59"/>
    </row>
    <row r="581" spans="18:18" x14ac:dyDescent="0.2">
      <c r="R581" s="59"/>
    </row>
    <row r="582" spans="18:18" x14ac:dyDescent="0.2">
      <c r="R582" s="59"/>
    </row>
    <row r="583" spans="18:18" x14ac:dyDescent="0.2">
      <c r="R583" s="59"/>
    </row>
    <row r="584" spans="18:18" x14ac:dyDescent="0.2">
      <c r="R584" s="59"/>
    </row>
    <row r="585" spans="18:18" x14ac:dyDescent="0.2">
      <c r="R585" s="59"/>
    </row>
    <row r="586" spans="18:18" x14ac:dyDescent="0.2">
      <c r="R586" s="59"/>
    </row>
    <row r="587" spans="18:18" x14ac:dyDescent="0.2">
      <c r="R587" s="59"/>
    </row>
    <row r="588" spans="18:18" x14ac:dyDescent="0.2">
      <c r="R588" s="59"/>
    </row>
    <row r="589" spans="18:18" x14ac:dyDescent="0.2">
      <c r="R589" s="59"/>
    </row>
    <row r="590" spans="18:18" x14ac:dyDescent="0.2">
      <c r="R590" s="59"/>
    </row>
    <row r="591" spans="18:18" x14ac:dyDescent="0.2">
      <c r="R591" s="59"/>
    </row>
    <row r="592" spans="18:18" x14ac:dyDescent="0.2">
      <c r="R592" s="59"/>
    </row>
    <row r="593" spans="18:18" x14ac:dyDescent="0.2">
      <c r="R593" s="59"/>
    </row>
    <row r="594" spans="18:18" x14ac:dyDescent="0.2">
      <c r="R594" s="59"/>
    </row>
    <row r="595" spans="18:18" x14ac:dyDescent="0.2">
      <c r="R595" s="59"/>
    </row>
    <row r="596" spans="18:18" x14ac:dyDescent="0.2">
      <c r="R596" s="59"/>
    </row>
    <row r="597" spans="18:18" x14ac:dyDescent="0.2">
      <c r="R597" s="59"/>
    </row>
    <row r="598" spans="18:18" x14ac:dyDescent="0.2">
      <c r="R598" s="59"/>
    </row>
    <row r="599" spans="18:18" x14ac:dyDescent="0.2">
      <c r="R599" s="59"/>
    </row>
    <row r="600" spans="18:18" x14ac:dyDescent="0.2">
      <c r="R600" s="59"/>
    </row>
    <row r="601" spans="18:18" x14ac:dyDescent="0.2">
      <c r="R601" s="59"/>
    </row>
    <row r="602" spans="18:18" x14ac:dyDescent="0.2">
      <c r="R602" s="59"/>
    </row>
    <row r="603" spans="18:18" x14ac:dyDescent="0.2">
      <c r="R603" s="59"/>
    </row>
    <row r="604" spans="18:18" x14ac:dyDescent="0.2">
      <c r="R604" s="59"/>
    </row>
    <row r="605" spans="18:18" x14ac:dyDescent="0.2">
      <c r="R605" s="59"/>
    </row>
    <row r="606" spans="18:18" x14ac:dyDescent="0.2">
      <c r="R606" s="59"/>
    </row>
    <row r="607" spans="18:18" x14ac:dyDescent="0.2">
      <c r="R607" s="59"/>
    </row>
    <row r="608" spans="18:18" x14ac:dyDescent="0.2">
      <c r="R608" s="59"/>
    </row>
    <row r="609" spans="18:18" x14ac:dyDescent="0.2">
      <c r="R609" s="59"/>
    </row>
    <row r="610" spans="18:18" x14ac:dyDescent="0.2">
      <c r="R610" s="59"/>
    </row>
    <row r="611" spans="18:18" x14ac:dyDescent="0.2">
      <c r="R611" s="59"/>
    </row>
    <row r="612" spans="18:18" x14ac:dyDescent="0.2">
      <c r="R612" s="59"/>
    </row>
    <row r="613" spans="18:18" x14ac:dyDescent="0.2">
      <c r="R613" s="59"/>
    </row>
    <row r="614" spans="18:18" x14ac:dyDescent="0.2">
      <c r="R614" s="59"/>
    </row>
    <row r="615" spans="18:18" x14ac:dyDescent="0.2">
      <c r="R615" s="59"/>
    </row>
    <row r="616" spans="18:18" x14ac:dyDescent="0.2">
      <c r="R616" s="59"/>
    </row>
    <row r="617" spans="18:18" x14ac:dyDescent="0.2">
      <c r="R617" s="59"/>
    </row>
    <row r="618" spans="18:18" x14ac:dyDescent="0.2">
      <c r="R618" s="59"/>
    </row>
    <row r="619" spans="18:18" x14ac:dyDescent="0.2">
      <c r="R619" s="59"/>
    </row>
    <row r="620" spans="18:18" x14ac:dyDescent="0.2">
      <c r="R620" s="59"/>
    </row>
    <row r="621" spans="18:18" x14ac:dyDescent="0.2">
      <c r="R621" s="59"/>
    </row>
    <row r="622" spans="18:18" x14ac:dyDescent="0.2">
      <c r="R622" s="59"/>
    </row>
    <row r="623" spans="18:18" x14ac:dyDescent="0.2">
      <c r="R623" s="59"/>
    </row>
    <row r="624" spans="18:18" x14ac:dyDescent="0.2">
      <c r="R624" s="59"/>
    </row>
    <row r="625" spans="18:18" x14ac:dyDescent="0.2">
      <c r="R625" s="59"/>
    </row>
    <row r="626" spans="18:18" x14ac:dyDescent="0.2">
      <c r="R626" s="59"/>
    </row>
    <row r="627" spans="18:18" x14ac:dyDescent="0.2">
      <c r="R627" s="59"/>
    </row>
    <row r="628" spans="18:18" x14ac:dyDescent="0.2">
      <c r="R628" s="59"/>
    </row>
    <row r="629" spans="18:18" x14ac:dyDescent="0.2">
      <c r="R629" s="59"/>
    </row>
    <row r="630" spans="18:18" x14ac:dyDescent="0.2">
      <c r="R630" s="59"/>
    </row>
    <row r="631" spans="18:18" x14ac:dyDescent="0.2">
      <c r="R631" s="59"/>
    </row>
    <row r="632" spans="18:18" x14ac:dyDescent="0.2">
      <c r="R632" s="59"/>
    </row>
    <row r="633" spans="18:18" x14ac:dyDescent="0.2">
      <c r="R633" s="59"/>
    </row>
    <row r="634" spans="18:18" x14ac:dyDescent="0.2">
      <c r="R634" s="59"/>
    </row>
    <row r="635" spans="18:18" x14ac:dyDescent="0.2">
      <c r="R635" s="59"/>
    </row>
    <row r="636" spans="18:18" x14ac:dyDescent="0.2">
      <c r="R636" s="59"/>
    </row>
    <row r="637" spans="18:18" x14ac:dyDescent="0.2">
      <c r="R637" s="59"/>
    </row>
    <row r="638" spans="18:18" x14ac:dyDescent="0.2">
      <c r="R638" s="59"/>
    </row>
    <row r="639" spans="18:18" x14ac:dyDescent="0.2">
      <c r="R639" s="59"/>
    </row>
    <row r="640" spans="18:18" x14ac:dyDescent="0.2">
      <c r="R640" s="59"/>
    </row>
    <row r="641" spans="18:18" x14ac:dyDescent="0.2">
      <c r="R641" s="59"/>
    </row>
    <row r="642" spans="18:18" x14ac:dyDescent="0.2">
      <c r="R642" s="59"/>
    </row>
    <row r="643" spans="18:18" x14ac:dyDescent="0.2">
      <c r="R643" s="59"/>
    </row>
    <row r="644" spans="18:18" x14ac:dyDescent="0.2">
      <c r="R644" s="59"/>
    </row>
    <row r="645" spans="18:18" x14ac:dyDescent="0.2">
      <c r="R645" s="59"/>
    </row>
    <row r="646" spans="18:18" x14ac:dyDescent="0.2">
      <c r="R646" s="59"/>
    </row>
    <row r="647" spans="18:18" x14ac:dyDescent="0.2">
      <c r="R647" s="59"/>
    </row>
    <row r="648" spans="18:18" x14ac:dyDescent="0.2">
      <c r="R648" s="59"/>
    </row>
    <row r="649" spans="18:18" x14ac:dyDescent="0.2">
      <c r="R649" s="59"/>
    </row>
    <row r="650" spans="18:18" x14ac:dyDescent="0.2">
      <c r="R650" s="59"/>
    </row>
    <row r="651" spans="18:18" x14ac:dyDescent="0.2">
      <c r="R651" s="59"/>
    </row>
    <row r="652" spans="18:18" x14ac:dyDescent="0.2">
      <c r="R652" s="59"/>
    </row>
    <row r="653" spans="18:18" x14ac:dyDescent="0.2">
      <c r="R653" s="59"/>
    </row>
    <row r="654" spans="18:18" x14ac:dyDescent="0.2">
      <c r="R654" s="59"/>
    </row>
    <row r="655" spans="18:18" x14ac:dyDescent="0.2">
      <c r="R655" s="59"/>
    </row>
    <row r="656" spans="18:18" x14ac:dyDescent="0.2">
      <c r="R656" s="59"/>
    </row>
    <row r="657" spans="18:18" x14ac:dyDescent="0.2">
      <c r="R657" s="59"/>
    </row>
    <row r="658" spans="18:18" x14ac:dyDescent="0.2">
      <c r="R658" s="59"/>
    </row>
    <row r="659" spans="18:18" x14ac:dyDescent="0.2">
      <c r="R659" s="59"/>
    </row>
    <row r="660" spans="18:18" x14ac:dyDescent="0.2">
      <c r="R660" s="59"/>
    </row>
    <row r="661" spans="18:18" x14ac:dyDescent="0.2">
      <c r="R661" s="59"/>
    </row>
    <row r="662" spans="18:18" x14ac:dyDescent="0.2">
      <c r="R662" s="59"/>
    </row>
    <row r="663" spans="18:18" x14ac:dyDescent="0.2">
      <c r="R663" s="59"/>
    </row>
    <row r="664" spans="18:18" x14ac:dyDescent="0.2">
      <c r="R664" s="59"/>
    </row>
    <row r="665" spans="18:18" x14ac:dyDescent="0.2">
      <c r="R665" s="59"/>
    </row>
    <row r="666" spans="18:18" x14ac:dyDescent="0.2">
      <c r="R666" s="59"/>
    </row>
    <row r="667" spans="18:18" x14ac:dyDescent="0.2">
      <c r="R667" s="59"/>
    </row>
    <row r="668" spans="18:18" x14ac:dyDescent="0.2">
      <c r="R668" s="59"/>
    </row>
    <row r="669" spans="18:18" x14ac:dyDescent="0.2">
      <c r="R669" s="59"/>
    </row>
    <row r="670" spans="18:18" x14ac:dyDescent="0.2">
      <c r="R670" s="59"/>
    </row>
    <row r="671" spans="18:18" x14ac:dyDescent="0.2">
      <c r="R671" s="59"/>
    </row>
    <row r="672" spans="18:18" x14ac:dyDescent="0.2">
      <c r="R672" s="59"/>
    </row>
    <row r="673" spans="18:18" x14ac:dyDescent="0.2">
      <c r="R673" s="59"/>
    </row>
    <row r="674" spans="18:18" x14ac:dyDescent="0.2">
      <c r="R674" s="59"/>
    </row>
  </sheetData>
  <sortState ref="C32:E34">
    <sortCondition descending="1" ref="E31"/>
  </sortState>
  <mergeCells count="6">
    <mergeCell ref="B57:O63"/>
    <mergeCell ref="C3:N3"/>
    <mergeCell ref="D5:E5"/>
    <mergeCell ref="G7:N7"/>
    <mergeCell ref="G20:K20"/>
    <mergeCell ref="G23:N23"/>
  </mergeCells>
  <pageMargins left="0.7" right="0.7" top="0.75" bottom="0.75" header="0.3" footer="0.3"/>
  <pageSetup paperSize="9" scale="10"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9">
    <pageSetUpPr fitToPage="1"/>
  </sheetPr>
  <dimension ref="A1:R665"/>
  <sheetViews>
    <sheetView showGridLines="0" zoomScale="75" zoomScaleNormal="75" zoomScaleSheetLayoutView="76" workbookViewId="0"/>
  </sheetViews>
  <sheetFormatPr defaultRowHeight="15" x14ac:dyDescent="0.2"/>
  <cols>
    <col min="1" max="1" width="2.85546875" style="3" customWidth="1"/>
    <col min="2" max="2" width="3.85546875" style="3" customWidth="1"/>
    <col min="3" max="3" width="59.140625" style="3" bestFit="1" customWidth="1"/>
    <col min="4" max="4" width="28.42578125" style="3" customWidth="1"/>
    <col min="5" max="5" width="16.7109375" style="3" customWidth="1"/>
    <col min="6" max="6" width="9.140625" style="3"/>
    <col min="7" max="9" width="12" style="3" customWidth="1"/>
    <col min="10" max="10" width="26.5703125" style="3" bestFit="1" customWidth="1"/>
    <col min="11"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8" ht="15.75" thickBot="1" x14ac:dyDescent="0.25"/>
    <row r="2" spans="2:18" x14ac:dyDescent="0.2">
      <c r="B2" s="110"/>
      <c r="C2" s="49"/>
      <c r="D2" s="49"/>
      <c r="E2" s="49"/>
      <c r="F2" s="49"/>
      <c r="G2" s="49"/>
      <c r="H2" s="49"/>
      <c r="I2" s="49"/>
      <c r="J2" s="49"/>
      <c r="K2" s="49"/>
      <c r="L2" s="49"/>
      <c r="M2" s="49"/>
      <c r="N2" s="111"/>
    </row>
    <row r="3" spans="2:18" ht="20.25" customHeight="1" x14ac:dyDescent="0.2">
      <c r="B3" s="112"/>
      <c r="C3" s="219" t="s">
        <v>77</v>
      </c>
      <c r="D3" s="219"/>
      <c r="E3" s="219"/>
      <c r="F3" s="219"/>
      <c r="G3" s="219"/>
      <c r="H3" s="219"/>
      <c r="I3" s="219"/>
      <c r="J3" s="219"/>
      <c r="K3" s="219"/>
      <c r="L3" s="219"/>
      <c r="M3" s="219"/>
      <c r="N3" s="220"/>
    </row>
    <row r="4" spans="2:18" ht="15.75" x14ac:dyDescent="0.25">
      <c r="B4" s="112"/>
      <c r="C4" s="85" t="s">
        <v>271</v>
      </c>
      <c r="D4" s="33"/>
      <c r="E4" s="33"/>
      <c r="F4" s="5"/>
      <c r="G4" s="5"/>
      <c r="H4" s="5"/>
      <c r="I4" s="5"/>
      <c r="J4" s="5"/>
      <c r="K4" s="5"/>
      <c r="L4" s="5"/>
      <c r="M4" s="5"/>
      <c r="N4" s="24"/>
    </row>
    <row r="5" spans="2:18" ht="20.25" customHeight="1" x14ac:dyDescent="0.2">
      <c r="B5" s="112"/>
      <c r="C5" s="86" t="s">
        <v>272</v>
      </c>
      <c r="D5" s="236" t="s">
        <v>289</v>
      </c>
      <c r="E5" s="236"/>
      <c r="F5" s="5"/>
      <c r="G5" s="5"/>
      <c r="H5" s="5"/>
      <c r="I5" s="5"/>
      <c r="J5" s="5"/>
      <c r="K5" s="5"/>
      <c r="L5" s="5"/>
      <c r="M5" s="5"/>
      <c r="N5" s="24"/>
    </row>
    <row r="6" spans="2:18" ht="15.75" x14ac:dyDescent="0.25">
      <c r="B6" s="112"/>
      <c r="C6" s="33"/>
      <c r="D6" s="33"/>
      <c r="E6" s="33"/>
      <c r="F6" s="5"/>
      <c r="G6" s="5"/>
      <c r="H6" s="5"/>
      <c r="I6" s="5"/>
      <c r="J6" s="5"/>
      <c r="K6" s="5"/>
      <c r="L6" s="5"/>
      <c r="M6" s="5"/>
      <c r="N6" s="24"/>
    </row>
    <row r="7" spans="2:18" ht="32.25" customHeight="1" x14ac:dyDescent="0.2">
      <c r="B7" s="112"/>
      <c r="C7" s="114" t="s">
        <v>48</v>
      </c>
      <c r="D7" s="114" t="s">
        <v>49</v>
      </c>
      <c r="E7" s="114" t="s">
        <v>50</v>
      </c>
      <c r="F7" s="5"/>
      <c r="G7" s="221" t="s">
        <v>51</v>
      </c>
      <c r="H7" s="221"/>
      <c r="I7" s="221"/>
      <c r="J7" s="221"/>
      <c r="K7" s="221"/>
      <c r="L7" s="221"/>
      <c r="M7" s="221"/>
      <c r="N7" s="222"/>
    </row>
    <row r="8" spans="2:18" x14ac:dyDescent="0.2">
      <c r="B8" s="112"/>
      <c r="C8" s="124" t="s">
        <v>34</v>
      </c>
      <c r="D8" s="125" t="s">
        <v>3</v>
      </c>
      <c r="E8" s="126">
        <v>5.8021999999999997E-2</v>
      </c>
      <c r="F8" s="5"/>
      <c r="G8" s="47" t="s">
        <v>52</v>
      </c>
      <c r="H8" s="48">
        <v>1</v>
      </c>
      <c r="I8" s="50">
        <f>H8/SUM($H$8:$H$10)</f>
        <v>1</v>
      </c>
      <c r="J8" s="5"/>
      <c r="K8" s="35"/>
      <c r="L8" s="5"/>
      <c r="M8" s="5"/>
      <c r="N8" s="24"/>
      <c r="R8" s="59"/>
    </row>
    <row r="9" spans="2:18" ht="15.75" customHeight="1" x14ac:dyDescent="0.2">
      <c r="B9" s="112"/>
      <c r="C9" s="127" t="s">
        <v>30</v>
      </c>
      <c r="D9" s="42" t="s">
        <v>3</v>
      </c>
      <c r="E9" s="44">
        <v>5.4842000000000002E-2</v>
      </c>
      <c r="F9" s="5"/>
      <c r="G9" s="47" t="s">
        <v>66</v>
      </c>
      <c r="H9" s="51">
        <v>0</v>
      </c>
      <c r="I9" s="50">
        <f>H9/SUM($H$8:$H$10)</f>
        <v>0</v>
      </c>
      <c r="J9" s="5" t="s">
        <v>46</v>
      </c>
      <c r="K9" s="35">
        <f>E30</f>
        <v>5.8414000000000001E-2</v>
      </c>
      <c r="L9" s="5"/>
      <c r="M9" s="5"/>
      <c r="N9" s="24"/>
      <c r="R9" s="59"/>
    </row>
    <row r="10" spans="2:18" x14ac:dyDescent="0.2">
      <c r="B10" s="112"/>
      <c r="C10" s="127" t="s">
        <v>36</v>
      </c>
      <c r="D10" s="42" t="s">
        <v>23</v>
      </c>
      <c r="E10" s="44">
        <v>3.6472999999999998E-2</v>
      </c>
      <c r="F10" s="35"/>
      <c r="G10" s="47" t="s">
        <v>53</v>
      </c>
      <c r="H10" s="51">
        <v>0</v>
      </c>
      <c r="I10" s="50">
        <f>H10/SUM($H$8:$H$10)</f>
        <v>0</v>
      </c>
      <c r="J10" s="5" t="s">
        <v>229</v>
      </c>
      <c r="K10" s="35">
        <f>E24+E26</f>
        <v>0.75731400000000004</v>
      </c>
      <c r="L10" s="5"/>
      <c r="M10" s="5"/>
      <c r="N10" s="24"/>
      <c r="R10" s="59"/>
    </row>
    <row r="11" spans="2:18" x14ac:dyDescent="0.2">
      <c r="B11" s="112"/>
      <c r="C11" s="127" t="s">
        <v>113</v>
      </c>
      <c r="D11" s="42" t="s">
        <v>3</v>
      </c>
      <c r="E11" s="44">
        <v>3.0896E-2</v>
      </c>
      <c r="F11" s="5"/>
      <c r="G11" s="5"/>
      <c r="H11" s="5"/>
      <c r="I11" s="5"/>
      <c r="J11" s="5" t="s">
        <v>83</v>
      </c>
      <c r="K11" s="35">
        <f>E33</f>
        <v>6.7605999999999999E-2</v>
      </c>
      <c r="L11" s="5"/>
      <c r="M11" s="5"/>
      <c r="N11" s="24"/>
      <c r="R11" s="59"/>
    </row>
    <row r="12" spans="2:18" ht="15.75" customHeight="1" x14ac:dyDescent="0.2">
      <c r="B12" s="112"/>
      <c r="C12" s="127" t="s">
        <v>29</v>
      </c>
      <c r="D12" s="42" t="s">
        <v>169</v>
      </c>
      <c r="E12" s="44">
        <v>3.0759999999999999E-2</v>
      </c>
      <c r="F12" s="35"/>
      <c r="G12" s="5"/>
      <c r="H12" s="35"/>
      <c r="I12" s="5"/>
      <c r="J12" s="5" t="s">
        <v>20</v>
      </c>
      <c r="K12" s="35">
        <f>E42</f>
        <v>4.2379E-2</v>
      </c>
      <c r="L12" s="5"/>
      <c r="M12" s="5"/>
      <c r="N12" s="24"/>
      <c r="R12" s="59"/>
    </row>
    <row r="13" spans="2:18" x14ac:dyDescent="0.2">
      <c r="B13" s="112"/>
      <c r="C13" s="127" t="s">
        <v>33</v>
      </c>
      <c r="D13" s="42" t="s">
        <v>6</v>
      </c>
      <c r="E13" s="44">
        <v>2.9668E-2</v>
      </c>
      <c r="F13" s="35"/>
      <c r="G13" s="5"/>
      <c r="H13" s="5"/>
      <c r="I13" s="5"/>
      <c r="J13" s="5" t="s">
        <v>47</v>
      </c>
      <c r="K13" s="35">
        <f>E40</f>
        <v>7.4286999999999992E-2</v>
      </c>
      <c r="L13" s="5"/>
      <c r="M13" s="5"/>
      <c r="N13" s="24"/>
      <c r="R13" s="59"/>
    </row>
    <row r="14" spans="2:18" x14ac:dyDescent="0.2">
      <c r="B14" s="112"/>
      <c r="C14" s="127" t="s">
        <v>93</v>
      </c>
      <c r="D14" s="42" t="s">
        <v>12</v>
      </c>
      <c r="E14" s="44">
        <v>2.6078E-2</v>
      </c>
      <c r="F14" s="35"/>
      <c r="G14" s="5"/>
      <c r="H14" s="5"/>
      <c r="I14" s="5"/>
      <c r="J14" s="5"/>
      <c r="K14" s="35"/>
      <c r="L14" s="5"/>
      <c r="M14" s="5"/>
      <c r="N14" s="24"/>
      <c r="R14" s="59"/>
    </row>
    <row r="15" spans="2:18" x14ac:dyDescent="0.2">
      <c r="B15" s="112"/>
      <c r="C15" s="127" t="s">
        <v>100</v>
      </c>
      <c r="D15" s="42" t="s">
        <v>174</v>
      </c>
      <c r="E15" s="44">
        <v>2.3987999999999999E-2</v>
      </c>
      <c r="F15" s="5"/>
      <c r="G15" s="5"/>
      <c r="H15" s="5"/>
      <c r="I15" s="5"/>
      <c r="J15" s="5"/>
      <c r="K15" s="35"/>
      <c r="L15" s="5"/>
      <c r="M15" s="5"/>
      <c r="N15" s="24"/>
      <c r="R15" s="59"/>
    </row>
    <row r="16" spans="2:18" x14ac:dyDescent="0.2">
      <c r="B16" s="112"/>
      <c r="C16" s="127" t="s">
        <v>137</v>
      </c>
      <c r="D16" s="42" t="s">
        <v>175</v>
      </c>
      <c r="E16" s="44">
        <v>2.3328000000000002E-2</v>
      </c>
      <c r="F16" s="5"/>
      <c r="G16" s="5"/>
      <c r="H16" s="5"/>
      <c r="I16" s="5"/>
      <c r="J16" s="5"/>
      <c r="K16" s="5"/>
      <c r="L16" s="5"/>
      <c r="M16" s="5"/>
      <c r="N16" s="24"/>
      <c r="R16" s="59"/>
    </row>
    <row r="17" spans="2:18" x14ac:dyDescent="0.2">
      <c r="B17" s="112"/>
      <c r="C17" s="127" t="s">
        <v>183</v>
      </c>
      <c r="D17" s="128" t="s">
        <v>175</v>
      </c>
      <c r="E17" s="44">
        <v>2.2700000000000001E-2</v>
      </c>
      <c r="F17" s="5"/>
      <c r="G17" s="5"/>
      <c r="H17" s="5"/>
      <c r="I17" s="5"/>
      <c r="J17" s="5"/>
      <c r="K17" s="5"/>
      <c r="L17" s="5"/>
      <c r="M17" s="5"/>
      <c r="N17" s="24"/>
      <c r="R17" s="59"/>
    </row>
    <row r="18" spans="2:18" x14ac:dyDescent="0.2">
      <c r="B18" s="112"/>
      <c r="C18" s="127" t="s">
        <v>99</v>
      </c>
      <c r="D18" s="42" t="s">
        <v>169</v>
      </c>
      <c r="E18" s="44">
        <v>2.0039000000000001E-2</v>
      </c>
      <c r="F18" s="5"/>
      <c r="G18" s="5"/>
      <c r="H18" s="5"/>
      <c r="I18" s="5"/>
      <c r="J18" s="5"/>
      <c r="K18" s="5"/>
      <c r="L18" s="5"/>
      <c r="M18" s="5"/>
      <c r="N18" s="24"/>
      <c r="R18" s="59"/>
    </row>
    <row r="19" spans="2:18" x14ac:dyDescent="0.2">
      <c r="B19" s="112"/>
      <c r="C19" s="127" t="s">
        <v>38</v>
      </c>
      <c r="D19" s="42" t="s">
        <v>3</v>
      </c>
      <c r="E19" s="44">
        <v>1.9640000000000001E-2</v>
      </c>
      <c r="F19" s="5"/>
      <c r="G19" s="5"/>
      <c r="H19" s="5"/>
      <c r="I19" s="5"/>
      <c r="J19" s="5"/>
      <c r="K19" s="5"/>
      <c r="L19" s="5"/>
      <c r="M19" s="5"/>
      <c r="N19" s="24"/>
      <c r="R19" s="59"/>
    </row>
    <row r="20" spans="2:18" ht="15.75" customHeight="1" x14ac:dyDescent="0.25">
      <c r="B20" s="112"/>
      <c r="C20" s="127" t="s">
        <v>161</v>
      </c>
      <c r="D20" s="42" t="s">
        <v>16</v>
      </c>
      <c r="E20" s="44">
        <v>1.8751E-2</v>
      </c>
      <c r="F20" s="5"/>
      <c r="G20" s="239" t="s">
        <v>150</v>
      </c>
      <c r="H20" s="240"/>
      <c r="I20" s="240"/>
      <c r="J20" s="240"/>
      <c r="K20" s="240"/>
      <c r="L20" s="129">
        <v>1.24</v>
      </c>
      <c r="M20" s="130"/>
      <c r="N20" s="215"/>
      <c r="R20" s="59"/>
    </row>
    <row r="21" spans="2:18" x14ac:dyDescent="0.2">
      <c r="B21" s="112"/>
      <c r="C21" s="127" t="s">
        <v>114</v>
      </c>
      <c r="D21" s="42" t="s">
        <v>175</v>
      </c>
      <c r="E21" s="44">
        <v>1.771E-2</v>
      </c>
      <c r="F21" s="5"/>
      <c r="G21" s="5"/>
      <c r="H21" s="5"/>
      <c r="I21" s="5"/>
      <c r="J21" s="5"/>
      <c r="K21" s="5"/>
      <c r="L21" s="5"/>
      <c r="M21" s="5"/>
      <c r="N21" s="24"/>
      <c r="R21" s="59"/>
    </row>
    <row r="22" spans="2:18" x14ac:dyDescent="0.2">
      <c r="B22" s="112"/>
      <c r="C22" s="127" t="s">
        <v>208</v>
      </c>
      <c r="D22" s="42" t="s">
        <v>3</v>
      </c>
      <c r="E22" s="44">
        <v>1.7534000000000001E-2</v>
      </c>
      <c r="F22" s="5"/>
      <c r="G22" s="35"/>
      <c r="H22" s="35"/>
      <c r="I22" s="35"/>
      <c r="J22" s="5"/>
      <c r="K22" s="35"/>
      <c r="L22" s="5"/>
      <c r="M22" s="5"/>
      <c r="N22" s="24"/>
      <c r="R22" s="59"/>
    </row>
    <row r="23" spans="2:18" ht="15.75" customHeight="1" x14ac:dyDescent="0.2">
      <c r="B23" s="112"/>
      <c r="C23" s="42"/>
      <c r="D23" s="4"/>
      <c r="E23" s="6"/>
      <c r="F23" s="5"/>
      <c r="G23" s="221" t="s">
        <v>56</v>
      </c>
      <c r="H23" s="221"/>
      <c r="I23" s="221"/>
      <c r="J23" s="221"/>
      <c r="K23" s="221"/>
      <c r="L23" s="221"/>
      <c r="M23" s="221"/>
      <c r="N23" s="222"/>
      <c r="R23" s="59"/>
    </row>
    <row r="24" spans="2:18" ht="15.75" x14ac:dyDescent="0.2">
      <c r="B24" s="112"/>
      <c r="C24" s="132" t="s">
        <v>65</v>
      </c>
      <c r="D24" s="132"/>
      <c r="E24" s="133">
        <f>SUM(E8:E22)</f>
        <v>0.43042900000000006</v>
      </c>
      <c r="F24" s="5"/>
      <c r="G24" s="5"/>
      <c r="H24" s="5"/>
      <c r="I24" s="5"/>
      <c r="J24" s="5"/>
      <c r="K24" s="5"/>
      <c r="L24" s="5"/>
      <c r="M24" s="5"/>
      <c r="N24" s="24"/>
      <c r="R24" s="59"/>
    </row>
    <row r="25" spans="2:18" x14ac:dyDescent="0.2">
      <c r="B25" s="112"/>
      <c r="C25" s="4"/>
      <c r="D25" s="4"/>
      <c r="E25" s="6"/>
      <c r="F25" s="5"/>
      <c r="G25" s="5"/>
      <c r="H25" s="5"/>
      <c r="I25" s="5"/>
      <c r="J25" s="5"/>
      <c r="K25" s="5"/>
      <c r="L25" s="5"/>
      <c r="M25" s="5"/>
      <c r="N25" s="24"/>
      <c r="R25" s="59"/>
    </row>
    <row r="26" spans="2:18" ht="15.75" x14ac:dyDescent="0.2">
      <c r="B26" s="112"/>
      <c r="C26" s="132" t="s">
        <v>85</v>
      </c>
      <c r="D26" s="132"/>
      <c r="E26" s="133">
        <v>0.32688499999999998</v>
      </c>
      <c r="F26" s="35"/>
      <c r="G26" s="5"/>
      <c r="H26" s="5"/>
      <c r="I26" s="5"/>
      <c r="J26" s="5"/>
      <c r="K26" s="5"/>
      <c r="L26" s="5"/>
      <c r="M26" s="5"/>
      <c r="N26" s="24"/>
      <c r="R26" s="59"/>
    </row>
    <row r="27" spans="2:18" x14ac:dyDescent="0.2">
      <c r="B27" s="112"/>
      <c r="C27" s="42"/>
      <c r="D27" s="70"/>
      <c r="E27" s="6"/>
      <c r="F27" s="5"/>
      <c r="G27" s="5"/>
      <c r="H27" s="5"/>
      <c r="I27" s="5"/>
      <c r="J27" s="5"/>
      <c r="K27" s="5"/>
      <c r="L27" s="5"/>
      <c r="M27" s="5"/>
      <c r="N27" s="24"/>
      <c r="R27" s="59"/>
    </row>
    <row r="28" spans="2:18" s="58" customFormat="1" ht="13.5" customHeight="1" x14ac:dyDescent="0.2">
      <c r="B28" s="134"/>
      <c r="C28" s="31" t="s">
        <v>102</v>
      </c>
      <c r="D28" s="70" t="s">
        <v>74</v>
      </c>
      <c r="E28" s="6">
        <v>4.7775999999999999E-2</v>
      </c>
      <c r="F28" s="47"/>
      <c r="G28" s="47"/>
      <c r="H28" s="47"/>
      <c r="I28" s="47"/>
      <c r="J28" s="47"/>
      <c r="K28" s="47"/>
      <c r="L28" s="47"/>
      <c r="M28" s="47"/>
      <c r="N28" s="135"/>
      <c r="R28" s="136"/>
    </row>
    <row r="29" spans="2:18" x14ac:dyDescent="0.2">
      <c r="B29" s="112"/>
      <c r="C29" s="42" t="s">
        <v>104</v>
      </c>
      <c r="D29" s="70" t="s">
        <v>74</v>
      </c>
      <c r="E29" s="6">
        <v>1.0638E-2</v>
      </c>
      <c r="F29" s="5"/>
      <c r="G29" s="5"/>
      <c r="H29" s="5"/>
      <c r="I29" s="5"/>
      <c r="J29" s="5"/>
      <c r="K29" s="5"/>
      <c r="L29" s="5"/>
      <c r="M29" s="5"/>
      <c r="N29" s="24"/>
      <c r="R29" s="59"/>
    </row>
    <row r="30" spans="2:18" ht="15.75" x14ac:dyDescent="0.2">
      <c r="B30" s="112"/>
      <c r="C30" s="132" t="s">
        <v>54</v>
      </c>
      <c r="D30" s="132"/>
      <c r="E30" s="133">
        <f>SUM(E28:E29)</f>
        <v>5.8414000000000001E-2</v>
      </c>
      <c r="F30" s="5"/>
      <c r="G30" s="5"/>
      <c r="H30" s="5"/>
      <c r="I30" s="5"/>
      <c r="J30" s="5"/>
      <c r="K30" s="5"/>
      <c r="L30" s="5"/>
      <c r="M30" s="5"/>
      <c r="N30" s="24"/>
      <c r="R30" s="59"/>
    </row>
    <row r="31" spans="2:18" x14ac:dyDescent="0.2">
      <c r="B31" s="112"/>
      <c r="C31" s="42"/>
      <c r="D31" s="42"/>
      <c r="E31" s="42"/>
      <c r="F31" s="5"/>
      <c r="G31" s="5"/>
      <c r="H31" s="5"/>
      <c r="I31" s="5"/>
      <c r="J31" s="5"/>
      <c r="K31" s="5"/>
      <c r="L31" s="5"/>
      <c r="M31" s="5"/>
      <c r="N31" s="24"/>
      <c r="R31" s="59"/>
    </row>
    <row r="32" spans="2:18" x14ac:dyDescent="0.2">
      <c r="B32" s="112"/>
      <c r="C32" s="42" t="s">
        <v>37</v>
      </c>
      <c r="D32" s="70" t="s">
        <v>74</v>
      </c>
      <c r="E32" s="6">
        <v>6.7605999999999999E-2</v>
      </c>
      <c r="F32" s="5"/>
      <c r="G32" s="5"/>
      <c r="H32" s="5"/>
      <c r="I32" s="5"/>
      <c r="J32" s="5"/>
      <c r="K32" s="5"/>
      <c r="L32" s="5"/>
      <c r="M32" s="5"/>
      <c r="N32" s="24"/>
      <c r="R32" s="59"/>
    </row>
    <row r="33" spans="1:18" ht="15.75" x14ac:dyDescent="0.2">
      <c r="B33" s="112"/>
      <c r="C33" s="132" t="s">
        <v>83</v>
      </c>
      <c r="D33" s="132"/>
      <c r="E33" s="133">
        <v>6.7605999999999999E-2</v>
      </c>
      <c r="F33" s="5"/>
      <c r="G33" s="5"/>
      <c r="H33" s="5"/>
      <c r="I33" s="5"/>
      <c r="J33" s="5"/>
      <c r="K33" s="5"/>
      <c r="L33" s="5"/>
      <c r="M33" s="5"/>
      <c r="N33" s="24"/>
      <c r="R33" s="59"/>
    </row>
    <row r="34" spans="1:18" x14ac:dyDescent="0.2">
      <c r="B34" s="112"/>
      <c r="C34" s="42"/>
      <c r="D34" s="42"/>
      <c r="E34" s="42"/>
      <c r="F34" s="5"/>
      <c r="G34" s="5"/>
      <c r="H34" s="5"/>
      <c r="I34" s="5"/>
      <c r="J34" s="5"/>
      <c r="K34" s="5"/>
      <c r="L34" s="5"/>
      <c r="M34" s="5"/>
      <c r="N34" s="24"/>
      <c r="R34" s="59"/>
    </row>
    <row r="35" spans="1:18" x14ac:dyDescent="0.2">
      <c r="B35" s="112"/>
      <c r="C35" s="42" t="s">
        <v>110</v>
      </c>
      <c r="D35" s="4" t="s">
        <v>71</v>
      </c>
      <c r="E35" s="44">
        <v>3.4923999999999997E-2</v>
      </c>
      <c r="F35" s="5"/>
      <c r="G35" s="5"/>
      <c r="H35" s="5"/>
      <c r="I35" s="5"/>
      <c r="J35" s="5"/>
      <c r="K35" s="5"/>
      <c r="L35" s="5"/>
      <c r="M35" s="5"/>
      <c r="N35" s="24"/>
      <c r="R35" s="59"/>
    </row>
    <row r="36" spans="1:18" x14ac:dyDescent="0.2">
      <c r="B36" s="112"/>
      <c r="C36" s="42" t="s">
        <v>127</v>
      </c>
      <c r="D36" s="4" t="s">
        <v>71</v>
      </c>
      <c r="E36" s="44">
        <v>1.6638E-2</v>
      </c>
      <c r="F36" s="5"/>
      <c r="G36" s="5"/>
      <c r="H36" s="5"/>
      <c r="I36" s="5"/>
      <c r="J36" s="5"/>
      <c r="K36" s="5"/>
      <c r="L36" s="5"/>
      <c r="M36" s="5"/>
      <c r="N36" s="24"/>
      <c r="R36" s="59"/>
    </row>
    <row r="37" spans="1:18" x14ac:dyDescent="0.2">
      <c r="B37" s="112"/>
      <c r="C37" s="42" t="s">
        <v>101</v>
      </c>
      <c r="D37" s="4" t="s">
        <v>71</v>
      </c>
      <c r="E37" s="44">
        <v>1.0267E-2</v>
      </c>
      <c r="F37" s="5"/>
      <c r="G37" s="5"/>
      <c r="H37" s="5"/>
      <c r="I37" s="5"/>
      <c r="J37" s="5"/>
      <c r="K37" s="5"/>
      <c r="L37" s="5"/>
      <c r="M37" s="5"/>
      <c r="N37" s="24"/>
      <c r="R37" s="59"/>
    </row>
    <row r="38" spans="1:18" x14ac:dyDescent="0.2">
      <c r="B38" s="112"/>
      <c r="C38" s="42" t="s">
        <v>96</v>
      </c>
      <c r="D38" s="4" t="s">
        <v>71</v>
      </c>
      <c r="E38" s="44">
        <v>8.9929999999999993E-3</v>
      </c>
      <c r="F38" s="5"/>
      <c r="G38" s="5"/>
      <c r="H38" s="5"/>
      <c r="I38" s="5"/>
      <c r="J38" s="5"/>
      <c r="K38" s="5"/>
      <c r="L38" s="5"/>
      <c r="M38" s="5"/>
      <c r="N38" s="24"/>
      <c r="R38" s="59"/>
    </row>
    <row r="39" spans="1:18" s="58" customFormat="1" x14ac:dyDescent="0.2">
      <c r="B39" s="134"/>
      <c r="C39" s="42" t="s">
        <v>86</v>
      </c>
      <c r="D39" s="4" t="s">
        <v>71</v>
      </c>
      <c r="E39" s="44">
        <v>3.4650000000000002E-3</v>
      </c>
      <c r="F39" s="47"/>
      <c r="G39" s="5"/>
      <c r="H39" s="5"/>
      <c r="I39" s="5"/>
      <c r="J39" s="5"/>
      <c r="K39" s="5"/>
      <c r="L39" s="47"/>
      <c r="M39" s="47"/>
      <c r="N39" s="135"/>
      <c r="R39" s="136"/>
    </row>
    <row r="40" spans="1:18" ht="15.75" x14ac:dyDescent="0.2">
      <c r="B40" s="112"/>
      <c r="C40" s="132" t="s">
        <v>47</v>
      </c>
      <c r="D40" s="132"/>
      <c r="E40" s="133">
        <f>SUM(E35:E39)</f>
        <v>7.4286999999999992E-2</v>
      </c>
      <c r="F40" s="5"/>
      <c r="G40" s="5"/>
      <c r="H40" s="5"/>
      <c r="I40" s="5"/>
      <c r="J40" s="5"/>
      <c r="K40" s="5"/>
      <c r="L40" s="5"/>
      <c r="M40" s="5"/>
      <c r="N40" s="24"/>
      <c r="R40" s="59"/>
    </row>
    <row r="41" spans="1:18" ht="15.75" x14ac:dyDescent="0.2">
      <c r="A41" s="5"/>
      <c r="B41" s="112"/>
      <c r="C41" s="137"/>
      <c r="D41" s="137"/>
      <c r="E41" s="138"/>
      <c r="F41" s="5"/>
      <c r="G41" s="5"/>
      <c r="H41" s="5"/>
      <c r="I41" s="5"/>
      <c r="J41" s="5"/>
      <c r="K41" s="5"/>
      <c r="L41" s="5"/>
      <c r="M41" s="5"/>
      <c r="N41" s="24"/>
      <c r="O41" s="5"/>
      <c r="R41" s="59"/>
    </row>
    <row r="42" spans="1:18" ht="15.75" x14ac:dyDescent="0.2">
      <c r="A42" s="5"/>
      <c r="B42" s="112"/>
      <c r="C42" s="132" t="s">
        <v>20</v>
      </c>
      <c r="D42" s="132"/>
      <c r="E42" s="133">
        <v>4.2379E-2</v>
      </c>
      <c r="F42" s="5"/>
      <c r="G42" s="5"/>
      <c r="H42" s="5"/>
      <c r="I42" s="5"/>
      <c r="J42" s="5"/>
      <c r="K42" s="5"/>
      <c r="L42" s="5"/>
      <c r="M42" s="5"/>
      <c r="N42" s="24"/>
      <c r="O42" s="5"/>
      <c r="R42" s="59"/>
    </row>
    <row r="43" spans="1:18" x14ac:dyDescent="0.2">
      <c r="A43" s="5"/>
      <c r="B43" s="112"/>
      <c r="C43" s="4"/>
      <c r="D43" s="4"/>
      <c r="E43" s="36"/>
      <c r="F43" s="5"/>
      <c r="G43" s="5"/>
      <c r="H43" s="5"/>
      <c r="I43" s="5"/>
      <c r="J43" s="5"/>
      <c r="K43" s="5"/>
      <c r="L43" s="5"/>
      <c r="M43" s="5"/>
      <c r="N43" s="24"/>
      <c r="O43" s="5"/>
      <c r="R43" s="59"/>
    </row>
    <row r="44" spans="1:18" ht="15.75" x14ac:dyDescent="0.2">
      <c r="A44" s="5"/>
      <c r="B44" s="112"/>
      <c r="C44" s="139" t="s">
        <v>21</v>
      </c>
      <c r="D44" s="139"/>
      <c r="E44" s="140">
        <f>E42+E40+E33+E30+E26+E24</f>
        <v>1</v>
      </c>
      <c r="F44" s="5"/>
      <c r="G44" s="5"/>
      <c r="H44" s="5"/>
      <c r="I44" s="5"/>
      <c r="J44" s="5"/>
      <c r="K44" s="5"/>
      <c r="L44" s="5"/>
      <c r="M44" s="5"/>
      <c r="N44" s="24"/>
      <c r="O44" s="5"/>
      <c r="R44" s="59"/>
    </row>
    <row r="45" spans="1:18" x14ac:dyDescent="0.2">
      <c r="A45" s="5"/>
      <c r="B45" s="112"/>
      <c r="C45" s="5"/>
      <c r="D45" s="5"/>
      <c r="E45" s="5"/>
      <c r="F45" s="5"/>
      <c r="G45" s="5"/>
      <c r="H45" s="5"/>
      <c r="I45" s="5"/>
      <c r="J45" s="5"/>
      <c r="K45" s="5"/>
      <c r="L45" s="5"/>
      <c r="M45" s="5"/>
      <c r="N45" s="24"/>
      <c r="O45" s="5"/>
      <c r="R45" s="59"/>
    </row>
    <row r="46" spans="1:18" ht="15.75" thickBot="1" x14ac:dyDescent="0.25">
      <c r="A46" s="5"/>
      <c r="B46" s="116"/>
      <c r="C46" s="54"/>
      <c r="D46" s="54"/>
      <c r="E46" s="54"/>
      <c r="F46" s="54"/>
      <c r="G46" s="54"/>
      <c r="H46" s="54"/>
      <c r="I46" s="54"/>
      <c r="J46" s="54"/>
      <c r="K46" s="54"/>
      <c r="L46" s="54"/>
      <c r="M46" s="54"/>
      <c r="N46" s="143"/>
      <c r="O46" s="5"/>
      <c r="R46" s="59"/>
    </row>
    <row r="47" spans="1:18" ht="15.75" thickBot="1" x14ac:dyDescent="0.25">
      <c r="R47" s="59"/>
    </row>
    <row r="48" spans="1:18" x14ac:dyDescent="0.2">
      <c r="B48" s="225" t="s">
        <v>117</v>
      </c>
      <c r="C48" s="226"/>
      <c r="D48" s="226"/>
      <c r="E48" s="226"/>
      <c r="F48" s="226"/>
      <c r="G48" s="226"/>
      <c r="H48" s="226"/>
      <c r="I48" s="226"/>
      <c r="J48" s="226"/>
      <c r="K48" s="226"/>
      <c r="L48" s="226"/>
      <c r="M48" s="226"/>
      <c r="N48" s="226"/>
      <c r="O48" s="227"/>
      <c r="R48" s="59"/>
    </row>
    <row r="49" spans="2:18" x14ac:dyDescent="0.2">
      <c r="B49" s="228"/>
      <c r="C49" s="229"/>
      <c r="D49" s="229"/>
      <c r="E49" s="229"/>
      <c r="F49" s="229"/>
      <c r="G49" s="229"/>
      <c r="H49" s="229"/>
      <c r="I49" s="229"/>
      <c r="J49" s="229"/>
      <c r="K49" s="229"/>
      <c r="L49" s="229"/>
      <c r="M49" s="229"/>
      <c r="N49" s="229"/>
      <c r="O49" s="230"/>
      <c r="R49" s="59"/>
    </row>
    <row r="50" spans="2:18" x14ac:dyDescent="0.2">
      <c r="B50" s="228"/>
      <c r="C50" s="229"/>
      <c r="D50" s="229"/>
      <c r="E50" s="229"/>
      <c r="F50" s="229"/>
      <c r="G50" s="229"/>
      <c r="H50" s="229"/>
      <c r="I50" s="229"/>
      <c r="J50" s="229"/>
      <c r="K50" s="229"/>
      <c r="L50" s="229"/>
      <c r="M50" s="229"/>
      <c r="N50" s="229"/>
      <c r="O50" s="230"/>
      <c r="R50" s="59"/>
    </row>
    <row r="51" spans="2:18" x14ac:dyDescent="0.2">
      <c r="B51" s="228"/>
      <c r="C51" s="229"/>
      <c r="D51" s="229"/>
      <c r="E51" s="229"/>
      <c r="F51" s="229"/>
      <c r="G51" s="229"/>
      <c r="H51" s="229"/>
      <c r="I51" s="229"/>
      <c r="J51" s="229"/>
      <c r="K51" s="229"/>
      <c r="L51" s="229"/>
      <c r="M51" s="229"/>
      <c r="N51" s="229"/>
      <c r="O51" s="230"/>
      <c r="R51" s="59"/>
    </row>
    <row r="52" spans="2:18" x14ac:dyDescent="0.2">
      <c r="B52" s="228"/>
      <c r="C52" s="229"/>
      <c r="D52" s="229"/>
      <c r="E52" s="229"/>
      <c r="F52" s="229"/>
      <c r="G52" s="229"/>
      <c r="H52" s="229"/>
      <c r="I52" s="229"/>
      <c r="J52" s="229"/>
      <c r="K52" s="229"/>
      <c r="L52" s="229"/>
      <c r="M52" s="229"/>
      <c r="N52" s="229"/>
      <c r="O52" s="230"/>
      <c r="R52" s="59"/>
    </row>
    <row r="53" spans="2:18" x14ac:dyDescent="0.2">
      <c r="B53" s="228"/>
      <c r="C53" s="229"/>
      <c r="D53" s="229"/>
      <c r="E53" s="229"/>
      <c r="F53" s="229"/>
      <c r="G53" s="229"/>
      <c r="H53" s="229"/>
      <c r="I53" s="229"/>
      <c r="J53" s="229"/>
      <c r="K53" s="229"/>
      <c r="L53" s="229"/>
      <c r="M53" s="229"/>
      <c r="N53" s="229"/>
      <c r="O53" s="230"/>
      <c r="R53" s="59"/>
    </row>
    <row r="54" spans="2:18" ht="15.75" thickBot="1" x14ac:dyDescent="0.25">
      <c r="B54" s="231"/>
      <c r="C54" s="232"/>
      <c r="D54" s="232"/>
      <c r="E54" s="232"/>
      <c r="F54" s="232"/>
      <c r="G54" s="232"/>
      <c r="H54" s="232"/>
      <c r="I54" s="232"/>
      <c r="J54" s="232"/>
      <c r="K54" s="232"/>
      <c r="L54" s="232"/>
      <c r="M54" s="232"/>
      <c r="N54" s="232"/>
      <c r="O54" s="233"/>
      <c r="R54" s="59"/>
    </row>
    <row r="55" spans="2:18" x14ac:dyDescent="0.2">
      <c r="R55" s="59"/>
    </row>
    <row r="56" spans="2:18" x14ac:dyDescent="0.2">
      <c r="R56" s="59"/>
    </row>
    <row r="57" spans="2:18" x14ac:dyDescent="0.2">
      <c r="R57" s="59"/>
    </row>
    <row r="58" spans="2:18" x14ac:dyDescent="0.2">
      <c r="R58" s="59"/>
    </row>
    <row r="59" spans="2:18" x14ac:dyDescent="0.2">
      <c r="R59" s="59"/>
    </row>
    <row r="60" spans="2:18" x14ac:dyDescent="0.2">
      <c r="R60" s="59"/>
    </row>
    <row r="61" spans="2:18" x14ac:dyDescent="0.2">
      <c r="R61" s="59"/>
    </row>
    <row r="62" spans="2:18" x14ac:dyDescent="0.2">
      <c r="R62" s="59"/>
    </row>
    <row r="63" spans="2:18" x14ac:dyDescent="0.2">
      <c r="R63" s="59"/>
    </row>
    <row r="64" spans="2:18" x14ac:dyDescent="0.2">
      <c r="R64" s="59"/>
    </row>
    <row r="65" spans="18:18" x14ac:dyDescent="0.2">
      <c r="R65" s="59"/>
    </row>
    <row r="66" spans="18:18" x14ac:dyDescent="0.2">
      <c r="R66" s="59"/>
    </row>
    <row r="67" spans="18:18" x14ac:dyDescent="0.2">
      <c r="R67" s="59"/>
    </row>
    <row r="68" spans="18:18" x14ac:dyDescent="0.2">
      <c r="R68" s="59"/>
    </row>
    <row r="69" spans="18:18" x14ac:dyDescent="0.2">
      <c r="R69" s="59"/>
    </row>
    <row r="70" spans="18:18" x14ac:dyDescent="0.2">
      <c r="R70" s="59"/>
    </row>
    <row r="71" spans="18:18" x14ac:dyDescent="0.2">
      <c r="R71" s="59"/>
    </row>
    <row r="72" spans="18:18" x14ac:dyDescent="0.2">
      <c r="R72" s="59"/>
    </row>
    <row r="73" spans="18:18" x14ac:dyDescent="0.2">
      <c r="R73" s="59"/>
    </row>
    <row r="74" spans="18:18" x14ac:dyDescent="0.2">
      <c r="R74" s="59"/>
    </row>
    <row r="75" spans="18:18" x14ac:dyDescent="0.2">
      <c r="R75" s="59"/>
    </row>
    <row r="76" spans="18:18" x14ac:dyDescent="0.2">
      <c r="R76" s="59"/>
    </row>
    <row r="77" spans="18:18" x14ac:dyDescent="0.2">
      <c r="R77" s="59"/>
    </row>
    <row r="78" spans="18:18" x14ac:dyDescent="0.2">
      <c r="R78" s="59"/>
    </row>
    <row r="79" spans="18:18" x14ac:dyDescent="0.2">
      <c r="R79" s="59"/>
    </row>
    <row r="80" spans="18:18" x14ac:dyDescent="0.2">
      <c r="R80" s="59"/>
    </row>
    <row r="81" spans="18:18" x14ac:dyDescent="0.2">
      <c r="R81" s="59"/>
    </row>
    <row r="82" spans="18:18" x14ac:dyDescent="0.2">
      <c r="R82" s="59"/>
    </row>
    <row r="83" spans="18:18" x14ac:dyDescent="0.2">
      <c r="R83" s="59"/>
    </row>
    <row r="84" spans="18:18" x14ac:dyDescent="0.2">
      <c r="R84" s="59"/>
    </row>
    <row r="85" spans="18:18" x14ac:dyDescent="0.2">
      <c r="R85" s="59"/>
    </row>
    <row r="86" spans="18:18" x14ac:dyDescent="0.2">
      <c r="R86" s="59"/>
    </row>
    <row r="87" spans="18:18" x14ac:dyDescent="0.2">
      <c r="R87" s="59"/>
    </row>
    <row r="88" spans="18:18" x14ac:dyDescent="0.2">
      <c r="R88" s="59"/>
    </row>
    <row r="89" spans="18:18" x14ac:dyDescent="0.2">
      <c r="R89" s="59"/>
    </row>
    <row r="90" spans="18:18" x14ac:dyDescent="0.2">
      <c r="R90" s="59"/>
    </row>
    <row r="91" spans="18:18" x14ac:dyDescent="0.2">
      <c r="R91" s="59"/>
    </row>
    <row r="92" spans="18:18" x14ac:dyDescent="0.2">
      <c r="R92" s="59"/>
    </row>
    <row r="93" spans="18:18" x14ac:dyDescent="0.2">
      <c r="R93" s="59"/>
    </row>
    <row r="94" spans="18:18" x14ac:dyDescent="0.2">
      <c r="R94" s="59"/>
    </row>
    <row r="95" spans="18:18" x14ac:dyDescent="0.2">
      <c r="R95" s="59"/>
    </row>
    <row r="96" spans="18:18" x14ac:dyDescent="0.2">
      <c r="R96" s="59"/>
    </row>
    <row r="97" spans="18:18" x14ac:dyDescent="0.2">
      <c r="R97" s="59"/>
    </row>
    <row r="98" spans="18:18" x14ac:dyDescent="0.2">
      <c r="R98" s="59"/>
    </row>
    <row r="99" spans="18:18" x14ac:dyDescent="0.2">
      <c r="R99" s="59"/>
    </row>
    <row r="100" spans="18:18" x14ac:dyDescent="0.2">
      <c r="R100" s="59"/>
    </row>
    <row r="101" spans="18:18" x14ac:dyDescent="0.2">
      <c r="R101" s="59"/>
    </row>
    <row r="102" spans="18:18" x14ac:dyDescent="0.2">
      <c r="R102" s="59"/>
    </row>
    <row r="103" spans="18:18" x14ac:dyDescent="0.2">
      <c r="R103" s="59"/>
    </row>
    <row r="104" spans="18:18" x14ac:dyDescent="0.2">
      <c r="R104" s="59"/>
    </row>
    <row r="105" spans="18:18" x14ac:dyDescent="0.2">
      <c r="R105" s="59"/>
    </row>
    <row r="106" spans="18:18" x14ac:dyDescent="0.2">
      <c r="R106" s="59"/>
    </row>
    <row r="107" spans="18:18" x14ac:dyDescent="0.2">
      <c r="R107" s="59"/>
    </row>
    <row r="108" spans="18:18" x14ac:dyDescent="0.2">
      <c r="R108" s="59"/>
    </row>
    <row r="109" spans="18:18" x14ac:dyDescent="0.2">
      <c r="R109" s="59"/>
    </row>
    <row r="110" spans="18:18" x14ac:dyDescent="0.2">
      <c r="R110" s="59"/>
    </row>
    <row r="111" spans="18:18" x14ac:dyDescent="0.2">
      <c r="R111" s="59"/>
    </row>
    <row r="112" spans="18:18" x14ac:dyDescent="0.2">
      <c r="R112" s="59"/>
    </row>
    <row r="113" spans="18:18" x14ac:dyDescent="0.2">
      <c r="R113" s="59"/>
    </row>
    <row r="114" spans="18:18" x14ac:dyDescent="0.2">
      <c r="R114" s="59"/>
    </row>
    <row r="115" spans="18:18" x14ac:dyDescent="0.2">
      <c r="R115" s="59"/>
    </row>
    <row r="116" spans="18:18" x14ac:dyDescent="0.2">
      <c r="R116" s="59"/>
    </row>
    <row r="117" spans="18:18" x14ac:dyDescent="0.2">
      <c r="R117" s="59"/>
    </row>
    <row r="118" spans="18:18" x14ac:dyDescent="0.2">
      <c r="R118" s="59"/>
    </row>
    <row r="119" spans="18:18" x14ac:dyDescent="0.2">
      <c r="R119" s="59"/>
    </row>
    <row r="120" spans="18:18" x14ac:dyDescent="0.2">
      <c r="R120" s="59"/>
    </row>
    <row r="121" spans="18:18" x14ac:dyDescent="0.2">
      <c r="R121" s="59"/>
    </row>
    <row r="122" spans="18:18" x14ac:dyDescent="0.2">
      <c r="R122" s="59"/>
    </row>
    <row r="123" spans="18:18" x14ac:dyDescent="0.2">
      <c r="R123" s="59"/>
    </row>
    <row r="124" spans="18:18" x14ac:dyDescent="0.2">
      <c r="R124" s="59"/>
    </row>
    <row r="125" spans="18:18" x14ac:dyDescent="0.2">
      <c r="R125" s="59"/>
    </row>
    <row r="126" spans="18:18" x14ac:dyDescent="0.2">
      <c r="R126" s="59"/>
    </row>
    <row r="127" spans="18:18" x14ac:dyDescent="0.2">
      <c r="R127" s="59"/>
    </row>
    <row r="128" spans="18:18" x14ac:dyDescent="0.2">
      <c r="R128" s="59"/>
    </row>
    <row r="129" spans="18:18" x14ac:dyDescent="0.2">
      <c r="R129" s="59"/>
    </row>
    <row r="130" spans="18:18" x14ac:dyDescent="0.2">
      <c r="R130" s="59"/>
    </row>
    <row r="131" spans="18:18" x14ac:dyDescent="0.2">
      <c r="R131" s="59"/>
    </row>
    <row r="132" spans="18:18" x14ac:dyDescent="0.2">
      <c r="R132" s="59"/>
    </row>
    <row r="133" spans="18:18" x14ac:dyDescent="0.2">
      <c r="R133" s="59"/>
    </row>
    <row r="134" spans="18:18" x14ac:dyDescent="0.2">
      <c r="R134" s="59"/>
    </row>
    <row r="135" spans="18:18" x14ac:dyDescent="0.2">
      <c r="R135" s="59"/>
    </row>
    <row r="136" spans="18:18" x14ac:dyDescent="0.2">
      <c r="R136" s="59"/>
    </row>
    <row r="137" spans="18:18" x14ac:dyDescent="0.2">
      <c r="R137" s="59"/>
    </row>
    <row r="138" spans="18:18" x14ac:dyDescent="0.2">
      <c r="R138" s="59"/>
    </row>
    <row r="139" spans="18:18" x14ac:dyDescent="0.2">
      <c r="R139" s="59"/>
    </row>
    <row r="140" spans="18:18" x14ac:dyDescent="0.2">
      <c r="R140" s="59"/>
    </row>
    <row r="141" spans="18:18" x14ac:dyDescent="0.2">
      <c r="R141" s="59"/>
    </row>
    <row r="142" spans="18:18" x14ac:dyDescent="0.2">
      <c r="R142" s="59"/>
    </row>
    <row r="143" spans="18:18" x14ac:dyDescent="0.2">
      <c r="R143" s="59"/>
    </row>
    <row r="144" spans="18:18" x14ac:dyDescent="0.2">
      <c r="R144" s="59"/>
    </row>
    <row r="145" spans="18:18" x14ac:dyDescent="0.2">
      <c r="R145" s="59"/>
    </row>
    <row r="146" spans="18:18" x14ac:dyDescent="0.2">
      <c r="R146" s="59"/>
    </row>
    <row r="147" spans="18:18" x14ac:dyDescent="0.2">
      <c r="R147" s="59"/>
    </row>
    <row r="148" spans="18:18" x14ac:dyDescent="0.2">
      <c r="R148" s="59"/>
    </row>
    <row r="149" spans="18:18" x14ac:dyDescent="0.2">
      <c r="R149" s="59"/>
    </row>
    <row r="150" spans="18:18" x14ac:dyDescent="0.2">
      <c r="R150" s="59"/>
    </row>
    <row r="151" spans="18:18" x14ac:dyDescent="0.2">
      <c r="R151" s="59"/>
    </row>
    <row r="152" spans="18:18" x14ac:dyDescent="0.2">
      <c r="R152" s="59"/>
    </row>
    <row r="153" spans="18:18" x14ac:dyDescent="0.2">
      <c r="R153" s="59"/>
    </row>
    <row r="154" spans="18:18" x14ac:dyDescent="0.2">
      <c r="R154" s="59"/>
    </row>
    <row r="155" spans="18:18" x14ac:dyDescent="0.2">
      <c r="R155" s="59"/>
    </row>
    <row r="156" spans="18:18" x14ac:dyDescent="0.2">
      <c r="R156" s="59"/>
    </row>
    <row r="157" spans="18:18" x14ac:dyDescent="0.2">
      <c r="R157" s="59"/>
    </row>
    <row r="158" spans="18:18" x14ac:dyDescent="0.2">
      <c r="R158" s="59"/>
    </row>
    <row r="159" spans="18:18" x14ac:dyDescent="0.2">
      <c r="R159" s="59"/>
    </row>
    <row r="160" spans="18:18" x14ac:dyDescent="0.2">
      <c r="R160" s="59"/>
    </row>
    <row r="161" spans="18:18" x14ac:dyDescent="0.2">
      <c r="R161" s="59"/>
    </row>
    <row r="162" spans="18:18" x14ac:dyDescent="0.2">
      <c r="R162" s="59"/>
    </row>
    <row r="163" spans="18:18" x14ac:dyDescent="0.2">
      <c r="R163" s="59"/>
    </row>
    <row r="164" spans="18:18" x14ac:dyDescent="0.2">
      <c r="R164" s="59"/>
    </row>
    <row r="165" spans="18:18" x14ac:dyDescent="0.2">
      <c r="R165" s="59"/>
    </row>
    <row r="166" spans="18:18" x14ac:dyDescent="0.2">
      <c r="R166" s="59"/>
    </row>
    <row r="167" spans="18:18" x14ac:dyDescent="0.2">
      <c r="R167" s="59"/>
    </row>
    <row r="168" spans="18:18" x14ac:dyDescent="0.2">
      <c r="R168" s="59"/>
    </row>
    <row r="169" spans="18:18" x14ac:dyDescent="0.2">
      <c r="R169" s="59"/>
    </row>
    <row r="170" spans="18:18" x14ac:dyDescent="0.2">
      <c r="R170" s="59"/>
    </row>
    <row r="171" spans="18:18" x14ac:dyDescent="0.2">
      <c r="R171" s="59"/>
    </row>
    <row r="172" spans="18:18" x14ac:dyDescent="0.2">
      <c r="R172" s="59"/>
    </row>
    <row r="173" spans="18:18" x14ac:dyDescent="0.2">
      <c r="R173" s="59"/>
    </row>
    <row r="174" spans="18:18" x14ac:dyDescent="0.2">
      <c r="R174" s="59"/>
    </row>
    <row r="175" spans="18:18" x14ac:dyDescent="0.2">
      <c r="R175" s="59"/>
    </row>
    <row r="176" spans="18:18" x14ac:dyDescent="0.2">
      <c r="R176" s="59"/>
    </row>
    <row r="177" spans="18:18" x14ac:dyDescent="0.2">
      <c r="R177" s="59"/>
    </row>
    <row r="178" spans="18:18" x14ac:dyDescent="0.2">
      <c r="R178" s="59"/>
    </row>
    <row r="179" spans="18:18" x14ac:dyDescent="0.2">
      <c r="R179" s="59"/>
    </row>
    <row r="180" spans="18:18" x14ac:dyDescent="0.2">
      <c r="R180" s="59"/>
    </row>
    <row r="181" spans="18:18" x14ac:dyDescent="0.2">
      <c r="R181" s="59"/>
    </row>
    <row r="182" spans="18:18" x14ac:dyDescent="0.2">
      <c r="R182" s="59"/>
    </row>
    <row r="183" spans="18:18" x14ac:dyDescent="0.2">
      <c r="R183" s="59"/>
    </row>
    <row r="184" spans="18:18" x14ac:dyDescent="0.2">
      <c r="R184" s="59"/>
    </row>
    <row r="185" spans="18:18" x14ac:dyDescent="0.2">
      <c r="R185" s="59"/>
    </row>
    <row r="186" spans="18:18" x14ac:dyDescent="0.2">
      <c r="R186" s="59"/>
    </row>
    <row r="187" spans="18:18" x14ac:dyDescent="0.2">
      <c r="R187" s="59"/>
    </row>
    <row r="188" spans="18:18" x14ac:dyDescent="0.2">
      <c r="R188" s="59"/>
    </row>
    <row r="189" spans="18:18" x14ac:dyDescent="0.2">
      <c r="R189" s="59"/>
    </row>
    <row r="190" spans="18:18" x14ac:dyDescent="0.2">
      <c r="R190" s="59"/>
    </row>
    <row r="191" spans="18:18" x14ac:dyDescent="0.2">
      <c r="R191" s="59"/>
    </row>
    <row r="192" spans="18:18" x14ac:dyDescent="0.2">
      <c r="R192" s="59"/>
    </row>
    <row r="193" spans="18:18" x14ac:dyDescent="0.2">
      <c r="R193" s="59"/>
    </row>
    <row r="194" spans="18:18" x14ac:dyDescent="0.2">
      <c r="R194" s="59"/>
    </row>
    <row r="195" spans="18:18" x14ac:dyDescent="0.2">
      <c r="R195" s="59"/>
    </row>
    <row r="196" spans="18:18" x14ac:dyDescent="0.2">
      <c r="R196" s="59"/>
    </row>
    <row r="197" spans="18:18" x14ac:dyDescent="0.2">
      <c r="R197" s="59"/>
    </row>
    <row r="198" spans="18:18" x14ac:dyDescent="0.2">
      <c r="R198" s="59"/>
    </row>
    <row r="199" spans="18:18" x14ac:dyDescent="0.2">
      <c r="R199" s="59"/>
    </row>
    <row r="200" spans="18:18" x14ac:dyDescent="0.2">
      <c r="R200" s="59"/>
    </row>
    <row r="201" spans="18:18" x14ac:dyDescent="0.2">
      <c r="R201" s="59"/>
    </row>
    <row r="202" spans="18:18" x14ac:dyDescent="0.2">
      <c r="R202" s="59"/>
    </row>
    <row r="203" spans="18:18" x14ac:dyDescent="0.2">
      <c r="R203" s="59"/>
    </row>
    <row r="204" spans="18:18" x14ac:dyDescent="0.2">
      <c r="R204" s="59"/>
    </row>
    <row r="205" spans="18:18" x14ac:dyDescent="0.2">
      <c r="R205" s="59"/>
    </row>
    <row r="206" spans="18:18" x14ac:dyDescent="0.2">
      <c r="R206" s="59"/>
    </row>
    <row r="207" spans="18:18" x14ac:dyDescent="0.2">
      <c r="R207" s="59"/>
    </row>
    <row r="208" spans="18:18" x14ac:dyDescent="0.2">
      <c r="R208" s="59"/>
    </row>
    <row r="209" spans="18:18" x14ac:dyDescent="0.2">
      <c r="R209" s="59"/>
    </row>
    <row r="210" spans="18:18" x14ac:dyDescent="0.2">
      <c r="R210" s="59"/>
    </row>
    <row r="211" spans="18:18" x14ac:dyDescent="0.2">
      <c r="R211" s="59"/>
    </row>
    <row r="212" spans="18:18" x14ac:dyDescent="0.2">
      <c r="R212" s="59"/>
    </row>
    <row r="213" spans="18:18" x14ac:dyDescent="0.2">
      <c r="R213" s="59"/>
    </row>
    <row r="214" spans="18:18" x14ac:dyDescent="0.2">
      <c r="R214" s="59"/>
    </row>
    <row r="215" spans="18:18" x14ac:dyDescent="0.2">
      <c r="R215" s="59"/>
    </row>
    <row r="216" spans="18:18" x14ac:dyDescent="0.2">
      <c r="R216" s="59"/>
    </row>
    <row r="217" spans="18:18" x14ac:dyDescent="0.2">
      <c r="R217" s="59"/>
    </row>
    <row r="218" spans="18:18" x14ac:dyDescent="0.2">
      <c r="R218" s="59"/>
    </row>
    <row r="219" spans="18:18" x14ac:dyDescent="0.2">
      <c r="R219" s="59"/>
    </row>
    <row r="220" spans="18:18" x14ac:dyDescent="0.2">
      <c r="R220" s="59"/>
    </row>
    <row r="221" spans="18:18" x14ac:dyDescent="0.2">
      <c r="R221" s="59"/>
    </row>
    <row r="222" spans="18:18" x14ac:dyDescent="0.2">
      <c r="R222" s="59"/>
    </row>
    <row r="223" spans="18:18" x14ac:dyDescent="0.2">
      <c r="R223" s="59"/>
    </row>
    <row r="224" spans="18:18" x14ac:dyDescent="0.2">
      <c r="R224" s="59"/>
    </row>
    <row r="225" spans="18:18" x14ac:dyDescent="0.2">
      <c r="R225" s="59"/>
    </row>
    <row r="226" spans="18:18" x14ac:dyDescent="0.2">
      <c r="R226" s="59"/>
    </row>
    <row r="227" spans="18:18" x14ac:dyDescent="0.2">
      <c r="R227" s="59"/>
    </row>
    <row r="228" spans="18:18" x14ac:dyDescent="0.2">
      <c r="R228" s="59"/>
    </row>
    <row r="229" spans="18:18" x14ac:dyDescent="0.2">
      <c r="R229" s="59"/>
    </row>
    <row r="230" spans="18:18" x14ac:dyDescent="0.2">
      <c r="R230" s="59"/>
    </row>
    <row r="231" spans="18:18" x14ac:dyDescent="0.2">
      <c r="R231" s="59"/>
    </row>
    <row r="232" spans="18:18" x14ac:dyDescent="0.2">
      <c r="R232" s="59"/>
    </row>
    <row r="233" spans="18:18" x14ac:dyDescent="0.2">
      <c r="R233" s="59"/>
    </row>
    <row r="234" spans="18:18" x14ac:dyDescent="0.2">
      <c r="R234" s="59"/>
    </row>
    <row r="235" spans="18:18" x14ac:dyDescent="0.2">
      <c r="R235" s="59"/>
    </row>
    <row r="236" spans="18:18" x14ac:dyDescent="0.2">
      <c r="R236" s="59"/>
    </row>
    <row r="237" spans="18:18" x14ac:dyDescent="0.2">
      <c r="R237" s="59"/>
    </row>
    <row r="238" spans="18:18" x14ac:dyDescent="0.2">
      <c r="R238" s="59"/>
    </row>
    <row r="239" spans="18:18" x14ac:dyDescent="0.2">
      <c r="R239" s="59"/>
    </row>
    <row r="240" spans="18:18" x14ac:dyDescent="0.2">
      <c r="R240" s="59"/>
    </row>
    <row r="241" spans="18:18" x14ac:dyDescent="0.2">
      <c r="R241" s="59"/>
    </row>
    <row r="242" spans="18:18" x14ac:dyDescent="0.2">
      <c r="R242" s="59"/>
    </row>
    <row r="243" spans="18:18" x14ac:dyDescent="0.2">
      <c r="R243" s="59"/>
    </row>
    <row r="244" spans="18:18" x14ac:dyDescent="0.2">
      <c r="R244" s="59"/>
    </row>
    <row r="245" spans="18:18" x14ac:dyDescent="0.2">
      <c r="R245" s="59"/>
    </row>
    <row r="246" spans="18:18" x14ac:dyDescent="0.2">
      <c r="R246" s="59"/>
    </row>
    <row r="247" spans="18:18" x14ac:dyDescent="0.2">
      <c r="R247" s="59"/>
    </row>
    <row r="248" spans="18:18" x14ac:dyDescent="0.2">
      <c r="R248" s="59"/>
    </row>
    <row r="249" spans="18:18" x14ac:dyDescent="0.2">
      <c r="R249" s="59"/>
    </row>
    <row r="250" spans="18:18" x14ac:dyDescent="0.2">
      <c r="R250" s="59"/>
    </row>
    <row r="251" spans="18:18" x14ac:dyDescent="0.2">
      <c r="R251" s="59"/>
    </row>
    <row r="252" spans="18:18" x14ac:dyDescent="0.2">
      <c r="R252" s="59"/>
    </row>
    <row r="253" spans="18:18" x14ac:dyDescent="0.2">
      <c r="R253" s="59"/>
    </row>
    <row r="254" spans="18:18" x14ac:dyDescent="0.2">
      <c r="R254" s="59"/>
    </row>
    <row r="255" spans="18:18" x14ac:dyDescent="0.2">
      <c r="R255" s="59"/>
    </row>
    <row r="256" spans="18:18" x14ac:dyDescent="0.2">
      <c r="R256" s="59"/>
    </row>
    <row r="257" spans="18:18" x14ac:dyDescent="0.2">
      <c r="R257" s="59"/>
    </row>
    <row r="258" spans="18:18" x14ac:dyDescent="0.2">
      <c r="R258" s="59"/>
    </row>
    <row r="259" spans="18:18" x14ac:dyDescent="0.2">
      <c r="R259" s="59"/>
    </row>
    <row r="260" spans="18:18" x14ac:dyDescent="0.2">
      <c r="R260" s="59"/>
    </row>
    <row r="261" spans="18:18" x14ac:dyDescent="0.2">
      <c r="R261" s="59"/>
    </row>
    <row r="262" spans="18:18" x14ac:dyDescent="0.2">
      <c r="R262" s="59"/>
    </row>
    <row r="263" spans="18:18" x14ac:dyDescent="0.2">
      <c r="R263" s="59"/>
    </row>
    <row r="264" spans="18:18" x14ac:dyDescent="0.2">
      <c r="R264" s="59"/>
    </row>
    <row r="265" spans="18:18" x14ac:dyDescent="0.2">
      <c r="R265" s="59"/>
    </row>
    <row r="266" spans="18:18" x14ac:dyDescent="0.2">
      <c r="R266" s="59"/>
    </row>
    <row r="267" spans="18:18" x14ac:dyDescent="0.2">
      <c r="R267" s="59"/>
    </row>
    <row r="268" spans="18:18" x14ac:dyDescent="0.2">
      <c r="R268" s="59"/>
    </row>
    <row r="269" spans="18:18" x14ac:dyDescent="0.2">
      <c r="R269" s="59"/>
    </row>
    <row r="270" spans="18:18" x14ac:dyDescent="0.2">
      <c r="R270" s="59"/>
    </row>
    <row r="271" spans="18:18" x14ac:dyDescent="0.2">
      <c r="R271" s="59"/>
    </row>
    <row r="272" spans="18:18" x14ac:dyDescent="0.2">
      <c r="R272" s="59"/>
    </row>
    <row r="273" spans="18:18" x14ac:dyDescent="0.2">
      <c r="R273" s="59"/>
    </row>
    <row r="274" spans="18:18" x14ac:dyDescent="0.2">
      <c r="R274" s="59"/>
    </row>
    <row r="275" spans="18:18" x14ac:dyDescent="0.2">
      <c r="R275" s="59"/>
    </row>
    <row r="276" spans="18:18" x14ac:dyDescent="0.2">
      <c r="R276" s="59"/>
    </row>
    <row r="277" spans="18:18" x14ac:dyDescent="0.2">
      <c r="R277" s="59"/>
    </row>
    <row r="278" spans="18:18" x14ac:dyDescent="0.2">
      <c r="R278" s="59"/>
    </row>
    <row r="279" spans="18:18" x14ac:dyDescent="0.2">
      <c r="R279" s="59"/>
    </row>
    <row r="280" spans="18:18" x14ac:dyDescent="0.2">
      <c r="R280" s="59"/>
    </row>
    <row r="281" spans="18:18" x14ac:dyDescent="0.2">
      <c r="R281" s="59"/>
    </row>
    <row r="282" spans="18:18" x14ac:dyDescent="0.2">
      <c r="R282" s="59"/>
    </row>
    <row r="283" spans="18:18" x14ac:dyDescent="0.2">
      <c r="R283" s="59"/>
    </row>
    <row r="284" spans="18:18" x14ac:dyDescent="0.2">
      <c r="R284" s="59"/>
    </row>
    <row r="285" spans="18:18" x14ac:dyDescent="0.2">
      <c r="R285" s="59"/>
    </row>
    <row r="286" spans="18:18" x14ac:dyDescent="0.2">
      <c r="R286" s="59"/>
    </row>
    <row r="287" spans="18:18" x14ac:dyDescent="0.2">
      <c r="R287" s="59"/>
    </row>
    <row r="288" spans="18:18" x14ac:dyDescent="0.2">
      <c r="R288" s="59"/>
    </row>
    <row r="289" spans="18:18" x14ac:dyDescent="0.2">
      <c r="R289" s="59"/>
    </row>
    <row r="290" spans="18:18" x14ac:dyDescent="0.2">
      <c r="R290" s="59"/>
    </row>
    <row r="291" spans="18:18" x14ac:dyDescent="0.2">
      <c r="R291" s="59"/>
    </row>
    <row r="292" spans="18:18" x14ac:dyDescent="0.2">
      <c r="R292" s="59"/>
    </row>
    <row r="293" spans="18:18" x14ac:dyDescent="0.2">
      <c r="R293" s="59"/>
    </row>
    <row r="294" spans="18:18" x14ac:dyDescent="0.2">
      <c r="R294" s="59"/>
    </row>
    <row r="295" spans="18:18" x14ac:dyDescent="0.2">
      <c r="R295" s="59"/>
    </row>
    <row r="296" spans="18:18" x14ac:dyDescent="0.2">
      <c r="R296" s="59"/>
    </row>
    <row r="297" spans="18:18" x14ac:dyDescent="0.2">
      <c r="R297" s="59"/>
    </row>
    <row r="298" spans="18:18" x14ac:dyDescent="0.2">
      <c r="R298" s="59"/>
    </row>
    <row r="299" spans="18:18" x14ac:dyDescent="0.2">
      <c r="R299" s="59"/>
    </row>
    <row r="300" spans="18:18" x14ac:dyDescent="0.2">
      <c r="R300" s="59"/>
    </row>
    <row r="301" spans="18:18" x14ac:dyDescent="0.2">
      <c r="R301" s="59"/>
    </row>
    <row r="302" spans="18:18" x14ac:dyDescent="0.2">
      <c r="R302" s="59"/>
    </row>
    <row r="303" spans="18:18" x14ac:dyDescent="0.2">
      <c r="R303" s="59"/>
    </row>
    <row r="304" spans="18:18" x14ac:dyDescent="0.2">
      <c r="R304" s="59"/>
    </row>
    <row r="305" spans="18:18" x14ac:dyDescent="0.2">
      <c r="R305" s="59"/>
    </row>
    <row r="306" spans="18:18" x14ac:dyDescent="0.2">
      <c r="R306" s="59"/>
    </row>
    <row r="307" spans="18:18" x14ac:dyDescent="0.2">
      <c r="R307" s="59"/>
    </row>
    <row r="308" spans="18:18" x14ac:dyDescent="0.2">
      <c r="R308" s="59"/>
    </row>
    <row r="309" spans="18:18" x14ac:dyDescent="0.2">
      <c r="R309" s="59"/>
    </row>
    <row r="310" spans="18:18" x14ac:dyDescent="0.2">
      <c r="R310" s="59"/>
    </row>
    <row r="311" spans="18:18" x14ac:dyDescent="0.2">
      <c r="R311" s="59"/>
    </row>
    <row r="312" spans="18:18" x14ac:dyDescent="0.2">
      <c r="R312" s="59"/>
    </row>
    <row r="313" spans="18:18" x14ac:dyDescent="0.2">
      <c r="R313" s="59"/>
    </row>
    <row r="314" spans="18:18" x14ac:dyDescent="0.2">
      <c r="R314" s="59"/>
    </row>
    <row r="315" spans="18:18" x14ac:dyDescent="0.2">
      <c r="R315" s="59"/>
    </row>
    <row r="316" spans="18:18" x14ac:dyDescent="0.2">
      <c r="R316" s="59"/>
    </row>
    <row r="317" spans="18:18" x14ac:dyDescent="0.2">
      <c r="R317" s="59"/>
    </row>
    <row r="318" spans="18:18" x14ac:dyDescent="0.2">
      <c r="R318" s="59"/>
    </row>
    <row r="319" spans="18:18" x14ac:dyDescent="0.2">
      <c r="R319" s="59"/>
    </row>
    <row r="320" spans="18:18" x14ac:dyDescent="0.2">
      <c r="R320" s="59"/>
    </row>
    <row r="321" spans="18:18" x14ac:dyDescent="0.2">
      <c r="R321" s="59"/>
    </row>
    <row r="322" spans="18:18" x14ac:dyDescent="0.2">
      <c r="R322" s="59"/>
    </row>
    <row r="323" spans="18:18" x14ac:dyDescent="0.2">
      <c r="R323" s="59"/>
    </row>
    <row r="324" spans="18:18" x14ac:dyDescent="0.2">
      <c r="R324" s="59"/>
    </row>
    <row r="325" spans="18:18" x14ac:dyDescent="0.2">
      <c r="R325" s="59"/>
    </row>
    <row r="326" spans="18:18" x14ac:dyDescent="0.2">
      <c r="R326" s="59"/>
    </row>
    <row r="327" spans="18:18" x14ac:dyDescent="0.2">
      <c r="R327" s="59"/>
    </row>
    <row r="328" spans="18:18" x14ac:dyDescent="0.2">
      <c r="R328" s="59"/>
    </row>
    <row r="329" spans="18:18" x14ac:dyDescent="0.2">
      <c r="R329" s="59"/>
    </row>
    <row r="330" spans="18:18" x14ac:dyDescent="0.2">
      <c r="R330" s="59"/>
    </row>
    <row r="331" spans="18:18" x14ac:dyDescent="0.2">
      <c r="R331" s="59"/>
    </row>
    <row r="332" spans="18:18" x14ac:dyDescent="0.2">
      <c r="R332" s="59"/>
    </row>
    <row r="333" spans="18:18" x14ac:dyDescent="0.2">
      <c r="R333" s="59"/>
    </row>
    <row r="334" spans="18:18" x14ac:dyDescent="0.2">
      <c r="R334" s="59"/>
    </row>
    <row r="335" spans="18:18" x14ac:dyDescent="0.2">
      <c r="R335" s="59"/>
    </row>
    <row r="336" spans="18:18" x14ac:dyDescent="0.2">
      <c r="R336" s="59"/>
    </row>
    <row r="337" spans="18:18" x14ac:dyDescent="0.2">
      <c r="R337" s="59"/>
    </row>
    <row r="338" spans="18:18" x14ac:dyDescent="0.2">
      <c r="R338" s="59"/>
    </row>
    <row r="339" spans="18:18" x14ac:dyDescent="0.2">
      <c r="R339" s="59"/>
    </row>
    <row r="340" spans="18:18" x14ac:dyDescent="0.2">
      <c r="R340" s="59"/>
    </row>
    <row r="341" spans="18:18" x14ac:dyDescent="0.2">
      <c r="R341" s="59"/>
    </row>
    <row r="342" spans="18:18" x14ac:dyDescent="0.2">
      <c r="R342" s="59"/>
    </row>
    <row r="343" spans="18:18" x14ac:dyDescent="0.2">
      <c r="R343" s="59"/>
    </row>
    <row r="344" spans="18:18" x14ac:dyDescent="0.2">
      <c r="R344" s="59"/>
    </row>
    <row r="345" spans="18:18" x14ac:dyDescent="0.2">
      <c r="R345" s="59"/>
    </row>
    <row r="346" spans="18:18" x14ac:dyDescent="0.2">
      <c r="R346" s="59"/>
    </row>
    <row r="347" spans="18:18" x14ac:dyDescent="0.2">
      <c r="R347" s="59"/>
    </row>
    <row r="348" spans="18:18" x14ac:dyDescent="0.2">
      <c r="R348" s="59"/>
    </row>
    <row r="349" spans="18:18" x14ac:dyDescent="0.2">
      <c r="R349" s="59"/>
    </row>
    <row r="350" spans="18:18" x14ac:dyDescent="0.2">
      <c r="R350" s="59"/>
    </row>
    <row r="351" spans="18:18" x14ac:dyDescent="0.2">
      <c r="R351" s="59"/>
    </row>
    <row r="352" spans="18:18" x14ac:dyDescent="0.2">
      <c r="R352" s="59"/>
    </row>
    <row r="353" spans="18:18" x14ac:dyDescent="0.2">
      <c r="R353" s="59"/>
    </row>
    <row r="354" spans="18:18" x14ac:dyDescent="0.2">
      <c r="R354" s="59"/>
    </row>
    <row r="355" spans="18:18" x14ac:dyDescent="0.2">
      <c r="R355" s="59"/>
    </row>
    <row r="356" spans="18:18" x14ac:dyDescent="0.2">
      <c r="R356" s="59"/>
    </row>
    <row r="357" spans="18:18" x14ac:dyDescent="0.2">
      <c r="R357" s="59"/>
    </row>
    <row r="358" spans="18:18" x14ac:dyDescent="0.2">
      <c r="R358" s="59"/>
    </row>
    <row r="359" spans="18:18" x14ac:dyDescent="0.2">
      <c r="R359" s="59"/>
    </row>
    <row r="360" spans="18:18" x14ac:dyDescent="0.2">
      <c r="R360" s="59"/>
    </row>
    <row r="361" spans="18:18" x14ac:dyDescent="0.2">
      <c r="R361" s="59"/>
    </row>
    <row r="362" spans="18:18" x14ac:dyDescent="0.2">
      <c r="R362" s="59"/>
    </row>
    <row r="363" spans="18:18" x14ac:dyDescent="0.2">
      <c r="R363" s="59"/>
    </row>
    <row r="364" spans="18:18" x14ac:dyDescent="0.2">
      <c r="R364" s="59"/>
    </row>
    <row r="365" spans="18:18" x14ac:dyDescent="0.2">
      <c r="R365" s="59"/>
    </row>
    <row r="366" spans="18:18" x14ac:dyDescent="0.2">
      <c r="R366" s="59"/>
    </row>
    <row r="367" spans="18:18" x14ac:dyDescent="0.2">
      <c r="R367" s="59"/>
    </row>
    <row r="368" spans="18:18" x14ac:dyDescent="0.2">
      <c r="R368" s="59"/>
    </row>
    <row r="369" spans="18:18" x14ac:dyDescent="0.2">
      <c r="R369" s="59"/>
    </row>
    <row r="370" spans="18:18" x14ac:dyDescent="0.2">
      <c r="R370" s="59"/>
    </row>
    <row r="371" spans="18:18" x14ac:dyDescent="0.2">
      <c r="R371" s="59"/>
    </row>
    <row r="372" spans="18:18" x14ac:dyDescent="0.2">
      <c r="R372" s="59"/>
    </row>
    <row r="373" spans="18:18" x14ac:dyDescent="0.2">
      <c r="R373" s="59"/>
    </row>
    <row r="374" spans="18:18" x14ac:dyDescent="0.2">
      <c r="R374" s="59"/>
    </row>
    <row r="375" spans="18:18" x14ac:dyDescent="0.2">
      <c r="R375" s="59"/>
    </row>
    <row r="376" spans="18:18" x14ac:dyDescent="0.2">
      <c r="R376" s="59"/>
    </row>
    <row r="377" spans="18:18" x14ac:dyDescent="0.2">
      <c r="R377" s="59"/>
    </row>
    <row r="378" spans="18:18" x14ac:dyDescent="0.2">
      <c r="R378" s="59"/>
    </row>
    <row r="379" spans="18:18" x14ac:dyDescent="0.2">
      <c r="R379" s="59"/>
    </row>
    <row r="380" spans="18:18" x14ac:dyDescent="0.2">
      <c r="R380" s="59"/>
    </row>
    <row r="381" spans="18:18" x14ac:dyDescent="0.2">
      <c r="R381" s="59"/>
    </row>
    <row r="382" spans="18:18" x14ac:dyDescent="0.2">
      <c r="R382" s="59"/>
    </row>
    <row r="383" spans="18:18" x14ac:dyDescent="0.2">
      <c r="R383" s="59"/>
    </row>
    <row r="384" spans="18:18" x14ac:dyDescent="0.2">
      <c r="R384" s="59"/>
    </row>
    <row r="385" spans="18:18" x14ac:dyDescent="0.2">
      <c r="R385" s="59"/>
    </row>
    <row r="386" spans="18:18" x14ac:dyDescent="0.2">
      <c r="R386" s="59"/>
    </row>
    <row r="387" spans="18:18" x14ac:dyDescent="0.2">
      <c r="R387" s="59"/>
    </row>
    <row r="388" spans="18:18" x14ac:dyDescent="0.2">
      <c r="R388" s="59"/>
    </row>
    <row r="389" spans="18:18" x14ac:dyDescent="0.2">
      <c r="R389" s="59"/>
    </row>
    <row r="390" spans="18:18" x14ac:dyDescent="0.2">
      <c r="R390" s="59"/>
    </row>
    <row r="391" spans="18:18" x14ac:dyDescent="0.2">
      <c r="R391" s="59"/>
    </row>
    <row r="392" spans="18:18" x14ac:dyDescent="0.2">
      <c r="R392" s="59"/>
    </row>
    <row r="393" spans="18:18" x14ac:dyDescent="0.2">
      <c r="R393" s="59"/>
    </row>
    <row r="394" spans="18:18" x14ac:dyDescent="0.2">
      <c r="R394" s="59"/>
    </row>
    <row r="395" spans="18:18" x14ac:dyDescent="0.2">
      <c r="R395" s="59"/>
    </row>
    <row r="396" spans="18:18" x14ac:dyDescent="0.2">
      <c r="R396" s="59"/>
    </row>
    <row r="397" spans="18:18" x14ac:dyDescent="0.2">
      <c r="R397" s="59"/>
    </row>
    <row r="398" spans="18:18" x14ac:dyDescent="0.2">
      <c r="R398" s="59"/>
    </row>
    <row r="399" spans="18:18" x14ac:dyDescent="0.2">
      <c r="R399" s="59"/>
    </row>
    <row r="400" spans="18:18" x14ac:dyDescent="0.2">
      <c r="R400" s="59"/>
    </row>
    <row r="401" spans="18:18" x14ac:dyDescent="0.2">
      <c r="R401" s="59"/>
    </row>
    <row r="402" spans="18:18" x14ac:dyDescent="0.2">
      <c r="R402" s="59"/>
    </row>
    <row r="403" spans="18:18" x14ac:dyDescent="0.2">
      <c r="R403" s="59"/>
    </row>
    <row r="404" spans="18:18" x14ac:dyDescent="0.2">
      <c r="R404" s="59"/>
    </row>
    <row r="405" spans="18:18" x14ac:dyDescent="0.2">
      <c r="R405" s="59"/>
    </row>
    <row r="406" spans="18:18" x14ac:dyDescent="0.2">
      <c r="R406" s="59"/>
    </row>
    <row r="407" spans="18:18" x14ac:dyDescent="0.2">
      <c r="R407" s="59"/>
    </row>
    <row r="408" spans="18:18" x14ac:dyDescent="0.2">
      <c r="R408" s="59"/>
    </row>
    <row r="409" spans="18:18" x14ac:dyDescent="0.2">
      <c r="R409" s="59"/>
    </row>
    <row r="410" spans="18:18" x14ac:dyDescent="0.2">
      <c r="R410" s="59"/>
    </row>
    <row r="411" spans="18:18" x14ac:dyDescent="0.2">
      <c r="R411" s="59"/>
    </row>
    <row r="412" spans="18:18" x14ac:dyDescent="0.2">
      <c r="R412" s="59"/>
    </row>
    <row r="413" spans="18:18" x14ac:dyDescent="0.2">
      <c r="R413" s="59"/>
    </row>
    <row r="414" spans="18:18" x14ac:dyDescent="0.2">
      <c r="R414" s="59"/>
    </row>
    <row r="415" spans="18:18" x14ac:dyDescent="0.2">
      <c r="R415" s="59"/>
    </row>
    <row r="416" spans="18:18" x14ac:dyDescent="0.2">
      <c r="R416" s="59"/>
    </row>
    <row r="417" spans="18:18" x14ac:dyDescent="0.2">
      <c r="R417" s="59"/>
    </row>
    <row r="418" spans="18:18" x14ac:dyDescent="0.2">
      <c r="R418" s="59"/>
    </row>
    <row r="419" spans="18:18" x14ac:dyDescent="0.2">
      <c r="R419" s="59"/>
    </row>
    <row r="420" spans="18:18" x14ac:dyDescent="0.2">
      <c r="R420" s="59"/>
    </row>
    <row r="421" spans="18:18" x14ac:dyDescent="0.2">
      <c r="R421" s="59"/>
    </row>
    <row r="422" spans="18:18" x14ac:dyDescent="0.2">
      <c r="R422" s="59"/>
    </row>
    <row r="423" spans="18:18" x14ac:dyDescent="0.2">
      <c r="R423" s="59"/>
    </row>
    <row r="424" spans="18:18" x14ac:dyDescent="0.2">
      <c r="R424" s="59"/>
    </row>
    <row r="425" spans="18:18" x14ac:dyDescent="0.2">
      <c r="R425" s="59"/>
    </row>
    <row r="426" spans="18:18" x14ac:dyDescent="0.2">
      <c r="R426" s="59"/>
    </row>
    <row r="427" spans="18:18" x14ac:dyDescent="0.2">
      <c r="R427" s="59"/>
    </row>
    <row r="428" spans="18:18" x14ac:dyDescent="0.2">
      <c r="R428" s="59"/>
    </row>
    <row r="429" spans="18:18" x14ac:dyDescent="0.2">
      <c r="R429" s="59"/>
    </row>
    <row r="430" spans="18:18" x14ac:dyDescent="0.2">
      <c r="R430" s="59"/>
    </row>
    <row r="431" spans="18:18" x14ac:dyDescent="0.2">
      <c r="R431" s="59"/>
    </row>
    <row r="432" spans="18:18" x14ac:dyDescent="0.2">
      <c r="R432" s="59"/>
    </row>
    <row r="433" spans="18:18" x14ac:dyDescent="0.2">
      <c r="R433" s="59"/>
    </row>
    <row r="434" spans="18:18" x14ac:dyDescent="0.2">
      <c r="R434" s="59"/>
    </row>
    <row r="435" spans="18:18" x14ac:dyDescent="0.2">
      <c r="R435" s="59"/>
    </row>
    <row r="436" spans="18:18" x14ac:dyDescent="0.2">
      <c r="R436" s="59"/>
    </row>
    <row r="437" spans="18:18" x14ac:dyDescent="0.2">
      <c r="R437" s="59"/>
    </row>
    <row r="438" spans="18:18" x14ac:dyDescent="0.2">
      <c r="R438" s="59"/>
    </row>
    <row r="439" spans="18:18" x14ac:dyDescent="0.2">
      <c r="R439" s="59"/>
    </row>
    <row r="440" spans="18:18" x14ac:dyDescent="0.2">
      <c r="R440" s="59"/>
    </row>
    <row r="441" spans="18:18" x14ac:dyDescent="0.2">
      <c r="R441" s="59"/>
    </row>
    <row r="442" spans="18:18" x14ac:dyDescent="0.2">
      <c r="R442" s="59"/>
    </row>
    <row r="443" spans="18:18" x14ac:dyDescent="0.2">
      <c r="R443" s="59"/>
    </row>
    <row r="444" spans="18:18" x14ac:dyDescent="0.2">
      <c r="R444" s="59"/>
    </row>
    <row r="445" spans="18:18" x14ac:dyDescent="0.2">
      <c r="R445" s="59"/>
    </row>
    <row r="446" spans="18:18" x14ac:dyDescent="0.2">
      <c r="R446" s="59"/>
    </row>
    <row r="447" spans="18:18" x14ac:dyDescent="0.2">
      <c r="R447" s="59"/>
    </row>
    <row r="448" spans="18:18" x14ac:dyDescent="0.2">
      <c r="R448" s="59"/>
    </row>
    <row r="449" spans="18:18" x14ac:dyDescent="0.2">
      <c r="R449" s="59"/>
    </row>
    <row r="450" spans="18:18" x14ac:dyDescent="0.2">
      <c r="R450" s="59"/>
    </row>
    <row r="451" spans="18:18" x14ac:dyDescent="0.2">
      <c r="R451" s="59"/>
    </row>
    <row r="452" spans="18:18" x14ac:dyDescent="0.2">
      <c r="R452" s="59"/>
    </row>
    <row r="453" spans="18:18" x14ac:dyDescent="0.2">
      <c r="R453" s="59"/>
    </row>
    <row r="454" spans="18:18" x14ac:dyDescent="0.2">
      <c r="R454" s="59"/>
    </row>
    <row r="455" spans="18:18" x14ac:dyDescent="0.2">
      <c r="R455" s="59"/>
    </row>
    <row r="456" spans="18:18" x14ac:dyDescent="0.2">
      <c r="R456" s="59"/>
    </row>
    <row r="457" spans="18:18" x14ac:dyDescent="0.2">
      <c r="R457" s="59"/>
    </row>
    <row r="458" spans="18:18" x14ac:dyDescent="0.2">
      <c r="R458" s="59"/>
    </row>
    <row r="459" spans="18:18" x14ac:dyDescent="0.2">
      <c r="R459" s="59"/>
    </row>
    <row r="460" spans="18:18" x14ac:dyDescent="0.2">
      <c r="R460" s="59"/>
    </row>
    <row r="461" spans="18:18" x14ac:dyDescent="0.2">
      <c r="R461" s="59"/>
    </row>
    <row r="462" spans="18:18" x14ac:dyDescent="0.2">
      <c r="R462" s="59"/>
    </row>
    <row r="463" spans="18:18" x14ac:dyDescent="0.2">
      <c r="R463" s="59"/>
    </row>
    <row r="464" spans="18:18" x14ac:dyDescent="0.2">
      <c r="R464" s="59"/>
    </row>
    <row r="465" spans="18:18" x14ac:dyDescent="0.2">
      <c r="R465" s="59"/>
    </row>
    <row r="466" spans="18:18" x14ac:dyDescent="0.2">
      <c r="R466" s="59"/>
    </row>
    <row r="467" spans="18:18" x14ac:dyDescent="0.2">
      <c r="R467" s="59"/>
    </row>
    <row r="468" spans="18:18" x14ac:dyDescent="0.2">
      <c r="R468" s="59"/>
    </row>
    <row r="469" spans="18:18" x14ac:dyDescent="0.2">
      <c r="R469" s="59"/>
    </row>
    <row r="470" spans="18:18" x14ac:dyDescent="0.2">
      <c r="R470" s="59"/>
    </row>
    <row r="471" spans="18:18" x14ac:dyDescent="0.2">
      <c r="R471" s="59"/>
    </row>
    <row r="472" spans="18:18" x14ac:dyDescent="0.2">
      <c r="R472" s="59"/>
    </row>
    <row r="473" spans="18:18" x14ac:dyDescent="0.2">
      <c r="R473" s="59"/>
    </row>
    <row r="474" spans="18:18" x14ac:dyDescent="0.2">
      <c r="R474" s="59"/>
    </row>
    <row r="475" spans="18:18" x14ac:dyDescent="0.2">
      <c r="R475" s="59"/>
    </row>
    <row r="476" spans="18:18" x14ac:dyDescent="0.2">
      <c r="R476" s="59"/>
    </row>
    <row r="477" spans="18:18" x14ac:dyDescent="0.2">
      <c r="R477" s="59"/>
    </row>
    <row r="478" spans="18:18" x14ac:dyDescent="0.2">
      <c r="R478" s="59"/>
    </row>
    <row r="479" spans="18:18" x14ac:dyDescent="0.2">
      <c r="R479" s="59"/>
    </row>
    <row r="480" spans="18:18" x14ac:dyDescent="0.2">
      <c r="R480" s="59"/>
    </row>
    <row r="481" spans="18:18" x14ac:dyDescent="0.2">
      <c r="R481" s="59"/>
    </row>
    <row r="482" spans="18:18" x14ac:dyDescent="0.2">
      <c r="R482" s="59"/>
    </row>
    <row r="483" spans="18:18" x14ac:dyDescent="0.2">
      <c r="R483" s="59"/>
    </row>
    <row r="484" spans="18:18" x14ac:dyDescent="0.2">
      <c r="R484" s="59"/>
    </row>
    <row r="485" spans="18:18" x14ac:dyDescent="0.2">
      <c r="R485" s="59"/>
    </row>
    <row r="486" spans="18:18" x14ac:dyDescent="0.2">
      <c r="R486" s="59"/>
    </row>
    <row r="487" spans="18:18" x14ac:dyDescent="0.2">
      <c r="R487" s="59"/>
    </row>
    <row r="488" spans="18:18" x14ac:dyDescent="0.2">
      <c r="R488" s="59"/>
    </row>
    <row r="489" spans="18:18" x14ac:dyDescent="0.2">
      <c r="R489" s="59"/>
    </row>
    <row r="490" spans="18:18" x14ac:dyDescent="0.2">
      <c r="R490" s="59"/>
    </row>
    <row r="491" spans="18:18" x14ac:dyDescent="0.2">
      <c r="R491" s="59"/>
    </row>
    <row r="492" spans="18:18" x14ac:dyDescent="0.2">
      <c r="R492" s="59"/>
    </row>
    <row r="493" spans="18:18" x14ac:dyDescent="0.2">
      <c r="R493" s="59"/>
    </row>
    <row r="494" spans="18:18" x14ac:dyDescent="0.2">
      <c r="R494" s="59"/>
    </row>
    <row r="495" spans="18:18" x14ac:dyDescent="0.2">
      <c r="R495" s="59"/>
    </row>
    <row r="496" spans="18:18" x14ac:dyDescent="0.2">
      <c r="R496" s="59"/>
    </row>
    <row r="497" spans="18:18" x14ac:dyDescent="0.2">
      <c r="R497" s="59"/>
    </row>
    <row r="498" spans="18:18" x14ac:dyDescent="0.2">
      <c r="R498" s="59"/>
    </row>
    <row r="499" spans="18:18" x14ac:dyDescent="0.2">
      <c r="R499" s="59"/>
    </row>
    <row r="500" spans="18:18" x14ac:dyDescent="0.2">
      <c r="R500" s="59"/>
    </row>
    <row r="501" spans="18:18" x14ac:dyDescent="0.2">
      <c r="R501" s="59"/>
    </row>
    <row r="502" spans="18:18" x14ac:dyDescent="0.2">
      <c r="R502" s="59"/>
    </row>
    <row r="503" spans="18:18" x14ac:dyDescent="0.2">
      <c r="R503" s="59"/>
    </row>
    <row r="504" spans="18:18" x14ac:dyDescent="0.2">
      <c r="R504" s="59"/>
    </row>
    <row r="505" spans="18:18" x14ac:dyDescent="0.2">
      <c r="R505" s="59"/>
    </row>
    <row r="506" spans="18:18" x14ac:dyDescent="0.2">
      <c r="R506" s="59"/>
    </row>
    <row r="507" spans="18:18" x14ac:dyDescent="0.2">
      <c r="R507" s="59"/>
    </row>
    <row r="508" spans="18:18" x14ac:dyDescent="0.2">
      <c r="R508" s="59"/>
    </row>
    <row r="509" spans="18:18" x14ac:dyDescent="0.2">
      <c r="R509" s="59"/>
    </row>
    <row r="510" spans="18:18" x14ac:dyDescent="0.2">
      <c r="R510" s="59"/>
    </row>
    <row r="511" spans="18:18" x14ac:dyDescent="0.2">
      <c r="R511" s="59"/>
    </row>
    <row r="512" spans="18:18" x14ac:dyDescent="0.2">
      <c r="R512" s="59"/>
    </row>
    <row r="513" spans="18:18" x14ac:dyDescent="0.2">
      <c r="R513" s="59"/>
    </row>
    <row r="514" spans="18:18" x14ac:dyDescent="0.2">
      <c r="R514" s="59"/>
    </row>
    <row r="515" spans="18:18" x14ac:dyDescent="0.2">
      <c r="R515" s="59"/>
    </row>
    <row r="516" spans="18:18" x14ac:dyDescent="0.2">
      <c r="R516" s="59"/>
    </row>
    <row r="517" spans="18:18" x14ac:dyDescent="0.2">
      <c r="R517" s="59"/>
    </row>
    <row r="518" spans="18:18" x14ac:dyDescent="0.2">
      <c r="R518" s="59"/>
    </row>
    <row r="519" spans="18:18" x14ac:dyDescent="0.2">
      <c r="R519" s="59"/>
    </row>
    <row r="520" spans="18:18" x14ac:dyDescent="0.2">
      <c r="R520" s="59"/>
    </row>
    <row r="521" spans="18:18" x14ac:dyDescent="0.2">
      <c r="R521" s="59"/>
    </row>
    <row r="522" spans="18:18" x14ac:dyDescent="0.2">
      <c r="R522" s="59"/>
    </row>
    <row r="523" spans="18:18" x14ac:dyDescent="0.2">
      <c r="R523" s="59"/>
    </row>
    <row r="524" spans="18:18" x14ac:dyDescent="0.2">
      <c r="R524" s="59"/>
    </row>
    <row r="525" spans="18:18" x14ac:dyDescent="0.2">
      <c r="R525" s="59"/>
    </row>
    <row r="526" spans="18:18" x14ac:dyDescent="0.2">
      <c r="R526" s="59"/>
    </row>
    <row r="527" spans="18:18" x14ac:dyDescent="0.2">
      <c r="R527" s="59"/>
    </row>
    <row r="528" spans="18:18" x14ac:dyDescent="0.2">
      <c r="R528" s="59"/>
    </row>
    <row r="529" spans="18:18" x14ac:dyDescent="0.2">
      <c r="R529" s="59"/>
    </row>
    <row r="530" spans="18:18" x14ac:dyDescent="0.2">
      <c r="R530" s="59"/>
    </row>
    <row r="531" spans="18:18" x14ac:dyDescent="0.2">
      <c r="R531" s="59"/>
    </row>
    <row r="532" spans="18:18" x14ac:dyDescent="0.2">
      <c r="R532" s="59"/>
    </row>
    <row r="533" spans="18:18" x14ac:dyDescent="0.2">
      <c r="R533" s="59"/>
    </row>
    <row r="534" spans="18:18" x14ac:dyDescent="0.2">
      <c r="R534" s="59"/>
    </row>
    <row r="535" spans="18:18" x14ac:dyDescent="0.2">
      <c r="R535" s="59"/>
    </row>
    <row r="536" spans="18:18" x14ac:dyDescent="0.2">
      <c r="R536" s="59"/>
    </row>
    <row r="537" spans="18:18" x14ac:dyDescent="0.2">
      <c r="R537" s="59"/>
    </row>
    <row r="538" spans="18:18" x14ac:dyDescent="0.2">
      <c r="R538" s="59"/>
    </row>
    <row r="539" spans="18:18" x14ac:dyDescent="0.2">
      <c r="R539" s="59"/>
    </row>
    <row r="540" spans="18:18" x14ac:dyDescent="0.2">
      <c r="R540" s="59"/>
    </row>
    <row r="541" spans="18:18" x14ac:dyDescent="0.2">
      <c r="R541" s="59"/>
    </row>
    <row r="542" spans="18:18" x14ac:dyDescent="0.2">
      <c r="R542" s="59"/>
    </row>
    <row r="543" spans="18:18" x14ac:dyDescent="0.2">
      <c r="R543" s="59"/>
    </row>
    <row r="544" spans="18:18" x14ac:dyDescent="0.2">
      <c r="R544" s="59"/>
    </row>
    <row r="545" spans="18:18" x14ac:dyDescent="0.2">
      <c r="R545" s="59"/>
    </row>
    <row r="546" spans="18:18" x14ac:dyDescent="0.2">
      <c r="R546" s="59"/>
    </row>
    <row r="547" spans="18:18" x14ac:dyDescent="0.2">
      <c r="R547" s="59"/>
    </row>
    <row r="548" spans="18:18" x14ac:dyDescent="0.2">
      <c r="R548" s="59"/>
    </row>
    <row r="549" spans="18:18" x14ac:dyDescent="0.2">
      <c r="R549" s="59"/>
    </row>
    <row r="550" spans="18:18" x14ac:dyDescent="0.2">
      <c r="R550" s="59"/>
    </row>
    <row r="551" spans="18:18" x14ac:dyDescent="0.2">
      <c r="R551" s="59"/>
    </row>
    <row r="552" spans="18:18" x14ac:dyDescent="0.2">
      <c r="R552" s="59"/>
    </row>
    <row r="553" spans="18:18" x14ac:dyDescent="0.2">
      <c r="R553" s="59"/>
    </row>
    <row r="554" spans="18:18" x14ac:dyDescent="0.2">
      <c r="R554" s="59"/>
    </row>
    <row r="555" spans="18:18" x14ac:dyDescent="0.2">
      <c r="R555" s="59"/>
    </row>
    <row r="556" spans="18:18" x14ac:dyDescent="0.2">
      <c r="R556" s="59"/>
    </row>
    <row r="557" spans="18:18" x14ac:dyDescent="0.2">
      <c r="R557" s="59"/>
    </row>
    <row r="558" spans="18:18" x14ac:dyDescent="0.2">
      <c r="R558" s="59"/>
    </row>
    <row r="559" spans="18:18" x14ac:dyDescent="0.2">
      <c r="R559" s="59"/>
    </row>
    <row r="560" spans="18:18" x14ac:dyDescent="0.2">
      <c r="R560" s="59"/>
    </row>
    <row r="561" spans="18:18" x14ac:dyDescent="0.2">
      <c r="R561" s="59"/>
    </row>
    <row r="562" spans="18:18" x14ac:dyDescent="0.2">
      <c r="R562" s="59"/>
    </row>
    <row r="563" spans="18:18" x14ac:dyDescent="0.2">
      <c r="R563" s="59"/>
    </row>
    <row r="564" spans="18:18" x14ac:dyDescent="0.2">
      <c r="R564" s="59"/>
    </row>
    <row r="565" spans="18:18" x14ac:dyDescent="0.2">
      <c r="R565" s="59"/>
    </row>
    <row r="566" spans="18:18" x14ac:dyDescent="0.2">
      <c r="R566" s="59"/>
    </row>
    <row r="567" spans="18:18" x14ac:dyDescent="0.2">
      <c r="R567" s="59"/>
    </row>
    <row r="568" spans="18:18" x14ac:dyDescent="0.2">
      <c r="R568" s="59"/>
    </row>
    <row r="569" spans="18:18" x14ac:dyDescent="0.2">
      <c r="R569" s="59"/>
    </row>
    <row r="570" spans="18:18" x14ac:dyDescent="0.2">
      <c r="R570" s="59"/>
    </row>
    <row r="571" spans="18:18" x14ac:dyDescent="0.2">
      <c r="R571" s="59"/>
    </row>
    <row r="572" spans="18:18" x14ac:dyDescent="0.2">
      <c r="R572" s="59"/>
    </row>
    <row r="573" spans="18:18" x14ac:dyDescent="0.2">
      <c r="R573" s="59"/>
    </row>
    <row r="574" spans="18:18" x14ac:dyDescent="0.2">
      <c r="R574" s="59"/>
    </row>
    <row r="575" spans="18:18" x14ac:dyDescent="0.2">
      <c r="R575" s="59"/>
    </row>
    <row r="576" spans="18:18" x14ac:dyDescent="0.2">
      <c r="R576" s="59"/>
    </row>
    <row r="577" spans="18:18" x14ac:dyDescent="0.2">
      <c r="R577" s="59"/>
    </row>
    <row r="578" spans="18:18" x14ac:dyDescent="0.2">
      <c r="R578" s="59"/>
    </row>
    <row r="579" spans="18:18" x14ac:dyDescent="0.2">
      <c r="R579" s="59"/>
    </row>
    <row r="580" spans="18:18" x14ac:dyDescent="0.2">
      <c r="R580" s="59"/>
    </row>
    <row r="581" spans="18:18" x14ac:dyDescent="0.2">
      <c r="R581" s="59"/>
    </row>
    <row r="582" spans="18:18" x14ac:dyDescent="0.2">
      <c r="R582" s="59"/>
    </row>
    <row r="583" spans="18:18" x14ac:dyDescent="0.2">
      <c r="R583" s="59"/>
    </row>
    <row r="584" spans="18:18" x14ac:dyDescent="0.2">
      <c r="R584" s="59"/>
    </row>
    <row r="585" spans="18:18" x14ac:dyDescent="0.2">
      <c r="R585" s="59"/>
    </row>
    <row r="586" spans="18:18" x14ac:dyDescent="0.2">
      <c r="R586" s="59"/>
    </row>
    <row r="587" spans="18:18" x14ac:dyDescent="0.2">
      <c r="R587" s="59"/>
    </row>
    <row r="588" spans="18:18" x14ac:dyDescent="0.2">
      <c r="R588" s="59"/>
    </row>
    <row r="589" spans="18:18" x14ac:dyDescent="0.2">
      <c r="R589" s="59"/>
    </row>
    <row r="590" spans="18:18" x14ac:dyDescent="0.2">
      <c r="R590" s="59"/>
    </row>
    <row r="591" spans="18:18" x14ac:dyDescent="0.2">
      <c r="R591" s="59"/>
    </row>
    <row r="592" spans="18:18" x14ac:dyDescent="0.2">
      <c r="R592" s="59"/>
    </row>
    <row r="593" spans="18:18" x14ac:dyDescent="0.2">
      <c r="R593" s="59"/>
    </row>
    <row r="594" spans="18:18" x14ac:dyDescent="0.2">
      <c r="R594" s="59"/>
    </row>
    <row r="595" spans="18:18" x14ac:dyDescent="0.2">
      <c r="R595" s="59"/>
    </row>
    <row r="596" spans="18:18" x14ac:dyDescent="0.2">
      <c r="R596" s="59"/>
    </row>
    <row r="597" spans="18:18" x14ac:dyDescent="0.2">
      <c r="R597" s="59"/>
    </row>
    <row r="598" spans="18:18" x14ac:dyDescent="0.2">
      <c r="R598" s="59"/>
    </row>
    <row r="599" spans="18:18" x14ac:dyDescent="0.2">
      <c r="R599" s="59"/>
    </row>
    <row r="600" spans="18:18" x14ac:dyDescent="0.2">
      <c r="R600" s="59"/>
    </row>
    <row r="601" spans="18:18" x14ac:dyDescent="0.2">
      <c r="R601" s="59"/>
    </row>
    <row r="602" spans="18:18" x14ac:dyDescent="0.2">
      <c r="R602" s="59"/>
    </row>
    <row r="603" spans="18:18" x14ac:dyDescent="0.2">
      <c r="R603" s="59"/>
    </row>
    <row r="604" spans="18:18" x14ac:dyDescent="0.2">
      <c r="R604" s="59"/>
    </row>
    <row r="605" spans="18:18" x14ac:dyDescent="0.2">
      <c r="R605" s="59"/>
    </row>
    <row r="606" spans="18:18" x14ac:dyDescent="0.2">
      <c r="R606" s="59"/>
    </row>
    <row r="607" spans="18:18" x14ac:dyDescent="0.2">
      <c r="R607" s="59"/>
    </row>
    <row r="608" spans="18:18" x14ac:dyDescent="0.2">
      <c r="R608" s="59"/>
    </row>
    <row r="609" spans="18:18" x14ac:dyDescent="0.2">
      <c r="R609" s="59"/>
    </row>
    <row r="610" spans="18:18" x14ac:dyDescent="0.2">
      <c r="R610" s="59"/>
    </row>
    <row r="611" spans="18:18" x14ac:dyDescent="0.2">
      <c r="R611" s="59"/>
    </row>
    <row r="612" spans="18:18" x14ac:dyDescent="0.2">
      <c r="R612" s="59"/>
    </row>
    <row r="613" spans="18:18" x14ac:dyDescent="0.2">
      <c r="R613" s="59"/>
    </row>
    <row r="614" spans="18:18" x14ac:dyDescent="0.2">
      <c r="R614" s="59"/>
    </row>
    <row r="615" spans="18:18" x14ac:dyDescent="0.2">
      <c r="R615" s="59"/>
    </row>
    <row r="616" spans="18:18" x14ac:dyDescent="0.2">
      <c r="R616" s="59"/>
    </row>
    <row r="617" spans="18:18" x14ac:dyDescent="0.2">
      <c r="R617" s="59"/>
    </row>
    <row r="618" spans="18:18" x14ac:dyDescent="0.2">
      <c r="R618" s="59"/>
    </row>
    <row r="619" spans="18:18" x14ac:dyDescent="0.2">
      <c r="R619" s="59"/>
    </row>
    <row r="620" spans="18:18" x14ac:dyDescent="0.2">
      <c r="R620" s="59"/>
    </row>
    <row r="621" spans="18:18" x14ac:dyDescent="0.2">
      <c r="R621" s="59"/>
    </row>
    <row r="622" spans="18:18" x14ac:dyDescent="0.2">
      <c r="R622" s="59"/>
    </row>
    <row r="623" spans="18:18" x14ac:dyDescent="0.2">
      <c r="R623" s="59"/>
    </row>
    <row r="624" spans="18:18" x14ac:dyDescent="0.2">
      <c r="R624" s="59"/>
    </row>
    <row r="625" spans="18:18" x14ac:dyDescent="0.2">
      <c r="R625" s="59"/>
    </row>
    <row r="626" spans="18:18" x14ac:dyDescent="0.2">
      <c r="R626" s="59"/>
    </row>
    <row r="627" spans="18:18" x14ac:dyDescent="0.2">
      <c r="R627" s="59"/>
    </row>
    <row r="628" spans="18:18" x14ac:dyDescent="0.2">
      <c r="R628" s="59"/>
    </row>
    <row r="629" spans="18:18" x14ac:dyDescent="0.2">
      <c r="R629" s="59"/>
    </row>
    <row r="630" spans="18:18" x14ac:dyDescent="0.2">
      <c r="R630" s="59"/>
    </row>
    <row r="631" spans="18:18" x14ac:dyDescent="0.2">
      <c r="R631" s="59"/>
    </row>
    <row r="632" spans="18:18" x14ac:dyDescent="0.2">
      <c r="R632" s="59"/>
    </row>
    <row r="633" spans="18:18" x14ac:dyDescent="0.2">
      <c r="R633" s="59"/>
    </row>
    <row r="634" spans="18:18" x14ac:dyDescent="0.2">
      <c r="R634" s="59"/>
    </row>
    <row r="635" spans="18:18" x14ac:dyDescent="0.2">
      <c r="R635" s="59"/>
    </row>
    <row r="636" spans="18:18" x14ac:dyDescent="0.2">
      <c r="R636" s="59"/>
    </row>
    <row r="637" spans="18:18" x14ac:dyDescent="0.2">
      <c r="R637" s="59"/>
    </row>
    <row r="638" spans="18:18" x14ac:dyDescent="0.2">
      <c r="R638" s="59"/>
    </row>
    <row r="639" spans="18:18" x14ac:dyDescent="0.2">
      <c r="R639" s="59"/>
    </row>
    <row r="640" spans="18:18" x14ac:dyDescent="0.2">
      <c r="R640" s="59"/>
    </row>
    <row r="641" spans="18:18" x14ac:dyDescent="0.2">
      <c r="R641" s="59"/>
    </row>
    <row r="642" spans="18:18" x14ac:dyDescent="0.2">
      <c r="R642" s="59"/>
    </row>
    <row r="643" spans="18:18" x14ac:dyDescent="0.2">
      <c r="R643" s="59"/>
    </row>
    <row r="644" spans="18:18" x14ac:dyDescent="0.2">
      <c r="R644" s="59"/>
    </row>
    <row r="645" spans="18:18" x14ac:dyDescent="0.2">
      <c r="R645" s="59"/>
    </row>
    <row r="646" spans="18:18" x14ac:dyDescent="0.2">
      <c r="R646" s="59"/>
    </row>
    <row r="647" spans="18:18" x14ac:dyDescent="0.2">
      <c r="R647" s="59"/>
    </row>
    <row r="648" spans="18:18" x14ac:dyDescent="0.2">
      <c r="R648" s="59"/>
    </row>
    <row r="649" spans="18:18" x14ac:dyDescent="0.2">
      <c r="R649" s="59"/>
    </row>
    <row r="650" spans="18:18" x14ac:dyDescent="0.2">
      <c r="R650" s="59"/>
    </row>
    <row r="651" spans="18:18" x14ac:dyDescent="0.2">
      <c r="R651" s="59"/>
    </row>
    <row r="652" spans="18:18" x14ac:dyDescent="0.2">
      <c r="R652" s="59"/>
    </row>
    <row r="653" spans="18:18" x14ac:dyDescent="0.2">
      <c r="R653" s="59"/>
    </row>
    <row r="654" spans="18:18" x14ac:dyDescent="0.2">
      <c r="R654" s="59"/>
    </row>
    <row r="655" spans="18:18" x14ac:dyDescent="0.2">
      <c r="R655" s="59"/>
    </row>
    <row r="656" spans="18:18" x14ac:dyDescent="0.2">
      <c r="R656" s="59"/>
    </row>
    <row r="657" spans="18:18" x14ac:dyDescent="0.2">
      <c r="R657" s="59"/>
    </row>
    <row r="658" spans="18:18" x14ac:dyDescent="0.2">
      <c r="R658" s="59"/>
    </row>
    <row r="659" spans="18:18" x14ac:dyDescent="0.2">
      <c r="R659" s="59"/>
    </row>
    <row r="660" spans="18:18" x14ac:dyDescent="0.2">
      <c r="R660" s="59"/>
    </row>
    <row r="661" spans="18:18" x14ac:dyDescent="0.2">
      <c r="R661" s="59"/>
    </row>
    <row r="662" spans="18:18" x14ac:dyDescent="0.2">
      <c r="R662" s="59"/>
    </row>
    <row r="663" spans="18:18" x14ac:dyDescent="0.2">
      <c r="R663" s="59"/>
    </row>
    <row r="664" spans="18:18" x14ac:dyDescent="0.2">
      <c r="R664" s="59"/>
    </row>
    <row r="665" spans="18:18" x14ac:dyDescent="0.2">
      <c r="R665" s="59"/>
    </row>
  </sheetData>
  <sortState ref="C35:E39">
    <sortCondition descending="1" ref="E35"/>
  </sortState>
  <mergeCells count="6">
    <mergeCell ref="B48:O54"/>
    <mergeCell ref="G23:N23"/>
    <mergeCell ref="C3:N3"/>
    <mergeCell ref="D5:E5"/>
    <mergeCell ref="G7:N7"/>
    <mergeCell ref="G20:K20"/>
  </mergeCells>
  <pageMargins left="0.7" right="0.7" top="0.75" bottom="0.75" header="0.3" footer="0.3"/>
  <pageSetup paperSize="9" scale="49"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pageSetUpPr fitToPage="1"/>
  </sheetPr>
  <dimension ref="B1:P702"/>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2" width="9.140625" style="3"/>
    <col min="13" max="13" width="2" style="3" customWidth="1"/>
    <col min="14" max="15" width="9.140625" style="3"/>
    <col min="16" max="16" width="9.85546875" style="3" customWidth="1"/>
    <col min="17" max="18" width="9.28515625" style="3" bestFit="1" customWidth="1"/>
    <col min="19" max="16384" width="9.140625" style="3"/>
  </cols>
  <sheetData>
    <row r="1" spans="2:16" ht="15.75" thickBot="1" x14ac:dyDescent="0.25"/>
    <row r="2" spans="2:16" x14ac:dyDescent="0.2">
      <c r="B2" s="110"/>
      <c r="C2" s="49"/>
      <c r="D2" s="49"/>
      <c r="E2" s="49"/>
      <c r="F2" s="49"/>
      <c r="G2" s="49"/>
      <c r="H2" s="49"/>
      <c r="I2" s="49"/>
      <c r="J2" s="49"/>
      <c r="K2" s="49"/>
      <c r="L2" s="49"/>
      <c r="M2" s="111"/>
    </row>
    <row r="3" spans="2:16" ht="20.25" customHeight="1" x14ac:dyDescent="0.2">
      <c r="B3" s="112"/>
      <c r="C3" s="219" t="s">
        <v>57</v>
      </c>
      <c r="D3" s="219"/>
      <c r="E3" s="219"/>
      <c r="F3" s="219"/>
      <c r="G3" s="219"/>
      <c r="H3" s="219"/>
      <c r="I3" s="219"/>
      <c r="J3" s="219"/>
      <c r="K3" s="219"/>
      <c r="L3" s="219"/>
      <c r="M3" s="220"/>
    </row>
    <row r="4" spans="2:16" ht="15.75" x14ac:dyDescent="0.25">
      <c r="B4" s="112"/>
      <c r="C4" s="85" t="s">
        <v>271</v>
      </c>
      <c r="D4" s="33"/>
      <c r="E4" s="33"/>
      <c r="F4" s="5"/>
      <c r="G4" s="5"/>
      <c r="H4" s="5"/>
      <c r="I4" s="5"/>
      <c r="J4" s="5"/>
      <c r="K4" s="5"/>
      <c r="L4" s="5"/>
      <c r="M4" s="24"/>
    </row>
    <row r="5" spans="2:16" ht="20.25" customHeight="1" x14ac:dyDescent="0.25">
      <c r="B5" s="112"/>
      <c r="C5" s="86" t="s">
        <v>272</v>
      </c>
      <c r="D5" s="113" t="s">
        <v>290</v>
      </c>
      <c r="E5" s="23"/>
      <c r="F5" s="5"/>
      <c r="G5" s="5"/>
      <c r="H5" s="5"/>
      <c r="I5" s="5"/>
      <c r="J5" s="5"/>
      <c r="K5" s="5"/>
      <c r="L5" s="5"/>
      <c r="M5" s="24"/>
    </row>
    <row r="6" spans="2:16" x14ac:dyDescent="0.2">
      <c r="B6" s="112"/>
      <c r="C6" s="5"/>
      <c r="D6" s="5"/>
      <c r="E6" s="5"/>
      <c r="F6" s="5"/>
      <c r="G6" s="5"/>
      <c r="H6" s="5"/>
      <c r="I6" s="5"/>
      <c r="J6" s="5"/>
      <c r="K6" s="5"/>
      <c r="L6" s="5"/>
      <c r="M6" s="24"/>
    </row>
    <row r="7" spans="2:16" ht="32.25" customHeight="1" x14ac:dyDescent="0.2">
      <c r="B7" s="112"/>
      <c r="C7" s="114" t="s">
        <v>48</v>
      </c>
      <c r="D7" s="114" t="s">
        <v>50</v>
      </c>
      <c r="E7" s="5"/>
      <c r="F7" s="221" t="s">
        <v>56</v>
      </c>
      <c r="G7" s="221"/>
      <c r="H7" s="221"/>
      <c r="I7" s="221"/>
      <c r="J7" s="221"/>
      <c r="K7" s="221"/>
      <c r="L7" s="221"/>
      <c r="M7" s="222"/>
    </row>
    <row r="8" spans="2:16" ht="15.75" x14ac:dyDescent="0.25">
      <c r="B8" s="112"/>
      <c r="C8" s="42" t="s">
        <v>140</v>
      </c>
      <c r="D8" s="115">
        <v>0.14127700000000001</v>
      </c>
      <c r="E8" s="33"/>
      <c r="F8" s="5"/>
      <c r="G8" s="35"/>
      <c r="H8" s="5"/>
      <c r="I8" s="5"/>
      <c r="J8" s="57"/>
      <c r="K8" s="5"/>
      <c r="L8" s="5"/>
      <c r="M8" s="24"/>
      <c r="P8" s="59"/>
    </row>
    <row r="9" spans="2:16" x14ac:dyDescent="0.2">
      <c r="B9" s="112"/>
      <c r="C9" s="122" t="s">
        <v>141</v>
      </c>
      <c r="D9" s="6">
        <v>0.10094500000000001</v>
      </c>
      <c r="E9" s="5"/>
      <c r="F9" s="5"/>
      <c r="G9" s="5"/>
      <c r="H9" s="5"/>
      <c r="I9" s="5" t="s">
        <v>58</v>
      </c>
      <c r="J9" s="57">
        <f>D11</f>
        <v>0.25447200000000003</v>
      </c>
      <c r="K9" s="5"/>
      <c r="L9" s="5"/>
      <c r="M9" s="24"/>
      <c r="P9" s="59"/>
    </row>
    <row r="10" spans="2:16" x14ac:dyDescent="0.2">
      <c r="B10" s="112"/>
      <c r="C10" s="4" t="s">
        <v>139</v>
      </c>
      <c r="D10" s="6">
        <v>1.225E-2</v>
      </c>
      <c r="E10" s="5"/>
      <c r="F10" s="5"/>
      <c r="G10" s="5"/>
      <c r="H10" s="5"/>
      <c r="I10" s="5" t="s">
        <v>60</v>
      </c>
      <c r="J10" s="57">
        <f>D16</f>
        <v>0.73492299999999999</v>
      </c>
      <c r="K10" s="5"/>
      <c r="L10" s="5"/>
      <c r="M10" s="24"/>
      <c r="P10" s="59"/>
    </row>
    <row r="11" spans="2:16" ht="15.75" x14ac:dyDescent="0.25">
      <c r="B11" s="112"/>
      <c r="C11" s="7" t="s">
        <v>59</v>
      </c>
      <c r="D11" s="8">
        <f>SUM(D8:D10)</f>
        <v>0.25447200000000003</v>
      </c>
      <c r="E11" s="5"/>
      <c r="F11" s="5"/>
      <c r="G11" s="5"/>
      <c r="H11" s="5"/>
      <c r="I11" s="5" t="s">
        <v>20</v>
      </c>
      <c r="J11" s="57">
        <f>D18</f>
        <v>1.0604999999999998E-2</v>
      </c>
      <c r="K11" s="5"/>
      <c r="L11" s="5"/>
      <c r="M11" s="24"/>
      <c r="P11" s="59"/>
    </row>
    <row r="12" spans="2:16" x14ac:dyDescent="0.2">
      <c r="B12" s="112"/>
      <c r="C12" s="122"/>
      <c r="D12" s="42"/>
      <c r="E12" s="5"/>
      <c r="F12" s="5"/>
      <c r="G12" s="5"/>
      <c r="H12" s="5"/>
      <c r="K12" s="5"/>
      <c r="L12" s="5"/>
      <c r="M12" s="24"/>
      <c r="P12" s="59"/>
    </row>
    <row r="13" spans="2:16" ht="15.75" customHeight="1" x14ac:dyDescent="0.2">
      <c r="B13" s="112"/>
      <c r="C13" s="4" t="s">
        <v>143</v>
      </c>
      <c r="D13" s="6">
        <v>0.515405</v>
      </c>
      <c r="E13" s="5"/>
      <c r="F13" s="5"/>
      <c r="G13" s="5"/>
      <c r="H13" s="5"/>
      <c r="I13" s="5"/>
      <c r="J13" s="57"/>
      <c r="K13" s="5"/>
      <c r="L13" s="5"/>
      <c r="M13" s="24"/>
      <c r="P13" s="59"/>
    </row>
    <row r="14" spans="2:16" ht="15.75" customHeight="1" x14ac:dyDescent="0.2">
      <c r="B14" s="112"/>
      <c r="C14" s="4" t="s">
        <v>144</v>
      </c>
      <c r="D14" s="6">
        <v>0.15099699999999999</v>
      </c>
      <c r="E14" s="5"/>
      <c r="F14" s="5"/>
      <c r="G14" s="5"/>
      <c r="H14" s="5"/>
      <c r="I14" s="5"/>
      <c r="J14" s="57"/>
      <c r="K14" s="5"/>
      <c r="L14" s="5"/>
      <c r="M14" s="24"/>
      <c r="P14" s="59"/>
    </row>
    <row r="15" spans="2:16" x14ac:dyDescent="0.2">
      <c r="B15" s="112"/>
      <c r="C15" s="4" t="s">
        <v>142</v>
      </c>
      <c r="D15" s="6">
        <v>6.8520999999999999E-2</v>
      </c>
      <c r="E15" s="5"/>
      <c r="F15" s="5"/>
      <c r="G15" s="5"/>
      <c r="H15" s="5"/>
      <c r="I15" s="5"/>
      <c r="J15" s="123"/>
      <c r="K15" s="5"/>
      <c r="L15" s="5"/>
      <c r="M15" s="24"/>
      <c r="P15" s="59"/>
    </row>
    <row r="16" spans="2:16" ht="15.75" x14ac:dyDescent="0.25">
      <c r="B16" s="112"/>
      <c r="C16" s="7" t="s">
        <v>19</v>
      </c>
      <c r="D16" s="8">
        <f>SUM(D13:D15)</f>
        <v>0.73492299999999999</v>
      </c>
      <c r="E16" s="5"/>
      <c r="F16" s="5"/>
      <c r="G16" s="5"/>
      <c r="H16" s="5"/>
      <c r="I16" s="5"/>
      <c r="J16" s="5"/>
      <c r="K16" s="5"/>
      <c r="L16" s="5"/>
      <c r="M16" s="24"/>
      <c r="P16" s="59"/>
    </row>
    <row r="17" spans="2:16" ht="15.75" customHeight="1" x14ac:dyDescent="0.2">
      <c r="B17" s="112"/>
      <c r="C17" s="4"/>
      <c r="D17" s="6"/>
      <c r="E17" s="5"/>
      <c r="F17" s="5"/>
      <c r="G17" s="5"/>
      <c r="H17" s="5"/>
      <c r="I17" s="5"/>
      <c r="J17" s="5"/>
      <c r="K17" s="5"/>
      <c r="L17" s="5"/>
      <c r="M17" s="24"/>
      <c r="P17" s="59"/>
    </row>
    <row r="18" spans="2:16" ht="15.75" x14ac:dyDescent="0.25">
      <c r="B18" s="112"/>
      <c r="C18" s="7" t="s">
        <v>20</v>
      </c>
      <c r="D18" s="8">
        <v>1.0604999999999998E-2</v>
      </c>
      <c r="E18" s="5"/>
      <c r="F18" s="5"/>
      <c r="G18" s="5"/>
      <c r="H18" s="5"/>
      <c r="I18" s="5"/>
      <c r="J18" s="5"/>
      <c r="K18" s="5"/>
      <c r="L18" s="5"/>
      <c r="M18" s="24"/>
      <c r="P18" s="59"/>
    </row>
    <row r="19" spans="2:16" x14ac:dyDescent="0.2">
      <c r="B19" s="112"/>
      <c r="C19" s="4"/>
      <c r="D19" s="6"/>
      <c r="E19" s="5"/>
      <c r="F19" s="5"/>
      <c r="G19" s="5"/>
      <c r="H19" s="5"/>
      <c r="I19" s="5"/>
      <c r="J19" s="5"/>
      <c r="K19" s="5"/>
      <c r="L19" s="5"/>
      <c r="M19" s="24"/>
      <c r="P19" s="59"/>
    </row>
    <row r="20" spans="2:16" ht="15.75" x14ac:dyDescent="0.25">
      <c r="B20" s="112"/>
      <c r="C20" s="9" t="s">
        <v>61</v>
      </c>
      <c r="D20" s="10">
        <f>SUM(D18,D16,D11)</f>
        <v>1</v>
      </c>
      <c r="E20" s="5"/>
      <c r="F20" s="5"/>
      <c r="G20" s="5"/>
      <c r="H20" s="5"/>
      <c r="I20" s="5"/>
      <c r="J20" s="5"/>
      <c r="K20" s="5"/>
      <c r="L20" s="5"/>
      <c r="M20" s="24"/>
      <c r="P20" s="59"/>
    </row>
    <row r="21" spans="2:16" x14ac:dyDescent="0.2">
      <c r="B21" s="112"/>
      <c r="E21" s="5"/>
      <c r="F21" s="5"/>
      <c r="G21" s="5"/>
      <c r="H21" s="5"/>
      <c r="I21" s="5"/>
      <c r="J21" s="5"/>
      <c r="K21" s="5"/>
      <c r="L21" s="5"/>
      <c r="M21" s="24"/>
      <c r="P21" s="59"/>
    </row>
    <row r="22" spans="2:16" x14ac:dyDescent="0.2">
      <c r="B22" s="112"/>
      <c r="E22" s="5"/>
      <c r="F22" s="5"/>
      <c r="G22" s="5"/>
      <c r="H22" s="5"/>
      <c r="I22" s="5"/>
      <c r="J22" s="5"/>
      <c r="K22" s="5"/>
      <c r="L22" s="5"/>
      <c r="M22" s="24"/>
      <c r="P22" s="59"/>
    </row>
    <row r="23" spans="2:16" ht="15" customHeight="1" x14ac:dyDescent="0.2">
      <c r="B23" s="112"/>
      <c r="C23" s="241"/>
      <c r="D23" s="241"/>
      <c r="E23" s="241"/>
      <c r="F23" s="241"/>
      <c r="G23" s="241"/>
      <c r="H23" s="5"/>
      <c r="I23" s="5"/>
      <c r="J23" s="5"/>
      <c r="K23" s="5"/>
      <c r="L23" s="5"/>
      <c r="M23" s="11"/>
      <c r="P23" s="59"/>
    </row>
    <row r="24" spans="2:16" ht="16.5" thickBot="1" x14ac:dyDescent="0.3">
      <c r="B24" s="116"/>
      <c r="C24" s="223"/>
      <c r="D24" s="223"/>
      <c r="E24" s="223"/>
      <c r="F24" s="223"/>
      <c r="G24" s="223"/>
      <c r="H24" s="223"/>
      <c r="I24" s="223"/>
      <c r="J24" s="223"/>
      <c r="K24" s="223"/>
      <c r="L24" s="223"/>
      <c r="M24" s="224"/>
      <c r="P24" s="59"/>
    </row>
    <row r="25" spans="2:16" ht="15.75" thickBot="1" x14ac:dyDescent="0.25">
      <c r="P25" s="59"/>
    </row>
    <row r="26" spans="2:16" x14ac:dyDescent="0.2">
      <c r="B26" s="225" t="s">
        <v>117</v>
      </c>
      <c r="C26" s="226"/>
      <c r="D26" s="226"/>
      <c r="E26" s="226"/>
      <c r="F26" s="226"/>
      <c r="G26" s="226"/>
      <c r="H26" s="226"/>
      <c r="I26" s="226"/>
      <c r="J26" s="226"/>
      <c r="K26" s="226"/>
      <c r="L26" s="226"/>
      <c r="M26" s="226"/>
      <c r="N26" s="227"/>
      <c r="P26" s="59"/>
    </row>
    <row r="27" spans="2:16" x14ac:dyDescent="0.2">
      <c r="B27" s="228"/>
      <c r="C27" s="229"/>
      <c r="D27" s="229"/>
      <c r="E27" s="229"/>
      <c r="F27" s="229"/>
      <c r="G27" s="229"/>
      <c r="H27" s="229"/>
      <c r="I27" s="229"/>
      <c r="J27" s="229"/>
      <c r="K27" s="229"/>
      <c r="L27" s="229"/>
      <c r="M27" s="229"/>
      <c r="N27" s="230"/>
      <c r="P27" s="59"/>
    </row>
    <row r="28" spans="2:16" x14ac:dyDescent="0.2">
      <c r="B28" s="228"/>
      <c r="C28" s="229"/>
      <c r="D28" s="229"/>
      <c r="E28" s="229"/>
      <c r="F28" s="229"/>
      <c r="G28" s="229"/>
      <c r="H28" s="229"/>
      <c r="I28" s="229"/>
      <c r="J28" s="229"/>
      <c r="K28" s="229"/>
      <c r="L28" s="229"/>
      <c r="M28" s="229"/>
      <c r="N28" s="230"/>
      <c r="P28" s="59"/>
    </row>
    <row r="29" spans="2:16" x14ac:dyDescent="0.2">
      <c r="B29" s="228"/>
      <c r="C29" s="229"/>
      <c r="D29" s="229"/>
      <c r="E29" s="229"/>
      <c r="F29" s="229"/>
      <c r="G29" s="229"/>
      <c r="H29" s="229"/>
      <c r="I29" s="229"/>
      <c r="J29" s="229"/>
      <c r="K29" s="229"/>
      <c r="L29" s="229"/>
      <c r="M29" s="229"/>
      <c r="N29" s="230"/>
      <c r="P29" s="59"/>
    </row>
    <row r="30" spans="2:16" x14ac:dyDescent="0.2">
      <c r="B30" s="228"/>
      <c r="C30" s="229"/>
      <c r="D30" s="229"/>
      <c r="E30" s="229"/>
      <c r="F30" s="229"/>
      <c r="G30" s="229"/>
      <c r="H30" s="229"/>
      <c r="I30" s="229"/>
      <c r="J30" s="229"/>
      <c r="K30" s="229"/>
      <c r="L30" s="229"/>
      <c r="M30" s="229"/>
      <c r="N30" s="230"/>
      <c r="P30" s="59"/>
    </row>
    <row r="31" spans="2:16" x14ac:dyDescent="0.2">
      <c r="B31" s="228"/>
      <c r="C31" s="229"/>
      <c r="D31" s="229"/>
      <c r="E31" s="229"/>
      <c r="F31" s="229"/>
      <c r="G31" s="229"/>
      <c r="H31" s="229"/>
      <c r="I31" s="229"/>
      <c r="J31" s="229"/>
      <c r="K31" s="229"/>
      <c r="L31" s="229"/>
      <c r="M31" s="229"/>
      <c r="N31" s="230"/>
      <c r="P31" s="59"/>
    </row>
    <row r="32" spans="2:16" ht="15.75" thickBot="1" x14ac:dyDescent="0.25">
      <c r="B32" s="231"/>
      <c r="C32" s="232"/>
      <c r="D32" s="232"/>
      <c r="E32" s="232"/>
      <c r="F32" s="232"/>
      <c r="G32" s="232"/>
      <c r="H32" s="232"/>
      <c r="I32" s="232"/>
      <c r="J32" s="232"/>
      <c r="K32" s="232"/>
      <c r="L32" s="232"/>
      <c r="M32" s="232"/>
      <c r="N32" s="233"/>
      <c r="P32" s="59"/>
    </row>
    <row r="33" spans="16:16" x14ac:dyDescent="0.2">
      <c r="P33" s="59"/>
    </row>
    <row r="34" spans="16:16" x14ac:dyDescent="0.2">
      <c r="P34" s="59"/>
    </row>
    <row r="35" spans="16:16" x14ac:dyDescent="0.2">
      <c r="P35" s="59"/>
    </row>
    <row r="36" spans="16:16" x14ac:dyDescent="0.2">
      <c r="P36" s="59"/>
    </row>
    <row r="37" spans="16:16" x14ac:dyDescent="0.2">
      <c r="P37" s="59"/>
    </row>
    <row r="38" spans="16:16" x14ac:dyDescent="0.2">
      <c r="P38" s="59"/>
    </row>
    <row r="39" spans="16:16" x14ac:dyDescent="0.2">
      <c r="P39" s="59"/>
    </row>
    <row r="40" spans="16:16" x14ac:dyDescent="0.2">
      <c r="P40" s="59"/>
    </row>
    <row r="41" spans="16:16" x14ac:dyDescent="0.2">
      <c r="P41" s="59"/>
    </row>
    <row r="42" spans="16:16" x14ac:dyDescent="0.2">
      <c r="P42" s="59"/>
    </row>
    <row r="43" spans="16:16" x14ac:dyDescent="0.2">
      <c r="P43" s="59"/>
    </row>
    <row r="44" spans="16:16" x14ac:dyDescent="0.2">
      <c r="P44" s="59"/>
    </row>
    <row r="45" spans="16:16" x14ac:dyDescent="0.2">
      <c r="P45" s="59"/>
    </row>
    <row r="46" spans="16:16" x14ac:dyDescent="0.2">
      <c r="P46" s="59"/>
    </row>
    <row r="47" spans="16:16" x14ac:dyDescent="0.2">
      <c r="P47" s="59"/>
    </row>
    <row r="48" spans="16:16" x14ac:dyDescent="0.2">
      <c r="P48" s="59"/>
    </row>
    <row r="49" spans="16:16" x14ac:dyDescent="0.2">
      <c r="P49" s="59"/>
    </row>
    <row r="50" spans="16:16" x14ac:dyDescent="0.2">
      <c r="P50" s="59"/>
    </row>
    <row r="51" spans="16:16" x14ac:dyDescent="0.2">
      <c r="P51" s="59"/>
    </row>
    <row r="52" spans="16:16" x14ac:dyDescent="0.2">
      <c r="P52" s="59"/>
    </row>
    <row r="53" spans="16:16" x14ac:dyDescent="0.2">
      <c r="P53" s="59"/>
    </row>
    <row r="54" spans="16:16" x14ac:dyDescent="0.2">
      <c r="P54" s="59"/>
    </row>
    <row r="55" spans="16:16" x14ac:dyDescent="0.2">
      <c r="P55" s="59"/>
    </row>
    <row r="56" spans="16:16" x14ac:dyDescent="0.2">
      <c r="P56" s="59"/>
    </row>
    <row r="57" spans="16:16" x14ac:dyDescent="0.2">
      <c r="P57" s="59"/>
    </row>
    <row r="58" spans="16:16" x14ac:dyDescent="0.2">
      <c r="P58" s="59"/>
    </row>
    <row r="59" spans="16:16" x14ac:dyDescent="0.2">
      <c r="P59" s="59"/>
    </row>
    <row r="60" spans="16:16" x14ac:dyDescent="0.2">
      <c r="P60" s="59"/>
    </row>
    <row r="61" spans="16:16" x14ac:dyDescent="0.2">
      <c r="P61" s="59"/>
    </row>
    <row r="62" spans="16:16" x14ac:dyDescent="0.2">
      <c r="P62" s="59"/>
    </row>
    <row r="63" spans="16:16" x14ac:dyDescent="0.2">
      <c r="P63" s="59"/>
    </row>
    <row r="64" spans="16:16" x14ac:dyDescent="0.2">
      <c r="P64" s="59"/>
    </row>
    <row r="65" spans="16:16" x14ac:dyDescent="0.2">
      <c r="P65" s="59"/>
    </row>
    <row r="66" spans="16:16" x14ac:dyDescent="0.2">
      <c r="P66" s="59"/>
    </row>
    <row r="67" spans="16:16" x14ac:dyDescent="0.2">
      <c r="P67" s="59"/>
    </row>
    <row r="68" spans="16:16" x14ac:dyDescent="0.2">
      <c r="P68" s="59"/>
    </row>
    <row r="69" spans="16:16" x14ac:dyDescent="0.2">
      <c r="P69" s="59"/>
    </row>
    <row r="70" spans="16:16" x14ac:dyDescent="0.2">
      <c r="P70" s="59"/>
    </row>
    <row r="71" spans="16:16" x14ac:dyDescent="0.2">
      <c r="P71" s="59"/>
    </row>
    <row r="72" spans="16:16" x14ac:dyDescent="0.2">
      <c r="P72" s="59"/>
    </row>
    <row r="73" spans="16:16" x14ac:dyDescent="0.2">
      <c r="P73" s="59"/>
    </row>
    <row r="74" spans="16:16" x14ac:dyDescent="0.2">
      <c r="P74" s="59"/>
    </row>
    <row r="75" spans="16:16" x14ac:dyDescent="0.2">
      <c r="P75" s="59"/>
    </row>
    <row r="76" spans="16:16" x14ac:dyDescent="0.2">
      <c r="P76" s="59"/>
    </row>
    <row r="77" spans="16:16" x14ac:dyDescent="0.2">
      <c r="P77" s="59"/>
    </row>
    <row r="78" spans="16:16" x14ac:dyDescent="0.2">
      <c r="P78" s="59"/>
    </row>
    <row r="79" spans="16:16" x14ac:dyDescent="0.2">
      <c r="P79" s="59"/>
    </row>
    <row r="80" spans="16:16" x14ac:dyDescent="0.2">
      <c r="P80" s="59"/>
    </row>
    <row r="81" spans="16:16" x14ac:dyDescent="0.2">
      <c r="P81" s="59"/>
    </row>
    <row r="82" spans="16:16" x14ac:dyDescent="0.2">
      <c r="P82" s="59"/>
    </row>
    <row r="83" spans="16:16" x14ac:dyDescent="0.2">
      <c r="P83" s="59"/>
    </row>
    <row r="84" spans="16:16" x14ac:dyDescent="0.2">
      <c r="P84" s="59"/>
    </row>
    <row r="85" spans="16:16" x14ac:dyDescent="0.2">
      <c r="P85" s="59"/>
    </row>
    <row r="86" spans="16:16" x14ac:dyDescent="0.2">
      <c r="P86" s="59"/>
    </row>
    <row r="87" spans="16:16" x14ac:dyDescent="0.2">
      <c r="P87" s="59"/>
    </row>
    <row r="88" spans="16:16" x14ac:dyDescent="0.2">
      <c r="P88" s="59"/>
    </row>
    <row r="89" spans="16:16" x14ac:dyDescent="0.2">
      <c r="P89" s="59"/>
    </row>
    <row r="90" spans="16:16" x14ac:dyDescent="0.2">
      <c r="P90" s="59"/>
    </row>
    <row r="91" spans="16:16" x14ac:dyDescent="0.2">
      <c r="P91" s="59"/>
    </row>
    <row r="92" spans="16:16" x14ac:dyDescent="0.2">
      <c r="P92" s="59"/>
    </row>
    <row r="93" spans="16:16" x14ac:dyDescent="0.2">
      <c r="P93" s="59"/>
    </row>
    <row r="94" spans="16:16" x14ac:dyDescent="0.2">
      <c r="P94" s="59"/>
    </row>
    <row r="95" spans="16:16" x14ac:dyDescent="0.2">
      <c r="P95" s="59"/>
    </row>
    <row r="96" spans="16:16" x14ac:dyDescent="0.2">
      <c r="P96" s="59"/>
    </row>
    <row r="97" spans="16:16" x14ac:dyDescent="0.2">
      <c r="P97" s="59"/>
    </row>
    <row r="98" spans="16:16" x14ac:dyDescent="0.2">
      <c r="P98" s="59"/>
    </row>
    <row r="99" spans="16:16" x14ac:dyDescent="0.2">
      <c r="P99" s="59"/>
    </row>
    <row r="100" spans="16:16" x14ac:dyDescent="0.2">
      <c r="P100" s="59"/>
    </row>
    <row r="101" spans="16:16" x14ac:dyDescent="0.2">
      <c r="P101" s="59"/>
    </row>
    <row r="102" spans="16:16" x14ac:dyDescent="0.2">
      <c r="P102" s="59"/>
    </row>
    <row r="103" spans="16:16" x14ac:dyDescent="0.2">
      <c r="P103" s="59"/>
    </row>
    <row r="104" spans="16:16" x14ac:dyDescent="0.2">
      <c r="P104" s="59"/>
    </row>
    <row r="105" spans="16:16" x14ac:dyDescent="0.2">
      <c r="P105" s="59"/>
    </row>
    <row r="106" spans="16:16" x14ac:dyDescent="0.2">
      <c r="P106" s="59"/>
    </row>
    <row r="107" spans="16:16" x14ac:dyDescent="0.2">
      <c r="P107" s="59"/>
    </row>
    <row r="108" spans="16:16" x14ac:dyDescent="0.2">
      <c r="P108" s="59"/>
    </row>
    <row r="109" spans="16:16" x14ac:dyDescent="0.2">
      <c r="P109" s="59"/>
    </row>
    <row r="110" spans="16:16" x14ac:dyDescent="0.2">
      <c r="P110" s="59"/>
    </row>
    <row r="111" spans="16:16" x14ac:dyDescent="0.2">
      <c r="P111" s="59"/>
    </row>
    <row r="112" spans="16:16" x14ac:dyDescent="0.2">
      <c r="P112" s="59"/>
    </row>
    <row r="113" spans="16:16" x14ac:dyDescent="0.2">
      <c r="P113" s="59"/>
    </row>
    <row r="114" spans="16:16" x14ac:dyDescent="0.2">
      <c r="P114" s="59"/>
    </row>
    <row r="115" spans="16:16" x14ac:dyDescent="0.2">
      <c r="P115" s="59"/>
    </row>
    <row r="116" spans="16:16" x14ac:dyDescent="0.2">
      <c r="P116" s="59"/>
    </row>
    <row r="117" spans="16:16" x14ac:dyDescent="0.2">
      <c r="P117" s="59"/>
    </row>
    <row r="118" spans="16:16" x14ac:dyDescent="0.2">
      <c r="P118" s="59"/>
    </row>
    <row r="119" spans="16:16" x14ac:dyDescent="0.2">
      <c r="P119" s="59"/>
    </row>
    <row r="120" spans="16:16" x14ac:dyDescent="0.2">
      <c r="P120" s="59"/>
    </row>
    <row r="121" spans="16:16" x14ac:dyDescent="0.2">
      <c r="P121" s="59"/>
    </row>
    <row r="122" spans="16:16" x14ac:dyDescent="0.2">
      <c r="P122" s="59"/>
    </row>
    <row r="123" spans="16:16" x14ac:dyDescent="0.2">
      <c r="P123" s="59"/>
    </row>
    <row r="124" spans="16:16" x14ac:dyDescent="0.2">
      <c r="P124" s="59"/>
    </row>
    <row r="125" spans="16:16" x14ac:dyDescent="0.2">
      <c r="P125" s="59"/>
    </row>
    <row r="126" spans="16:16" x14ac:dyDescent="0.2">
      <c r="P126" s="59"/>
    </row>
    <row r="127" spans="16:16" x14ac:dyDescent="0.2">
      <c r="P127" s="59"/>
    </row>
    <row r="128" spans="16:16" x14ac:dyDescent="0.2">
      <c r="P128" s="59"/>
    </row>
    <row r="129" spans="16:16" x14ac:dyDescent="0.2">
      <c r="P129" s="59"/>
    </row>
    <row r="130" spans="16:16" x14ac:dyDescent="0.2">
      <c r="P130" s="59"/>
    </row>
    <row r="131" spans="16:16" x14ac:dyDescent="0.2">
      <c r="P131" s="59"/>
    </row>
    <row r="132" spans="16:16" x14ac:dyDescent="0.2">
      <c r="P132" s="59"/>
    </row>
    <row r="133" spans="16:16" x14ac:dyDescent="0.2">
      <c r="P133" s="59"/>
    </row>
    <row r="134" spans="16:16" x14ac:dyDescent="0.2">
      <c r="P134" s="59"/>
    </row>
    <row r="135" spans="16:16" x14ac:dyDescent="0.2">
      <c r="P135" s="59"/>
    </row>
    <row r="136" spans="16:16" x14ac:dyDescent="0.2">
      <c r="P136" s="59"/>
    </row>
    <row r="137" spans="16:16" x14ac:dyDescent="0.2">
      <c r="P137" s="59"/>
    </row>
    <row r="138" spans="16:16" x14ac:dyDescent="0.2">
      <c r="P138" s="59"/>
    </row>
    <row r="139" spans="16:16" x14ac:dyDescent="0.2">
      <c r="P139" s="59"/>
    </row>
    <row r="140" spans="16:16" x14ac:dyDescent="0.2">
      <c r="P140" s="59"/>
    </row>
    <row r="141" spans="16:16" x14ac:dyDescent="0.2">
      <c r="P141" s="59"/>
    </row>
    <row r="142" spans="16:16" x14ac:dyDescent="0.2">
      <c r="P142" s="59"/>
    </row>
    <row r="143" spans="16:16" x14ac:dyDescent="0.2">
      <c r="P143" s="59"/>
    </row>
    <row r="144" spans="16:16" x14ac:dyDescent="0.2">
      <c r="P144" s="59"/>
    </row>
    <row r="145" spans="16:16" x14ac:dyDescent="0.2">
      <c r="P145" s="59"/>
    </row>
    <row r="146" spans="16:16" x14ac:dyDescent="0.2">
      <c r="P146" s="59"/>
    </row>
    <row r="147" spans="16:16" x14ac:dyDescent="0.2">
      <c r="P147" s="59"/>
    </row>
    <row r="148" spans="16:16" x14ac:dyDescent="0.2">
      <c r="P148" s="59"/>
    </row>
    <row r="149" spans="16:16" x14ac:dyDescent="0.2">
      <c r="P149" s="59"/>
    </row>
    <row r="150" spans="16:16" x14ac:dyDescent="0.2">
      <c r="P150" s="59"/>
    </row>
    <row r="151" spans="16:16" x14ac:dyDescent="0.2">
      <c r="P151" s="59"/>
    </row>
    <row r="152" spans="16:16" x14ac:dyDescent="0.2">
      <c r="P152" s="59"/>
    </row>
    <row r="153" spans="16:16" x14ac:dyDescent="0.2">
      <c r="P153" s="59"/>
    </row>
    <row r="154" spans="16:16" x14ac:dyDescent="0.2">
      <c r="P154" s="59"/>
    </row>
    <row r="155" spans="16:16" x14ac:dyDescent="0.2">
      <c r="P155" s="59"/>
    </row>
    <row r="156" spans="16:16" x14ac:dyDescent="0.2">
      <c r="P156" s="59"/>
    </row>
    <row r="157" spans="16:16" x14ac:dyDescent="0.2">
      <c r="P157" s="59"/>
    </row>
    <row r="158" spans="16:16" x14ac:dyDescent="0.2">
      <c r="P158" s="59"/>
    </row>
    <row r="159" spans="16:16" x14ac:dyDescent="0.2">
      <c r="P159" s="59"/>
    </row>
    <row r="160" spans="16:16" x14ac:dyDescent="0.2">
      <c r="P160" s="59"/>
    </row>
    <row r="161" spans="16:16" x14ac:dyDescent="0.2">
      <c r="P161" s="59"/>
    </row>
    <row r="162" spans="16:16" x14ac:dyDescent="0.2">
      <c r="P162" s="59"/>
    </row>
    <row r="163" spans="16:16" x14ac:dyDescent="0.2">
      <c r="P163" s="59"/>
    </row>
    <row r="164" spans="16:16" x14ac:dyDescent="0.2">
      <c r="P164" s="59"/>
    </row>
    <row r="165" spans="16:16" x14ac:dyDescent="0.2">
      <c r="P165" s="59"/>
    </row>
    <row r="166" spans="16:16" x14ac:dyDescent="0.2">
      <c r="P166" s="59"/>
    </row>
    <row r="167" spans="16:16" x14ac:dyDescent="0.2">
      <c r="P167" s="59"/>
    </row>
    <row r="168" spans="16:16" x14ac:dyDescent="0.2">
      <c r="P168" s="59"/>
    </row>
    <row r="169" spans="16:16" x14ac:dyDescent="0.2">
      <c r="P169" s="59"/>
    </row>
    <row r="170" spans="16:16" x14ac:dyDescent="0.2">
      <c r="P170" s="59"/>
    </row>
    <row r="171" spans="16:16" x14ac:dyDescent="0.2">
      <c r="P171" s="59"/>
    </row>
    <row r="172" spans="16:16" x14ac:dyDescent="0.2">
      <c r="P172" s="59"/>
    </row>
    <row r="173" spans="16:16" x14ac:dyDescent="0.2">
      <c r="P173" s="59"/>
    </row>
    <row r="174" spans="16:16" x14ac:dyDescent="0.2">
      <c r="P174" s="59"/>
    </row>
    <row r="175" spans="16:16" x14ac:dyDescent="0.2">
      <c r="P175" s="59"/>
    </row>
    <row r="176" spans="16:16" x14ac:dyDescent="0.2">
      <c r="P176" s="59"/>
    </row>
    <row r="177" spans="16:16" x14ac:dyDescent="0.2">
      <c r="P177" s="59"/>
    </row>
    <row r="178" spans="16:16" x14ac:dyDescent="0.2">
      <c r="P178" s="59"/>
    </row>
    <row r="179" spans="16:16" x14ac:dyDescent="0.2">
      <c r="P179" s="59"/>
    </row>
    <row r="180" spans="16:16" x14ac:dyDescent="0.2">
      <c r="P180" s="59"/>
    </row>
    <row r="181" spans="16:16" x14ac:dyDescent="0.2">
      <c r="P181" s="59"/>
    </row>
    <row r="182" spans="16:16" x14ac:dyDescent="0.2">
      <c r="P182" s="59"/>
    </row>
    <row r="183" spans="16:16" x14ac:dyDescent="0.2">
      <c r="P183" s="59"/>
    </row>
    <row r="184" spans="16:16" x14ac:dyDescent="0.2">
      <c r="P184" s="59"/>
    </row>
    <row r="185" spans="16:16" x14ac:dyDescent="0.2">
      <c r="P185" s="59"/>
    </row>
    <row r="186" spans="16:16" x14ac:dyDescent="0.2">
      <c r="P186" s="59"/>
    </row>
    <row r="187" spans="16:16" x14ac:dyDescent="0.2">
      <c r="P187" s="59"/>
    </row>
    <row r="188" spans="16:16" x14ac:dyDescent="0.2">
      <c r="P188" s="59"/>
    </row>
    <row r="189" spans="16:16" x14ac:dyDescent="0.2">
      <c r="P189" s="59"/>
    </row>
    <row r="190" spans="16:16" x14ac:dyDescent="0.2">
      <c r="P190" s="59"/>
    </row>
    <row r="191" spans="16:16" x14ac:dyDescent="0.2">
      <c r="P191" s="59"/>
    </row>
    <row r="192" spans="16:16" x14ac:dyDescent="0.2">
      <c r="P192" s="59"/>
    </row>
    <row r="193" spans="16:16" x14ac:dyDescent="0.2">
      <c r="P193" s="59"/>
    </row>
    <row r="194" spans="16:16" x14ac:dyDescent="0.2">
      <c r="P194" s="59"/>
    </row>
    <row r="195" spans="16:16" x14ac:dyDescent="0.2">
      <c r="P195" s="59"/>
    </row>
    <row r="196" spans="16:16" x14ac:dyDescent="0.2">
      <c r="P196" s="59"/>
    </row>
    <row r="197" spans="16:16" x14ac:dyDescent="0.2">
      <c r="P197" s="59"/>
    </row>
    <row r="198" spans="16:16" x14ac:dyDescent="0.2">
      <c r="P198" s="59"/>
    </row>
    <row r="199" spans="16:16" x14ac:dyDescent="0.2">
      <c r="P199" s="59"/>
    </row>
    <row r="200" spans="16:16" x14ac:dyDescent="0.2">
      <c r="P200" s="59"/>
    </row>
    <row r="201" spans="16:16" x14ac:dyDescent="0.2">
      <c r="P201" s="59"/>
    </row>
    <row r="202" spans="16:16" x14ac:dyDescent="0.2">
      <c r="P202" s="59"/>
    </row>
    <row r="203" spans="16:16" x14ac:dyDescent="0.2">
      <c r="P203" s="59"/>
    </row>
    <row r="204" spans="16:16" x14ac:dyDescent="0.2">
      <c r="P204" s="59"/>
    </row>
    <row r="205" spans="16:16" x14ac:dyDescent="0.2">
      <c r="P205" s="59"/>
    </row>
    <row r="206" spans="16:16" x14ac:dyDescent="0.2">
      <c r="P206" s="59"/>
    </row>
    <row r="207" spans="16:16" x14ac:dyDescent="0.2">
      <c r="P207" s="59"/>
    </row>
    <row r="208" spans="16:16" x14ac:dyDescent="0.2">
      <c r="P208" s="59"/>
    </row>
    <row r="209" spans="16:16" x14ac:dyDescent="0.2">
      <c r="P209" s="59"/>
    </row>
    <row r="210" spans="16:16" x14ac:dyDescent="0.2">
      <c r="P210" s="59"/>
    </row>
    <row r="211" spans="16:16" x14ac:dyDescent="0.2">
      <c r="P211" s="59"/>
    </row>
    <row r="212" spans="16:16" x14ac:dyDescent="0.2">
      <c r="P212" s="59"/>
    </row>
    <row r="213" spans="16:16" x14ac:dyDescent="0.2">
      <c r="P213" s="59"/>
    </row>
    <row r="214" spans="16:16" x14ac:dyDescent="0.2">
      <c r="P214" s="59"/>
    </row>
    <row r="215" spans="16:16" x14ac:dyDescent="0.2">
      <c r="P215" s="59"/>
    </row>
    <row r="216" spans="16:16" x14ac:dyDescent="0.2">
      <c r="P216" s="59"/>
    </row>
    <row r="217" spans="16:16" x14ac:dyDescent="0.2">
      <c r="P217" s="59"/>
    </row>
    <row r="218" spans="16:16" x14ac:dyDescent="0.2">
      <c r="P218" s="59"/>
    </row>
    <row r="219" spans="16:16" x14ac:dyDescent="0.2">
      <c r="P219" s="59"/>
    </row>
    <row r="220" spans="16:16" x14ac:dyDescent="0.2">
      <c r="P220" s="59"/>
    </row>
    <row r="221" spans="16:16" x14ac:dyDescent="0.2">
      <c r="P221" s="59"/>
    </row>
    <row r="222" spans="16:16" x14ac:dyDescent="0.2">
      <c r="P222" s="59"/>
    </row>
    <row r="223" spans="16:16" x14ac:dyDescent="0.2">
      <c r="P223" s="59"/>
    </row>
    <row r="224" spans="16:16" x14ac:dyDescent="0.2">
      <c r="P224" s="59"/>
    </row>
    <row r="225" spans="16:16" x14ac:dyDescent="0.2">
      <c r="P225" s="59"/>
    </row>
    <row r="226" spans="16:16" x14ac:dyDescent="0.2">
      <c r="P226" s="59"/>
    </row>
    <row r="227" spans="16:16" x14ac:dyDescent="0.2">
      <c r="P227" s="59"/>
    </row>
    <row r="228" spans="16:16" x14ac:dyDescent="0.2">
      <c r="P228" s="59"/>
    </row>
    <row r="229" spans="16:16" x14ac:dyDescent="0.2">
      <c r="P229" s="59"/>
    </row>
    <row r="230" spans="16:16" x14ac:dyDescent="0.2">
      <c r="P230" s="59"/>
    </row>
    <row r="231" spans="16:16" x14ac:dyDescent="0.2">
      <c r="P231" s="59"/>
    </row>
    <row r="232" spans="16:16" x14ac:dyDescent="0.2">
      <c r="P232" s="59"/>
    </row>
    <row r="233" spans="16:16" x14ac:dyDescent="0.2">
      <c r="P233" s="59"/>
    </row>
    <row r="234" spans="16:16" x14ac:dyDescent="0.2">
      <c r="P234" s="59"/>
    </row>
    <row r="235" spans="16:16" x14ac:dyDescent="0.2">
      <c r="P235" s="59"/>
    </row>
    <row r="236" spans="16:16" x14ac:dyDescent="0.2">
      <c r="P236" s="59"/>
    </row>
    <row r="237" spans="16:16" x14ac:dyDescent="0.2">
      <c r="P237" s="59"/>
    </row>
    <row r="238" spans="16:16" x14ac:dyDescent="0.2">
      <c r="P238" s="59"/>
    </row>
    <row r="239" spans="16:16" x14ac:dyDescent="0.2">
      <c r="P239" s="59"/>
    </row>
    <row r="240" spans="16:16" x14ac:dyDescent="0.2">
      <c r="P240" s="59"/>
    </row>
    <row r="241" spans="16:16" x14ac:dyDescent="0.2">
      <c r="P241" s="59"/>
    </row>
    <row r="242" spans="16:16" x14ac:dyDescent="0.2">
      <c r="P242" s="59"/>
    </row>
    <row r="243" spans="16:16" x14ac:dyDescent="0.2">
      <c r="P243" s="59"/>
    </row>
    <row r="244" spans="16:16" x14ac:dyDescent="0.2">
      <c r="P244" s="59"/>
    </row>
    <row r="245" spans="16:16" x14ac:dyDescent="0.2">
      <c r="P245" s="59"/>
    </row>
    <row r="246" spans="16:16" x14ac:dyDescent="0.2">
      <c r="P246" s="59"/>
    </row>
    <row r="247" spans="16:16" x14ac:dyDescent="0.2">
      <c r="P247" s="59"/>
    </row>
    <row r="248" spans="16:16" x14ac:dyDescent="0.2">
      <c r="P248" s="59"/>
    </row>
    <row r="249" spans="16:16" x14ac:dyDescent="0.2">
      <c r="P249" s="59"/>
    </row>
    <row r="250" spans="16:16" x14ac:dyDescent="0.2">
      <c r="P250" s="59"/>
    </row>
    <row r="251" spans="16:16" x14ac:dyDescent="0.2">
      <c r="P251" s="59"/>
    </row>
    <row r="252" spans="16:16" x14ac:dyDescent="0.2">
      <c r="P252" s="59"/>
    </row>
    <row r="253" spans="16:16" x14ac:dyDescent="0.2">
      <c r="P253" s="59"/>
    </row>
    <row r="254" spans="16:16" x14ac:dyDescent="0.2">
      <c r="P254" s="59"/>
    </row>
    <row r="255" spans="16:16" x14ac:dyDescent="0.2">
      <c r="P255" s="59"/>
    </row>
    <row r="256" spans="16:16" x14ac:dyDescent="0.2">
      <c r="P256" s="59"/>
    </row>
    <row r="257" spans="16:16" x14ac:dyDescent="0.2">
      <c r="P257" s="59"/>
    </row>
    <row r="258" spans="16:16" x14ac:dyDescent="0.2">
      <c r="P258" s="59"/>
    </row>
    <row r="259" spans="16:16" x14ac:dyDescent="0.2">
      <c r="P259" s="59"/>
    </row>
    <row r="260" spans="16:16" x14ac:dyDescent="0.2">
      <c r="P260" s="59"/>
    </row>
    <row r="261" spans="16:16" x14ac:dyDescent="0.2">
      <c r="P261" s="59"/>
    </row>
    <row r="262" spans="16:16" x14ac:dyDescent="0.2">
      <c r="P262" s="59"/>
    </row>
    <row r="263" spans="16:16" x14ac:dyDescent="0.2">
      <c r="P263" s="59"/>
    </row>
    <row r="264" spans="16:16" x14ac:dyDescent="0.2">
      <c r="P264" s="59"/>
    </row>
    <row r="265" spans="16:16" x14ac:dyDescent="0.2">
      <c r="P265" s="59"/>
    </row>
    <row r="266" spans="16:16" x14ac:dyDescent="0.2">
      <c r="P266" s="59"/>
    </row>
    <row r="267" spans="16:16" x14ac:dyDescent="0.2">
      <c r="P267" s="59"/>
    </row>
    <row r="268" spans="16:16" x14ac:dyDescent="0.2">
      <c r="P268" s="59"/>
    </row>
    <row r="269" spans="16:16" x14ac:dyDescent="0.2">
      <c r="P269" s="59"/>
    </row>
    <row r="270" spans="16:16" x14ac:dyDescent="0.2">
      <c r="P270" s="59"/>
    </row>
    <row r="271" spans="16:16" x14ac:dyDescent="0.2">
      <c r="P271" s="59"/>
    </row>
    <row r="272" spans="16:16" x14ac:dyDescent="0.2">
      <c r="P272" s="59"/>
    </row>
    <row r="273" spans="16:16" x14ac:dyDescent="0.2">
      <c r="P273" s="59"/>
    </row>
    <row r="274" spans="16:16" x14ac:dyDescent="0.2">
      <c r="P274" s="59"/>
    </row>
    <row r="275" spans="16:16" x14ac:dyDescent="0.2">
      <c r="P275" s="59"/>
    </row>
    <row r="276" spans="16:16" x14ac:dyDescent="0.2">
      <c r="P276" s="59"/>
    </row>
    <row r="277" spans="16:16" x14ac:dyDescent="0.2">
      <c r="P277" s="59"/>
    </row>
    <row r="278" spans="16:16" x14ac:dyDescent="0.2">
      <c r="P278" s="59"/>
    </row>
    <row r="279" spans="16:16" x14ac:dyDescent="0.2">
      <c r="P279" s="59"/>
    </row>
    <row r="280" spans="16:16" x14ac:dyDescent="0.2">
      <c r="P280" s="59"/>
    </row>
    <row r="281" spans="16:16" x14ac:dyDescent="0.2">
      <c r="P281" s="59"/>
    </row>
    <row r="282" spans="16:16" x14ac:dyDescent="0.2">
      <c r="P282" s="59"/>
    </row>
    <row r="283" spans="16:16" x14ac:dyDescent="0.2">
      <c r="P283" s="59"/>
    </row>
    <row r="284" spans="16:16" x14ac:dyDescent="0.2">
      <c r="P284" s="59"/>
    </row>
    <row r="285" spans="16:16" x14ac:dyDescent="0.2">
      <c r="P285" s="59"/>
    </row>
    <row r="286" spans="16:16" x14ac:dyDescent="0.2">
      <c r="P286" s="59"/>
    </row>
    <row r="287" spans="16:16" x14ac:dyDescent="0.2">
      <c r="P287" s="59"/>
    </row>
    <row r="288" spans="16:16" x14ac:dyDescent="0.2">
      <c r="P288" s="59"/>
    </row>
    <row r="289" spans="16:16" x14ac:dyDescent="0.2">
      <c r="P289" s="59"/>
    </row>
    <row r="290" spans="16:16" x14ac:dyDescent="0.2">
      <c r="P290" s="59"/>
    </row>
    <row r="291" spans="16:16" x14ac:dyDescent="0.2">
      <c r="P291" s="59"/>
    </row>
    <row r="292" spans="16:16" x14ac:dyDescent="0.2">
      <c r="P292" s="59"/>
    </row>
    <row r="293" spans="16:16" x14ac:dyDescent="0.2">
      <c r="P293" s="59"/>
    </row>
    <row r="294" spans="16:16" x14ac:dyDescent="0.2">
      <c r="P294" s="59"/>
    </row>
    <row r="295" spans="16:16" x14ac:dyDescent="0.2">
      <c r="P295" s="59"/>
    </row>
    <row r="296" spans="16:16" x14ac:dyDescent="0.2">
      <c r="P296" s="59"/>
    </row>
    <row r="297" spans="16:16" x14ac:dyDescent="0.2">
      <c r="P297" s="59"/>
    </row>
    <row r="298" spans="16:16" x14ac:dyDescent="0.2">
      <c r="P298" s="59"/>
    </row>
    <row r="299" spans="16:16" x14ac:dyDescent="0.2">
      <c r="P299" s="59"/>
    </row>
    <row r="300" spans="16:16" x14ac:dyDescent="0.2">
      <c r="P300" s="59"/>
    </row>
    <row r="301" spans="16:16" x14ac:dyDescent="0.2">
      <c r="P301" s="59"/>
    </row>
    <row r="302" spans="16:16" x14ac:dyDescent="0.2">
      <c r="P302" s="59"/>
    </row>
    <row r="303" spans="16:16" x14ac:dyDescent="0.2">
      <c r="P303" s="59"/>
    </row>
    <row r="304" spans="16:16" x14ac:dyDescent="0.2">
      <c r="P304" s="59"/>
    </row>
    <row r="305" spans="16:16" x14ac:dyDescent="0.2">
      <c r="P305" s="59"/>
    </row>
    <row r="306" spans="16:16" x14ac:dyDescent="0.2">
      <c r="P306" s="59"/>
    </row>
    <row r="307" spans="16:16" x14ac:dyDescent="0.2">
      <c r="P307" s="59"/>
    </row>
    <row r="308" spans="16:16" x14ac:dyDescent="0.2">
      <c r="P308" s="59"/>
    </row>
    <row r="309" spans="16:16" x14ac:dyDescent="0.2">
      <c r="P309" s="59"/>
    </row>
    <row r="310" spans="16:16" x14ac:dyDescent="0.2">
      <c r="P310" s="59"/>
    </row>
    <row r="311" spans="16:16" x14ac:dyDescent="0.2">
      <c r="P311" s="59"/>
    </row>
    <row r="312" spans="16:16" x14ac:dyDescent="0.2">
      <c r="P312" s="59"/>
    </row>
    <row r="313" spans="16:16" x14ac:dyDescent="0.2">
      <c r="P313" s="59"/>
    </row>
    <row r="314" spans="16:16" x14ac:dyDescent="0.2">
      <c r="P314" s="59"/>
    </row>
    <row r="315" spans="16:16" x14ac:dyDescent="0.2">
      <c r="P315" s="59"/>
    </row>
    <row r="316" spans="16:16" x14ac:dyDescent="0.2">
      <c r="P316" s="59"/>
    </row>
    <row r="317" spans="16:16" x14ac:dyDescent="0.2">
      <c r="P317" s="59"/>
    </row>
    <row r="318" spans="16:16" x14ac:dyDescent="0.2">
      <c r="P318" s="59"/>
    </row>
    <row r="319" spans="16:16" x14ac:dyDescent="0.2">
      <c r="P319" s="59"/>
    </row>
    <row r="320" spans="16:16" x14ac:dyDescent="0.2">
      <c r="P320" s="59"/>
    </row>
    <row r="321" spans="16:16" x14ac:dyDescent="0.2">
      <c r="P321" s="59"/>
    </row>
    <row r="322" spans="16:16" x14ac:dyDescent="0.2">
      <c r="P322" s="59"/>
    </row>
    <row r="323" spans="16:16" x14ac:dyDescent="0.2">
      <c r="P323" s="59"/>
    </row>
    <row r="324" spans="16:16" x14ac:dyDescent="0.2">
      <c r="P324" s="59"/>
    </row>
    <row r="325" spans="16:16" x14ac:dyDescent="0.2">
      <c r="P325" s="59"/>
    </row>
    <row r="326" spans="16:16" x14ac:dyDescent="0.2">
      <c r="P326" s="59"/>
    </row>
    <row r="327" spans="16:16" x14ac:dyDescent="0.2">
      <c r="P327" s="59"/>
    </row>
    <row r="328" spans="16:16" x14ac:dyDescent="0.2">
      <c r="P328" s="59"/>
    </row>
    <row r="329" spans="16:16" x14ac:dyDescent="0.2">
      <c r="P329" s="59"/>
    </row>
    <row r="330" spans="16:16" x14ac:dyDescent="0.2">
      <c r="P330" s="59"/>
    </row>
    <row r="331" spans="16:16" x14ac:dyDescent="0.2">
      <c r="P331" s="59"/>
    </row>
    <row r="332" spans="16:16" x14ac:dyDescent="0.2">
      <c r="P332" s="59"/>
    </row>
    <row r="333" spans="16:16" x14ac:dyDescent="0.2">
      <c r="P333" s="59"/>
    </row>
    <row r="334" spans="16:16" x14ac:dyDescent="0.2">
      <c r="P334" s="59"/>
    </row>
    <row r="335" spans="16:16" x14ac:dyDescent="0.2">
      <c r="P335" s="59"/>
    </row>
    <row r="336" spans="16:16" x14ac:dyDescent="0.2">
      <c r="P336" s="59"/>
    </row>
    <row r="337" spans="16:16" x14ac:dyDescent="0.2">
      <c r="P337" s="59"/>
    </row>
    <row r="338" spans="16:16" x14ac:dyDescent="0.2">
      <c r="P338" s="59"/>
    </row>
    <row r="339" spans="16:16" x14ac:dyDescent="0.2">
      <c r="P339" s="59"/>
    </row>
    <row r="340" spans="16:16" x14ac:dyDescent="0.2">
      <c r="P340" s="59"/>
    </row>
    <row r="341" spans="16:16" x14ac:dyDescent="0.2">
      <c r="P341" s="59"/>
    </row>
    <row r="342" spans="16:16" x14ac:dyDescent="0.2">
      <c r="P342" s="59"/>
    </row>
    <row r="343" spans="16:16" x14ac:dyDescent="0.2">
      <c r="P343" s="59"/>
    </row>
    <row r="344" spans="16:16" x14ac:dyDescent="0.2">
      <c r="P344" s="59"/>
    </row>
    <row r="345" spans="16:16" x14ac:dyDescent="0.2">
      <c r="P345" s="59"/>
    </row>
    <row r="346" spans="16:16" x14ac:dyDescent="0.2">
      <c r="P346" s="59"/>
    </row>
    <row r="347" spans="16:16" x14ac:dyDescent="0.2">
      <c r="P347" s="59"/>
    </row>
    <row r="348" spans="16:16" x14ac:dyDescent="0.2">
      <c r="P348" s="59"/>
    </row>
    <row r="349" spans="16:16" x14ac:dyDescent="0.2">
      <c r="P349" s="59"/>
    </row>
    <row r="350" spans="16:16" x14ac:dyDescent="0.2">
      <c r="P350" s="59"/>
    </row>
    <row r="351" spans="16:16" x14ac:dyDescent="0.2">
      <c r="P351" s="59"/>
    </row>
    <row r="352" spans="16:16" x14ac:dyDescent="0.2">
      <c r="P352" s="59"/>
    </row>
    <row r="353" spans="16:16" x14ac:dyDescent="0.2">
      <c r="P353" s="59"/>
    </row>
    <row r="354" spans="16:16" x14ac:dyDescent="0.2">
      <c r="P354" s="59"/>
    </row>
    <row r="355" spans="16:16" x14ac:dyDescent="0.2">
      <c r="P355" s="59"/>
    </row>
    <row r="356" spans="16:16" x14ac:dyDescent="0.2">
      <c r="P356" s="59"/>
    </row>
    <row r="357" spans="16:16" x14ac:dyDescent="0.2">
      <c r="P357" s="59"/>
    </row>
    <row r="358" spans="16:16" x14ac:dyDescent="0.2">
      <c r="P358" s="59"/>
    </row>
    <row r="359" spans="16:16" x14ac:dyDescent="0.2">
      <c r="P359" s="59"/>
    </row>
    <row r="360" spans="16:16" x14ac:dyDescent="0.2">
      <c r="P360" s="59"/>
    </row>
    <row r="361" spans="16:16" x14ac:dyDescent="0.2">
      <c r="P361" s="59"/>
    </row>
    <row r="362" spans="16:16" x14ac:dyDescent="0.2">
      <c r="P362" s="59"/>
    </row>
    <row r="363" spans="16:16" x14ac:dyDescent="0.2">
      <c r="P363" s="59"/>
    </row>
    <row r="364" spans="16:16" x14ac:dyDescent="0.2">
      <c r="P364" s="59"/>
    </row>
    <row r="365" spans="16:16" x14ac:dyDescent="0.2">
      <c r="P365" s="59"/>
    </row>
    <row r="366" spans="16:16" x14ac:dyDescent="0.2">
      <c r="P366" s="59"/>
    </row>
    <row r="367" spans="16:16" x14ac:dyDescent="0.2">
      <c r="P367" s="59"/>
    </row>
    <row r="368" spans="16:16" x14ac:dyDescent="0.2">
      <c r="P368" s="59"/>
    </row>
    <row r="369" spans="16:16" x14ac:dyDescent="0.2">
      <c r="P369" s="59"/>
    </row>
    <row r="370" spans="16:16" x14ac:dyDescent="0.2">
      <c r="P370" s="59"/>
    </row>
    <row r="371" spans="16:16" x14ac:dyDescent="0.2">
      <c r="P371" s="59"/>
    </row>
    <row r="372" spans="16:16" x14ac:dyDescent="0.2">
      <c r="P372" s="59"/>
    </row>
    <row r="373" spans="16:16" x14ac:dyDescent="0.2">
      <c r="P373" s="59"/>
    </row>
    <row r="374" spans="16:16" x14ac:dyDescent="0.2">
      <c r="P374" s="59"/>
    </row>
    <row r="375" spans="16:16" x14ac:dyDescent="0.2">
      <c r="P375" s="59"/>
    </row>
    <row r="376" spans="16:16" x14ac:dyDescent="0.2">
      <c r="P376" s="59"/>
    </row>
    <row r="377" spans="16:16" x14ac:dyDescent="0.2">
      <c r="P377" s="59"/>
    </row>
    <row r="378" spans="16:16" x14ac:dyDescent="0.2">
      <c r="P378" s="59"/>
    </row>
    <row r="379" spans="16:16" x14ac:dyDescent="0.2">
      <c r="P379" s="59"/>
    </row>
    <row r="380" spans="16:16" x14ac:dyDescent="0.2">
      <c r="P380" s="59"/>
    </row>
    <row r="381" spans="16:16" x14ac:dyDescent="0.2">
      <c r="P381" s="59"/>
    </row>
    <row r="382" spans="16:16" x14ac:dyDescent="0.2">
      <c r="P382" s="59"/>
    </row>
    <row r="383" spans="16:16" x14ac:dyDescent="0.2">
      <c r="P383" s="59"/>
    </row>
    <row r="384" spans="16:16" x14ac:dyDescent="0.2">
      <c r="P384" s="59"/>
    </row>
    <row r="385" spans="16:16" x14ac:dyDescent="0.2">
      <c r="P385" s="59"/>
    </row>
    <row r="386" spans="16:16" x14ac:dyDescent="0.2">
      <c r="P386" s="59"/>
    </row>
    <row r="387" spans="16:16" x14ac:dyDescent="0.2">
      <c r="P387" s="59"/>
    </row>
    <row r="388" spans="16:16" x14ac:dyDescent="0.2">
      <c r="P388" s="59"/>
    </row>
    <row r="389" spans="16:16" x14ac:dyDescent="0.2">
      <c r="P389" s="59"/>
    </row>
    <row r="390" spans="16:16" x14ac:dyDescent="0.2">
      <c r="P390" s="59"/>
    </row>
    <row r="391" spans="16:16" x14ac:dyDescent="0.2">
      <c r="P391" s="59"/>
    </row>
    <row r="392" spans="16:16" x14ac:dyDescent="0.2">
      <c r="P392" s="59"/>
    </row>
    <row r="393" spans="16:16" x14ac:dyDescent="0.2">
      <c r="P393" s="59"/>
    </row>
    <row r="394" spans="16:16" x14ac:dyDescent="0.2">
      <c r="P394" s="59"/>
    </row>
    <row r="395" spans="16:16" x14ac:dyDescent="0.2">
      <c r="P395" s="59"/>
    </row>
    <row r="396" spans="16:16" x14ac:dyDescent="0.2">
      <c r="P396" s="59"/>
    </row>
    <row r="397" spans="16:16" x14ac:dyDescent="0.2">
      <c r="P397" s="59"/>
    </row>
    <row r="398" spans="16:16" x14ac:dyDescent="0.2">
      <c r="P398" s="59"/>
    </row>
    <row r="399" spans="16:16" x14ac:dyDescent="0.2">
      <c r="P399" s="59"/>
    </row>
    <row r="400" spans="16:16" x14ac:dyDescent="0.2">
      <c r="P400" s="59"/>
    </row>
    <row r="401" spans="16:16" x14ac:dyDescent="0.2">
      <c r="P401" s="59"/>
    </row>
    <row r="402" spans="16:16" x14ac:dyDescent="0.2">
      <c r="P402" s="59"/>
    </row>
    <row r="403" spans="16:16" x14ac:dyDescent="0.2">
      <c r="P403" s="59"/>
    </row>
    <row r="404" spans="16:16" x14ac:dyDescent="0.2">
      <c r="P404" s="59"/>
    </row>
    <row r="405" spans="16:16" x14ac:dyDescent="0.2">
      <c r="P405" s="59"/>
    </row>
    <row r="406" spans="16:16" x14ac:dyDescent="0.2">
      <c r="P406" s="59"/>
    </row>
    <row r="407" spans="16:16" x14ac:dyDescent="0.2">
      <c r="P407" s="59"/>
    </row>
    <row r="408" spans="16:16" x14ac:dyDescent="0.2">
      <c r="P408" s="59"/>
    </row>
    <row r="409" spans="16:16" x14ac:dyDescent="0.2">
      <c r="P409" s="59"/>
    </row>
    <row r="410" spans="16:16" x14ac:dyDescent="0.2">
      <c r="P410" s="59"/>
    </row>
    <row r="411" spans="16:16" x14ac:dyDescent="0.2">
      <c r="P411" s="59"/>
    </row>
    <row r="412" spans="16:16" x14ac:dyDescent="0.2">
      <c r="P412" s="59"/>
    </row>
    <row r="413" spans="16:16" x14ac:dyDescent="0.2">
      <c r="P413" s="59"/>
    </row>
    <row r="414" spans="16:16" x14ac:dyDescent="0.2">
      <c r="P414" s="59"/>
    </row>
    <row r="415" spans="16:16" x14ac:dyDescent="0.2">
      <c r="P415" s="59"/>
    </row>
    <row r="416" spans="16:16" x14ac:dyDescent="0.2">
      <c r="P416" s="59"/>
    </row>
    <row r="417" spans="16:16" x14ac:dyDescent="0.2">
      <c r="P417" s="59"/>
    </row>
    <row r="418" spans="16:16" x14ac:dyDescent="0.2">
      <c r="P418" s="59"/>
    </row>
    <row r="419" spans="16:16" x14ac:dyDescent="0.2">
      <c r="P419" s="59"/>
    </row>
    <row r="420" spans="16:16" x14ac:dyDescent="0.2">
      <c r="P420" s="59"/>
    </row>
    <row r="421" spans="16:16" x14ac:dyDescent="0.2">
      <c r="P421" s="59"/>
    </row>
    <row r="422" spans="16:16" x14ac:dyDescent="0.2">
      <c r="P422" s="59"/>
    </row>
    <row r="423" spans="16:16" x14ac:dyDescent="0.2">
      <c r="P423" s="59"/>
    </row>
    <row r="424" spans="16:16" x14ac:dyDescent="0.2">
      <c r="P424" s="59"/>
    </row>
    <row r="425" spans="16:16" x14ac:dyDescent="0.2">
      <c r="P425" s="59"/>
    </row>
    <row r="426" spans="16:16" x14ac:dyDescent="0.2">
      <c r="P426" s="59"/>
    </row>
    <row r="427" spans="16:16" x14ac:dyDescent="0.2">
      <c r="P427" s="59"/>
    </row>
    <row r="428" spans="16:16" x14ac:dyDescent="0.2">
      <c r="P428" s="59"/>
    </row>
    <row r="429" spans="16:16" x14ac:dyDescent="0.2">
      <c r="P429" s="59"/>
    </row>
    <row r="430" spans="16:16" x14ac:dyDescent="0.2">
      <c r="P430" s="59"/>
    </row>
    <row r="431" spans="16:16" x14ac:dyDescent="0.2">
      <c r="P431" s="59"/>
    </row>
    <row r="432" spans="16:16" x14ac:dyDescent="0.2">
      <c r="P432" s="59"/>
    </row>
    <row r="433" spans="16:16" x14ac:dyDescent="0.2">
      <c r="P433" s="59"/>
    </row>
    <row r="434" spans="16:16" x14ac:dyDescent="0.2">
      <c r="P434" s="59"/>
    </row>
    <row r="435" spans="16:16" x14ac:dyDescent="0.2">
      <c r="P435" s="59"/>
    </row>
    <row r="436" spans="16:16" x14ac:dyDescent="0.2">
      <c r="P436" s="59"/>
    </row>
    <row r="437" spans="16:16" x14ac:dyDescent="0.2">
      <c r="P437" s="59"/>
    </row>
    <row r="438" spans="16:16" x14ac:dyDescent="0.2">
      <c r="P438" s="59"/>
    </row>
    <row r="439" spans="16:16" x14ac:dyDescent="0.2">
      <c r="P439" s="59"/>
    </row>
    <row r="440" spans="16:16" x14ac:dyDescent="0.2">
      <c r="P440" s="59"/>
    </row>
    <row r="441" spans="16:16" x14ac:dyDescent="0.2">
      <c r="P441" s="59"/>
    </row>
    <row r="442" spans="16:16" x14ac:dyDescent="0.2">
      <c r="P442" s="59"/>
    </row>
    <row r="443" spans="16:16" x14ac:dyDescent="0.2">
      <c r="P443" s="59"/>
    </row>
    <row r="444" spans="16:16" x14ac:dyDescent="0.2">
      <c r="P444" s="59"/>
    </row>
    <row r="445" spans="16:16" x14ac:dyDescent="0.2">
      <c r="P445" s="59"/>
    </row>
    <row r="446" spans="16:16" x14ac:dyDescent="0.2">
      <c r="P446" s="59"/>
    </row>
    <row r="447" spans="16:16" x14ac:dyDescent="0.2">
      <c r="P447" s="59"/>
    </row>
    <row r="448" spans="16:16" x14ac:dyDescent="0.2">
      <c r="P448" s="59"/>
    </row>
    <row r="449" spans="16:16" x14ac:dyDescent="0.2">
      <c r="P449" s="59"/>
    </row>
    <row r="450" spans="16:16" x14ac:dyDescent="0.2">
      <c r="P450" s="59"/>
    </row>
    <row r="451" spans="16:16" x14ac:dyDescent="0.2">
      <c r="P451" s="59"/>
    </row>
    <row r="452" spans="16:16" x14ac:dyDescent="0.2">
      <c r="P452" s="59"/>
    </row>
    <row r="453" spans="16:16" x14ac:dyDescent="0.2">
      <c r="P453" s="59"/>
    </row>
    <row r="454" spans="16:16" x14ac:dyDescent="0.2">
      <c r="P454" s="59"/>
    </row>
    <row r="455" spans="16:16" x14ac:dyDescent="0.2">
      <c r="P455" s="59"/>
    </row>
    <row r="456" spans="16:16" x14ac:dyDescent="0.2">
      <c r="P456" s="59"/>
    </row>
    <row r="457" spans="16:16" x14ac:dyDescent="0.2">
      <c r="P457" s="59"/>
    </row>
    <row r="458" spans="16:16" x14ac:dyDescent="0.2">
      <c r="P458" s="59"/>
    </row>
    <row r="459" spans="16:16" x14ac:dyDescent="0.2">
      <c r="P459" s="59"/>
    </row>
    <row r="460" spans="16:16" x14ac:dyDescent="0.2">
      <c r="P460" s="59"/>
    </row>
    <row r="461" spans="16:16" x14ac:dyDescent="0.2">
      <c r="P461" s="59"/>
    </row>
    <row r="462" spans="16:16" x14ac:dyDescent="0.2">
      <c r="P462" s="59"/>
    </row>
    <row r="463" spans="16:16" x14ac:dyDescent="0.2">
      <c r="P463" s="59"/>
    </row>
    <row r="464" spans="16:16" x14ac:dyDescent="0.2">
      <c r="P464" s="59"/>
    </row>
    <row r="465" spans="16:16" x14ac:dyDescent="0.2">
      <c r="P465" s="59"/>
    </row>
    <row r="466" spans="16:16" x14ac:dyDescent="0.2">
      <c r="P466" s="59"/>
    </row>
    <row r="467" spans="16:16" x14ac:dyDescent="0.2">
      <c r="P467" s="59"/>
    </row>
    <row r="468" spans="16:16" x14ac:dyDescent="0.2">
      <c r="P468" s="59"/>
    </row>
    <row r="469" spans="16:16" x14ac:dyDescent="0.2">
      <c r="P469" s="59"/>
    </row>
    <row r="470" spans="16:16" x14ac:dyDescent="0.2">
      <c r="P470" s="59"/>
    </row>
    <row r="471" spans="16:16" x14ac:dyDescent="0.2">
      <c r="P471" s="59"/>
    </row>
    <row r="472" spans="16:16" x14ac:dyDescent="0.2">
      <c r="P472" s="59"/>
    </row>
    <row r="473" spans="16:16" x14ac:dyDescent="0.2">
      <c r="P473" s="59"/>
    </row>
    <row r="474" spans="16:16" x14ac:dyDescent="0.2">
      <c r="P474" s="59"/>
    </row>
    <row r="475" spans="16:16" x14ac:dyDescent="0.2">
      <c r="P475" s="59"/>
    </row>
    <row r="476" spans="16:16" x14ac:dyDescent="0.2">
      <c r="P476" s="59"/>
    </row>
    <row r="477" spans="16:16" x14ac:dyDescent="0.2">
      <c r="P477" s="59"/>
    </row>
    <row r="478" spans="16:16" x14ac:dyDescent="0.2">
      <c r="P478" s="59"/>
    </row>
    <row r="479" spans="16:16" x14ac:dyDescent="0.2">
      <c r="P479" s="59"/>
    </row>
    <row r="480" spans="16:16" x14ac:dyDescent="0.2">
      <c r="P480" s="59"/>
    </row>
    <row r="481" spans="16:16" x14ac:dyDescent="0.2">
      <c r="P481" s="59"/>
    </row>
    <row r="482" spans="16:16" x14ac:dyDescent="0.2">
      <c r="P482" s="59"/>
    </row>
    <row r="483" spans="16:16" x14ac:dyDescent="0.2">
      <c r="P483" s="59"/>
    </row>
    <row r="484" spans="16:16" x14ac:dyDescent="0.2">
      <c r="P484" s="59"/>
    </row>
    <row r="485" spans="16:16" x14ac:dyDescent="0.2">
      <c r="P485" s="59"/>
    </row>
    <row r="486" spans="16:16" x14ac:dyDescent="0.2">
      <c r="P486" s="59"/>
    </row>
    <row r="487" spans="16:16" x14ac:dyDescent="0.2">
      <c r="P487" s="59"/>
    </row>
    <row r="488" spans="16:16" x14ac:dyDescent="0.2">
      <c r="P488" s="59"/>
    </row>
    <row r="489" spans="16:16" x14ac:dyDescent="0.2">
      <c r="P489" s="59"/>
    </row>
    <row r="490" spans="16:16" x14ac:dyDescent="0.2">
      <c r="P490" s="59"/>
    </row>
    <row r="491" spans="16:16" x14ac:dyDescent="0.2">
      <c r="P491" s="59"/>
    </row>
    <row r="492" spans="16:16" x14ac:dyDescent="0.2">
      <c r="P492" s="59"/>
    </row>
    <row r="493" spans="16:16" x14ac:dyDescent="0.2">
      <c r="P493" s="59"/>
    </row>
    <row r="494" spans="16:16" x14ac:dyDescent="0.2">
      <c r="P494" s="59"/>
    </row>
    <row r="495" spans="16:16" x14ac:dyDescent="0.2">
      <c r="P495" s="59"/>
    </row>
    <row r="496" spans="16:16" x14ac:dyDescent="0.2">
      <c r="P496" s="59"/>
    </row>
    <row r="497" spans="16:16" x14ac:dyDescent="0.2">
      <c r="P497" s="59"/>
    </row>
    <row r="498" spans="16:16" x14ac:dyDescent="0.2">
      <c r="P498" s="59"/>
    </row>
    <row r="499" spans="16:16" x14ac:dyDescent="0.2">
      <c r="P499" s="59"/>
    </row>
    <row r="500" spans="16:16" x14ac:dyDescent="0.2">
      <c r="P500" s="59"/>
    </row>
    <row r="501" spans="16:16" x14ac:dyDescent="0.2">
      <c r="P501" s="59"/>
    </row>
    <row r="502" spans="16:16" x14ac:dyDescent="0.2">
      <c r="P502" s="59"/>
    </row>
    <row r="503" spans="16:16" x14ac:dyDescent="0.2">
      <c r="P503" s="59"/>
    </row>
    <row r="504" spans="16:16" x14ac:dyDescent="0.2">
      <c r="P504" s="59"/>
    </row>
    <row r="505" spans="16:16" x14ac:dyDescent="0.2">
      <c r="P505" s="59"/>
    </row>
    <row r="506" spans="16:16" x14ac:dyDescent="0.2">
      <c r="P506" s="59"/>
    </row>
    <row r="507" spans="16:16" x14ac:dyDescent="0.2">
      <c r="P507" s="59"/>
    </row>
    <row r="508" spans="16:16" x14ac:dyDescent="0.2">
      <c r="P508" s="59"/>
    </row>
    <row r="509" spans="16:16" x14ac:dyDescent="0.2">
      <c r="P509" s="59"/>
    </row>
    <row r="510" spans="16:16" x14ac:dyDescent="0.2">
      <c r="P510" s="59"/>
    </row>
    <row r="511" spans="16:16" x14ac:dyDescent="0.2">
      <c r="P511" s="59"/>
    </row>
    <row r="512" spans="16:16" x14ac:dyDescent="0.2">
      <c r="P512" s="59"/>
    </row>
    <row r="513" spans="16:16" x14ac:dyDescent="0.2">
      <c r="P513" s="59"/>
    </row>
    <row r="514" spans="16:16" x14ac:dyDescent="0.2">
      <c r="P514" s="59"/>
    </row>
    <row r="515" spans="16:16" x14ac:dyDescent="0.2">
      <c r="P515" s="59"/>
    </row>
    <row r="516" spans="16:16" x14ac:dyDescent="0.2">
      <c r="P516" s="59"/>
    </row>
    <row r="517" spans="16:16" x14ac:dyDescent="0.2">
      <c r="P517" s="59"/>
    </row>
    <row r="518" spans="16:16" x14ac:dyDescent="0.2">
      <c r="P518" s="59"/>
    </row>
    <row r="519" spans="16:16" x14ac:dyDescent="0.2">
      <c r="P519" s="59"/>
    </row>
    <row r="520" spans="16:16" x14ac:dyDescent="0.2">
      <c r="P520" s="59"/>
    </row>
    <row r="521" spans="16:16" x14ac:dyDescent="0.2">
      <c r="P521" s="59"/>
    </row>
    <row r="522" spans="16:16" x14ac:dyDescent="0.2">
      <c r="P522" s="59"/>
    </row>
    <row r="523" spans="16:16" x14ac:dyDescent="0.2">
      <c r="P523" s="59"/>
    </row>
    <row r="524" spans="16:16" x14ac:dyDescent="0.2">
      <c r="P524" s="59"/>
    </row>
    <row r="525" spans="16:16" x14ac:dyDescent="0.2">
      <c r="P525" s="59"/>
    </row>
    <row r="526" spans="16:16" x14ac:dyDescent="0.2">
      <c r="P526" s="59"/>
    </row>
    <row r="527" spans="16:16" x14ac:dyDescent="0.2">
      <c r="P527" s="59"/>
    </row>
    <row r="528" spans="16:16" x14ac:dyDescent="0.2">
      <c r="P528" s="59"/>
    </row>
    <row r="529" spans="16:16" x14ac:dyDescent="0.2">
      <c r="P529" s="59"/>
    </row>
    <row r="530" spans="16:16" x14ac:dyDescent="0.2">
      <c r="P530" s="59"/>
    </row>
    <row r="531" spans="16:16" x14ac:dyDescent="0.2">
      <c r="P531" s="59"/>
    </row>
    <row r="532" spans="16:16" x14ac:dyDescent="0.2">
      <c r="P532" s="59"/>
    </row>
    <row r="533" spans="16:16" x14ac:dyDescent="0.2">
      <c r="P533" s="59"/>
    </row>
    <row r="534" spans="16:16" x14ac:dyDescent="0.2">
      <c r="P534" s="59"/>
    </row>
    <row r="535" spans="16:16" x14ac:dyDescent="0.2">
      <c r="P535" s="59"/>
    </row>
    <row r="536" spans="16:16" x14ac:dyDescent="0.2">
      <c r="P536" s="59"/>
    </row>
    <row r="537" spans="16:16" x14ac:dyDescent="0.2">
      <c r="P537" s="59"/>
    </row>
    <row r="538" spans="16:16" x14ac:dyDescent="0.2">
      <c r="P538" s="59"/>
    </row>
    <row r="539" spans="16:16" x14ac:dyDescent="0.2">
      <c r="P539" s="59"/>
    </row>
    <row r="540" spans="16:16" x14ac:dyDescent="0.2">
      <c r="P540" s="59"/>
    </row>
    <row r="541" spans="16:16" x14ac:dyDescent="0.2">
      <c r="P541" s="59"/>
    </row>
    <row r="542" spans="16:16" x14ac:dyDescent="0.2">
      <c r="P542" s="59"/>
    </row>
    <row r="543" spans="16:16" x14ac:dyDescent="0.2">
      <c r="P543" s="59"/>
    </row>
    <row r="544" spans="16:16" x14ac:dyDescent="0.2">
      <c r="P544" s="59"/>
    </row>
    <row r="545" spans="16:16" x14ac:dyDescent="0.2">
      <c r="P545" s="59"/>
    </row>
    <row r="546" spans="16:16" x14ac:dyDescent="0.2">
      <c r="P546" s="59"/>
    </row>
    <row r="547" spans="16:16" x14ac:dyDescent="0.2">
      <c r="P547" s="59"/>
    </row>
    <row r="548" spans="16:16" x14ac:dyDescent="0.2">
      <c r="P548" s="59"/>
    </row>
    <row r="549" spans="16:16" x14ac:dyDescent="0.2">
      <c r="P549" s="59"/>
    </row>
    <row r="550" spans="16:16" x14ac:dyDescent="0.2">
      <c r="P550" s="59"/>
    </row>
    <row r="551" spans="16:16" x14ac:dyDescent="0.2">
      <c r="P551" s="59"/>
    </row>
    <row r="552" spans="16:16" x14ac:dyDescent="0.2">
      <c r="P552" s="59"/>
    </row>
    <row r="553" spans="16:16" x14ac:dyDescent="0.2">
      <c r="P553" s="59"/>
    </row>
    <row r="554" spans="16:16" x14ac:dyDescent="0.2">
      <c r="P554" s="59"/>
    </row>
    <row r="555" spans="16:16" x14ac:dyDescent="0.2">
      <c r="P555" s="59"/>
    </row>
    <row r="556" spans="16:16" x14ac:dyDescent="0.2">
      <c r="P556" s="59"/>
    </row>
    <row r="557" spans="16:16" x14ac:dyDescent="0.2">
      <c r="P557" s="59"/>
    </row>
    <row r="558" spans="16:16" x14ac:dyDescent="0.2">
      <c r="P558" s="59"/>
    </row>
    <row r="559" spans="16:16" x14ac:dyDescent="0.2">
      <c r="P559" s="59"/>
    </row>
    <row r="560" spans="16:16" x14ac:dyDescent="0.2">
      <c r="P560" s="59"/>
    </row>
    <row r="561" spans="16:16" x14ac:dyDescent="0.2">
      <c r="P561" s="59"/>
    </row>
    <row r="562" spans="16:16" x14ac:dyDescent="0.2">
      <c r="P562" s="59"/>
    </row>
    <row r="563" spans="16:16" x14ac:dyDescent="0.2">
      <c r="P563" s="59"/>
    </row>
    <row r="564" spans="16:16" x14ac:dyDescent="0.2">
      <c r="P564" s="59"/>
    </row>
    <row r="565" spans="16:16" x14ac:dyDescent="0.2">
      <c r="P565" s="59"/>
    </row>
    <row r="566" spans="16:16" x14ac:dyDescent="0.2">
      <c r="P566" s="59"/>
    </row>
    <row r="567" spans="16:16" x14ac:dyDescent="0.2">
      <c r="P567" s="59"/>
    </row>
    <row r="568" spans="16:16" x14ac:dyDescent="0.2">
      <c r="P568" s="59"/>
    </row>
    <row r="569" spans="16:16" x14ac:dyDescent="0.2">
      <c r="P569" s="59"/>
    </row>
    <row r="570" spans="16:16" x14ac:dyDescent="0.2">
      <c r="P570" s="59"/>
    </row>
    <row r="571" spans="16:16" x14ac:dyDescent="0.2">
      <c r="P571" s="59"/>
    </row>
    <row r="572" spans="16:16" x14ac:dyDescent="0.2">
      <c r="P572" s="59"/>
    </row>
    <row r="573" spans="16:16" x14ac:dyDescent="0.2">
      <c r="P573" s="59"/>
    </row>
    <row r="574" spans="16:16" x14ac:dyDescent="0.2">
      <c r="P574" s="59"/>
    </row>
    <row r="575" spans="16:16" x14ac:dyDescent="0.2">
      <c r="P575" s="59"/>
    </row>
    <row r="576" spans="16:16" x14ac:dyDescent="0.2">
      <c r="P576" s="59"/>
    </row>
    <row r="577" spans="16:16" x14ac:dyDescent="0.2">
      <c r="P577" s="59"/>
    </row>
    <row r="578" spans="16:16" x14ac:dyDescent="0.2">
      <c r="P578" s="59"/>
    </row>
    <row r="579" spans="16:16" x14ac:dyDescent="0.2">
      <c r="P579" s="59"/>
    </row>
    <row r="580" spans="16:16" x14ac:dyDescent="0.2">
      <c r="P580" s="59"/>
    </row>
    <row r="581" spans="16:16" x14ac:dyDescent="0.2">
      <c r="P581" s="59"/>
    </row>
    <row r="582" spans="16:16" x14ac:dyDescent="0.2">
      <c r="P582" s="59"/>
    </row>
    <row r="583" spans="16:16" x14ac:dyDescent="0.2">
      <c r="P583" s="59"/>
    </row>
    <row r="584" spans="16:16" x14ac:dyDescent="0.2">
      <c r="P584" s="59"/>
    </row>
    <row r="585" spans="16:16" x14ac:dyDescent="0.2">
      <c r="P585" s="59"/>
    </row>
    <row r="586" spans="16:16" x14ac:dyDescent="0.2">
      <c r="P586" s="59"/>
    </row>
    <row r="587" spans="16:16" x14ac:dyDescent="0.2">
      <c r="P587" s="59"/>
    </row>
    <row r="588" spans="16:16" x14ac:dyDescent="0.2">
      <c r="P588" s="59"/>
    </row>
    <row r="589" spans="16:16" x14ac:dyDescent="0.2">
      <c r="P589" s="59"/>
    </row>
    <row r="590" spans="16:16" x14ac:dyDescent="0.2">
      <c r="P590" s="59"/>
    </row>
    <row r="591" spans="16:16" x14ac:dyDescent="0.2">
      <c r="P591" s="59"/>
    </row>
    <row r="592" spans="16:16" x14ac:dyDescent="0.2">
      <c r="P592" s="59"/>
    </row>
    <row r="593" spans="16:16" x14ac:dyDescent="0.2">
      <c r="P593" s="59"/>
    </row>
    <row r="594" spans="16:16" x14ac:dyDescent="0.2">
      <c r="P594" s="59"/>
    </row>
    <row r="595" spans="16:16" x14ac:dyDescent="0.2">
      <c r="P595" s="59"/>
    </row>
    <row r="596" spans="16:16" x14ac:dyDescent="0.2">
      <c r="P596" s="59"/>
    </row>
    <row r="597" spans="16:16" x14ac:dyDescent="0.2">
      <c r="P597" s="59"/>
    </row>
    <row r="598" spans="16:16" x14ac:dyDescent="0.2">
      <c r="P598" s="59"/>
    </row>
    <row r="599" spans="16:16" x14ac:dyDescent="0.2">
      <c r="P599" s="59"/>
    </row>
    <row r="600" spans="16:16" x14ac:dyDescent="0.2">
      <c r="P600" s="59"/>
    </row>
    <row r="601" spans="16:16" x14ac:dyDescent="0.2">
      <c r="P601" s="59"/>
    </row>
    <row r="602" spans="16:16" x14ac:dyDescent="0.2">
      <c r="P602" s="59"/>
    </row>
    <row r="603" spans="16:16" x14ac:dyDescent="0.2">
      <c r="P603" s="59"/>
    </row>
    <row r="604" spans="16:16" x14ac:dyDescent="0.2">
      <c r="P604" s="59"/>
    </row>
    <row r="605" spans="16:16" x14ac:dyDescent="0.2">
      <c r="P605" s="59"/>
    </row>
    <row r="606" spans="16:16" x14ac:dyDescent="0.2">
      <c r="P606" s="59"/>
    </row>
    <row r="607" spans="16:16" x14ac:dyDescent="0.2">
      <c r="P607" s="59"/>
    </row>
    <row r="608" spans="16:16" x14ac:dyDescent="0.2">
      <c r="P608" s="59"/>
    </row>
    <row r="609" spans="16:16" x14ac:dyDescent="0.2">
      <c r="P609" s="59"/>
    </row>
    <row r="610" spans="16:16" x14ac:dyDescent="0.2">
      <c r="P610" s="59"/>
    </row>
    <row r="611" spans="16:16" x14ac:dyDescent="0.2">
      <c r="P611" s="59"/>
    </row>
    <row r="612" spans="16:16" x14ac:dyDescent="0.2">
      <c r="P612" s="59"/>
    </row>
    <row r="613" spans="16:16" x14ac:dyDescent="0.2">
      <c r="P613" s="59"/>
    </row>
    <row r="614" spans="16:16" x14ac:dyDescent="0.2">
      <c r="P614" s="59"/>
    </row>
    <row r="615" spans="16:16" x14ac:dyDescent="0.2">
      <c r="P615" s="59"/>
    </row>
    <row r="616" spans="16:16" x14ac:dyDescent="0.2">
      <c r="P616" s="59"/>
    </row>
    <row r="617" spans="16:16" x14ac:dyDescent="0.2">
      <c r="P617" s="59"/>
    </row>
    <row r="618" spans="16:16" x14ac:dyDescent="0.2">
      <c r="P618" s="59"/>
    </row>
    <row r="619" spans="16:16" x14ac:dyDescent="0.2">
      <c r="P619" s="59"/>
    </row>
    <row r="620" spans="16:16" x14ac:dyDescent="0.2">
      <c r="P620" s="59"/>
    </row>
    <row r="621" spans="16:16" x14ac:dyDescent="0.2">
      <c r="P621" s="59"/>
    </row>
    <row r="622" spans="16:16" x14ac:dyDescent="0.2">
      <c r="P622" s="59"/>
    </row>
    <row r="623" spans="16:16" x14ac:dyDescent="0.2">
      <c r="P623" s="59"/>
    </row>
    <row r="624" spans="16:16" x14ac:dyDescent="0.2">
      <c r="P624" s="59"/>
    </row>
    <row r="625" spans="16:16" x14ac:dyDescent="0.2">
      <c r="P625" s="59"/>
    </row>
    <row r="626" spans="16:16" x14ac:dyDescent="0.2">
      <c r="P626" s="59"/>
    </row>
    <row r="627" spans="16:16" x14ac:dyDescent="0.2">
      <c r="P627" s="59"/>
    </row>
    <row r="628" spans="16:16" x14ac:dyDescent="0.2">
      <c r="P628" s="59"/>
    </row>
    <row r="629" spans="16:16" x14ac:dyDescent="0.2">
      <c r="P629" s="59"/>
    </row>
    <row r="630" spans="16:16" x14ac:dyDescent="0.2">
      <c r="P630" s="59"/>
    </row>
    <row r="631" spans="16:16" x14ac:dyDescent="0.2">
      <c r="P631" s="59"/>
    </row>
    <row r="632" spans="16:16" x14ac:dyDescent="0.2">
      <c r="P632" s="59"/>
    </row>
    <row r="633" spans="16:16" x14ac:dyDescent="0.2">
      <c r="P633" s="59"/>
    </row>
    <row r="634" spans="16:16" x14ac:dyDescent="0.2">
      <c r="P634" s="59"/>
    </row>
    <row r="635" spans="16:16" x14ac:dyDescent="0.2">
      <c r="P635" s="59"/>
    </row>
    <row r="636" spans="16:16" x14ac:dyDescent="0.2">
      <c r="P636" s="59"/>
    </row>
    <row r="637" spans="16:16" x14ac:dyDescent="0.2">
      <c r="P637" s="59"/>
    </row>
    <row r="638" spans="16:16" x14ac:dyDescent="0.2">
      <c r="P638" s="59"/>
    </row>
    <row r="639" spans="16:16" x14ac:dyDescent="0.2">
      <c r="P639" s="59"/>
    </row>
    <row r="640" spans="16:16" x14ac:dyDescent="0.2">
      <c r="P640" s="59"/>
    </row>
    <row r="641" spans="16:16" x14ac:dyDescent="0.2">
      <c r="P641" s="59"/>
    </row>
    <row r="642" spans="16:16" x14ac:dyDescent="0.2">
      <c r="P642" s="59"/>
    </row>
    <row r="643" spans="16:16" x14ac:dyDescent="0.2">
      <c r="P643" s="59"/>
    </row>
    <row r="644" spans="16:16" x14ac:dyDescent="0.2">
      <c r="P644" s="59"/>
    </row>
    <row r="645" spans="16:16" x14ac:dyDescent="0.2">
      <c r="P645" s="59"/>
    </row>
    <row r="646" spans="16:16" x14ac:dyDescent="0.2">
      <c r="P646" s="59"/>
    </row>
    <row r="647" spans="16:16" x14ac:dyDescent="0.2">
      <c r="P647" s="59"/>
    </row>
    <row r="648" spans="16:16" x14ac:dyDescent="0.2">
      <c r="P648" s="59"/>
    </row>
    <row r="649" spans="16:16" x14ac:dyDescent="0.2">
      <c r="P649" s="59"/>
    </row>
    <row r="650" spans="16:16" x14ac:dyDescent="0.2">
      <c r="P650" s="59"/>
    </row>
    <row r="651" spans="16:16" x14ac:dyDescent="0.2">
      <c r="P651" s="59"/>
    </row>
    <row r="652" spans="16:16" x14ac:dyDescent="0.2">
      <c r="P652" s="59"/>
    </row>
    <row r="653" spans="16:16" x14ac:dyDescent="0.2">
      <c r="P653" s="59"/>
    </row>
    <row r="654" spans="16:16" x14ac:dyDescent="0.2">
      <c r="P654" s="59"/>
    </row>
    <row r="655" spans="16:16" x14ac:dyDescent="0.2">
      <c r="P655" s="59"/>
    </row>
    <row r="656" spans="16:16" x14ac:dyDescent="0.2">
      <c r="P656" s="59"/>
    </row>
    <row r="657" spans="16:16" x14ac:dyDescent="0.2">
      <c r="P657" s="59"/>
    </row>
    <row r="658" spans="16:16" x14ac:dyDescent="0.2">
      <c r="P658" s="59"/>
    </row>
    <row r="659" spans="16:16" x14ac:dyDescent="0.2">
      <c r="P659" s="59"/>
    </row>
    <row r="660" spans="16:16" x14ac:dyDescent="0.2">
      <c r="P660" s="59"/>
    </row>
    <row r="661" spans="16:16" x14ac:dyDescent="0.2">
      <c r="P661" s="59"/>
    </row>
    <row r="662" spans="16:16" x14ac:dyDescent="0.2">
      <c r="P662" s="59"/>
    </row>
    <row r="663" spans="16:16" x14ac:dyDescent="0.2">
      <c r="P663" s="59"/>
    </row>
    <row r="664" spans="16:16" x14ac:dyDescent="0.2">
      <c r="P664" s="59"/>
    </row>
    <row r="665" spans="16:16" x14ac:dyDescent="0.2">
      <c r="P665" s="59"/>
    </row>
    <row r="666" spans="16:16" x14ac:dyDescent="0.2">
      <c r="P666" s="59"/>
    </row>
    <row r="667" spans="16:16" x14ac:dyDescent="0.2">
      <c r="P667" s="59"/>
    </row>
    <row r="668" spans="16:16" x14ac:dyDescent="0.2">
      <c r="P668" s="59"/>
    </row>
    <row r="669" spans="16:16" x14ac:dyDescent="0.2">
      <c r="P669" s="59"/>
    </row>
    <row r="670" spans="16:16" x14ac:dyDescent="0.2">
      <c r="P670" s="59"/>
    </row>
    <row r="671" spans="16:16" x14ac:dyDescent="0.2">
      <c r="P671" s="59"/>
    </row>
    <row r="672" spans="16:16" x14ac:dyDescent="0.2">
      <c r="P672" s="59"/>
    </row>
    <row r="673" spans="16:16" x14ac:dyDescent="0.2">
      <c r="P673" s="59"/>
    </row>
    <row r="674" spans="16:16" x14ac:dyDescent="0.2">
      <c r="P674" s="59"/>
    </row>
    <row r="675" spans="16:16" x14ac:dyDescent="0.2">
      <c r="P675" s="59"/>
    </row>
    <row r="676" spans="16:16" x14ac:dyDescent="0.2">
      <c r="P676" s="59"/>
    </row>
    <row r="677" spans="16:16" x14ac:dyDescent="0.2">
      <c r="P677" s="59"/>
    </row>
    <row r="678" spans="16:16" x14ac:dyDescent="0.2">
      <c r="P678" s="59"/>
    </row>
    <row r="679" spans="16:16" x14ac:dyDescent="0.2">
      <c r="P679" s="59"/>
    </row>
    <row r="680" spans="16:16" x14ac:dyDescent="0.2">
      <c r="P680" s="59"/>
    </row>
    <row r="681" spans="16:16" x14ac:dyDescent="0.2">
      <c r="P681" s="59"/>
    </row>
    <row r="682" spans="16:16" x14ac:dyDescent="0.2">
      <c r="P682" s="59"/>
    </row>
    <row r="683" spans="16:16" x14ac:dyDescent="0.2">
      <c r="P683" s="59"/>
    </row>
    <row r="684" spans="16:16" x14ac:dyDescent="0.2">
      <c r="P684" s="59"/>
    </row>
    <row r="685" spans="16:16" x14ac:dyDescent="0.2">
      <c r="P685" s="59"/>
    </row>
    <row r="686" spans="16:16" x14ac:dyDescent="0.2">
      <c r="P686" s="59"/>
    </row>
    <row r="687" spans="16:16" x14ac:dyDescent="0.2">
      <c r="P687" s="59"/>
    </row>
    <row r="688" spans="16:16" x14ac:dyDescent="0.2">
      <c r="P688" s="59"/>
    </row>
    <row r="689" spans="16:16" x14ac:dyDescent="0.2">
      <c r="P689" s="59"/>
    </row>
    <row r="690" spans="16:16" x14ac:dyDescent="0.2">
      <c r="P690" s="59"/>
    </row>
    <row r="691" spans="16:16" x14ac:dyDescent="0.2">
      <c r="P691" s="59"/>
    </row>
    <row r="692" spans="16:16" x14ac:dyDescent="0.2">
      <c r="P692" s="59"/>
    </row>
    <row r="693" spans="16:16" x14ac:dyDescent="0.2">
      <c r="P693" s="59"/>
    </row>
    <row r="694" spans="16:16" x14ac:dyDescent="0.2">
      <c r="P694" s="59"/>
    </row>
    <row r="695" spans="16:16" x14ac:dyDescent="0.2">
      <c r="P695" s="59"/>
    </row>
    <row r="696" spans="16:16" x14ac:dyDescent="0.2">
      <c r="P696" s="59"/>
    </row>
    <row r="697" spans="16:16" x14ac:dyDescent="0.2">
      <c r="P697" s="59"/>
    </row>
    <row r="698" spans="16:16" x14ac:dyDescent="0.2">
      <c r="P698" s="59"/>
    </row>
    <row r="699" spans="16:16" x14ac:dyDescent="0.2">
      <c r="P699" s="59"/>
    </row>
    <row r="700" spans="16:16" x14ac:dyDescent="0.2">
      <c r="P700" s="59"/>
    </row>
    <row r="701" spans="16:16" x14ac:dyDescent="0.2">
      <c r="P701" s="59"/>
    </row>
    <row r="702" spans="16:16" x14ac:dyDescent="0.2">
      <c r="P702" s="59"/>
    </row>
  </sheetData>
  <mergeCells count="5">
    <mergeCell ref="C3:M3"/>
    <mergeCell ref="F7:M7"/>
    <mergeCell ref="C24:M24"/>
    <mergeCell ref="B26:N32"/>
    <mergeCell ref="C23:G23"/>
  </mergeCells>
  <pageMargins left="0.7" right="0.7" top="0.75" bottom="0.75" header="0.3" footer="0.3"/>
  <pageSetup paperSize="9" scale="10"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4">
    <pageSetUpPr fitToPage="1"/>
  </sheetPr>
  <dimension ref="B1:S704"/>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19" ht="15.75" thickBot="1" x14ac:dyDescent="0.25"/>
    <row r="2" spans="2:19" x14ac:dyDescent="0.2">
      <c r="B2" s="110"/>
      <c r="C2" s="49"/>
      <c r="D2" s="49"/>
      <c r="E2" s="49"/>
      <c r="F2" s="49"/>
      <c r="G2" s="49"/>
      <c r="H2" s="49"/>
      <c r="I2" s="49"/>
      <c r="J2" s="49"/>
      <c r="K2" s="49"/>
      <c r="L2" s="49"/>
      <c r="M2" s="111"/>
    </row>
    <row r="3" spans="2:19" ht="20.25" customHeight="1" x14ac:dyDescent="0.2">
      <c r="B3" s="112"/>
      <c r="C3" s="219" t="s">
        <v>62</v>
      </c>
      <c r="D3" s="219"/>
      <c r="E3" s="219"/>
      <c r="F3" s="219"/>
      <c r="G3" s="219"/>
      <c r="H3" s="219"/>
      <c r="I3" s="219"/>
      <c r="J3" s="219"/>
      <c r="K3" s="219"/>
      <c r="L3" s="219"/>
      <c r="M3" s="220"/>
    </row>
    <row r="4" spans="2:19" ht="15.75" x14ac:dyDescent="0.25">
      <c r="B4" s="112"/>
      <c r="C4" s="85" t="s">
        <v>271</v>
      </c>
      <c r="D4" s="33"/>
      <c r="E4" s="33"/>
      <c r="F4" s="5"/>
      <c r="G4" s="5"/>
      <c r="H4" s="5"/>
      <c r="I4" s="5"/>
      <c r="J4" s="5"/>
      <c r="K4" s="5"/>
      <c r="L4" s="5"/>
      <c r="M4" s="24"/>
    </row>
    <row r="5" spans="2:19" ht="20.25" customHeight="1" x14ac:dyDescent="0.25">
      <c r="B5" s="112"/>
      <c r="C5" s="86" t="s">
        <v>272</v>
      </c>
      <c r="D5" s="113" t="s">
        <v>291</v>
      </c>
      <c r="E5" s="23"/>
      <c r="F5" s="5"/>
      <c r="G5" s="5"/>
      <c r="H5" s="5"/>
      <c r="I5" s="5"/>
      <c r="J5" s="5"/>
      <c r="K5" s="5"/>
      <c r="L5" s="5"/>
      <c r="M5" s="24"/>
    </row>
    <row r="6" spans="2:19" x14ac:dyDescent="0.2">
      <c r="B6" s="112"/>
      <c r="C6" s="5"/>
      <c r="D6" s="5"/>
      <c r="E6" s="5"/>
      <c r="F6" s="5"/>
      <c r="G6" s="5"/>
      <c r="H6" s="5"/>
      <c r="I6" s="5"/>
      <c r="J6" s="5"/>
      <c r="K6" s="5"/>
      <c r="L6" s="5"/>
      <c r="M6" s="24"/>
    </row>
    <row r="7" spans="2:19" ht="32.25" customHeight="1" x14ac:dyDescent="0.2">
      <c r="B7" s="112"/>
      <c r="C7" s="114" t="s">
        <v>48</v>
      </c>
      <c r="D7" s="114" t="s">
        <v>50</v>
      </c>
      <c r="E7" s="5"/>
      <c r="F7" s="221" t="s">
        <v>56</v>
      </c>
      <c r="G7" s="221"/>
      <c r="H7" s="221"/>
      <c r="I7" s="221"/>
      <c r="J7" s="221"/>
      <c r="K7" s="221"/>
      <c r="L7" s="221"/>
      <c r="M7" s="222"/>
    </row>
    <row r="8" spans="2:19" x14ac:dyDescent="0.2">
      <c r="B8" s="112"/>
      <c r="C8" s="4" t="s">
        <v>141</v>
      </c>
      <c r="D8" s="6">
        <v>0.33070899999999998</v>
      </c>
      <c r="E8" s="5"/>
      <c r="F8" s="5"/>
      <c r="G8" s="35"/>
      <c r="H8" s="5"/>
      <c r="I8" s="117" t="s">
        <v>58</v>
      </c>
      <c r="J8" s="118">
        <f>D11</f>
        <v>0.49657699999999999</v>
      </c>
      <c r="K8" s="5"/>
      <c r="L8" s="5"/>
      <c r="M8" s="24"/>
      <c r="S8" s="59"/>
    </row>
    <row r="9" spans="2:19" ht="15.75" customHeight="1" x14ac:dyDescent="0.2">
      <c r="B9" s="112"/>
      <c r="C9" s="4" t="s">
        <v>140</v>
      </c>
      <c r="D9" s="6">
        <v>0.13633500000000001</v>
      </c>
      <c r="E9" s="5"/>
      <c r="F9" s="5"/>
      <c r="G9" s="5"/>
      <c r="H9" s="5"/>
      <c r="I9" s="117" t="s">
        <v>60</v>
      </c>
      <c r="J9" s="119">
        <f>D17</f>
        <v>0.49713299999999999</v>
      </c>
      <c r="K9" s="5"/>
      <c r="L9" s="5"/>
      <c r="M9" s="24"/>
      <c r="S9" s="59"/>
    </row>
    <row r="10" spans="2:19" x14ac:dyDescent="0.2">
      <c r="B10" s="112"/>
      <c r="C10" s="42" t="s">
        <v>139</v>
      </c>
      <c r="D10" s="115">
        <v>2.9533E-2</v>
      </c>
      <c r="E10" s="5"/>
      <c r="F10" s="5"/>
      <c r="G10" s="5"/>
      <c r="H10" s="5"/>
      <c r="I10" s="117" t="s">
        <v>20</v>
      </c>
      <c r="J10" s="119">
        <f>D19</f>
        <v>6.2900000000000005E-3</v>
      </c>
      <c r="K10" s="5"/>
      <c r="L10" s="5"/>
      <c r="M10" s="24"/>
      <c r="S10" s="59"/>
    </row>
    <row r="11" spans="2:19" ht="15.75" customHeight="1" x14ac:dyDescent="0.25">
      <c r="B11" s="112"/>
      <c r="C11" s="7" t="s">
        <v>59</v>
      </c>
      <c r="D11" s="8">
        <f>SUM(D8:D10)</f>
        <v>0.49657699999999999</v>
      </c>
      <c r="E11" s="5"/>
      <c r="F11" s="5"/>
      <c r="G11" s="5"/>
      <c r="H11" s="5"/>
      <c r="K11" s="5"/>
      <c r="L11" s="5"/>
      <c r="M11" s="24"/>
      <c r="S11" s="59"/>
    </row>
    <row r="12" spans="2:19" x14ac:dyDescent="0.2">
      <c r="B12" s="112"/>
      <c r="C12" s="42"/>
      <c r="D12" s="42"/>
      <c r="E12" s="5"/>
      <c r="F12" s="5"/>
      <c r="G12" s="5"/>
      <c r="H12" s="5"/>
      <c r="K12" s="5"/>
      <c r="L12" s="5"/>
      <c r="M12" s="24"/>
      <c r="S12" s="59"/>
    </row>
    <row r="13" spans="2:19" ht="15.75" customHeight="1" x14ac:dyDescent="0.2">
      <c r="B13" s="112"/>
      <c r="C13" s="4" t="s">
        <v>143</v>
      </c>
      <c r="D13" s="6">
        <v>0.29625800000000002</v>
      </c>
      <c r="E13" s="5"/>
      <c r="F13" s="5"/>
      <c r="G13" s="5"/>
      <c r="H13" s="5"/>
      <c r="I13" s="117"/>
      <c r="J13" s="117"/>
      <c r="K13" s="5"/>
      <c r="L13" s="5"/>
      <c r="M13" s="24"/>
      <c r="S13" s="59"/>
    </row>
    <row r="14" spans="2:19" x14ac:dyDescent="0.2">
      <c r="B14" s="112"/>
      <c r="C14" s="4" t="s">
        <v>144</v>
      </c>
      <c r="D14" s="6">
        <v>0.11899899999999999</v>
      </c>
      <c r="E14" s="5"/>
      <c r="F14" s="5"/>
      <c r="G14" s="5"/>
      <c r="H14" s="5"/>
      <c r="I14" s="5"/>
      <c r="J14" s="5"/>
      <c r="K14" s="5"/>
      <c r="L14" s="5"/>
      <c r="M14" s="24"/>
      <c r="S14" s="59"/>
    </row>
    <row r="15" spans="2:19" x14ac:dyDescent="0.2">
      <c r="B15" s="112"/>
      <c r="C15" s="4" t="s">
        <v>142</v>
      </c>
      <c r="D15" s="6">
        <v>8.1876000000000004E-2</v>
      </c>
      <c r="E15" s="5"/>
      <c r="F15" s="5"/>
      <c r="G15" s="5"/>
      <c r="H15" s="5"/>
      <c r="I15" s="5"/>
      <c r="J15" s="5"/>
      <c r="K15" s="5"/>
      <c r="L15" s="5"/>
      <c r="M15" s="24"/>
      <c r="S15" s="59"/>
    </row>
    <row r="16" spans="2:19" x14ac:dyDescent="0.2">
      <c r="B16" s="112"/>
      <c r="C16" s="4"/>
      <c r="D16" s="6"/>
      <c r="E16" s="5"/>
      <c r="F16" s="5"/>
      <c r="G16" s="5"/>
      <c r="H16" s="5"/>
      <c r="I16" s="5"/>
      <c r="J16" s="5"/>
      <c r="K16" s="5"/>
      <c r="L16" s="5"/>
      <c r="M16" s="24"/>
      <c r="S16" s="59"/>
    </row>
    <row r="17" spans="2:19" ht="15.75" x14ac:dyDescent="0.25">
      <c r="B17" s="112"/>
      <c r="C17" s="7" t="s">
        <v>19</v>
      </c>
      <c r="D17" s="8">
        <f>SUM(D13:D16)</f>
        <v>0.49713299999999999</v>
      </c>
      <c r="E17" s="5"/>
      <c r="F17" s="5"/>
      <c r="G17" s="5"/>
      <c r="H17" s="5"/>
      <c r="I17" s="5"/>
      <c r="J17" s="5"/>
      <c r="K17" s="5"/>
      <c r="L17" s="5"/>
      <c r="M17" s="24"/>
      <c r="S17" s="59"/>
    </row>
    <row r="18" spans="2:19" x14ac:dyDescent="0.2">
      <c r="B18" s="112"/>
      <c r="C18" s="4"/>
      <c r="D18" s="6"/>
      <c r="E18" s="5"/>
      <c r="F18" s="5"/>
      <c r="G18" s="5"/>
      <c r="H18" s="5"/>
      <c r="I18" s="5"/>
      <c r="J18" s="5"/>
      <c r="K18" s="5"/>
      <c r="L18" s="5"/>
      <c r="M18" s="24"/>
      <c r="S18" s="59"/>
    </row>
    <row r="19" spans="2:19" ht="15.75" x14ac:dyDescent="0.25">
      <c r="B19" s="112"/>
      <c r="C19" s="7" t="s">
        <v>20</v>
      </c>
      <c r="D19" s="8">
        <v>6.2900000000000005E-3</v>
      </c>
      <c r="E19" s="5"/>
      <c r="F19" s="5"/>
      <c r="G19" s="5"/>
      <c r="H19" s="5"/>
      <c r="I19" s="5"/>
      <c r="J19" s="5"/>
      <c r="K19" s="5"/>
      <c r="L19" s="5"/>
      <c r="M19" s="24"/>
      <c r="S19" s="59"/>
    </row>
    <row r="20" spans="2:19" x14ac:dyDescent="0.2">
      <c r="B20" s="112"/>
      <c r="C20" s="4"/>
      <c r="D20" s="6"/>
      <c r="E20" s="5"/>
      <c r="F20" s="5"/>
      <c r="G20" s="5"/>
      <c r="H20" s="5"/>
      <c r="I20" s="5"/>
      <c r="J20" s="5"/>
      <c r="K20" s="5"/>
      <c r="L20" s="5"/>
      <c r="M20" s="24"/>
      <c r="S20" s="59"/>
    </row>
    <row r="21" spans="2:19" ht="15.75" x14ac:dyDescent="0.25">
      <c r="B21" s="112"/>
      <c r="C21" s="9" t="s">
        <v>61</v>
      </c>
      <c r="D21" s="10">
        <f>SUM(D19,D17,D11)</f>
        <v>1</v>
      </c>
      <c r="E21" s="5"/>
      <c r="F21" s="5"/>
      <c r="G21" s="5"/>
      <c r="H21" s="5"/>
      <c r="I21" s="5"/>
      <c r="J21" s="5"/>
      <c r="K21" s="5"/>
      <c r="L21" s="5"/>
      <c r="M21" s="24"/>
      <c r="S21" s="59"/>
    </row>
    <row r="22" spans="2:19" ht="15.75" customHeight="1" x14ac:dyDescent="0.2">
      <c r="B22" s="112"/>
      <c r="E22" s="5"/>
      <c r="F22" s="5"/>
      <c r="G22" s="5"/>
      <c r="H22" s="5"/>
      <c r="I22" s="5"/>
      <c r="J22" s="5"/>
      <c r="K22" s="5"/>
      <c r="L22" s="5"/>
      <c r="M22" s="24"/>
      <c r="S22" s="59"/>
    </row>
    <row r="23" spans="2:19" x14ac:dyDescent="0.2">
      <c r="B23" s="112"/>
      <c r="C23" s="37"/>
      <c r="D23" s="38"/>
      <c r="E23" s="5"/>
      <c r="F23" s="5" t="s">
        <v>55</v>
      </c>
      <c r="G23" s="5"/>
      <c r="H23" s="5"/>
      <c r="I23" s="5"/>
      <c r="J23" s="5"/>
      <c r="K23" s="5"/>
      <c r="L23" s="5"/>
      <c r="M23" s="24"/>
      <c r="S23" s="59"/>
    </row>
    <row r="24" spans="2:19" ht="15.75" x14ac:dyDescent="0.2">
      <c r="B24" s="112"/>
      <c r="C24" s="109"/>
      <c r="D24" s="109"/>
      <c r="E24" s="5"/>
      <c r="F24" s="35">
        <v>1.0001</v>
      </c>
      <c r="G24" s="5"/>
      <c r="H24" s="5"/>
      <c r="I24" s="5"/>
      <c r="J24" s="5"/>
      <c r="K24" s="5"/>
      <c r="L24" s="5"/>
      <c r="M24" s="24"/>
      <c r="S24" s="59"/>
    </row>
    <row r="25" spans="2:19" ht="15.75" x14ac:dyDescent="0.2">
      <c r="B25" s="112"/>
      <c r="C25" s="109"/>
      <c r="D25" s="109"/>
      <c r="E25" s="5"/>
      <c r="F25" s="35"/>
      <c r="G25" s="5"/>
      <c r="H25" s="5"/>
      <c r="I25" s="5"/>
      <c r="J25" s="5"/>
      <c r="K25" s="5"/>
      <c r="L25" s="5"/>
      <c r="M25" s="24"/>
      <c r="S25" s="59"/>
    </row>
    <row r="26" spans="2:19" ht="16.5" thickBot="1" x14ac:dyDescent="0.3">
      <c r="B26" s="116"/>
      <c r="C26" s="120"/>
      <c r="D26" s="120"/>
      <c r="E26" s="120"/>
      <c r="F26" s="120"/>
      <c r="G26" s="120"/>
      <c r="H26" s="120"/>
      <c r="I26" s="120"/>
      <c r="J26" s="120"/>
      <c r="K26" s="120"/>
      <c r="L26" s="120"/>
      <c r="M26" s="121"/>
      <c r="S26" s="59"/>
    </row>
    <row r="27" spans="2:19" ht="15.75" thickBot="1" x14ac:dyDescent="0.25">
      <c r="S27" s="59"/>
    </row>
    <row r="28" spans="2:19" x14ac:dyDescent="0.2">
      <c r="B28" s="225" t="s">
        <v>117</v>
      </c>
      <c r="C28" s="226"/>
      <c r="D28" s="226"/>
      <c r="E28" s="226"/>
      <c r="F28" s="226"/>
      <c r="G28" s="226"/>
      <c r="H28" s="226"/>
      <c r="I28" s="226"/>
      <c r="J28" s="226"/>
      <c r="K28" s="226"/>
      <c r="L28" s="226"/>
      <c r="M28" s="226"/>
      <c r="N28" s="227"/>
      <c r="S28" s="59"/>
    </row>
    <row r="29" spans="2:19" x14ac:dyDescent="0.2">
      <c r="B29" s="228"/>
      <c r="C29" s="229"/>
      <c r="D29" s="229"/>
      <c r="E29" s="229"/>
      <c r="F29" s="229"/>
      <c r="G29" s="229"/>
      <c r="H29" s="229"/>
      <c r="I29" s="229"/>
      <c r="J29" s="229"/>
      <c r="K29" s="229"/>
      <c r="L29" s="229"/>
      <c r="M29" s="229"/>
      <c r="N29" s="230"/>
      <c r="S29" s="59"/>
    </row>
    <row r="30" spans="2:19" x14ac:dyDescent="0.2">
      <c r="B30" s="228"/>
      <c r="C30" s="229"/>
      <c r="D30" s="229"/>
      <c r="E30" s="229"/>
      <c r="F30" s="229"/>
      <c r="G30" s="229"/>
      <c r="H30" s="229"/>
      <c r="I30" s="229"/>
      <c r="J30" s="229"/>
      <c r="K30" s="229"/>
      <c r="L30" s="229"/>
      <c r="M30" s="229"/>
      <c r="N30" s="230"/>
      <c r="S30" s="59"/>
    </row>
    <row r="31" spans="2:19" x14ac:dyDescent="0.2">
      <c r="B31" s="228"/>
      <c r="C31" s="229"/>
      <c r="D31" s="229"/>
      <c r="E31" s="229"/>
      <c r="F31" s="229"/>
      <c r="G31" s="229"/>
      <c r="H31" s="229"/>
      <c r="I31" s="229"/>
      <c r="J31" s="229"/>
      <c r="K31" s="229"/>
      <c r="L31" s="229"/>
      <c r="M31" s="229"/>
      <c r="N31" s="230"/>
      <c r="S31" s="59"/>
    </row>
    <row r="32" spans="2:19" x14ac:dyDescent="0.2">
      <c r="B32" s="228"/>
      <c r="C32" s="229"/>
      <c r="D32" s="229"/>
      <c r="E32" s="229"/>
      <c r="F32" s="229"/>
      <c r="G32" s="229"/>
      <c r="H32" s="229"/>
      <c r="I32" s="229"/>
      <c r="J32" s="229"/>
      <c r="K32" s="229"/>
      <c r="L32" s="229"/>
      <c r="M32" s="229"/>
      <c r="N32" s="230"/>
      <c r="S32" s="59"/>
    </row>
    <row r="33" spans="2:19" x14ac:dyDescent="0.2">
      <c r="B33" s="228"/>
      <c r="C33" s="229"/>
      <c r="D33" s="229"/>
      <c r="E33" s="229"/>
      <c r="F33" s="229"/>
      <c r="G33" s="229"/>
      <c r="H33" s="229"/>
      <c r="I33" s="229"/>
      <c r="J33" s="229"/>
      <c r="K33" s="229"/>
      <c r="L33" s="229"/>
      <c r="M33" s="229"/>
      <c r="N33" s="230"/>
      <c r="S33" s="59"/>
    </row>
    <row r="34" spans="2:19" ht="15.75" thickBot="1" x14ac:dyDescent="0.25">
      <c r="B34" s="231"/>
      <c r="C34" s="232"/>
      <c r="D34" s="232"/>
      <c r="E34" s="232"/>
      <c r="F34" s="232"/>
      <c r="G34" s="232"/>
      <c r="H34" s="232"/>
      <c r="I34" s="232"/>
      <c r="J34" s="232"/>
      <c r="K34" s="232"/>
      <c r="L34" s="232"/>
      <c r="M34" s="232"/>
      <c r="N34" s="233"/>
      <c r="S34" s="59"/>
    </row>
    <row r="35" spans="2:19" x14ac:dyDescent="0.2">
      <c r="S35" s="59"/>
    </row>
    <row r="36" spans="2:19" x14ac:dyDescent="0.2">
      <c r="S36" s="59"/>
    </row>
    <row r="37" spans="2:19" x14ac:dyDescent="0.2">
      <c r="S37" s="59"/>
    </row>
    <row r="38" spans="2:19" x14ac:dyDescent="0.2">
      <c r="S38" s="59"/>
    </row>
    <row r="39" spans="2:19" x14ac:dyDescent="0.2">
      <c r="S39" s="59"/>
    </row>
    <row r="40" spans="2:19" x14ac:dyDescent="0.2">
      <c r="S40" s="59"/>
    </row>
    <row r="41" spans="2:19" x14ac:dyDescent="0.2">
      <c r="S41" s="59"/>
    </row>
    <row r="42" spans="2:19" x14ac:dyDescent="0.2">
      <c r="S42" s="59"/>
    </row>
    <row r="43" spans="2:19" x14ac:dyDescent="0.2">
      <c r="S43" s="59"/>
    </row>
    <row r="44" spans="2:19" x14ac:dyDescent="0.2">
      <c r="S44" s="59"/>
    </row>
    <row r="45" spans="2:19" x14ac:dyDescent="0.2">
      <c r="S45" s="59"/>
    </row>
    <row r="46" spans="2:19" x14ac:dyDescent="0.2">
      <c r="S46" s="59"/>
    </row>
    <row r="47" spans="2:19" x14ac:dyDescent="0.2">
      <c r="S47" s="59"/>
    </row>
    <row r="48" spans="2:19" x14ac:dyDescent="0.2">
      <c r="S48" s="59"/>
    </row>
    <row r="49" spans="19:19" x14ac:dyDescent="0.2">
      <c r="S49" s="59"/>
    </row>
    <row r="50" spans="19:19" x14ac:dyDescent="0.2">
      <c r="S50" s="59"/>
    </row>
    <row r="51" spans="19:19" x14ac:dyDescent="0.2">
      <c r="S51" s="59"/>
    </row>
    <row r="52" spans="19:19" x14ac:dyDescent="0.2">
      <c r="S52" s="59"/>
    </row>
    <row r="53" spans="19:19" x14ac:dyDescent="0.2">
      <c r="S53" s="59"/>
    </row>
    <row r="54" spans="19:19" x14ac:dyDescent="0.2">
      <c r="S54" s="59"/>
    </row>
    <row r="55" spans="19:19" x14ac:dyDescent="0.2">
      <c r="S55" s="59"/>
    </row>
    <row r="56" spans="19:19" x14ac:dyDescent="0.2">
      <c r="S56" s="59"/>
    </row>
    <row r="57" spans="19:19" x14ac:dyDescent="0.2">
      <c r="S57" s="59"/>
    </row>
    <row r="58" spans="19:19" x14ac:dyDescent="0.2">
      <c r="S58" s="59"/>
    </row>
    <row r="59" spans="19:19" x14ac:dyDescent="0.2">
      <c r="S59" s="59"/>
    </row>
    <row r="60" spans="19:19" x14ac:dyDescent="0.2">
      <c r="S60" s="59"/>
    </row>
    <row r="61" spans="19:19" x14ac:dyDescent="0.2">
      <c r="S61" s="59"/>
    </row>
    <row r="62" spans="19:19" x14ac:dyDescent="0.2">
      <c r="S62" s="59"/>
    </row>
    <row r="63" spans="19:19" x14ac:dyDescent="0.2">
      <c r="S63" s="59"/>
    </row>
    <row r="64" spans="19:19" x14ac:dyDescent="0.2">
      <c r="S64" s="59"/>
    </row>
    <row r="65" spans="19:19" x14ac:dyDescent="0.2">
      <c r="S65" s="59"/>
    </row>
    <row r="66" spans="19:19" x14ac:dyDescent="0.2">
      <c r="S66" s="59"/>
    </row>
    <row r="67" spans="19:19" x14ac:dyDescent="0.2">
      <c r="S67" s="59"/>
    </row>
    <row r="68" spans="19:19" x14ac:dyDescent="0.2">
      <c r="S68" s="59"/>
    </row>
    <row r="69" spans="19:19" x14ac:dyDescent="0.2">
      <c r="S69" s="59"/>
    </row>
    <row r="70" spans="19:19" x14ac:dyDescent="0.2">
      <c r="S70" s="59"/>
    </row>
    <row r="71" spans="19:19" x14ac:dyDescent="0.2">
      <c r="S71" s="59"/>
    </row>
    <row r="72" spans="19:19" x14ac:dyDescent="0.2">
      <c r="S72" s="59"/>
    </row>
    <row r="73" spans="19:19" x14ac:dyDescent="0.2">
      <c r="S73" s="59"/>
    </row>
    <row r="74" spans="19:19" x14ac:dyDescent="0.2">
      <c r="S74" s="59"/>
    </row>
    <row r="75" spans="19:19" x14ac:dyDescent="0.2">
      <c r="S75" s="59"/>
    </row>
    <row r="76" spans="19:19" x14ac:dyDescent="0.2">
      <c r="S76" s="59"/>
    </row>
    <row r="77" spans="19:19" x14ac:dyDescent="0.2">
      <c r="S77" s="59"/>
    </row>
    <row r="78" spans="19:19" x14ac:dyDescent="0.2">
      <c r="S78" s="59"/>
    </row>
    <row r="79" spans="19:19" x14ac:dyDescent="0.2">
      <c r="S79" s="59"/>
    </row>
    <row r="80" spans="19:19" x14ac:dyDescent="0.2">
      <c r="S80" s="59"/>
    </row>
    <row r="81" spans="19:19" x14ac:dyDescent="0.2">
      <c r="S81" s="59"/>
    </row>
    <row r="82" spans="19:19" x14ac:dyDescent="0.2">
      <c r="S82" s="59"/>
    </row>
    <row r="83" spans="19:19" x14ac:dyDescent="0.2">
      <c r="S83" s="59"/>
    </row>
    <row r="84" spans="19:19" x14ac:dyDescent="0.2">
      <c r="S84" s="59"/>
    </row>
    <row r="85" spans="19:19" x14ac:dyDescent="0.2">
      <c r="S85" s="59"/>
    </row>
    <row r="86" spans="19:19" x14ac:dyDescent="0.2">
      <c r="S86" s="59"/>
    </row>
    <row r="87" spans="19:19" x14ac:dyDescent="0.2">
      <c r="S87" s="59"/>
    </row>
    <row r="88" spans="19:19" x14ac:dyDescent="0.2">
      <c r="S88" s="59"/>
    </row>
    <row r="89" spans="19:19" x14ac:dyDescent="0.2">
      <c r="S89" s="59"/>
    </row>
    <row r="90" spans="19:19" x14ac:dyDescent="0.2">
      <c r="S90" s="59"/>
    </row>
    <row r="91" spans="19:19" x14ac:dyDescent="0.2">
      <c r="S91" s="59"/>
    </row>
    <row r="92" spans="19:19" x14ac:dyDescent="0.2">
      <c r="S92" s="59"/>
    </row>
    <row r="93" spans="19:19" x14ac:dyDescent="0.2">
      <c r="S93" s="59"/>
    </row>
    <row r="94" spans="19:19" x14ac:dyDescent="0.2">
      <c r="S94" s="59"/>
    </row>
    <row r="95" spans="19:19" x14ac:dyDescent="0.2">
      <c r="S95" s="59"/>
    </row>
    <row r="96" spans="19:19" x14ac:dyDescent="0.2">
      <c r="S96" s="59"/>
    </row>
    <row r="97" spans="19:19" x14ac:dyDescent="0.2">
      <c r="S97" s="59"/>
    </row>
    <row r="98" spans="19:19" x14ac:dyDescent="0.2">
      <c r="S98" s="59"/>
    </row>
    <row r="99" spans="19:19" x14ac:dyDescent="0.2">
      <c r="S99" s="59"/>
    </row>
    <row r="100" spans="19:19" x14ac:dyDescent="0.2">
      <c r="S100" s="59"/>
    </row>
    <row r="101" spans="19:19" x14ac:dyDescent="0.2">
      <c r="S101" s="59"/>
    </row>
    <row r="102" spans="19:19" x14ac:dyDescent="0.2">
      <c r="S102" s="59"/>
    </row>
    <row r="103" spans="19:19" x14ac:dyDescent="0.2">
      <c r="S103" s="59"/>
    </row>
    <row r="104" spans="19:19" x14ac:dyDescent="0.2">
      <c r="S104" s="59"/>
    </row>
    <row r="105" spans="19:19" x14ac:dyDescent="0.2">
      <c r="S105" s="59"/>
    </row>
    <row r="106" spans="19:19" x14ac:dyDescent="0.2">
      <c r="S106" s="59"/>
    </row>
    <row r="107" spans="19:19" x14ac:dyDescent="0.2">
      <c r="S107" s="59"/>
    </row>
    <row r="108" spans="19:19" x14ac:dyDescent="0.2">
      <c r="S108" s="59"/>
    </row>
    <row r="109" spans="19:19" x14ac:dyDescent="0.2">
      <c r="S109" s="59"/>
    </row>
    <row r="110" spans="19:19" x14ac:dyDescent="0.2">
      <c r="S110" s="59"/>
    </row>
    <row r="111" spans="19:19" x14ac:dyDescent="0.2">
      <c r="S111" s="59"/>
    </row>
    <row r="112" spans="19:19" x14ac:dyDescent="0.2">
      <c r="S112" s="59"/>
    </row>
    <row r="113" spans="19:19" x14ac:dyDescent="0.2">
      <c r="S113" s="59"/>
    </row>
    <row r="114" spans="19:19" x14ac:dyDescent="0.2">
      <c r="S114" s="59"/>
    </row>
    <row r="115" spans="19:19" x14ac:dyDescent="0.2">
      <c r="S115" s="59"/>
    </row>
    <row r="116" spans="19:19" x14ac:dyDescent="0.2">
      <c r="S116" s="59"/>
    </row>
    <row r="117" spans="19:19" x14ac:dyDescent="0.2">
      <c r="S117" s="59"/>
    </row>
    <row r="118" spans="19:19" x14ac:dyDescent="0.2">
      <c r="S118" s="59"/>
    </row>
    <row r="119" spans="19:19" x14ac:dyDescent="0.2">
      <c r="S119" s="59"/>
    </row>
    <row r="120" spans="19:19" x14ac:dyDescent="0.2">
      <c r="S120" s="59"/>
    </row>
    <row r="121" spans="19:19" x14ac:dyDescent="0.2">
      <c r="S121" s="59"/>
    </row>
    <row r="122" spans="19:19" x14ac:dyDescent="0.2">
      <c r="S122" s="59"/>
    </row>
    <row r="123" spans="19:19" x14ac:dyDescent="0.2">
      <c r="S123" s="59"/>
    </row>
    <row r="124" spans="19:19" x14ac:dyDescent="0.2">
      <c r="S124" s="59"/>
    </row>
    <row r="125" spans="19:19" x14ac:dyDescent="0.2">
      <c r="S125" s="59"/>
    </row>
    <row r="126" spans="19:19" x14ac:dyDescent="0.2">
      <c r="S126" s="59"/>
    </row>
    <row r="127" spans="19:19" x14ac:dyDescent="0.2">
      <c r="S127" s="59"/>
    </row>
    <row r="128" spans="19:19" x14ac:dyDescent="0.2">
      <c r="S128" s="59"/>
    </row>
    <row r="129" spans="19:19" x14ac:dyDescent="0.2">
      <c r="S129" s="59"/>
    </row>
    <row r="130" spans="19:19" x14ac:dyDescent="0.2">
      <c r="S130" s="59"/>
    </row>
    <row r="131" spans="19:19" x14ac:dyDescent="0.2">
      <c r="S131" s="59"/>
    </row>
    <row r="132" spans="19:19" x14ac:dyDescent="0.2">
      <c r="S132" s="59"/>
    </row>
    <row r="133" spans="19:19" x14ac:dyDescent="0.2">
      <c r="S133" s="59"/>
    </row>
    <row r="134" spans="19:19" x14ac:dyDescent="0.2">
      <c r="S134" s="59"/>
    </row>
    <row r="135" spans="19:19" x14ac:dyDescent="0.2">
      <c r="S135" s="59"/>
    </row>
    <row r="136" spans="19:19" x14ac:dyDescent="0.2">
      <c r="S136" s="59"/>
    </row>
    <row r="137" spans="19:19" x14ac:dyDescent="0.2">
      <c r="S137" s="59"/>
    </row>
    <row r="138" spans="19:19" x14ac:dyDescent="0.2">
      <c r="S138" s="59"/>
    </row>
    <row r="139" spans="19:19" x14ac:dyDescent="0.2">
      <c r="S139" s="59"/>
    </row>
    <row r="140" spans="19:19" x14ac:dyDescent="0.2">
      <c r="S140" s="59"/>
    </row>
    <row r="141" spans="19:19" x14ac:dyDescent="0.2">
      <c r="S141" s="59"/>
    </row>
    <row r="142" spans="19:19" x14ac:dyDescent="0.2">
      <c r="S142" s="59"/>
    </row>
    <row r="143" spans="19:19" x14ac:dyDescent="0.2">
      <c r="S143" s="59"/>
    </row>
    <row r="144" spans="19:19" x14ac:dyDescent="0.2">
      <c r="S144" s="59"/>
    </row>
    <row r="145" spans="19:19" x14ac:dyDescent="0.2">
      <c r="S145" s="59"/>
    </row>
    <row r="146" spans="19:19" x14ac:dyDescent="0.2">
      <c r="S146" s="59"/>
    </row>
    <row r="147" spans="19:19" x14ac:dyDescent="0.2">
      <c r="S147" s="59"/>
    </row>
    <row r="148" spans="19:19" x14ac:dyDescent="0.2">
      <c r="S148" s="59"/>
    </row>
    <row r="149" spans="19:19" x14ac:dyDescent="0.2">
      <c r="S149" s="59"/>
    </row>
    <row r="150" spans="19:19" x14ac:dyDescent="0.2">
      <c r="S150" s="59"/>
    </row>
    <row r="151" spans="19:19" x14ac:dyDescent="0.2">
      <c r="S151" s="59"/>
    </row>
    <row r="152" spans="19:19" x14ac:dyDescent="0.2">
      <c r="S152" s="59"/>
    </row>
    <row r="153" spans="19:19" x14ac:dyDescent="0.2">
      <c r="S153" s="59"/>
    </row>
    <row r="154" spans="19:19" x14ac:dyDescent="0.2">
      <c r="S154" s="59"/>
    </row>
    <row r="155" spans="19:19" x14ac:dyDescent="0.2">
      <c r="S155" s="59"/>
    </row>
    <row r="156" spans="19:19" x14ac:dyDescent="0.2">
      <c r="S156" s="59"/>
    </row>
    <row r="157" spans="19:19" x14ac:dyDescent="0.2">
      <c r="S157" s="59"/>
    </row>
    <row r="158" spans="19:19" x14ac:dyDescent="0.2">
      <c r="S158" s="59"/>
    </row>
    <row r="159" spans="19:19" x14ac:dyDescent="0.2">
      <c r="S159" s="59"/>
    </row>
    <row r="160" spans="19:19" x14ac:dyDescent="0.2">
      <c r="S160" s="59"/>
    </row>
    <row r="161" spans="19:19" x14ac:dyDescent="0.2">
      <c r="S161" s="59"/>
    </row>
    <row r="162" spans="19:19" x14ac:dyDescent="0.2">
      <c r="S162" s="59"/>
    </row>
    <row r="163" spans="19:19" x14ac:dyDescent="0.2">
      <c r="S163" s="59"/>
    </row>
    <row r="164" spans="19:19" x14ac:dyDescent="0.2">
      <c r="S164" s="59"/>
    </row>
    <row r="165" spans="19:19" x14ac:dyDescent="0.2">
      <c r="S165" s="59"/>
    </row>
    <row r="166" spans="19:19" x14ac:dyDescent="0.2">
      <c r="S166" s="59"/>
    </row>
    <row r="167" spans="19:19" x14ac:dyDescent="0.2">
      <c r="S167" s="59"/>
    </row>
    <row r="168" spans="19:19" x14ac:dyDescent="0.2">
      <c r="S168" s="59"/>
    </row>
    <row r="169" spans="19:19" x14ac:dyDescent="0.2">
      <c r="S169" s="59"/>
    </row>
    <row r="170" spans="19:19" x14ac:dyDescent="0.2">
      <c r="S170" s="59"/>
    </row>
    <row r="171" spans="19:19" x14ac:dyDescent="0.2">
      <c r="S171" s="59"/>
    </row>
    <row r="172" spans="19:19" x14ac:dyDescent="0.2">
      <c r="S172" s="59"/>
    </row>
    <row r="173" spans="19:19" x14ac:dyDescent="0.2">
      <c r="S173" s="59"/>
    </row>
    <row r="174" spans="19:19" x14ac:dyDescent="0.2">
      <c r="S174" s="59"/>
    </row>
    <row r="175" spans="19:19" x14ac:dyDescent="0.2">
      <c r="S175" s="59"/>
    </row>
    <row r="176" spans="19:19" x14ac:dyDescent="0.2">
      <c r="S176" s="59"/>
    </row>
    <row r="177" spans="19:19" x14ac:dyDescent="0.2">
      <c r="S177" s="59"/>
    </row>
    <row r="178" spans="19:19" x14ac:dyDescent="0.2">
      <c r="S178" s="59"/>
    </row>
    <row r="179" spans="19:19" x14ac:dyDescent="0.2">
      <c r="S179" s="59"/>
    </row>
    <row r="180" spans="19:19" x14ac:dyDescent="0.2">
      <c r="S180" s="59"/>
    </row>
    <row r="181" spans="19:19" x14ac:dyDescent="0.2">
      <c r="S181" s="59"/>
    </row>
    <row r="182" spans="19:19" x14ac:dyDescent="0.2">
      <c r="S182" s="59"/>
    </row>
    <row r="183" spans="19:19" x14ac:dyDescent="0.2">
      <c r="S183" s="59"/>
    </row>
    <row r="184" spans="19:19" x14ac:dyDescent="0.2">
      <c r="S184" s="59"/>
    </row>
    <row r="185" spans="19:19" x14ac:dyDescent="0.2">
      <c r="S185" s="59"/>
    </row>
    <row r="186" spans="19:19" x14ac:dyDescent="0.2">
      <c r="S186" s="59"/>
    </row>
    <row r="187" spans="19:19" x14ac:dyDescent="0.2">
      <c r="S187" s="59"/>
    </row>
    <row r="188" spans="19:19" x14ac:dyDescent="0.2">
      <c r="S188" s="59"/>
    </row>
    <row r="189" spans="19:19" x14ac:dyDescent="0.2">
      <c r="S189" s="59"/>
    </row>
    <row r="190" spans="19:19" x14ac:dyDescent="0.2">
      <c r="S190" s="59"/>
    </row>
    <row r="191" spans="19:19" x14ac:dyDescent="0.2">
      <c r="S191" s="59"/>
    </row>
    <row r="192" spans="19:19" x14ac:dyDescent="0.2">
      <c r="S192" s="59"/>
    </row>
    <row r="193" spans="19:19" x14ac:dyDescent="0.2">
      <c r="S193" s="59"/>
    </row>
    <row r="194" spans="19:19" x14ac:dyDescent="0.2">
      <c r="S194" s="59"/>
    </row>
    <row r="195" spans="19:19" x14ac:dyDescent="0.2">
      <c r="S195" s="59"/>
    </row>
    <row r="196" spans="19:19" x14ac:dyDescent="0.2">
      <c r="S196" s="59"/>
    </row>
    <row r="197" spans="19:19" x14ac:dyDescent="0.2">
      <c r="S197" s="59"/>
    </row>
    <row r="198" spans="19:19" x14ac:dyDescent="0.2">
      <c r="S198" s="59"/>
    </row>
    <row r="199" spans="19:19" x14ac:dyDescent="0.2">
      <c r="S199" s="59"/>
    </row>
    <row r="200" spans="19:19" x14ac:dyDescent="0.2">
      <c r="S200" s="59"/>
    </row>
    <row r="201" spans="19:19" x14ac:dyDescent="0.2">
      <c r="S201" s="59"/>
    </row>
    <row r="202" spans="19:19" x14ac:dyDescent="0.2">
      <c r="S202" s="59"/>
    </row>
    <row r="203" spans="19:19" x14ac:dyDescent="0.2">
      <c r="S203" s="59"/>
    </row>
    <row r="204" spans="19:19" x14ac:dyDescent="0.2">
      <c r="S204" s="59"/>
    </row>
    <row r="205" spans="19:19" x14ac:dyDescent="0.2">
      <c r="S205" s="59"/>
    </row>
    <row r="206" spans="19:19" x14ac:dyDescent="0.2">
      <c r="S206" s="59"/>
    </row>
    <row r="207" spans="19:19" x14ac:dyDescent="0.2">
      <c r="S207" s="59"/>
    </row>
    <row r="208" spans="19:19" x14ac:dyDescent="0.2">
      <c r="S208" s="59"/>
    </row>
    <row r="209" spans="19:19" x14ac:dyDescent="0.2">
      <c r="S209" s="59"/>
    </row>
    <row r="210" spans="19:19" x14ac:dyDescent="0.2">
      <c r="S210" s="59"/>
    </row>
    <row r="211" spans="19:19" x14ac:dyDescent="0.2">
      <c r="S211" s="59"/>
    </row>
    <row r="212" spans="19:19" x14ac:dyDescent="0.2">
      <c r="S212" s="59"/>
    </row>
    <row r="213" spans="19:19" x14ac:dyDescent="0.2">
      <c r="S213" s="59"/>
    </row>
    <row r="214" spans="19:19" x14ac:dyDescent="0.2">
      <c r="S214" s="59"/>
    </row>
    <row r="215" spans="19:19" x14ac:dyDescent="0.2">
      <c r="S215" s="59"/>
    </row>
    <row r="216" spans="19:19" x14ac:dyDescent="0.2">
      <c r="S216" s="59"/>
    </row>
    <row r="217" spans="19:19" x14ac:dyDescent="0.2">
      <c r="S217" s="59"/>
    </row>
    <row r="218" spans="19:19" x14ac:dyDescent="0.2">
      <c r="S218" s="59"/>
    </row>
    <row r="219" spans="19:19" x14ac:dyDescent="0.2">
      <c r="S219" s="59"/>
    </row>
    <row r="220" spans="19:19" x14ac:dyDescent="0.2">
      <c r="S220" s="59"/>
    </row>
    <row r="221" spans="19:19" x14ac:dyDescent="0.2">
      <c r="S221" s="59"/>
    </row>
    <row r="222" spans="19:19" x14ac:dyDescent="0.2">
      <c r="S222" s="59"/>
    </row>
    <row r="223" spans="19:19" x14ac:dyDescent="0.2">
      <c r="S223" s="59"/>
    </row>
    <row r="224" spans="19:19" x14ac:dyDescent="0.2">
      <c r="S224" s="59"/>
    </row>
    <row r="225" spans="19:19" x14ac:dyDescent="0.2">
      <c r="S225" s="59"/>
    </row>
    <row r="226" spans="19:19" x14ac:dyDescent="0.2">
      <c r="S226" s="59"/>
    </row>
    <row r="227" spans="19:19" x14ac:dyDescent="0.2">
      <c r="S227" s="59"/>
    </row>
    <row r="228" spans="19:19" x14ac:dyDescent="0.2">
      <c r="S228" s="59"/>
    </row>
    <row r="229" spans="19:19" x14ac:dyDescent="0.2">
      <c r="S229" s="59"/>
    </row>
    <row r="230" spans="19:19" x14ac:dyDescent="0.2">
      <c r="S230" s="59"/>
    </row>
    <row r="231" spans="19:19" x14ac:dyDescent="0.2">
      <c r="S231" s="59"/>
    </row>
    <row r="232" spans="19:19" x14ac:dyDescent="0.2">
      <c r="S232" s="59"/>
    </row>
    <row r="233" spans="19:19" x14ac:dyDescent="0.2">
      <c r="S233" s="59"/>
    </row>
    <row r="234" spans="19:19" x14ac:dyDescent="0.2">
      <c r="S234" s="59"/>
    </row>
    <row r="235" spans="19:19" x14ac:dyDescent="0.2">
      <c r="S235" s="59"/>
    </row>
    <row r="236" spans="19:19" x14ac:dyDescent="0.2">
      <c r="S236" s="59"/>
    </row>
    <row r="237" spans="19:19" x14ac:dyDescent="0.2">
      <c r="S237" s="59"/>
    </row>
    <row r="238" spans="19:19" x14ac:dyDescent="0.2">
      <c r="S238" s="59"/>
    </row>
    <row r="239" spans="19:19" x14ac:dyDescent="0.2">
      <c r="S239" s="59"/>
    </row>
    <row r="240" spans="19:19" x14ac:dyDescent="0.2">
      <c r="S240" s="59"/>
    </row>
    <row r="241" spans="19:19" x14ac:dyDescent="0.2">
      <c r="S241" s="59"/>
    </row>
    <row r="242" spans="19:19" x14ac:dyDescent="0.2">
      <c r="S242" s="59"/>
    </row>
    <row r="243" spans="19:19" x14ac:dyDescent="0.2">
      <c r="S243" s="59"/>
    </row>
    <row r="244" spans="19:19" x14ac:dyDescent="0.2">
      <c r="S244" s="59"/>
    </row>
    <row r="245" spans="19:19" x14ac:dyDescent="0.2">
      <c r="S245" s="59"/>
    </row>
    <row r="246" spans="19:19" x14ac:dyDescent="0.2">
      <c r="S246" s="59"/>
    </row>
    <row r="247" spans="19:19" x14ac:dyDescent="0.2">
      <c r="S247" s="59"/>
    </row>
    <row r="248" spans="19:19" x14ac:dyDescent="0.2">
      <c r="S248" s="59"/>
    </row>
    <row r="249" spans="19:19" x14ac:dyDescent="0.2">
      <c r="S249" s="59"/>
    </row>
    <row r="250" spans="19:19" x14ac:dyDescent="0.2">
      <c r="S250" s="59"/>
    </row>
    <row r="251" spans="19:19" x14ac:dyDescent="0.2">
      <c r="S251" s="59"/>
    </row>
    <row r="252" spans="19:19" x14ac:dyDescent="0.2">
      <c r="S252" s="59"/>
    </row>
    <row r="253" spans="19:19" x14ac:dyDescent="0.2">
      <c r="S253" s="59"/>
    </row>
    <row r="254" spans="19:19" x14ac:dyDescent="0.2">
      <c r="S254" s="59"/>
    </row>
    <row r="255" spans="19:19" x14ac:dyDescent="0.2">
      <c r="S255" s="59"/>
    </row>
    <row r="256" spans="19:19" x14ac:dyDescent="0.2">
      <c r="S256" s="59"/>
    </row>
    <row r="257" spans="19:19" x14ac:dyDescent="0.2">
      <c r="S257" s="59"/>
    </row>
    <row r="258" spans="19:19" x14ac:dyDescent="0.2">
      <c r="S258" s="59"/>
    </row>
    <row r="259" spans="19:19" x14ac:dyDescent="0.2">
      <c r="S259" s="59"/>
    </row>
    <row r="260" spans="19:19" x14ac:dyDescent="0.2">
      <c r="S260" s="59"/>
    </row>
    <row r="261" spans="19:19" x14ac:dyDescent="0.2">
      <c r="S261" s="59"/>
    </row>
    <row r="262" spans="19:19" x14ac:dyDescent="0.2">
      <c r="S262" s="59"/>
    </row>
    <row r="263" spans="19:19" x14ac:dyDescent="0.2">
      <c r="S263" s="59"/>
    </row>
    <row r="264" spans="19:19" x14ac:dyDescent="0.2">
      <c r="S264" s="59"/>
    </row>
    <row r="265" spans="19:19" x14ac:dyDescent="0.2">
      <c r="S265" s="59"/>
    </row>
    <row r="266" spans="19:19" x14ac:dyDescent="0.2">
      <c r="S266" s="59"/>
    </row>
    <row r="267" spans="19:19" x14ac:dyDescent="0.2">
      <c r="S267" s="59"/>
    </row>
    <row r="268" spans="19:19" x14ac:dyDescent="0.2">
      <c r="S268" s="59"/>
    </row>
    <row r="269" spans="19:19" x14ac:dyDescent="0.2">
      <c r="S269" s="59"/>
    </row>
    <row r="270" spans="19:19" x14ac:dyDescent="0.2">
      <c r="S270" s="59"/>
    </row>
    <row r="271" spans="19:19" x14ac:dyDescent="0.2">
      <c r="S271" s="59"/>
    </row>
    <row r="272" spans="19:19" x14ac:dyDescent="0.2">
      <c r="S272" s="59"/>
    </row>
    <row r="273" spans="19:19" x14ac:dyDescent="0.2">
      <c r="S273" s="59"/>
    </row>
    <row r="274" spans="19:19" x14ac:dyDescent="0.2">
      <c r="S274" s="59"/>
    </row>
    <row r="275" spans="19:19" x14ac:dyDescent="0.2">
      <c r="S275" s="59"/>
    </row>
    <row r="276" spans="19:19" x14ac:dyDescent="0.2">
      <c r="S276" s="59"/>
    </row>
    <row r="277" spans="19:19" x14ac:dyDescent="0.2">
      <c r="S277" s="59"/>
    </row>
    <row r="278" spans="19:19" x14ac:dyDescent="0.2">
      <c r="S278" s="59"/>
    </row>
    <row r="279" spans="19:19" x14ac:dyDescent="0.2">
      <c r="S279" s="59"/>
    </row>
    <row r="280" spans="19:19" x14ac:dyDescent="0.2">
      <c r="S280" s="59"/>
    </row>
    <row r="281" spans="19:19" x14ac:dyDescent="0.2">
      <c r="S281" s="59"/>
    </row>
    <row r="282" spans="19:19" x14ac:dyDescent="0.2">
      <c r="S282" s="59"/>
    </row>
    <row r="283" spans="19:19" x14ac:dyDescent="0.2">
      <c r="S283" s="59"/>
    </row>
    <row r="284" spans="19:19" x14ac:dyDescent="0.2">
      <c r="S284" s="59"/>
    </row>
    <row r="285" spans="19:19" x14ac:dyDescent="0.2">
      <c r="S285" s="59"/>
    </row>
    <row r="286" spans="19:19" x14ac:dyDescent="0.2">
      <c r="S286" s="59"/>
    </row>
    <row r="287" spans="19:19" x14ac:dyDescent="0.2">
      <c r="S287" s="59"/>
    </row>
    <row r="288" spans="19:19" x14ac:dyDescent="0.2">
      <c r="S288" s="59"/>
    </row>
    <row r="289" spans="19:19" x14ac:dyDescent="0.2">
      <c r="S289" s="59"/>
    </row>
    <row r="290" spans="19:19" x14ac:dyDescent="0.2">
      <c r="S290" s="59"/>
    </row>
    <row r="291" spans="19:19" x14ac:dyDescent="0.2">
      <c r="S291" s="59"/>
    </row>
    <row r="292" spans="19:19" x14ac:dyDescent="0.2">
      <c r="S292" s="59"/>
    </row>
    <row r="293" spans="19:19" x14ac:dyDescent="0.2">
      <c r="S293" s="59"/>
    </row>
    <row r="294" spans="19:19" x14ac:dyDescent="0.2">
      <c r="S294" s="59"/>
    </row>
    <row r="295" spans="19:19" x14ac:dyDescent="0.2">
      <c r="S295" s="59"/>
    </row>
    <row r="296" spans="19:19" x14ac:dyDescent="0.2">
      <c r="S296" s="59"/>
    </row>
    <row r="297" spans="19:19" x14ac:dyDescent="0.2">
      <c r="S297" s="59"/>
    </row>
    <row r="298" spans="19:19" x14ac:dyDescent="0.2">
      <c r="S298" s="59"/>
    </row>
    <row r="299" spans="19:19" x14ac:dyDescent="0.2">
      <c r="S299" s="59"/>
    </row>
    <row r="300" spans="19:19" x14ac:dyDescent="0.2">
      <c r="S300" s="59"/>
    </row>
    <row r="301" spans="19:19" x14ac:dyDescent="0.2">
      <c r="S301" s="59"/>
    </row>
    <row r="302" spans="19:19" x14ac:dyDescent="0.2">
      <c r="S302" s="59"/>
    </row>
    <row r="303" spans="19:19" x14ac:dyDescent="0.2">
      <c r="S303" s="59"/>
    </row>
    <row r="304" spans="19:19" x14ac:dyDescent="0.2">
      <c r="S304" s="59"/>
    </row>
    <row r="305" spans="19:19" x14ac:dyDescent="0.2">
      <c r="S305" s="59"/>
    </row>
    <row r="306" spans="19:19" x14ac:dyDescent="0.2">
      <c r="S306" s="59"/>
    </row>
    <row r="307" spans="19:19" x14ac:dyDescent="0.2">
      <c r="S307" s="59"/>
    </row>
    <row r="308" spans="19:19" x14ac:dyDescent="0.2">
      <c r="S308" s="59"/>
    </row>
    <row r="309" spans="19:19" x14ac:dyDescent="0.2">
      <c r="S309" s="59"/>
    </row>
    <row r="310" spans="19:19" x14ac:dyDescent="0.2">
      <c r="S310" s="59"/>
    </row>
    <row r="311" spans="19:19" x14ac:dyDescent="0.2">
      <c r="S311" s="59"/>
    </row>
    <row r="312" spans="19:19" x14ac:dyDescent="0.2">
      <c r="S312" s="59"/>
    </row>
    <row r="313" spans="19:19" x14ac:dyDescent="0.2">
      <c r="S313" s="59"/>
    </row>
    <row r="314" spans="19:19" x14ac:dyDescent="0.2">
      <c r="S314" s="59"/>
    </row>
    <row r="315" spans="19:19" x14ac:dyDescent="0.2">
      <c r="S315" s="59"/>
    </row>
    <row r="316" spans="19:19" x14ac:dyDescent="0.2">
      <c r="S316" s="59"/>
    </row>
    <row r="317" spans="19:19" x14ac:dyDescent="0.2">
      <c r="S317" s="59"/>
    </row>
    <row r="318" spans="19:19" x14ac:dyDescent="0.2">
      <c r="S318" s="59"/>
    </row>
    <row r="319" spans="19:19" x14ac:dyDescent="0.2">
      <c r="S319" s="59"/>
    </row>
    <row r="320" spans="19:19" x14ac:dyDescent="0.2">
      <c r="S320" s="59"/>
    </row>
    <row r="321" spans="19:19" x14ac:dyDescent="0.2">
      <c r="S321" s="59"/>
    </row>
    <row r="322" spans="19:19" x14ac:dyDescent="0.2">
      <c r="S322" s="59"/>
    </row>
    <row r="323" spans="19:19" x14ac:dyDescent="0.2">
      <c r="S323" s="59"/>
    </row>
    <row r="324" spans="19:19" x14ac:dyDescent="0.2">
      <c r="S324" s="59"/>
    </row>
    <row r="325" spans="19:19" x14ac:dyDescent="0.2">
      <c r="S325" s="59"/>
    </row>
    <row r="326" spans="19:19" x14ac:dyDescent="0.2">
      <c r="S326" s="59"/>
    </row>
    <row r="327" spans="19:19" x14ac:dyDescent="0.2">
      <c r="S327" s="59"/>
    </row>
    <row r="328" spans="19:19" x14ac:dyDescent="0.2">
      <c r="S328" s="59"/>
    </row>
    <row r="329" spans="19:19" x14ac:dyDescent="0.2">
      <c r="S329" s="59"/>
    </row>
    <row r="330" spans="19:19" x14ac:dyDescent="0.2">
      <c r="S330" s="59"/>
    </row>
    <row r="331" spans="19:19" x14ac:dyDescent="0.2">
      <c r="S331" s="59"/>
    </row>
    <row r="332" spans="19:19" x14ac:dyDescent="0.2">
      <c r="S332" s="59"/>
    </row>
    <row r="333" spans="19:19" x14ac:dyDescent="0.2">
      <c r="S333" s="59"/>
    </row>
    <row r="334" spans="19:19" x14ac:dyDescent="0.2">
      <c r="S334" s="59"/>
    </row>
    <row r="335" spans="19:19" x14ac:dyDescent="0.2">
      <c r="S335" s="59"/>
    </row>
    <row r="336" spans="19:19" x14ac:dyDescent="0.2">
      <c r="S336" s="59"/>
    </row>
    <row r="337" spans="19:19" x14ac:dyDescent="0.2">
      <c r="S337" s="59"/>
    </row>
    <row r="338" spans="19:19" x14ac:dyDescent="0.2">
      <c r="S338" s="59"/>
    </row>
    <row r="339" spans="19:19" x14ac:dyDescent="0.2">
      <c r="S339" s="59"/>
    </row>
    <row r="340" spans="19:19" x14ac:dyDescent="0.2">
      <c r="S340" s="59"/>
    </row>
    <row r="341" spans="19:19" x14ac:dyDescent="0.2">
      <c r="S341" s="59"/>
    </row>
    <row r="342" spans="19:19" x14ac:dyDescent="0.2">
      <c r="S342" s="59"/>
    </row>
    <row r="343" spans="19:19" x14ac:dyDescent="0.2">
      <c r="S343" s="59"/>
    </row>
    <row r="344" spans="19:19" x14ac:dyDescent="0.2">
      <c r="S344" s="59"/>
    </row>
    <row r="345" spans="19:19" x14ac:dyDescent="0.2">
      <c r="S345" s="59"/>
    </row>
    <row r="346" spans="19:19" x14ac:dyDescent="0.2">
      <c r="S346" s="59"/>
    </row>
    <row r="347" spans="19:19" x14ac:dyDescent="0.2">
      <c r="S347" s="59"/>
    </row>
    <row r="348" spans="19:19" x14ac:dyDescent="0.2">
      <c r="S348" s="59"/>
    </row>
    <row r="349" spans="19:19" x14ac:dyDescent="0.2">
      <c r="S349" s="59"/>
    </row>
    <row r="350" spans="19:19" x14ac:dyDescent="0.2">
      <c r="S350" s="59"/>
    </row>
    <row r="351" spans="19:19" x14ac:dyDescent="0.2">
      <c r="S351" s="59"/>
    </row>
    <row r="352" spans="19:19" x14ac:dyDescent="0.2">
      <c r="S352" s="59"/>
    </row>
    <row r="353" spans="19:19" x14ac:dyDescent="0.2">
      <c r="S353" s="59"/>
    </row>
    <row r="354" spans="19:19" x14ac:dyDescent="0.2">
      <c r="S354" s="59"/>
    </row>
    <row r="355" spans="19:19" x14ac:dyDescent="0.2">
      <c r="S355" s="59"/>
    </row>
    <row r="356" spans="19:19" x14ac:dyDescent="0.2">
      <c r="S356" s="59"/>
    </row>
    <row r="357" spans="19:19" x14ac:dyDescent="0.2">
      <c r="S357" s="59"/>
    </row>
    <row r="358" spans="19:19" x14ac:dyDescent="0.2">
      <c r="S358" s="59"/>
    </row>
    <row r="359" spans="19:19" x14ac:dyDescent="0.2">
      <c r="S359" s="59"/>
    </row>
    <row r="360" spans="19:19" x14ac:dyDescent="0.2">
      <c r="S360" s="59"/>
    </row>
    <row r="361" spans="19:19" x14ac:dyDescent="0.2">
      <c r="S361" s="59"/>
    </row>
    <row r="362" spans="19:19" x14ac:dyDescent="0.2">
      <c r="S362" s="59"/>
    </row>
    <row r="363" spans="19:19" x14ac:dyDescent="0.2">
      <c r="S363" s="59"/>
    </row>
    <row r="364" spans="19:19" x14ac:dyDescent="0.2">
      <c r="S364" s="59"/>
    </row>
    <row r="365" spans="19:19" x14ac:dyDescent="0.2">
      <c r="S365" s="59"/>
    </row>
    <row r="366" spans="19:19" x14ac:dyDescent="0.2">
      <c r="S366" s="59"/>
    </row>
    <row r="367" spans="19:19" x14ac:dyDescent="0.2">
      <c r="S367" s="59"/>
    </row>
    <row r="368" spans="19:19" x14ac:dyDescent="0.2">
      <c r="S368" s="59"/>
    </row>
    <row r="369" spans="19:19" x14ac:dyDescent="0.2">
      <c r="S369" s="59"/>
    </row>
    <row r="370" spans="19:19" x14ac:dyDescent="0.2">
      <c r="S370" s="59"/>
    </row>
    <row r="371" spans="19:19" x14ac:dyDescent="0.2">
      <c r="S371" s="59"/>
    </row>
    <row r="372" spans="19:19" x14ac:dyDescent="0.2">
      <c r="S372" s="59"/>
    </row>
    <row r="373" spans="19:19" x14ac:dyDescent="0.2">
      <c r="S373" s="59"/>
    </row>
    <row r="374" spans="19:19" x14ac:dyDescent="0.2">
      <c r="S374" s="59"/>
    </row>
    <row r="375" spans="19:19" x14ac:dyDescent="0.2">
      <c r="S375" s="59"/>
    </row>
    <row r="376" spans="19:19" x14ac:dyDescent="0.2">
      <c r="S376" s="59"/>
    </row>
    <row r="377" spans="19:19" x14ac:dyDescent="0.2">
      <c r="S377" s="59"/>
    </row>
    <row r="378" spans="19:19" x14ac:dyDescent="0.2">
      <c r="S378" s="59"/>
    </row>
    <row r="379" spans="19:19" x14ac:dyDescent="0.2">
      <c r="S379" s="59"/>
    </row>
    <row r="380" spans="19:19" x14ac:dyDescent="0.2">
      <c r="S380" s="59"/>
    </row>
    <row r="381" spans="19:19" x14ac:dyDescent="0.2">
      <c r="S381" s="59"/>
    </row>
    <row r="382" spans="19:19" x14ac:dyDescent="0.2">
      <c r="S382" s="59"/>
    </row>
    <row r="383" spans="19:19" x14ac:dyDescent="0.2">
      <c r="S383" s="59"/>
    </row>
    <row r="384" spans="19:19" x14ac:dyDescent="0.2">
      <c r="S384" s="59"/>
    </row>
    <row r="385" spans="19:19" x14ac:dyDescent="0.2">
      <c r="S385" s="59"/>
    </row>
    <row r="386" spans="19:19" x14ac:dyDescent="0.2">
      <c r="S386" s="59"/>
    </row>
    <row r="387" spans="19:19" x14ac:dyDescent="0.2">
      <c r="S387" s="59"/>
    </row>
    <row r="388" spans="19:19" x14ac:dyDescent="0.2">
      <c r="S388" s="59"/>
    </row>
    <row r="389" spans="19:19" x14ac:dyDescent="0.2">
      <c r="S389" s="59"/>
    </row>
    <row r="390" spans="19:19" x14ac:dyDescent="0.2">
      <c r="S390" s="59"/>
    </row>
    <row r="391" spans="19:19" x14ac:dyDescent="0.2">
      <c r="S391" s="59"/>
    </row>
    <row r="392" spans="19:19" x14ac:dyDescent="0.2">
      <c r="S392" s="59"/>
    </row>
    <row r="393" spans="19:19" x14ac:dyDescent="0.2">
      <c r="S393" s="59"/>
    </row>
    <row r="394" spans="19:19" x14ac:dyDescent="0.2">
      <c r="S394" s="59"/>
    </row>
    <row r="395" spans="19:19" x14ac:dyDescent="0.2">
      <c r="S395" s="59"/>
    </row>
    <row r="396" spans="19:19" x14ac:dyDescent="0.2">
      <c r="S396" s="59"/>
    </row>
    <row r="397" spans="19:19" x14ac:dyDescent="0.2">
      <c r="S397" s="59"/>
    </row>
    <row r="398" spans="19:19" x14ac:dyDescent="0.2">
      <c r="S398" s="59"/>
    </row>
    <row r="399" spans="19:19" x14ac:dyDescent="0.2">
      <c r="S399" s="59"/>
    </row>
    <row r="400" spans="19:19" x14ac:dyDescent="0.2">
      <c r="S400" s="59"/>
    </row>
    <row r="401" spans="19:19" x14ac:dyDescent="0.2">
      <c r="S401" s="59"/>
    </row>
    <row r="402" spans="19:19" x14ac:dyDescent="0.2">
      <c r="S402" s="59"/>
    </row>
    <row r="403" spans="19:19" x14ac:dyDescent="0.2">
      <c r="S403" s="59"/>
    </row>
    <row r="404" spans="19:19" x14ac:dyDescent="0.2">
      <c r="S404" s="59"/>
    </row>
    <row r="405" spans="19:19" x14ac:dyDescent="0.2">
      <c r="S405" s="59"/>
    </row>
    <row r="406" spans="19:19" x14ac:dyDescent="0.2">
      <c r="S406" s="59"/>
    </row>
    <row r="407" spans="19:19" x14ac:dyDescent="0.2">
      <c r="S407" s="59"/>
    </row>
    <row r="408" spans="19:19" x14ac:dyDescent="0.2">
      <c r="S408" s="59"/>
    </row>
    <row r="409" spans="19:19" x14ac:dyDescent="0.2">
      <c r="S409" s="59"/>
    </row>
    <row r="410" spans="19:19" x14ac:dyDescent="0.2">
      <c r="S410" s="59"/>
    </row>
    <row r="411" spans="19:19" x14ac:dyDescent="0.2">
      <c r="S411" s="59"/>
    </row>
    <row r="412" spans="19:19" x14ac:dyDescent="0.2">
      <c r="S412" s="59"/>
    </row>
    <row r="413" spans="19:19" x14ac:dyDescent="0.2">
      <c r="S413" s="59"/>
    </row>
    <row r="414" spans="19:19" x14ac:dyDescent="0.2">
      <c r="S414" s="59"/>
    </row>
    <row r="415" spans="19:19" x14ac:dyDescent="0.2">
      <c r="S415" s="59"/>
    </row>
    <row r="416" spans="19:19" x14ac:dyDescent="0.2">
      <c r="S416" s="59"/>
    </row>
    <row r="417" spans="19:19" x14ac:dyDescent="0.2">
      <c r="S417" s="59"/>
    </row>
    <row r="418" spans="19:19" x14ac:dyDescent="0.2">
      <c r="S418" s="59"/>
    </row>
    <row r="419" spans="19:19" x14ac:dyDescent="0.2">
      <c r="S419" s="59"/>
    </row>
    <row r="420" spans="19:19" x14ac:dyDescent="0.2">
      <c r="S420" s="59"/>
    </row>
    <row r="421" spans="19:19" x14ac:dyDescent="0.2">
      <c r="S421" s="59"/>
    </row>
    <row r="422" spans="19:19" x14ac:dyDescent="0.2">
      <c r="S422" s="59"/>
    </row>
    <row r="423" spans="19:19" x14ac:dyDescent="0.2">
      <c r="S423" s="59"/>
    </row>
    <row r="424" spans="19:19" x14ac:dyDescent="0.2">
      <c r="S424" s="59"/>
    </row>
    <row r="425" spans="19:19" x14ac:dyDescent="0.2">
      <c r="S425" s="59"/>
    </row>
    <row r="426" spans="19:19" x14ac:dyDescent="0.2">
      <c r="S426" s="59"/>
    </row>
    <row r="427" spans="19:19" x14ac:dyDescent="0.2">
      <c r="S427" s="59"/>
    </row>
    <row r="428" spans="19:19" x14ac:dyDescent="0.2">
      <c r="S428" s="59"/>
    </row>
    <row r="429" spans="19:19" x14ac:dyDescent="0.2">
      <c r="S429" s="59"/>
    </row>
    <row r="430" spans="19:19" x14ac:dyDescent="0.2">
      <c r="S430" s="59"/>
    </row>
    <row r="431" spans="19:19" x14ac:dyDescent="0.2">
      <c r="S431" s="59"/>
    </row>
    <row r="432" spans="19:19" x14ac:dyDescent="0.2">
      <c r="S432" s="59"/>
    </row>
    <row r="433" spans="19:19" x14ac:dyDescent="0.2">
      <c r="S433" s="59"/>
    </row>
    <row r="434" spans="19:19" x14ac:dyDescent="0.2">
      <c r="S434" s="59"/>
    </row>
    <row r="435" spans="19:19" x14ac:dyDescent="0.2">
      <c r="S435" s="59"/>
    </row>
    <row r="436" spans="19:19" x14ac:dyDescent="0.2">
      <c r="S436" s="59"/>
    </row>
    <row r="437" spans="19:19" x14ac:dyDescent="0.2">
      <c r="S437" s="59"/>
    </row>
    <row r="438" spans="19:19" x14ac:dyDescent="0.2">
      <c r="S438" s="59"/>
    </row>
    <row r="439" spans="19:19" x14ac:dyDescent="0.2">
      <c r="S439" s="59"/>
    </row>
    <row r="440" spans="19:19" x14ac:dyDescent="0.2">
      <c r="S440" s="59"/>
    </row>
    <row r="441" spans="19:19" x14ac:dyDescent="0.2">
      <c r="S441" s="59"/>
    </row>
    <row r="442" spans="19:19" x14ac:dyDescent="0.2">
      <c r="S442" s="59"/>
    </row>
    <row r="443" spans="19:19" x14ac:dyDescent="0.2">
      <c r="S443" s="59"/>
    </row>
    <row r="444" spans="19:19" x14ac:dyDescent="0.2">
      <c r="S444" s="59"/>
    </row>
    <row r="445" spans="19:19" x14ac:dyDescent="0.2">
      <c r="S445" s="59"/>
    </row>
    <row r="446" spans="19:19" x14ac:dyDescent="0.2">
      <c r="S446" s="59"/>
    </row>
    <row r="447" spans="19:19" x14ac:dyDescent="0.2">
      <c r="S447" s="59"/>
    </row>
    <row r="448" spans="19:19" x14ac:dyDescent="0.2">
      <c r="S448" s="59"/>
    </row>
    <row r="449" spans="19:19" x14ac:dyDescent="0.2">
      <c r="S449" s="59"/>
    </row>
    <row r="450" spans="19:19" x14ac:dyDescent="0.2">
      <c r="S450" s="59"/>
    </row>
    <row r="451" spans="19:19" x14ac:dyDescent="0.2">
      <c r="S451" s="59"/>
    </row>
    <row r="452" spans="19:19" x14ac:dyDescent="0.2">
      <c r="S452" s="59"/>
    </row>
    <row r="453" spans="19:19" x14ac:dyDescent="0.2">
      <c r="S453" s="59"/>
    </row>
    <row r="454" spans="19:19" x14ac:dyDescent="0.2">
      <c r="S454" s="59"/>
    </row>
    <row r="455" spans="19:19" x14ac:dyDescent="0.2">
      <c r="S455" s="59"/>
    </row>
    <row r="456" spans="19:19" x14ac:dyDescent="0.2">
      <c r="S456" s="59"/>
    </row>
    <row r="457" spans="19:19" x14ac:dyDescent="0.2">
      <c r="S457" s="59"/>
    </row>
    <row r="458" spans="19:19" x14ac:dyDescent="0.2">
      <c r="S458" s="59"/>
    </row>
    <row r="459" spans="19:19" x14ac:dyDescent="0.2">
      <c r="S459" s="59"/>
    </row>
    <row r="460" spans="19:19" x14ac:dyDescent="0.2">
      <c r="S460" s="59"/>
    </row>
    <row r="461" spans="19:19" x14ac:dyDescent="0.2">
      <c r="S461" s="59"/>
    </row>
    <row r="462" spans="19:19" x14ac:dyDescent="0.2">
      <c r="S462" s="59"/>
    </row>
    <row r="463" spans="19:19" x14ac:dyDescent="0.2">
      <c r="S463" s="59"/>
    </row>
    <row r="464" spans="19:19" x14ac:dyDescent="0.2">
      <c r="S464" s="59"/>
    </row>
    <row r="465" spans="19:19" x14ac:dyDescent="0.2">
      <c r="S465" s="59"/>
    </row>
    <row r="466" spans="19:19" x14ac:dyDescent="0.2">
      <c r="S466" s="59"/>
    </row>
    <row r="467" spans="19:19" x14ac:dyDescent="0.2">
      <c r="S467" s="59"/>
    </row>
    <row r="468" spans="19:19" x14ac:dyDescent="0.2">
      <c r="S468" s="59"/>
    </row>
    <row r="469" spans="19:19" x14ac:dyDescent="0.2">
      <c r="S469" s="59"/>
    </row>
    <row r="470" spans="19:19" x14ac:dyDescent="0.2">
      <c r="S470" s="59"/>
    </row>
    <row r="471" spans="19:19" x14ac:dyDescent="0.2">
      <c r="S471" s="59"/>
    </row>
    <row r="472" spans="19:19" x14ac:dyDescent="0.2">
      <c r="S472" s="59"/>
    </row>
    <row r="473" spans="19:19" x14ac:dyDescent="0.2">
      <c r="S473" s="59"/>
    </row>
    <row r="474" spans="19:19" x14ac:dyDescent="0.2">
      <c r="S474" s="59"/>
    </row>
    <row r="475" spans="19:19" x14ac:dyDescent="0.2">
      <c r="S475" s="59"/>
    </row>
    <row r="476" spans="19:19" x14ac:dyDescent="0.2">
      <c r="S476" s="59"/>
    </row>
    <row r="477" spans="19:19" x14ac:dyDescent="0.2">
      <c r="S477" s="59"/>
    </row>
    <row r="478" spans="19:19" x14ac:dyDescent="0.2">
      <c r="S478" s="59"/>
    </row>
    <row r="479" spans="19:19" x14ac:dyDescent="0.2">
      <c r="S479" s="59"/>
    </row>
    <row r="480" spans="19:19" x14ac:dyDescent="0.2">
      <c r="S480" s="59"/>
    </row>
    <row r="481" spans="19:19" x14ac:dyDescent="0.2">
      <c r="S481" s="59"/>
    </row>
    <row r="482" spans="19:19" x14ac:dyDescent="0.2">
      <c r="S482" s="59"/>
    </row>
    <row r="483" spans="19:19" x14ac:dyDescent="0.2">
      <c r="S483" s="59"/>
    </row>
    <row r="484" spans="19:19" x14ac:dyDescent="0.2">
      <c r="S484" s="59"/>
    </row>
    <row r="485" spans="19:19" x14ac:dyDescent="0.2">
      <c r="S485" s="59"/>
    </row>
    <row r="486" spans="19:19" x14ac:dyDescent="0.2">
      <c r="S486" s="59"/>
    </row>
    <row r="487" spans="19:19" x14ac:dyDescent="0.2">
      <c r="S487" s="59"/>
    </row>
    <row r="488" spans="19:19" x14ac:dyDescent="0.2">
      <c r="S488" s="59"/>
    </row>
    <row r="489" spans="19:19" x14ac:dyDescent="0.2">
      <c r="S489" s="59"/>
    </row>
    <row r="490" spans="19:19" x14ac:dyDescent="0.2">
      <c r="S490" s="59"/>
    </row>
    <row r="491" spans="19:19" x14ac:dyDescent="0.2">
      <c r="S491" s="59"/>
    </row>
    <row r="492" spans="19:19" x14ac:dyDescent="0.2">
      <c r="S492" s="59"/>
    </row>
    <row r="493" spans="19:19" x14ac:dyDescent="0.2">
      <c r="S493" s="59"/>
    </row>
    <row r="494" spans="19:19" x14ac:dyDescent="0.2">
      <c r="S494" s="59"/>
    </row>
    <row r="495" spans="19:19" x14ac:dyDescent="0.2">
      <c r="S495" s="59"/>
    </row>
    <row r="496" spans="19:19" x14ac:dyDescent="0.2">
      <c r="S496" s="59"/>
    </row>
    <row r="497" spans="19:19" x14ac:dyDescent="0.2">
      <c r="S497" s="59"/>
    </row>
    <row r="498" spans="19:19" x14ac:dyDescent="0.2">
      <c r="S498" s="59"/>
    </row>
    <row r="499" spans="19:19" x14ac:dyDescent="0.2">
      <c r="S499" s="59"/>
    </row>
    <row r="500" spans="19:19" x14ac:dyDescent="0.2">
      <c r="S500" s="59"/>
    </row>
    <row r="501" spans="19:19" x14ac:dyDescent="0.2">
      <c r="S501" s="59"/>
    </row>
    <row r="502" spans="19:19" x14ac:dyDescent="0.2">
      <c r="S502" s="59"/>
    </row>
    <row r="503" spans="19:19" x14ac:dyDescent="0.2">
      <c r="S503" s="59"/>
    </row>
    <row r="504" spans="19:19" x14ac:dyDescent="0.2">
      <c r="S504" s="59"/>
    </row>
    <row r="505" spans="19:19" x14ac:dyDescent="0.2">
      <c r="S505" s="59"/>
    </row>
    <row r="506" spans="19:19" x14ac:dyDescent="0.2">
      <c r="S506" s="59"/>
    </row>
    <row r="507" spans="19:19" x14ac:dyDescent="0.2">
      <c r="S507" s="59"/>
    </row>
    <row r="508" spans="19:19" x14ac:dyDescent="0.2">
      <c r="S508" s="59"/>
    </row>
    <row r="509" spans="19:19" x14ac:dyDescent="0.2">
      <c r="S509" s="59"/>
    </row>
    <row r="510" spans="19:19" x14ac:dyDescent="0.2">
      <c r="S510" s="59"/>
    </row>
    <row r="511" spans="19:19" x14ac:dyDescent="0.2">
      <c r="S511" s="59"/>
    </row>
    <row r="512" spans="19:19" x14ac:dyDescent="0.2">
      <c r="S512" s="59"/>
    </row>
    <row r="513" spans="19:19" x14ac:dyDescent="0.2">
      <c r="S513" s="59"/>
    </row>
    <row r="514" spans="19:19" x14ac:dyDescent="0.2">
      <c r="S514" s="59"/>
    </row>
    <row r="515" spans="19:19" x14ac:dyDescent="0.2">
      <c r="S515" s="59"/>
    </row>
    <row r="516" spans="19:19" x14ac:dyDescent="0.2">
      <c r="S516" s="59"/>
    </row>
    <row r="517" spans="19:19" x14ac:dyDescent="0.2">
      <c r="S517" s="59"/>
    </row>
    <row r="518" spans="19:19" x14ac:dyDescent="0.2">
      <c r="S518" s="59"/>
    </row>
    <row r="519" spans="19:19" x14ac:dyDescent="0.2">
      <c r="S519" s="59"/>
    </row>
    <row r="520" spans="19:19" x14ac:dyDescent="0.2">
      <c r="S520" s="59"/>
    </row>
    <row r="521" spans="19:19" x14ac:dyDescent="0.2">
      <c r="S521" s="59"/>
    </row>
    <row r="522" spans="19:19" x14ac:dyDescent="0.2">
      <c r="S522" s="59"/>
    </row>
    <row r="523" spans="19:19" x14ac:dyDescent="0.2">
      <c r="S523" s="59"/>
    </row>
    <row r="524" spans="19:19" x14ac:dyDescent="0.2">
      <c r="S524" s="59"/>
    </row>
    <row r="525" spans="19:19" x14ac:dyDescent="0.2">
      <c r="S525" s="59"/>
    </row>
    <row r="526" spans="19:19" x14ac:dyDescent="0.2">
      <c r="S526" s="59"/>
    </row>
    <row r="527" spans="19:19" x14ac:dyDescent="0.2">
      <c r="S527" s="59"/>
    </row>
    <row r="528" spans="19:19" x14ac:dyDescent="0.2">
      <c r="S528" s="59"/>
    </row>
    <row r="529" spans="19:19" x14ac:dyDescent="0.2">
      <c r="S529" s="59"/>
    </row>
    <row r="530" spans="19:19" x14ac:dyDescent="0.2">
      <c r="S530" s="59"/>
    </row>
    <row r="531" spans="19:19" x14ac:dyDescent="0.2">
      <c r="S531" s="59"/>
    </row>
    <row r="532" spans="19:19" x14ac:dyDescent="0.2">
      <c r="S532" s="59"/>
    </row>
    <row r="533" spans="19:19" x14ac:dyDescent="0.2">
      <c r="S533" s="59"/>
    </row>
    <row r="534" spans="19:19" x14ac:dyDescent="0.2">
      <c r="S534" s="59"/>
    </row>
    <row r="535" spans="19:19" x14ac:dyDescent="0.2">
      <c r="S535" s="59"/>
    </row>
    <row r="536" spans="19:19" x14ac:dyDescent="0.2">
      <c r="S536" s="59"/>
    </row>
    <row r="537" spans="19:19" x14ac:dyDescent="0.2">
      <c r="S537" s="59"/>
    </row>
    <row r="538" spans="19:19" x14ac:dyDescent="0.2">
      <c r="S538" s="59"/>
    </row>
    <row r="539" spans="19:19" x14ac:dyDescent="0.2">
      <c r="S539" s="59"/>
    </row>
    <row r="540" spans="19:19" x14ac:dyDescent="0.2">
      <c r="S540" s="59"/>
    </row>
    <row r="541" spans="19:19" x14ac:dyDescent="0.2">
      <c r="S541" s="59"/>
    </row>
    <row r="542" spans="19:19" x14ac:dyDescent="0.2">
      <c r="S542" s="59"/>
    </row>
    <row r="543" spans="19:19" x14ac:dyDescent="0.2">
      <c r="S543" s="59"/>
    </row>
    <row r="544" spans="19:19" x14ac:dyDescent="0.2">
      <c r="S544" s="59"/>
    </row>
    <row r="545" spans="19:19" x14ac:dyDescent="0.2">
      <c r="S545" s="59"/>
    </row>
    <row r="546" spans="19:19" x14ac:dyDescent="0.2">
      <c r="S546" s="59"/>
    </row>
    <row r="547" spans="19:19" x14ac:dyDescent="0.2">
      <c r="S547" s="59"/>
    </row>
    <row r="548" spans="19:19" x14ac:dyDescent="0.2">
      <c r="S548" s="59"/>
    </row>
    <row r="549" spans="19:19" x14ac:dyDescent="0.2">
      <c r="S549" s="59"/>
    </row>
    <row r="550" spans="19:19" x14ac:dyDescent="0.2">
      <c r="S550" s="59"/>
    </row>
    <row r="551" spans="19:19" x14ac:dyDescent="0.2">
      <c r="S551" s="59"/>
    </row>
    <row r="552" spans="19:19" x14ac:dyDescent="0.2">
      <c r="S552" s="59"/>
    </row>
    <row r="553" spans="19:19" x14ac:dyDescent="0.2">
      <c r="S553" s="59"/>
    </row>
    <row r="554" spans="19:19" x14ac:dyDescent="0.2">
      <c r="S554" s="59"/>
    </row>
    <row r="555" spans="19:19" x14ac:dyDescent="0.2">
      <c r="S555" s="59"/>
    </row>
    <row r="556" spans="19:19" x14ac:dyDescent="0.2">
      <c r="S556" s="59"/>
    </row>
    <row r="557" spans="19:19" x14ac:dyDescent="0.2">
      <c r="S557" s="59"/>
    </row>
    <row r="558" spans="19:19" x14ac:dyDescent="0.2">
      <c r="S558" s="59"/>
    </row>
    <row r="559" spans="19:19" x14ac:dyDescent="0.2">
      <c r="S559" s="59"/>
    </row>
    <row r="560" spans="19:19" x14ac:dyDescent="0.2">
      <c r="S560" s="59"/>
    </row>
    <row r="561" spans="19:19" x14ac:dyDescent="0.2">
      <c r="S561" s="59"/>
    </row>
    <row r="562" spans="19:19" x14ac:dyDescent="0.2">
      <c r="S562" s="59"/>
    </row>
    <row r="563" spans="19:19" x14ac:dyDescent="0.2">
      <c r="S563" s="59"/>
    </row>
    <row r="564" spans="19:19" x14ac:dyDescent="0.2">
      <c r="S564" s="59"/>
    </row>
    <row r="565" spans="19:19" x14ac:dyDescent="0.2">
      <c r="S565" s="59"/>
    </row>
    <row r="566" spans="19:19" x14ac:dyDescent="0.2">
      <c r="S566" s="59"/>
    </row>
    <row r="567" spans="19:19" x14ac:dyDescent="0.2">
      <c r="S567" s="59"/>
    </row>
    <row r="568" spans="19:19" x14ac:dyDescent="0.2">
      <c r="S568" s="59"/>
    </row>
    <row r="569" spans="19:19" x14ac:dyDescent="0.2">
      <c r="S569" s="59"/>
    </row>
    <row r="570" spans="19:19" x14ac:dyDescent="0.2">
      <c r="S570" s="59"/>
    </row>
    <row r="571" spans="19:19" x14ac:dyDescent="0.2">
      <c r="S571" s="59"/>
    </row>
    <row r="572" spans="19:19" x14ac:dyDescent="0.2">
      <c r="S572" s="59"/>
    </row>
    <row r="573" spans="19:19" x14ac:dyDescent="0.2">
      <c r="S573" s="59"/>
    </row>
    <row r="574" spans="19:19" x14ac:dyDescent="0.2">
      <c r="S574" s="59"/>
    </row>
    <row r="575" spans="19:19" x14ac:dyDescent="0.2">
      <c r="S575" s="59"/>
    </row>
    <row r="576" spans="19:19" x14ac:dyDescent="0.2">
      <c r="S576" s="59"/>
    </row>
    <row r="577" spans="19:19" x14ac:dyDescent="0.2">
      <c r="S577" s="59"/>
    </row>
    <row r="578" spans="19:19" x14ac:dyDescent="0.2">
      <c r="S578" s="59"/>
    </row>
    <row r="579" spans="19:19" x14ac:dyDescent="0.2">
      <c r="S579" s="59"/>
    </row>
    <row r="580" spans="19:19" x14ac:dyDescent="0.2">
      <c r="S580" s="59"/>
    </row>
    <row r="581" spans="19:19" x14ac:dyDescent="0.2">
      <c r="S581" s="59"/>
    </row>
    <row r="582" spans="19:19" x14ac:dyDescent="0.2">
      <c r="S582" s="59"/>
    </row>
    <row r="583" spans="19:19" x14ac:dyDescent="0.2">
      <c r="S583" s="59"/>
    </row>
    <row r="584" spans="19:19" x14ac:dyDescent="0.2">
      <c r="S584" s="59"/>
    </row>
    <row r="585" spans="19:19" x14ac:dyDescent="0.2">
      <c r="S585" s="59"/>
    </row>
    <row r="586" spans="19:19" x14ac:dyDescent="0.2">
      <c r="S586" s="59"/>
    </row>
    <row r="587" spans="19:19" x14ac:dyDescent="0.2">
      <c r="S587" s="59"/>
    </row>
    <row r="588" spans="19:19" x14ac:dyDescent="0.2">
      <c r="S588" s="59"/>
    </row>
    <row r="589" spans="19:19" x14ac:dyDescent="0.2">
      <c r="S589" s="59"/>
    </row>
    <row r="590" spans="19:19" x14ac:dyDescent="0.2">
      <c r="S590" s="59"/>
    </row>
    <row r="591" spans="19:19" x14ac:dyDescent="0.2">
      <c r="S591" s="59"/>
    </row>
    <row r="592" spans="19:19" x14ac:dyDescent="0.2">
      <c r="S592" s="59"/>
    </row>
    <row r="593" spans="19:19" x14ac:dyDescent="0.2">
      <c r="S593" s="59"/>
    </row>
    <row r="594" spans="19:19" x14ac:dyDescent="0.2">
      <c r="S594" s="59"/>
    </row>
    <row r="595" spans="19:19" x14ac:dyDescent="0.2">
      <c r="S595" s="59"/>
    </row>
    <row r="596" spans="19:19" x14ac:dyDescent="0.2">
      <c r="S596" s="59"/>
    </row>
    <row r="597" spans="19:19" x14ac:dyDescent="0.2">
      <c r="S597" s="59"/>
    </row>
    <row r="598" spans="19:19" x14ac:dyDescent="0.2">
      <c r="S598" s="59"/>
    </row>
    <row r="599" spans="19:19" x14ac:dyDescent="0.2">
      <c r="S599" s="59"/>
    </row>
    <row r="600" spans="19:19" x14ac:dyDescent="0.2">
      <c r="S600" s="59"/>
    </row>
    <row r="601" spans="19:19" x14ac:dyDescent="0.2">
      <c r="S601" s="59"/>
    </row>
    <row r="602" spans="19:19" x14ac:dyDescent="0.2">
      <c r="S602" s="59"/>
    </row>
    <row r="603" spans="19:19" x14ac:dyDescent="0.2">
      <c r="S603" s="59"/>
    </row>
    <row r="604" spans="19:19" x14ac:dyDescent="0.2">
      <c r="S604" s="59"/>
    </row>
    <row r="605" spans="19:19" x14ac:dyDescent="0.2">
      <c r="S605" s="59"/>
    </row>
    <row r="606" spans="19:19" x14ac:dyDescent="0.2">
      <c r="S606" s="59"/>
    </row>
    <row r="607" spans="19:19" x14ac:dyDescent="0.2">
      <c r="S607" s="59"/>
    </row>
    <row r="608" spans="19:19" x14ac:dyDescent="0.2">
      <c r="S608" s="59"/>
    </row>
    <row r="609" spans="19:19" x14ac:dyDescent="0.2">
      <c r="S609" s="59"/>
    </row>
    <row r="610" spans="19:19" x14ac:dyDescent="0.2">
      <c r="S610" s="59"/>
    </row>
    <row r="611" spans="19:19" x14ac:dyDescent="0.2">
      <c r="S611" s="59"/>
    </row>
    <row r="612" spans="19:19" x14ac:dyDescent="0.2">
      <c r="S612" s="59"/>
    </row>
    <row r="613" spans="19:19" x14ac:dyDescent="0.2">
      <c r="S613" s="59"/>
    </row>
    <row r="614" spans="19:19" x14ac:dyDescent="0.2">
      <c r="S614" s="59"/>
    </row>
    <row r="615" spans="19:19" x14ac:dyDescent="0.2">
      <c r="S615" s="59"/>
    </row>
    <row r="616" spans="19:19" x14ac:dyDescent="0.2">
      <c r="S616" s="59"/>
    </row>
    <row r="617" spans="19:19" x14ac:dyDescent="0.2">
      <c r="S617" s="59"/>
    </row>
    <row r="618" spans="19:19" x14ac:dyDescent="0.2">
      <c r="S618" s="59"/>
    </row>
    <row r="619" spans="19:19" x14ac:dyDescent="0.2">
      <c r="S619" s="59"/>
    </row>
    <row r="620" spans="19:19" x14ac:dyDescent="0.2">
      <c r="S620" s="59"/>
    </row>
    <row r="621" spans="19:19" x14ac:dyDescent="0.2">
      <c r="S621" s="59"/>
    </row>
    <row r="622" spans="19:19" x14ac:dyDescent="0.2">
      <c r="S622" s="59"/>
    </row>
    <row r="623" spans="19:19" x14ac:dyDescent="0.2">
      <c r="S623" s="59"/>
    </row>
    <row r="624" spans="19:19" x14ac:dyDescent="0.2">
      <c r="S624" s="59"/>
    </row>
    <row r="625" spans="19:19" x14ac:dyDescent="0.2">
      <c r="S625" s="59"/>
    </row>
    <row r="626" spans="19:19" x14ac:dyDescent="0.2">
      <c r="S626" s="59"/>
    </row>
    <row r="627" spans="19:19" x14ac:dyDescent="0.2">
      <c r="S627" s="59"/>
    </row>
    <row r="628" spans="19:19" x14ac:dyDescent="0.2">
      <c r="S628" s="59"/>
    </row>
    <row r="629" spans="19:19" x14ac:dyDescent="0.2">
      <c r="S629" s="59"/>
    </row>
    <row r="630" spans="19:19" x14ac:dyDescent="0.2">
      <c r="S630" s="59"/>
    </row>
    <row r="631" spans="19:19" x14ac:dyDescent="0.2">
      <c r="S631" s="59"/>
    </row>
    <row r="632" spans="19:19" x14ac:dyDescent="0.2">
      <c r="S632" s="59"/>
    </row>
    <row r="633" spans="19:19" x14ac:dyDescent="0.2">
      <c r="S633" s="59"/>
    </row>
    <row r="634" spans="19:19" x14ac:dyDescent="0.2">
      <c r="S634" s="59"/>
    </row>
    <row r="635" spans="19:19" x14ac:dyDescent="0.2">
      <c r="S635" s="59"/>
    </row>
    <row r="636" spans="19:19" x14ac:dyDescent="0.2">
      <c r="S636" s="59"/>
    </row>
    <row r="637" spans="19:19" x14ac:dyDescent="0.2">
      <c r="S637" s="59"/>
    </row>
    <row r="638" spans="19:19" x14ac:dyDescent="0.2">
      <c r="S638" s="59"/>
    </row>
    <row r="639" spans="19:19" x14ac:dyDescent="0.2">
      <c r="S639" s="59"/>
    </row>
    <row r="640" spans="19:19" x14ac:dyDescent="0.2">
      <c r="S640" s="59"/>
    </row>
    <row r="641" spans="19:19" x14ac:dyDescent="0.2">
      <c r="S641" s="59"/>
    </row>
    <row r="642" spans="19:19" x14ac:dyDescent="0.2">
      <c r="S642" s="59"/>
    </row>
    <row r="643" spans="19:19" x14ac:dyDescent="0.2">
      <c r="S643" s="59"/>
    </row>
    <row r="644" spans="19:19" x14ac:dyDescent="0.2">
      <c r="S644" s="59"/>
    </row>
    <row r="645" spans="19:19" x14ac:dyDescent="0.2">
      <c r="S645" s="59"/>
    </row>
    <row r="646" spans="19:19" x14ac:dyDescent="0.2">
      <c r="S646" s="59"/>
    </row>
    <row r="647" spans="19:19" x14ac:dyDescent="0.2">
      <c r="S647" s="59"/>
    </row>
    <row r="648" spans="19:19" x14ac:dyDescent="0.2">
      <c r="S648" s="59"/>
    </row>
    <row r="649" spans="19:19" x14ac:dyDescent="0.2">
      <c r="S649" s="59"/>
    </row>
    <row r="650" spans="19:19" x14ac:dyDescent="0.2">
      <c r="S650" s="59"/>
    </row>
    <row r="651" spans="19:19" x14ac:dyDescent="0.2">
      <c r="S651" s="59"/>
    </row>
    <row r="652" spans="19:19" x14ac:dyDescent="0.2">
      <c r="S652" s="59"/>
    </row>
    <row r="653" spans="19:19" x14ac:dyDescent="0.2">
      <c r="S653" s="59"/>
    </row>
    <row r="654" spans="19:19" x14ac:dyDescent="0.2">
      <c r="S654" s="59"/>
    </row>
    <row r="655" spans="19:19" x14ac:dyDescent="0.2">
      <c r="S655" s="59"/>
    </row>
    <row r="656" spans="19:19" x14ac:dyDescent="0.2">
      <c r="S656" s="59"/>
    </row>
    <row r="657" spans="19:19" x14ac:dyDescent="0.2">
      <c r="S657" s="59"/>
    </row>
    <row r="658" spans="19:19" x14ac:dyDescent="0.2">
      <c r="S658" s="59"/>
    </row>
    <row r="659" spans="19:19" x14ac:dyDescent="0.2">
      <c r="S659" s="59"/>
    </row>
    <row r="660" spans="19:19" x14ac:dyDescent="0.2">
      <c r="S660" s="59"/>
    </row>
    <row r="661" spans="19:19" x14ac:dyDescent="0.2">
      <c r="S661" s="59"/>
    </row>
    <row r="662" spans="19:19" x14ac:dyDescent="0.2">
      <c r="S662" s="59"/>
    </row>
    <row r="663" spans="19:19" x14ac:dyDescent="0.2">
      <c r="S663" s="59"/>
    </row>
    <row r="664" spans="19:19" x14ac:dyDescent="0.2">
      <c r="S664" s="59"/>
    </row>
    <row r="665" spans="19:19" x14ac:dyDescent="0.2">
      <c r="S665" s="59"/>
    </row>
    <row r="666" spans="19:19" x14ac:dyDescent="0.2">
      <c r="S666" s="59"/>
    </row>
    <row r="667" spans="19:19" x14ac:dyDescent="0.2">
      <c r="S667" s="59"/>
    </row>
    <row r="668" spans="19:19" x14ac:dyDescent="0.2">
      <c r="S668" s="59"/>
    </row>
    <row r="669" spans="19:19" x14ac:dyDescent="0.2">
      <c r="S669" s="59"/>
    </row>
    <row r="670" spans="19:19" x14ac:dyDescent="0.2">
      <c r="S670" s="59"/>
    </row>
    <row r="671" spans="19:19" x14ac:dyDescent="0.2">
      <c r="S671" s="59"/>
    </row>
    <row r="672" spans="19:19" x14ac:dyDescent="0.2">
      <c r="S672" s="59"/>
    </row>
    <row r="673" spans="19:19" x14ac:dyDescent="0.2">
      <c r="S673" s="59"/>
    </row>
    <row r="674" spans="19:19" x14ac:dyDescent="0.2">
      <c r="S674" s="59"/>
    </row>
    <row r="675" spans="19:19" x14ac:dyDescent="0.2">
      <c r="S675" s="59"/>
    </row>
    <row r="676" spans="19:19" x14ac:dyDescent="0.2">
      <c r="S676" s="59"/>
    </row>
    <row r="677" spans="19:19" x14ac:dyDescent="0.2">
      <c r="S677" s="59"/>
    </row>
    <row r="678" spans="19:19" x14ac:dyDescent="0.2">
      <c r="S678" s="59"/>
    </row>
    <row r="679" spans="19:19" x14ac:dyDescent="0.2">
      <c r="S679" s="59"/>
    </row>
    <row r="680" spans="19:19" x14ac:dyDescent="0.2">
      <c r="S680" s="59"/>
    </row>
    <row r="681" spans="19:19" x14ac:dyDescent="0.2">
      <c r="S681" s="59"/>
    </row>
    <row r="682" spans="19:19" x14ac:dyDescent="0.2">
      <c r="S682" s="59"/>
    </row>
    <row r="683" spans="19:19" x14ac:dyDescent="0.2">
      <c r="S683" s="59"/>
    </row>
    <row r="684" spans="19:19" x14ac:dyDescent="0.2">
      <c r="S684" s="59"/>
    </row>
    <row r="685" spans="19:19" x14ac:dyDescent="0.2">
      <c r="S685" s="59"/>
    </row>
    <row r="686" spans="19:19" x14ac:dyDescent="0.2">
      <c r="S686" s="59"/>
    </row>
    <row r="687" spans="19:19" x14ac:dyDescent="0.2">
      <c r="S687" s="59"/>
    </row>
    <row r="688" spans="19:19" x14ac:dyDescent="0.2">
      <c r="S688" s="59"/>
    </row>
    <row r="689" spans="19:19" x14ac:dyDescent="0.2">
      <c r="S689" s="59"/>
    </row>
    <row r="690" spans="19:19" x14ac:dyDescent="0.2">
      <c r="S690" s="59"/>
    </row>
    <row r="691" spans="19:19" x14ac:dyDescent="0.2">
      <c r="S691" s="59"/>
    </row>
    <row r="692" spans="19:19" x14ac:dyDescent="0.2">
      <c r="S692" s="59"/>
    </row>
    <row r="693" spans="19:19" x14ac:dyDescent="0.2">
      <c r="S693" s="59"/>
    </row>
    <row r="694" spans="19:19" x14ac:dyDescent="0.2">
      <c r="S694" s="59"/>
    </row>
    <row r="695" spans="19:19" x14ac:dyDescent="0.2">
      <c r="S695" s="59"/>
    </row>
    <row r="696" spans="19:19" x14ac:dyDescent="0.2">
      <c r="S696" s="59"/>
    </row>
    <row r="697" spans="19:19" x14ac:dyDescent="0.2">
      <c r="S697" s="59"/>
    </row>
    <row r="698" spans="19:19" x14ac:dyDescent="0.2">
      <c r="S698" s="59"/>
    </row>
    <row r="699" spans="19:19" x14ac:dyDescent="0.2">
      <c r="S699" s="59"/>
    </row>
    <row r="700" spans="19:19" x14ac:dyDescent="0.2">
      <c r="S700" s="59"/>
    </row>
    <row r="701" spans="19:19" x14ac:dyDescent="0.2">
      <c r="S701" s="59"/>
    </row>
    <row r="702" spans="19:19" x14ac:dyDescent="0.2">
      <c r="S702" s="59"/>
    </row>
    <row r="703" spans="19:19" x14ac:dyDescent="0.2">
      <c r="S703" s="59"/>
    </row>
    <row r="704" spans="19:19" x14ac:dyDescent="0.2">
      <c r="S704" s="59"/>
    </row>
  </sheetData>
  <sortState ref="C24:D25">
    <sortCondition descending="1" ref="D24"/>
  </sortState>
  <mergeCells count="3">
    <mergeCell ref="C3:M3"/>
    <mergeCell ref="F7:M7"/>
    <mergeCell ref="B28:N34"/>
  </mergeCells>
  <pageMargins left="0.7" right="0.7" top="0.75" bottom="0.75" header="0.3" footer="0.3"/>
  <pageSetup paperSize="9" scale="10"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pageSetUpPr fitToPage="1"/>
  </sheetPr>
  <dimension ref="B1:S700"/>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19" ht="15.75" thickBot="1" x14ac:dyDescent="0.25"/>
    <row r="2" spans="2:19" x14ac:dyDescent="0.2">
      <c r="B2" s="110"/>
      <c r="C2" s="49"/>
      <c r="D2" s="49"/>
      <c r="E2" s="49"/>
      <c r="F2" s="49"/>
      <c r="G2" s="49"/>
      <c r="H2" s="49"/>
      <c r="I2" s="49"/>
      <c r="J2" s="49"/>
      <c r="K2" s="49"/>
      <c r="L2" s="49"/>
      <c r="M2" s="111"/>
    </row>
    <row r="3" spans="2:19" ht="20.25" customHeight="1" x14ac:dyDescent="0.2">
      <c r="B3" s="112"/>
      <c r="C3" s="219" t="s">
        <v>63</v>
      </c>
      <c r="D3" s="219"/>
      <c r="E3" s="219"/>
      <c r="F3" s="219"/>
      <c r="G3" s="219"/>
      <c r="H3" s="219"/>
      <c r="I3" s="219"/>
      <c r="J3" s="219"/>
      <c r="K3" s="219"/>
      <c r="L3" s="219"/>
      <c r="M3" s="220"/>
    </row>
    <row r="4" spans="2:19" ht="15.75" x14ac:dyDescent="0.25">
      <c r="B4" s="112"/>
      <c r="C4" s="85" t="s">
        <v>271</v>
      </c>
      <c r="D4" s="33"/>
      <c r="E4" s="33"/>
      <c r="F4" s="5"/>
      <c r="G4" s="5"/>
      <c r="H4" s="5"/>
      <c r="I4" s="5"/>
      <c r="J4" s="5"/>
      <c r="K4" s="5"/>
      <c r="L4" s="5"/>
      <c r="M4" s="24"/>
    </row>
    <row r="5" spans="2:19" ht="20.25" customHeight="1" x14ac:dyDescent="0.25">
      <c r="B5" s="112"/>
      <c r="C5" s="86" t="s">
        <v>272</v>
      </c>
      <c r="D5" s="113" t="s">
        <v>292</v>
      </c>
      <c r="E5" s="23"/>
      <c r="F5" s="5"/>
      <c r="G5" s="5"/>
      <c r="H5" s="5"/>
      <c r="I5" s="5"/>
      <c r="J5" s="5"/>
      <c r="K5" s="5"/>
      <c r="L5" s="5"/>
      <c r="M5" s="24"/>
    </row>
    <row r="6" spans="2:19" x14ac:dyDescent="0.2">
      <c r="B6" s="112"/>
      <c r="C6" s="5"/>
      <c r="D6" s="5"/>
      <c r="E6" s="5"/>
      <c r="F6" s="5"/>
      <c r="G6" s="5"/>
      <c r="H6" s="5"/>
      <c r="I6" s="5"/>
      <c r="J6" s="5"/>
      <c r="K6" s="5"/>
      <c r="L6" s="5"/>
      <c r="M6" s="24"/>
    </row>
    <row r="7" spans="2:19" ht="15.75" x14ac:dyDescent="0.2">
      <c r="B7" s="112"/>
      <c r="C7" s="114" t="s">
        <v>48</v>
      </c>
      <c r="D7" s="114" t="s">
        <v>50</v>
      </c>
      <c r="E7" s="5"/>
      <c r="F7" s="221" t="s">
        <v>56</v>
      </c>
      <c r="G7" s="221"/>
      <c r="H7" s="221"/>
      <c r="I7" s="221"/>
      <c r="J7" s="221"/>
      <c r="K7" s="221"/>
      <c r="L7" s="221"/>
      <c r="M7" s="222"/>
    </row>
    <row r="8" spans="2:19" x14ac:dyDescent="0.2">
      <c r="B8" s="112"/>
      <c r="C8" s="42" t="s">
        <v>140</v>
      </c>
      <c r="D8" s="44">
        <v>0.41463699999999998</v>
      </c>
      <c r="E8" s="5"/>
      <c r="F8" s="5"/>
      <c r="G8" s="35"/>
      <c r="H8" s="5"/>
      <c r="I8" s="5" t="s">
        <v>58</v>
      </c>
      <c r="J8" s="57">
        <f>D11</f>
        <v>0.70644999999999991</v>
      </c>
      <c r="K8" s="5"/>
      <c r="L8" s="5"/>
      <c r="M8" s="24"/>
      <c r="S8" s="59"/>
    </row>
    <row r="9" spans="2:19" ht="15.75" customHeight="1" x14ac:dyDescent="0.2">
      <c r="B9" s="112"/>
      <c r="C9" s="4" t="s">
        <v>141</v>
      </c>
      <c r="D9" s="6">
        <v>0.24971399999999999</v>
      </c>
      <c r="E9" s="5"/>
      <c r="F9" s="5"/>
      <c r="G9" s="5"/>
      <c r="H9" s="5"/>
      <c r="I9" s="5" t="s">
        <v>60</v>
      </c>
      <c r="J9" s="57">
        <f>D15</f>
        <v>0.28189800000000004</v>
      </c>
      <c r="K9" s="5"/>
      <c r="L9" s="5"/>
      <c r="M9" s="24"/>
      <c r="S9" s="59"/>
    </row>
    <row r="10" spans="2:19" x14ac:dyDescent="0.2">
      <c r="B10" s="112"/>
      <c r="C10" s="42" t="s">
        <v>139</v>
      </c>
      <c r="D10" s="115">
        <v>4.2098999999999998E-2</v>
      </c>
      <c r="E10" s="5"/>
      <c r="F10" s="5"/>
      <c r="G10" s="5"/>
      <c r="H10" s="5"/>
      <c r="I10" s="5" t="s">
        <v>20</v>
      </c>
      <c r="J10" s="57">
        <f>D17</f>
        <v>1.1651999999999999E-2</v>
      </c>
      <c r="K10" s="5"/>
      <c r="L10" s="5"/>
      <c r="M10" s="24"/>
      <c r="S10" s="59"/>
    </row>
    <row r="11" spans="2:19" ht="15.75" x14ac:dyDescent="0.25">
      <c r="B11" s="112"/>
      <c r="C11" s="7" t="s">
        <v>59</v>
      </c>
      <c r="D11" s="8">
        <f>SUM(D8:D10)</f>
        <v>0.70644999999999991</v>
      </c>
      <c r="E11" s="5"/>
      <c r="F11" s="5"/>
      <c r="G11" s="5"/>
      <c r="H11" s="5"/>
      <c r="K11" s="5"/>
      <c r="L11" s="5"/>
      <c r="M11" s="24"/>
      <c r="S11" s="59"/>
    </row>
    <row r="12" spans="2:19" x14ac:dyDescent="0.2">
      <c r="B12" s="112"/>
      <c r="C12" s="42"/>
      <c r="D12" s="42"/>
      <c r="E12" s="5"/>
      <c r="F12" s="5"/>
      <c r="G12" s="5"/>
      <c r="H12" s="5"/>
      <c r="I12" s="5"/>
      <c r="J12" s="5"/>
      <c r="K12" s="5"/>
      <c r="L12" s="5"/>
      <c r="M12" s="24"/>
      <c r="S12" s="59"/>
    </row>
    <row r="13" spans="2:19" x14ac:dyDescent="0.2">
      <c r="B13" s="112"/>
      <c r="C13" s="4" t="s">
        <v>143</v>
      </c>
      <c r="D13" s="6">
        <v>0.25299700000000003</v>
      </c>
      <c r="E13" s="5"/>
      <c r="F13" s="5"/>
      <c r="G13" s="5"/>
      <c r="H13" s="5"/>
      <c r="I13" s="5"/>
      <c r="J13" s="5"/>
      <c r="K13" s="5"/>
      <c r="L13" s="5"/>
      <c r="M13" s="24"/>
      <c r="S13" s="59"/>
    </row>
    <row r="14" spans="2:19" x14ac:dyDescent="0.2">
      <c r="B14" s="112"/>
      <c r="C14" s="4" t="s">
        <v>142</v>
      </c>
      <c r="D14" s="6">
        <v>2.8901E-2</v>
      </c>
      <c r="E14" s="5"/>
      <c r="F14" s="5"/>
      <c r="G14" s="5"/>
      <c r="H14" s="5"/>
      <c r="I14" s="5"/>
      <c r="J14" s="5"/>
      <c r="K14" s="5"/>
      <c r="L14" s="5"/>
      <c r="M14" s="24"/>
      <c r="S14" s="59"/>
    </row>
    <row r="15" spans="2:19" ht="15.75" x14ac:dyDescent="0.25">
      <c r="B15" s="112"/>
      <c r="C15" s="7" t="s">
        <v>19</v>
      </c>
      <c r="D15" s="8">
        <f>SUM(D12:D14)</f>
        <v>0.28189800000000004</v>
      </c>
      <c r="E15" s="5"/>
      <c r="F15" s="5"/>
      <c r="G15" s="5"/>
      <c r="H15" s="5"/>
      <c r="I15" s="5"/>
      <c r="J15" s="5"/>
      <c r="K15" s="5"/>
      <c r="L15" s="5"/>
      <c r="M15" s="24"/>
      <c r="S15" s="59"/>
    </row>
    <row r="16" spans="2:19" x14ac:dyDescent="0.2">
      <c r="B16" s="112"/>
      <c r="C16" s="4"/>
      <c r="D16" s="6"/>
      <c r="E16" s="5"/>
      <c r="F16" s="5"/>
      <c r="G16" s="5"/>
      <c r="H16" s="5"/>
      <c r="I16" s="5"/>
      <c r="J16" s="5"/>
      <c r="K16" s="5"/>
      <c r="L16" s="5"/>
      <c r="M16" s="24"/>
      <c r="S16" s="59"/>
    </row>
    <row r="17" spans="2:19" ht="15.75" x14ac:dyDescent="0.25">
      <c r="B17" s="112"/>
      <c r="C17" s="7" t="s">
        <v>20</v>
      </c>
      <c r="D17" s="8">
        <v>1.1651999999999999E-2</v>
      </c>
      <c r="E17" s="5"/>
      <c r="F17" s="5"/>
      <c r="G17" s="5"/>
      <c r="H17" s="5"/>
      <c r="I17" s="5"/>
      <c r="J17" s="5"/>
      <c r="K17" s="5"/>
      <c r="L17" s="5"/>
      <c r="M17" s="24"/>
      <c r="S17" s="59"/>
    </row>
    <row r="18" spans="2:19" x14ac:dyDescent="0.2">
      <c r="B18" s="112"/>
      <c r="C18" s="4"/>
      <c r="D18" s="6"/>
      <c r="E18" s="5"/>
      <c r="F18" s="5"/>
      <c r="G18" s="5"/>
      <c r="H18" s="5"/>
      <c r="I18" s="5"/>
      <c r="J18" s="5"/>
      <c r="K18" s="5"/>
      <c r="L18" s="5"/>
      <c r="M18" s="24"/>
      <c r="S18" s="59"/>
    </row>
    <row r="19" spans="2:19" ht="15.75" x14ac:dyDescent="0.25">
      <c r="B19" s="112"/>
      <c r="C19" s="9" t="s">
        <v>61</v>
      </c>
      <c r="D19" s="10">
        <f>D17+D15+D11</f>
        <v>1</v>
      </c>
      <c r="E19" s="5"/>
      <c r="F19" s="5"/>
      <c r="G19" s="5"/>
      <c r="H19" s="5"/>
      <c r="I19" s="5"/>
      <c r="J19" s="5"/>
      <c r="K19" s="5"/>
      <c r="L19" s="5"/>
      <c r="M19" s="24"/>
      <c r="S19" s="59"/>
    </row>
    <row r="20" spans="2:19" x14ac:dyDescent="0.2">
      <c r="B20" s="112"/>
      <c r="E20" s="5"/>
      <c r="F20" s="5"/>
      <c r="G20" s="5"/>
      <c r="H20" s="5"/>
      <c r="I20" s="5"/>
      <c r="J20" s="5"/>
      <c r="K20" s="5"/>
      <c r="L20" s="5"/>
      <c r="M20" s="24"/>
      <c r="S20" s="59"/>
    </row>
    <row r="21" spans="2:19" x14ac:dyDescent="0.2">
      <c r="B21" s="112"/>
      <c r="E21" s="5"/>
      <c r="F21" s="5"/>
      <c r="G21" s="5"/>
      <c r="H21" s="5"/>
      <c r="I21" s="5"/>
      <c r="J21" s="5"/>
      <c r="K21" s="5"/>
      <c r="L21" s="5"/>
      <c r="M21" s="24"/>
      <c r="S21" s="59"/>
    </row>
    <row r="22" spans="2:19" ht="16.5" thickBot="1" x14ac:dyDescent="0.3">
      <c r="B22" s="116"/>
      <c r="C22" s="223"/>
      <c r="D22" s="223"/>
      <c r="E22" s="223"/>
      <c r="F22" s="223"/>
      <c r="G22" s="223"/>
      <c r="H22" s="223"/>
      <c r="I22" s="223"/>
      <c r="J22" s="223"/>
      <c r="K22" s="223"/>
      <c r="L22" s="223"/>
      <c r="M22" s="224"/>
      <c r="S22" s="59"/>
    </row>
    <row r="23" spans="2:19" ht="15.75" thickBot="1" x14ac:dyDescent="0.25">
      <c r="S23" s="59"/>
    </row>
    <row r="24" spans="2:19" x14ac:dyDescent="0.2">
      <c r="B24" s="225" t="s">
        <v>117</v>
      </c>
      <c r="C24" s="226"/>
      <c r="D24" s="226"/>
      <c r="E24" s="226"/>
      <c r="F24" s="226"/>
      <c r="G24" s="226"/>
      <c r="H24" s="226"/>
      <c r="I24" s="226"/>
      <c r="J24" s="226"/>
      <c r="K24" s="226"/>
      <c r="L24" s="226"/>
      <c r="M24" s="226"/>
      <c r="N24" s="227"/>
      <c r="S24" s="59"/>
    </row>
    <row r="25" spans="2:19" x14ac:dyDescent="0.2">
      <c r="B25" s="228"/>
      <c r="C25" s="229"/>
      <c r="D25" s="229"/>
      <c r="E25" s="229"/>
      <c r="F25" s="229"/>
      <c r="G25" s="229"/>
      <c r="H25" s="229"/>
      <c r="I25" s="229"/>
      <c r="J25" s="229"/>
      <c r="K25" s="229"/>
      <c r="L25" s="229"/>
      <c r="M25" s="229"/>
      <c r="N25" s="230"/>
      <c r="S25" s="59"/>
    </row>
    <row r="26" spans="2:19" x14ac:dyDescent="0.2">
      <c r="B26" s="228"/>
      <c r="C26" s="229"/>
      <c r="D26" s="229"/>
      <c r="E26" s="229"/>
      <c r="F26" s="229"/>
      <c r="G26" s="229"/>
      <c r="H26" s="229"/>
      <c r="I26" s="229"/>
      <c r="J26" s="229"/>
      <c r="K26" s="229"/>
      <c r="L26" s="229"/>
      <c r="M26" s="229"/>
      <c r="N26" s="230"/>
      <c r="S26" s="59"/>
    </row>
    <row r="27" spans="2:19" x14ac:dyDescent="0.2">
      <c r="B27" s="228"/>
      <c r="C27" s="229"/>
      <c r="D27" s="229"/>
      <c r="E27" s="229"/>
      <c r="F27" s="229"/>
      <c r="G27" s="229"/>
      <c r="H27" s="229"/>
      <c r="I27" s="229"/>
      <c r="J27" s="229"/>
      <c r="K27" s="229"/>
      <c r="L27" s="229"/>
      <c r="M27" s="229"/>
      <c r="N27" s="230"/>
      <c r="S27" s="59"/>
    </row>
    <row r="28" spans="2:19" x14ac:dyDescent="0.2">
      <c r="B28" s="228"/>
      <c r="C28" s="229"/>
      <c r="D28" s="229"/>
      <c r="E28" s="229"/>
      <c r="F28" s="229"/>
      <c r="G28" s="229"/>
      <c r="H28" s="229"/>
      <c r="I28" s="229"/>
      <c r="J28" s="229"/>
      <c r="K28" s="229"/>
      <c r="L28" s="229"/>
      <c r="M28" s="229"/>
      <c r="N28" s="230"/>
      <c r="S28" s="59"/>
    </row>
    <row r="29" spans="2:19" x14ac:dyDescent="0.2">
      <c r="B29" s="228"/>
      <c r="C29" s="229"/>
      <c r="D29" s="229"/>
      <c r="E29" s="229"/>
      <c r="F29" s="229"/>
      <c r="G29" s="229"/>
      <c r="H29" s="229"/>
      <c r="I29" s="229"/>
      <c r="J29" s="229"/>
      <c r="K29" s="229"/>
      <c r="L29" s="229"/>
      <c r="M29" s="229"/>
      <c r="N29" s="230"/>
      <c r="S29" s="59"/>
    </row>
    <row r="30" spans="2:19" ht="15.75" thickBot="1" x14ac:dyDescent="0.25">
      <c r="B30" s="231"/>
      <c r="C30" s="232"/>
      <c r="D30" s="232"/>
      <c r="E30" s="232"/>
      <c r="F30" s="232"/>
      <c r="G30" s="232"/>
      <c r="H30" s="232"/>
      <c r="I30" s="232"/>
      <c r="J30" s="232"/>
      <c r="K30" s="232"/>
      <c r="L30" s="232"/>
      <c r="M30" s="232"/>
      <c r="N30" s="233"/>
      <c r="S30" s="59"/>
    </row>
    <row r="31" spans="2:19" x14ac:dyDescent="0.2">
      <c r="S31" s="59"/>
    </row>
    <row r="32" spans="2:19" x14ac:dyDescent="0.2">
      <c r="C32" s="213" t="s">
        <v>140</v>
      </c>
      <c r="D32" s="214">
        <v>0.41463699999999998</v>
      </c>
      <c r="S32" s="59"/>
    </row>
    <row r="33" spans="3:19" x14ac:dyDescent="0.2">
      <c r="C33" s="213" t="s">
        <v>141</v>
      </c>
      <c r="D33" s="214">
        <v>0.24971399999999999</v>
      </c>
      <c r="S33" s="59"/>
    </row>
    <row r="34" spans="3:19" x14ac:dyDescent="0.2">
      <c r="C34" s="213" t="s">
        <v>139</v>
      </c>
      <c r="D34" s="214">
        <v>4.2098999999999998E-2</v>
      </c>
      <c r="S34" s="59"/>
    </row>
    <row r="35" spans="3:19" x14ac:dyDescent="0.2">
      <c r="S35" s="59"/>
    </row>
    <row r="36" spans="3:19" x14ac:dyDescent="0.2">
      <c r="S36" s="59"/>
    </row>
    <row r="37" spans="3:19" x14ac:dyDescent="0.2">
      <c r="S37" s="59"/>
    </row>
    <row r="38" spans="3:19" x14ac:dyDescent="0.2">
      <c r="S38" s="59"/>
    </row>
    <row r="39" spans="3:19" x14ac:dyDescent="0.2">
      <c r="S39" s="59"/>
    </row>
    <row r="40" spans="3:19" x14ac:dyDescent="0.2">
      <c r="S40" s="59"/>
    </row>
    <row r="41" spans="3:19" x14ac:dyDescent="0.2">
      <c r="S41" s="59"/>
    </row>
    <row r="42" spans="3:19" x14ac:dyDescent="0.2">
      <c r="S42" s="59"/>
    </row>
    <row r="43" spans="3:19" x14ac:dyDescent="0.2">
      <c r="S43" s="59"/>
    </row>
    <row r="44" spans="3:19" x14ac:dyDescent="0.2">
      <c r="S44" s="59"/>
    </row>
    <row r="45" spans="3:19" x14ac:dyDescent="0.2">
      <c r="S45" s="59"/>
    </row>
    <row r="46" spans="3:19" x14ac:dyDescent="0.2">
      <c r="S46" s="59"/>
    </row>
    <row r="47" spans="3:19" x14ac:dyDescent="0.2">
      <c r="S47" s="59"/>
    </row>
    <row r="48" spans="3:19" x14ac:dyDescent="0.2">
      <c r="S48" s="59"/>
    </row>
    <row r="49" spans="19:19" x14ac:dyDescent="0.2">
      <c r="S49" s="59"/>
    </row>
    <row r="50" spans="19:19" x14ac:dyDescent="0.2">
      <c r="S50" s="59"/>
    </row>
    <row r="51" spans="19:19" x14ac:dyDescent="0.2">
      <c r="S51" s="59"/>
    </row>
    <row r="52" spans="19:19" x14ac:dyDescent="0.2">
      <c r="S52" s="59"/>
    </row>
    <row r="53" spans="19:19" x14ac:dyDescent="0.2">
      <c r="S53" s="59"/>
    </row>
    <row r="54" spans="19:19" x14ac:dyDescent="0.2">
      <c r="S54" s="59"/>
    </row>
    <row r="55" spans="19:19" x14ac:dyDescent="0.2">
      <c r="S55" s="59"/>
    </row>
    <row r="56" spans="19:19" x14ac:dyDescent="0.2">
      <c r="S56" s="59"/>
    </row>
    <row r="57" spans="19:19" x14ac:dyDescent="0.2">
      <c r="S57" s="59"/>
    </row>
    <row r="58" spans="19:19" x14ac:dyDescent="0.2">
      <c r="S58" s="59"/>
    </row>
    <row r="59" spans="19:19" x14ac:dyDescent="0.2">
      <c r="S59" s="59"/>
    </row>
    <row r="60" spans="19:19" x14ac:dyDescent="0.2">
      <c r="S60" s="59"/>
    </row>
    <row r="61" spans="19:19" x14ac:dyDescent="0.2">
      <c r="S61" s="59"/>
    </row>
    <row r="62" spans="19:19" x14ac:dyDescent="0.2">
      <c r="S62" s="59"/>
    </row>
    <row r="63" spans="19:19" x14ac:dyDescent="0.2">
      <c r="S63" s="59"/>
    </row>
    <row r="64" spans="19:19" x14ac:dyDescent="0.2">
      <c r="S64" s="59"/>
    </row>
    <row r="65" spans="19:19" x14ac:dyDescent="0.2">
      <c r="S65" s="59"/>
    </row>
    <row r="66" spans="19:19" x14ac:dyDescent="0.2">
      <c r="S66" s="59"/>
    </row>
    <row r="67" spans="19:19" x14ac:dyDescent="0.2">
      <c r="S67" s="59"/>
    </row>
    <row r="68" spans="19:19" x14ac:dyDescent="0.2">
      <c r="S68" s="59"/>
    </row>
    <row r="69" spans="19:19" x14ac:dyDescent="0.2">
      <c r="S69" s="59"/>
    </row>
    <row r="70" spans="19:19" x14ac:dyDescent="0.2">
      <c r="S70" s="59"/>
    </row>
    <row r="71" spans="19:19" x14ac:dyDescent="0.2">
      <c r="S71" s="59"/>
    </row>
    <row r="72" spans="19:19" x14ac:dyDescent="0.2">
      <c r="S72" s="59"/>
    </row>
    <row r="73" spans="19:19" x14ac:dyDescent="0.2">
      <c r="S73" s="59"/>
    </row>
    <row r="74" spans="19:19" x14ac:dyDescent="0.2">
      <c r="S74" s="59"/>
    </row>
    <row r="75" spans="19:19" x14ac:dyDescent="0.2">
      <c r="S75" s="59"/>
    </row>
    <row r="76" spans="19:19" x14ac:dyDescent="0.2">
      <c r="S76" s="59"/>
    </row>
    <row r="77" spans="19:19" x14ac:dyDescent="0.2">
      <c r="S77" s="59"/>
    </row>
    <row r="78" spans="19:19" x14ac:dyDescent="0.2">
      <c r="S78" s="59"/>
    </row>
    <row r="79" spans="19:19" x14ac:dyDescent="0.2">
      <c r="S79" s="59"/>
    </row>
    <row r="80" spans="19:19" x14ac:dyDescent="0.2">
      <c r="S80" s="59"/>
    </row>
    <row r="81" spans="19:19" x14ac:dyDescent="0.2">
      <c r="S81" s="59"/>
    </row>
    <row r="82" spans="19:19" x14ac:dyDescent="0.2">
      <c r="S82" s="59"/>
    </row>
    <row r="83" spans="19:19" x14ac:dyDescent="0.2">
      <c r="S83" s="59"/>
    </row>
    <row r="84" spans="19:19" x14ac:dyDescent="0.2">
      <c r="S84" s="59"/>
    </row>
    <row r="85" spans="19:19" x14ac:dyDescent="0.2">
      <c r="S85" s="59"/>
    </row>
    <row r="86" spans="19:19" x14ac:dyDescent="0.2">
      <c r="S86" s="59"/>
    </row>
    <row r="87" spans="19:19" x14ac:dyDescent="0.2">
      <c r="S87" s="59"/>
    </row>
    <row r="88" spans="19:19" x14ac:dyDescent="0.2">
      <c r="S88" s="59"/>
    </row>
    <row r="89" spans="19:19" x14ac:dyDescent="0.2">
      <c r="S89" s="59"/>
    </row>
    <row r="90" spans="19:19" x14ac:dyDescent="0.2">
      <c r="S90" s="59"/>
    </row>
    <row r="91" spans="19:19" x14ac:dyDescent="0.2">
      <c r="S91" s="59"/>
    </row>
    <row r="92" spans="19:19" x14ac:dyDescent="0.2">
      <c r="S92" s="59"/>
    </row>
    <row r="93" spans="19:19" x14ac:dyDescent="0.2">
      <c r="S93" s="59"/>
    </row>
    <row r="94" spans="19:19" x14ac:dyDescent="0.2">
      <c r="S94" s="59"/>
    </row>
    <row r="95" spans="19:19" x14ac:dyDescent="0.2">
      <c r="S95" s="59"/>
    </row>
    <row r="96" spans="19:19" x14ac:dyDescent="0.2">
      <c r="S96" s="59"/>
    </row>
    <row r="97" spans="19:19" x14ac:dyDescent="0.2">
      <c r="S97" s="59"/>
    </row>
    <row r="98" spans="19:19" x14ac:dyDescent="0.2">
      <c r="S98" s="59"/>
    </row>
    <row r="99" spans="19:19" x14ac:dyDescent="0.2">
      <c r="S99" s="59"/>
    </row>
    <row r="100" spans="19:19" x14ac:dyDescent="0.2">
      <c r="S100" s="59"/>
    </row>
    <row r="101" spans="19:19" x14ac:dyDescent="0.2">
      <c r="S101" s="59"/>
    </row>
    <row r="102" spans="19:19" x14ac:dyDescent="0.2">
      <c r="S102" s="59"/>
    </row>
    <row r="103" spans="19:19" x14ac:dyDescent="0.2">
      <c r="S103" s="59"/>
    </row>
    <row r="104" spans="19:19" x14ac:dyDescent="0.2">
      <c r="S104" s="59"/>
    </row>
    <row r="105" spans="19:19" x14ac:dyDescent="0.2">
      <c r="S105" s="59"/>
    </row>
    <row r="106" spans="19:19" x14ac:dyDescent="0.2">
      <c r="S106" s="59"/>
    </row>
    <row r="107" spans="19:19" x14ac:dyDescent="0.2">
      <c r="S107" s="59"/>
    </row>
    <row r="108" spans="19:19" x14ac:dyDescent="0.2">
      <c r="S108" s="59"/>
    </row>
    <row r="109" spans="19:19" x14ac:dyDescent="0.2">
      <c r="S109" s="59"/>
    </row>
    <row r="110" spans="19:19" x14ac:dyDescent="0.2">
      <c r="S110" s="59"/>
    </row>
    <row r="111" spans="19:19" x14ac:dyDescent="0.2">
      <c r="S111" s="59"/>
    </row>
    <row r="112" spans="19:19" x14ac:dyDescent="0.2">
      <c r="S112" s="59"/>
    </row>
    <row r="113" spans="19:19" x14ac:dyDescent="0.2">
      <c r="S113" s="59"/>
    </row>
    <row r="114" spans="19:19" x14ac:dyDescent="0.2">
      <c r="S114" s="59"/>
    </row>
    <row r="115" spans="19:19" x14ac:dyDescent="0.2">
      <c r="S115" s="59"/>
    </row>
    <row r="116" spans="19:19" x14ac:dyDescent="0.2">
      <c r="S116" s="59"/>
    </row>
    <row r="117" spans="19:19" x14ac:dyDescent="0.2">
      <c r="S117" s="59"/>
    </row>
    <row r="118" spans="19:19" x14ac:dyDescent="0.2">
      <c r="S118" s="59"/>
    </row>
    <row r="119" spans="19:19" x14ac:dyDescent="0.2">
      <c r="S119" s="59"/>
    </row>
    <row r="120" spans="19:19" x14ac:dyDescent="0.2">
      <c r="S120" s="59"/>
    </row>
    <row r="121" spans="19:19" x14ac:dyDescent="0.2">
      <c r="S121" s="59"/>
    </row>
    <row r="122" spans="19:19" x14ac:dyDescent="0.2">
      <c r="S122" s="59"/>
    </row>
    <row r="123" spans="19:19" x14ac:dyDescent="0.2">
      <c r="S123" s="59"/>
    </row>
    <row r="124" spans="19:19" x14ac:dyDescent="0.2">
      <c r="S124" s="59"/>
    </row>
    <row r="125" spans="19:19" x14ac:dyDescent="0.2">
      <c r="S125" s="59"/>
    </row>
    <row r="126" spans="19:19" x14ac:dyDescent="0.2">
      <c r="S126" s="59"/>
    </row>
    <row r="127" spans="19:19" x14ac:dyDescent="0.2">
      <c r="S127" s="59"/>
    </row>
    <row r="128" spans="19:19" x14ac:dyDescent="0.2">
      <c r="S128" s="59"/>
    </row>
    <row r="129" spans="19:19" x14ac:dyDescent="0.2">
      <c r="S129" s="59"/>
    </row>
    <row r="130" spans="19:19" x14ac:dyDescent="0.2">
      <c r="S130" s="59"/>
    </row>
    <row r="131" spans="19:19" x14ac:dyDescent="0.2">
      <c r="S131" s="59"/>
    </row>
    <row r="132" spans="19:19" x14ac:dyDescent="0.2">
      <c r="S132" s="59"/>
    </row>
    <row r="133" spans="19:19" x14ac:dyDescent="0.2">
      <c r="S133" s="59"/>
    </row>
    <row r="134" spans="19:19" x14ac:dyDescent="0.2">
      <c r="S134" s="59"/>
    </row>
    <row r="135" spans="19:19" x14ac:dyDescent="0.2">
      <c r="S135" s="59"/>
    </row>
    <row r="136" spans="19:19" x14ac:dyDescent="0.2">
      <c r="S136" s="59"/>
    </row>
    <row r="137" spans="19:19" x14ac:dyDescent="0.2">
      <c r="S137" s="59"/>
    </row>
    <row r="138" spans="19:19" x14ac:dyDescent="0.2">
      <c r="S138" s="59"/>
    </row>
    <row r="139" spans="19:19" x14ac:dyDescent="0.2">
      <c r="S139" s="59"/>
    </row>
    <row r="140" spans="19:19" x14ac:dyDescent="0.2">
      <c r="S140" s="59"/>
    </row>
    <row r="141" spans="19:19" x14ac:dyDescent="0.2">
      <c r="S141" s="59"/>
    </row>
    <row r="142" spans="19:19" x14ac:dyDescent="0.2">
      <c r="S142" s="59"/>
    </row>
    <row r="143" spans="19:19" x14ac:dyDescent="0.2">
      <c r="S143" s="59"/>
    </row>
    <row r="144" spans="19:19" x14ac:dyDescent="0.2">
      <c r="S144" s="59"/>
    </row>
    <row r="145" spans="19:19" x14ac:dyDescent="0.2">
      <c r="S145" s="59"/>
    </row>
    <row r="146" spans="19:19" x14ac:dyDescent="0.2">
      <c r="S146" s="59"/>
    </row>
    <row r="147" spans="19:19" x14ac:dyDescent="0.2">
      <c r="S147" s="59"/>
    </row>
    <row r="148" spans="19:19" x14ac:dyDescent="0.2">
      <c r="S148" s="59"/>
    </row>
    <row r="149" spans="19:19" x14ac:dyDescent="0.2">
      <c r="S149" s="59"/>
    </row>
    <row r="150" spans="19:19" x14ac:dyDescent="0.2">
      <c r="S150" s="59"/>
    </row>
    <row r="151" spans="19:19" x14ac:dyDescent="0.2">
      <c r="S151" s="59"/>
    </row>
    <row r="152" spans="19:19" x14ac:dyDescent="0.2">
      <c r="S152" s="59"/>
    </row>
    <row r="153" spans="19:19" x14ac:dyDescent="0.2">
      <c r="S153" s="59"/>
    </row>
    <row r="154" spans="19:19" x14ac:dyDescent="0.2">
      <c r="S154" s="59"/>
    </row>
    <row r="155" spans="19:19" x14ac:dyDescent="0.2">
      <c r="S155" s="59"/>
    </row>
    <row r="156" spans="19:19" x14ac:dyDescent="0.2">
      <c r="S156" s="59"/>
    </row>
    <row r="157" spans="19:19" x14ac:dyDescent="0.2">
      <c r="S157" s="59"/>
    </row>
    <row r="158" spans="19:19" x14ac:dyDescent="0.2">
      <c r="S158" s="59"/>
    </row>
    <row r="159" spans="19:19" x14ac:dyDescent="0.2">
      <c r="S159" s="59"/>
    </row>
    <row r="160" spans="19:19" x14ac:dyDescent="0.2">
      <c r="S160" s="59"/>
    </row>
    <row r="161" spans="19:19" x14ac:dyDescent="0.2">
      <c r="S161" s="59"/>
    </row>
    <row r="162" spans="19:19" x14ac:dyDescent="0.2">
      <c r="S162" s="59"/>
    </row>
    <row r="163" spans="19:19" x14ac:dyDescent="0.2">
      <c r="S163" s="59"/>
    </row>
    <row r="164" spans="19:19" x14ac:dyDescent="0.2">
      <c r="S164" s="59"/>
    </row>
    <row r="165" spans="19:19" x14ac:dyDescent="0.2">
      <c r="S165" s="59"/>
    </row>
    <row r="166" spans="19:19" x14ac:dyDescent="0.2">
      <c r="S166" s="59"/>
    </row>
    <row r="167" spans="19:19" x14ac:dyDescent="0.2">
      <c r="S167" s="59"/>
    </row>
    <row r="168" spans="19:19" x14ac:dyDescent="0.2">
      <c r="S168" s="59"/>
    </row>
    <row r="169" spans="19:19" x14ac:dyDescent="0.2">
      <c r="S169" s="59"/>
    </row>
    <row r="170" spans="19:19" x14ac:dyDescent="0.2">
      <c r="S170" s="59"/>
    </row>
    <row r="171" spans="19:19" x14ac:dyDescent="0.2">
      <c r="S171" s="59"/>
    </row>
    <row r="172" spans="19:19" x14ac:dyDescent="0.2">
      <c r="S172" s="59"/>
    </row>
    <row r="173" spans="19:19" x14ac:dyDescent="0.2">
      <c r="S173" s="59"/>
    </row>
    <row r="174" spans="19:19" x14ac:dyDescent="0.2">
      <c r="S174" s="59"/>
    </row>
    <row r="175" spans="19:19" x14ac:dyDescent="0.2">
      <c r="S175" s="59"/>
    </row>
    <row r="176" spans="19:19" x14ac:dyDescent="0.2">
      <c r="S176" s="59"/>
    </row>
    <row r="177" spans="19:19" x14ac:dyDescent="0.2">
      <c r="S177" s="59"/>
    </row>
    <row r="178" spans="19:19" x14ac:dyDescent="0.2">
      <c r="S178" s="59"/>
    </row>
    <row r="179" spans="19:19" x14ac:dyDescent="0.2">
      <c r="S179" s="59"/>
    </row>
    <row r="180" spans="19:19" x14ac:dyDescent="0.2">
      <c r="S180" s="59"/>
    </row>
    <row r="181" spans="19:19" x14ac:dyDescent="0.2">
      <c r="S181" s="59"/>
    </row>
    <row r="182" spans="19:19" x14ac:dyDescent="0.2">
      <c r="S182" s="59"/>
    </row>
    <row r="183" spans="19:19" x14ac:dyDescent="0.2">
      <c r="S183" s="59"/>
    </row>
    <row r="184" spans="19:19" x14ac:dyDescent="0.2">
      <c r="S184" s="59"/>
    </row>
    <row r="185" spans="19:19" x14ac:dyDescent="0.2">
      <c r="S185" s="59"/>
    </row>
    <row r="186" spans="19:19" x14ac:dyDescent="0.2">
      <c r="S186" s="59"/>
    </row>
    <row r="187" spans="19:19" x14ac:dyDescent="0.2">
      <c r="S187" s="59"/>
    </row>
    <row r="188" spans="19:19" x14ac:dyDescent="0.2">
      <c r="S188" s="59"/>
    </row>
    <row r="189" spans="19:19" x14ac:dyDescent="0.2">
      <c r="S189" s="59"/>
    </row>
    <row r="190" spans="19:19" x14ac:dyDescent="0.2">
      <c r="S190" s="59"/>
    </row>
    <row r="191" spans="19:19" x14ac:dyDescent="0.2">
      <c r="S191" s="59"/>
    </row>
    <row r="192" spans="19:19" x14ac:dyDescent="0.2">
      <c r="S192" s="59"/>
    </row>
    <row r="193" spans="19:19" x14ac:dyDescent="0.2">
      <c r="S193" s="59"/>
    </row>
    <row r="194" spans="19:19" x14ac:dyDescent="0.2">
      <c r="S194" s="59"/>
    </row>
    <row r="195" spans="19:19" x14ac:dyDescent="0.2">
      <c r="S195" s="59"/>
    </row>
    <row r="196" spans="19:19" x14ac:dyDescent="0.2">
      <c r="S196" s="59"/>
    </row>
    <row r="197" spans="19:19" x14ac:dyDescent="0.2">
      <c r="S197" s="59"/>
    </row>
    <row r="198" spans="19:19" x14ac:dyDescent="0.2">
      <c r="S198" s="59"/>
    </row>
    <row r="199" spans="19:19" x14ac:dyDescent="0.2">
      <c r="S199" s="59"/>
    </row>
    <row r="200" spans="19:19" x14ac:dyDescent="0.2">
      <c r="S200" s="59"/>
    </row>
    <row r="201" spans="19:19" x14ac:dyDescent="0.2">
      <c r="S201" s="59"/>
    </row>
    <row r="202" spans="19:19" x14ac:dyDescent="0.2">
      <c r="S202" s="59"/>
    </row>
    <row r="203" spans="19:19" x14ac:dyDescent="0.2">
      <c r="S203" s="59"/>
    </row>
    <row r="204" spans="19:19" x14ac:dyDescent="0.2">
      <c r="S204" s="59"/>
    </row>
    <row r="205" spans="19:19" x14ac:dyDescent="0.2">
      <c r="S205" s="59"/>
    </row>
    <row r="206" spans="19:19" x14ac:dyDescent="0.2">
      <c r="S206" s="59"/>
    </row>
    <row r="207" spans="19:19" x14ac:dyDescent="0.2">
      <c r="S207" s="59"/>
    </row>
    <row r="208" spans="19:19" x14ac:dyDescent="0.2">
      <c r="S208" s="59"/>
    </row>
    <row r="209" spans="19:19" x14ac:dyDescent="0.2">
      <c r="S209" s="59"/>
    </row>
    <row r="210" spans="19:19" x14ac:dyDescent="0.2">
      <c r="S210" s="59"/>
    </row>
    <row r="211" spans="19:19" x14ac:dyDescent="0.2">
      <c r="S211" s="59"/>
    </row>
    <row r="212" spans="19:19" x14ac:dyDescent="0.2">
      <c r="S212" s="59"/>
    </row>
    <row r="213" spans="19:19" x14ac:dyDescent="0.2">
      <c r="S213" s="59"/>
    </row>
    <row r="214" spans="19:19" x14ac:dyDescent="0.2">
      <c r="S214" s="59"/>
    </row>
    <row r="215" spans="19:19" x14ac:dyDescent="0.2">
      <c r="S215" s="59"/>
    </row>
    <row r="216" spans="19:19" x14ac:dyDescent="0.2">
      <c r="S216" s="59"/>
    </row>
    <row r="217" spans="19:19" x14ac:dyDescent="0.2">
      <c r="S217" s="59"/>
    </row>
    <row r="218" spans="19:19" x14ac:dyDescent="0.2">
      <c r="S218" s="59"/>
    </row>
    <row r="219" spans="19:19" x14ac:dyDescent="0.2">
      <c r="S219" s="59"/>
    </row>
    <row r="220" spans="19:19" x14ac:dyDescent="0.2">
      <c r="S220" s="59"/>
    </row>
    <row r="221" spans="19:19" x14ac:dyDescent="0.2">
      <c r="S221" s="59"/>
    </row>
    <row r="222" spans="19:19" x14ac:dyDescent="0.2">
      <c r="S222" s="59"/>
    </row>
    <row r="223" spans="19:19" x14ac:dyDescent="0.2">
      <c r="S223" s="59"/>
    </row>
    <row r="224" spans="19:19" x14ac:dyDescent="0.2">
      <c r="S224" s="59"/>
    </row>
    <row r="225" spans="19:19" x14ac:dyDescent="0.2">
      <c r="S225" s="59"/>
    </row>
    <row r="226" spans="19:19" x14ac:dyDescent="0.2">
      <c r="S226" s="59"/>
    </row>
    <row r="227" spans="19:19" x14ac:dyDescent="0.2">
      <c r="S227" s="59"/>
    </row>
    <row r="228" spans="19:19" x14ac:dyDescent="0.2">
      <c r="S228" s="59"/>
    </row>
    <row r="229" spans="19:19" x14ac:dyDescent="0.2">
      <c r="S229" s="59"/>
    </row>
    <row r="230" spans="19:19" x14ac:dyDescent="0.2">
      <c r="S230" s="59"/>
    </row>
    <row r="231" spans="19:19" x14ac:dyDescent="0.2">
      <c r="S231" s="59"/>
    </row>
    <row r="232" spans="19:19" x14ac:dyDescent="0.2">
      <c r="S232" s="59"/>
    </row>
    <row r="233" spans="19:19" x14ac:dyDescent="0.2">
      <c r="S233" s="59"/>
    </row>
    <row r="234" spans="19:19" x14ac:dyDescent="0.2">
      <c r="S234" s="59"/>
    </row>
    <row r="235" spans="19:19" x14ac:dyDescent="0.2">
      <c r="S235" s="59"/>
    </row>
    <row r="236" spans="19:19" x14ac:dyDescent="0.2">
      <c r="S236" s="59"/>
    </row>
    <row r="237" spans="19:19" x14ac:dyDescent="0.2">
      <c r="S237" s="59"/>
    </row>
    <row r="238" spans="19:19" x14ac:dyDescent="0.2">
      <c r="S238" s="59"/>
    </row>
    <row r="239" spans="19:19" x14ac:dyDescent="0.2">
      <c r="S239" s="59"/>
    </row>
    <row r="240" spans="19:19" x14ac:dyDescent="0.2">
      <c r="S240" s="59"/>
    </row>
    <row r="241" spans="19:19" x14ac:dyDescent="0.2">
      <c r="S241" s="59"/>
    </row>
    <row r="242" spans="19:19" x14ac:dyDescent="0.2">
      <c r="S242" s="59"/>
    </row>
    <row r="243" spans="19:19" x14ac:dyDescent="0.2">
      <c r="S243" s="59"/>
    </row>
    <row r="244" spans="19:19" x14ac:dyDescent="0.2">
      <c r="S244" s="59"/>
    </row>
    <row r="245" spans="19:19" x14ac:dyDescent="0.2">
      <c r="S245" s="59"/>
    </row>
    <row r="246" spans="19:19" x14ac:dyDescent="0.2">
      <c r="S246" s="59"/>
    </row>
    <row r="247" spans="19:19" x14ac:dyDescent="0.2">
      <c r="S247" s="59"/>
    </row>
    <row r="248" spans="19:19" x14ac:dyDescent="0.2">
      <c r="S248" s="59"/>
    </row>
    <row r="249" spans="19:19" x14ac:dyDescent="0.2">
      <c r="S249" s="59"/>
    </row>
    <row r="250" spans="19:19" x14ac:dyDescent="0.2">
      <c r="S250" s="59"/>
    </row>
    <row r="251" spans="19:19" x14ac:dyDescent="0.2">
      <c r="S251" s="59"/>
    </row>
    <row r="252" spans="19:19" x14ac:dyDescent="0.2">
      <c r="S252" s="59"/>
    </row>
    <row r="253" spans="19:19" x14ac:dyDescent="0.2">
      <c r="S253" s="59"/>
    </row>
    <row r="254" spans="19:19" x14ac:dyDescent="0.2">
      <c r="S254" s="59"/>
    </row>
    <row r="255" spans="19:19" x14ac:dyDescent="0.2">
      <c r="S255" s="59"/>
    </row>
    <row r="256" spans="19:19" x14ac:dyDescent="0.2">
      <c r="S256" s="59"/>
    </row>
    <row r="257" spans="19:19" x14ac:dyDescent="0.2">
      <c r="S257" s="59"/>
    </row>
    <row r="258" spans="19:19" x14ac:dyDescent="0.2">
      <c r="S258" s="59"/>
    </row>
    <row r="259" spans="19:19" x14ac:dyDescent="0.2">
      <c r="S259" s="59"/>
    </row>
    <row r="260" spans="19:19" x14ac:dyDescent="0.2">
      <c r="S260" s="59"/>
    </row>
    <row r="261" spans="19:19" x14ac:dyDescent="0.2">
      <c r="S261" s="59"/>
    </row>
    <row r="262" spans="19:19" x14ac:dyDescent="0.2">
      <c r="S262" s="59"/>
    </row>
    <row r="263" spans="19:19" x14ac:dyDescent="0.2">
      <c r="S263" s="59"/>
    </row>
    <row r="264" spans="19:19" x14ac:dyDescent="0.2">
      <c r="S264" s="59"/>
    </row>
    <row r="265" spans="19:19" x14ac:dyDescent="0.2">
      <c r="S265" s="59"/>
    </row>
    <row r="266" spans="19:19" x14ac:dyDescent="0.2">
      <c r="S266" s="59"/>
    </row>
    <row r="267" spans="19:19" x14ac:dyDescent="0.2">
      <c r="S267" s="59"/>
    </row>
    <row r="268" spans="19:19" x14ac:dyDescent="0.2">
      <c r="S268" s="59"/>
    </row>
    <row r="269" spans="19:19" x14ac:dyDescent="0.2">
      <c r="S269" s="59"/>
    </row>
    <row r="270" spans="19:19" x14ac:dyDescent="0.2">
      <c r="S270" s="59"/>
    </row>
    <row r="271" spans="19:19" x14ac:dyDescent="0.2">
      <c r="S271" s="59"/>
    </row>
    <row r="272" spans="19:19" x14ac:dyDescent="0.2">
      <c r="S272" s="59"/>
    </row>
    <row r="273" spans="19:19" x14ac:dyDescent="0.2">
      <c r="S273" s="59"/>
    </row>
    <row r="274" spans="19:19" x14ac:dyDescent="0.2">
      <c r="S274" s="59"/>
    </row>
    <row r="275" spans="19:19" x14ac:dyDescent="0.2">
      <c r="S275" s="59"/>
    </row>
    <row r="276" spans="19:19" x14ac:dyDescent="0.2">
      <c r="S276" s="59"/>
    </row>
    <row r="277" spans="19:19" x14ac:dyDescent="0.2">
      <c r="S277" s="59"/>
    </row>
    <row r="278" spans="19:19" x14ac:dyDescent="0.2">
      <c r="S278" s="59"/>
    </row>
    <row r="279" spans="19:19" x14ac:dyDescent="0.2">
      <c r="S279" s="59"/>
    </row>
    <row r="280" spans="19:19" x14ac:dyDescent="0.2">
      <c r="S280" s="59"/>
    </row>
    <row r="281" spans="19:19" x14ac:dyDescent="0.2">
      <c r="S281" s="59"/>
    </row>
    <row r="282" spans="19:19" x14ac:dyDescent="0.2">
      <c r="S282" s="59"/>
    </row>
    <row r="283" spans="19:19" x14ac:dyDescent="0.2">
      <c r="S283" s="59"/>
    </row>
    <row r="284" spans="19:19" x14ac:dyDescent="0.2">
      <c r="S284" s="59"/>
    </row>
    <row r="285" spans="19:19" x14ac:dyDescent="0.2">
      <c r="S285" s="59"/>
    </row>
    <row r="286" spans="19:19" x14ac:dyDescent="0.2">
      <c r="S286" s="59"/>
    </row>
    <row r="287" spans="19:19" x14ac:dyDescent="0.2">
      <c r="S287" s="59"/>
    </row>
    <row r="288" spans="19:19" x14ac:dyDescent="0.2">
      <c r="S288" s="59"/>
    </row>
    <row r="289" spans="19:19" x14ac:dyDescent="0.2">
      <c r="S289" s="59"/>
    </row>
    <row r="290" spans="19:19" x14ac:dyDescent="0.2">
      <c r="S290" s="59"/>
    </row>
    <row r="291" spans="19:19" x14ac:dyDescent="0.2">
      <c r="S291" s="59"/>
    </row>
    <row r="292" spans="19:19" x14ac:dyDescent="0.2">
      <c r="S292" s="59"/>
    </row>
    <row r="293" spans="19:19" x14ac:dyDescent="0.2">
      <c r="S293" s="59"/>
    </row>
    <row r="294" spans="19:19" x14ac:dyDescent="0.2">
      <c r="S294" s="59"/>
    </row>
    <row r="295" spans="19:19" x14ac:dyDescent="0.2">
      <c r="S295" s="59"/>
    </row>
    <row r="296" spans="19:19" x14ac:dyDescent="0.2">
      <c r="S296" s="59"/>
    </row>
    <row r="297" spans="19:19" x14ac:dyDescent="0.2">
      <c r="S297" s="59"/>
    </row>
    <row r="298" spans="19:19" x14ac:dyDescent="0.2">
      <c r="S298" s="59"/>
    </row>
    <row r="299" spans="19:19" x14ac:dyDescent="0.2">
      <c r="S299" s="59"/>
    </row>
    <row r="300" spans="19:19" x14ac:dyDescent="0.2">
      <c r="S300" s="59"/>
    </row>
    <row r="301" spans="19:19" x14ac:dyDescent="0.2">
      <c r="S301" s="59"/>
    </row>
    <row r="302" spans="19:19" x14ac:dyDescent="0.2">
      <c r="S302" s="59"/>
    </row>
    <row r="303" spans="19:19" x14ac:dyDescent="0.2">
      <c r="S303" s="59"/>
    </row>
    <row r="304" spans="19:19" x14ac:dyDescent="0.2">
      <c r="S304" s="59"/>
    </row>
    <row r="305" spans="19:19" x14ac:dyDescent="0.2">
      <c r="S305" s="59"/>
    </row>
    <row r="306" spans="19:19" x14ac:dyDescent="0.2">
      <c r="S306" s="59"/>
    </row>
    <row r="307" spans="19:19" x14ac:dyDescent="0.2">
      <c r="S307" s="59"/>
    </row>
    <row r="308" spans="19:19" x14ac:dyDescent="0.2">
      <c r="S308" s="59"/>
    </row>
    <row r="309" spans="19:19" x14ac:dyDescent="0.2">
      <c r="S309" s="59"/>
    </row>
    <row r="310" spans="19:19" x14ac:dyDescent="0.2">
      <c r="S310" s="59"/>
    </row>
    <row r="311" spans="19:19" x14ac:dyDescent="0.2">
      <c r="S311" s="59"/>
    </row>
    <row r="312" spans="19:19" x14ac:dyDescent="0.2">
      <c r="S312" s="59"/>
    </row>
    <row r="313" spans="19:19" x14ac:dyDescent="0.2">
      <c r="S313" s="59"/>
    </row>
    <row r="314" spans="19:19" x14ac:dyDescent="0.2">
      <c r="S314" s="59"/>
    </row>
    <row r="315" spans="19:19" x14ac:dyDescent="0.2">
      <c r="S315" s="59"/>
    </row>
    <row r="316" spans="19:19" x14ac:dyDescent="0.2">
      <c r="S316" s="59"/>
    </row>
    <row r="317" spans="19:19" x14ac:dyDescent="0.2">
      <c r="S317" s="59"/>
    </row>
    <row r="318" spans="19:19" x14ac:dyDescent="0.2">
      <c r="S318" s="59"/>
    </row>
    <row r="319" spans="19:19" x14ac:dyDescent="0.2">
      <c r="S319" s="59"/>
    </row>
    <row r="320" spans="19:19" x14ac:dyDescent="0.2">
      <c r="S320" s="59"/>
    </row>
    <row r="321" spans="19:19" x14ac:dyDescent="0.2">
      <c r="S321" s="59"/>
    </row>
    <row r="322" spans="19:19" x14ac:dyDescent="0.2">
      <c r="S322" s="59"/>
    </row>
    <row r="323" spans="19:19" x14ac:dyDescent="0.2">
      <c r="S323" s="59"/>
    </row>
    <row r="324" spans="19:19" x14ac:dyDescent="0.2">
      <c r="S324" s="59"/>
    </row>
    <row r="325" spans="19:19" x14ac:dyDescent="0.2">
      <c r="S325" s="59"/>
    </row>
    <row r="326" spans="19:19" x14ac:dyDescent="0.2">
      <c r="S326" s="59"/>
    </row>
    <row r="327" spans="19:19" x14ac:dyDescent="0.2">
      <c r="S327" s="59"/>
    </row>
    <row r="328" spans="19:19" x14ac:dyDescent="0.2">
      <c r="S328" s="59"/>
    </row>
    <row r="329" spans="19:19" x14ac:dyDescent="0.2">
      <c r="S329" s="59"/>
    </row>
    <row r="330" spans="19:19" x14ac:dyDescent="0.2">
      <c r="S330" s="59"/>
    </row>
    <row r="331" spans="19:19" x14ac:dyDescent="0.2">
      <c r="S331" s="59"/>
    </row>
    <row r="332" spans="19:19" x14ac:dyDescent="0.2">
      <c r="S332" s="59"/>
    </row>
    <row r="333" spans="19:19" x14ac:dyDescent="0.2">
      <c r="S333" s="59"/>
    </row>
    <row r="334" spans="19:19" x14ac:dyDescent="0.2">
      <c r="S334" s="59"/>
    </row>
    <row r="335" spans="19:19" x14ac:dyDescent="0.2">
      <c r="S335" s="59"/>
    </row>
    <row r="336" spans="19:19" x14ac:dyDescent="0.2">
      <c r="S336" s="59"/>
    </row>
    <row r="337" spans="19:19" x14ac:dyDescent="0.2">
      <c r="S337" s="59"/>
    </row>
    <row r="338" spans="19:19" x14ac:dyDescent="0.2">
      <c r="S338" s="59"/>
    </row>
    <row r="339" spans="19:19" x14ac:dyDescent="0.2">
      <c r="S339" s="59"/>
    </row>
    <row r="340" spans="19:19" x14ac:dyDescent="0.2">
      <c r="S340" s="59"/>
    </row>
    <row r="341" spans="19:19" x14ac:dyDescent="0.2">
      <c r="S341" s="59"/>
    </row>
    <row r="342" spans="19:19" x14ac:dyDescent="0.2">
      <c r="S342" s="59"/>
    </row>
    <row r="343" spans="19:19" x14ac:dyDescent="0.2">
      <c r="S343" s="59"/>
    </row>
    <row r="344" spans="19:19" x14ac:dyDescent="0.2">
      <c r="S344" s="59"/>
    </row>
    <row r="345" spans="19:19" x14ac:dyDescent="0.2">
      <c r="S345" s="59"/>
    </row>
    <row r="346" spans="19:19" x14ac:dyDescent="0.2">
      <c r="S346" s="59"/>
    </row>
    <row r="347" spans="19:19" x14ac:dyDescent="0.2">
      <c r="S347" s="59"/>
    </row>
    <row r="348" spans="19:19" x14ac:dyDescent="0.2">
      <c r="S348" s="59"/>
    </row>
    <row r="349" spans="19:19" x14ac:dyDescent="0.2">
      <c r="S349" s="59"/>
    </row>
    <row r="350" spans="19:19" x14ac:dyDescent="0.2">
      <c r="S350" s="59"/>
    </row>
    <row r="351" spans="19:19" x14ac:dyDescent="0.2">
      <c r="S351" s="59"/>
    </row>
    <row r="352" spans="19:19" x14ac:dyDescent="0.2">
      <c r="S352" s="59"/>
    </row>
    <row r="353" spans="19:19" x14ac:dyDescent="0.2">
      <c r="S353" s="59"/>
    </row>
    <row r="354" spans="19:19" x14ac:dyDescent="0.2">
      <c r="S354" s="59"/>
    </row>
    <row r="355" spans="19:19" x14ac:dyDescent="0.2">
      <c r="S355" s="59"/>
    </row>
    <row r="356" spans="19:19" x14ac:dyDescent="0.2">
      <c r="S356" s="59"/>
    </row>
    <row r="357" spans="19:19" x14ac:dyDescent="0.2">
      <c r="S357" s="59"/>
    </row>
    <row r="358" spans="19:19" x14ac:dyDescent="0.2">
      <c r="S358" s="59"/>
    </row>
    <row r="359" spans="19:19" x14ac:dyDescent="0.2">
      <c r="S359" s="59"/>
    </row>
    <row r="360" spans="19:19" x14ac:dyDescent="0.2">
      <c r="S360" s="59"/>
    </row>
    <row r="361" spans="19:19" x14ac:dyDescent="0.2">
      <c r="S361" s="59"/>
    </row>
    <row r="362" spans="19:19" x14ac:dyDescent="0.2">
      <c r="S362" s="59"/>
    </row>
    <row r="363" spans="19:19" x14ac:dyDescent="0.2">
      <c r="S363" s="59"/>
    </row>
    <row r="364" spans="19:19" x14ac:dyDescent="0.2">
      <c r="S364" s="59"/>
    </row>
    <row r="365" spans="19:19" x14ac:dyDescent="0.2">
      <c r="S365" s="59"/>
    </row>
    <row r="366" spans="19:19" x14ac:dyDescent="0.2">
      <c r="S366" s="59"/>
    </row>
    <row r="367" spans="19:19" x14ac:dyDescent="0.2">
      <c r="S367" s="59"/>
    </row>
    <row r="368" spans="19:19" x14ac:dyDescent="0.2">
      <c r="S368" s="59"/>
    </row>
    <row r="369" spans="19:19" x14ac:dyDescent="0.2">
      <c r="S369" s="59"/>
    </row>
    <row r="370" spans="19:19" x14ac:dyDescent="0.2">
      <c r="S370" s="59"/>
    </row>
    <row r="371" spans="19:19" x14ac:dyDescent="0.2">
      <c r="S371" s="59"/>
    </row>
    <row r="372" spans="19:19" x14ac:dyDescent="0.2">
      <c r="S372" s="59"/>
    </row>
    <row r="373" spans="19:19" x14ac:dyDescent="0.2">
      <c r="S373" s="59"/>
    </row>
    <row r="374" spans="19:19" x14ac:dyDescent="0.2">
      <c r="S374" s="59"/>
    </row>
    <row r="375" spans="19:19" x14ac:dyDescent="0.2">
      <c r="S375" s="59"/>
    </row>
    <row r="376" spans="19:19" x14ac:dyDescent="0.2">
      <c r="S376" s="59"/>
    </row>
    <row r="377" spans="19:19" x14ac:dyDescent="0.2">
      <c r="S377" s="59"/>
    </row>
    <row r="378" spans="19:19" x14ac:dyDescent="0.2">
      <c r="S378" s="59"/>
    </row>
    <row r="379" spans="19:19" x14ac:dyDescent="0.2">
      <c r="S379" s="59"/>
    </row>
    <row r="380" spans="19:19" x14ac:dyDescent="0.2">
      <c r="S380" s="59"/>
    </row>
    <row r="381" spans="19:19" x14ac:dyDescent="0.2">
      <c r="S381" s="59"/>
    </row>
    <row r="382" spans="19:19" x14ac:dyDescent="0.2">
      <c r="S382" s="59"/>
    </row>
    <row r="383" spans="19:19" x14ac:dyDescent="0.2">
      <c r="S383" s="59"/>
    </row>
    <row r="384" spans="19:19" x14ac:dyDescent="0.2">
      <c r="S384" s="59"/>
    </row>
    <row r="385" spans="19:19" x14ac:dyDescent="0.2">
      <c r="S385" s="59"/>
    </row>
    <row r="386" spans="19:19" x14ac:dyDescent="0.2">
      <c r="S386" s="59"/>
    </row>
    <row r="387" spans="19:19" x14ac:dyDescent="0.2">
      <c r="S387" s="59"/>
    </row>
    <row r="388" spans="19:19" x14ac:dyDescent="0.2">
      <c r="S388" s="59"/>
    </row>
    <row r="389" spans="19:19" x14ac:dyDescent="0.2">
      <c r="S389" s="59"/>
    </row>
    <row r="390" spans="19:19" x14ac:dyDescent="0.2">
      <c r="S390" s="59"/>
    </row>
    <row r="391" spans="19:19" x14ac:dyDescent="0.2">
      <c r="S391" s="59"/>
    </row>
    <row r="392" spans="19:19" x14ac:dyDescent="0.2">
      <c r="S392" s="59"/>
    </row>
    <row r="393" spans="19:19" x14ac:dyDescent="0.2">
      <c r="S393" s="59"/>
    </row>
    <row r="394" spans="19:19" x14ac:dyDescent="0.2">
      <c r="S394" s="59"/>
    </row>
    <row r="395" spans="19:19" x14ac:dyDescent="0.2">
      <c r="S395" s="59"/>
    </row>
    <row r="396" spans="19:19" x14ac:dyDescent="0.2">
      <c r="S396" s="59"/>
    </row>
    <row r="397" spans="19:19" x14ac:dyDescent="0.2">
      <c r="S397" s="59"/>
    </row>
    <row r="398" spans="19:19" x14ac:dyDescent="0.2">
      <c r="S398" s="59"/>
    </row>
    <row r="399" spans="19:19" x14ac:dyDescent="0.2">
      <c r="S399" s="59"/>
    </row>
    <row r="400" spans="19:19" x14ac:dyDescent="0.2">
      <c r="S400" s="59"/>
    </row>
    <row r="401" spans="19:19" x14ac:dyDescent="0.2">
      <c r="S401" s="59"/>
    </row>
    <row r="402" spans="19:19" x14ac:dyDescent="0.2">
      <c r="S402" s="59"/>
    </row>
    <row r="403" spans="19:19" x14ac:dyDescent="0.2">
      <c r="S403" s="59"/>
    </row>
    <row r="404" spans="19:19" x14ac:dyDescent="0.2">
      <c r="S404" s="59"/>
    </row>
    <row r="405" spans="19:19" x14ac:dyDescent="0.2">
      <c r="S405" s="59"/>
    </row>
    <row r="406" spans="19:19" x14ac:dyDescent="0.2">
      <c r="S406" s="59"/>
    </row>
    <row r="407" spans="19:19" x14ac:dyDescent="0.2">
      <c r="S407" s="59"/>
    </row>
    <row r="408" spans="19:19" x14ac:dyDescent="0.2">
      <c r="S408" s="59"/>
    </row>
    <row r="409" spans="19:19" x14ac:dyDescent="0.2">
      <c r="S409" s="59"/>
    </row>
    <row r="410" spans="19:19" x14ac:dyDescent="0.2">
      <c r="S410" s="59"/>
    </row>
    <row r="411" spans="19:19" x14ac:dyDescent="0.2">
      <c r="S411" s="59"/>
    </row>
    <row r="412" spans="19:19" x14ac:dyDescent="0.2">
      <c r="S412" s="59"/>
    </row>
    <row r="413" spans="19:19" x14ac:dyDescent="0.2">
      <c r="S413" s="59"/>
    </row>
    <row r="414" spans="19:19" x14ac:dyDescent="0.2">
      <c r="S414" s="59"/>
    </row>
    <row r="415" spans="19:19" x14ac:dyDescent="0.2">
      <c r="S415" s="59"/>
    </row>
    <row r="416" spans="19:19" x14ac:dyDescent="0.2">
      <c r="S416" s="59"/>
    </row>
    <row r="417" spans="19:19" x14ac:dyDescent="0.2">
      <c r="S417" s="59"/>
    </row>
    <row r="418" spans="19:19" x14ac:dyDescent="0.2">
      <c r="S418" s="59"/>
    </row>
    <row r="419" spans="19:19" x14ac:dyDescent="0.2">
      <c r="S419" s="59"/>
    </row>
    <row r="420" spans="19:19" x14ac:dyDescent="0.2">
      <c r="S420" s="59"/>
    </row>
    <row r="421" spans="19:19" x14ac:dyDescent="0.2">
      <c r="S421" s="59"/>
    </row>
    <row r="422" spans="19:19" x14ac:dyDescent="0.2">
      <c r="S422" s="59"/>
    </row>
    <row r="423" spans="19:19" x14ac:dyDescent="0.2">
      <c r="S423" s="59"/>
    </row>
    <row r="424" spans="19:19" x14ac:dyDescent="0.2">
      <c r="S424" s="59"/>
    </row>
    <row r="425" spans="19:19" x14ac:dyDescent="0.2">
      <c r="S425" s="59"/>
    </row>
    <row r="426" spans="19:19" x14ac:dyDescent="0.2">
      <c r="S426" s="59"/>
    </row>
    <row r="427" spans="19:19" x14ac:dyDescent="0.2">
      <c r="S427" s="59"/>
    </row>
    <row r="428" spans="19:19" x14ac:dyDescent="0.2">
      <c r="S428" s="59"/>
    </row>
    <row r="429" spans="19:19" x14ac:dyDescent="0.2">
      <c r="S429" s="59"/>
    </row>
    <row r="430" spans="19:19" x14ac:dyDescent="0.2">
      <c r="S430" s="59"/>
    </row>
    <row r="431" spans="19:19" x14ac:dyDescent="0.2">
      <c r="S431" s="59"/>
    </row>
    <row r="432" spans="19:19" x14ac:dyDescent="0.2">
      <c r="S432" s="59"/>
    </row>
    <row r="433" spans="19:19" x14ac:dyDescent="0.2">
      <c r="S433" s="59"/>
    </row>
    <row r="434" spans="19:19" x14ac:dyDescent="0.2">
      <c r="S434" s="59"/>
    </row>
    <row r="435" spans="19:19" x14ac:dyDescent="0.2">
      <c r="S435" s="59"/>
    </row>
    <row r="436" spans="19:19" x14ac:dyDescent="0.2">
      <c r="S436" s="59"/>
    </row>
    <row r="437" spans="19:19" x14ac:dyDescent="0.2">
      <c r="S437" s="59"/>
    </row>
    <row r="438" spans="19:19" x14ac:dyDescent="0.2">
      <c r="S438" s="59"/>
    </row>
    <row r="439" spans="19:19" x14ac:dyDescent="0.2">
      <c r="S439" s="59"/>
    </row>
    <row r="440" spans="19:19" x14ac:dyDescent="0.2">
      <c r="S440" s="59"/>
    </row>
    <row r="441" spans="19:19" x14ac:dyDescent="0.2">
      <c r="S441" s="59"/>
    </row>
    <row r="442" spans="19:19" x14ac:dyDescent="0.2">
      <c r="S442" s="59"/>
    </row>
    <row r="443" spans="19:19" x14ac:dyDescent="0.2">
      <c r="S443" s="59"/>
    </row>
    <row r="444" spans="19:19" x14ac:dyDescent="0.2">
      <c r="S444" s="59"/>
    </row>
    <row r="445" spans="19:19" x14ac:dyDescent="0.2">
      <c r="S445" s="59"/>
    </row>
    <row r="446" spans="19:19" x14ac:dyDescent="0.2">
      <c r="S446" s="59"/>
    </row>
    <row r="447" spans="19:19" x14ac:dyDescent="0.2">
      <c r="S447" s="59"/>
    </row>
    <row r="448" spans="19:19" x14ac:dyDescent="0.2">
      <c r="S448" s="59"/>
    </row>
    <row r="449" spans="19:19" x14ac:dyDescent="0.2">
      <c r="S449" s="59"/>
    </row>
    <row r="450" spans="19:19" x14ac:dyDescent="0.2">
      <c r="S450" s="59"/>
    </row>
    <row r="451" spans="19:19" x14ac:dyDescent="0.2">
      <c r="S451" s="59"/>
    </row>
    <row r="452" spans="19:19" x14ac:dyDescent="0.2">
      <c r="S452" s="59"/>
    </row>
    <row r="453" spans="19:19" x14ac:dyDescent="0.2">
      <c r="S453" s="59"/>
    </row>
    <row r="454" spans="19:19" x14ac:dyDescent="0.2">
      <c r="S454" s="59"/>
    </row>
    <row r="455" spans="19:19" x14ac:dyDescent="0.2">
      <c r="S455" s="59"/>
    </row>
    <row r="456" spans="19:19" x14ac:dyDescent="0.2">
      <c r="S456" s="59"/>
    </row>
    <row r="457" spans="19:19" x14ac:dyDescent="0.2">
      <c r="S457" s="59"/>
    </row>
    <row r="458" spans="19:19" x14ac:dyDescent="0.2">
      <c r="S458" s="59"/>
    </row>
    <row r="459" spans="19:19" x14ac:dyDescent="0.2">
      <c r="S459" s="59"/>
    </row>
    <row r="460" spans="19:19" x14ac:dyDescent="0.2">
      <c r="S460" s="59"/>
    </row>
    <row r="461" spans="19:19" x14ac:dyDescent="0.2">
      <c r="S461" s="59"/>
    </row>
    <row r="462" spans="19:19" x14ac:dyDescent="0.2">
      <c r="S462" s="59"/>
    </row>
    <row r="463" spans="19:19" x14ac:dyDescent="0.2">
      <c r="S463" s="59"/>
    </row>
    <row r="464" spans="19:19" x14ac:dyDescent="0.2">
      <c r="S464" s="59"/>
    </row>
    <row r="465" spans="19:19" x14ac:dyDescent="0.2">
      <c r="S465" s="59"/>
    </row>
    <row r="466" spans="19:19" x14ac:dyDescent="0.2">
      <c r="S466" s="59"/>
    </row>
    <row r="467" spans="19:19" x14ac:dyDescent="0.2">
      <c r="S467" s="59"/>
    </row>
    <row r="468" spans="19:19" x14ac:dyDescent="0.2">
      <c r="S468" s="59"/>
    </row>
    <row r="469" spans="19:19" x14ac:dyDescent="0.2">
      <c r="S469" s="59"/>
    </row>
    <row r="470" spans="19:19" x14ac:dyDescent="0.2">
      <c r="S470" s="59"/>
    </row>
    <row r="471" spans="19:19" x14ac:dyDescent="0.2">
      <c r="S471" s="59"/>
    </row>
    <row r="472" spans="19:19" x14ac:dyDescent="0.2">
      <c r="S472" s="59"/>
    </row>
    <row r="473" spans="19:19" x14ac:dyDescent="0.2">
      <c r="S473" s="59"/>
    </row>
    <row r="474" spans="19:19" x14ac:dyDescent="0.2">
      <c r="S474" s="59"/>
    </row>
    <row r="475" spans="19:19" x14ac:dyDescent="0.2">
      <c r="S475" s="59"/>
    </row>
    <row r="476" spans="19:19" x14ac:dyDescent="0.2">
      <c r="S476" s="59"/>
    </row>
    <row r="477" spans="19:19" x14ac:dyDescent="0.2">
      <c r="S477" s="59"/>
    </row>
    <row r="478" spans="19:19" x14ac:dyDescent="0.2">
      <c r="S478" s="59"/>
    </row>
    <row r="479" spans="19:19" x14ac:dyDescent="0.2">
      <c r="S479" s="59"/>
    </row>
    <row r="480" spans="19:19" x14ac:dyDescent="0.2">
      <c r="S480" s="59"/>
    </row>
    <row r="481" spans="19:19" x14ac:dyDescent="0.2">
      <c r="S481" s="59"/>
    </row>
    <row r="482" spans="19:19" x14ac:dyDescent="0.2">
      <c r="S482" s="59"/>
    </row>
    <row r="483" spans="19:19" x14ac:dyDescent="0.2">
      <c r="S483" s="59"/>
    </row>
    <row r="484" spans="19:19" x14ac:dyDescent="0.2">
      <c r="S484" s="59"/>
    </row>
    <row r="485" spans="19:19" x14ac:dyDescent="0.2">
      <c r="S485" s="59"/>
    </row>
    <row r="486" spans="19:19" x14ac:dyDescent="0.2">
      <c r="S486" s="59"/>
    </row>
    <row r="487" spans="19:19" x14ac:dyDescent="0.2">
      <c r="S487" s="59"/>
    </row>
    <row r="488" spans="19:19" x14ac:dyDescent="0.2">
      <c r="S488" s="59"/>
    </row>
    <row r="489" spans="19:19" x14ac:dyDescent="0.2">
      <c r="S489" s="59"/>
    </row>
    <row r="490" spans="19:19" x14ac:dyDescent="0.2">
      <c r="S490" s="59"/>
    </row>
    <row r="491" spans="19:19" x14ac:dyDescent="0.2">
      <c r="S491" s="59"/>
    </row>
    <row r="492" spans="19:19" x14ac:dyDescent="0.2">
      <c r="S492" s="59"/>
    </row>
    <row r="493" spans="19:19" x14ac:dyDescent="0.2">
      <c r="S493" s="59"/>
    </row>
    <row r="494" spans="19:19" x14ac:dyDescent="0.2">
      <c r="S494" s="59"/>
    </row>
    <row r="495" spans="19:19" x14ac:dyDescent="0.2">
      <c r="S495" s="59"/>
    </row>
    <row r="496" spans="19:19" x14ac:dyDescent="0.2">
      <c r="S496" s="59"/>
    </row>
    <row r="497" spans="19:19" x14ac:dyDescent="0.2">
      <c r="S497" s="59"/>
    </row>
    <row r="498" spans="19:19" x14ac:dyDescent="0.2">
      <c r="S498" s="59"/>
    </row>
    <row r="499" spans="19:19" x14ac:dyDescent="0.2">
      <c r="S499" s="59"/>
    </row>
    <row r="500" spans="19:19" x14ac:dyDescent="0.2">
      <c r="S500" s="59"/>
    </row>
    <row r="501" spans="19:19" x14ac:dyDescent="0.2">
      <c r="S501" s="59"/>
    </row>
    <row r="502" spans="19:19" x14ac:dyDescent="0.2">
      <c r="S502" s="59"/>
    </row>
    <row r="503" spans="19:19" x14ac:dyDescent="0.2">
      <c r="S503" s="59"/>
    </row>
    <row r="504" spans="19:19" x14ac:dyDescent="0.2">
      <c r="S504" s="59"/>
    </row>
    <row r="505" spans="19:19" x14ac:dyDescent="0.2">
      <c r="S505" s="59"/>
    </row>
    <row r="506" spans="19:19" x14ac:dyDescent="0.2">
      <c r="S506" s="59"/>
    </row>
    <row r="507" spans="19:19" x14ac:dyDescent="0.2">
      <c r="S507" s="59"/>
    </row>
    <row r="508" spans="19:19" x14ac:dyDescent="0.2">
      <c r="S508" s="59"/>
    </row>
    <row r="509" spans="19:19" x14ac:dyDescent="0.2">
      <c r="S509" s="59"/>
    </row>
    <row r="510" spans="19:19" x14ac:dyDescent="0.2">
      <c r="S510" s="59"/>
    </row>
    <row r="511" spans="19:19" x14ac:dyDescent="0.2">
      <c r="S511" s="59"/>
    </row>
    <row r="512" spans="19:19" x14ac:dyDescent="0.2">
      <c r="S512" s="59"/>
    </row>
    <row r="513" spans="19:19" x14ac:dyDescent="0.2">
      <c r="S513" s="59"/>
    </row>
    <row r="514" spans="19:19" x14ac:dyDescent="0.2">
      <c r="S514" s="59"/>
    </row>
    <row r="515" spans="19:19" x14ac:dyDescent="0.2">
      <c r="S515" s="59"/>
    </row>
    <row r="516" spans="19:19" x14ac:dyDescent="0.2">
      <c r="S516" s="59"/>
    </row>
    <row r="517" spans="19:19" x14ac:dyDescent="0.2">
      <c r="S517" s="59"/>
    </row>
    <row r="518" spans="19:19" x14ac:dyDescent="0.2">
      <c r="S518" s="59"/>
    </row>
    <row r="519" spans="19:19" x14ac:dyDescent="0.2">
      <c r="S519" s="59"/>
    </row>
    <row r="520" spans="19:19" x14ac:dyDescent="0.2">
      <c r="S520" s="59"/>
    </row>
    <row r="521" spans="19:19" x14ac:dyDescent="0.2">
      <c r="S521" s="59"/>
    </row>
    <row r="522" spans="19:19" x14ac:dyDescent="0.2">
      <c r="S522" s="59"/>
    </row>
    <row r="523" spans="19:19" x14ac:dyDescent="0.2">
      <c r="S523" s="59"/>
    </row>
    <row r="524" spans="19:19" x14ac:dyDescent="0.2">
      <c r="S524" s="59"/>
    </row>
    <row r="525" spans="19:19" x14ac:dyDescent="0.2">
      <c r="S525" s="59"/>
    </row>
    <row r="526" spans="19:19" x14ac:dyDescent="0.2">
      <c r="S526" s="59"/>
    </row>
    <row r="527" spans="19:19" x14ac:dyDescent="0.2">
      <c r="S527" s="59"/>
    </row>
    <row r="528" spans="19:19" x14ac:dyDescent="0.2">
      <c r="S528" s="59"/>
    </row>
    <row r="529" spans="19:19" x14ac:dyDescent="0.2">
      <c r="S529" s="59"/>
    </row>
    <row r="530" spans="19:19" x14ac:dyDescent="0.2">
      <c r="S530" s="59"/>
    </row>
    <row r="531" spans="19:19" x14ac:dyDescent="0.2">
      <c r="S531" s="59"/>
    </row>
    <row r="532" spans="19:19" x14ac:dyDescent="0.2">
      <c r="S532" s="59"/>
    </row>
    <row r="533" spans="19:19" x14ac:dyDescent="0.2">
      <c r="S533" s="59"/>
    </row>
    <row r="534" spans="19:19" x14ac:dyDescent="0.2">
      <c r="S534" s="59"/>
    </row>
    <row r="535" spans="19:19" x14ac:dyDescent="0.2">
      <c r="S535" s="59"/>
    </row>
    <row r="536" spans="19:19" x14ac:dyDescent="0.2">
      <c r="S536" s="59"/>
    </row>
    <row r="537" spans="19:19" x14ac:dyDescent="0.2">
      <c r="S537" s="59"/>
    </row>
    <row r="538" spans="19:19" x14ac:dyDescent="0.2">
      <c r="S538" s="59"/>
    </row>
    <row r="539" spans="19:19" x14ac:dyDescent="0.2">
      <c r="S539" s="59"/>
    </row>
    <row r="540" spans="19:19" x14ac:dyDescent="0.2">
      <c r="S540" s="59"/>
    </row>
    <row r="541" spans="19:19" x14ac:dyDescent="0.2">
      <c r="S541" s="59"/>
    </row>
    <row r="542" spans="19:19" x14ac:dyDescent="0.2">
      <c r="S542" s="59"/>
    </row>
    <row r="543" spans="19:19" x14ac:dyDescent="0.2">
      <c r="S543" s="59"/>
    </row>
    <row r="544" spans="19:19" x14ac:dyDescent="0.2">
      <c r="S544" s="59"/>
    </row>
    <row r="545" spans="19:19" x14ac:dyDescent="0.2">
      <c r="S545" s="59"/>
    </row>
    <row r="546" spans="19:19" x14ac:dyDescent="0.2">
      <c r="S546" s="59"/>
    </row>
    <row r="547" spans="19:19" x14ac:dyDescent="0.2">
      <c r="S547" s="59"/>
    </row>
    <row r="548" spans="19:19" x14ac:dyDescent="0.2">
      <c r="S548" s="59"/>
    </row>
    <row r="549" spans="19:19" x14ac:dyDescent="0.2">
      <c r="S549" s="59"/>
    </row>
    <row r="550" spans="19:19" x14ac:dyDescent="0.2">
      <c r="S550" s="59"/>
    </row>
    <row r="551" spans="19:19" x14ac:dyDescent="0.2">
      <c r="S551" s="59"/>
    </row>
    <row r="552" spans="19:19" x14ac:dyDescent="0.2">
      <c r="S552" s="59"/>
    </row>
    <row r="553" spans="19:19" x14ac:dyDescent="0.2">
      <c r="S553" s="59"/>
    </row>
    <row r="554" spans="19:19" x14ac:dyDescent="0.2">
      <c r="S554" s="59"/>
    </row>
    <row r="555" spans="19:19" x14ac:dyDescent="0.2">
      <c r="S555" s="59"/>
    </row>
    <row r="556" spans="19:19" x14ac:dyDescent="0.2">
      <c r="S556" s="59"/>
    </row>
    <row r="557" spans="19:19" x14ac:dyDescent="0.2">
      <c r="S557" s="59"/>
    </row>
    <row r="558" spans="19:19" x14ac:dyDescent="0.2">
      <c r="S558" s="59"/>
    </row>
    <row r="559" spans="19:19" x14ac:dyDescent="0.2">
      <c r="S559" s="59"/>
    </row>
    <row r="560" spans="19:19" x14ac:dyDescent="0.2">
      <c r="S560" s="59"/>
    </row>
    <row r="561" spans="19:19" x14ac:dyDescent="0.2">
      <c r="S561" s="59"/>
    </row>
    <row r="562" spans="19:19" x14ac:dyDescent="0.2">
      <c r="S562" s="59"/>
    </row>
    <row r="563" spans="19:19" x14ac:dyDescent="0.2">
      <c r="S563" s="59"/>
    </row>
    <row r="564" spans="19:19" x14ac:dyDescent="0.2">
      <c r="S564" s="59"/>
    </row>
    <row r="565" spans="19:19" x14ac:dyDescent="0.2">
      <c r="S565" s="59"/>
    </row>
    <row r="566" spans="19:19" x14ac:dyDescent="0.2">
      <c r="S566" s="59"/>
    </row>
    <row r="567" spans="19:19" x14ac:dyDescent="0.2">
      <c r="S567" s="59"/>
    </row>
    <row r="568" spans="19:19" x14ac:dyDescent="0.2">
      <c r="S568" s="59"/>
    </row>
    <row r="569" spans="19:19" x14ac:dyDescent="0.2">
      <c r="S569" s="59"/>
    </row>
    <row r="570" spans="19:19" x14ac:dyDescent="0.2">
      <c r="S570" s="59"/>
    </row>
    <row r="571" spans="19:19" x14ac:dyDescent="0.2">
      <c r="S571" s="59"/>
    </row>
    <row r="572" spans="19:19" x14ac:dyDescent="0.2">
      <c r="S572" s="59"/>
    </row>
    <row r="573" spans="19:19" x14ac:dyDescent="0.2">
      <c r="S573" s="59"/>
    </row>
    <row r="574" spans="19:19" x14ac:dyDescent="0.2">
      <c r="S574" s="59"/>
    </row>
    <row r="575" spans="19:19" x14ac:dyDescent="0.2">
      <c r="S575" s="59"/>
    </row>
    <row r="576" spans="19:19" x14ac:dyDescent="0.2">
      <c r="S576" s="59"/>
    </row>
    <row r="577" spans="19:19" x14ac:dyDescent="0.2">
      <c r="S577" s="59"/>
    </row>
    <row r="578" spans="19:19" x14ac:dyDescent="0.2">
      <c r="S578" s="59"/>
    </row>
    <row r="579" spans="19:19" x14ac:dyDescent="0.2">
      <c r="S579" s="59"/>
    </row>
    <row r="580" spans="19:19" x14ac:dyDescent="0.2">
      <c r="S580" s="59"/>
    </row>
    <row r="581" spans="19:19" x14ac:dyDescent="0.2">
      <c r="S581" s="59"/>
    </row>
    <row r="582" spans="19:19" x14ac:dyDescent="0.2">
      <c r="S582" s="59"/>
    </row>
    <row r="583" spans="19:19" x14ac:dyDescent="0.2">
      <c r="S583" s="59"/>
    </row>
    <row r="584" spans="19:19" x14ac:dyDescent="0.2">
      <c r="S584" s="59"/>
    </row>
    <row r="585" spans="19:19" x14ac:dyDescent="0.2">
      <c r="S585" s="59"/>
    </row>
    <row r="586" spans="19:19" x14ac:dyDescent="0.2">
      <c r="S586" s="59"/>
    </row>
    <row r="587" spans="19:19" x14ac:dyDescent="0.2">
      <c r="S587" s="59"/>
    </row>
    <row r="588" spans="19:19" x14ac:dyDescent="0.2">
      <c r="S588" s="59"/>
    </row>
    <row r="589" spans="19:19" x14ac:dyDescent="0.2">
      <c r="S589" s="59"/>
    </row>
    <row r="590" spans="19:19" x14ac:dyDescent="0.2">
      <c r="S590" s="59"/>
    </row>
    <row r="591" spans="19:19" x14ac:dyDescent="0.2">
      <c r="S591" s="59"/>
    </row>
    <row r="592" spans="19:19" x14ac:dyDescent="0.2">
      <c r="S592" s="59"/>
    </row>
    <row r="593" spans="19:19" x14ac:dyDescent="0.2">
      <c r="S593" s="59"/>
    </row>
    <row r="594" spans="19:19" x14ac:dyDescent="0.2">
      <c r="S594" s="59"/>
    </row>
    <row r="595" spans="19:19" x14ac:dyDescent="0.2">
      <c r="S595" s="59"/>
    </row>
    <row r="596" spans="19:19" x14ac:dyDescent="0.2">
      <c r="S596" s="59"/>
    </row>
    <row r="597" spans="19:19" x14ac:dyDescent="0.2">
      <c r="S597" s="59"/>
    </row>
    <row r="598" spans="19:19" x14ac:dyDescent="0.2">
      <c r="S598" s="59"/>
    </row>
    <row r="599" spans="19:19" x14ac:dyDescent="0.2">
      <c r="S599" s="59"/>
    </row>
    <row r="600" spans="19:19" x14ac:dyDescent="0.2">
      <c r="S600" s="59"/>
    </row>
    <row r="601" spans="19:19" x14ac:dyDescent="0.2">
      <c r="S601" s="59"/>
    </row>
    <row r="602" spans="19:19" x14ac:dyDescent="0.2">
      <c r="S602" s="59"/>
    </row>
    <row r="603" spans="19:19" x14ac:dyDescent="0.2">
      <c r="S603" s="59"/>
    </row>
    <row r="604" spans="19:19" x14ac:dyDescent="0.2">
      <c r="S604" s="59"/>
    </row>
    <row r="605" spans="19:19" x14ac:dyDescent="0.2">
      <c r="S605" s="59"/>
    </row>
    <row r="606" spans="19:19" x14ac:dyDescent="0.2">
      <c r="S606" s="59"/>
    </row>
    <row r="607" spans="19:19" x14ac:dyDescent="0.2">
      <c r="S607" s="59"/>
    </row>
    <row r="608" spans="19:19" x14ac:dyDescent="0.2">
      <c r="S608" s="59"/>
    </row>
    <row r="609" spans="19:19" x14ac:dyDescent="0.2">
      <c r="S609" s="59"/>
    </row>
    <row r="610" spans="19:19" x14ac:dyDescent="0.2">
      <c r="S610" s="59"/>
    </row>
    <row r="611" spans="19:19" x14ac:dyDescent="0.2">
      <c r="S611" s="59"/>
    </row>
    <row r="612" spans="19:19" x14ac:dyDescent="0.2">
      <c r="S612" s="59"/>
    </row>
    <row r="613" spans="19:19" x14ac:dyDescent="0.2">
      <c r="S613" s="59"/>
    </row>
    <row r="614" spans="19:19" x14ac:dyDescent="0.2">
      <c r="S614" s="59"/>
    </row>
    <row r="615" spans="19:19" x14ac:dyDescent="0.2">
      <c r="S615" s="59"/>
    </row>
    <row r="616" spans="19:19" x14ac:dyDescent="0.2">
      <c r="S616" s="59"/>
    </row>
    <row r="617" spans="19:19" x14ac:dyDescent="0.2">
      <c r="S617" s="59"/>
    </row>
    <row r="618" spans="19:19" x14ac:dyDescent="0.2">
      <c r="S618" s="59"/>
    </row>
    <row r="619" spans="19:19" x14ac:dyDescent="0.2">
      <c r="S619" s="59"/>
    </row>
    <row r="620" spans="19:19" x14ac:dyDescent="0.2">
      <c r="S620" s="59"/>
    </row>
    <row r="621" spans="19:19" x14ac:dyDescent="0.2">
      <c r="S621" s="59"/>
    </row>
    <row r="622" spans="19:19" x14ac:dyDescent="0.2">
      <c r="S622" s="59"/>
    </row>
    <row r="623" spans="19:19" x14ac:dyDescent="0.2">
      <c r="S623" s="59"/>
    </row>
    <row r="624" spans="19:19" x14ac:dyDescent="0.2">
      <c r="S624" s="59"/>
    </row>
    <row r="625" spans="19:19" x14ac:dyDescent="0.2">
      <c r="S625" s="59"/>
    </row>
    <row r="626" spans="19:19" x14ac:dyDescent="0.2">
      <c r="S626" s="59"/>
    </row>
    <row r="627" spans="19:19" x14ac:dyDescent="0.2">
      <c r="S627" s="59"/>
    </row>
    <row r="628" spans="19:19" x14ac:dyDescent="0.2">
      <c r="S628" s="59"/>
    </row>
    <row r="629" spans="19:19" x14ac:dyDescent="0.2">
      <c r="S629" s="59"/>
    </row>
    <row r="630" spans="19:19" x14ac:dyDescent="0.2">
      <c r="S630" s="59"/>
    </row>
    <row r="631" spans="19:19" x14ac:dyDescent="0.2">
      <c r="S631" s="59"/>
    </row>
    <row r="632" spans="19:19" x14ac:dyDescent="0.2">
      <c r="S632" s="59"/>
    </row>
    <row r="633" spans="19:19" x14ac:dyDescent="0.2">
      <c r="S633" s="59"/>
    </row>
    <row r="634" spans="19:19" x14ac:dyDescent="0.2">
      <c r="S634" s="59"/>
    </row>
    <row r="635" spans="19:19" x14ac:dyDescent="0.2">
      <c r="S635" s="59"/>
    </row>
    <row r="636" spans="19:19" x14ac:dyDescent="0.2">
      <c r="S636" s="59"/>
    </row>
    <row r="637" spans="19:19" x14ac:dyDescent="0.2">
      <c r="S637" s="59"/>
    </row>
    <row r="638" spans="19:19" x14ac:dyDescent="0.2">
      <c r="S638" s="59"/>
    </row>
    <row r="639" spans="19:19" x14ac:dyDescent="0.2">
      <c r="S639" s="59"/>
    </row>
    <row r="640" spans="19:19" x14ac:dyDescent="0.2">
      <c r="S640" s="59"/>
    </row>
    <row r="641" spans="19:19" x14ac:dyDescent="0.2">
      <c r="S641" s="59"/>
    </row>
    <row r="642" spans="19:19" x14ac:dyDescent="0.2">
      <c r="S642" s="59"/>
    </row>
    <row r="643" spans="19:19" x14ac:dyDescent="0.2">
      <c r="S643" s="59"/>
    </row>
    <row r="644" spans="19:19" x14ac:dyDescent="0.2">
      <c r="S644" s="59"/>
    </row>
    <row r="645" spans="19:19" x14ac:dyDescent="0.2">
      <c r="S645" s="59"/>
    </row>
    <row r="646" spans="19:19" x14ac:dyDescent="0.2">
      <c r="S646" s="59"/>
    </row>
    <row r="647" spans="19:19" x14ac:dyDescent="0.2">
      <c r="S647" s="59"/>
    </row>
    <row r="648" spans="19:19" x14ac:dyDescent="0.2">
      <c r="S648" s="59"/>
    </row>
    <row r="649" spans="19:19" x14ac:dyDescent="0.2">
      <c r="S649" s="59"/>
    </row>
    <row r="650" spans="19:19" x14ac:dyDescent="0.2">
      <c r="S650" s="59"/>
    </row>
    <row r="651" spans="19:19" x14ac:dyDescent="0.2">
      <c r="S651" s="59"/>
    </row>
    <row r="652" spans="19:19" x14ac:dyDescent="0.2">
      <c r="S652" s="59"/>
    </row>
    <row r="653" spans="19:19" x14ac:dyDescent="0.2">
      <c r="S653" s="59"/>
    </row>
    <row r="654" spans="19:19" x14ac:dyDescent="0.2">
      <c r="S654" s="59"/>
    </row>
    <row r="655" spans="19:19" x14ac:dyDescent="0.2">
      <c r="S655" s="59"/>
    </row>
    <row r="656" spans="19:19" x14ac:dyDescent="0.2">
      <c r="S656" s="59"/>
    </row>
    <row r="657" spans="19:19" x14ac:dyDescent="0.2">
      <c r="S657" s="59"/>
    </row>
    <row r="658" spans="19:19" x14ac:dyDescent="0.2">
      <c r="S658" s="59"/>
    </row>
    <row r="659" spans="19:19" x14ac:dyDescent="0.2">
      <c r="S659" s="59"/>
    </row>
    <row r="660" spans="19:19" x14ac:dyDescent="0.2">
      <c r="S660" s="59"/>
    </row>
    <row r="661" spans="19:19" x14ac:dyDescent="0.2">
      <c r="S661" s="59"/>
    </row>
    <row r="662" spans="19:19" x14ac:dyDescent="0.2">
      <c r="S662" s="59"/>
    </row>
    <row r="663" spans="19:19" x14ac:dyDescent="0.2">
      <c r="S663" s="59"/>
    </row>
    <row r="664" spans="19:19" x14ac:dyDescent="0.2">
      <c r="S664" s="59"/>
    </row>
    <row r="665" spans="19:19" x14ac:dyDescent="0.2">
      <c r="S665" s="59"/>
    </row>
    <row r="666" spans="19:19" x14ac:dyDescent="0.2">
      <c r="S666" s="59"/>
    </row>
    <row r="667" spans="19:19" x14ac:dyDescent="0.2">
      <c r="S667" s="59"/>
    </row>
    <row r="668" spans="19:19" x14ac:dyDescent="0.2">
      <c r="S668" s="59"/>
    </row>
    <row r="669" spans="19:19" x14ac:dyDescent="0.2">
      <c r="S669" s="59"/>
    </row>
    <row r="670" spans="19:19" x14ac:dyDescent="0.2">
      <c r="S670" s="59"/>
    </row>
    <row r="671" spans="19:19" x14ac:dyDescent="0.2">
      <c r="S671" s="59"/>
    </row>
    <row r="672" spans="19:19" x14ac:dyDescent="0.2">
      <c r="S672" s="59"/>
    </row>
    <row r="673" spans="19:19" x14ac:dyDescent="0.2">
      <c r="S673" s="59"/>
    </row>
    <row r="674" spans="19:19" x14ac:dyDescent="0.2">
      <c r="S674" s="59"/>
    </row>
    <row r="675" spans="19:19" x14ac:dyDescent="0.2">
      <c r="S675" s="59"/>
    </row>
    <row r="676" spans="19:19" x14ac:dyDescent="0.2">
      <c r="S676" s="59"/>
    </row>
    <row r="677" spans="19:19" x14ac:dyDescent="0.2">
      <c r="S677" s="59"/>
    </row>
    <row r="678" spans="19:19" x14ac:dyDescent="0.2">
      <c r="S678" s="59"/>
    </row>
    <row r="679" spans="19:19" x14ac:dyDescent="0.2">
      <c r="S679" s="59"/>
    </row>
    <row r="680" spans="19:19" x14ac:dyDescent="0.2">
      <c r="S680" s="59"/>
    </row>
    <row r="681" spans="19:19" x14ac:dyDescent="0.2">
      <c r="S681" s="59"/>
    </row>
    <row r="682" spans="19:19" x14ac:dyDescent="0.2">
      <c r="S682" s="59"/>
    </row>
    <row r="683" spans="19:19" x14ac:dyDescent="0.2">
      <c r="S683" s="59"/>
    </row>
    <row r="684" spans="19:19" x14ac:dyDescent="0.2">
      <c r="S684" s="59"/>
    </row>
    <row r="685" spans="19:19" x14ac:dyDescent="0.2">
      <c r="S685" s="59"/>
    </row>
    <row r="686" spans="19:19" x14ac:dyDescent="0.2">
      <c r="S686" s="59"/>
    </row>
    <row r="687" spans="19:19" x14ac:dyDescent="0.2">
      <c r="S687" s="59"/>
    </row>
    <row r="688" spans="19:19" x14ac:dyDescent="0.2">
      <c r="S688" s="59"/>
    </row>
    <row r="689" spans="19:19" x14ac:dyDescent="0.2">
      <c r="S689" s="59"/>
    </row>
    <row r="690" spans="19:19" x14ac:dyDescent="0.2">
      <c r="S690" s="59"/>
    </row>
    <row r="691" spans="19:19" x14ac:dyDescent="0.2">
      <c r="S691" s="59"/>
    </row>
    <row r="692" spans="19:19" x14ac:dyDescent="0.2">
      <c r="S692" s="59"/>
    </row>
    <row r="693" spans="19:19" x14ac:dyDescent="0.2">
      <c r="S693" s="59"/>
    </row>
    <row r="694" spans="19:19" x14ac:dyDescent="0.2">
      <c r="S694" s="59"/>
    </row>
    <row r="695" spans="19:19" x14ac:dyDescent="0.2">
      <c r="S695" s="59"/>
    </row>
    <row r="696" spans="19:19" x14ac:dyDescent="0.2">
      <c r="S696" s="59"/>
    </row>
    <row r="697" spans="19:19" x14ac:dyDescent="0.2">
      <c r="S697" s="59"/>
    </row>
    <row r="698" spans="19:19" x14ac:dyDescent="0.2">
      <c r="S698" s="59"/>
    </row>
    <row r="699" spans="19:19" x14ac:dyDescent="0.2">
      <c r="S699" s="59"/>
    </row>
    <row r="700" spans="19:19" x14ac:dyDescent="0.2">
      <c r="S700" s="59"/>
    </row>
  </sheetData>
  <sortState ref="C32:D34">
    <sortCondition descending="1" ref="D32"/>
  </sortState>
  <mergeCells count="4">
    <mergeCell ref="C3:M3"/>
    <mergeCell ref="F7:M7"/>
    <mergeCell ref="C22:M22"/>
    <mergeCell ref="B24:N30"/>
  </mergeCells>
  <pageMargins left="0.7" right="0.7" top="0.75" bottom="0.75" header="0.3" footer="0.3"/>
  <pageSetup paperSize="9" scale="10"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6"/>
  <dimension ref="A1:X58"/>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28.28515625" style="23" customWidth="1"/>
    <col min="5" max="5" width="10.42578125" style="23" bestFit="1" customWidth="1"/>
    <col min="6" max="18" width="9.140625" style="23"/>
    <col min="19" max="19" width="9.85546875" style="23" customWidth="1"/>
    <col min="20" max="16384" width="9.140625" style="23"/>
  </cols>
  <sheetData>
    <row r="1" spans="1:24" ht="15.75" customHeight="1" thickBot="1" x14ac:dyDescent="0.3">
      <c r="A1" s="3"/>
    </row>
    <row r="2" spans="1:24" ht="15" customHeight="1" x14ac:dyDescent="0.25">
      <c r="B2" s="96"/>
      <c r="C2" s="97"/>
      <c r="D2" s="97"/>
      <c r="E2" s="97"/>
      <c r="F2" s="97"/>
      <c r="G2" s="97"/>
      <c r="H2" s="97"/>
      <c r="I2" s="97"/>
      <c r="J2" s="97"/>
      <c r="K2" s="97"/>
      <c r="L2" s="97"/>
      <c r="M2" s="97"/>
      <c r="N2" s="97"/>
      <c r="O2" s="97"/>
      <c r="P2" s="97"/>
      <c r="Q2" s="97"/>
      <c r="R2" s="97"/>
      <c r="S2" s="97"/>
      <c r="T2" s="25"/>
    </row>
    <row r="3" spans="1:24" ht="20.25" customHeight="1" x14ac:dyDescent="0.25">
      <c r="B3" s="98"/>
      <c r="C3" s="234" t="s">
        <v>213</v>
      </c>
      <c r="D3" s="234"/>
      <c r="E3" s="234"/>
      <c r="F3" s="234"/>
      <c r="G3" s="234"/>
      <c r="H3" s="234"/>
      <c r="I3" s="234"/>
      <c r="J3" s="234"/>
      <c r="K3" s="234"/>
      <c r="L3" s="234"/>
      <c r="M3" s="234"/>
      <c r="N3" s="234"/>
      <c r="O3" s="234"/>
      <c r="P3" s="234"/>
      <c r="Q3" s="234"/>
      <c r="R3" s="234"/>
      <c r="S3" s="234"/>
      <c r="T3" s="26"/>
    </row>
    <row r="4" spans="1:24" ht="15.75" customHeight="1" x14ac:dyDescent="0.25">
      <c r="B4" s="98"/>
      <c r="C4" s="85" t="s">
        <v>271</v>
      </c>
      <c r="D4" s="33"/>
      <c r="E4" s="33"/>
      <c r="F4" s="33"/>
      <c r="G4" s="33"/>
      <c r="H4" s="33"/>
      <c r="I4" s="33"/>
      <c r="J4" s="33"/>
      <c r="K4" s="33"/>
      <c r="L4" s="33"/>
      <c r="M4" s="33"/>
      <c r="N4" s="33"/>
      <c r="O4" s="33"/>
      <c r="P4" s="33"/>
      <c r="Q4" s="33"/>
      <c r="R4" s="33"/>
      <c r="S4" s="33"/>
      <c r="T4" s="26"/>
    </row>
    <row r="5" spans="1:24" ht="18" customHeight="1" x14ac:dyDescent="0.25">
      <c r="B5" s="98"/>
      <c r="C5" s="86" t="s">
        <v>272</v>
      </c>
      <c r="D5" s="236" t="s">
        <v>293</v>
      </c>
      <c r="E5" s="236"/>
      <c r="F5" s="33"/>
      <c r="G5" s="33"/>
      <c r="H5" s="33"/>
      <c r="I5" s="33"/>
      <c r="J5" s="33"/>
      <c r="K5" s="33"/>
      <c r="L5" s="33"/>
      <c r="M5" s="33"/>
      <c r="N5" s="33"/>
      <c r="O5" s="33"/>
      <c r="P5" s="33"/>
      <c r="Q5" s="33"/>
      <c r="R5" s="33"/>
      <c r="S5" s="33"/>
      <c r="T5" s="26"/>
    </row>
    <row r="6" spans="1:24" ht="15" customHeight="1" x14ac:dyDescent="0.25">
      <c r="B6" s="98"/>
      <c r="C6" s="33"/>
      <c r="D6" s="33"/>
      <c r="E6" s="33"/>
      <c r="F6" s="33"/>
      <c r="G6" s="33"/>
      <c r="H6" s="33"/>
      <c r="I6" s="33"/>
      <c r="J6" s="33"/>
      <c r="K6" s="33"/>
      <c r="L6" s="33"/>
      <c r="M6" s="33"/>
      <c r="N6" s="33"/>
      <c r="O6" s="33"/>
      <c r="P6" s="33"/>
      <c r="Q6" s="33"/>
      <c r="R6" s="33"/>
      <c r="S6" s="33"/>
      <c r="T6" s="26"/>
    </row>
    <row r="7" spans="1:24" ht="32.25" customHeight="1" x14ac:dyDescent="0.25">
      <c r="B7" s="98"/>
      <c r="C7" s="87" t="s">
        <v>0</v>
      </c>
      <c r="D7" s="88" t="s">
        <v>1</v>
      </c>
      <c r="E7" s="89" t="s">
        <v>2</v>
      </c>
      <c r="F7" s="33"/>
      <c r="G7" s="33"/>
      <c r="H7" s="33"/>
      <c r="I7" s="33"/>
      <c r="J7" s="33"/>
      <c r="K7" s="33"/>
      <c r="L7" s="33"/>
      <c r="M7" s="33"/>
      <c r="N7" s="33"/>
      <c r="O7" s="33"/>
      <c r="P7" s="33"/>
      <c r="Q7" s="33"/>
      <c r="R7" s="33"/>
      <c r="S7" s="33"/>
      <c r="T7" s="26"/>
      <c r="W7" s="45" t="s">
        <v>22</v>
      </c>
      <c r="X7" s="45" t="s">
        <v>2</v>
      </c>
    </row>
    <row r="8" spans="1:24" ht="15" customHeight="1" x14ac:dyDescent="0.25">
      <c r="B8" s="98"/>
      <c r="C8" s="15" t="s">
        <v>33</v>
      </c>
      <c r="D8" s="17" t="s">
        <v>6</v>
      </c>
      <c r="E8" s="19">
        <v>0.109817</v>
      </c>
      <c r="F8" s="33"/>
      <c r="G8" s="33"/>
      <c r="H8" s="33"/>
      <c r="I8" s="33"/>
      <c r="J8" s="33"/>
      <c r="K8" s="33"/>
      <c r="L8" s="33"/>
      <c r="M8" s="33"/>
      <c r="N8" s="33"/>
      <c r="O8" s="33"/>
      <c r="P8" s="33"/>
      <c r="Q8" s="33"/>
      <c r="R8" s="33"/>
      <c r="S8" s="33"/>
      <c r="T8" s="26"/>
      <c r="W8" s="77" t="s">
        <v>3</v>
      </c>
      <c r="X8" s="79">
        <v>0.26983800000000002</v>
      </c>
    </row>
    <row r="9" spans="1:24" ht="15.75" customHeight="1" x14ac:dyDescent="0.25">
      <c r="B9" s="98"/>
      <c r="C9" s="16" t="s">
        <v>30</v>
      </c>
      <c r="D9" s="18" t="s">
        <v>3</v>
      </c>
      <c r="E9" s="20">
        <v>8.9149000000000006E-2</v>
      </c>
      <c r="F9" s="33"/>
      <c r="G9" s="33"/>
      <c r="H9" s="33"/>
      <c r="I9" s="33"/>
      <c r="J9" s="33"/>
      <c r="K9" s="33"/>
      <c r="L9" s="33"/>
      <c r="M9" s="33"/>
      <c r="N9" s="33"/>
      <c r="O9" s="33"/>
      <c r="P9" s="33"/>
      <c r="Q9" s="33"/>
      <c r="R9" s="33"/>
      <c r="S9" s="33"/>
      <c r="T9" s="26"/>
      <c r="W9" s="77" t="s">
        <v>169</v>
      </c>
      <c r="X9" s="79">
        <v>0.13863999999999999</v>
      </c>
    </row>
    <row r="10" spans="1:24" ht="15.75" x14ac:dyDescent="0.25">
      <c r="B10" s="98"/>
      <c r="C10" s="16" t="s">
        <v>34</v>
      </c>
      <c r="D10" s="18" t="s">
        <v>3</v>
      </c>
      <c r="E10" s="20">
        <v>7.7379000000000003E-2</v>
      </c>
      <c r="F10" s="33"/>
      <c r="G10" s="33"/>
      <c r="H10" s="33"/>
      <c r="I10" s="33"/>
      <c r="J10" s="33"/>
      <c r="K10" s="33"/>
      <c r="L10" s="33"/>
      <c r="M10" s="33"/>
      <c r="N10" s="33"/>
      <c r="O10" s="33"/>
      <c r="P10" s="33"/>
      <c r="Q10" s="33"/>
      <c r="R10" s="33"/>
      <c r="S10" s="33"/>
      <c r="T10" s="26"/>
      <c r="W10" s="77" t="s">
        <v>6</v>
      </c>
      <c r="X10" s="79">
        <v>0.11384</v>
      </c>
    </row>
    <row r="11" spans="1:24" ht="15.75" customHeight="1" x14ac:dyDescent="0.25">
      <c r="B11" s="98"/>
      <c r="C11" s="16" t="s">
        <v>29</v>
      </c>
      <c r="D11" s="18" t="s">
        <v>169</v>
      </c>
      <c r="E11" s="20">
        <v>6.8367999999999998E-2</v>
      </c>
      <c r="F11" s="33"/>
      <c r="G11" s="33"/>
      <c r="H11" s="33"/>
      <c r="I11" s="33"/>
      <c r="J11" s="33"/>
      <c r="K11" s="33"/>
      <c r="L11" s="33"/>
      <c r="M11" s="33"/>
      <c r="N11" s="33"/>
      <c r="O11" s="33"/>
      <c r="P11" s="33"/>
      <c r="Q11" s="33"/>
      <c r="R11" s="33"/>
      <c r="S11" s="33"/>
      <c r="T11" s="26"/>
      <c r="W11" s="77" t="s">
        <v>4</v>
      </c>
      <c r="X11" s="79">
        <v>9.1549000000000005E-2</v>
      </c>
    </row>
    <row r="12" spans="1:24" ht="15" customHeight="1" x14ac:dyDescent="0.25">
      <c r="B12" s="98"/>
      <c r="C12" s="16" t="s">
        <v>31</v>
      </c>
      <c r="D12" s="18" t="s">
        <v>4</v>
      </c>
      <c r="E12" s="20">
        <v>5.9270000000000003E-2</v>
      </c>
      <c r="F12" s="33"/>
      <c r="G12" s="33"/>
      <c r="H12" s="33"/>
      <c r="I12" s="33"/>
      <c r="J12" s="33"/>
      <c r="K12" s="33"/>
      <c r="L12" s="33"/>
      <c r="M12" s="33"/>
      <c r="N12" s="33"/>
      <c r="O12" s="33"/>
      <c r="P12" s="33"/>
      <c r="Q12" s="33"/>
      <c r="R12" s="33"/>
      <c r="S12" s="33"/>
      <c r="T12" s="26"/>
      <c r="W12" s="77" t="s">
        <v>180</v>
      </c>
      <c r="X12" s="79">
        <v>6.5234E-2</v>
      </c>
    </row>
    <row r="13" spans="1:24" ht="15" customHeight="1" x14ac:dyDescent="0.25">
      <c r="B13" s="98"/>
      <c r="C13" s="16" t="s">
        <v>35</v>
      </c>
      <c r="D13" s="18" t="s">
        <v>169</v>
      </c>
      <c r="E13" s="20">
        <v>4.1505E-2</v>
      </c>
      <c r="F13" s="33"/>
      <c r="G13" s="33"/>
      <c r="H13" s="33"/>
      <c r="I13" s="33"/>
      <c r="J13" s="33"/>
      <c r="K13" s="33"/>
      <c r="L13" s="33"/>
      <c r="M13" s="33"/>
      <c r="N13" s="33"/>
      <c r="O13" s="33"/>
      <c r="P13" s="33"/>
      <c r="Q13" s="33"/>
      <c r="R13" s="33"/>
      <c r="S13" s="33"/>
      <c r="T13" s="26"/>
      <c r="W13" s="77" t="s">
        <v>175</v>
      </c>
      <c r="X13" s="79">
        <v>5.272099999999999E-2</v>
      </c>
    </row>
    <row r="14" spans="1:24" ht="15" customHeight="1" x14ac:dyDescent="0.25">
      <c r="B14" s="98"/>
      <c r="C14" s="16" t="s">
        <v>32</v>
      </c>
      <c r="D14" s="18" t="s">
        <v>180</v>
      </c>
      <c r="E14" s="20">
        <v>3.6456000000000002E-2</v>
      </c>
      <c r="F14" s="33"/>
      <c r="G14" s="33"/>
      <c r="H14" s="33"/>
      <c r="I14" s="33"/>
      <c r="J14" s="33"/>
      <c r="K14" s="33"/>
      <c r="L14" s="33"/>
      <c r="M14" s="33"/>
      <c r="N14" s="33"/>
      <c r="O14" s="33"/>
      <c r="P14" s="33"/>
      <c r="Q14" s="33"/>
      <c r="R14" s="33"/>
      <c r="S14" s="33"/>
      <c r="T14" s="26"/>
      <c r="W14" s="77" t="s">
        <v>174</v>
      </c>
      <c r="X14" s="79">
        <v>3.2625000000000001E-2</v>
      </c>
    </row>
    <row r="15" spans="1:24" ht="15" customHeight="1" x14ac:dyDescent="0.25">
      <c r="B15" s="98"/>
      <c r="C15" s="16" t="s">
        <v>37</v>
      </c>
      <c r="D15" s="18" t="s">
        <v>3</v>
      </c>
      <c r="E15" s="20">
        <v>3.3131000000000001E-2</v>
      </c>
      <c r="F15" s="33"/>
      <c r="G15" s="33"/>
      <c r="H15" s="33"/>
      <c r="I15" s="33"/>
      <c r="J15" s="33"/>
      <c r="K15" s="33"/>
      <c r="L15" s="33"/>
      <c r="M15" s="33"/>
      <c r="N15" s="33"/>
      <c r="O15" s="33"/>
      <c r="P15" s="33"/>
      <c r="Q15" s="33"/>
      <c r="R15" s="33"/>
      <c r="S15" s="33"/>
      <c r="T15" s="26"/>
      <c r="W15" s="77" t="s">
        <v>23</v>
      </c>
      <c r="X15" s="79">
        <v>3.1516000000000002E-2</v>
      </c>
    </row>
    <row r="16" spans="1:24" ht="15" customHeight="1" x14ac:dyDescent="0.25">
      <c r="B16" s="98"/>
      <c r="C16" s="16" t="s">
        <v>36</v>
      </c>
      <c r="D16" s="18" t="s">
        <v>23</v>
      </c>
      <c r="E16" s="20">
        <v>3.1516000000000002E-2</v>
      </c>
      <c r="F16" s="33"/>
      <c r="G16" s="33"/>
      <c r="H16" s="33"/>
      <c r="I16" s="33"/>
      <c r="J16" s="33"/>
      <c r="K16" s="33"/>
      <c r="L16" s="33"/>
      <c r="M16" s="33"/>
      <c r="N16" s="33"/>
      <c r="O16" s="33"/>
      <c r="P16" s="33"/>
      <c r="Q16" s="33"/>
      <c r="R16" s="33"/>
      <c r="S16" s="33"/>
      <c r="T16" s="26"/>
      <c r="W16" s="77" t="s">
        <v>16</v>
      </c>
      <c r="X16" s="79">
        <v>3.107E-2</v>
      </c>
    </row>
    <row r="17" spans="2:24" ht="15" customHeight="1" x14ac:dyDescent="0.25">
      <c r="B17" s="98"/>
      <c r="C17" s="16" t="s">
        <v>38</v>
      </c>
      <c r="D17" s="18" t="s">
        <v>3</v>
      </c>
      <c r="E17" s="20">
        <v>3.1389E-2</v>
      </c>
      <c r="F17" s="33"/>
      <c r="G17" s="33"/>
      <c r="H17" s="33"/>
      <c r="I17" s="33"/>
      <c r="J17" s="33"/>
      <c r="K17" s="33"/>
      <c r="L17" s="33"/>
      <c r="M17" s="33"/>
      <c r="N17" s="33"/>
      <c r="O17" s="33"/>
      <c r="P17" s="33"/>
      <c r="Q17" s="33"/>
      <c r="R17" s="33"/>
      <c r="S17" s="33"/>
      <c r="T17" s="26"/>
      <c r="W17" s="77" t="s">
        <v>12</v>
      </c>
      <c r="X17" s="79">
        <v>2.4879999999999999E-2</v>
      </c>
    </row>
    <row r="18" spans="2:24" ht="15" customHeight="1" x14ac:dyDescent="0.25">
      <c r="B18" s="98"/>
      <c r="C18" s="16" t="s">
        <v>113</v>
      </c>
      <c r="D18" s="18" t="s">
        <v>3</v>
      </c>
      <c r="E18" s="20">
        <v>2.8955999999999999E-2</v>
      </c>
      <c r="F18" s="33"/>
      <c r="G18" s="33"/>
      <c r="H18" s="33"/>
      <c r="I18" s="33"/>
      <c r="J18" s="33"/>
      <c r="K18" s="33"/>
      <c r="L18" s="33"/>
      <c r="M18" s="33"/>
      <c r="N18" s="33"/>
      <c r="O18" s="33"/>
      <c r="P18" s="33"/>
      <c r="Q18" s="33"/>
      <c r="R18" s="33"/>
      <c r="S18" s="33"/>
      <c r="T18" s="26"/>
      <c r="W18" s="77" t="s">
        <v>11</v>
      </c>
      <c r="X18" s="79">
        <v>2.0125000000000001E-2</v>
      </c>
    </row>
    <row r="19" spans="2:24" ht="15" customHeight="1" x14ac:dyDescent="0.25">
      <c r="B19" s="98"/>
      <c r="C19" s="16" t="s">
        <v>39</v>
      </c>
      <c r="D19" s="18" t="s">
        <v>180</v>
      </c>
      <c r="E19" s="20">
        <v>2.8778000000000001E-2</v>
      </c>
      <c r="F19" s="33"/>
      <c r="G19" s="33"/>
      <c r="H19" s="33"/>
      <c r="I19" s="33"/>
      <c r="J19" s="33"/>
      <c r="K19" s="33"/>
      <c r="L19" s="33"/>
      <c r="M19" s="33"/>
      <c r="N19" s="33"/>
      <c r="O19" s="33"/>
      <c r="P19" s="33"/>
      <c r="Q19" s="33"/>
      <c r="R19" s="33"/>
      <c r="S19" s="33"/>
      <c r="T19" s="26"/>
      <c r="W19" s="77" t="s">
        <v>10</v>
      </c>
      <c r="X19" s="79">
        <v>1.9084999999999998E-2</v>
      </c>
    </row>
    <row r="20" spans="2:24" ht="15" customHeight="1" x14ac:dyDescent="0.25">
      <c r="B20" s="98"/>
      <c r="C20" s="16" t="s">
        <v>93</v>
      </c>
      <c r="D20" s="18" t="s">
        <v>12</v>
      </c>
      <c r="E20" s="20">
        <v>2.4879999999999999E-2</v>
      </c>
      <c r="F20" s="33"/>
      <c r="G20" s="33"/>
      <c r="H20" s="33"/>
      <c r="I20" s="33"/>
      <c r="J20" s="33"/>
      <c r="K20" s="33"/>
      <c r="L20" s="33"/>
      <c r="M20" s="33"/>
      <c r="N20" s="33"/>
      <c r="O20" s="33"/>
      <c r="P20" s="33"/>
      <c r="Q20" s="33"/>
      <c r="R20" s="33"/>
      <c r="S20" s="33"/>
      <c r="T20" s="26"/>
      <c r="W20" s="77" t="s">
        <v>119</v>
      </c>
      <c r="X20" s="79">
        <v>1.8280000000000001E-2</v>
      </c>
    </row>
    <row r="21" spans="2:24" ht="15" customHeight="1" x14ac:dyDescent="0.25">
      <c r="B21" s="98"/>
      <c r="C21" s="16" t="s">
        <v>115</v>
      </c>
      <c r="D21" s="18" t="s">
        <v>4</v>
      </c>
      <c r="E21" s="20">
        <v>2.1780999999999998E-2</v>
      </c>
      <c r="F21" s="33"/>
      <c r="G21" s="33"/>
      <c r="H21" s="33"/>
      <c r="I21" s="33"/>
      <c r="J21" s="33"/>
      <c r="K21" s="33"/>
      <c r="L21" s="33"/>
      <c r="M21" s="33"/>
      <c r="N21" s="33"/>
      <c r="O21" s="33"/>
      <c r="P21" s="33"/>
      <c r="Q21" s="33"/>
      <c r="R21" s="33"/>
      <c r="S21" s="33"/>
      <c r="T21" s="26"/>
      <c r="W21" s="77" t="s">
        <v>170</v>
      </c>
      <c r="X21" s="79">
        <v>1.5173000000000001E-2</v>
      </c>
    </row>
    <row r="22" spans="2:24" ht="15" customHeight="1" x14ac:dyDescent="0.25">
      <c r="B22" s="98"/>
      <c r="C22" s="16" t="s">
        <v>40</v>
      </c>
      <c r="D22" s="18" t="s">
        <v>16</v>
      </c>
      <c r="E22" s="20">
        <v>1.7441999999999999E-2</v>
      </c>
      <c r="F22" s="33"/>
      <c r="G22" s="33"/>
      <c r="H22" s="33"/>
      <c r="I22" s="33"/>
      <c r="J22" s="33"/>
      <c r="K22" s="33"/>
      <c r="L22" s="33"/>
      <c r="M22" s="33"/>
      <c r="N22" s="33"/>
      <c r="O22" s="33"/>
      <c r="P22" s="33"/>
      <c r="Q22" s="33"/>
      <c r="R22" s="33"/>
      <c r="S22" s="33"/>
      <c r="T22" s="26"/>
      <c r="W22" s="77" t="s">
        <v>122</v>
      </c>
      <c r="X22" s="79">
        <v>1.3881000000000001E-2</v>
      </c>
    </row>
    <row r="23" spans="2:24" ht="15" customHeight="1" x14ac:dyDescent="0.25">
      <c r="B23" s="98"/>
      <c r="C23" s="101"/>
      <c r="D23" s="101"/>
      <c r="E23" s="102"/>
      <c r="F23" s="33"/>
      <c r="G23" s="33"/>
      <c r="H23" s="33"/>
      <c r="I23" s="33"/>
      <c r="J23" s="33"/>
      <c r="K23" s="33"/>
      <c r="L23" s="33"/>
      <c r="M23" s="33"/>
      <c r="N23" s="33"/>
      <c r="O23" s="33"/>
      <c r="P23" s="33"/>
      <c r="Q23" s="33"/>
      <c r="R23" s="33"/>
      <c r="S23" s="33"/>
      <c r="T23" s="26"/>
      <c r="W23" s="77" t="s">
        <v>199</v>
      </c>
      <c r="X23" s="79">
        <v>1.3140000000000001E-2</v>
      </c>
    </row>
    <row r="24" spans="2:24" ht="15" customHeight="1" x14ac:dyDescent="0.25">
      <c r="B24" s="98"/>
      <c r="C24" s="92" t="s">
        <v>64</v>
      </c>
      <c r="D24" s="93"/>
      <c r="E24" s="103">
        <f>SUM(E8:E22)</f>
        <v>0.69981699999999991</v>
      </c>
      <c r="F24" s="33"/>
      <c r="G24" s="33"/>
      <c r="H24" s="33"/>
      <c r="I24" s="33"/>
      <c r="J24" s="33"/>
      <c r="K24" s="33"/>
      <c r="L24" s="33"/>
      <c r="M24" s="33"/>
      <c r="N24" s="33"/>
      <c r="O24" s="33"/>
      <c r="P24" s="33"/>
      <c r="Q24" s="33"/>
      <c r="R24" s="33"/>
      <c r="S24" s="33"/>
      <c r="T24" s="26"/>
      <c r="W24" s="77" t="s">
        <v>15</v>
      </c>
      <c r="X24" s="79">
        <v>8.5909999999999997E-3</v>
      </c>
    </row>
    <row r="25" spans="2:24" ht="15" customHeight="1" x14ac:dyDescent="0.25">
      <c r="B25" s="98"/>
      <c r="C25" s="33"/>
      <c r="D25" s="33"/>
      <c r="E25" s="33"/>
      <c r="F25" s="33"/>
      <c r="G25" s="33"/>
      <c r="H25" s="33"/>
      <c r="I25" s="33"/>
      <c r="J25" s="33"/>
      <c r="K25" s="33"/>
      <c r="L25" s="33"/>
      <c r="M25" s="33"/>
      <c r="N25" s="33"/>
      <c r="O25" s="33"/>
      <c r="P25" s="33"/>
      <c r="Q25" s="33"/>
      <c r="R25" s="33"/>
      <c r="S25" s="33"/>
      <c r="T25" s="26"/>
      <c r="W25" s="77" t="s">
        <v>196</v>
      </c>
      <c r="X25" s="79">
        <v>7.6959999999999997E-3</v>
      </c>
    </row>
    <row r="26" spans="2:24" ht="15" customHeight="1" x14ac:dyDescent="0.25">
      <c r="B26" s="98"/>
      <c r="C26" s="104"/>
      <c r="D26" s="104"/>
      <c r="E26" s="105"/>
      <c r="F26" s="33"/>
      <c r="G26" s="33"/>
      <c r="H26" s="33"/>
      <c r="I26" s="33"/>
      <c r="J26" s="33"/>
      <c r="K26" s="33"/>
      <c r="L26" s="33"/>
      <c r="M26" s="33"/>
      <c r="N26" s="33"/>
      <c r="O26" s="33"/>
      <c r="P26" s="33"/>
      <c r="Q26" s="33"/>
      <c r="R26" s="33"/>
      <c r="S26" s="33"/>
      <c r="T26" s="26"/>
      <c r="W26" s="77" t="s">
        <v>13</v>
      </c>
      <c r="X26" s="79">
        <v>7.0800000000000004E-3</v>
      </c>
    </row>
    <row r="27" spans="2:24" ht="15" customHeight="1" x14ac:dyDescent="0.25">
      <c r="B27" s="98"/>
      <c r="C27" s="63"/>
      <c r="D27" s="63"/>
      <c r="E27" s="106"/>
      <c r="F27" s="33"/>
      <c r="G27" s="33"/>
      <c r="H27" s="33"/>
      <c r="I27" s="33"/>
      <c r="J27" s="33"/>
      <c r="K27" s="33"/>
      <c r="L27" s="33"/>
      <c r="M27" s="33"/>
      <c r="N27" s="33"/>
      <c r="O27" s="33"/>
      <c r="P27" s="33"/>
      <c r="Q27" s="33"/>
      <c r="R27" s="33"/>
      <c r="S27" s="33"/>
      <c r="T27" s="26"/>
      <c r="W27" s="77" t="s">
        <v>197</v>
      </c>
      <c r="X27" s="79">
        <v>5.9170000000000004E-3</v>
      </c>
    </row>
    <row r="28" spans="2:24" ht="15" customHeight="1" x14ac:dyDescent="0.25">
      <c r="B28" s="98"/>
      <c r="C28" s="104"/>
      <c r="D28" s="107"/>
      <c r="E28" s="108"/>
      <c r="F28" s="33"/>
      <c r="G28" s="33"/>
      <c r="H28" s="33"/>
      <c r="I28" s="33"/>
      <c r="J28" s="33"/>
      <c r="K28" s="33"/>
      <c r="L28" s="33"/>
      <c r="M28" s="33"/>
      <c r="N28" s="33"/>
      <c r="O28" s="33"/>
      <c r="P28" s="33"/>
      <c r="Q28" s="33"/>
      <c r="R28" s="33"/>
      <c r="S28" s="33"/>
      <c r="T28" s="26"/>
      <c r="W28" s="77" t="s">
        <v>178</v>
      </c>
      <c r="X28" s="79">
        <v>5.8399999999999997E-3</v>
      </c>
    </row>
    <row r="29" spans="2:24" ht="15" customHeight="1" x14ac:dyDescent="0.25">
      <c r="B29" s="98"/>
      <c r="C29" s="63"/>
      <c r="D29" s="63"/>
      <c r="E29" s="63"/>
      <c r="F29" s="33"/>
      <c r="G29" s="33"/>
      <c r="H29" s="33"/>
      <c r="I29" s="33"/>
      <c r="J29" s="33"/>
      <c r="K29" s="33"/>
      <c r="L29" s="33"/>
      <c r="M29" s="33"/>
      <c r="N29" s="33"/>
      <c r="O29" s="33"/>
      <c r="P29" s="33"/>
      <c r="Q29" s="33"/>
      <c r="R29" s="33"/>
      <c r="S29" s="33"/>
      <c r="T29" s="26"/>
      <c r="W29" s="77" t="s">
        <v>109</v>
      </c>
      <c r="X29" s="79">
        <v>5.8019999999999999E-3</v>
      </c>
    </row>
    <row r="30" spans="2:24" ht="15" customHeight="1" x14ac:dyDescent="0.25">
      <c r="B30" s="98"/>
      <c r="C30" s="104"/>
      <c r="D30" s="107"/>
      <c r="E30" s="105"/>
      <c r="F30" s="33"/>
      <c r="G30" s="33"/>
      <c r="H30" s="33"/>
      <c r="I30" s="33"/>
      <c r="J30" s="33"/>
      <c r="K30" s="33"/>
      <c r="L30" s="33"/>
      <c r="M30" s="33"/>
      <c r="N30" s="33"/>
      <c r="O30" s="33"/>
      <c r="P30" s="33"/>
      <c r="Q30" s="33"/>
      <c r="R30" s="33"/>
      <c r="S30" s="33"/>
      <c r="T30" s="26"/>
      <c r="W30" s="77" t="s">
        <v>181</v>
      </c>
      <c r="X30" s="79">
        <v>4.7720000000000002E-3</v>
      </c>
    </row>
    <row r="31" spans="2:24" ht="15" customHeight="1" thickBot="1" x14ac:dyDescent="0.3">
      <c r="B31" s="99"/>
      <c r="C31" s="100"/>
      <c r="D31" s="100"/>
      <c r="E31" s="100"/>
      <c r="F31" s="100"/>
      <c r="G31" s="100"/>
      <c r="H31" s="100"/>
      <c r="I31" s="100"/>
      <c r="J31" s="100"/>
      <c r="K31" s="100"/>
      <c r="L31" s="100"/>
      <c r="M31" s="100"/>
      <c r="N31" s="100"/>
      <c r="O31" s="100"/>
      <c r="P31" s="100"/>
      <c r="Q31" s="100"/>
      <c r="R31" s="100"/>
      <c r="S31" s="100"/>
      <c r="T31" s="27"/>
    </row>
    <row r="32" spans="2:24" ht="15" customHeight="1" thickBot="1" x14ac:dyDescent="0.3"/>
    <row r="33" spans="2:14" ht="15" customHeight="1" x14ac:dyDescent="0.25">
      <c r="B33" s="225" t="s">
        <v>117</v>
      </c>
      <c r="C33" s="226"/>
      <c r="D33" s="226"/>
      <c r="E33" s="226"/>
      <c r="F33" s="226"/>
      <c r="G33" s="226"/>
      <c r="H33" s="226"/>
      <c r="I33" s="226"/>
      <c r="J33" s="226"/>
      <c r="K33" s="226"/>
      <c r="L33" s="226"/>
      <c r="M33" s="226"/>
      <c r="N33" s="227"/>
    </row>
    <row r="34" spans="2:14" ht="15" customHeight="1" x14ac:dyDescent="0.25">
      <c r="B34" s="228"/>
      <c r="C34" s="229"/>
      <c r="D34" s="229"/>
      <c r="E34" s="229"/>
      <c r="F34" s="229"/>
      <c r="G34" s="229"/>
      <c r="H34" s="229"/>
      <c r="I34" s="229"/>
      <c r="J34" s="229"/>
      <c r="K34" s="229"/>
      <c r="L34" s="229"/>
      <c r="M34" s="229"/>
      <c r="N34" s="230"/>
    </row>
    <row r="35" spans="2:14" ht="15" customHeight="1" x14ac:dyDescent="0.25">
      <c r="B35" s="228"/>
      <c r="C35" s="229"/>
      <c r="D35" s="229"/>
      <c r="E35" s="229"/>
      <c r="F35" s="229"/>
      <c r="G35" s="229"/>
      <c r="H35" s="229"/>
      <c r="I35" s="229"/>
      <c r="J35" s="229"/>
      <c r="K35" s="229"/>
      <c r="L35" s="229"/>
      <c r="M35" s="229"/>
      <c r="N35" s="230"/>
    </row>
    <row r="36" spans="2:14" ht="15" customHeight="1" x14ac:dyDescent="0.25">
      <c r="B36" s="228"/>
      <c r="C36" s="229"/>
      <c r="D36" s="229"/>
      <c r="E36" s="229"/>
      <c r="F36" s="229"/>
      <c r="G36" s="229"/>
      <c r="H36" s="229"/>
      <c r="I36" s="229"/>
      <c r="J36" s="229"/>
      <c r="K36" s="229"/>
      <c r="L36" s="229"/>
      <c r="M36" s="229"/>
      <c r="N36" s="230"/>
    </row>
    <row r="37" spans="2:14" ht="15" customHeight="1" x14ac:dyDescent="0.25">
      <c r="B37" s="228"/>
      <c r="C37" s="229"/>
      <c r="D37" s="229"/>
      <c r="E37" s="229"/>
      <c r="F37" s="229"/>
      <c r="G37" s="229"/>
      <c r="H37" s="229"/>
      <c r="I37" s="229"/>
      <c r="J37" s="229"/>
      <c r="K37" s="229"/>
      <c r="L37" s="229"/>
      <c r="M37" s="229"/>
      <c r="N37" s="230"/>
    </row>
    <row r="38" spans="2:14" ht="15" customHeight="1" x14ac:dyDescent="0.25">
      <c r="B38" s="228"/>
      <c r="C38" s="229"/>
      <c r="D38" s="229"/>
      <c r="E38" s="229"/>
      <c r="F38" s="229"/>
      <c r="G38" s="229"/>
      <c r="H38" s="229"/>
      <c r="I38" s="229"/>
      <c r="J38" s="229"/>
      <c r="K38" s="229"/>
      <c r="L38" s="229"/>
      <c r="M38" s="229"/>
      <c r="N38" s="230"/>
    </row>
    <row r="39" spans="2:14" ht="15" customHeight="1" thickBot="1" x14ac:dyDescent="0.3">
      <c r="B39" s="231"/>
      <c r="C39" s="232"/>
      <c r="D39" s="232"/>
      <c r="E39" s="232"/>
      <c r="F39" s="232"/>
      <c r="G39" s="232"/>
      <c r="H39" s="232"/>
      <c r="I39" s="232"/>
      <c r="J39" s="232"/>
      <c r="K39" s="232"/>
      <c r="L39" s="232"/>
      <c r="M39" s="232"/>
      <c r="N39" s="233"/>
    </row>
    <row r="40" spans="2:14" ht="15" customHeight="1" x14ac:dyDescent="0.25"/>
    <row r="41" spans="2:14" ht="15" customHeight="1" x14ac:dyDescent="0.25"/>
    <row r="42" spans="2:14" ht="15" customHeight="1" x14ac:dyDescent="0.25"/>
    <row r="43" spans="2:14" ht="15" customHeight="1" x14ac:dyDescent="0.25"/>
    <row r="44" spans="2:14" ht="15" customHeight="1" x14ac:dyDescent="0.25"/>
    <row r="45" spans="2:14" ht="15" customHeight="1" x14ac:dyDescent="0.25"/>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sheetData>
  <sortState ref="W8:X29">
    <sortCondition descending="1" ref="X8"/>
  </sortState>
  <mergeCells count="3">
    <mergeCell ref="C3:S3"/>
    <mergeCell ref="D5:E5"/>
    <mergeCell ref="B33:N39"/>
  </mergeCells>
  <pageMargins left="0" right="0" top="0" bottom="0" header="0" footer="0"/>
  <pageSetup paperSize="9" scale="10" pageOrder="overThenDown" orientation="portrait" r:id="rId1"/>
  <headerFooter alignWithMargins="0"/>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7"/>
  <dimension ref="A1:X64"/>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28.28515625" style="23" customWidth="1"/>
    <col min="5" max="5" width="10.42578125" style="23" bestFit="1" customWidth="1"/>
    <col min="6" max="18" width="9.140625" style="23"/>
    <col min="19" max="19" width="9.85546875" style="23" customWidth="1"/>
    <col min="20" max="20" width="9.140625" style="23"/>
    <col min="21" max="21" width="9.140625" style="23" customWidth="1"/>
    <col min="22" max="22" width="9.140625" style="23" hidden="1" customWidth="1"/>
    <col min="23" max="16384" width="9.140625" style="23"/>
  </cols>
  <sheetData>
    <row r="1" spans="1:24" ht="15.75" customHeight="1" thickBot="1" x14ac:dyDescent="0.3">
      <c r="A1" s="3"/>
    </row>
    <row r="2" spans="1:24" ht="15" customHeight="1" x14ac:dyDescent="0.25">
      <c r="B2" s="96"/>
      <c r="C2" s="97"/>
      <c r="D2" s="97"/>
      <c r="E2" s="97"/>
      <c r="F2" s="97"/>
      <c r="G2" s="97"/>
      <c r="H2" s="97"/>
      <c r="I2" s="97"/>
      <c r="J2" s="97"/>
      <c r="K2" s="97"/>
      <c r="L2" s="97"/>
      <c r="M2" s="97"/>
      <c r="N2" s="97"/>
      <c r="O2" s="97"/>
      <c r="P2" s="97"/>
      <c r="Q2" s="97"/>
      <c r="R2" s="97"/>
      <c r="S2" s="97"/>
      <c r="T2" s="25"/>
    </row>
    <row r="3" spans="1:24" ht="20.25" customHeight="1" x14ac:dyDescent="0.25">
      <c r="B3" s="98"/>
      <c r="C3" s="234" t="s">
        <v>211</v>
      </c>
      <c r="D3" s="235"/>
      <c r="E3" s="235"/>
      <c r="F3" s="235"/>
      <c r="G3" s="235"/>
      <c r="H3" s="235"/>
      <c r="I3" s="235"/>
      <c r="J3" s="235"/>
      <c r="K3" s="235"/>
      <c r="L3" s="235"/>
      <c r="M3" s="235"/>
      <c r="N3" s="235"/>
      <c r="O3" s="235"/>
      <c r="P3" s="235"/>
      <c r="Q3" s="235"/>
      <c r="R3" s="235"/>
      <c r="S3" s="235"/>
      <c r="T3" s="26"/>
    </row>
    <row r="4" spans="1:24" ht="15.75" customHeight="1" x14ac:dyDescent="0.25">
      <c r="B4" s="98"/>
      <c r="C4" s="85" t="s">
        <v>271</v>
      </c>
      <c r="D4" s="33"/>
      <c r="E4" s="33"/>
      <c r="F4" s="33"/>
      <c r="G4" s="33"/>
      <c r="H4" s="33"/>
      <c r="I4" s="33"/>
      <c r="J4" s="33"/>
      <c r="K4" s="33"/>
      <c r="L4" s="33"/>
      <c r="M4" s="33"/>
      <c r="N4" s="33"/>
      <c r="O4" s="33"/>
      <c r="P4" s="33"/>
      <c r="Q4" s="33"/>
      <c r="R4" s="33"/>
      <c r="S4" s="33"/>
      <c r="T4" s="26"/>
    </row>
    <row r="5" spans="1:24" ht="18" customHeight="1" x14ac:dyDescent="0.25">
      <c r="B5" s="98"/>
      <c r="C5" s="86" t="s">
        <v>272</v>
      </c>
      <c r="D5" s="238" t="s">
        <v>294</v>
      </c>
      <c r="E5" s="238"/>
      <c r="F5" s="33"/>
      <c r="G5" s="33"/>
      <c r="H5" s="33"/>
      <c r="I5" s="33"/>
      <c r="J5" s="33"/>
      <c r="K5" s="33"/>
      <c r="L5" s="33"/>
      <c r="M5" s="33"/>
      <c r="N5" s="33"/>
      <c r="O5" s="33"/>
      <c r="P5" s="33"/>
      <c r="Q5" s="33"/>
      <c r="R5" s="33"/>
      <c r="S5" s="33"/>
      <c r="T5" s="26"/>
    </row>
    <row r="6" spans="1:24" ht="15" customHeight="1" x14ac:dyDescent="0.25">
      <c r="B6" s="98"/>
      <c r="C6" s="33"/>
      <c r="D6" s="33"/>
      <c r="E6" s="33"/>
      <c r="F6" s="33"/>
      <c r="G6" s="33"/>
      <c r="H6" s="33"/>
      <c r="I6" s="33"/>
      <c r="J6" s="33"/>
      <c r="K6" s="33"/>
      <c r="L6" s="33"/>
      <c r="M6" s="33"/>
      <c r="N6" s="33"/>
      <c r="O6" s="33"/>
      <c r="P6" s="33"/>
      <c r="Q6" s="33"/>
      <c r="R6" s="33"/>
      <c r="S6" s="33"/>
      <c r="T6" s="26"/>
    </row>
    <row r="7" spans="1:24" ht="32.25" customHeight="1" x14ac:dyDescent="0.25">
      <c r="B7" s="98"/>
      <c r="C7" s="87" t="s">
        <v>0</v>
      </c>
      <c r="D7" s="88" t="s">
        <v>1</v>
      </c>
      <c r="E7" s="89" t="s">
        <v>2</v>
      </c>
      <c r="F7" s="33"/>
      <c r="G7" s="33"/>
      <c r="H7" s="33"/>
      <c r="I7" s="33"/>
      <c r="J7" s="33"/>
      <c r="K7" s="33"/>
      <c r="L7" s="33"/>
      <c r="M7" s="33"/>
      <c r="N7" s="33"/>
      <c r="O7" s="33"/>
      <c r="P7" s="33"/>
      <c r="Q7" s="33"/>
      <c r="R7" s="33"/>
      <c r="S7" s="33"/>
      <c r="T7" s="26"/>
      <c r="W7" s="45" t="s">
        <v>22</v>
      </c>
      <c r="X7" s="45" t="s">
        <v>2</v>
      </c>
    </row>
    <row r="8" spans="1:24" ht="15" customHeight="1" x14ac:dyDescent="0.25">
      <c r="B8" s="98"/>
      <c r="C8" s="15" t="s">
        <v>33</v>
      </c>
      <c r="D8" s="17" t="s">
        <v>6</v>
      </c>
      <c r="E8" s="19">
        <v>0.12743199999999999</v>
      </c>
      <c r="F8" s="33"/>
      <c r="G8" s="33"/>
      <c r="H8" s="33"/>
      <c r="I8" s="33"/>
      <c r="J8" s="33"/>
      <c r="K8" s="33"/>
      <c r="L8" s="33"/>
      <c r="M8" s="33"/>
      <c r="N8" s="33"/>
      <c r="O8" s="33"/>
      <c r="P8" s="33"/>
      <c r="Q8" s="33"/>
      <c r="R8" s="33"/>
      <c r="S8" s="33"/>
      <c r="T8" s="26"/>
      <c r="W8" s="68" t="s">
        <v>3</v>
      </c>
      <c r="X8" s="69">
        <v>0.31200600000000001</v>
      </c>
    </row>
    <row r="9" spans="1:24" ht="15.75" customHeight="1" x14ac:dyDescent="0.25">
      <c r="B9" s="98"/>
      <c r="C9" s="16" t="s">
        <v>30</v>
      </c>
      <c r="D9" s="18" t="s">
        <v>3</v>
      </c>
      <c r="E9" s="20">
        <v>0.10316400000000001</v>
      </c>
      <c r="F9" s="33"/>
      <c r="G9" s="33"/>
      <c r="H9" s="33"/>
      <c r="I9" s="33"/>
      <c r="J9" s="33"/>
      <c r="K9" s="33"/>
      <c r="L9" s="33"/>
      <c r="M9" s="33"/>
      <c r="N9" s="33"/>
      <c r="O9" s="33"/>
      <c r="P9" s="33"/>
      <c r="Q9" s="33"/>
      <c r="R9" s="33"/>
      <c r="S9" s="33"/>
      <c r="T9" s="26"/>
      <c r="W9" s="68" t="s">
        <v>169</v>
      </c>
      <c r="X9" s="69">
        <v>0.161519</v>
      </c>
    </row>
    <row r="10" spans="1:24" ht="15.75" x14ac:dyDescent="0.25">
      <c r="B10" s="98"/>
      <c r="C10" s="16" t="s">
        <v>34</v>
      </c>
      <c r="D10" s="18" t="s">
        <v>3</v>
      </c>
      <c r="E10" s="20">
        <v>9.0687000000000004E-2</v>
      </c>
      <c r="F10" s="33"/>
      <c r="G10" s="33"/>
      <c r="H10" s="33"/>
      <c r="I10" s="33"/>
      <c r="J10" s="33"/>
      <c r="K10" s="33"/>
      <c r="L10" s="33"/>
      <c r="M10" s="33"/>
      <c r="N10" s="33"/>
      <c r="O10" s="33"/>
      <c r="P10" s="33"/>
      <c r="Q10" s="33"/>
      <c r="R10" s="33"/>
      <c r="S10" s="33"/>
      <c r="T10" s="26"/>
      <c r="W10" s="68" t="s">
        <v>6</v>
      </c>
      <c r="X10" s="69">
        <v>0.12743199999999999</v>
      </c>
    </row>
    <row r="11" spans="1:24" ht="15.75" customHeight="1" x14ac:dyDescent="0.25">
      <c r="B11" s="98"/>
      <c r="C11" s="16" t="s">
        <v>29</v>
      </c>
      <c r="D11" s="18" t="s">
        <v>169</v>
      </c>
      <c r="E11" s="20">
        <v>8.0288999999999999E-2</v>
      </c>
      <c r="F11" s="33"/>
      <c r="G11" s="33"/>
      <c r="H11" s="33"/>
      <c r="I11" s="33"/>
      <c r="J11" s="33"/>
      <c r="K11" s="33"/>
      <c r="L11" s="33"/>
      <c r="M11" s="33"/>
      <c r="N11" s="33"/>
      <c r="O11" s="33"/>
      <c r="P11" s="33"/>
      <c r="Q11" s="33"/>
      <c r="R11" s="33"/>
      <c r="S11" s="33"/>
      <c r="T11" s="26"/>
      <c r="W11" s="68" t="s">
        <v>4</v>
      </c>
      <c r="X11" s="69">
        <v>0.10728</v>
      </c>
    </row>
    <row r="12" spans="1:24" ht="15" customHeight="1" x14ac:dyDescent="0.25">
      <c r="B12" s="98"/>
      <c r="C12" s="16" t="s">
        <v>31</v>
      </c>
      <c r="D12" s="18" t="s">
        <v>4</v>
      </c>
      <c r="E12" s="20">
        <v>6.8845000000000003E-2</v>
      </c>
      <c r="F12" s="33"/>
      <c r="G12" s="33"/>
      <c r="H12" s="33"/>
      <c r="I12" s="33"/>
      <c r="J12" s="33"/>
      <c r="K12" s="33"/>
      <c r="L12" s="33"/>
      <c r="M12" s="33"/>
      <c r="N12" s="33"/>
      <c r="O12" s="33"/>
      <c r="P12" s="33"/>
      <c r="Q12" s="33"/>
      <c r="R12" s="33"/>
      <c r="S12" s="33"/>
      <c r="T12" s="26"/>
      <c r="W12" s="68" t="s">
        <v>180</v>
      </c>
      <c r="X12" s="69">
        <v>7.5552000000000008E-2</v>
      </c>
    </row>
    <row r="13" spans="1:24" ht="15" customHeight="1" x14ac:dyDescent="0.25">
      <c r="B13" s="98"/>
      <c r="C13" s="16" t="s">
        <v>35</v>
      </c>
      <c r="D13" s="18" t="s">
        <v>169</v>
      </c>
      <c r="E13" s="20">
        <v>4.7960000000000003E-2</v>
      </c>
      <c r="F13" s="33"/>
      <c r="G13" s="33"/>
      <c r="H13" s="33"/>
      <c r="I13" s="33"/>
      <c r="J13" s="33"/>
      <c r="K13" s="33"/>
      <c r="L13" s="33"/>
      <c r="M13" s="33"/>
      <c r="N13" s="33"/>
      <c r="O13" s="33"/>
      <c r="P13" s="33"/>
      <c r="Q13" s="33"/>
      <c r="R13" s="33"/>
      <c r="S13" s="33"/>
      <c r="T13" s="26"/>
      <c r="W13" s="68" t="s">
        <v>175</v>
      </c>
      <c r="X13" s="69">
        <v>4.2414E-2</v>
      </c>
    </row>
    <row r="14" spans="1:24" ht="15" customHeight="1" x14ac:dyDescent="0.25">
      <c r="B14" s="98"/>
      <c r="C14" s="16" t="s">
        <v>32</v>
      </c>
      <c r="D14" s="18" t="s">
        <v>180</v>
      </c>
      <c r="E14" s="20">
        <v>4.2417000000000003E-2</v>
      </c>
      <c r="F14" s="33"/>
      <c r="G14" s="33"/>
      <c r="H14" s="33"/>
      <c r="I14" s="33"/>
      <c r="J14" s="33"/>
      <c r="K14" s="33"/>
      <c r="L14" s="33"/>
      <c r="M14" s="33"/>
      <c r="N14" s="33"/>
      <c r="O14" s="33"/>
      <c r="P14" s="33"/>
      <c r="Q14" s="33"/>
      <c r="R14" s="33"/>
      <c r="S14" s="33"/>
      <c r="T14" s="26"/>
      <c r="W14" s="68" t="s">
        <v>23</v>
      </c>
      <c r="X14" s="69">
        <v>3.5777999999999997E-2</v>
      </c>
    </row>
    <row r="15" spans="1:24" ht="15" customHeight="1" x14ac:dyDescent="0.25">
      <c r="B15" s="98"/>
      <c r="C15" s="16" t="s">
        <v>37</v>
      </c>
      <c r="D15" s="18" t="s">
        <v>3</v>
      </c>
      <c r="E15" s="20">
        <v>3.7182E-2</v>
      </c>
      <c r="F15" s="33"/>
      <c r="G15" s="33"/>
      <c r="H15" s="33"/>
      <c r="I15" s="33"/>
      <c r="J15" s="33"/>
      <c r="K15" s="33"/>
      <c r="L15" s="33"/>
      <c r="M15" s="33"/>
      <c r="N15" s="33"/>
      <c r="O15" s="33"/>
      <c r="P15" s="33"/>
      <c r="Q15" s="33"/>
      <c r="R15" s="33"/>
      <c r="S15" s="33"/>
      <c r="T15" s="26"/>
      <c r="W15" s="68" t="s">
        <v>16</v>
      </c>
      <c r="X15" s="69">
        <v>3.5361000000000004E-2</v>
      </c>
    </row>
    <row r="16" spans="1:24" ht="15" customHeight="1" x14ac:dyDescent="0.25">
      <c r="B16" s="98"/>
      <c r="C16" s="16" t="s">
        <v>38</v>
      </c>
      <c r="D16" s="18" t="s">
        <v>3</v>
      </c>
      <c r="E16" s="20">
        <v>3.6988E-2</v>
      </c>
      <c r="F16" s="33"/>
      <c r="G16" s="33"/>
      <c r="H16" s="33"/>
      <c r="I16" s="33"/>
      <c r="J16" s="33"/>
      <c r="K16" s="33"/>
      <c r="L16" s="33"/>
      <c r="M16" s="33"/>
      <c r="N16" s="33"/>
      <c r="O16" s="33"/>
      <c r="P16" s="33"/>
      <c r="Q16" s="33"/>
      <c r="R16" s="33"/>
      <c r="S16" s="33"/>
      <c r="T16" s="26"/>
      <c r="W16" s="68" t="s">
        <v>12</v>
      </c>
      <c r="X16" s="69">
        <v>2.8471E-2</v>
      </c>
    </row>
    <row r="17" spans="2:24" ht="15" customHeight="1" x14ac:dyDescent="0.25">
      <c r="B17" s="98"/>
      <c r="C17" s="16" t="s">
        <v>36</v>
      </c>
      <c r="D17" s="18" t="s">
        <v>23</v>
      </c>
      <c r="E17" s="20">
        <v>3.5777999999999997E-2</v>
      </c>
      <c r="F17" s="33"/>
      <c r="G17" s="33"/>
      <c r="H17" s="33"/>
      <c r="I17" s="33"/>
      <c r="J17" s="33"/>
      <c r="K17" s="33"/>
      <c r="L17" s="33"/>
      <c r="M17" s="33"/>
      <c r="N17" s="33"/>
      <c r="O17" s="33"/>
      <c r="P17" s="33"/>
      <c r="Q17" s="33"/>
      <c r="R17" s="33"/>
      <c r="S17" s="33"/>
      <c r="T17" s="26"/>
      <c r="W17" s="68" t="s">
        <v>10</v>
      </c>
      <c r="X17" s="69">
        <v>2.1471000000000001E-2</v>
      </c>
    </row>
    <row r="18" spans="2:24" ht="15" customHeight="1" x14ac:dyDescent="0.25">
      <c r="B18" s="98"/>
      <c r="C18" s="16" t="s">
        <v>39</v>
      </c>
      <c r="D18" s="18" t="s">
        <v>180</v>
      </c>
      <c r="E18" s="20">
        <v>3.3134999999999998E-2</v>
      </c>
      <c r="F18" s="33"/>
      <c r="G18" s="33"/>
      <c r="H18" s="33"/>
      <c r="I18" s="33"/>
      <c r="J18" s="33"/>
      <c r="K18" s="33"/>
      <c r="L18" s="33"/>
      <c r="M18" s="33"/>
      <c r="N18" s="33"/>
      <c r="O18" s="33"/>
      <c r="P18" s="33"/>
      <c r="Q18" s="33"/>
      <c r="R18" s="33"/>
      <c r="S18" s="33"/>
      <c r="T18" s="26"/>
      <c r="W18" s="68" t="s">
        <v>174</v>
      </c>
      <c r="X18" s="69">
        <v>1.5278999999999999E-2</v>
      </c>
    </row>
    <row r="19" spans="2:24" ht="15" customHeight="1" x14ac:dyDescent="0.25">
      <c r="B19" s="98"/>
      <c r="C19" s="16" t="s">
        <v>113</v>
      </c>
      <c r="D19" s="18" t="s">
        <v>3</v>
      </c>
      <c r="E19" s="20">
        <v>3.2767999999999999E-2</v>
      </c>
      <c r="F19" s="33"/>
      <c r="G19" s="33"/>
      <c r="H19" s="33"/>
      <c r="I19" s="33"/>
      <c r="J19" s="33"/>
      <c r="K19" s="33"/>
      <c r="L19" s="33"/>
      <c r="M19" s="33"/>
      <c r="N19" s="33"/>
      <c r="O19" s="33"/>
      <c r="P19" s="33"/>
      <c r="Q19" s="33"/>
      <c r="R19" s="33"/>
      <c r="S19" s="33"/>
      <c r="T19" s="26"/>
      <c r="W19" s="68" t="s">
        <v>11</v>
      </c>
      <c r="X19" s="69">
        <v>1.2949E-2</v>
      </c>
    </row>
    <row r="20" spans="2:24" ht="15" customHeight="1" x14ac:dyDescent="0.25">
      <c r="B20" s="98"/>
      <c r="C20" s="16" t="s">
        <v>93</v>
      </c>
      <c r="D20" s="18" t="s">
        <v>12</v>
      </c>
      <c r="E20" s="20">
        <v>2.8471E-2</v>
      </c>
      <c r="F20" s="33"/>
      <c r="G20" s="33"/>
      <c r="H20" s="33"/>
      <c r="I20" s="33"/>
      <c r="J20" s="33"/>
      <c r="K20" s="33"/>
      <c r="L20" s="33"/>
      <c r="M20" s="33"/>
      <c r="N20" s="33"/>
      <c r="O20" s="33"/>
      <c r="P20" s="33"/>
      <c r="Q20" s="33"/>
      <c r="R20" s="33"/>
      <c r="S20" s="33"/>
      <c r="T20" s="26"/>
      <c r="W20" s="68" t="s">
        <v>119</v>
      </c>
      <c r="X20" s="69">
        <v>1.1549E-2</v>
      </c>
    </row>
    <row r="21" spans="2:24" ht="15" customHeight="1" x14ac:dyDescent="0.25">
      <c r="B21" s="98"/>
      <c r="C21" s="16" t="s">
        <v>115</v>
      </c>
      <c r="D21" s="18" t="s">
        <v>4</v>
      </c>
      <c r="E21" s="20">
        <v>2.4729999999999999E-2</v>
      </c>
      <c r="F21" s="33"/>
      <c r="G21" s="33"/>
      <c r="H21" s="33"/>
      <c r="I21" s="33"/>
      <c r="J21" s="33"/>
      <c r="K21" s="33"/>
      <c r="L21" s="33"/>
      <c r="M21" s="33"/>
      <c r="N21" s="33"/>
      <c r="O21" s="33"/>
      <c r="P21" s="33"/>
      <c r="Q21" s="33"/>
      <c r="R21" s="33"/>
      <c r="S21" s="33"/>
      <c r="T21" s="26"/>
      <c r="W21" s="68" t="s">
        <v>170</v>
      </c>
      <c r="X21" s="69">
        <v>8.6739999999999994E-3</v>
      </c>
    </row>
    <row r="22" spans="2:24" ht="15" customHeight="1" x14ac:dyDescent="0.25">
      <c r="B22" s="98"/>
      <c r="C22" s="16" t="s">
        <v>40</v>
      </c>
      <c r="D22" s="18" t="s">
        <v>16</v>
      </c>
      <c r="E22" s="20">
        <v>1.984E-2</v>
      </c>
      <c r="F22" s="33"/>
      <c r="G22" s="33"/>
      <c r="H22" s="33"/>
      <c r="I22" s="33"/>
      <c r="J22" s="33"/>
      <c r="K22" s="33"/>
      <c r="L22" s="33"/>
      <c r="M22" s="33"/>
      <c r="N22" s="33"/>
      <c r="O22" s="33"/>
      <c r="P22" s="33"/>
      <c r="Q22" s="33"/>
      <c r="R22" s="33"/>
      <c r="S22" s="33"/>
      <c r="T22" s="26"/>
    </row>
    <row r="23" spans="2:24" ht="15" customHeight="1" x14ac:dyDescent="0.25">
      <c r="B23" s="98"/>
      <c r="C23" s="90"/>
      <c r="D23" s="90"/>
      <c r="E23" s="91"/>
      <c r="F23" s="33"/>
      <c r="G23" s="33"/>
      <c r="H23" s="33"/>
      <c r="I23" s="33"/>
      <c r="J23" s="33"/>
      <c r="K23" s="33"/>
      <c r="L23" s="33"/>
      <c r="M23" s="33"/>
      <c r="N23" s="33"/>
      <c r="O23" s="33"/>
      <c r="P23" s="33"/>
      <c r="Q23" s="33"/>
      <c r="R23" s="33"/>
      <c r="S23" s="33"/>
      <c r="T23" s="26"/>
      <c r="W23" s="68"/>
      <c r="X23" s="69"/>
    </row>
    <row r="24" spans="2:24" ht="15" customHeight="1" x14ac:dyDescent="0.25">
      <c r="B24" s="98"/>
      <c r="C24" s="92" t="s">
        <v>64</v>
      </c>
      <c r="D24" s="93"/>
      <c r="E24" s="94">
        <f>SUM(E8:E22)</f>
        <v>0.80968600000000013</v>
      </c>
      <c r="F24" s="33"/>
      <c r="G24" s="33"/>
      <c r="H24" s="33"/>
      <c r="I24" s="33"/>
      <c r="J24" s="33"/>
      <c r="K24" s="33"/>
      <c r="L24" s="33"/>
      <c r="M24" s="33"/>
      <c r="N24" s="33"/>
      <c r="O24" s="33"/>
      <c r="P24" s="33"/>
      <c r="Q24" s="33"/>
      <c r="R24" s="33"/>
      <c r="S24" s="33"/>
      <c r="T24" s="26"/>
      <c r="W24" s="68"/>
      <c r="X24" s="69"/>
    </row>
    <row r="25" spans="2:24" ht="15" customHeight="1" x14ac:dyDescent="0.25">
      <c r="B25" s="98"/>
      <c r="F25" s="33"/>
      <c r="G25" s="33"/>
      <c r="H25" s="33"/>
      <c r="I25" s="33"/>
      <c r="J25" s="33"/>
      <c r="K25" s="33"/>
      <c r="L25" s="33"/>
      <c r="M25" s="33"/>
      <c r="N25" s="33"/>
      <c r="O25" s="33"/>
      <c r="P25" s="33"/>
      <c r="Q25" s="33"/>
      <c r="R25" s="33"/>
      <c r="S25" s="33"/>
      <c r="T25" s="26"/>
      <c r="W25" s="68"/>
      <c r="X25" s="69"/>
    </row>
    <row r="26" spans="2:24" ht="15" customHeight="1" x14ac:dyDescent="0.25">
      <c r="B26" s="98"/>
      <c r="F26" s="33"/>
      <c r="G26" s="33"/>
      <c r="H26" s="33"/>
      <c r="I26" s="33"/>
      <c r="J26" s="33"/>
      <c r="K26" s="33"/>
      <c r="L26" s="33"/>
      <c r="M26" s="33"/>
      <c r="N26" s="33"/>
      <c r="O26" s="33"/>
      <c r="P26" s="33"/>
      <c r="Q26" s="33"/>
      <c r="R26" s="33"/>
      <c r="S26" s="33"/>
      <c r="T26" s="26"/>
      <c r="W26" s="68"/>
      <c r="X26" s="69"/>
    </row>
    <row r="27" spans="2:24" ht="15" customHeight="1" x14ac:dyDescent="0.25">
      <c r="B27" s="98"/>
      <c r="F27" s="33"/>
      <c r="G27" s="33"/>
      <c r="H27" s="33"/>
      <c r="I27" s="33"/>
      <c r="J27" s="33"/>
      <c r="K27" s="33"/>
      <c r="L27" s="33"/>
      <c r="M27" s="33"/>
      <c r="N27" s="33"/>
      <c r="O27" s="33"/>
      <c r="P27" s="33"/>
      <c r="Q27" s="33"/>
      <c r="R27" s="33"/>
      <c r="S27" s="33"/>
      <c r="T27" s="26"/>
      <c r="W27" s="68"/>
      <c r="X27" s="69"/>
    </row>
    <row r="28" spans="2:24" ht="15" customHeight="1" x14ac:dyDescent="0.25">
      <c r="B28" s="98"/>
      <c r="F28" s="33"/>
      <c r="G28" s="33"/>
      <c r="H28" s="33"/>
      <c r="I28" s="33"/>
      <c r="J28" s="33"/>
      <c r="K28" s="33"/>
      <c r="L28" s="33"/>
      <c r="M28" s="33"/>
      <c r="N28" s="33"/>
      <c r="O28" s="33"/>
      <c r="P28" s="33"/>
      <c r="Q28" s="33"/>
      <c r="R28" s="33"/>
      <c r="S28" s="33"/>
      <c r="T28" s="26"/>
      <c r="W28" s="68"/>
      <c r="X28" s="69"/>
    </row>
    <row r="29" spans="2:24" ht="15" customHeight="1" x14ac:dyDescent="0.25">
      <c r="B29" s="98"/>
      <c r="F29" s="33"/>
      <c r="G29" s="33"/>
      <c r="H29" s="33"/>
      <c r="I29" s="33"/>
      <c r="J29" s="33"/>
      <c r="K29" s="33"/>
      <c r="L29" s="33"/>
      <c r="M29" s="33"/>
      <c r="N29" s="33"/>
      <c r="O29" s="33"/>
      <c r="P29" s="33"/>
      <c r="Q29" s="33"/>
      <c r="R29" s="33"/>
      <c r="S29" s="33"/>
      <c r="T29" s="26"/>
      <c r="W29" s="68"/>
      <c r="X29" s="69"/>
    </row>
    <row r="30" spans="2:24" ht="15" customHeight="1" x14ac:dyDescent="0.25">
      <c r="B30" s="98"/>
      <c r="F30" s="33"/>
      <c r="G30" s="33"/>
      <c r="H30" s="33"/>
      <c r="I30" s="33"/>
      <c r="J30" s="33"/>
      <c r="K30" s="33"/>
      <c r="L30" s="33"/>
      <c r="M30" s="33"/>
      <c r="N30" s="33"/>
      <c r="O30" s="33"/>
      <c r="P30" s="33"/>
      <c r="Q30" s="33"/>
      <c r="R30" s="33"/>
      <c r="S30" s="33"/>
      <c r="T30" s="26"/>
      <c r="W30" s="68"/>
      <c r="X30" s="69"/>
    </row>
    <row r="31" spans="2:24" ht="15" customHeight="1" x14ac:dyDescent="0.25">
      <c r="B31" s="98"/>
      <c r="F31" s="33"/>
      <c r="G31" s="33"/>
      <c r="H31" s="33"/>
      <c r="I31" s="33"/>
      <c r="J31" s="33"/>
      <c r="K31" s="33"/>
      <c r="L31" s="33"/>
      <c r="M31" s="33"/>
      <c r="N31" s="33"/>
      <c r="O31" s="33"/>
      <c r="P31" s="33"/>
      <c r="Q31" s="33"/>
      <c r="R31" s="33"/>
      <c r="S31" s="33"/>
      <c r="T31" s="26"/>
      <c r="W31" s="68"/>
      <c r="X31" s="69"/>
    </row>
    <row r="32" spans="2:24" ht="15" customHeight="1" x14ac:dyDescent="0.25">
      <c r="B32" s="98"/>
      <c r="F32" s="33"/>
      <c r="G32" s="33"/>
      <c r="H32" s="33"/>
      <c r="I32" s="33"/>
      <c r="J32" s="33"/>
      <c r="K32" s="33"/>
      <c r="L32" s="33"/>
      <c r="M32" s="33"/>
      <c r="N32" s="33"/>
      <c r="O32" s="33"/>
      <c r="P32" s="33"/>
      <c r="Q32" s="33"/>
      <c r="R32" s="33"/>
      <c r="S32" s="33"/>
      <c r="T32" s="26"/>
      <c r="W32" s="68"/>
      <c r="X32" s="69"/>
    </row>
    <row r="33" spans="2:24" ht="15" customHeight="1" x14ac:dyDescent="0.25">
      <c r="B33" s="98"/>
      <c r="F33" s="33"/>
      <c r="G33" s="33"/>
      <c r="H33" s="33"/>
      <c r="I33" s="33"/>
      <c r="J33" s="33"/>
      <c r="K33" s="33"/>
      <c r="L33" s="33"/>
      <c r="M33" s="33"/>
      <c r="N33" s="33"/>
      <c r="O33" s="33"/>
      <c r="P33" s="33"/>
      <c r="Q33" s="33"/>
      <c r="R33" s="33"/>
      <c r="S33" s="33"/>
      <c r="T33" s="26"/>
      <c r="W33" s="68"/>
      <c r="X33" s="69"/>
    </row>
    <row r="34" spans="2:24" ht="15" customHeight="1" x14ac:dyDescent="0.25">
      <c r="B34" s="98"/>
      <c r="F34" s="33"/>
      <c r="G34" s="33"/>
      <c r="H34" s="33"/>
      <c r="I34" s="33"/>
      <c r="J34" s="33"/>
      <c r="K34" s="33"/>
      <c r="L34" s="33"/>
      <c r="M34" s="33"/>
      <c r="N34" s="33"/>
      <c r="O34" s="33"/>
      <c r="P34" s="33"/>
      <c r="Q34" s="33"/>
      <c r="R34" s="33"/>
      <c r="S34" s="33"/>
      <c r="T34" s="26"/>
      <c r="W34" s="68"/>
      <c r="X34" s="69"/>
    </row>
    <row r="35" spans="2:24" ht="15" customHeight="1" x14ac:dyDescent="0.25">
      <c r="B35" s="98"/>
      <c r="F35" s="33"/>
      <c r="G35" s="33"/>
      <c r="H35" s="33"/>
      <c r="I35" s="33"/>
      <c r="J35" s="33"/>
      <c r="K35" s="33"/>
      <c r="L35" s="33"/>
      <c r="M35" s="33"/>
      <c r="N35" s="33"/>
      <c r="O35" s="33"/>
      <c r="P35" s="33"/>
      <c r="Q35" s="33"/>
      <c r="R35" s="33"/>
      <c r="S35" s="33"/>
      <c r="T35" s="26"/>
      <c r="W35" s="68"/>
      <c r="X35" s="69"/>
    </row>
    <row r="36" spans="2:24" ht="15" customHeight="1" x14ac:dyDescent="0.25">
      <c r="B36" s="98"/>
      <c r="F36" s="33"/>
      <c r="G36" s="33"/>
      <c r="H36" s="33"/>
      <c r="I36" s="33"/>
      <c r="J36" s="33"/>
      <c r="K36" s="33"/>
      <c r="L36" s="33"/>
      <c r="M36" s="33"/>
      <c r="N36" s="33"/>
      <c r="O36" s="33"/>
      <c r="P36" s="33"/>
      <c r="Q36" s="33"/>
      <c r="R36" s="33"/>
      <c r="S36" s="33"/>
      <c r="T36" s="26"/>
      <c r="W36" s="68"/>
      <c r="X36" s="69"/>
    </row>
    <row r="37" spans="2:24" ht="15" customHeight="1" thickBot="1" x14ac:dyDescent="0.3">
      <c r="B37" s="99"/>
      <c r="C37" s="100"/>
      <c r="D37" s="100"/>
      <c r="E37" s="100"/>
      <c r="F37" s="100"/>
      <c r="G37" s="100"/>
      <c r="H37" s="100"/>
      <c r="I37" s="100"/>
      <c r="J37" s="100"/>
      <c r="K37" s="100"/>
      <c r="L37" s="100"/>
      <c r="M37" s="100"/>
      <c r="N37" s="100"/>
      <c r="O37" s="100"/>
      <c r="P37" s="100"/>
      <c r="Q37" s="100"/>
      <c r="R37" s="100"/>
      <c r="S37" s="100"/>
      <c r="T37" s="27"/>
    </row>
    <row r="38" spans="2:24" ht="15" customHeight="1" thickBot="1" x14ac:dyDescent="0.3"/>
    <row r="39" spans="2:24" ht="15" customHeight="1" x14ac:dyDescent="0.25">
      <c r="B39" s="225" t="s">
        <v>117</v>
      </c>
      <c r="C39" s="226"/>
      <c r="D39" s="226"/>
      <c r="E39" s="226"/>
      <c r="F39" s="226"/>
      <c r="G39" s="226"/>
      <c r="H39" s="226"/>
      <c r="I39" s="226"/>
      <c r="J39" s="226"/>
      <c r="K39" s="226"/>
      <c r="L39" s="226"/>
      <c r="M39" s="226"/>
      <c r="N39" s="227"/>
    </row>
    <row r="40" spans="2:24" ht="15" customHeight="1" x14ac:dyDescent="0.25">
      <c r="B40" s="228"/>
      <c r="C40" s="229"/>
      <c r="D40" s="229"/>
      <c r="E40" s="229"/>
      <c r="F40" s="229"/>
      <c r="G40" s="229"/>
      <c r="H40" s="229"/>
      <c r="I40" s="229"/>
      <c r="J40" s="229"/>
      <c r="K40" s="229"/>
      <c r="L40" s="229"/>
      <c r="M40" s="229"/>
      <c r="N40" s="230"/>
    </row>
    <row r="41" spans="2:24" ht="15" customHeight="1" x14ac:dyDescent="0.25">
      <c r="B41" s="228"/>
      <c r="C41" s="229"/>
      <c r="D41" s="229"/>
      <c r="E41" s="229"/>
      <c r="F41" s="229"/>
      <c r="G41" s="229"/>
      <c r="H41" s="229"/>
      <c r="I41" s="229"/>
      <c r="J41" s="229"/>
      <c r="K41" s="229"/>
      <c r="L41" s="229"/>
      <c r="M41" s="229"/>
      <c r="N41" s="230"/>
    </row>
    <row r="42" spans="2:24" ht="15" customHeight="1" x14ac:dyDescent="0.25">
      <c r="B42" s="228"/>
      <c r="C42" s="229"/>
      <c r="D42" s="229"/>
      <c r="E42" s="229"/>
      <c r="F42" s="229"/>
      <c r="G42" s="229"/>
      <c r="H42" s="229"/>
      <c r="I42" s="229"/>
      <c r="J42" s="229"/>
      <c r="K42" s="229"/>
      <c r="L42" s="229"/>
      <c r="M42" s="229"/>
      <c r="N42" s="230"/>
    </row>
    <row r="43" spans="2:24" ht="15" customHeight="1" x14ac:dyDescent="0.25">
      <c r="B43" s="228"/>
      <c r="C43" s="229"/>
      <c r="D43" s="229"/>
      <c r="E43" s="229"/>
      <c r="F43" s="229"/>
      <c r="G43" s="229"/>
      <c r="H43" s="229"/>
      <c r="I43" s="229"/>
      <c r="J43" s="229"/>
      <c r="K43" s="229"/>
      <c r="L43" s="229"/>
      <c r="M43" s="229"/>
      <c r="N43" s="230"/>
    </row>
    <row r="44" spans="2:24" ht="15" customHeight="1" x14ac:dyDescent="0.25">
      <c r="B44" s="228"/>
      <c r="C44" s="229"/>
      <c r="D44" s="229"/>
      <c r="E44" s="229"/>
      <c r="F44" s="229"/>
      <c r="G44" s="229"/>
      <c r="H44" s="229"/>
      <c r="I44" s="229"/>
      <c r="J44" s="229"/>
      <c r="K44" s="229"/>
      <c r="L44" s="229"/>
      <c r="M44" s="229"/>
      <c r="N44" s="230"/>
    </row>
    <row r="45" spans="2:24" ht="15" customHeight="1" thickBot="1" x14ac:dyDescent="0.3">
      <c r="B45" s="231"/>
      <c r="C45" s="232"/>
      <c r="D45" s="232"/>
      <c r="E45" s="232"/>
      <c r="F45" s="232"/>
      <c r="G45" s="232"/>
      <c r="H45" s="232"/>
      <c r="I45" s="232"/>
      <c r="J45" s="232"/>
      <c r="K45" s="232"/>
      <c r="L45" s="232"/>
      <c r="M45" s="232"/>
      <c r="N45" s="233"/>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1">
    <sortCondition descending="1" ref="X8:X21"/>
  </sortState>
  <mergeCells count="3">
    <mergeCell ref="C3:S3"/>
    <mergeCell ref="D5:E5"/>
    <mergeCell ref="B39:N45"/>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dimension ref="A1:X64"/>
  <sheetViews>
    <sheetView showGridLines="0" zoomScale="77" zoomScaleNormal="75" workbookViewId="0"/>
  </sheetViews>
  <sheetFormatPr defaultRowHeight="15" x14ac:dyDescent="0.25"/>
  <cols>
    <col min="1" max="1" width="2.85546875" style="23" customWidth="1"/>
    <col min="2" max="2" width="3.85546875" style="23" customWidth="1"/>
    <col min="3" max="3" width="58.7109375" style="23" bestFit="1" customWidth="1"/>
    <col min="4" max="4" width="28.28515625" style="23" customWidth="1"/>
    <col min="5" max="5" width="10.42578125" style="23" bestFit="1" customWidth="1"/>
    <col min="6" max="18" width="9.140625" style="23"/>
    <col min="19" max="19" width="9.85546875" style="23" customWidth="1"/>
    <col min="20" max="16384" width="9.140625" style="23"/>
  </cols>
  <sheetData>
    <row r="1" spans="1:24" ht="15.75" customHeight="1" thickBot="1" x14ac:dyDescent="0.3">
      <c r="A1" s="3"/>
    </row>
    <row r="2" spans="1:24" ht="15" customHeight="1" x14ac:dyDescent="0.25">
      <c r="B2" s="96"/>
      <c r="C2" s="97"/>
      <c r="D2" s="97"/>
      <c r="E2" s="97"/>
      <c r="F2" s="97"/>
      <c r="G2" s="97"/>
      <c r="H2" s="97"/>
      <c r="I2" s="97"/>
      <c r="J2" s="97"/>
      <c r="K2" s="97"/>
      <c r="L2" s="97"/>
      <c r="M2" s="97"/>
      <c r="N2" s="97"/>
      <c r="O2" s="97"/>
      <c r="P2" s="97"/>
      <c r="Q2" s="97"/>
      <c r="R2" s="97"/>
      <c r="S2" s="97"/>
      <c r="T2" s="25"/>
    </row>
    <row r="3" spans="1:24" ht="20.25" customHeight="1" x14ac:dyDescent="0.25">
      <c r="B3" s="98"/>
      <c r="C3" s="234" t="s">
        <v>212</v>
      </c>
      <c r="D3" s="235"/>
      <c r="E3" s="235"/>
      <c r="F3" s="235"/>
      <c r="G3" s="235"/>
      <c r="H3" s="235"/>
      <c r="I3" s="235"/>
      <c r="J3" s="235"/>
      <c r="K3" s="235"/>
      <c r="L3" s="235"/>
      <c r="M3" s="235"/>
      <c r="N3" s="235"/>
      <c r="O3" s="235"/>
      <c r="P3" s="235"/>
      <c r="Q3" s="235"/>
      <c r="R3" s="235"/>
      <c r="S3" s="235"/>
      <c r="T3" s="26"/>
    </row>
    <row r="4" spans="1:24" ht="15.75" customHeight="1" x14ac:dyDescent="0.25">
      <c r="B4" s="98"/>
      <c r="C4" s="85" t="s">
        <v>271</v>
      </c>
      <c r="D4" s="33"/>
      <c r="E4" s="33"/>
      <c r="F4" s="33"/>
      <c r="G4" s="33"/>
      <c r="H4" s="33"/>
      <c r="I4" s="33"/>
      <c r="J4" s="33"/>
      <c r="K4" s="33"/>
      <c r="L4" s="33"/>
      <c r="M4" s="33"/>
      <c r="N4" s="33"/>
      <c r="O4" s="33"/>
      <c r="P4" s="33"/>
      <c r="Q4" s="33"/>
      <c r="R4" s="33"/>
      <c r="S4" s="33"/>
      <c r="T4" s="26"/>
    </row>
    <row r="5" spans="1:24" ht="18" customHeight="1" x14ac:dyDescent="0.25">
      <c r="B5" s="98"/>
      <c r="C5" s="86" t="s">
        <v>272</v>
      </c>
      <c r="D5" s="238" t="s">
        <v>295</v>
      </c>
      <c r="E5" s="238"/>
      <c r="F5" s="33"/>
      <c r="G5" s="33"/>
      <c r="H5" s="33"/>
      <c r="I5" s="33"/>
      <c r="J5" s="33"/>
      <c r="K5" s="33"/>
      <c r="L5" s="33"/>
      <c r="M5" s="33"/>
      <c r="N5" s="33"/>
      <c r="O5" s="33"/>
      <c r="P5" s="33"/>
      <c r="Q5" s="33"/>
      <c r="R5" s="33"/>
      <c r="S5" s="33"/>
      <c r="T5" s="26"/>
    </row>
    <row r="6" spans="1:24" ht="15" customHeight="1" x14ac:dyDescent="0.25">
      <c r="B6" s="98"/>
      <c r="C6" s="33"/>
      <c r="D6" s="33"/>
      <c r="E6" s="33"/>
      <c r="F6" s="33"/>
      <c r="G6" s="33"/>
      <c r="H6" s="33"/>
      <c r="I6" s="33"/>
      <c r="J6" s="33"/>
      <c r="K6" s="33"/>
      <c r="L6" s="33"/>
      <c r="M6" s="33"/>
      <c r="N6" s="33"/>
      <c r="O6" s="33"/>
      <c r="P6" s="33"/>
      <c r="Q6" s="33"/>
      <c r="R6" s="33"/>
      <c r="S6" s="33"/>
      <c r="T6" s="26"/>
    </row>
    <row r="7" spans="1:24" ht="32.25" customHeight="1" x14ac:dyDescent="0.25">
      <c r="B7" s="98"/>
      <c r="C7" s="87" t="s">
        <v>0</v>
      </c>
      <c r="D7" s="88" t="s">
        <v>1</v>
      </c>
      <c r="E7" s="89" t="s">
        <v>2</v>
      </c>
      <c r="F7" s="33"/>
      <c r="G7" s="33"/>
      <c r="H7" s="33"/>
      <c r="I7" s="33"/>
      <c r="J7" s="33"/>
      <c r="K7" s="33"/>
      <c r="L7" s="33"/>
      <c r="M7" s="33"/>
      <c r="N7" s="33"/>
      <c r="O7" s="33"/>
      <c r="P7" s="33"/>
      <c r="Q7" s="33"/>
      <c r="R7" s="33"/>
      <c r="S7" s="33"/>
      <c r="T7" s="26"/>
      <c r="W7" s="45" t="s">
        <v>22</v>
      </c>
      <c r="X7" s="45" t="s">
        <v>2</v>
      </c>
    </row>
    <row r="8" spans="1:24" ht="15" customHeight="1" x14ac:dyDescent="0.25">
      <c r="B8" s="98"/>
      <c r="C8" s="15" t="s">
        <v>33</v>
      </c>
      <c r="D8" s="17" t="s">
        <v>6</v>
      </c>
      <c r="E8" s="19">
        <v>0.109532</v>
      </c>
      <c r="F8" s="33"/>
      <c r="G8" s="33"/>
      <c r="H8" s="33"/>
      <c r="I8" s="33"/>
      <c r="J8" s="33"/>
      <c r="K8" s="33"/>
      <c r="L8" s="33"/>
      <c r="M8" s="33"/>
      <c r="N8" s="33"/>
      <c r="O8" s="33"/>
      <c r="P8" s="33"/>
      <c r="Q8" s="33"/>
      <c r="R8" s="33"/>
      <c r="S8" s="33"/>
      <c r="T8" s="26"/>
      <c r="W8" s="68" t="s">
        <v>3</v>
      </c>
      <c r="X8" s="69">
        <v>0.27059499999999997</v>
      </c>
    </row>
    <row r="9" spans="1:24" ht="15.75" customHeight="1" x14ac:dyDescent="0.25">
      <c r="B9" s="98"/>
      <c r="C9" s="16" t="s">
        <v>30</v>
      </c>
      <c r="D9" s="18" t="s">
        <v>3</v>
      </c>
      <c r="E9" s="20">
        <v>8.9394000000000001E-2</v>
      </c>
      <c r="F9" s="33"/>
      <c r="G9" s="33"/>
      <c r="H9" s="33"/>
      <c r="I9" s="33"/>
      <c r="J9" s="33"/>
      <c r="K9" s="33"/>
      <c r="L9" s="33"/>
      <c r="M9" s="33"/>
      <c r="N9" s="33"/>
      <c r="O9" s="33"/>
      <c r="P9" s="33"/>
      <c r="Q9" s="33"/>
      <c r="R9" s="33"/>
      <c r="S9" s="33"/>
      <c r="T9" s="26"/>
      <c r="W9" s="68" t="s">
        <v>169</v>
      </c>
      <c r="X9" s="69">
        <v>0.13923000000000002</v>
      </c>
    </row>
    <row r="10" spans="1:24" ht="15.75" x14ac:dyDescent="0.25">
      <c r="B10" s="98"/>
      <c r="C10" s="16" t="s">
        <v>34</v>
      </c>
      <c r="D10" s="18" t="s">
        <v>3</v>
      </c>
      <c r="E10" s="20">
        <v>7.7454999999999996E-2</v>
      </c>
      <c r="F10" s="33"/>
      <c r="G10" s="33"/>
      <c r="H10" s="33"/>
      <c r="I10" s="33"/>
      <c r="J10" s="33"/>
      <c r="K10" s="33"/>
      <c r="L10" s="33"/>
      <c r="M10" s="33"/>
      <c r="N10" s="33"/>
      <c r="O10" s="33"/>
      <c r="P10" s="33"/>
      <c r="Q10" s="33"/>
      <c r="R10" s="33"/>
      <c r="S10" s="33"/>
      <c r="T10" s="26"/>
      <c r="W10" s="68" t="s">
        <v>6</v>
      </c>
      <c r="X10" s="69">
        <v>0.113552</v>
      </c>
    </row>
    <row r="11" spans="1:24" ht="15.75" customHeight="1" x14ac:dyDescent="0.25">
      <c r="B11" s="98"/>
      <c r="C11" s="16" t="s">
        <v>29</v>
      </c>
      <c r="D11" s="18" t="s">
        <v>169</v>
      </c>
      <c r="E11" s="20">
        <v>6.8812999999999999E-2</v>
      </c>
      <c r="F11" s="33"/>
      <c r="G11" s="33"/>
      <c r="H11" s="33"/>
      <c r="I11" s="33"/>
      <c r="J11" s="33"/>
      <c r="K11" s="33"/>
      <c r="L11" s="33"/>
      <c r="M11" s="33"/>
      <c r="N11" s="33"/>
      <c r="O11" s="33"/>
      <c r="P11" s="33"/>
      <c r="Q11" s="33"/>
      <c r="R11" s="33"/>
      <c r="S11" s="33"/>
      <c r="T11" s="26"/>
      <c r="W11" s="68" t="s">
        <v>4</v>
      </c>
      <c r="X11" s="69">
        <v>9.1548000000000004E-2</v>
      </c>
    </row>
    <row r="12" spans="1:24" ht="15" customHeight="1" x14ac:dyDescent="0.25">
      <c r="B12" s="98"/>
      <c r="C12" s="16" t="s">
        <v>31</v>
      </c>
      <c r="D12" s="18" t="s">
        <v>4</v>
      </c>
      <c r="E12" s="20">
        <v>5.9277000000000003E-2</v>
      </c>
      <c r="F12" s="33"/>
      <c r="G12" s="33"/>
      <c r="H12" s="33"/>
      <c r="I12" s="33"/>
      <c r="J12" s="33"/>
      <c r="K12" s="33"/>
      <c r="L12" s="33"/>
      <c r="M12" s="33"/>
      <c r="N12" s="33"/>
      <c r="O12" s="33"/>
      <c r="P12" s="33"/>
      <c r="Q12" s="33"/>
      <c r="R12" s="33"/>
      <c r="S12" s="33"/>
      <c r="T12" s="26"/>
      <c r="W12" s="68" t="s">
        <v>180</v>
      </c>
      <c r="X12" s="69">
        <v>6.4910999999999996E-2</v>
      </c>
    </row>
    <row r="13" spans="1:24" ht="15" customHeight="1" x14ac:dyDescent="0.25">
      <c r="B13" s="98"/>
      <c r="C13" s="16" t="s">
        <v>35</v>
      </c>
      <c r="D13" s="18" t="s">
        <v>169</v>
      </c>
      <c r="E13" s="20">
        <v>4.1569000000000002E-2</v>
      </c>
      <c r="F13" s="33"/>
      <c r="G13" s="33"/>
      <c r="H13" s="33"/>
      <c r="I13" s="33"/>
      <c r="J13" s="33"/>
      <c r="K13" s="33"/>
      <c r="L13" s="33"/>
      <c r="M13" s="33"/>
      <c r="N13" s="33"/>
      <c r="O13" s="33"/>
      <c r="P13" s="33"/>
      <c r="Q13" s="33"/>
      <c r="R13" s="33"/>
      <c r="S13" s="33"/>
      <c r="T13" s="26"/>
      <c r="W13" s="68" t="s">
        <v>175</v>
      </c>
      <c r="X13" s="69">
        <v>5.2571E-2</v>
      </c>
    </row>
    <row r="14" spans="1:24" ht="15" customHeight="1" x14ac:dyDescent="0.25">
      <c r="B14" s="98"/>
      <c r="C14" s="16" t="s">
        <v>32</v>
      </c>
      <c r="D14" s="18" t="s">
        <v>180</v>
      </c>
      <c r="E14" s="20">
        <v>3.6415000000000003E-2</v>
      </c>
      <c r="F14" s="33"/>
      <c r="G14" s="33"/>
      <c r="H14" s="33"/>
      <c r="I14" s="33"/>
      <c r="J14" s="33"/>
      <c r="K14" s="33"/>
      <c r="L14" s="33"/>
      <c r="M14" s="33"/>
      <c r="N14" s="33"/>
      <c r="O14" s="33"/>
      <c r="P14" s="33"/>
      <c r="Q14" s="33"/>
      <c r="R14" s="33"/>
      <c r="S14" s="33"/>
      <c r="T14" s="26"/>
      <c r="W14" s="68" t="s">
        <v>174</v>
      </c>
      <c r="X14" s="69">
        <v>3.2542999999999996E-2</v>
      </c>
    </row>
    <row r="15" spans="1:24" ht="15" customHeight="1" x14ac:dyDescent="0.25">
      <c r="B15" s="98"/>
      <c r="C15" s="16" t="s">
        <v>37</v>
      </c>
      <c r="D15" s="18" t="s">
        <v>3</v>
      </c>
      <c r="E15" s="20">
        <v>3.3005E-2</v>
      </c>
      <c r="F15" s="33"/>
      <c r="G15" s="33"/>
      <c r="H15" s="33"/>
      <c r="I15" s="33"/>
      <c r="J15" s="33"/>
      <c r="K15" s="33"/>
      <c r="L15" s="33"/>
      <c r="M15" s="33"/>
      <c r="N15" s="33"/>
      <c r="O15" s="33"/>
      <c r="P15" s="33"/>
      <c r="Q15" s="33"/>
      <c r="R15" s="33"/>
      <c r="S15" s="33"/>
      <c r="T15" s="26"/>
      <c r="W15" s="68" t="s">
        <v>23</v>
      </c>
      <c r="X15" s="69">
        <v>3.1407999999999998E-2</v>
      </c>
    </row>
    <row r="16" spans="1:24" ht="15" customHeight="1" x14ac:dyDescent="0.25">
      <c r="B16" s="98"/>
      <c r="C16" s="16" t="s">
        <v>38</v>
      </c>
      <c r="D16" s="18" t="s">
        <v>3</v>
      </c>
      <c r="E16" s="20">
        <v>3.1488000000000002E-2</v>
      </c>
      <c r="F16" s="33"/>
      <c r="G16" s="33"/>
      <c r="H16" s="33"/>
      <c r="I16" s="33"/>
      <c r="J16" s="33"/>
      <c r="K16" s="33"/>
      <c r="L16" s="33"/>
      <c r="M16" s="33"/>
      <c r="N16" s="33"/>
      <c r="O16" s="33"/>
      <c r="P16" s="33"/>
      <c r="Q16" s="33"/>
      <c r="R16" s="33"/>
      <c r="S16" s="33"/>
      <c r="T16" s="26"/>
      <c r="W16" s="68" t="s">
        <v>16</v>
      </c>
      <c r="X16" s="69">
        <v>3.0853999999999999E-2</v>
      </c>
    </row>
    <row r="17" spans="2:24" ht="15" customHeight="1" x14ac:dyDescent="0.25">
      <c r="B17" s="98"/>
      <c r="C17" s="16" t="s">
        <v>36</v>
      </c>
      <c r="D17" s="18" t="s">
        <v>23</v>
      </c>
      <c r="E17" s="20">
        <v>3.1407999999999998E-2</v>
      </c>
      <c r="F17" s="33"/>
      <c r="G17" s="33"/>
      <c r="H17" s="33"/>
      <c r="I17" s="33"/>
      <c r="J17" s="33"/>
      <c r="K17" s="33"/>
      <c r="L17" s="33"/>
      <c r="M17" s="33"/>
      <c r="N17" s="33"/>
      <c r="O17" s="33"/>
      <c r="P17" s="33"/>
      <c r="Q17" s="33"/>
      <c r="R17" s="33"/>
      <c r="S17" s="33"/>
      <c r="T17" s="26"/>
      <c r="W17" s="68" t="s">
        <v>12</v>
      </c>
      <c r="X17" s="69">
        <v>2.5156000000000001E-2</v>
      </c>
    </row>
    <row r="18" spans="2:24" ht="15" customHeight="1" x14ac:dyDescent="0.25">
      <c r="B18" s="98"/>
      <c r="C18" s="16" t="s">
        <v>113</v>
      </c>
      <c r="D18" s="18" t="s">
        <v>3</v>
      </c>
      <c r="E18" s="20">
        <v>2.9350999999999999E-2</v>
      </c>
      <c r="F18" s="33"/>
      <c r="G18" s="33"/>
      <c r="H18" s="33"/>
      <c r="I18" s="33"/>
      <c r="J18" s="33"/>
      <c r="K18" s="33"/>
      <c r="L18" s="33"/>
      <c r="M18" s="33"/>
      <c r="N18" s="33"/>
      <c r="O18" s="33"/>
      <c r="P18" s="33"/>
      <c r="Q18" s="33"/>
      <c r="R18" s="33"/>
      <c r="S18" s="33"/>
      <c r="T18" s="26"/>
      <c r="W18" s="68" t="s">
        <v>11</v>
      </c>
      <c r="X18" s="69">
        <v>2.0344000000000001E-2</v>
      </c>
    </row>
    <row r="19" spans="2:24" ht="15" customHeight="1" x14ac:dyDescent="0.25">
      <c r="B19" s="98"/>
      <c r="C19" s="16" t="s">
        <v>39</v>
      </c>
      <c r="D19" s="18" t="s">
        <v>180</v>
      </c>
      <c r="E19" s="20">
        <v>2.8496E-2</v>
      </c>
      <c r="F19" s="33"/>
      <c r="G19" s="33"/>
      <c r="H19" s="33"/>
      <c r="I19" s="33"/>
      <c r="J19" s="33"/>
      <c r="K19" s="33"/>
      <c r="L19" s="33"/>
      <c r="M19" s="33"/>
      <c r="N19" s="33"/>
      <c r="O19" s="33"/>
      <c r="P19" s="33"/>
      <c r="Q19" s="33"/>
      <c r="R19" s="33"/>
      <c r="S19" s="33"/>
      <c r="T19" s="26"/>
      <c r="W19" s="68" t="s">
        <v>10</v>
      </c>
      <c r="X19" s="69">
        <v>1.8958000000000003E-2</v>
      </c>
    </row>
    <row r="20" spans="2:24" ht="15" customHeight="1" x14ac:dyDescent="0.25">
      <c r="B20" s="98"/>
      <c r="C20" s="16" t="s">
        <v>93</v>
      </c>
      <c r="D20" s="18" t="s">
        <v>12</v>
      </c>
      <c r="E20" s="20">
        <v>2.5156000000000001E-2</v>
      </c>
      <c r="F20" s="33"/>
      <c r="G20" s="33"/>
      <c r="H20" s="33"/>
      <c r="I20" s="33"/>
      <c r="J20" s="33"/>
      <c r="K20" s="33"/>
      <c r="L20" s="33"/>
      <c r="M20" s="33"/>
      <c r="N20" s="33"/>
      <c r="O20" s="33"/>
      <c r="P20" s="33"/>
      <c r="Q20" s="33"/>
      <c r="R20" s="33"/>
      <c r="S20" s="33"/>
      <c r="T20" s="26"/>
      <c r="W20" s="68" t="s">
        <v>119</v>
      </c>
      <c r="X20" s="69">
        <v>1.8072999999999999E-2</v>
      </c>
    </row>
    <row r="21" spans="2:24" ht="15" customHeight="1" x14ac:dyDescent="0.25">
      <c r="B21" s="98"/>
      <c r="C21" s="16" t="s">
        <v>115</v>
      </c>
      <c r="D21" s="18" t="s">
        <v>4</v>
      </c>
      <c r="E21" s="20">
        <v>2.1825000000000001E-2</v>
      </c>
      <c r="F21" s="33"/>
      <c r="G21" s="33"/>
      <c r="H21" s="33"/>
      <c r="I21" s="33"/>
      <c r="J21" s="33"/>
      <c r="K21" s="33"/>
      <c r="L21" s="33"/>
      <c r="M21" s="33"/>
      <c r="N21" s="33"/>
      <c r="O21" s="33"/>
      <c r="P21" s="33"/>
      <c r="Q21" s="33"/>
      <c r="R21" s="33"/>
      <c r="S21" s="33"/>
      <c r="T21" s="26"/>
      <c r="W21" s="68" t="s">
        <v>170</v>
      </c>
      <c r="X21" s="69">
        <v>1.4964999999999999E-2</v>
      </c>
    </row>
    <row r="22" spans="2:24" ht="15" customHeight="1" x14ac:dyDescent="0.25">
      <c r="B22" s="98"/>
      <c r="C22" s="16" t="s">
        <v>40</v>
      </c>
      <c r="D22" s="18" t="s">
        <v>16</v>
      </c>
      <c r="E22" s="20">
        <v>1.7349E-2</v>
      </c>
      <c r="F22" s="33"/>
      <c r="G22" s="33"/>
      <c r="H22" s="33"/>
      <c r="I22" s="33"/>
      <c r="J22" s="33"/>
      <c r="K22" s="33"/>
      <c r="L22" s="33"/>
      <c r="M22" s="33"/>
      <c r="N22" s="33"/>
      <c r="O22" s="33"/>
      <c r="P22" s="33"/>
      <c r="Q22" s="33"/>
      <c r="R22" s="33"/>
      <c r="S22" s="33"/>
      <c r="T22" s="26"/>
      <c r="W22" s="68" t="s">
        <v>122</v>
      </c>
      <c r="X22" s="69">
        <v>1.3879000000000001E-2</v>
      </c>
    </row>
    <row r="23" spans="2:24" ht="15" customHeight="1" x14ac:dyDescent="0.25">
      <c r="B23" s="98"/>
      <c r="C23" s="90"/>
      <c r="D23" s="90"/>
      <c r="E23" s="91"/>
      <c r="F23" s="33"/>
      <c r="G23" s="33"/>
      <c r="H23" s="33"/>
      <c r="I23" s="33"/>
      <c r="J23" s="33"/>
      <c r="K23" s="33"/>
      <c r="L23" s="33"/>
      <c r="M23" s="33"/>
      <c r="N23" s="33"/>
      <c r="O23" s="33"/>
      <c r="P23" s="33"/>
      <c r="Q23" s="33"/>
      <c r="R23" s="33"/>
      <c r="S23" s="33"/>
      <c r="T23" s="26"/>
      <c r="W23" s="68" t="s">
        <v>199</v>
      </c>
      <c r="X23" s="69">
        <v>1.3147000000000001E-2</v>
      </c>
    </row>
    <row r="24" spans="2:24" ht="15" customHeight="1" x14ac:dyDescent="0.25">
      <c r="B24" s="98"/>
      <c r="C24" s="92" t="s">
        <v>64</v>
      </c>
      <c r="D24" s="93"/>
      <c r="E24" s="94">
        <f>SUM(E8:E22)</f>
        <v>0.70053299999999985</v>
      </c>
      <c r="F24" s="33"/>
      <c r="G24" s="33"/>
      <c r="H24" s="33"/>
      <c r="I24" s="33"/>
      <c r="J24" s="33"/>
      <c r="K24" s="33"/>
      <c r="L24" s="33"/>
      <c r="M24" s="33"/>
      <c r="N24" s="33"/>
      <c r="O24" s="33"/>
      <c r="P24" s="33"/>
      <c r="Q24" s="33"/>
      <c r="R24" s="33"/>
      <c r="S24" s="33"/>
      <c r="T24" s="26"/>
      <c r="W24" s="68" t="s">
        <v>15</v>
      </c>
      <c r="X24" s="69">
        <v>8.6149999999999994E-3</v>
      </c>
    </row>
    <row r="25" spans="2:24" ht="15" customHeight="1" x14ac:dyDescent="0.25">
      <c r="B25" s="98"/>
      <c r="F25" s="33"/>
      <c r="G25" s="33"/>
      <c r="H25" s="33"/>
      <c r="I25" s="33"/>
      <c r="J25" s="33"/>
      <c r="K25" s="33"/>
      <c r="L25" s="33"/>
      <c r="M25" s="33"/>
      <c r="N25" s="33"/>
      <c r="O25" s="33"/>
      <c r="P25" s="33"/>
      <c r="Q25" s="33"/>
      <c r="R25" s="33"/>
      <c r="S25" s="33"/>
      <c r="T25" s="26"/>
      <c r="W25" s="68" t="s">
        <v>196</v>
      </c>
      <c r="X25" s="69">
        <v>7.7039999999999999E-3</v>
      </c>
    </row>
    <row r="26" spans="2:24" ht="15" customHeight="1" x14ac:dyDescent="0.25">
      <c r="B26" s="98"/>
      <c r="F26" s="33"/>
      <c r="G26" s="33"/>
      <c r="H26" s="33"/>
      <c r="I26" s="33"/>
      <c r="J26" s="33"/>
      <c r="K26" s="33"/>
      <c r="L26" s="33"/>
      <c r="M26" s="33"/>
      <c r="N26" s="33"/>
      <c r="O26" s="33"/>
      <c r="P26" s="33"/>
      <c r="Q26" s="33"/>
      <c r="R26" s="33"/>
      <c r="S26" s="33"/>
      <c r="T26" s="26"/>
      <c r="W26" s="68" t="s">
        <v>13</v>
      </c>
      <c r="X26" s="69">
        <v>7.1320000000000003E-3</v>
      </c>
    </row>
    <row r="27" spans="2:24" ht="15" customHeight="1" x14ac:dyDescent="0.25">
      <c r="B27" s="98"/>
      <c r="F27" s="33"/>
      <c r="G27" s="33"/>
      <c r="H27" s="33"/>
      <c r="I27" s="33"/>
      <c r="J27" s="33"/>
      <c r="K27" s="33"/>
      <c r="L27" s="33"/>
      <c r="M27" s="33"/>
      <c r="N27" s="33"/>
      <c r="O27" s="33"/>
      <c r="P27" s="33"/>
      <c r="Q27" s="33"/>
      <c r="R27" s="33"/>
      <c r="S27" s="33"/>
      <c r="T27" s="26"/>
      <c r="W27" s="68" t="s">
        <v>197</v>
      </c>
      <c r="X27" s="69">
        <v>5.8770000000000003E-3</v>
      </c>
    </row>
    <row r="28" spans="2:24" ht="15" customHeight="1" x14ac:dyDescent="0.25">
      <c r="B28" s="98"/>
      <c r="F28" s="33"/>
      <c r="G28" s="33"/>
      <c r="H28" s="33"/>
      <c r="I28" s="33"/>
      <c r="J28" s="33"/>
      <c r="K28" s="33"/>
      <c r="L28" s="33"/>
      <c r="M28" s="33"/>
      <c r="N28" s="33"/>
      <c r="O28" s="33"/>
      <c r="P28" s="33"/>
      <c r="Q28" s="33"/>
      <c r="R28" s="33"/>
      <c r="S28" s="33"/>
      <c r="T28" s="26"/>
      <c r="W28" s="68" t="s">
        <v>178</v>
      </c>
      <c r="X28" s="69">
        <v>5.7679999999999997E-3</v>
      </c>
    </row>
    <row r="29" spans="2:24" ht="15" customHeight="1" x14ac:dyDescent="0.25">
      <c r="B29" s="98"/>
      <c r="F29" s="33"/>
      <c r="G29" s="33"/>
      <c r="H29" s="33"/>
      <c r="I29" s="33"/>
      <c r="J29" s="33"/>
      <c r="K29" s="33"/>
      <c r="L29" s="33"/>
      <c r="M29" s="33"/>
      <c r="N29" s="33"/>
      <c r="O29" s="33"/>
      <c r="P29" s="33"/>
      <c r="Q29" s="33"/>
      <c r="R29" s="33"/>
      <c r="S29" s="33"/>
      <c r="T29" s="26"/>
      <c r="W29" s="23" t="s">
        <v>109</v>
      </c>
      <c r="X29" s="69">
        <v>5.6779999999999999E-3</v>
      </c>
    </row>
    <row r="30" spans="2:24" ht="15" customHeight="1" x14ac:dyDescent="0.25">
      <c r="B30" s="98"/>
      <c r="F30" s="33"/>
      <c r="G30" s="33"/>
      <c r="H30" s="33"/>
      <c r="I30" s="33"/>
      <c r="J30" s="33"/>
      <c r="K30" s="33"/>
      <c r="L30" s="33"/>
      <c r="M30" s="33"/>
      <c r="N30" s="33"/>
      <c r="O30" s="33"/>
      <c r="P30" s="33"/>
      <c r="Q30" s="33"/>
      <c r="R30" s="33"/>
      <c r="S30" s="33"/>
      <c r="T30" s="26"/>
      <c r="W30" s="68" t="s">
        <v>181</v>
      </c>
      <c r="X30" s="69">
        <v>4.7540000000000004E-3</v>
      </c>
    </row>
    <row r="31" spans="2:24" ht="15" customHeight="1" x14ac:dyDescent="0.25">
      <c r="B31" s="98"/>
      <c r="F31" s="33"/>
      <c r="G31" s="33"/>
      <c r="H31" s="33"/>
      <c r="I31" s="33"/>
      <c r="J31" s="33"/>
      <c r="K31" s="33"/>
      <c r="L31" s="33"/>
      <c r="M31" s="33"/>
      <c r="N31" s="33"/>
      <c r="O31" s="33"/>
      <c r="P31" s="33"/>
      <c r="Q31" s="33"/>
      <c r="R31" s="33"/>
      <c r="S31" s="33"/>
      <c r="T31" s="26"/>
      <c r="W31" s="68"/>
      <c r="X31" s="69"/>
    </row>
    <row r="32" spans="2:24" ht="15" customHeight="1" x14ac:dyDescent="0.25">
      <c r="B32" s="98"/>
      <c r="F32" s="33"/>
      <c r="G32" s="33"/>
      <c r="H32" s="33"/>
      <c r="I32" s="33"/>
      <c r="J32" s="33"/>
      <c r="K32" s="33"/>
      <c r="L32" s="33"/>
      <c r="M32" s="33"/>
      <c r="N32" s="33"/>
      <c r="O32" s="33"/>
      <c r="P32" s="33"/>
      <c r="Q32" s="33"/>
      <c r="R32" s="33"/>
      <c r="S32" s="33"/>
      <c r="T32" s="26"/>
      <c r="W32" s="68"/>
      <c r="X32" s="69"/>
    </row>
    <row r="33" spans="2:24" ht="15" customHeight="1" x14ac:dyDescent="0.25">
      <c r="B33" s="98"/>
      <c r="F33" s="33"/>
      <c r="G33" s="33"/>
      <c r="H33" s="33"/>
      <c r="I33" s="33"/>
      <c r="J33" s="33"/>
      <c r="K33" s="33"/>
      <c r="L33" s="33"/>
      <c r="M33" s="33"/>
      <c r="N33" s="33"/>
      <c r="O33" s="33"/>
      <c r="P33" s="33"/>
      <c r="Q33" s="33"/>
      <c r="R33" s="33"/>
      <c r="S33" s="33"/>
      <c r="T33" s="26"/>
      <c r="W33" s="68"/>
      <c r="X33" s="69"/>
    </row>
    <row r="34" spans="2:24" ht="15" customHeight="1" x14ac:dyDescent="0.25">
      <c r="B34" s="98"/>
      <c r="F34" s="33"/>
      <c r="G34" s="33"/>
      <c r="H34" s="33"/>
      <c r="I34" s="33"/>
      <c r="J34" s="33"/>
      <c r="K34" s="33"/>
      <c r="L34" s="33"/>
      <c r="M34" s="33"/>
      <c r="N34" s="33"/>
      <c r="O34" s="33"/>
      <c r="P34" s="33"/>
      <c r="Q34" s="33"/>
      <c r="R34" s="33"/>
      <c r="S34" s="33"/>
      <c r="T34" s="26"/>
      <c r="W34" s="45"/>
      <c r="X34" s="45"/>
    </row>
    <row r="35" spans="2:24" ht="15" customHeight="1" x14ac:dyDescent="0.25">
      <c r="B35" s="98"/>
      <c r="F35" s="33"/>
      <c r="G35" s="33"/>
      <c r="H35" s="33"/>
      <c r="I35" s="33"/>
      <c r="J35" s="33"/>
      <c r="K35" s="33"/>
      <c r="L35" s="33"/>
      <c r="M35" s="33"/>
      <c r="N35" s="33"/>
      <c r="O35" s="33"/>
      <c r="P35" s="33"/>
      <c r="Q35" s="33"/>
      <c r="R35" s="33"/>
      <c r="S35" s="33"/>
      <c r="T35" s="26"/>
      <c r="W35" s="45"/>
      <c r="X35" s="45"/>
    </row>
    <row r="36" spans="2:24" ht="15" customHeight="1" x14ac:dyDescent="0.25">
      <c r="B36" s="98"/>
      <c r="F36" s="33"/>
      <c r="G36" s="33"/>
      <c r="H36" s="33"/>
      <c r="I36" s="33"/>
      <c r="J36" s="33"/>
      <c r="K36" s="33"/>
      <c r="L36" s="33"/>
      <c r="M36" s="33"/>
      <c r="N36" s="33"/>
      <c r="O36" s="33"/>
      <c r="P36" s="33"/>
      <c r="Q36" s="33"/>
      <c r="R36" s="33"/>
      <c r="S36" s="33"/>
      <c r="T36" s="26"/>
      <c r="W36" s="45"/>
      <c r="X36" s="45"/>
    </row>
    <row r="37" spans="2:24" ht="15" customHeight="1" thickBot="1" x14ac:dyDescent="0.3">
      <c r="B37" s="99"/>
      <c r="C37" s="100"/>
      <c r="D37" s="100"/>
      <c r="E37" s="100"/>
      <c r="F37" s="100"/>
      <c r="G37" s="100"/>
      <c r="H37" s="100"/>
      <c r="I37" s="100"/>
      <c r="J37" s="100"/>
      <c r="K37" s="100"/>
      <c r="L37" s="100"/>
      <c r="M37" s="100"/>
      <c r="N37" s="100"/>
      <c r="O37" s="100"/>
      <c r="P37" s="100"/>
      <c r="Q37" s="100"/>
      <c r="R37" s="100"/>
      <c r="S37" s="100"/>
      <c r="T37" s="27"/>
    </row>
    <row r="38" spans="2:24" ht="15" customHeight="1" thickBot="1" x14ac:dyDescent="0.3"/>
    <row r="39" spans="2:24" ht="15" customHeight="1" x14ac:dyDescent="0.25">
      <c r="B39" s="225" t="s">
        <v>117</v>
      </c>
      <c r="C39" s="226"/>
      <c r="D39" s="226"/>
      <c r="E39" s="226"/>
      <c r="F39" s="226"/>
      <c r="G39" s="226"/>
      <c r="H39" s="226"/>
      <c r="I39" s="226"/>
      <c r="J39" s="226"/>
      <c r="K39" s="226"/>
      <c r="L39" s="226"/>
      <c r="M39" s="226"/>
      <c r="N39" s="227"/>
    </row>
    <row r="40" spans="2:24" ht="15" customHeight="1" x14ac:dyDescent="0.25">
      <c r="B40" s="228"/>
      <c r="C40" s="229"/>
      <c r="D40" s="229"/>
      <c r="E40" s="229"/>
      <c r="F40" s="229"/>
      <c r="G40" s="229"/>
      <c r="H40" s="229"/>
      <c r="I40" s="229"/>
      <c r="J40" s="229"/>
      <c r="K40" s="229"/>
      <c r="L40" s="229"/>
      <c r="M40" s="229"/>
      <c r="N40" s="230"/>
    </row>
    <row r="41" spans="2:24" ht="15" customHeight="1" x14ac:dyDescent="0.25">
      <c r="B41" s="228"/>
      <c r="C41" s="229"/>
      <c r="D41" s="229"/>
      <c r="E41" s="229"/>
      <c r="F41" s="229"/>
      <c r="G41" s="229"/>
      <c r="H41" s="229"/>
      <c r="I41" s="229"/>
      <c r="J41" s="229"/>
      <c r="K41" s="229"/>
      <c r="L41" s="229"/>
      <c r="M41" s="229"/>
      <c r="N41" s="230"/>
    </row>
    <row r="42" spans="2:24" ht="15" customHeight="1" x14ac:dyDescent="0.25">
      <c r="B42" s="228"/>
      <c r="C42" s="229"/>
      <c r="D42" s="229"/>
      <c r="E42" s="229"/>
      <c r="F42" s="229"/>
      <c r="G42" s="229"/>
      <c r="H42" s="229"/>
      <c r="I42" s="229"/>
      <c r="J42" s="229"/>
      <c r="K42" s="229"/>
      <c r="L42" s="229"/>
      <c r="M42" s="229"/>
      <c r="N42" s="230"/>
    </row>
    <row r="43" spans="2:24" ht="15" customHeight="1" x14ac:dyDescent="0.25">
      <c r="B43" s="228"/>
      <c r="C43" s="229"/>
      <c r="D43" s="229"/>
      <c r="E43" s="229"/>
      <c r="F43" s="229"/>
      <c r="G43" s="229"/>
      <c r="H43" s="229"/>
      <c r="I43" s="229"/>
      <c r="J43" s="229"/>
      <c r="K43" s="229"/>
      <c r="L43" s="229"/>
      <c r="M43" s="229"/>
      <c r="N43" s="230"/>
    </row>
    <row r="44" spans="2:24" ht="15" customHeight="1" x14ac:dyDescent="0.25">
      <c r="B44" s="228"/>
      <c r="C44" s="229"/>
      <c r="D44" s="229"/>
      <c r="E44" s="229"/>
      <c r="F44" s="229"/>
      <c r="G44" s="229"/>
      <c r="H44" s="229"/>
      <c r="I44" s="229"/>
      <c r="J44" s="229"/>
      <c r="K44" s="229"/>
      <c r="L44" s="229"/>
      <c r="M44" s="229"/>
      <c r="N44" s="230"/>
    </row>
    <row r="45" spans="2:24" ht="15" customHeight="1" thickBot="1" x14ac:dyDescent="0.3">
      <c r="B45" s="231"/>
      <c r="C45" s="232"/>
      <c r="D45" s="232"/>
      <c r="E45" s="232"/>
      <c r="F45" s="232"/>
      <c r="G45" s="232"/>
      <c r="H45" s="232"/>
      <c r="I45" s="232"/>
      <c r="J45" s="232"/>
      <c r="K45" s="232"/>
      <c r="L45" s="232"/>
      <c r="M45" s="232"/>
      <c r="N45" s="233"/>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8">
    <sortCondition descending="1" ref="X8:X28"/>
  </sortState>
  <mergeCells count="3">
    <mergeCell ref="C3:S3"/>
    <mergeCell ref="D5:E5"/>
    <mergeCell ref="B39:N45"/>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6737B-54F2-414D-9013-0ED6F8A6B08B}">
  <dimension ref="A1:X67"/>
  <sheetViews>
    <sheetView showGridLines="0" zoomScale="77" zoomScaleNormal="75" workbookViewId="0"/>
  </sheetViews>
  <sheetFormatPr defaultRowHeight="15" x14ac:dyDescent="0.25"/>
  <cols>
    <col min="1" max="1" width="2.85546875" style="23" customWidth="1"/>
    <col min="2" max="2" width="3.85546875" style="23" customWidth="1"/>
    <col min="3" max="3" width="58.7109375" style="23" bestFit="1" customWidth="1"/>
    <col min="4" max="4" width="28.28515625" style="23" customWidth="1"/>
    <col min="5" max="5" width="10.42578125" style="23" bestFit="1" customWidth="1"/>
    <col min="6" max="18" width="9.140625" style="23"/>
    <col min="19" max="19" width="9.85546875" style="23" customWidth="1"/>
    <col min="20" max="16384" width="9.140625" style="23"/>
  </cols>
  <sheetData>
    <row r="1" spans="1:24" ht="15.75" customHeight="1" thickBot="1" x14ac:dyDescent="0.3">
      <c r="A1" s="3"/>
    </row>
    <row r="2" spans="1:24" ht="15" customHeight="1" x14ac:dyDescent="0.25">
      <c r="B2" s="81"/>
      <c r="C2" s="32"/>
      <c r="D2" s="32"/>
      <c r="E2" s="32"/>
      <c r="F2" s="32"/>
      <c r="G2" s="32"/>
      <c r="H2" s="32"/>
      <c r="I2" s="32"/>
      <c r="J2" s="32"/>
      <c r="K2" s="32"/>
      <c r="L2" s="32"/>
      <c r="M2" s="32"/>
      <c r="N2" s="32"/>
      <c r="O2" s="32"/>
      <c r="P2" s="32"/>
      <c r="Q2" s="32"/>
      <c r="R2" s="32"/>
      <c r="S2" s="32"/>
      <c r="T2" s="32"/>
      <c r="U2" s="28"/>
    </row>
    <row r="3" spans="1:24" ht="20.25" customHeight="1" x14ac:dyDescent="0.25">
      <c r="B3" s="82"/>
      <c r="C3" s="234" t="s">
        <v>164</v>
      </c>
      <c r="D3" s="235"/>
      <c r="E3" s="235"/>
      <c r="F3" s="235"/>
      <c r="G3" s="235"/>
      <c r="H3" s="235"/>
      <c r="I3" s="235"/>
      <c r="J3" s="235"/>
      <c r="K3" s="235"/>
      <c r="L3" s="235"/>
      <c r="M3" s="235"/>
      <c r="N3" s="235"/>
      <c r="O3" s="235"/>
      <c r="P3" s="235"/>
      <c r="Q3" s="235"/>
      <c r="R3" s="235"/>
      <c r="S3" s="235"/>
      <c r="T3" s="83"/>
      <c r="U3" s="84"/>
    </row>
    <row r="4" spans="1:24" ht="15.75" customHeight="1" x14ac:dyDescent="0.25">
      <c r="B4" s="82"/>
      <c r="C4" s="85" t="s">
        <v>271</v>
      </c>
      <c r="D4" s="33"/>
      <c r="E4" s="33"/>
      <c r="F4" s="33"/>
      <c r="G4" s="33"/>
      <c r="H4" s="33"/>
      <c r="I4" s="33"/>
      <c r="J4" s="33"/>
      <c r="K4" s="33"/>
      <c r="L4" s="33"/>
      <c r="M4" s="33"/>
      <c r="N4" s="33"/>
      <c r="O4" s="33"/>
      <c r="P4" s="33"/>
      <c r="Q4" s="33"/>
      <c r="R4" s="33"/>
      <c r="S4" s="33"/>
      <c r="T4" s="33"/>
      <c r="U4" s="29"/>
    </row>
    <row r="5" spans="1:24" ht="18" customHeight="1" x14ac:dyDescent="0.25">
      <c r="B5" s="82"/>
      <c r="C5" s="86" t="s">
        <v>272</v>
      </c>
      <c r="D5" s="238" t="s">
        <v>296</v>
      </c>
      <c r="E5" s="238"/>
      <c r="F5" s="33"/>
      <c r="G5" s="33"/>
      <c r="H5" s="33"/>
      <c r="I5" s="33"/>
      <c r="J5" s="33"/>
      <c r="K5" s="33"/>
      <c r="L5" s="33"/>
      <c r="M5" s="33"/>
      <c r="N5" s="33"/>
      <c r="O5" s="33"/>
      <c r="P5" s="33"/>
      <c r="Q5" s="33"/>
      <c r="R5" s="33"/>
      <c r="S5" s="33"/>
      <c r="T5" s="33"/>
      <c r="U5" s="29"/>
    </row>
    <row r="6" spans="1:24" ht="15" customHeight="1" x14ac:dyDescent="0.25">
      <c r="B6" s="82"/>
      <c r="C6" s="33"/>
      <c r="D6" s="33"/>
      <c r="E6" s="33"/>
      <c r="F6" s="33"/>
      <c r="G6" s="33"/>
      <c r="H6" s="33"/>
      <c r="I6" s="33"/>
      <c r="J6" s="33"/>
      <c r="K6" s="33"/>
      <c r="L6" s="33"/>
      <c r="M6" s="33"/>
      <c r="N6" s="33"/>
      <c r="O6" s="33"/>
      <c r="P6" s="33"/>
      <c r="Q6" s="33"/>
      <c r="R6" s="33"/>
      <c r="S6" s="33"/>
      <c r="T6" s="33"/>
      <c r="U6" s="29"/>
    </row>
    <row r="7" spans="1:24" ht="32.25" customHeight="1" x14ac:dyDescent="0.25">
      <c r="B7" s="82"/>
      <c r="C7" s="87" t="s">
        <v>0</v>
      </c>
      <c r="D7" s="88" t="s">
        <v>1</v>
      </c>
      <c r="E7" s="89" t="s">
        <v>2</v>
      </c>
      <c r="F7" s="33"/>
      <c r="G7" s="33"/>
      <c r="H7" s="33"/>
      <c r="I7" s="33"/>
      <c r="J7" s="33"/>
      <c r="K7" s="33"/>
      <c r="L7" s="33"/>
      <c r="M7" s="33"/>
      <c r="N7" s="33"/>
      <c r="O7" s="33"/>
      <c r="P7" s="33"/>
      <c r="Q7" s="33"/>
      <c r="R7" s="33"/>
      <c r="S7" s="33"/>
      <c r="T7" s="33"/>
      <c r="U7" s="29"/>
      <c r="W7" s="45" t="s">
        <v>22</v>
      </c>
      <c r="X7" s="45" t="s">
        <v>2</v>
      </c>
    </row>
    <row r="8" spans="1:24" ht="15" customHeight="1" x14ac:dyDescent="0.25">
      <c r="B8" s="82"/>
      <c r="C8" s="15" t="s">
        <v>33</v>
      </c>
      <c r="D8" s="17" t="s">
        <v>6</v>
      </c>
      <c r="E8" s="19">
        <v>9.3681E-2</v>
      </c>
      <c r="F8" s="33"/>
      <c r="G8" s="33"/>
      <c r="H8" s="33"/>
      <c r="I8" s="33"/>
      <c r="J8" s="33"/>
      <c r="K8" s="33"/>
      <c r="L8" s="33"/>
      <c r="M8" s="33"/>
      <c r="N8" s="33"/>
      <c r="O8" s="33"/>
      <c r="P8" s="33"/>
      <c r="Q8" s="33"/>
      <c r="R8" s="33"/>
      <c r="S8" s="33"/>
      <c r="T8" s="33"/>
      <c r="U8" s="29"/>
      <c r="W8" s="216" t="s">
        <v>3</v>
      </c>
      <c r="X8" s="217">
        <v>0.23560699999999998</v>
      </c>
    </row>
    <row r="9" spans="1:24" ht="15.75" customHeight="1" x14ac:dyDescent="0.25">
      <c r="B9" s="82"/>
      <c r="C9" s="16" t="s">
        <v>30</v>
      </c>
      <c r="D9" s="18" t="s">
        <v>3</v>
      </c>
      <c r="E9" s="20">
        <v>7.6067999999999997E-2</v>
      </c>
      <c r="F9" s="33"/>
      <c r="G9" s="33"/>
      <c r="H9" s="33"/>
      <c r="I9" s="33"/>
      <c r="J9" s="33"/>
      <c r="K9" s="33"/>
      <c r="L9" s="33"/>
      <c r="M9" s="33"/>
      <c r="N9" s="33"/>
      <c r="O9" s="33"/>
      <c r="P9" s="33"/>
      <c r="Q9" s="33"/>
      <c r="R9" s="33"/>
      <c r="S9" s="33"/>
      <c r="T9" s="33"/>
      <c r="U9" s="29"/>
      <c r="W9" s="216" t="s">
        <v>169</v>
      </c>
      <c r="X9" s="217">
        <v>0.12417099999999999</v>
      </c>
    </row>
    <row r="10" spans="1:24" ht="15.75" x14ac:dyDescent="0.25">
      <c r="B10" s="82"/>
      <c r="C10" s="16" t="s">
        <v>34</v>
      </c>
      <c r="D10" s="18" t="s">
        <v>3</v>
      </c>
      <c r="E10" s="20">
        <v>6.5929000000000001E-2</v>
      </c>
      <c r="F10" s="33"/>
      <c r="G10" s="33"/>
      <c r="H10" s="33"/>
      <c r="I10" s="33"/>
      <c r="J10" s="33"/>
      <c r="K10" s="33"/>
      <c r="L10" s="33"/>
      <c r="M10" s="33"/>
      <c r="N10" s="33"/>
      <c r="O10" s="33"/>
      <c r="P10" s="33"/>
      <c r="Q10" s="33"/>
      <c r="R10" s="33"/>
      <c r="S10" s="33"/>
      <c r="T10" s="33"/>
      <c r="U10" s="29"/>
      <c r="W10" s="216" t="s">
        <v>6</v>
      </c>
      <c r="X10" s="217">
        <v>0.100201</v>
      </c>
    </row>
    <row r="11" spans="1:24" ht="15.75" customHeight="1" x14ac:dyDescent="0.25">
      <c r="B11" s="82"/>
      <c r="C11" s="16" t="s">
        <v>29</v>
      </c>
      <c r="D11" s="18" t="s">
        <v>169</v>
      </c>
      <c r="E11" s="20">
        <v>5.8313999999999998E-2</v>
      </c>
      <c r="F11" s="33"/>
      <c r="G11" s="33"/>
      <c r="H11" s="33"/>
      <c r="I11" s="33"/>
      <c r="J11" s="33"/>
      <c r="K11" s="33"/>
      <c r="L11" s="33"/>
      <c r="M11" s="33"/>
      <c r="N11" s="33"/>
      <c r="O11" s="33"/>
      <c r="P11" s="33"/>
      <c r="Q11" s="33"/>
      <c r="R11" s="33"/>
      <c r="S11" s="33"/>
      <c r="T11" s="33"/>
      <c r="U11" s="29"/>
      <c r="W11" s="216" t="s">
        <v>4</v>
      </c>
      <c r="X11" s="217">
        <v>8.755700000000001E-2</v>
      </c>
    </row>
    <row r="12" spans="1:24" ht="15" customHeight="1" x14ac:dyDescent="0.25">
      <c r="B12" s="82"/>
      <c r="C12" s="16" t="s">
        <v>31</v>
      </c>
      <c r="D12" s="18" t="s">
        <v>4</v>
      </c>
      <c r="E12" s="20">
        <v>5.0525E-2</v>
      </c>
      <c r="F12" s="33"/>
      <c r="G12" s="33"/>
      <c r="H12" s="33"/>
      <c r="I12" s="33"/>
      <c r="J12" s="33"/>
      <c r="K12" s="33"/>
      <c r="L12" s="33"/>
      <c r="M12" s="33"/>
      <c r="N12" s="33"/>
      <c r="O12" s="33"/>
      <c r="P12" s="33"/>
      <c r="Q12" s="33"/>
      <c r="R12" s="33"/>
      <c r="S12" s="33"/>
      <c r="T12" s="33"/>
      <c r="U12" s="29"/>
      <c r="W12" s="216" t="s">
        <v>180</v>
      </c>
      <c r="X12" s="217">
        <v>5.5650999999999999E-2</v>
      </c>
    </row>
    <row r="13" spans="1:24" ht="15" customHeight="1" x14ac:dyDescent="0.25">
      <c r="B13" s="82"/>
      <c r="C13" s="16" t="s">
        <v>35</v>
      </c>
      <c r="D13" s="18" t="s">
        <v>169</v>
      </c>
      <c r="E13" s="20">
        <v>3.5369999999999999E-2</v>
      </c>
      <c r="F13" s="33"/>
      <c r="G13" s="33"/>
      <c r="H13" s="33"/>
      <c r="I13" s="33"/>
      <c r="J13" s="33"/>
      <c r="K13" s="33"/>
      <c r="L13" s="33"/>
      <c r="M13" s="33"/>
      <c r="N13" s="33"/>
      <c r="O13" s="33"/>
      <c r="P13" s="33"/>
      <c r="Q13" s="33"/>
      <c r="R13" s="33"/>
      <c r="S13" s="33"/>
      <c r="T13" s="33"/>
      <c r="U13" s="29"/>
      <c r="W13" s="216" t="s">
        <v>175</v>
      </c>
      <c r="X13" s="217">
        <v>4.4956999999999997E-2</v>
      </c>
    </row>
    <row r="14" spans="1:24" ht="15" customHeight="1" x14ac:dyDescent="0.25">
      <c r="B14" s="82"/>
      <c r="C14" s="16" t="s">
        <v>32</v>
      </c>
      <c r="D14" s="18" t="s">
        <v>180</v>
      </c>
      <c r="E14" s="20">
        <v>3.1104E-2</v>
      </c>
      <c r="F14" s="33"/>
      <c r="G14" s="33"/>
      <c r="H14" s="33"/>
      <c r="I14" s="33"/>
      <c r="J14" s="33"/>
      <c r="K14" s="33"/>
      <c r="L14" s="33"/>
      <c r="M14" s="33"/>
      <c r="N14" s="33"/>
      <c r="O14" s="33"/>
      <c r="P14" s="33"/>
      <c r="Q14" s="33"/>
      <c r="R14" s="33"/>
      <c r="S14" s="33"/>
      <c r="T14" s="33"/>
      <c r="U14" s="29"/>
      <c r="W14" s="216" t="s">
        <v>10</v>
      </c>
      <c r="X14" s="217">
        <v>3.4951999999999997E-2</v>
      </c>
    </row>
    <row r="15" spans="1:24" ht="15" customHeight="1" x14ac:dyDescent="0.25">
      <c r="B15" s="82"/>
      <c r="C15" s="16" t="s">
        <v>37</v>
      </c>
      <c r="D15" s="18" t="s">
        <v>3</v>
      </c>
      <c r="E15" s="20">
        <v>2.827E-2</v>
      </c>
      <c r="F15" s="33"/>
      <c r="G15" s="33"/>
      <c r="H15" s="33"/>
      <c r="I15" s="33"/>
      <c r="J15" s="33"/>
      <c r="K15" s="33"/>
      <c r="L15" s="33"/>
      <c r="M15" s="33"/>
      <c r="N15" s="33"/>
      <c r="O15" s="33"/>
      <c r="P15" s="33"/>
      <c r="Q15" s="33"/>
      <c r="R15" s="33"/>
      <c r="S15" s="33"/>
      <c r="T15" s="33"/>
      <c r="U15" s="29"/>
      <c r="W15" s="216" t="s">
        <v>174</v>
      </c>
      <c r="X15" s="217">
        <v>3.1609999999999999E-2</v>
      </c>
    </row>
    <row r="16" spans="1:24" ht="15" customHeight="1" x14ac:dyDescent="0.25">
      <c r="B16" s="82"/>
      <c r="C16" s="16" t="s">
        <v>36</v>
      </c>
      <c r="D16" s="18" t="s">
        <v>23</v>
      </c>
      <c r="E16" s="20">
        <v>2.6849000000000001E-2</v>
      </c>
      <c r="F16" s="33"/>
      <c r="G16" s="33"/>
      <c r="H16" s="33"/>
      <c r="I16" s="33"/>
      <c r="J16" s="33"/>
      <c r="K16" s="33"/>
      <c r="L16" s="33"/>
      <c r="M16" s="33"/>
      <c r="N16" s="33"/>
      <c r="O16" s="33"/>
      <c r="P16" s="33"/>
      <c r="Q16" s="33"/>
      <c r="R16" s="33"/>
      <c r="S16" s="33"/>
      <c r="T16" s="33"/>
      <c r="U16" s="29"/>
      <c r="W16" s="216" t="s">
        <v>16</v>
      </c>
      <c r="X16" s="217">
        <v>3.0956000000000004E-2</v>
      </c>
    </row>
    <row r="17" spans="2:24" ht="15" customHeight="1" x14ac:dyDescent="0.25">
      <c r="B17" s="82"/>
      <c r="C17" s="16" t="s">
        <v>38</v>
      </c>
      <c r="D17" s="18" t="s">
        <v>3</v>
      </c>
      <c r="E17" s="20">
        <v>2.6745999999999999E-2</v>
      </c>
      <c r="F17" s="33"/>
      <c r="G17" s="33"/>
      <c r="H17" s="33"/>
      <c r="I17" s="33"/>
      <c r="J17" s="33"/>
      <c r="K17" s="33"/>
      <c r="L17" s="33"/>
      <c r="M17" s="33"/>
      <c r="N17" s="33"/>
      <c r="O17" s="33"/>
      <c r="P17" s="33"/>
      <c r="Q17" s="33"/>
      <c r="R17" s="33"/>
      <c r="S17" s="33"/>
      <c r="T17" s="33"/>
      <c r="U17" s="29"/>
      <c r="W17" s="216" t="s">
        <v>23</v>
      </c>
      <c r="X17" s="217">
        <v>2.6849000000000001E-2</v>
      </c>
    </row>
    <row r="18" spans="2:24" ht="15" customHeight="1" x14ac:dyDescent="0.25">
      <c r="B18" s="82"/>
      <c r="C18" s="16" t="s">
        <v>113</v>
      </c>
      <c r="D18" s="18" t="s">
        <v>3</v>
      </c>
      <c r="E18" s="20">
        <v>2.4695999999999999E-2</v>
      </c>
      <c r="F18" s="33"/>
      <c r="G18" s="33"/>
      <c r="H18" s="33"/>
      <c r="I18" s="33"/>
      <c r="J18" s="33"/>
      <c r="K18" s="33"/>
      <c r="L18" s="33"/>
      <c r="M18" s="33"/>
      <c r="N18" s="33"/>
      <c r="O18" s="33"/>
      <c r="P18" s="33"/>
      <c r="Q18" s="33"/>
      <c r="R18" s="33"/>
      <c r="S18" s="33"/>
      <c r="T18" s="33"/>
      <c r="U18" s="29"/>
      <c r="W18" s="216" t="s">
        <v>119</v>
      </c>
      <c r="X18" s="217">
        <v>2.5230000000000002E-2</v>
      </c>
    </row>
    <row r="19" spans="2:24" ht="15" customHeight="1" x14ac:dyDescent="0.25">
      <c r="B19" s="82"/>
      <c r="C19" s="16" t="s">
        <v>39</v>
      </c>
      <c r="D19" s="18" t="s">
        <v>180</v>
      </c>
      <c r="E19" s="20">
        <v>2.4546999999999999E-2</v>
      </c>
      <c r="F19" s="33"/>
      <c r="G19" s="33"/>
      <c r="H19" s="33"/>
      <c r="I19" s="33"/>
      <c r="J19" s="33"/>
      <c r="K19" s="33"/>
      <c r="L19" s="33"/>
      <c r="M19" s="33"/>
      <c r="N19" s="33"/>
      <c r="O19" s="33"/>
      <c r="P19" s="33"/>
      <c r="Q19" s="33"/>
      <c r="R19" s="33"/>
      <c r="S19" s="33"/>
      <c r="T19" s="33"/>
      <c r="U19" s="29"/>
      <c r="W19" s="216" t="s">
        <v>12</v>
      </c>
      <c r="X19" s="217">
        <v>2.2924E-2</v>
      </c>
    </row>
    <row r="20" spans="2:24" ht="15" customHeight="1" x14ac:dyDescent="0.25">
      <c r="B20" s="82"/>
      <c r="C20" s="16" t="s">
        <v>93</v>
      </c>
      <c r="D20" s="18" t="s">
        <v>12</v>
      </c>
      <c r="E20" s="20">
        <v>2.1217E-2</v>
      </c>
      <c r="F20" s="33"/>
      <c r="G20" s="33"/>
      <c r="H20" s="33"/>
      <c r="I20" s="33"/>
      <c r="J20" s="33"/>
      <c r="K20" s="33"/>
      <c r="L20" s="33"/>
      <c r="M20" s="33"/>
      <c r="N20" s="33"/>
      <c r="O20" s="33"/>
      <c r="P20" s="33"/>
      <c r="Q20" s="33"/>
      <c r="R20" s="33"/>
      <c r="S20" s="33"/>
      <c r="T20" s="33"/>
      <c r="U20" s="29"/>
      <c r="W20" s="216" t="s">
        <v>122</v>
      </c>
      <c r="X20" s="217">
        <v>1.8924E-2</v>
      </c>
    </row>
    <row r="21" spans="2:24" ht="15" customHeight="1" x14ac:dyDescent="0.25">
      <c r="B21" s="82"/>
      <c r="C21" s="16" t="s">
        <v>115</v>
      </c>
      <c r="D21" s="18" t="s">
        <v>4</v>
      </c>
      <c r="E21" s="20">
        <v>1.8572000000000002E-2</v>
      </c>
      <c r="F21" s="33"/>
      <c r="G21" s="33"/>
      <c r="H21" s="33"/>
      <c r="I21" s="33"/>
      <c r="J21" s="33"/>
      <c r="K21" s="33"/>
      <c r="L21" s="33"/>
      <c r="M21" s="33"/>
      <c r="N21" s="33"/>
      <c r="O21" s="33"/>
      <c r="P21" s="33"/>
      <c r="Q21" s="33"/>
      <c r="R21" s="33"/>
      <c r="S21" s="33"/>
      <c r="T21" s="33"/>
      <c r="U21" s="29"/>
      <c r="W21" s="216" t="s">
        <v>11</v>
      </c>
      <c r="X21" s="217">
        <v>1.7170000000000001E-2</v>
      </c>
    </row>
    <row r="22" spans="2:24" ht="15" customHeight="1" x14ac:dyDescent="0.25">
      <c r="B22" s="82"/>
      <c r="C22" s="16" t="s">
        <v>40</v>
      </c>
      <c r="D22" s="18" t="s">
        <v>16</v>
      </c>
      <c r="E22" s="20">
        <v>1.4872E-2</v>
      </c>
      <c r="F22" s="33"/>
      <c r="G22" s="33"/>
      <c r="H22" s="33"/>
      <c r="I22" s="33"/>
      <c r="J22" s="33"/>
      <c r="K22" s="33"/>
      <c r="L22" s="33"/>
      <c r="M22" s="33"/>
      <c r="N22" s="33"/>
      <c r="O22" s="33"/>
      <c r="P22" s="33"/>
      <c r="Q22" s="33"/>
      <c r="R22" s="33"/>
      <c r="S22" s="33"/>
      <c r="T22" s="33"/>
      <c r="U22" s="29"/>
      <c r="W22" s="216" t="s">
        <v>27</v>
      </c>
      <c r="X22" s="217">
        <v>1.3716000000000001E-2</v>
      </c>
    </row>
    <row r="23" spans="2:24" ht="15" customHeight="1" x14ac:dyDescent="0.25">
      <c r="B23" s="82"/>
      <c r="C23" s="90"/>
      <c r="D23" s="90"/>
      <c r="E23" s="91"/>
      <c r="F23" s="33"/>
      <c r="G23" s="33"/>
      <c r="H23" s="33"/>
      <c r="I23" s="33"/>
      <c r="J23" s="33"/>
      <c r="K23" s="33"/>
      <c r="L23" s="33"/>
      <c r="M23" s="33"/>
      <c r="N23" s="33"/>
      <c r="O23" s="33"/>
      <c r="P23" s="33"/>
      <c r="Q23" s="33"/>
      <c r="R23" s="33"/>
      <c r="S23" s="33"/>
      <c r="T23" s="33"/>
      <c r="U23" s="29"/>
      <c r="W23" s="216" t="s">
        <v>25</v>
      </c>
      <c r="X23" s="217">
        <v>1.3565000000000001E-2</v>
      </c>
    </row>
    <row r="24" spans="2:24" ht="15" customHeight="1" x14ac:dyDescent="0.25">
      <c r="B24" s="82"/>
      <c r="C24" s="92" t="s">
        <v>64</v>
      </c>
      <c r="D24" s="93"/>
      <c r="E24" s="94">
        <f>SUM(E8:E22)</f>
        <v>0.59676000000000007</v>
      </c>
      <c r="F24" s="33"/>
      <c r="G24" s="33"/>
      <c r="H24" s="33"/>
      <c r="I24" s="33"/>
      <c r="J24" s="33"/>
      <c r="K24" s="33"/>
      <c r="L24" s="33"/>
      <c r="M24" s="33"/>
      <c r="N24" s="33"/>
      <c r="O24" s="33"/>
      <c r="P24" s="33"/>
      <c r="Q24" s="33"/>
      <c r="R24" s="33"/>
      <c r="S24" s="33"/>
      <c r="T24" s="33"/>
      <c r="U24" s="29"/>
      <c r="W24" s="216" t="s">
        <v>184</v>
      </c>
      <c r="X24" s="217">
        <v>1.3152E-2</v>
      </c>
    </row>
    <row r="25" spans="2:24" ht="15" customHeight="1" x14ac:dyDescent="0.25">
      <c r="B25" s="82"/>
      <c r="C25" s="33"/>
      <c r="D25" s="33"/>
      <c r="E25" s="33"/>
      <c r="F25" s="33"/>
      <c r="G25" s="33"/>
      <c r="H25" s="33"/>
      <c r="I25" s="33"/>
      <c r="J25" s="33"/>
      <c r="K25" s="33"/>
      <c r="L25" s="33"/>
      <c r="M25" s="33"/>
      <c r="N25" s="33"/>
      <c r="O25" s="33"/>
      <c r="P25" s="33"/>
      <c r="Q25" s="33"/>
      <c r="R25" s="33"/>
      <c r="S25" s="33"/>
      <c r="T25" s="33"/>
      <c r="U25" s="29"/>
      <c r="W25" s="216" t="s">
        <v>170</v>
      </c>
      <c r="X25" s="217">
        <v>1.2914E-2</v>
      </c>
    </row>
    <row r="26" spans="2:24" ht="15" customHeight="1" x14ac:dyDescent="0.25">
      <c r="B26" s="82"/>
      <c r="C26" s="33"/>
      <c r="D26" s="33"/>
      <c r="E26" s="33"/>
      <c r="F26" s="33"/>
      <c r="G26" s="33"/>
      <c r="H26" s="33"/>
      <c r="I26" s="33"/>
      <c r="J26" s="33"/>
      <c r="K26" s="33"/>
      <c r="L26" s="33"/>
      <c r="M26" s="33"/>
      <c r="N26" s="33"/>
      <c r="O26" s="33"/>
      <c r="P26" s="33"/>
      <c r="Q26" s="33"/>
      <c r="R26" s="33"/>
      <c r="S26" s="33"/>
      <c r="T26" s="33"/>
      <c r="U26" s="29"/>
      <c r="W26" s="216" t="s">
        <v>199</v>
      </c>
      <c r="X26" s="217">
        <v>1.1194000000000001E-2</v>
      </c>
    </row>
    <row r="27" spans="2:24" ht="15" customHeight="1" x14ac:dyDescent="0.25">
      <c r="B27" s="82"/>
      <c r="C27" s="33"/>
      <c r="D27" s="33"/>
      <c r="E27" s="33"/>
      <c r="F27" s="33"/>
      <c r="G27" s="33"/>
      <c r="H27" s="33"/>
      <c r="I27" s="33"/>
      <c r="J27" s="33"/>
      <c r="K27" s="33"/>
      <c r="L27" s="33"/>
      <c r="M27" s="33"/>
      <c r="N27" s="33"/>
      <c r="O27" s="33"/>
      <c r="P27" s="33"/>
      <c r="Q27" s="33"/>
      <c r="R27" s="33"/>
      <c r="S27" s="33"/>
      <c r="T27" s="33"/>
      <c r="U27" s="29"/>
      <c r="W27" s="216" t="s">
        <v>179</v>
      </c>
      <c r="X27" s="217">
        <v>7.731E-3</v>
      </c>
    </row>
    <row r="28" spans="2:24" ht="15" customHeight="1" x14ac:dyDescent="0.25">
      <c r="B28" s="82"/>
      <c r="C28" s="33"/>
      <c r="D28" s="33"/>
      <c r="E28" s="33"/>
      <c r="F28" s="33"/>
      <c r="G28" s="33"/>
      <c r="H28" s="33"/>
      <c r="I28" s="33"/>
      <c r="J28" s="33"/>
      <c r="K28" s="33"/>
      <c r="L28" s="33"/>
      <c r="M28" s="33"/>
      <c r="N28" s="33"/>
      <c r="O28" s="33"/>
      <c r="P28" s="33"/>
      <c r="Q28" s="33"/>
      <c r="R28" s="33"/>
      <c r="S28" s="33"/>
      <c r="T28" s="33"/>
      <c r="U28" s="29"/>
      <c r="W28" s="216" t="s">
        <v>15</v>
      </c>
      <c r="X28" s="217">
        <v>7.3080000000000003E-3</v>
      </c>
    </row>
    <row r="29" spans="2:24" ht="15" customHeight="1" x14ac:dyDescent="0.25">
      <c r="B29" s="82"/>
      <c r="C29" s="33"/>
      <c r="D29" s="33"/>
      <c r="E29" s="33"/>
      <c r="F29" s="33"/>
      <c r="G29" s="33"/>
      <c r="H29" s="33"/>
      <c r="I29" s="33"/>
      <c r="J29" s="33"/>
      <c r="K29" s="33"/>
      <c r="L29" s="33"/>
      <c r="M29" s="33"/>
      <c r="N29" s="33"/>
      <c r="O29" s="33"/>
      <c r="P29" s="33"/>
      <c r="Q29" s="33"/>
      <c r="R29" s="33"/>
      <c r="S29" s="33"/>
      <c r="T29" s="33"/>
      <c r="U29" s="29"/>
      <c r="W29" s="216" t="s">
        <v>181</v>
      </c>
      <c r="X29" s="217">
        <v>7.025E-3</v>
      </c>
    </row>
    <row r="30" spans="2:24" ht="15" customHeight="1" x14ac:dyDescent="0.25">
      <c r="B30" s="82"/>
      <c r="C30" s="33"/>
      <c r="D30" s="33"/>
      <c r="E30" s="33"/>
      <c r="F30" s="33"/>
      <c r="G30" s="33"/>
      <c r="H30" s="33"/>
      <c r="I30" s="33"/>
      <c r="J30" s="33"/>
      <c r="K30" s="33"/>
      <c r="L30" s="33"/>
      <c r="M30" s="33"/>
      <c r="N30" s="33"/>
      <c r="O30" s="33"/>
      <c r="P30" s="33"/>
      <c r="Q30" s="33"/>
      <c r="R30" s="33"/>
      <c r="S30" s="33"/>
      <c r="T30" s="33"/>
      <c r="U30" s="29"/>
      <c r="W30" s="216" t="s">
        <v>196</v>
      </c>
      <c r="X30" s="217">
        <v>6.5500000000000003E-3</v>
      </c>
    </row>
    <row r="31" spans="2:24" ht="15" customHeight="1" x14ac:dyDescent="0.25">
      <c r="B31" s="82"/>
      <c r="C31" s="33"/>
      <c r="D31" s="33"/>
      <c r="E31" s="33"/>
      <c r="F31" s="33"/>
      <c r="G31" s="33"/>
      <c r="H31" s="33"/>
      <c r="I31" s="33"/>
      <c r="J31" s="33"/>
      <c r="K31" s="33"/>
      <c r="L31" s="33"/>
      <c r="M31" s="33"/>
      <c r="N31" s="33"/>
      <c r="O31" s="33"/>
      <c r="P31" s="33"/>
      <c r="Q31" s="33"/>
      <c r="R31" s="33"/>
      <c r="S31" s="33"/>
      <c r="T31" s="33"/>
      <c r="U31" s="29"/>
      <c r="W31" s="216" t="s">
        <v>123</v>
      </c>
      <c r="X31" s="217">
        <v>6.0949999999999997E-3</v>
      </c>
    </row>
    <row r="32" spans="2:24" ht="15" customHeight="1" x14ac:dyDescent="0.25">
      <c r="B32" s="82"/>
      <c r="C32" s="33"/>
      <c r="D32" s="33"/>
      <c r="E32" s="33"/>
      <c r="F32" s="33"/>
      <c r="G32" s="33"/>
      <c r="H32" s="33"/>
      <c r="I32" s="33"/>
      <c r="J32" s="33"/>
      <c r="K32" s="33"/>
      <c r="L32" s="33"/>
      <c r="M32" s="33"/>
      <c r="N32" s="33"/>
      <c r="O32" s="33"/>
      <c r="P32" s="33"/>
      <c r="Q32" s="33"/>
      <c r="R32" s="33"/>
      <c r="S32" s="33"/>
      <c r="T32" s="33"/>
      <c r="U32" s="29"/>
      <c r="W32" s="216" t="s">
        <v>13</v>
      </c>
      <c r="X32" s="217">
        <v>6.0439999999999999E-3</v>
      </c>
    </row>
    <row r="33" spans="2:24" ht="15" customHeight="1" x14ac:dyDescent="0.25">
      <c r="B33" s="82"/>
      <c r="C33" s="33"/>
      <c r="D33" s="33"/>
      <c r="E33" s="33"/>
      <c r="F33" s="33"/>
      <c r="G33" s="33"/>
      <c r="H33" s="33"/>
      <c r="I33" s="33"/>
      <c r="J33" s="33"/>
      <c r="K33" s="33"/>
      <c r="L33" s="33"/>
      <c r="M33" s="33"/>
      <c r="N33" s="33"/>
      <c r="O33" s="33"/>
      <c r="P33" s="33"/>
      <c r="Q33" s="33"/>
      <c r="R33" s="33"/>
      <c r="S33" s="33"/>
      <c r="T33" s="33"/>
      <c r="U33" s="29"/>
      <c r="W33" s="216" t="s">
        <v>197</v>
      </c>
      <c r="X33" s="217">
        <v>5.0460000000000001E-3</v>
      </c>
    </row>
    <row r="34" spans="2:24" ht="15" customHeight="1" x14ac:dyDescent="0.25">
      <c r="B34" s="82"/>
      <c r="C34" s="33"/>
      <c r="D34" s="33"/>
      <c r="E34" s="33"/>
      <c r="F34" s="33"/>
      <c r="G34" s="33"/>
      <c r="H34" s="33"/>
      <c r="I34" s="33"/>
      <c r="J34" s="33"/>
      <c r="K34" s="33"/>
      <c r="L34" s="33"/>
      <c r="M34" s="33"/>
      <c r="N34" s="33"/>
      <c r="O34" s="33"/>
      <c r="P34" s="33"/>
      <c r="Q34" s="33"/>
      <c r="R34" s="33"/>
      <c r="S34" s="33"/>
      <c r="T34" s="33"/>
      <c r="U34" s="29"/>
      <c r="W34" s="216" t="s">
        <v>178</v>
      </c>
      <c r="X34" s="217">
        <v>4.9740000000000001E-3</v>
      </c>
    </row>
    <row r="35" spans="2:24" ht="15" customHeight="1" x14ac:dyDescent="0.25">
      <c r="B35" s="82"/>
      <c r="C35" s="33"/>
      <c r="D35" s="33"/>
      <c r="E35" s="33"/>
      <c r="F35" s="33"/>
      <c r="G35" s="33"/>
      <c r="H35" s="33"/>
      <c r="I35" s="33"/>
      <c r="J35" s="33"/>
      <c r="K35" s="33"/>
      <c r="L35" s="33"/>
      <c r="M35" s="33"/>
      <c r="N35" s="33"/>
      <c r="O35" s="33"/>
      <c r="P35" s="33"/>
      <c r="Q35" s="33"/>
      <c r="R35" s="33"/>
      <c r="S35" s="33"/>
      <c r="T35" s="33"/>
      <c r="U35" s="29"/>
      <c r="W35" s="216" t="s">
        <v>109</v>
      </c>
      <c r="X35" s="217">
        <v>4.9399999999999999E-3</v>
      </c>
    </row>
    <row r="36" spans="2:24" ht="15" customHeight="1" x14ac:dyDescent="0.25">
      <c r="B36" s="82"/>
      <c r="C36" s="33"/>
      <c r="D36" s="33"/>
      <c r="E36" s="33"/>
      <c r="F36" s="33"/>
      <c r="G36" s="33"/>
      <c r="H36" s="33"/>
      <c r="I36" s="33"/>
      <c r="J36" s="33"/>
      <c r="K36" s="33"/>
      <c r="L36" s="33"/>
      <c r="M36" s="33"/>
      <c r="N36" s="33"/>
      <c r="O36" s="33"/>
      <c r="P36" s="33"/>
      <c r="Q36" s="33"/>
      <c r="R36" s="33"/>
      <c r="S36" s="33"/>
      <c r="T36" s="33"/>
      <c r="U36" s="29"/>
      <c r="W36" s="216" t="s">
        <v>200</v>
      </c>
      <c r="X36" s="217">
        <v>3.6210000000000001E-3</v>
      </c>
    </row>
    <row r="37" spans="2:24" ht="15" customHeight="1" x14ac:dyDescent="0.25">
      <c r="B37" s="82"/>
      <c r="C37" s="33"/>
      <c r="D37" s="33"/>
      <c r="E37" s="33"/>
      <c r="F37" s="33"/>
      <c r="G37" s="33"/>
      <c r="H37" s="33"/>
      <c r="I37" s="33"/>
      <c r="J37" s="33"/>
      <c r="K37" s="33"/>
      <c r="L37" s="33"/>
      <c r="M37" s="33"/>
      <c r="N37" s="33"/>
      <c r="O37" s="33"/>
      <c r="P37" s="33"/>
      <c r="Q37" s="33"/>
      <c r="R37" s="33"/>
      <c r="S37" s="33"/>
      <c r="T37" s="33"/>
      <c r="U37" s="29"/>
      <c r="W37" s="216" t="s">
        <v>172</v>
      </c>
      <c r="X37" s="217">
        <v>3.0839999999999999E-3</v>
      </c>
    </row>
    <row r="38" spans="2:24" ht="15" customHeight="1" x14ac:dyDescent="0.25">
      <c r="B38" s="82"/>
      <c r="C38" s="33"/>
      <c r="D38" s="33"/>
      <c r="E38" s="33"/>
      <c r="F38" s="33"/>
      <c r="G38" s="33"/>
      <c r="H38" s="33"/>
      <c r="I38" s="33"/>
      <c r="J38" s="33"/>
      <c r="K38" s="33"/>
      <c r="L38" s="33"/>
      <c r="M38" s="33"/>
      <c r="N38" s="33"/>
      <c r="O38" s="33"/>
      <c r="P38" s="33"/>
      <c r="Q38" s="33"/>
      <c r="R38" s="33"/>
      <c r="S38" s="33"/>
      <c r="T38" s="33"/>
      <c r="U38" s="29"/>
      <c r="W38" s="216" t="s">
        <v>168</v>
      </c>
      <c r="X38" s="217">
        <v>2.7659999999999998E-3</v>
      </c>
    </row>
    <row r="39" spans="2:24" ht="15" customHeight="1" x14ac:dyDescent="0.25">
      <c r="B39" s="82"/>
      <c r="C39" s="33"/>
      <c r="D39" s="33"/>
      <c r="E39" s="33"/>
      <c r="F39" s="33"/>
      <c r="G39" s="33"/>
      <c r="H39" s="33"/>
      <c r="I39" s="33"/>
      <c r="J39" s="33"/>
      <c r="K39" s="33"/>
      <c r="L39" s="33"/>
      <c r="M39" s="33"/>
      <c r="N39" s="33"/>
      <c r="O39" s="33"/>
      <c r="P39" s="33"/>
      <c r="Q39" s="33"/>
      <c r="R39" s="33"/>
      <c r="S39" s="33"/>
      <c r="T39" s="33"/>
      <c r="U39" s="29"/>
      <c r="W39" s="216" t="s">
        <v>182</v>
      </c>
      <c r="X39" s="217">
        <v>2.7109999999999999E-3</v>
      </c>
    </row>
    <row r="40" spans="2:24" ht="15" customHeight="1" thickBot="1" x14ac:dyDescent="0.3">
      <c r="B40" s="95"/>
      <c r="C40" s="34"/>
      <c r="D40" s="34"/>
      <c r="E40" s="34"/>
      <c r="F40" s="34"/>
      <c r="G40" s="34"/>
      <c r="H40" s="34"/>
      <c r="I40" s="34"/>
      <c r="J40" s="34"/>
      <c r="K40" s="34"/>
      <c r="L40" s="34"/>
      <c r="M40" s="34"/>
      <c r="N40" s="34"/>
      <c r="O40" s="34"/>
      <c r="P40" s="34"/>
      <c r="Q40" s="34"/>
      <c r="R40" s="34"/>
      <c r="S40" s="34"/>
      <c r="T40" s="34"/>
      <c r="U40" s="30"/>
      <c r="W40" s="216" t="s">
        <v>176</v>
      </c>
      <c r="X40" s="217">
        <v>2.4729999999999999E-3</v>
      </c>
    </row>
    <row r="41" spans="2:24" ht="15" customHeight="1" thickBot="1" x14ac:dyDescent="0.3">
      <c r="W41" s="216" t="s">
        <v>188</v>
      </c>
      <c r="X41" s="217">
        <v>2.3210000000000001E-3</v>
      </c>
    </row>
    <row r="42" spans="2:24" ht="15" customHeight="1" x14ac:dyDescent="0.25">
      <c r="B42" s="225" t="s">
        <v>117</v>
      </c>
      <c r="C42" s="226"/>
      <c r="D42" s="226"/>
      <c r="E42" s="226"/>
      <c r="F42" s="226"/>
      <c r="G42" s="226"/>
      <c r="H42" s="226"/>
      <c r="I42" s="226"/>
      <c r="J42" s="226"/>
      <c r="K42" s="226"/>
      <c r="L42" s="226"/>
      <c r="M42" s="226"/>
      <c r="N42" s="227"/>
      <c r="W42" s="216" t="s">
        <v>120</v>
      </c>
      <c r="X42" s="217">
        <v>2.0920000000000001E-3</v>
      </c>
    </row>
    <row r="43" spans="2:24" ht="15" customHeight="1" x14ac:dyDescent="0.25">
      <c r="B43" s="228"/>
      <c r="C43" s="229"/>
      <c r="D43" s="229"/>
      <c r="E43" s="229"/>
      <c r="F43" s="229"/>
      <c r="G43" s="229"/>
      <c r="H43" s="229"/>
      <c r="I43" s="229"/>
      <c r="J43" s="229"/>
      <c r="K43" s="229"/>
      <c r="L43" s="229"/>
      <c r="M43" s="229"/>
      <c r="N43" s="230"/>
      <c r="W43" s="216" t="s">
        <v>121</v>
      </c>
      <c r="X43" s="217">
        <v>1.8270000000000001E-3</v>
      </c>
    </row>
    <row r="44" spans="2:24" ht="15" customHeight="1" x14ac:dyDescent="0.25">
      <c r="B44" s="228"/>
      <c r="C44" s="229"/>
      <c r="D44" s="229"/>
      <c r="E44" s="229"/>
      <c r="F44" s="229"/>
      <c r="G44" s="229"/>
      <c r="H44" s="229"/>
      <c r="I44" s="229"/>
      <c r="J44" s="229"/>
      <c r="K44" s="229"/>
      <c r="L44" s="229"/>
      <c r="M44" s="229"/>
      <c r="N44" s="230"/>
      <c r="W44" s="216" t="s">
        <v>198</v>
      </c>
      <c r="X44" s="217">
        <v>5.1999999999999995E-4</v>
      </c>
    </row>
    <row r="45" spans="2:24" ht="15" customHeight="1" x14ac:dyDescent="0.25">
      <c r="B45" s="228"/>
      <c r="C45" s="229"/>
      <c r="D45" s="229"/>
      <c r="E45" s="229"/>
      <c r="F45" s="229"/>
      <c r="G45" s="229"/>
      <c r="H45" s="229"/>
      <c r="I45" s="229"/>
      <c r="J45" s="229"/>
      <c r="K45" s="229"/>
      <c r="L45" s="229"/>
      <c r="M45" s="229"/>
      <c r="N45" s="230"/>
      <c r="W45" s="77"/>
      <c r="X45" s="79"/>
    </row>
    <row r="46" spans="2:24" ht="15" customHeight="1" x14ac:dyDescent="0.25">
      <c r="B46" s="228"/>
      <c r="C46" s="229"/>
      <c r="D46" s="229"/>
      <c r="E46" s="229"/>
      <c r="F46" s="229"/>
      <c r="G46" s="229"/>
      <c r="H46" s="229"/>
      <c r="I46" s="229"/>
      <c r="J46" s="229"/>
      <c r="K46" s="229"/>
      <c r="L46" s="229"/>
      <c r="M46" s="229"/>
      <c r="N46" s="230"/>
    </row>
    <row r="47" spans="2:24" ht="15" customHeight="1" x14ac:dyDescent="0.25">
      <c r="B47" s="228"/>
      <c r="C47" s="229"/>
      <c r="D47" s="229"/>
      <c r="E47" s="229"/>
      <c r="F47" s="229"/>
      <c r="G47" s="229"/>
      <c r="H47" s="229"/>
      <c r="I47" s="229"/>
      <c r="J47" s="229"/>
      <c r="K47" s="229"/>
      <c r="L47" s="229"/>
      <c r="M47" s="229"/>
      <c r="N47" s="230"/>
    </row>
    <row r="48" spans="2:24" ht="15" customHeight="1" thickBot="1" x14ac:dyDescent="0.3">
      <c r="B48" s="231"/>
      <c r="C48" s="232"/>
      <c r="D48" s="232"/>
      <c r="E48" s="232"/>
      <c r="F48" s="232"/>
      <c r="G48" s="232"/>
      <c r="H48" s="232"/>
      <c r="I48" s="232"/>
      <c r="J48" s="232"/>
      <c r="K48" s="232"/>
      <c r="L48" s="232"/>
      <c r="M48" s="232"/>
      <c r="N48" s="233"/>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sheetData>
  <sortState ref="W8:X44">
    <sortCondition descending="1" ref="X8"/>
  </sortState>
  <mergeCells count="3">
    <mergeCell ref="C3:S3"/>
    <mergeCell ref="D5:E5"/>
    <mergeCell ref="B42:N48"/>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E15C0-DA4A-451D-B8D8-3CD239F4FC6E}">
  <dimension ref="A1:X64"/>
  <sheetViews>
    <sheetView showGridLines="0" zoomScale="77" zoomScaleNormal="75" workbookViewId="0"/>
  </sheetViews>
  <sheetFormatPr defaultRowHeight="15" x14ac:dyDescent="0.25"/>
  <cols>
    <col min="1" max="1" width="2.85546875" style="23" customWidth="1"/>
    <col min="2" max="2" width="3.85546875" style="23" customWidth="1"/>
    <col min="3" max="3" width="58.7109375" style="23" bestFit="1" customWidth="1"/>
    <col min="4" max="4" width="28.28515625" style="23" customWidth="1"/>
    <col min="5" max="5" width="10.42578125" style="23" bestFit="1" customWidth="1"/>
    <col min="6" max="18" width="9.140625" style="23"/>
    <col min="19" max="19" width="9.85546875" style="23" customWidth="1"/>
    <col min="20" max="16384" width="9.140625" style="23"/>
  </cols>
  <sheetData>
    <row r="1" spans="1:24" ht="15.75" customHeight="1" thickBot="1" x14ac:dyDescent="0.3">
      <c r="A1" s="3"/>
    </row>
    <row r="2" spans="1:24" ht="15" customHeight="1" x14ac:dyDescent="0.25">
      <c r="B2" s="81"/>
      <c r="C2" s="32"/>
      <c r="D2" s="32"/>
      <c r="E2" s="32"/>
      <c r="F2" s="32"/>
      <c r="G2" s="32"/>
      <c r="H2" s="32"/>
      <c r="I2" s="32"/>
      <c r="J2" s="32"/>
      <c r="K2" s="32"/>
      <c r="L2" s="32"/>
      <c r="M2" s="32"/>
      <c r="N2" s="32"/>
      <c r="O2" s="32"/>
      <c r="P2" s="32"/>
      <c r="Q2" s="32"/>
      <c r="R2" s="32"/>
      <c r="S2" s="32"/>
      <c r="T2" s="32"/>
      <c r="U2" s="28"/>
    </row>
    <row r="3" spans="1:24" ht="20.25" customHeight="1" x14ac:dyDescent="0.25">
      <c r="B3" s="82"/>
      <c r="C3" s="234" t="s">
        <v>230</v>
      </c>
      <c r="D3" s="235"/>
      <c r="E3" s="235"/>
      <c r="F3" s="235"/>
      <c r="G3" s="235"/>
      <c r="H3" s="235"/>
      <c r="I3" s="235"/>
      <c r="J3" s="235"/>
      <c r="K3" s="235"/>
      <c r="L3" s="235"/>
      <c r="M3" s="235"/>
      <c r="N3" s="235"/>
      <c r="O3" s="235"/>
      <c r="P3" s="235"/>
      <c r="Q3" s="235"/>
      <c r="R3" s="235"/>
      <c r="S3" s="235"/>
      <c r="T3" s="83"/>
      <c r="U3" s="84"/>
    </row>
    <row r="4" spans="1:24" ht="15.75" customHeight="1" x14ac:dyDescent="0.25">
      <c r="B4" s="82"/>
      <c r="C4" s="85" t="s">
        <v>271</v>
      </c>
      <c r="D4" s="33"/>
      <c r="E4" s="33"/>
      <c r="F4" s="33"/>
      <c r="G4" s="33"/>
      <c r="H4" s="33"/>
      <c r="I4" s="33"/>
      <c r="J4" s="33"/>
      <c r="K4" s="33"/>
      <c r="L4" s="33"/>
      <c r="M4" s="33"/>
      <c r="N4" s="33"/>
      <c r="O4" s="33"/>
      <c r="P4" s="33"/>
      <c r="Q4" s="33"/>
      <c r="R4" s="33"/>
      <c r="S4" s="33"/>
      <c r="T4" s="33"/>
      <c r="U4" s="29"/>
    </row>
    <row r="5" spans="1:24" ht="18" customHeight="1" x14ac:dyDescent="0.25">
      <c r="B5" s="82"/>
      <c r="C5" s="86" t="s">
        <v>272</v>
      </c>
      <c r="D5" s="238" t="s">
        <v>297</v>
      </c>
      <c r="E5" s="238"/>
      <c r="F5" s="33"/>
      <c r="G5" s="33"/>
      <c r="H5" s="33"/>
      <c r="I5" s="33"/>
      <c r="J5" s="33"/>
      <c r="K5" s="33"/>
      <c r="L5" s="33"/>
      <c r="M5" s="33"/>
      <c r="N5" s="33"/>
      <c r="O5" s="33"/>
      <c r="P5" s="33"/>
      <c r="Q5" s="33"/>
      <c r="R5" s="33"/>
      <c r="S5" s="33"/>
      <c r="T5" s="33"/>
      <c r="U5" s="29"/>
    </row>
    <row r="6" spans="1:24" ht="15" customHeight="1" x14ac:dyDescent="0.25">
      <c r="B6" s="82"/>
      <c r="C6" s="33"/>
      <c r="D6" s="33"/>
      <c r="E6" s="33"/>
      <c r="F6" s="33"/>
      <c r="G6" s="33"/>
      <c r="H6" s="33"/>
      <c r="I6" s="33"/>
      <c r="J6" s="33"/>
      <c r="K6" s="33"/>
      <c r="L6" s="33"/>
      <c r="M6" s="33"/>
      <c r="N6" s="33"/>
      <c r="O6" s="33"/>
      <c r="P6" s="33"/>
      <c r="Q6" s="33"/>
      <c r="R6" s="33"/>
      <c r="S6" s="33"/>
      <c r="T6" s="33"/>
      <c r="U6" s="29"/>
    </row>
    <row r="7" spans="1:24" ht="32.25" customHeight="1" x14ac:dyDescent="0.25">
      <c r="B7" s="82"/>
      <c r="C7" s="87" t="s">
        <v>0</v>
      </c>
      <c r="D7" s="88" t="s">
        <v>1</v>
      </c>
      <c r="E7" s="89" t="s">
        <v>2</v>
      </c>
      <c r="F7" s="33"/>
      <c r="G7" s="33"/>
      <c r="H7" s="33"/>
      <c r="I7" s="33"/>
      <c r="J7" s="33"/>
      <c r="K7" s="33"/>
      <c r="L7" s="33"/>
      <c r="M7" s="33"/>
      <c r="N7" s="33"/>
      <c r="O7" s="33"/>
      <c r="P7" s="33"/>
      <c r="Q7" s="33"/>
      <c r="R7" s="33"/>
      <c r="S7" s="33"/>
      <c r="T7" s="33"/>
      <c r="U7" s="29"/>
      <c r="W7" s="45" t="s">
        <v>22</v>
      </c>
      <c r="X7" s="45" t="s">
        <v>2</v>
      </c>
    </row>
    <row r="8" spans="1:24" ht="15" customHeight="1" x14ac:dyDescent="0.25">
      <c r="B8" s="82"/>
      <c r="C8" s="15" t="s">
        <v>231</v>
      </c>
      <c r="D8" s="17" t="s">
        <v>199</v>
      </c>
      <c r="E8" s="19">
        <v>5.0715000000000003E-2</v>
      </c>
      <c r="F8" s="33"/>
      <c r="G8" s="33"/>
      <c r="H8" s="33"/>
      <c r="I8" s="33"/>
      <c r="J8" s="33"/>
      <c r="K8" s="33"/>
      <c r="L8" s="33"/>
      <c r="M8" s="33"/>
      <c r="N8" s="33"/>
      <c r="O8" s="33"/>
      <c r="P8" s="33"/>
      <c r="Q8" s="33"/>
      <c r="R8" s="33"/>
      <c r="S8" s="33"/>
      <c r="T8" s="33"/>
      <c r="U8" s="29"/>
      <c r="W8" s="77" t="s">
        <v>3</v>
      </c>
      <c r="X8" s="79">
        <v>0.28948399999999996</v>
      </c>
    </row>
    <row r="9" spans="1:24" ht="15.75" customHeight="1" x14ac:dyDescent="0.25">
      <c r="B9" s="82"/>
      <c r="C9" s="16" t="s">
        <v>113</v>
      </c>
      <c r="D9" s="18" t="s">
        <v>3</v>
      </c>
      <c r="E9" s="20">
        <v>4.9937000000000002E-2</v>
      </c>
      <c r="F9" s="33"/>
      <c r="G9" s="33"/>
      <c r="H9" s="33"/>
      <c r="I9" s="33"/>
      <c r="J9" s="33"/>
      <c r="K9" s="33"/>
      <c r="L9" s="33"/>
      <c r="M9" s="33"/>
      <c r="N9" s="33"/>
      <c r="O9" s="33"/>
      <c r="P9" s="33"/>
      <c r="Q9" s="33"/>
      <c r="R9" s="33"/>
      <c r="S9" s="33"/>
      <c r="T9" s="33"/>
      <c r="U9" s="29"/>
      <c r="W9" s="77" t="s">
        <v>175</v>
      </c>
      <c r="X9" s="79">
        <v>0.119853</v>
      </c>
    </row>
    <row r="10" spans="1:24" ht="15.75" x14ac:dyDescent="0.25">
      <c r="B10" s="82"/>
      <c r="C10" s="16" t="s">
        <v>183</v>
      </c>
      <c r="D10" s="18" t="s">
        <v>175</v>
      </c>
      <c r="E10" s="20">
        <v>4.9312000000000002E-2</v>
      </c>
      <c r="F10" s="33"/>
      <c r="G10" s="33"/>
      <c r="H10" s="33"/>
      <c r="I10" s="33"/>
      <c r="J10" s="33"/>
      <c r="K10" s="33"/>
      <c r="L10" s="33"/>
      <c r="M10" s="33"/>
      <c r="N10" s="33"/>
      <c r="O10" s="33"/>
      <c r="P10" s="33"/>
      <c r="Q10" s="33"/>
      <c r="R10" s="33"/>
      <c r="S10" s="33"/>
      <c r="T10" s="33"/>
      <c r="U10" s="29"/>
      <c r="W10" s="77" t="s">
        <v>123</v>
      </c>
      <c r="X10" s="79">
        <v>7.2523000000000004E-2</v>
      </c>
    </row>
    <row r="11" spans="1:24" ht="15.75" customHeight="1" x14ac:dyDescent="0.25">
      <c r="B11" s="82"/>
      <c r="C11" s="16" t="s">
        <v>73</v>
      </c>
      <c r="D11" s="18" t="s">
        <v>10</v>
      </c>
      <c r="E11" s="20">
        <v>4.9192E-2</v>
      </c>
      <c r="F11" s="33"/>
      <c r="G11" s="33"/>
      <c r="H11" s="33"/>
      <c r="I11" s="33"/>
      <c r="J11" s="33"/>
      <c r="K11" s="33"/>
      <c r="L11" s="33"/>
      <c r="M11" s="33"/>
      <c r="N11" s="33"/>
      <c r="O11" s="33"/>
      <c r="P11" s="33"/>
      <c r="Q11" s="33"/>
      <c r="R11" s="33"/>
      <c r="S11" s="33"/>
      <c r="T11" s="33"/>
      <c r="U11" s="29"/>
      <c r="W11" s="77" t="s">
        <v>199</v>
      </c>
      <c r="X11" s="79">
        <v>5.0715000000000003E-2</v>
      </c>
    </row>
    <row r="12" spans="1:24" ht="15" customHeight="1" x14ac:dyDescent="0.25">
      <c r="B12" s="82"/>
      <c r="C12" s="16" t="s">
        <v>38</v>
      </c>
      <c r="D12" s="18" t="s">
        <v>3</v>
      </c>
      <c r="E12" s="20">
        <v>4.9072999999999999E-2</v>
      </c>
      <c r="F12" s="33"/>
      <c r="G12" s="33"/>
      <c r="H12" s="33"/>
      <c r="I12" s="33"/>
      <c r="J12" s="33"/>
      <c r="K12" s="33"/>
      <c r="L12" s="33"/>
      <c r="M12" s="33"/>
      <c r="N12" s="33"/>
      <c r="O12" s="33"/>
      <c r="P12" s="33"/>
      <c r="Q12" s="33"/>
      <c r="R12" s="33"/>
      <c r="S12" s="33"/>
      <c r="T12" s="33"/>
      <c r="U12" s="29"/>
      <c r="W12" s="77" t="s">
        <v>10</v>
      </c>
      <c r="X12" s="79">
        <v>4.9192E-2</v>
      </c>
    </row>
    <row r="13" spans="1:24" ht="15" customHeight="1" x14ac:dyDescent="0.25">
      <c r="B13" s="82"/>
      <c r="C13" s="16" t="s">
        <v>100</v>
      </c>
      <c r="D13" s="18" t="s">
        <v>174</v>
      </c>
      <c r="E13" s="20">
        <v>4.8904000000000003E-2</v>
      </c>
      <c r="F13" s="33"/>
      <c r="G13" s="33"/>
      <c r="H13" s="33"/>
      <c r="I13" s="33"/>
      <c r="J13" s="33"/>
      <c r="K13" s="33"/>
      <c r="L13" s="33"/>
      <c r="M13" s="33"/>
      <c r="N13" s="33"/>
      <c r="O13" s="33"/>
      <c r="P13" s="33"/>
      <c r="Q13" s="33"/>
      <c r="R13" s="33"/>
      <c r="S13" s="33"/>
      <c r="T13" s="33"/>
      <c r="U13" s="29"/>
      <c r="W13" s="77" t="s">
        <v>174</v>
      </c>
      <c r="X13" s="79">
        <v>4.8904000000000003E-2</v>
      </c>
    </row>
    <row r="14" spans="1:24" ht="15" customHeight="1" x14ac:dyDescent="0.25">
      <c r="B14" s="82"/>
      <c r="C14" s="16" t="s">
        <v>225</v>
      </c>
      <c r="D14" s="18" t="s">
        <v>3</v>
      </c>
      <c r="E14" s="20">
        <v>4.8889000000000002E-2</v>
      </c>
      <c r="F14" s="33"/>
      <c r="G14" s="33"/>
      <c r="H14" s="33"/>
      <c r="I14" s="33"/>
      <c r="J14" s="33"/>
      <c r="K14" s="33"/>
      <c r="L14" s="33"/>
      <c r="M14" s="33"/>
      <c r="N14" s="33"/>
      <c r="O14" s="33"/>
      <c r="P14" s="33"/>
      <c r="Q14" s="33"/>
      <c r="R14" s="33"/>
      <c r="S14" s="33"/>
      <c r="T14" s="33"/>
      <c r="U14" s="29"/>
      <c r="W14" s="77" t="s">
        <v>180</v>
      </c>
      <c r="X14" s="79">
        <v>4.8440999999999998E-2</v>
      </c>
    </row>
    <row r="15" spans="1:24" ht="15" customHeight="1" x14ac:dyDescent="0.25">
      <c r="B15" s="82"/>
      <c r="C15" s="16" t="s">
        <v>32</v>
      </c>
      <c r="D15" s="18" t="s">
        <v>180</v>
      </c>
      <c r="E15" s="20">
        <v>4.8440999999999998E-2</v>
      </c>
      <c r="F15" s="33"/>
      <c r="G15" s="33"/>
      <c r="H15" s="33"/>
      <c r="I15" s="33"/>
      <c r="J15" s="33"/>
      <c r="K15" s="33"/>
      <c r="L15" s="33"/>
      <c r="M15" s="33"/>
      <c r="N15" s="33"/>
      <c r="O15" s="33"/>
      <c r="P15" s="33"/>
      <c r="Q15" s="33"/>
      <c r="R15" s="33"/>
      <c r="S15" s="33"/>
      <c r="T15" s="33"/>
      <c r="U15" s="29"/>
      <c r="W15" s="77" t="s">
        <v>12</v>
      </c>
      <c r="X15" s="79">
        <v>4.7988000000000003E-2</v>
      </c>
    </row>
    <row r="16" spans="1:24" ht="15" customHeight="1" x14ac:dyDescent="0.25">
      <c r="B16" s="82"/>
      <c r="C16" s="16" t="s">
        <v>34</v>
      </c>
      <c r="D16" s="18" t="s">
        <v>3</v>
      </c>
      <c r="E16" s="20">
        <v>4.8383000000000002E-2</v>
      </c>
      <c r="F16" s="33"/>
      <c r="G16" s="33"/>
      <c r="H16" s="33"/>
      <c r="I16" s="33"/>
      <c r="J16" s="33"/>
      <c r="K16" s="33"/>
      <c r="L16" s="33"/>
      <c r="M16" s="33"/>
      <c r="N16" s="33"/>
      <c r="O16" s="33"/>
      <c r="P16" s="33"/>
      <c r="Q16" s="33"/>
      <c r="R16" s="33"/>
      <c r="S16" s="33"/>
      <c r="T16" s="33"/>
      <c r="U16" s="29"/>
      <c r="W16" s="77" t="s">
        <v>119</v>
      </c>
      <c r="X16" s="79">
        <v>4.6134000000000001E-2</v>
      </c>
    </row>
    <row r="17" spans="2:24" ht="15" customHeight="1" x14ac:dyDescent="0.25">
      <c r="B17" s="82"/>
      <c r="C17" s="16" t="s">
        <v>93</v>
      </c>
      <c r="D17" s="18" t="s">
        <v>12</v>
      </c>
      <c r="E17" s="20">
        <v>4.7988000000000003E-2</v>
      </c>
      <c r="F17" s="33"/>
      <c r="G17" s="33"/>
      <c r="H17" s="33"/>
      <c r="I17" s="33"/>
      <c r="J17" s="33"/>
      <c r="K17" s="33"/>
      <c r="L17" s="33"/>
      <c r="M17" s="33"/>
      <c r="N17" s="33"/>
      <c r="O17" s="33"/>
      <c r="P17" s="33"/>
      <c r="Q17" s="33"/>
      <c r="R17" s="33"/>
      <c r="S17" s="33"/>
      <c r="T17" s="33"/>
      <c r="U17" s="29"/>
      <c r="W17" s="77" t="s">
        <v>182</v>
      </c>
      <c r="X17" s="79">
        <v>3.8324999999999998E-2</v>
      </c>
    </row>
    <row r="18" spans="2:24" ht="15" customHeight="1" x14ac:dyDescent="0.25">
      <c r="B18" s="82"/>
      <c r="C18" s="16" t="s">
        <v>268</v>
      </c>
      <c r="D18" s="18" t="s">
        <v>119</v>
      </c>
      <c r="E18" s="20">
        <v>4.6134000000000001E-2</v>
      </c>
      <c r="F18" s="33"/>
      <c r="G18" s="33"/>
      <c r="H18" s="33"/>
      <c r="I18" s="33"/>
      <c r="J18" s="33"/>
      <c r="K18" s="33"/>
      <c r="L18" s="33"/>
      <c r="M18" s="33"/>
      <c r="N18" s="33"/>
      <c r="O18" s="33"/>
      <c r="P18" s="33"/>
      <c r="Q18" s="33"/>
      <c r="R18" s="33"/>
      <c r="S18" s="33"/>
      <c r="T18" s="33"/>
      <c r="U18" s="29"/>
      <c r="W18" s="77" t="s">
        <v>197</v>
      </c>
      <c r="X18" s="79">
        <v>3.4715999999999997E-2</v>
      </c>
    </row>
    <row r="19" spans="2:24" ht="15" customHeight="1" x14ac:dyDescent="0.25">
      <c r="B19" s="82"/>
      <c r="C19" s="16" t="s">
        <v>255</v>
      </c>
      <c r="D19" s="18" t="s">
        <v>175</v>
      </c>
      <c r="E19" s="20">
        <v>4.1480999999999997E-2</v>
      </c>
      <c r="F19" s="33"/>
      <c r="G19" s="33"/>
      <c r="H19" s="33"/>
      <c r="I19" s="33"/>
      <c r="J19" s="33"/>
      <c r="K19" s="33"/>
      <c r="L19" s="33"/>
      <c r="M19" s="33"/>
      <c r="N19" s="33"/>
      <c r="O19" s="33"/>
      <c r="P19" s="33"/>
      <c r="Q19" s="33"/>
      <c r="R19" s="33"/>
      <c r="S19" s="33"/>
      <c r="T19" s="33"/>
      <c r="U19" s="29"/>
      <c r="W19" s="77" t="s">
        <v>120</v>
      </c>
      <c r="X19" s="79">
        <v>3.2523999999999997E-2</v>
      </c>
    </row>
    <row r="20" spans="2:24" ht="15" customHeight="1" x14ac:dyDescent="0.25">
      <c r="B20" s="82"/>
      <c r="C20" s="16" t="s">
        <v>195</v>
      </c>
      <c r="D20" s="18" t="s">
        <v>123</v>
      </c>
      <c r="E20" s="20">
        <v>3.8330000000000003E-2</v>
      </c>
      <c r="F20" s="33"/>
      <c r="G20" s="33"/>
      <c r="H20" s="33"/>
      <c r="I20" s="33"/>
      <c r="J20" s="33"/>
      <c r="K20" s="33"/>
      <c r="L20" s="33"/>
      <c r="M20" s="33"/>
      <c r="N20" s="33"/>
      <c r="O20" s="33"/>
      <c r="P20" s="33"/>
      <c r="Q20" s="33"/>
      <c r="R20" s="33"/>
      <c r="S20" s="33"/>
      <c r="T20" s="33"/>
      <c r="U20" s="29"/>
      <c r="W20" s="77" t="s">
        <v>179</v>
      </c>
      <c r="X20" s="79">
        <v>3.0370000000000001E-2</v>
      </c>
    </row>
    <row r="21" spans="2:24" ht="15" customHeight="1" x14ac:dyDescent="0.25">
      <c r="B21" s="82"/>
      <c r="C21" s="16" t="s">
        <v>233</v>
      </c>
      <c r="D21" s="18" t="s">
        <v>197</v>
      </c>
      <c r="E21" s="20">
        <v>3.4715999999999997E-2</v>
      </c>
      <c r="F21" s="33"/>
      <c r="G21" s="33"/>
      <c r="H21" s="33"/>
      <c r="I21" s="33"/>
      <c r="J21" s="33"/>
      <c r="K21" s="33"/>
      <c r="L21" s="33"/>
      <c r="M21" s="33"/>
      <c r="N21" s="33"/>
      <c r="O21" s="33"/>
      <c r="P21" s="33"/>
      <c r="Q21" s="33"/>
      <c r="R21" s="33"/>
      <c r="S21" s="33"/>
      <c r="T21" s="33"/>
      <c r="U21" s="29"/>
      <c r="W21" s="77" t="s">
        <v>27</v>
      </c>
      <c r="X21" s="79">
        <v>2.6754E-2</v>
      </c>
    </row>
    <row r="22" spans="2:24" ht="15" customHeight="1" x14ac:dyDescent="0.25">
      <c r="B22" s="82"/>
      <c r="C22" s="16" t="s">
        <v>269</v>
      </c>
      <c r="D22" s="18" t="s">
        <v>123</v>
      </c>
      <c r="E22" s="20">
        <v>3.4193000000000001E-2</v>
      </c>
      <c r="F22" s="33"/>
      <c r="G22" s="33"/>
      <c r="H22" s="33"/>
      <c r="I22" s="33"/>
      <c r="J22" s="33"/>
      <c r="K22" s="33"/>
      <c r="L22" s="33"/>
      <c r="M22" s="33"/>
      <c r="N22" s="33"/>
      <c r="O22" s="33"/>
      <c r="P22" s="33"/>
      <c r="Q22" s="33"/>
      <c r="R22" s="33"/>
      <c r="S22" s="33"/>
      <c r="T22" s="33"/>
      <c r="U22" s="29"/>
      <c r="W22" s="77" t="s">
        <v>24</v>
      </c>
      <c r="X22" s="79">
        <v>2.3800999999999999E-2</v>
      </c>
    </row>
    <row r="23" spans="2:24" ht="15" customHeight="1" x14ac:dyDescent="0.25">
      <c r="B23" s="82"/>
      <c r="C23" s="90"/>
      <c r="D23" s="90"/>
      <c r="E23" s="91"/>
      <c r="F23" s="33"/>
      <c r="G23" s="33"/>
      <c r="H23" s="33"/>
      <c r="I23" s="33"/>
      <c r="J23" s="33"/>
      <c r="K23" s="33"/>
      <c r="L23" s="33"/>
      <c r="M23" s="33"/>
      <c r="N23" s="33"/>
      <c r="O23" s="33"/>
      <c r="P23" s="33"/>
      <c r="Q23" s="33"/>
      <c r="R23" s="33"/>
      <c r="S23" s="33"/>
      <c r="T23" s="33"/>
      <c r="U23" s="29"/>
      <c r="W23" s="77" t="s">
        <v>11</v>
      </c>
      <c r="X23" s="79">
        <v>1.8773999999999999E-2</v>
      </c>
    </row>
    <row r="24" spans="2:24" ht="15" customHeight="1" x14ac:dyDescent="0.25">
      <c r="B24" s="82"/>
      <c r="C24" s="92" t="s">
        <v>64</v>
      </c>
      <c r="D24" s="93"/>
      <c r="E24" s="94">
        <f>SUM(E8:E22)</f>
        <v>0.68568799999999996</v>
      </c>
      <c r="F24" s="33"/>
      <c r="G24" s="33"/>
      <c r="H24" s="33"/>
      <c r="I24" s="33"/>
      <c r="J24" s="33"/>
      <c r="K24" s="33"/>
      <c r="L24" s="33"/>
      <c r="M24" s="33"/>
      <c r="N24" s="33"/>
      <c r="O24" s="33"/>
      <c r="P24" s="33"/>
      <c r="Q24" s="33"/>
      <c r="R24" s="33"/>
      <c r="S24" s="33"/>
      <c r="T24" s="33"/>
      <c r="U24" s="29"/>
      <c r="W24" s="77" t="s">
        <v>122</v>
      </c>
      <c r="X24" s="79">
        <v>8.2070000000000008E-3</v>
      </c>
    </row>
    <row r="25" spans="2:24" ht="15" customHeight="1" x14ac:dyDescent="0.25">
      <c r="B25" s="82"/>
      <c r="C25" s="33"/>
      <c r="D25" s="33"/>
      <c r="E25" s="33"/>
      <c r="F25" s="33"/>
      <c r="G25" s="33"/>
      <c r="H25" s="33"/>
      <c r="I25" s="33"/>
      <c r="J25" s="33"/>
      <c r="K25" s="33"/>
      <c r="L25" s="33"/>
      <c r="M25" s="33"/>
      <c r="N25" s="33"/>
      <c r="O25" s="33"/>
      <c r="P25" s="33"/>
      <c r="Q25" s="33"/>
      <c r="R25" s="33"/>
      <c r="S25" s="33"/>
      <c r="T25" s="33"/>
      <c r="U25" s="29"/>
      <c r="W25" s="77" t="s">
        <v>193</v>
      </c>
      <c r="X25" s="79">
        <v>6.0200000000000002E-3</v>
      </c>
    </row>
    <row r="26" spans="2:24" ht="15" customHeight="1" x14ac:dyDescent="0.25">
      <c r="B26" s="82"/>
      <c r="C26" s="33"/>
      <c r="D26" s="33"/>
      <c r="E26" s="33"/>
      <c r="F26" s="33"/>
      <c r="G26" s="33"/>
      <c r="H26" s="33"/>
      <c r="I26" s="33"/>
      <c r="J26" s="33"/>
      <c r="K26" s="33"/>
      <c r="L26" s="33"/>
      <c r="M26" s="33"/>
      <c r="N26" s="33"/>
      <c r="O26" s="33"/>
      <c r="P26" s="33"/>
      <c r="Q26" s="33"/>
      <c r="R26" s="33"/>
      <c r="S26" s="33"/>
      <c r="T26" s="33"/>
      <c r="U26" s="29"/>
      <c r="W26" s="77"/>
      <c r="X26" s="79"/>
    </row>
    <row r="27" spans="2:24" ht="15" customHeight="1" x14ac:dyDescent="0.25">
      <c r="B27" s="82"/>
      <c r="C27" s="33"/>
      <c r="D27" s="33"/>
      <c r="E27" s="33"/>
      <c r="F27" s="33"/>
      <c r="G27" s="33"/>
      <c r="H27" s="33"/>
      <c r="I27" s="33"/>
      <c r="J27" s="33"/>
      <c r="K27" s="33"/>
      <c r="L27" s="33"/>
      <c r="M27" s="33"/>
      <c r="N27" s="33"/>
      <c r="O27" s="33"/>
      <c r="P27" s="33"/>
      <c r="Q27" s="33"/>
      <c r="R27" s="33"/>
      <c r="S27" s="33"/>
      <c r="T27" s="33"/>
      <c r="U27" s="29"/>
      <c r="W27" s="77"/>
      <c r="X27" s="79"/>
    </row>
    <row r="28" spans="2:24" ht="15" customHeight="1" x14ac:dyDescent="0.25">
      <c r="B28" s="82"/>
      <c r="C28" s="33"/>
      <c r="D28" s="33"/>
      <c r="E28" s="33"/>
      <c r="F28" s="33"/>
      <c r="G28" s="33"/>
      <c r="H28" s="33"/>
      <c r="I28" s="33"/>
      <c r="J28" s="33"/>
      <c r="K28" s="33"/>
      <c r="L28" s="33"/>
      <c r="M28" s="33"/>
      <c r="N28" s="33"/>
      <c r="O28" s="33"/>
      <c r="P28" s="33"/>
      <c r="Q28" s="33"/>
      <c r="R28" s="33"/>
      <c r="S28" s="33"/>
      <c r="T28" s="33"/>
      <c r="U28" s="29"/>
      <c r="W28" s="77"/>
      <c r="X28" s="79"/>
    </row>
    <row r="29" spans="2:24" ht="15" customHeight="1" x14ac:dyDescent="0.25">
      <c r="B29" s="82"/>
      <c r="C29" s="33"/>
      <c r="D29" s="33"/>
      <c r="E29" s="33"/>
      <c r="F29" s="33"/>
      <c r="G29" s="33"/>
      <c r="H29" s="33"/>
      <c r="I29" s="33"/>
      <c r="J29" s="33"/>
      <c r="K29" s="33"/>
      <c r="L29" s="33"/>
      <c r="M29" s="33"/>
      <c r="N29" s="33"/>
      <c r="O29" s="33"/>
      <c r="P29" s="33"/>
      <c r="Q29" s="33"/>
      <c r="R29" s="33"/>
      <c r="S29" s="33"/>
      <c r="T29" s="33"/>
      <c r="U29" s="29"/>
      <c r="W29" s="77"/>
      <c r="X29" s="79"/>
    </row>
    <row r="30" spans="2:24" ht="15" customHeight="1" x14ac:dyDescent="0.25">
      <c r="B30" s="82"/>
      <c r="C30" s="33"/>
      <c r="D30" s="33"/>
      <c r="E30" s="33"/>
      <c r="F30" s="33"/>
      <c r="G30" s="33"/>
      <c r="H30" s="33"/>
      <c r="I30" s="33"/>
      <c r="J30" s="33"/>
      <c r="K30" s="33"/>
      <c r="L30" s="33"/>
      <c r="M30" s="33"/>
      <c r="N30" s="33"/>
      <c r="O30" s="33"/>
      <c r="P30" s="33"/>
      <c r="Q30" s="33"/>
      <c r="R30" s="33"/>
      <c r="S30" s="33"/>
      <c r="T30" s="33"/>
      <c r="U30" s="29"/>
      <c r="W30" s="77"/>
      <c r="X30" s="79"/>
    </row>
    <row r="31" spans="2:24" ht="15" customHeight="1" x14ac:dyDescent="0.25">
      <c r="B31" s="82"/>
      <c r="C31" s="33"/>
      <c r="D31" s="33"/>
      <c r="E31" s="33"/>
      <c r="F31" s="33"/>
      <c r="G31" s="33"/>
      <c r="H31" s="33"/>
      <c r="I31" s="33"/>
      <c r="J31" s="33"/>
      <c r="K31" s="33"/>
      <c r="L31" s="33"/>
      <c r="M31" s="33"/>
      <c r="N31" s="33"/>
      <c r="O31" s="33"/>
      <c r="P31" s="33"/>
      <c r="Q31" s="33"/>
      <c r="R31" s="33"/>
      <c r="S31" s="33"/>
      <c r="T31" s="33"/>
      <c r="U31" s="29"/>
      <c r="W31" s="77"/>
      <c r="X31" s="79"/>
    </row>
    <row r="32" spans="2:24" ht="15" customHeight="1" x14ac:dyDescent="0.25">
      <c r="B32" s="82"/>
      <c r="C32" s="33"/>
      <c r="D32" s="33"/>
      <c r="E32" s="33"/>
      <c r="F32" s="33"/>
      <c r="G32" s="33"/>
      <c r="H32" s="33"/>
      <c r="I32" s="33"/>
      <c r="J32" s="33"/>
      <c r="K32" s="33"/>
      <c r="L32" s="33"/>
      <c r="M32" s="33"/>
      <c r="N32" s="33"/>
      <c r="O32" s="33"/>
      <c r="P32" s="33"/>
      <c r="Q32" s="33"/>
      <c r="R32" s="33"/>
      <c r="S32" s="33"/>
      <c r="T32" s="33"/>
      <c r="U32" s="29"/>
      <c r="W32" s="77"/>
      <c r="X32" s="79"/>
    </row>
    <row r="33" spans="2:24" ht="15" customHeight="1" x14ac:dyDescent="0.25">
      <c r="B33" s="82"/>
      <c r="C33" s="33"/>
      <c r="D33" s="33"/>
      <c r="E33" s="33"/>
      <c r="F33" s="33"/>
      <c r="G33" s="33"/>
      <c r="H33" s="33"/>
      <c r="I33" s="33"/>
      <c r="J33" s="33"/>
      <c r="K33" s="33"/>
      <c r="L33" s="33"/>
      <c r="M33" s="33"/>
      <c r="N33" s="33"/>
      <c r="O33" s="33"/>
      <c r="P33" s="33"/>
      <c r="Q33" s="33"/>
      <c r="R33" s="33"/>
      <c r="S33" s="33"/>
      <c r="T33" s="33"/>
      <c r="U33" s="29"/>
      <c r="W33" s="77"/>
      <c r="X33" s="79"/>
    </row>
    <row r="34" spans="2:24" ht="15" customHeight="1" x14ac:dyDescent="0.25">
      <c r="B34" s="82"/>
      <c r="C34" s="33"/>
      <c r="D34" s="33"/>
      <c r="E34" s="33"/>
      <c r="F34" s="33"/>
      <c r="G34" s="33"/>
      <c r="H34" s="33"/>
      <c r="I34" s="33"/>
      <c r="J34" s="33"/>
      <c r="K34" s="33"/>
      <c r="L34" s="33"/>
      <c r="M34" s="33"/>
      <c r="N34" s="33"/>
      <c r="O34" s="33"/>
      <c r="P34" s="33"/>
      <c r="Q34" s="33"/>
      <c r="R34" s="33"/>
      <c r="S34" s="33"/>
      <c r="T34" s="33"/>
      <c r="U34" s="29"/>
      <c r="W34" s="77"/>
      <c r="X34" s="79"/>
    </row>
    <row r="35" spans="2:24" ht="15" customHeight="1" x14ac:dyDescent="0.25">
      <c r="B35" s="82"/>
      <c r="C35" s="33"/>
      <c r="D35" s="33"/>
      <c r="E35" s="33"/>
      <c r="F35" s="33"/>
      <c r="G35" s="33"/>
      <c r="H35" s="33"/>
      <c r="I35" s="33"/>
      <c r="J35" s="33"/>
      <c r="K35" s="33"/>
      <c r="L35" s="33"/>
      <c r="M35" s="33"/>
      <c r="N35" s="33"/>
      <c r="O35" s="33"/>
      <c r="P35" s="33"/>
      <c r="Q35" s="33"/>
      <c r="R35" s="33"/>
      <c r="S35" s="33"/>
      <c r="T35" s="33"/>
      <c r="U35" s="29"/>
      <c r="W35" s="77"/>
      <c r="X35" s="79"/>
    </row>
    <row r="36" spans="2:24" ht="15" customHeight="1" x14ac:dyDescent="0.25">
      <c r="B36" s="82"/>
      <c r="C36" s="33"/>
      <c r="D36" s="33"/>
      <c r="E36" s="33"/>
      <c r="F36" s="33"/>
      <c r="G36" s="33"/>
      <c r="H36" s="33"/>
      <c r="I36" s="33"/>
      <c r="J36" s="33"/>
      <c r="K36" s="33"/>
      <c r="L36" s="33"/>
      <c r="M36" s="33"/>
      <c r="N36" s="33"/>
      <c r="O36" s="33"/>
      <c r="P36" s="33"/>
      <c r="Q36" s="33"/>
      <c r="R36" s="33"/>
      <c r="S36" s="33"/>
      <c r="T36" s="33"/>
      <c r="U36" s="29"/>
      <c r="W36" s="77"/>
      <c r="X36" s="79"/>
    </row>
    <row r="37" spans="2:24" ht="15" customHeight="1" thickBot="1" x14ac:dyDescent="0.3">
      <c r="B37" s="95"/>
      <c r="C37" s="34"/>
      <c r="D37" s="34"/>
      <c r="E37" s="34"/>
      <c r="F37" s="34"/>
      <c r="G37" s="34"/>
      <c r="H37" s="34"/>
      <c r="I37" s="34"/>
      <c r="J37" s="34"/>
      <c r="K37" s="34"/>
      <c r="L37" s="34"/>
      <c r="M37" s="34"/>
      <c r="N37" s="34"/>
      <c r="O37" s="34"/>
      <c r="P37" s="34"/>
      <c r="Q37" s="34"/>
      <c r="R37" s="34"/>
      <c r="S37" s="34"/>
      <c r="T37" s="34"/>
      <c r="U37" s="30"/>
      <c r="W37" s="77"/>
      <c r="X37" s="79"/>
    </row>
    <row r="38" spans="2:24" ht="15" customHeight="1" thickBot="1" x14ac:dyDescent="0.3">
      <c r="W38" s="77"/>
      <c r="X38" s="79"/>
    </row>
    <row r="39" spans="2:24" ht="15" customHeight="1" x14ac:dyDescent="0.25">
      <c r="B39" s="225" t="s">
        <v>117</v>
      </c>
      <c r="C39" s="226"/>
      <c r="D39" s="226"/>
      <c r="E39" s="226"/>
      <c r="F39" s="226"/>
      <c r="G39" s="226"/>
      <c r="H39" s="226"/>
      <c r="I39" s="226"/>
      <c r="J39" s="226"/>
      <c r="K39" s="226"/>
      <c r="L39" s="226"/>
      <c r="M39" s="226"/>
      <c r="N39" s="227"/>
      <c r="W39" s="77"/>
      <c r="X39" s="79"/>
    </row>
    <row r="40" spans="2:24" ht="15" customHeight="1" x14ac:dyDescent="0.25">
      <c r="B40" s="228"/>
      <c r="C40" s="229"/>
      <c r="D40" s="229"/>
      <c r="E40" s="229"/>
      <c r="F40" s="229"/>
      <c r="G40" s="229"/>
      <c r="H40" s="229"/>
      <c r="I40" s="229"/>
      <c r="J40" s="229"/>
      <c r="K40" s="229"/>
      <c r="L40" s="229"/>
      <c r="M40" s="229"/>
      <c r="N40" s="230"/>
      <c r="W40" s="77"/>
      <c r="X40" s="79"/>
    </row>
    <row r="41" spans="2:24" ht="15" customHeight="1" x14ac:dyDescent="0.25">
      <c r="B41" s="228"/>
      <c r="C41" s="229"/>
      <c r="D41" s="229"/>
      <c r="E41" s="229"/>
      <c r="F41" s="229"/>
      <c r="G41" s="229"/>
      <c r="H41" s="229"/>
      <c r="I41" s="229"/>
      <c r="J41" s="229"/>
      <c r="K41" s="229"/>
      <c r="L41" s="229"/>
      <c r="M41" s="229"/>
      <c r="N41" s="230"/>
      <c r="W41" s="77"/>
      <c r="X41" s="79"/>
    </row>
    <row r="42" spans="2:24" ht="15" customHeight="1" x14ac:dyDescent="0.25">
      <c r="B42" s="228"/>
      <c r="C42" s="229"/>
      <c r="D42" s="229"/>
      <c r="E42" s="229"/>
      <c r="F42" s="229"/>
      <c r="G42" s="229"/>
      <c r="H42" s="229"/>
      <c r="I42" s="229"/>
      <c r="J42" s="229"/>
      <c r="K42" s="229"/>
      <c r="L42" s="229"/>
      <c r="M42" s="229"/>
      <c r="N42" s="230"/>
      <c r="W42" s="77"/>
      <c r="X42" s="79"/>
    </row>
    <row r="43" spans="2:24" ht="15" customHeight="1" x14ac:dyDescent="0.25">
      <c r="B43" s="228"/>
      <c r="C43" s="229"/>
      <c r="D43" s="229"/>
      <c r="E43" s="229"/>
      <c r="F43" s="229"/>
      <c r="G43" s="229"/>
      <c r="H43" s="229"/>
      <c r="I43" s="229"/>
      <c r="J43" s="229"/>
      <c r="K43" s="229"/>
      <c r="L43" s="229"/>
      <c r="M43" s="229"/>
      <c r="N43" s="230"/>
    </row>
    <row r="44" spans="2:24" ht="15" customHeight="1" x14ac:dyDescent="0.25">
      <c r="B44" s="228"/>
      <c r="C44" s="229"/>
      <c r="D44" s="229"/>
      <c r="E44" s="229"/>
      <c r="F44" s="229"/>
      <c r="G44" s="229"/>
      <c r="H44" s="229"/>
      <c r="I44" s="229"/>
      <c r="J44" s="229"/>
      <c r="K44" s="229"/>
      <c r="L44" s="229"/>
      <c r="M44" s="229"/>
      <c r="N44" s="230"/>
    </row>
    <row r="45" spans="2:24" ht="15" customHeight="1" thickBot="1" x14ac:dyDescent="0.3">
      <c r="B45" s="231"/>
      <c r="C45" s="232"/>
      <c r="D45" s="232"/>
      <c r="E45" s="232"/>
      <c r="F45" s="232"/>
      <c r="G45" s="232"/>
      <c r="H45" s="232"/>
      <c r="I45" s="232"/>
      <c r="J45" s="232"/>
      <c r="K45" s="232"/>
      <c r="L45" s="232"/>
      <c r="M45" s="232"/>
      <c r="N45" s="233"/>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6">
    <sortCondition descending="1" ref="X8"/>
  </sortState>
  <mergeCells count="3">
    <mergeCell ref="C3:S3"/>
    <mergeCell ref="D5:E5"/>
    <mergeCell ref="B39:N45"/>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82641-2AC8-4C55-BF9D-33E47FCEFE9F}">
  <dimension ref="A1:X64"/>
  <sheetViews>
    <sheetView showGridLines="0" zoomScale="77" zoomScaleNormal="75" workbookViewId="0"/>
  </sheetViews>
  <sheetFormatPr defaultRowHeight="15" x14ac:dyDescent="0.25"/>
  <cols>
    <col min="1" max="1" width="2.85546875" style="23" customWidth="1"/>
    <col min="2" max="2" width="3.85546875" style="23" customWidth="1"/>
    <col min="3" max="3" width="58.7109375" style="23" bestFit="1" customWidth="1"/>
    <col min="4" max="4" width="28.28515625" style="23" customWidth="1"/>
    <col min="5" max="5" width="10.42578125" style="23" bestFit="1" customWidth="1"/>
    <col min="6" max="18" width="9.140625" style="23"/>
    <col min="19" max="19" width="9.85546875" style="23" customWidth="1"/>
    <col min="20" max="22" width="9.140625" style="23"/>
    <col min="23" max="23" width="31.42578125" style="23" bestFit="1" customWidth="1"/>
    <col min="24" max="16384" width="9.140625" style="23"/>
  </cols>
  <sheetData>
    <row r="1" spans="1:24" ht="15.75" customHeight="1" thickBot="1" x14ac:dyDescent="0.3">
      <c r="A1" s="3"/>
    </row>
    <row r="2" spans="1:24" ht="15" customHeight="1" x14ac:dyDescent="0.25">
      <c r="B2" s="81"/>
      <c r="C2" s="32"/>
      <c r="D2" s="32"/>
      <c r="E2" s="32"/>
      <c r="F2" s="32"/>
      <c r="G2" s="32"/>
      <c r="H2" s="32"/>
      <c r="I2" s="32"/>
      <c r="J2" s="32"/>
      <c r="K2" s="32"/>
      <c r="L2" s="32"/>
      <c r="M2" s="32"/>
      <c r="N2" s="32"/>
      <c r="O2" s="32"/>
      <c r="P2" s="32"/>
      <c r="Q2" s="32"/>
      <c r="R2" s="32"/>
      <c r="S2" s="32"/>
      <c r="T2" s="32"/>
      <c r="U2" s="28"/>
    </row>
    <row r="3" spans="1:24" ht="20.25" customHeight="1" x14ac:dyDescent="0.25">
      <c r="B3" s="82"/>
      <c r="C3" s="234" t="s">
        <v>237</v>
      </c>
      <c r="D3" s="235"/>
      <c r="E3" s="235"/>
      <c r="F3" s="235"/>
      <c r="G3" s="235"/>
      <c r="H3" s="235"/>
      <c r="I3" s="235"/>
      <c r="J3" s="235"/>
      <c r="K3" s="235"/>
      <c r="L3" s="235"/>
      <c r="M3" s="235"/>
      <c r="N3" s="235"/>
      <c r="O3" s="235"/>
      <c r="P3" s="235"/>
      <c r="Q3" s="235"/>
      <c r="R3" s="235"/>
      <c r="S3" s="235"/>
      <c r="T3" s="83"/>
      <c r="U3" s="84"/>
    </row>
    <row r="4" spans="1:24" ht="15.75" customHeight="1" x14ac:dyDescent="0.25">
      <c r="B4" s="82"/>
      <c r="C4" s="85" t="s">
        <v>271</v>
      </c>
      <c r="D4" s="33"/>
      <c r="E4" s="33"/>
      <c r="F4" s="33"/>
      <c r="G4" s="33"/>
      <c r="H4" s="33"/>
      <c r="I4" s="33"/>
      <c r="J4" s="33"/>
      <c r="K4" s="33"/>
      <c r="L4" s="33"/>
      <c r="M4" s="33"/>
      <c r="N4" s="33"/>
      <c r="O4" s="33"/>
      <c r="P4" s="33"/>
      <c r="Q4" s="33"/>
      <c r="R4" s="33"/>
      <c r="S4" s="33"/>
      <c r="T4" s="33"/>
      <c r="U4" s="29"/>
    </row>
    <row r="5" spans="1:24" ht="18" customHeight="1" x14ac:dyDescent="0.25">
      <c r="B5" s="82"/>
      <c r="C5" s="86" t="s">
        <v>272</v>
      </c>
      <c r="D5" s="238" t="s">
        <v>298</v>
      </c>
      <c r="E5" s="238"/>
      <c r="F5" s="33"/>
      <c r="G5" s="33"/>
      <c r="H5" s="33"/>
      <c r="I5" s="33"/>
      <c r="J5" s="33"/>
      <c r="K5" s="33"/>
      <c r="L5" s="33"/>
      <c r="M5" s="33"/>
      <c r="N5" s="33"/>
      <c r="O5" s="33"/>
      <c r="P5" s="33"/>
      <c r="Q5" s="33"/>
      <c r="R5" s="33"/>
      <c r="S5" s="33"/>
      <c r="T5" s="33"/>
      <c r="U5" s="29"/>
    </row>
    <row r="6" spans="1:24" ht="15" customHeight="1" x14ac:dyDescent="0.25">
      <c r="B6" s="82"/>
      <c r="C6" s="33"/>
      <c r="D6" s="33"/>
      <c r="E6" s="33"/>
      <c r="F6" s="33"/>
      <c r="G6" s="33"/>
      <c r="H6" s="33"/>
      <c r="I6" s="33"/>
      <c r="J6" s="33"/>
      <c r="K6" s="33"/>
      <c r="L6" s="33"/>
      <c r="M6" s="33"/>
      <c r="N6" s="33"/>
      <c r="O6" s="33"/>
      <c r="P6" s="33"/>
      <c r="Q6" s="33"/>
      <c r="R6" s="33"/>
      <c r="S6" s="33"/>
      <c r="T6" s="33"/>
      <c r="U6" s="29"/>
    </row>
    <row r="7" spans="1:24" ht="32.25" customHeight="1" x14ac:dyDescent="0.25">
      <c r="B7" s="82"/>
      <c r="C7" s="87" t="s">
        <v>0</v>
      </c>
      <c r="D7" s="88" t="s">
        <v>1</v>
      </c>
      <c r="E7" s="89" t="s">
        <v>2</v>
      </c>
      <c r="F7" s="33"/>
      <c r="G7" s="33"/>
      <c r="H7" s="33"/>
      <c r="I7" s="33"/>
      <c r="J7" s="33"/>
      <c r="K7" s="33"/>
      <c r="L7" s="33"/>
      <c r="M7" s="33"/>
      <c r="N7" s="33"/>
      <c r="O7" s="33"/>
      <c r="P7" s="33"/>
      <c r="Q7" s="33"/>
      <c r="R7" s="33"/>
      <c r="S7" s="33"/>
      <c r="T7" s="33"/>
      <c r="U7" s="29"/>
      <c r="W7" s="45" t="s">
        <v>22</v>
      </c>
      <c r="X7" s="45" t="s">
        <v>2</v>
      </c>
    </row>
    <row r="8" spans="1:24" ht="15" customHeight="1" x14ac:dyDescent="0.25">
      <c r="B8" s="82"/>
      <c r="C8" s="15" t="s">
        <v>201</v>
      </c>
      <c r="D8" s="17" t="s">
        <v>170</v>
      </c>
      <c r="E8" s="19">
        <v>4.4017000000000001E-2</v>
      </c>
      <c r="F8" s="33"/>
      <c r="G8" s="33"/>
      <c r="H8" s="33"/>
      <c r="I8" s="33"/>
      <c r="J8" s="33"/>
      <c r="K8" s="33"/>
      <c r="L8" s="33"/>
      <c r="M8" s="33"/>
      <c r="N8" s="33"/>
      <c r="O8" s="33"/>
      <c r="P8" s="33"/>
      <c r="Q8" s="33"/>
      <c r="R8" s="33"/>
      <c r="S8" s="33"/>
      <c r="T8" s="33"/>
      <c r="U8" s="29"/>
      <c r="W8" s="218" t="s">
        <v>169</v>
      </c>
      <c r="X8" s="217">
        <v>0.16422699999999998</v>
      </c>
    </row>
    <row r="9" spans="1:24" ht="15.75" customHeight="1" x14ac:dyDescent="0.25">
      <c r="B9" s="82"/>
      <c r="C9" s="16" t="s">
        <v>32</v>
      </c>
      <c r="D9" s="18" t="s">
        <v>180</v>
      </c>
      <c r="E9" s="20">
        <v>3.9272000000000001E-2</v>
      </c>
      <c r="F9" s="33"/>
      <c r="G9" s="33"/>
      <c r="H9" s="33"/>
      <c r="I9" s="33"/>
      <c r="J9" s="33"/>
      <c r="K9" s="33"/>
      <c r="L9" s="33"/>
      <c r="M9" s="33"/>
      <c r="N9" s="33"/>
      <c r="O9" s="33"/>
      <c r="P9" s="33"/>
      <c r="Q9" s="33"/>
      <c r="R9" s="33"/>
      <c r="S9" s="33"/>
      <c r="T9" s="33"/>
      <c r="U9" s="29"/>
      <c r="W9" s="218" t="s">
        <v>184</v>
      </c>
      <c r="X9" s="217">
        <v>8.8622000000000006E-2</v>
      </c>
    </row>
    <row r="10" spans="1:24" ht="15.75" x14ac:dyDescent="0.25">
      <c r="B10" s="82"/>
      <c r="C10" s="16" t="s">
        <v>35</v>
      </c>
      <c r="D10" s="18" t="s">
        <v>169</v>
      </c>
      <c r="E10" s="20">
        <v>3.7731000000000001E-2</v>
      </c>
      <c r="F10" s="33"/>
      <c r="G10" s="33"/>
      <c r="H10" s="33"/>
      <c r="I10" s="33"/>
      <c r="J10" s="33"/>
      <c r="K10" s="33"/>
      <c r="L10" s="33"/>
      <c r="M10" s="33"/>
      <c r="N10" s="33"/>
      <c r="O10" s="33"/>
      <c r="P10" s="33"/>
      <c r="Q10" s="33"/>
      <c r="R10" s="33"/>
      <c r="S10" s="33"/>
      <c r="T10" s="33"/>
      <c r="U10" s="29"/>
      <c r="W10" s="218" t="s">
        <v>170</v>
      </c>
      <c r="X10" s="217">
        <v>8.0475999999999992E-2</v>
      </c>
    </row>
    <row r="11" spans="1:24" ht="15.75" customHeight="1" x14ac:dyDescent="0.25">
      <c r="B11" s="82"/>
      <c r="C11" s="16" t="s">
        <v>166</v>
      </c>
      <c r="D11" s="18" t="s">
        <v>174</v>
      </c>
      <c r="E11" s="20">
        <v>3.7408999999999998E-2</v>
      </c>
      <c r="F11" s="33"/>
      <c r="G11" s="33"/>
      <c r="H11" s="33"/>
      <c r="I11" s="33"/>
      <c r="J11" s="33"/>
      <c r="K11" s="33"/>
      <c r="L11" s="33"/>
      <c r="M11" s="33"/>
      <c r="N11" s="33"/>
      <c r="O11" s="33"/>
      <c r="P11" s="33"/>
      <c r="Q11" s="33"/>
      <c r="R11" s="33"/>
      <c r="S11" s="33"/>
      <c r="T11" s="33"/>
      <c r="U11" s="29"/>
      <c r="W11" s="218" t="s">
        <v>180</v>
      </c>
      <c r="X11" s="217">
        <v>7.4386000000000008E-2</v>
      </c>
    </row>
    <row r="12" spans="1:24" ht="15" customHeight="1" x14ac:dyDescent="0.25">
      <c r="B12" s="82"/>
      <c r="C12" s="16" t="s">
        <v>239</v>
      </c>
      <c r="D12" s="18" t="s">
        <v>175</v>
      </c>
      <c r="E12" s="20">
        <v>3.6944999999999999E-2</v>
      </c>
      <c r="F12" s="33"/>
      <c r="G12" s="33"/>
      <c r="H12" s="33"/>
      <c r="I12" s="33"/>
      <c r="J12" s="33"/>
      <c r="K12" s="33"/>
      <c r="L12" s="33"/>
      <c r="M12" s="33"/>
      <c r="N12" s="33"/>
      <c r="O12" s="33"/>
      <c r="P12" s="33"/>
      <c r="Q12" s="33"/>
      <c r="R12" s="33"/>
      <c r="S12" s="33"/>
      <c r="T12" s="33"/>
      <c r="U12" s="29"/>
      <c r="W12" s="218" t="s">
        <v>174</v>
      </c>
      <c r="X12" s="217">
        <v>7.4343999999999993E-2</v>
      </c>
    </row>
    <row r="13" spans="1:24" ht="15" customHeight="1" x14ac:dyDescent="0.25">
      <c r="B13" s="82"/>
      <c r="C13" s="16" t="s">
        <v>238</v>
      </c>
      <c r="D13" s="18" t="s">
        <v>174</v>
      </c>
      <c r="E13" s="20">
        <v>3.6935000000000003E-2</v>
      </c>
      <c r="F13" s="33"/>
      <c r="G13" s="33"/>
      <c r="H13" s="33"/>
      <c r="I13" s="33"/>
      <c r="J13" s="33"/>
      <c r="K13" s="33"/>
      <c r="L13" s="33"/>
      <c r="M13" s="33"/>
      <c r="N13" s="33"/>
      <c r="O13" s="33"/>
      <c r="P13" s="33"/>
      <c r="Q13" s="33"/>
      <c r="R13" s="33"/>
      <c r="S13" s="33"/>
      <c r="T13" s="33"/>
      <c r="U13" s="29"/>
      <c r="W13" s="218" t="s">
        <v>3</v>
      </c>
      <c r="X13" s="217">
        <v>6.8321999999999994E-2</v>
      </c>
    </row>
    <row r="14" spans="1:24" ht="15" customHeight="1" x14ac:dyDescent="0.25">
      <c r="B14" s="82"/>
      <c r="C14" s="16" t="s">
        <v>125</v>
      </c>
      <c r="D14" s="18" t="s">
        <v>170</v>
      </c>
      <c r="E14" s="20">
        <v>3.6458999999999998E-2</v>
      </c>
      <c r="F14" s="33"/>
      <c r="G14" s="33"/>
      <c r="H14" s="33"/>
      <c r="I14" s="33"/>
      <c r="J14" s="33"/>
      <c r="K14" s="33"/>
      <c r="L14" s="33"/>
      <c r="M14" s="33"/>
      <c r="N14" s="33"/>
      <c r="O14" s="33"/>
      <c r="P14" s="33"/>
      <c r="Q14" s="33"/>
      <c r="R14" s="33"/>
      <c r="S14" s="33"/>
      <c r="T14" s="33"/>
      <c r="U14" s="29"/>
      <c r="W14" s="218" t="s">
        <v>175</v>
      </c>
      <c r="X14" s="217">
        <v>6.8018999999999996E-2</v>
      </c>
    </row>
    <row r="15" spans="1:24" ht="15" customHeight="1" x14ac:dyDescent="0.25">
      <c r="B15" s="82"/>
      <c r="C15" s="16" t="s">
        <v>39</v>
      </c>
      <c r="D15" s="18" t="s">
        <v>180</v>
      </c>
      <c r="E15" s="20">
        <v>3.5113999999999999E-2</v>
      </c>
      <c r="F15" s="33"/>
      <c r="G15" s="33"/>
      <c r="H15" s="33"/>
      <c r="I15" s="33"/>
      <c r="J15" s="33"/>
      <c r="K15" s="33"/>
      <c r="L15" s="33"/>
      <c r="M15" s="33"/>
      <c r="N15" s="33"/>
      <c r="O15" s="33"/>
      <c r="P15" s="33"/>
      <c r="Q15" s="33"/>
      <c r="R15" s="33"/>
      <c r="S15" s="33"/>
      <c r="T15" s="33"/>
      <c r="U15" s="29"/>
      <c r="W15" s="218" t="s">
        <v>10</v>
      </c>
      <c r="X15" s="217">
        <v>6.6331000000000001E-2</v>
      </c>
    </row>
    <row r="16" spans="1:24" ht="15" customHeight="1" x14ac:dyDescent="0.25">
      <c r="B16" s="82"/>
      <c r="C16" s="16" t="s">
        <v>270</v>
      </c>
      <c r="D16" s="18" t="s">
        <v>122</v>
      </c>
      <c r="E16" s="20">
        <v>3.4429000000000001E-2</v>
      </c>
      <c r="F16" s="33"/>
      <c r="G16" s="33"/>
      <c r="H16" s="33"/>
      <c r="I16" s="33"/>
      <c r="J16" s="33"/>
      <c r="K16" s="33"/>
      <c r="L16" s="33"/>
      <c r="M16" s="33"/>
      <c r="N16" s="33"/>
      <c r="O16" s="33"/>
      <c r="P16" s="33"/>
      <c r="Q16" s="33"/>
      <c r="R16" s="33"/>
      <c r="S16" s="33"/>
      <c r="T16" s="33"/>
      <c r="U16" s="29"/>
      <c r="W16" s="218" t="s">
        <v>122</v>
      </c>
      <c r="X16" s="217">
        <v>6.4668000000000003E-2</v>
      </c>
    </row>
    <row r="17" spans="2:24" ht="15" customHeight="1" x14ac:dyDescent="0.25">
      <c r="B17" s="82"/>
      <c r="C17" s="16" t="s">
        <v>37</v>
      </c>
      <c r="D17" s="18" t="s">
        <v>3</v>
      </c>
      <c r="E17" s="20">
        <v>3.431E-2</v>
      </c>
      <c r="F17" s="33"/>
      <c r="G17" s="33"/>
      <c r="H17" s="33"/>
      <c r="I17" s="33"/>
      <c r="J17" s="33"/>
      <c r="K17" s="33"/>
      <c r="L17" s="33"/>
      <c r="M17" s="33"/>
      <c r="N17" s="33"/>
      <c r="O17" s="33"/>
      <c r="P17" s="33"/>
      <c r="Q17" s="33"/>
      <c r="R17" s="33"/>
      <c r="S17" s="33"/>
      <c r="T17" s="33"/>
      <c r="U17" s="29"/>
      <c r="W17" s="218" t="s">
        <v>6</v>
      </c>
      <c r="X17" s="217">
        <v>6.3190999999999997E-2</v>
      </c>
    </row>
    <row r="18" spans="2:24" ht="15" customHeight="1" x14ac:dyDescent="0.25">
      <c r="B18" s="82"/>
      <c r="C18" s="16" t="s">
        <v>36</v>
      </c>
      <c r="D18" s="18" t="s">
        <v>23</v>
      </c>
      <c r="E18" s="20">
        <v>3.4257000000000003E-2</v>
      </c>
      <c r="F18" s="33"/>
      <c r="G18" s="33"/>
      <c r="H18" s="33"/>
      <c r="I18" s="33"/>
      <c r="J18" s="33"/>
      <c r="K18" s="33"/>
      <c r="L18" s="33"/>
      <c r="M18" s="33"/>
      <c r="N18" s="33"/>
      <c r="O18" s="33"/>
      <c r="P18" s="33"/>
      <c r="Q18" s="33"/>
      <c r="R18" s="33"/>
      <c r="S18" s="33"/>
      <c r="T18" s="33"/>
      <c r="U18" s="29"/>
      <c r="W18" s="218" t="s">
        <v>16</v>
      </c>
      <c r="X18" s="217">
        <v>6.1700999999999992E-2</v>
      </c>
    </row>
    <row r="19" spans="2:24" ht="15" customHeight="1" x14ac:dyDescent="0.25">
      <c r="B19" s="82"/>
      <c r="C19" s="16" t="s">
        <v>99</v>
      </c>
      <c r="D19" s="18" t="s">
        <v>169</v>
      </c>
      <c r="E19" s="20">
        <v>3.4050999999999998E-2</v>
      </c>
      <c r="F19" s="33"/>
      <c r="G19" s="33"/>
      <c r="H19" s="33"/>
      <c r="I19" s="33"/>
      <c r="J19" s="33"/>
      <c r="K19" s="33"/>
      <c r="L19" s="33"/>
      <c r="M19" s="33"/>
      <c r="N19" s="33"/>
      <c r="O19" s="33"/>
      <c r="P19" s="33"/>
      <c r="Q19" s="33"/>
      <c r="R19" s="33"/>
      <c r="S19" s="33"/>
      <c r="T19" s="33"/>
      <c r="U19" s="29"/>
      <c r="W19" s="218" t="s">
        <v>119</v>
      </c>
      <c r="X19" s="217">
        <v>6.0521999999999992E-2</v>
      </c>
    </row>
    <row r="20" spans="2:24" ht="15" customHeight="1" x14ac:dyDescent="0.25">
      <c r="B20" s="82"/>
      <c r="C20" s="16" t="s">
        <v>30</v>
      </c>
      <c r="D20" s="18" t="s">
        <v>3</v>
      </c>
      <c r="E20" s="20">
        <v>3.4012000000000001E-2</v>
      </c>
      <c r="F20" s="33"/>
      <c r="G20" s="33"/>
      <c r="H20" s="33"/>
      <c r="I20" s="33"/>
      <c r="J20" s="33"/>
      <c r="K20" s="33"/>
      <c r="L20" s="33"/>
      <c r="M20" s="33"/>
      <c r="N20" s="33"/>
      <c r="O20" s="33"/>
      <c r="P20" s="33"/>
      <c r="Q20" s="33"/>
      <c r="R20" s="33"/>
      <c r="S20" s="33"/>
      <c r="T20" s="33"/>
      <c r="U20" s="29"/>
      <c r="W20" s="218" t="s">
        <v>23</v>
      </c>
      <c r="X20" s="217">
        <v>3.4257000000000003E-2</v>
      </c>
    </row>
    <row r="21" spans="2:24" ht="15" customHeight="1" x14ac:dyDescent="0.25">
      <c r="B21" s="82"/>
      <c r="C21" s="16" t="s">
        <v>73</v>
      </c>
      <c r="D21" s="18" t="s">
        <v>10</v>
      </c>
      <c r="E21" s="20">
        <v>3.3555000000000001E-2</v>
      </c>
      <c r="F21" s="33"/>
      <c r="G21" s="33"/>
      <c r="H21" s="33"/>
      <c r="I21" s="33"/>
      <c r="J21" s="33"/>
      <c r="K21" s="33"/>
      <c r="L21" s="33"/>
      <c r="M21" s="33"/>
      <c r="N21" s="33"/>
      <c r="O21" s="33"/>
      <c r="P21" s="33"/>
      <c r="Q21" s="33"/>
      <c r="R21" s="33"/>
      <c r="S21" s="33"/>
      <c r="T21" s="33"/>
      <c r="U21" s="29"/>
      <c r="W21" s="218" t="s">
        <v>179</v>
      </c>
      <c r="X21" s="217">
        <v>3.031E-2</v>
      </c>
    </row>
    <row r="22" spans="2:24" ht="15" customHeight="1" x14ac:dyDescent="0.25">
      <c r="B22" s="82"/>
      <c r="C22" s="16" t="s">
        <v>232</v>
      </c>
      <c r="D22" s="18" t="s">
        <v>10</v>
      </c>
      <c r="E22" s="20">
        <v>3.2776E-2</v>
      </c>
      <c r="F22" s="33"/>
      <c r="G22" s="33"/>
      <c r="H22" s="33"/>
      <c r="I22" s="33"/>
      <c r="J22" s="33"/>
      <c r="K22" s="33"/>
      <c r="L22" s="33"/>
      <c r="M22" s="33"/>
      <c r="N22" s="33"/>
      <c r="O22" s="33"/>
      <c r="P22" s="33"/>
      <c r="Q22" s="33"/>
      <c r="R22" s="33"/>
      <c r="S22" s="33"/>
      <c r="T22" s="33"/>
      <c r="U22" s="29"/>
      <c r="W22" s="77"/>
      <c r="X22" s="79"/>
    </row>
    <row r="23" spans="2:24" ht="15" customHeight="1" x14ac:dyDescent="0.25">
      <c r="B23" s="82"/>
      <c r="C23" s="90"/>
      <c r="D23" s="90"/>
      <c r="E23" s="91"/>
      <c r="F23" s="33"/>
      <c r="G23" s="33"/>
      <c r="H23" s="33"/>
      <c r="I23" s="33"/>
      <c r="J23" s="33"/>
      <c r="K23" s="33"/>
      <c r="L23" s="33"/>
      <c r="M23" s="33"/>
      <c r="N23" s="33"/>
      <c r="O23" s="33"/>
      <c r="P23" s="33"/>
      <c r="Q23" s="33"/>
      <c r="R23" s="33"/>
      <c r="S23" s="33"/>
      <c r="T23" s="33"/>
      <c r="U23" s="29"/>
      <c r="W23" s="77"/>
      <c r="X23" s="79"/>
    </row>
    <row r="24" spans="2:24" ht="15" customHeight="1" x14ac:dyDescent="0.25">
      <c r="B24" s="82"/>
      <c r="C24" s="92" t="s">
        <v>64</v>
      </c>
      <c r="D24" s="93"/>
      <c r="E24" s="94">
        <f>SUM(E8:E22)</f>
        <v>0.54127199999999998</v>
      </c>
      <c r="F24" s="33"/>
      <c r="G24" s="33"/>
      <c r="H24" s="33"/>
      <c r="I24" s="33"/>
      <c r="J24" s="33"/>
      <c r="K24" s="33"/>
      <c r="L24" s="33"/>
      <c r="M24" s="33"/>
      <c r="N24" s="33"/>
      <c r="O24" s="33"/>
      <c r="P24" s="33"/>
      <c r="Q24" s="33"/>
      <c r="R24" s="33"/>
      <c r="S24" s="33"/>
      <c r="T24" s="33"/>
      <c r="U24" s="29"/>
      <c r="W24" s="77"/>
      <c r="X24" s="79"/>
    </row>
    <row r="25" spans="2:24" ht="15" customHeight="1" x14ac:dyDescent="0.25">
      <c r="B25" s="82"/>
      <c r="C25" s="33"/>
      <c r="D25" s="33"/>
      <c r="E25" s="33"/>
      <c r="F25" s="33"/>
      <c r="G25" s="33"/>
      <c r="H25" s="33"/>
      <c r="I25" s="33"/>
      <c r="J25" s="33"/>
      <c r="K25" s="33"/>
      <c r="L25" s="33"/>
      <c r="M25" s="33"/>
      <c r="N25" s="33"/>
      <c r="O25" s="33"/>
      <c r="P25" s="33"/>
      <c r="Q25" s="33"/>
      <c r="R25" s="33"/>
      <c r="S25" s="33"/>
      <c r="T25" s="33"/>
      <c r="U25" s="29"/>
      <c r="W25" s="77"/>
      <c r="X25" s="79"/>
    </row>
    <row r="26" spans="2:24" ht="15" customHeight="1" x14ac:dyDescent="0.25">
      <c r="B26" s="82"/>
      <c r="C26" s="33"/>
      <c r="D26" s="33"/>
      <c r="E26" s="33"/>
      <c r="F26" s="33"/>
      <c r="G26" s="33"/>
      <c r="H26" s="33"/>
      <c r="I26" s="33"/>
      <c r="J26" s="33"/>
      <c r="K26" s="33"/>
      <c r="L26" s="33"/>
      <c r="M26" s="33"/>
      <c r="N26" s="33"/>
      <c r="O26" s="33"/>
      <c r="P26" s="33"/>
      <c r="Q26" s="33"/>
      <c r="R26" s="33"/>
      <c r="S26" s="33"/>
      <c r="T26" s="33"/>
      <c r="U26" s="29"/>
      <c r="W26" s="77"/>
      <c r="X26" s="79"/>
    </row>
    <row r="27" spans="2:24" ht="15" customHeight="1" x14ac:dyDescent="0.25">
      <c r="B27" s="82"/>
      <c r="C27" s="33"/>
      <c r="D27" s="33"/>
      <c r="E27" s="33"/>
      <c r="F27" s="33"/>
      <c r="G27" s="33"/>
      <c r="H27" s="33"/>
      <c r="I27" s="33"/>
      <c r="J27" s="33"/>
      <c r="K27" s="33"/>
      <c r="L27" s="33"/>
      <c r="M27" s="33"/>
      <c r="N27" s="33"/>
      <c r="O27" s="33"/>
      <c r="P27" s="33"/>
      <c r="Q27" s="33"/>
      <c r="R27" s="33"/>
      <c r="S27" s="33"/>
      <c r="T27" s="33"/>
      <c r="U27" s="29"/>
      <c r="W27" s="77"/>
      <c r="X27" s="79"/>
    </row>
    <row r="28" spans="2:24" ht="15" customHeight="1" x14ac:dyDescent="0.25">
      <c r="B28" s="82"/>
      <c r="C28" s="33"/>
      <c r="D28" s="33"/>
      <c r="E28" s="33"/>
      <c r="F28" s="33"/>
      <c r="G28" s="33"/>
      <c r="H28" s="33"/>
      <c r="I28" s="33"/>
      <c r="J28" s="33"/>
      <c r="K28" s="33"/>
      <c r="L28" s="33"/>
      <c r="M28" s="33"/>
      <c r="N28" s="33"/>
      <c r="O28" s="33"/>
      <c r="P28" s="33"/>
      <c r="Q28" s="33"/>
      <c r="R28" s="33"/>
      <c r="S28" s="33"/>
      <c r="T28" s="33"/>
      <c r="U28" s="29"/>
      <c r="W28" s="77"/>
      <c r="X28" s="79"/>
    </row>
    <row r="29" spans="2:24" ht="15" customHeight="1" x14ac:dyDescent="0.25">
      <c r="B29" s="82"/>
      <c r="C29" s="33"/>
      <c r="D29" s="33"/>
      <c r="E29" s="33"/>
      <c r="F29" s="33"/>
      <c r="G29" s="33"/>
      <c r="H29" s="33"/>
      <c r="I29" s="33"/>
      <c r="J29" s="33"/>
      <c r="K29" s="33"/>
      <c r="L29" s="33"/>
      <c r="M29" s="33"/>
      <c r="N29" s="33"/>
      <c r="O29" s="33"/>
      <c r="P29" s="33"/>
      <c r="Q29" s="33"/>
      <c r="R29" s="33"/>
      <c r="S29" s="33"/>
      <c r="T29" s="33"/>
      <c r="U29" s="29"/>
      <c r="W29" s="77"/>
      <c r="X29" s="79"/>
    </row>
    <row r="30" spans="2:24" ht="15" customHeight="1" x14ac:dyDescent="0.25">
      <c r="B30" s="82"/>
      <c r="C30" s="33"/>
      <c r="D30" s="33"/>
      <c r="E30" s="33"/>
      <c r="F30" s="33"/>
      <c r="G30" s="33"/>
      <c r="H30" s="33"/>
      <c r="I30" s="33"/>
      <c r="J30" s="33"/>
      <c r="K30" s="33"/>
      <c r="L30" s="33"/>
      <c r="M30" s="33"/>
      <c r="N30" s="33"/>
      <c r="O30" s="33"/>
      <c r="P30" s="33"/>
      <c r="Q30" s="33"/>
      <c r="R30" s="33"/>
      <c r="S30" s="33"/>
      <c r="T30" s="33"/>
      <c r="U30" s="29"/>
      <c r="W30" s="77"/>
      <c r="X30" s="79"/>
    </row>
    <row r="31" spans="2:24" ht="15" customHeight="1" x14ac:dyDescent="0.25">
      <c r="B31" s="82"/>
      <c r="C31" s="33"/>
      <c r="D31" s="33"/>
      <c r="E31" s="33"/>
      <c r="F31" s="33"/>
      <c r="G31" s="33"/>
      <c r="H31" s="33"/>
      <c r="I31" s="33"/>
      <c r="J31" s="33"/>
      <c r="K31" s="33"/>
      <c r="L31" s="33"/>
      <c r="M31" s="33"/>
      <c r="N31" s="33"/>
      <c r="O31" s="33"/>
      <c r="P31" s="33"/>
      <c r="Q31" s="33"/>
      <c r="R31" s="33"/>
      <c r="S31" s="33"/>
      <c r="T31" s="33"/>
      <c r="U31" s="29"/>
      <c r="W31" s="77"/>
      <c r="X31" s="79"/>
    </row>
    <row r="32" spans="2:24" ht="15" customHeight="1" x14ac:dyDescent="0.25">
      <c r="B32" s="82"/>
      <c r="C32" s="33"/>
      <c r="D32" s="33"/>
      <c r="E32" s="33"/>
      <c r="F32" s="33"/>
      <c r="G32" s="33"/>
      <c r="H32" s="33"/>
      <c r="I32" s="33"/>
      <c r="J32" s="33"/>
      <c r="K32" s="33"/>
      <c r="L32" s="33"/>
      <c r="M32" s="33"/>
      <c r="N32" s="33"/>
      <c r="O32" s="33"/>
      <c r="P32" s="33"/>
      <c r="Q32" s="33"/>
      <c r="R32" s="33"/>
      <c r="S32" s="33"/>
      <c r="T32" s="33"/>
      <c r="U32" s="29"/>
      <c r="W32" s="77"/>
      <c r="X32" s="79"/>
    </row>
    <row r="33" spans="2:24" ht="15" customHeight="1" x14ac:dyDescent="0.25">
      <c r="B33" s="82"/>
      <c r="C33" s="33"/>
      <c r="D33" s="33"/>
      <c r="E33" s="33"/>
      <c r="F33" s="33"/>
      <c r="G33" s="33"/>
      <c r="H33" s="33"/>
      <c r="I33" s="33"/>
      <c r="J33" s="33"/>
      <c r="K33" s="33"/>
      <c r="L33" s="33"/>
      <c r="M33" s="33"/>
      <c r="N33" s="33"/>
      <c r="O33" s="33"/>
      <c r="P33" s="33"/>
      <c r="Q33" s="33"/>
      <c r="R33" s="33"/>
      <c r="S33" s="33"/>
      <c r="T33" s="33"/>
      <c r="U33" s="29"/>
      <c r="W33" s="77"/>
      <c r="X33" s="79"/>
    </row>
    <row r="34" spans="2:24" ht="15" customHeight="1" x14ac:dyDescent="0.25">
      <c r="B34" s="82"/>
      <c r="C34" s="33"/>
      <c r="D34" s="33"/>
      <c r="E34" s="33"/>
      <c r="F34" s="33"/>
      <c r="G34" s="33"/>
      <c r="H34" s="33"/>
      <c r="I34" s="33"/>
      <c r="J34" s="33"/>
      <c r="K34" s="33"/>
      <c r="L34" s="33"/>
      <c r="M34" s="33"/>
      <c r="N34" s="33"/>
      <c r="O34" s="33"/>
      <c r="P34" s="33"/>
      <c r="Q34" s="33"/>
      <c r="R34" s="33"/>
      <c r="S34" s="33"/>
      <c r="T34" s="33"/>
      <c r="U34" s="29"/>
      <c r="W34" s="77"/>
      <c r="X34" s="79"/>
    </row>
    <row r="35" spans="2:24" ht="15" customHeight="1" x14ac:dyDescent="0.25">
      <c r="B35" s="82"/>
      <c r="C35" s="33"/>
      <c r="D35" s="33"/>
      <c r="E35" s="33"/>
      <c r="F35" s="33"/>
      <c r="G35" s="33"/>
      <c r="H35" s="33"/>
      <c r="I35" s="33"/>
      <c r="J35" s="33"/>
      <c r="K35" s="33"/>
      <c r="L35" s="33"/>
      <c r="M35" s="33"/>
      <c r="N35" s="33"/>
      <c r="O35" s="33"/>
      <c r="P35" s="33"/>
      <c r="Q35" s="33"/>
      <c r="R35" s="33"/>
      <c r="S35" s="33"/>
      <c r="T35" s="33"/>
      <c r="U35" s="29"/>
      <c r="W35" s="77"/>
      <c r="X35" s="79"/>
    </row>
    <row r="36" spans="2:24" ht="15" customHeight="1" x14ac:dyDescent="0.25">
      <c r="B36" s="82"/>
      <c r="C36" s="33"/>
      <c r="D36" s="33"/>
      <c r="E36" s="33"/>
      <c r="F36" s="33"/>
      <c r="G36" s="33"/>
      <c r="H36" s="33"/>
      <c r="I36" s="33"/>
      <c r="J36" s="33"/>
      <c r="K36" s="33"/>
      <c r="L36" s="33"/>
      <c r="M36" s="33"/>
      <c r="N36" s="33"/>
      <c r="O36" s="33"/>
      <c r="P36" s="33"/>
      <c r="Q36" s="33"/>
      <c r="R36" s="33"/>
      <c r="S36" s="33"/>
      <c r="T36" s="33"/>
      <c r="U36" s="29"/>
      <c r="W36" s="77"/>
      <c r="X36" s="79"/>
    </row>
    <row r="37" spans="2:24" ht="15" customHeight="1" thickBot="1" x14ac:dyDescent="0.3">
      <c r="B37" s="95"/>
      <c r="C37" s="34"/>
      <c r="D37" s="34"/>
      <c r="E37" s="34"/>
      <c r="F37" s="34"/>
      <c r="G37" s="34"/>
      <c r="H37" s="34"/>
      <c r="I37" s="34"/>
      <c r="J37" s="34"/>
      <c r="K37" s="34"/>
      <c r="L37" s="34"/>
      <c r="M37" s="34"/>
      <c r="N37" s="34"/>
      <c r="O37" s="34"/>
      <c r="P37" s="34"/>
      <c r="Q37" s="34"/>
      <c r="R37" s="34"/>
      <c r="S37" s="34"/>
      <c r="T37" s="34"/>
      <c r="U37" s="30"/>
      <c r="W37" s="77"/>
      <c r="X37" s="79"/>
    </row>
    <row r="38" spans="2:24" ht="15" customHeight="1" thickBot="1" x14ac:dyDescent="0.3">
      <c r="W38" s="77"/>
      <c r="X38" s="79"/>
    </row>
    <row r="39" spans="2:24" ht="15" customHeight="1" x14ac:dyDescent="0.25">
      <c r="B39" s="225" t="s">
        <v>117</v>
      </c>
      <c r="C39" s="226"/>
      <c r="D39" s="226"/>
      <c r="E39" s="226"/>
      <c r="F39" s="226"/>
      <c r="G39" s="226"/>
      <c r="H39" s="226"/>
      <c r="I39" s="226"/>
      <c r="J39" s="226"/>
      <c r="K39" s="226"/>
      <c r="L39" s="226"/>
      <c r="M39" s="226"/>
      <c r="N39" s="227"/>
      <c r="W39" s="77"/>
      <c r="X39" s="79"/>
    </row>
    <row r="40" spans="2:24" ht="15" customHeight="1" x14ac:dyDescent="0.25">
      <c r="B40" s="228"/>
      <c r="C40" s="229"/>
      <c r="D40" s="229"/>
      <c r="E40" s="229"/>
      <c r="F40" s="229"/>
      <c r="G40" s="229"/>
      <c r="H40" s="229"/>
      <c r="I40" s="229"/>
      <c r="J40" s="229"/>
      <c r="K40" s="229"/>
      <c r="L40" s="229"/>
      <c r="M40" s="229"/>
      <c r="N40" s="230"/>
      <c r="W40" s="77"/>
      <c r="X40" s="79"/>
    </row>
    <row r="41" spans="2:24" ht="15" customHeight="1" x14ac:dyDescent="0.25">
      <c r="B41" s="228"/>
      <c r="C41" s="229"/>
      <c r="D41" s="229"/>
      <c r="E41" s="229"/>
      <c r="F41" s="229"/>
      <c r="G41" s="229"/>
      <c r="H41" s="229"/>
      <c r="I41" s="229"/>
      <c r="J41" s="229"/>
      <c r="K41" s="229"/>
      <c r="L41" s="229"/>
      <c r="M41" s="229"/>
      <c r="N41" s="230"/>
      <c r="W41" s="77"/>
      <c r="X41" s="79"/>
    </row>
    <row r="42" spans="2:24" ht="15" customHeight="1" x14ac:dyDescent="0.25">
      <c r="B42" s="228"/>
      <c r="C42" s="229"/>
      <c r="D42" s="229"/>
      <c r="E42" s="229"/>
      <c r="F42" s="229"/>
      <c r="G42" s="229"/>
      <c r="H42" s="229"/>
      <c r="I42" s="229"/>
      <c r="J42" s="229"/>
      <c r="K42" s="229"/>
      <c r="L42" s="229"/>
      <c r="M42" s="229"/>
      <c r="N42" s="230"/>
      <c r="W42" s="77"/>
      <c r="X42" s="79"/>
    </row>
    <row r="43" spans="2:24" ht="15" customHeight="1" x14ac:dyDescent="0.25">
      <c r="B43" s="228"/>
      <c r="C43" s="229"/>
      <c r="D43" s="229"/>
      <c r="E43" s="229"/>
      <c r="F43" s="229"/>
      <c r="G43" s="229"/>
      <c r="H43" s="229"/>
      <c r="I43" s="229"/>
      <c r="J43" s="229"/>
      <c r="K43" s="229"/>
      <c r="L43" s="229"/>
      <c r="M43" s="229"/>
      <c r="N43" s="230"/>
    </row>
    <row r="44" spans="2:24" ht="15" customHeight="1" x14ac:dyDescent="0.25">
      <c r="B44" s="228"/>
      <c r="C44" s="229"/>
      <c r="D44" s="229"/>
      <c r="E44" s="229"/>
      <c r="F44" s="229"/>
      <c r="G44" s="229"/>
      <c r="H44" s="229"/>
      <c r="I44" s="229"/>
      <c r="J44" s="229"/>
      <c r="K44" s="229"/>
      <c r="L44" s="229"/>
      <c r="M44" s="229"/>
      <c r="N44" s="230"/>
    </row>
    <row r="45" spans="2:24" ht="15" customHeight="1" thickBot="1" x14ac:dyDescent="0.3">
      <c r="B45" s="231"/>
      <c r="C45" s="232"/>
      <c r="D45" s="232"/>
      <c r="E45" s="232"/>
      <c r="F45" s="232"/>
      <c r="G45" s="232"/>
      <c r="H45" s="232"/>
      <c r="I45" s="232"/>
      <c r="J45" s="232"/>
      <c r="K45" s="232"/>
      <c r="L45" s="232"/>
      <c r="M45" s="232"/>
      <c r="N45" s="233"/>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1">
    <sortCondition descending="1" ref="X8"/>
  </sortState>
  <mergeCells count="3">
    <mergeCell ref="C3:S3"/>
    <mergeCell ref="D5:E5"/>
    <mergeCell ref="B39:N4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vt:i4>
      </vt:variant>
    </vt:vector>
  </HeadingPairs>
  <TitlesOfParts>
    <vt:vector size="27" baseType="lpstr">
      <vt:lpstr>IDFC-USFOF</vt:lpstr>
      <vt:lpstr>IDFC CEF</vt:lpstr>
      <vt:lpstr>IDFC LCF</vt:lpstr>
      <vt:lpstr>IDFC FEF</vt:lpstr>
      <vt:lpstr>IDFC SVF</vt:lpstr>
      <vt:lpstr>IDFC-MCAP</vt:lpstr>
      <vt:lpstr>IDFC MCF</vt:lpstr>
      <vt:lpstr>IDFC FCF</vt:lpstr>
      <vt:lpstr>IDFC EBF</vt:lpstr>
      <vt:lpstr>IDFC IF</vt:lpstr>
      <vt:lpstr>IDFC TLF</vt:lpstr>
      <vt:lpstr>IDFC-TAF</vt:lpstr>
      <vt:lpstr>IDFC-AF</vt:lpstr>
      <vt:lpstr>IDFC BAF</vt:lpstr>
      <vt:lpstr>IDFC-ESF</vt:lpstr>
      <vt:lpstr>IDFC-RSF</vt:lpstr>
      <vt:lpstr>IDFC-HEF</vt:lpstr>
      <vt:lpstr>IDFCAAF-AP</vt:lpstr>
      <vt:lpstr>IDFCAAF-MP</vt:lpstr>
      <vt:lpstr>IDFCAAF-CP</vt:lpstr>
      <vt:lpstr>IDFC-NIFTY 50 Index</vt:lpstr>
      <vt:lpstr>IDFC- S&amp;P BSE SENSEX ETF</vt:lpstr>
      <vt:lpstr>IDFC- Nifty 50 ETF</vt:lpstr>
      <vt:lpstr>IDFC-Nifty 100 Index</vt:lpstr>
      <vt:lpstr>IDFC-Nifty200 Mom30 Index</vt:lpstr>
      <vt:lpstr>IDFC NIF100LV30</vt:lpstr>
      <vt:lpstr>'IDFC-AF'!Print_Area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divya.menon</dc:creator>
  <cp:lastModifiedBy>IDFCMF Products2</cp:lastModifiedBy>
  <cp:lastPrinted>2018-05-02T07:17:21Z</cp:lastPrinted>
  <dcterms:created xsi:type="dcterms:W3CDTF">2015-05-04T03:21:51Z</dcterms:created>
  <dcterms:modified xsi:type="dcterms:W3CDTF">2023-01-03T12:17:12Z</dcterms:modified>
</cp:coreProperties>
</file>