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drawings/drawing19.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drawings/drawing20.xml" ContentType="application/vnd.openxmlformats-officedocument.drawing+xml"/>
  <Override PartName="/xl/charts/chart39.xml" ContentType="application/vnd.openxmlformats-officedocument.drawingml.chart+xml"/>
  <Override PartName="/xl/charts/chart40.xml" ContentType="application/vnd.openxmlformats-officedocument.drawingml.chart+xml"/>
  <Override PartName="/xl/drawings/drawing21.xml" ContentType="application/vnd.openxmlformats-officedocument.drawing+xml"/>
  <Override PartName="/xl/charts/chart41.xml" ContentType="application/vnd.openxmlformats-officedocument.drawingml.chart+xml"/>
  <Override PartName="/xl/charts/chart42.xml" ContentType="application/vnd.openxmlformats-officedocument.drawingml.chart+xml"/>
  <Override PartName="/xl/drawings/drawing22.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xl/drawings/drawing23.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xl/drawings/drawing24.xml" ContentType="application/vnd.openxmlformats-officedocument.drawing+xml"/>
  <Override PartName="/xl/charts/chart47.xml" ContentType="application/vnd.openxmlformats-officedocument.drawingml.chart+xml"/>
  <Override PartName="/xl/charts/chart48.xml" ContentType="application/vnd.openxmlformats-officedocument.drawingml.chart+xml"/>
  <Override PartName="/xl/drawings/drawing25.xml" ContentType="application/vnd.openxmlformats-officedocument.drawing+xml"/>
  <Override PartName="/xl/charts/chart4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0"/>
  <workbookPr defaultThemeVersion="166925"/>
  <mc:AlternateContent xmlns:mc="http://schemas.openxmlformats.org/markup-compatibility/2006">
    <mc:Choice Requires="x15">
      <x15ac:absPath xmlns:x15ac="http://schemas.microsoft.com/office/spreadsheetml/2010/11/ac" url="Y:\Product_Team\MONTH END DELIVERABLES-1\Portfolios_All\2025\Jan 2025\"/>
    </mc:Choice>
  </mc:AlternateContent>
  <xr:revisionPtr revIDLastSave="0" documentId="13_ncr:1_{C1341C1D-3C93-411D-A8C2-B3524C2A17BF}" xr6:coauthVersionLast="36" xr6:coauthVersionMax="36" xr10:uidLastSave="{00000000-0000-0000-0000-000000000000}"/>
  <bookViews>
    <workbookView xWindow="0" yWindow="0" windowWidth="10215" windowHeight="2595" xr2:uid="{44CDC42C-461F-410A-9D1F-FB9E2849D2E8}"/>
  </bookViews>
  <sheets>
    <sheet name="BANDHAN OF" sheetId="24" r:id="rId1"/>
    <sheet name="BANDHAN CF" sheetId="20" r:id="rId2"/>
    <sheet name="BANDHAN LDF" sheetId="26" r:id="rId3"/>
    <sheet name="BANDHAN MMF" sheetId="23" r:id="rId4"/>
    <sheet name="BANDHAN USTF" sheetId="27" r:id="rId5"/>
    <sheet name="BANDHAN DBF" sheetId="16" r:id="rId6"/>
    <sheet name="BANDHAN BOND IP" sheetId="4" r:id="rId7"/>
    <sheet name="BANDHAN BOND MT" sheetId="5" r:id="rId8"/>
    <sheet name="BANDHAN BOND ST" sheetId="6" r:id="rId9"/>
    <sheet name="BANDHAN BPDF" sheetId="3" r:id="rId10"/>
    <sheet name="BANDHAN CBF" sheetId="7" r:id="rId11"/>
    <sheet name="BANDHAN FRF" sheetId="17" r:id="rId12"/>
    <sheet name="BANDHAN CRF" sheetId="28" r:id="rId13"/>
    <sheet name="BANDHAN Long Dur" sheetId="21" r:id="rId14"/>
    <sheet name="BANDHAN GSF-IP" sheetId="19" r:id="rId15"/>
    <sheet name="BANDHAN GSF - CMP" sheetId="18" r:id="rId16"/>
    <sheet name="BANDHAN GIF26" sheetId="32" r:id="rId17"/>
    <sheet name="BANDHAN GIF2027" sheetId="15" r:id="rId18"/>
    <sheet name="BANDHAN GIF32" sheetId="14" r:id="rId19"/>
    <sheet name="BANDHAN GIF2028" sheetId="33" r:id="rId20"/>
    <sheet name="BANDHAN SDLGIF26" sheetId="30" r:id="rId21"/>
    <sheet name="BANDHAN SDLGIF27" sheetId="31" r:id="rId22"/>
    <sheet name="BANDHAN SDLGIF32" sheetId="29" r:id="rId23"/>
    <sheet name="BANDHAN ASBF" sheetId="2" r:id="rId24"/>
    <sheet name="BANDHAN US TB 0-1yr FOF" sheetId="34" r:id="rId25"/>
  </sheets>
  <externalReferences>
    <externalReference r:id="rId26"/>
  </externalReferences>
  <definedNames>
    <definedName name="JR_PAGE_ANCHOR_0_24" localSheetId="24">#REF!</definedName>
    <definedName name="JR_PAGE_ANCHOR_0_24">#REF!</definedName>
    <definedName name="JR_PAGE_ANCHOR_0_25" localSheetId="24">#REF!</definedName>
    <definedName name="JR_PAGE_ANCHOR_0_25">#REF!</definedName>
    <definedName name="JR_PAGE_ANCHOR_0_26">#REF!</definedName>
    <definedName name="JR_PAGE_ANCHOR_0_27">#REF!</definedName>
    <definedName name="JR_PAGE_ANCHOR_0_28">#REF!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 i="34" l="1"/>
  <c r="J10" i="34"/>
  <c r="J9" i="34"/>
  <c r="J8" i="34"/>
  <c r="E32" i="7" l="1"/>
</calcChain>
</file>

<file path=xl/sharedStrings.xml><?xml version="1.0" encoding="utf-8"?>
<sst xmlns="http://schemas.openxmlformats.org/spreadsheetml/2006/main" count="1496" uniqueCount="359">
  <si>
    <t>Bandhan All Seasons Bond Fund (31 December, 2024 )</t>
  </si>
  <si>
    <t>Name</t>
  </si>
  <si>
    <t>Rating</t>
  </si>
  <si>
    <t>Total</t>
  </si>
  <si>
    <t>Bandhan Bond Fund -Short Term Pl Direct Pl-Growth</t>
  </si>
  <si>
    <t>Bandhan Corporate Bond Fund - Direct Growth</t>
  </si>
  <si>
    <t>Bandhan Floating Rate Fund Direct Growth</t>
  </si>
  <si>
    <t>Bandhan-Bandhan Banking &amp; PSU Debt Fund -Direct Gr</t>
  </si>
  <si>
    <t>Mutual Fund Units Total</t>
  </si>
  <si>
    <t>Clearing Corporation of India Ltd</t>
  </si>
  <si>
    <t>TRI Party Repo Total</t>
  </si>
  <si>
    <t>Net Current Asset</t>
  </si>
  <si>
    <t>Grand Total</t>
  </si>
  <si>
    <t>Company</t>
  </si>
  <si>
    <t>TRI Party Repo</t>
  </si>
  <si>
    <t>Mutual Fund Units</t>
  </si>
  <si>
    <t>AAA EQUIVALENT</t>
  </si>
  <si>
    <t>Asset Quality</t>
  </si>
  <si>
    <t>Average Maturity Years</t>
  </si>
  <si>
    <t>Asset Allocation</t>
  </si>
  <si>
    <t>Bandhan Banking &amp; PSU Debt Fund (31 December, 2024 )</t>
  </si>
  <si>
    <t>Net Assets as on 31 December, 2024</t>
  </si>
  <si>
    <t>13368.58 crs</t>
  </si>
  <si>
    <t>Kotak Mahindra Bank Limited</t>
  </si>
  <si>
    <t xml:space="preserve"> A1+</t>
  </si>
  <si>
    <t>ICICI Bank Limited</t>
  </si>
  <si>
    <t>Axis Bank Limited</t>
  </si>
  <si>
    <t>Export Import Bank of India</t>
  </si>
  <si>
    <t>Canara Bank</t>
  </si>
  <si>
    <t>Punjab National Bank</t>
  </si>
  <si>
    <t>Small Industries Dev Bank of India</t>
  </si>
  <si>
    <t>Certificate of Deposit Total</t>
  </si>
  <si>
    <t>Commercial Paper Total</t>
  </si>
  <si>
    <t>Indian Railway Finance Corporation Limited</t>
  </si>
  <si>
    <t xml:space="preserve"> AAA</t>
  </si>
  <si>
    <t>National Bank For Agriculture and Rural Development</t>
  </si>
  <si>
    <t>REC Limited</t>
  </si>
  <si>
    <t>Power Finance Corporation Limited</t>
  </si>
  <si>
    <t>NTPC Limited</t>
  </si>
  <si>
    <t>National Housing Bank</t>
  </si>
  <si>
    <t>HDFC Bank Limited</t>
  </si>
  <si>
    <t>Nuclear Power Corporation Of India Limited</t>
  </si>
  <si>
    <t>Indian Oil Corporation Limited</t>
  </si>
  <si>
    <t>Hindustan Petroleum Corporation Limited</t>
  </si>
  <si>
    <t>Power Grid Corporation of India Limited</t>
  </si>
  <si>
    <t>NHPC Limited</t>
  </si>
  <si>
    <t>Bajaj Housing Finance Limited</t>
  </si>
  <si>
    <t>Corporate Bond Total</t>
  </si>
  <si>
    <t>Corporate Debt Market Development Fund</t>
  </si>
  <si>
    <t>Corporate Debt Market Development Fund Total</t>
  </si>
  <si>
    <t>7.18% GOI (MD 14/08/2033)</t>
  </si>
  <si>
    <t>7.17% GOI (MD 17/04/2030)</t>
  </si>
  <si>
    <t>7.1% GOI (MD 08/04/2034)</t>
  </si>
  <si>
    <t>Government Bond Total</t>
  </si>
  <si>
    <t>State Government Bond Total</t>
  </si>
  <si>
    <t>Certificate of Deposit</t>
  </si>
  <si>
    <t>Corporate Bond</t>
  </si>
  <si>
    <t>Commercial Paper</t>
  </si>
  <si>
    <t>Government Bond</t>
  </si>
  <si>
    <t>State Government Bond</t>
  </si>
  <si>
    <t>Bandhan Bond Fund - Income Plan (31 December, 2024 )</t>
  </si>
  <si>
    <t>483.92 crs</t>
  </si>
  <si>
    <t>Bank of Baroda</t>
  </si>
  <si>
    <t>Bajaj Finance Limited</t>
  </si>
  <si>
    <t>Tata Capital Limited</t>
  </si>
  <si>
    <t>7.3% GOI (MD 19/06/2053)</t>
  </si>
  <si>
    <t>7.04% GOI (MD 03/06/2029)</t>
  </si>
  <si>
    <t>6.79% GOI (MD 15/05/2027)</t>
  </si>
  <si>
    <t>7.73% GOI (MD 19/12/2034)</t>
  </si>
  <si>
    <t>Bandhan Bond Fund - Medium Term Plan (31 December, 2024 )</t>
  </si>
  <si>
    <t>1474.79 crs</t>
  </si>
  <si>
    <t>Tata Capital Housing Finance Limited</t>
  </si>
  <si>
    <t>8.24% GOI (MD 15/02/2027)</t>
  </si>
  <si>
    <t>Bandhan Bond Fund - Short Term Plan (31 December, 2024 )</t>
  </si>
  <si>
    <t>9727.79 crs</t>
  </si>
  <si>
    <t>Sundaram Finance Limited</t>
  </si>
  <si>
    <t>Kotak Mahindra Prime Limited</t>
  </si>
  <si>
    <t>7.32% GOI (MD 13/11/2030)</t>
  </si>
  <si>
    <t>6.54% GOI (MD 17/01/2032)</t>
  </si>
  <si>
    <t>5.63% GOI (MD 12/04/2026)</t>
  </si>
  <si>
    <t>Bandhan Corporate Bond Fund (31 December, 2024 )</t>
  </si>
  <si>
    <t>13822.48 crs</t>
  </si>
  <si>
    <t>Grasim Industries Limited</t>
  </si>
  <si>
    <t>Reliance Industries Limited</t>
  </si>
  <si>
    <t>National Highways Authority Of India</t>
  </si>
  <si>
    <t>Mahindra &amp; Mahindra Limited</t>
  </si>
  <si>
    <t>7.23% GOI (MD 15/04/2039)</t>
  </si>
  <si>
    <t>Bandhan Credit Risk Fund (31 December, 2024 )</t>
  </si>
  <si>
    <t>292.04 crs</t>
  </si>
  <si>
    <t>Aditya Birla Real Estate Limited</t>
  </si>
  <si>
    <t xml:space="preserve"> AA</t>
  </si>
  <si>
    <t>Tata Projects Limited</t>
  </si>
  <si>
    <t>Godrej Industries Limited</t>
  </si>
  <si>
    <t xml:space="preserve"> AA+</t>
  </si>
  <si>
    <t>TVS Credit Services Limited</t>
  </si>
  <si>
    <t>AU Small Finance Bank Limited</t>
  </si>
  <si>
    <t>Nirma Limited</t>
  </si>
  <si>
    <t>Aadhar Housing Finance Limited</t>
  </si>
  <si>
    <t>Muthoot Finance Limited</t>
  </si>
  <si>
    <t>Nuvoco Vistas Corporation Limited</t>
  </si>
  <si>
    <t>Godrej Housing Finance Limited</t>
  </si>
  <si>
    <t>7.18% GOI (MD 24/07/2037)</t>
  </si>
  <si>
    <t>Bandhan CRISIL IBX 90:10 SDL+Gilt Apr32 Index Fund (31 December, 2024 )</t>
  </si>
  <si>
    <t>Bandhan CRISIL IBX 90:10 SDL+Gilt Nov26 Index Fund (31 December, 2024 )</t>
  </si>
  <si>
    <t>Bandhan CRISIL IBX 90:10 SDL+Gilt Sep27 Index Fund (31 December, 2024 )</t>
  </si>
  <si>
    <t>150.41 crs</t>
  </si>
  <si>
    <t>Bandhan CRISIL IBX Gilt April 2026 Index Fund (31 December, 2024 )</t>
  </si>
  <si>
    <t>Bandhan CRISIL IBX Gilt April 2028 Index Fund (31 December, 2024 )</t>
  </si>
  <si>
    <t>Bandhan CRISIL IBX GILT APRIL 2032 INDEX FUND (31 December, 2024 )</t>
  </si>
  <si>
    <t>432.39 crs</t>
  </si>
  <si>
    <t>6.1% GOI (MD 12/07/2031)</t>
  </si>
  <si>
    <t>Average Maturity in Days</t>
  </si>
  <si>
    <t>Bandhan CRISIL IBX Gilt June 2027 Index Fund (31 December, 2024 )</t>
  </si>
  <si>
    <t>7041.66 crs</t>
  </si>
  <si>
    <t>7.38% GOI (MD 20/06/2027)</t>
  </si>
  <si>
    <t>Bandhan Dynamic Bond Fund (31 December, 2024 )</t>
  </si>
  <si>
    <t>3076.30 crs</t>
  </si>
  <si>
    <t>7.17% GOI (MD 08/01/2028)</t>
  </si>
  <si>
    <t>8.20% GOI (MD 24/09/2025)</t>
  </si>
  <si>
    <t>Bandhan Floating Rate Fund (31 December, 2024 )</t>
  </si>
  <si>
    <t>Cholamandalam Investment and Finance Company Ltd</t>
  </si>
  <si>
    <t>Godrej Properties Limited</t>
  </si>
  <si>
    <t>Interest Rate Swaps</t>
  </si>
  <si>
    <t>AA</t>
  </si>
  <si>
    <t>AA+</t>
  </si>
  <si>
    <t>Bandhan Government Sec Fund-Constant Maturity Plan (31 December, 2024 )</t>
  </si>
  <si>
    <t>359.61 crs</t>
  </si>
  <si>
    <t>7.26% GOI (MD 22/08/2032)</t>
  </si>
  <si>
    <t>Bandhan Government Securities Fund-Investment Plan (31 December, 2024 )</t>
  </si>
  <si>
    <t>3841.46 crs</t>
  </si>
  <si>
    <t>Bandhan Liquid Fund (31 December, 2024 )</t>
  </si>
  <si>
    <t>13834.70 crs</t>
  </si>
  <si>
    <t>Indian Bank</t>
  </si>
  <si>
    <t>Union Bank of India</t>
  </si>
  <si>
    <t>Reliance Jio Infocomm Limited</t>
  </si>
  <si>
    <t>Tata Steel Limited</t>
  </si>
  <si>
    <t>Kotak Securities Limited</t>
  </si>
  <si>
    <t>L&amp;T Finance Limited</t>
  </si>
  <si>
    <t>Axis Securities Limited</t>
  </si>
  <si>
    <t>HDFC Securities Limited</t>
  </si>
  <si>
    <t>Reliance Retail Ventures Limited</t>
  </si>
  <si>
    <t>Mahindra &amp; Mahindra Financial Services Limited</t>
  </si>
  <si>
    <t>Panatone Finvest Limited</t>
  </si>
  <si>
    <t>ICICI Securities Limited</t>
  </si>
  <si>
    <t>Tata Motors Finance Limited</t>
  </si>
  <si>
    <t>Barclays Investments &amp; Loans (India) Private Limited</t>
  </si>
  <si>
    <t>91 Days Tbill (MD 27/02/2025)</t>
  </si>
  <si>
    <t>91 Days Tbill (MD 21/02/2025)</t>
  </si>
  <si>
    <t>91 Days Tbill (MD 13/02/2025)</t>
  </si>
  <si>
    <t>91 Days Tbill (MD 13/03/2025)</t>
  </si>
  <si>
    <t>91 Days Tbill (MD 16/01/2025)</t>
  </si>
  <si>
    <t>364 Days Tbill (MD 30/01/2025)</t>
  </si>
  <si>
    <t>364 Days Tbill (MD 23/01/2025)</t>
  </si>
  <si>
    <t>91 Days Tbill (MD 30/01/2025)</t>
  </si>
  <si>
    <t>364 Days Tbill (MD 06/02/2025)</t>
  </si>
  <si>
    <t>Treasury Bill Total</t>
  </si>
  <si>
    <t>Treasury Bill</t>
  </si>
  <si>
    <t>Bandhan Long Duration Fund (31 December, 2024 )</t>
  </si>
  <si>
    <t>212.41 crs</t>
  </si>
  <si>
    <t>7.46% GOI (MD 06/11/2073)</t>
  </si>
  <si>
    <t>Bandhan Low Duration Fund (31 December, 2024 )</t>
  </si>
  <si>
    <t>5617.96 crs</t>
  </si>
  <si>
    <t>Zero Coupon Bond Total</t>
  </si>
  <si>
    <t>Zero Coupon Bond</t>
  </si>
  <si>
    <t>Bandhan Money Manager Fund (31 December, 2024 )</t>
  </si>
  <si>
    <t>Bank of India</t>
  </si>
  <si>
    <t>IndusInd Bank Limited</t>
  </si>
  <si>
    <t>Government Bond Strips Total</t>
  </si>
  <si>
    <t>182 Days Tbill (MD 27/02/2025)</t>
  </si>
  <si>
    <t>182 Days Tbill (MD 14/02/2025)</t>
  </si>
  <si>
    <t>364 Days Tbill (MD 02/05/2025)</t>
  </si>
  <si>
    <t>Government Bond Strips</t>
  </si>
  <si>
    <t>Bandhan Overnight Fund (31 December, 2024 )</t>
  </si>
  <si>
    <t>805.01 crs</t>
  </si>
  <si>
    <t>REPO Total</t>
  </si>
  <si>
    <t>364 Days Tbill (MD 02/01/2025)</t>
  </si>
  <si>
    <t>REPO</t>
  </si>
  <si>
    <t>Bandhan Ultra Short Term Fund (31 December, 2024 )</t>
  </si>
  <si>
    <t>3980.14 crs</t>
  </si>
  <si>
    <t xml:space="preserve">SOV </t>
  </si>
  <si>
    <t>Bajaj Financial Securities Limited</t>
  </si>
  <si>
    <t>Larsen &amp; Toubro Limited</t>
  </si>
  <si>
    <t>SOV</t>
  </si>
  <si>
    <t>8.28% Maharashtra SDL (MD 29/07/2025)</t>
  </si>
  <si>
    <t>8.17% Tamilnadu SDL (MD 26/11/2025)</t>
  </si>
  <si>
    <t>8.27% Gujarat SDL (MD 13/01/2026)</t>
  </si>
  <si>
    <t>8.30% Rajastan SDL (MD 13/01/2026)</t>
  </si>
  <si>
    <t>8.29% Andhra Pradesh SDL (MD 13/01/2026)</t>
  </si>
  <si>
    <t>8.36% Maharashtra SDL (MD 27/01/2026)</t>
  </si>
  <si>
    <t>8.38% Karnataka SDL (MD 27/01/2026)</t>
  </si>
  <si>
    <t>8.38% Tamil Nadu SDL (MD 27/01/2026)</t>
  </si>
  <si>
    <t>8.39% Andhra Pradesh SDL (MD 27/01/2026)</t>
  </si>
  <si>
    <t>8.39% Madhya Pradesh SDL (MD 27/01/2026)</t>
  </si>
  <si>
    <t>8.47% Maharashtra SDL (MD 10/02/2026)</t>
  </si>
  <si>
    <t>8.54% Bihar SDL (MD 10/02/2026)</t>
  </si>
  <si>
    <t>8.49% Tamil Nadu SDL (MD 10/02/2026)</t>
  </si>
  <si>
    <t>8.82% Bihar SDL (MD 24/02/2026)</t>
  </si>
  <si>
    <t>8.76% Madhya Pradesh SDL (MD 24/02/2026)</t>
  </si>
  <si>
    <t>8.69% Tamilnadu SDL (MD 24/02/2026)</t>
  </si>
  <si>
    <t>8.65% Rajasthan SDL(MD 24/02/2026)</t>
  </si>
  <si>
    <t>8.3% Madhya Pradesh SDL (MD  13/01/2026)</t>
  </si>
  <si>
    <t>8.38% Rajasthan SDL (MD 27/01/2026)</t>
  </si>
  <si>
    <t>7.16% Tamilnadu SDL (MD 11/01/2027)</t>
  </si>
  <si>
    <t>7.59% Gujarat SDL (MD 15/02/2027)</t>
  </si>
  <si>
    <t>7.62% Tamilnadu SDL (MD 29/03/2027)</t>
  </si>
  <si>
    <t>7.59% Haryana SDL (MD 15/02/2027)</t>
  </si>
  <si>
    <t>7.55% Karnataka SDL (MD 25/10/2027)</t>
  </si>
  <si>
    <t>7.33% Maharashtra SDL (MD 13/09/2027)</t>
  </si>
  <si>
    <t>8.07% Rajasthan SDL (MD 31/01/2028)</t>
  </si>
  <si>
    <t>8.28% Rajasthan SDL (MD 21/02/2028)</t>
  </si>
  <si>
    <t>8.44% Rajasthan SDL (MD 07/03/2028)</t>
  </si>
  <si>
    <t>8.28% Rajasthan SDL (MD 14/03/2028)</t>
  </si>
  <si>
    <t>8.03% Karnataka SDL (MD 31/01/2028)</t>
  </si>
  <si>
    <t>8.43% Uttar Pradesh SDL (MD 06/03/2029)</t>
  </si>
  <si>
    <t>7.15% Tamilnadu SDL (MD 20/11/2027)</t>
  </si>
  <si>
    <t>8.27% Haryana SDL (MD 13/05/2025)</t>
  </si>
  <si>
    <t>8.32% Uttar Pradesh SDL (MD 13/02/2029)</t>
  </si>
  <si>
    <t>8.31% TELANGANA SDL (MD 13/01/2026)</t>
  </si>
  <si>
    <t>8.34% Uttar Pradesh SDL (MD 13/01/2026)</t>
  </si>
  <si>
    <t>8.23% Chhatisgarh SDL (MD 09/12/2025)</t>
  </si>
  <si>
    <t>8.52% Telangana SDL (MD 10/02/2026)</t>
  </si>
  <si>
    <t>8.16% Rajasthan SDL (MD 09/05/2028)</t>
  </si>
  <si>
    <t>8.38% Rajasthan SDL (MD 05/12/2028)</t>
  </si>
  <si>
    <t>7.51% Karnataka SDL (MD 11/10/2027)</t>
  </si>
  <si>
    <t>7.41% Uttar Pradesh SDL (MD 09/11/2026)</t>
  </si>
  <si>
    <t>7.21% Tamilnadu SDL (MD 09/08/2027)</t>
  </si>
  <si>
    <t>7.22% Gujarat SDL (MD 14/06/2028)</t>
  </si>
  <si>
    <t>7.61% Andhra Pradesh SDL (MD 15/02/2027)</t>
  </si>
  <si>
    <t>7.03% Telangana SDL (MD 28/08/2027)</t>
  </si>
  <si>
    <t>8.27% Rajasthan SDL (MD 02/01/2029)</t>
  </si>
  <si>
    <t>GOI Strips (MD 19/03/2025)</t>
  </si>
  <si>
    <t>7.36% GOI (MD12/09/2052)-Strips (C)-(MD12/03/2025)</t>
  </si>
  <si>
    <t>8.17% West Bengal SDL (MD 27/05/2025)</t>
  </si>
  <si>
    <t>8.29% Kerala SDL (MD 29/07/2025)</t>
  </si>
  <si>
    <t>8.29% Gujarat SDL  (MD 26/08/2025)</t>
  </si>
  <si>
    <t>8.23% Maharashtra SDL (09/09/2025)</t>
  </si>
  <si>
    <t>8.16% Maharastra SDL (23/09/2025)</t>
  </si>
  <si>
    <t>7.98% Andhra Pradesh SDL (14/10/2025)</t>
  </si>
  <si>
    <t>8.24% Tamilnadu SDL(MD 09/09/2025)</t>
  </si>
  <si>
    <t>8.24% Tamilnadu SDL (MD 10/06/2025)</t>
  </si>
  <si>
    <t>7.89%  GUJARAT SDL (MD 15/05/2025)</t>
  </si>
  <si>
    <t>8.09% Madhya Pradesh SDL (MD 11/03/2025)</t>
  </si>
  <si>
    <t>5.95% Tamilnadu SDL (MD 13/05/2025)</t>
  </si>
  <si>
    <t>5.9% Telangana SDL (MD 27/05/2025)</t>
  </si>
  <si>
    <t>6.69% Madhya Pradesh SDL (MD 17/03/2025)</t>
  </si>
  <si>
    <t>5.75% Rajasthan SDL (MD 10/06/2025)</t>
  </si>
  <si>
    <t>8.27% Kerala SDL (MD 12/08/2025)</t>
  </si>
  <si>
    <t>8.29% Haryana SDL (MD 29/07/2025)</t>
  </si>
  <si>
    <t>8.24% TELANGANA SDL (MD 09/09/2025)</t>
  </si>
  <si>
    <t>7.96% Maharashtra SDL (14/10/2025)</t>
  </si>
  <si>
    <t>8.27% Karnataka SDL (MD 13/01/2026)</t>
  </si>
  <si>
    <t>8.25% Maharashtra SDL(MD 10/06/2025)</t>
  </si>
  <si>
    <t>8.38% Haryana SDL (MD 27/01/2026)</t>
  </si>
  <si>
    <t>8.53% Uttar Pradesh SDL (MD 10/02/2026)</t>
  </si>
  <si>
    <t>8.27% Madhya Pradesh SDL (MD 23/12/2025)</t>
  </si>
  <si>
    <t>8.05% Haryana SDL (MD 25/02/2025)</t>
  </si>
  <si>
    <t>6.18% Gujarat SDL (MD 25/01/2026)</t>
  </si>
  <si>
    <t>8.37% Tamil Nadu SDL (MD 05/12/2028)</t>
  </si>
  <si>
    <t>7.68% Gujarat SDL (MD 15/02/2030)</t>
  </si>
  <si>
    <t>7.09% Karnataka SDL (MD 18/03/2030)</t>
  </si>
  <si>
    <t>7.04% Gujarat SDL (MD 18/03/2030)</t>
  </si>
  <si>
    <t>7.63% Maharashtra SDL (MD 11/05/2030)</t>
  </si>
  <si>
    <t>7.18% Tamilnadu SDL (MD 26/07/2027)</t>
  </si>
  <si>
    <t>5.75% Tamilnadu SDL (MD 27/05/2025)</t>
  </si>
  <si>
    <t>Tata Capital Limited*</t>
  </si>
  <si>
    <t>Power Grid Corporation of India Limited*</t>
  </si>
  <si>
    <t>113.60 crs</t>
  </si>
  <si>
    <t>5.74% GOI (MD 15/11/2026)</t>
  </si>
  <si>
    <t>470.64 crs</t>
  </si>
  <si>
    <t>6.99% GOI (MD 17/04/2026)</t>
  </si>
  <si>
    <t>7.59% GOI(MD 11/01/2026)</t>
  </si>
  <si>
    <t>5.15% GOI (MD 09/11/2025)</t>
  </si>
  <si>
    <t>7.27% GOI (MD 08/04/2026)</t>
  </si>
  <si>
    <t>4704.20 crs</t>
  </si>
  <si>
    <t>8.28% GOI (M/D 21/09/2027)</t>
  </si>
  <si>
    <t>8.72% Tamilnadu SDL (MD 19/09/2026)</t>
  </si>
  <si>
    <t>7.04% Gujarat SDL (MD 07/08/2026)</t>
  </si>
  <si>
    <t>7.22% Maharashtra SDL (MD 26/10/2026)</t>
  </si>
  <si>
    <t>6.82% Maharashtra SDL (MD 23/11/2026)</t>
  </si>
  <si>
    <t>6.24% Maharashtra SDL (MD 11/08/2026)</t>
  </si>
  <si>
    <t>7.38% Rajasthan SDL (MD 14/09/2026)</t>
  </si>
  <si>
    <t>7.4% Madhya Pradesh SDL (MD 09/11/2026)</t>
  </si>
  <si>
    <t>7.17% Rajasthan SDL (MD 28/09/2026)</t>
  </si>
  <si>
    <t>7.69% Uttar Pradesh SDL (MD 27/07/2026)</t>
  </si>
  <si>
    <t>7.57% Gujarat SDL (MD 09/11/2026)</t>
  </si>
  <si>
    <t>7.59% Kerala SDL (MD 24/08/2026)</t>
  </si>
  <si>
    <t>7.16% Madhya Pradesh SDL (MD 28/09/2026)</t>
  </si>
  <si>
    <t>7.49% Gujarat SDL (MD 28/09/2026)</t>
  </si>
  <si>
    <t>7.69% Tamilnadu SDL (MD 27/07/2026)</t>
  </si>
  <si>
    <t>7.18% Haryana SDL (MD 28/09/2026)</t>
  </si>
  <si>
    <t>7.19% West Bangal SDL (MD 28/09/2026)</t>
  </si>
  <si>
    <t>7.15% Madhya Pradesh SDL (MD 13/10/2026)</t>
  </si>
  <si>
    <t>7.58% Tamilnadu SDL (MD 24/08/2026)</t>
  </si>
  <si>
    <t>7.51% Maharashtra SDL (MD 24/05/2027)</t>
  </si>
  <si>
    <t>7.2% Maharashtra SDL (MD 09/08/2027)</t>
  </si>
  <si>
    <t>7.47% Chhattisgarh SDL (MD 27/09/2027)</t>
  </si>
  <si>
    <t>6.2% Rajasthan SDL (MD 29/07/2027)</t>
  </si>
  <si>
    <t>7.27% Tamilnadu SDL (MD 12/07/2027)</t>
  </si>
  <si>
    <t>7.25% Gujarat SDL (MD 12/07/2027)</t>
  </si>
  <si>
    <t>8.49% Andhra Pradesh SDL (MD 21/08/2027)</t>
  </si>
  <si>
    <t>7.28% Madhya Pradesh SDL (MD 23/08/2027)</t>
  </si>
  <si>
    <t>7.93% Karnataka SDL (MD 08/04/2031)</t>
  </si>
  <si>
    <t>6.84% Gujarat SDL (MD 24/03/2031)</t>
  </si>
  <si>
    <t>7.28% Uttar Pradesh SDL (MD 25/01/2032)</t>
  </si>
  <si>
    <t>7.21% Karnataka SDL (MD 02/02/2032)</t>
  </si>
  <si>
    <t>7.12% Gujarat SDL (MD 02/03/2032)</t>
  </si>
  <si>
    <t>7.17% Kerala SDL (MD 02/03/2032)</t>
  </si>
  <si>
    <t>7.14% Tamilnadu SDL (MD 02/03/2032)</t>
  </si>
  <si>
    <t>7.26% Haryana SDL (MD 23/03/2032)</t>
  </si>
  <si>
    <t>7.09% Rajasthan SDL (MD 16/02/2032)</t>
  </si>
  <si>
    <t>7.22% Rajasthan SDL (MD 16/03/2032)</t>
  </si>
  <si>
    <t>7.23% Tamilnadu SDL (MD 23/03/2032)</t>
  </si>
  <si>
    <t>7.29% Gujarat SDL (MD 30/03/2032)</t>
  </si>
  <si>
    <t>7.25% Gujarat SDL (MD 09/03/2032)</t>
  </si>
  <si>
    <t>7.3% Tamilnadu SDL (MD 30/03/2032)</t>
  </si>
  <si>
    <t>7.8% Andhra Pradesh SDL (MD 22/06/2031)</t>
  </si>
  <si>
    <t>7.13% Haryana SDL (MD 05/01/2032)</t>
  </si>
  <si>
    <t>7.68% Karnataka SDL (MD 16/11/2031)</t>
  </si>
  <si>
    <t>7.68% Haryana SDL (MD 23/11/2031)</t>
  </si>
  <si>
    <t>6.9% Andhra Pradesh SDL (MD 03/02/2032)</t>
  </si>
  <si>
    <t>7.57% Gujarat SDL (MD 28/12/2031)</t>
  </si>
  <si>
    <t>7.57% Gujarat SDL (MD 18/01/2032)</t>
  </si>
  <si>
    <t>7.63% Gujarat SDL (MD 25/01/2032)</t>
  </si>
  <si>
    <t>7.74% Andhra Pradesh SDL (MD 01/03/2032)</t>
  </si>
  <si>
    <t>7.72% Maharashtra SDL (MD 23/03/2032)</t>
  </si>
  <si>
    <t>7.73% Maharashtra SDL (MD 29/03/2032)</t>
  </si>
  <si>
    <t>7.73% Andhra Pradesh SDL (MD 23/03/2032)</t>
  </si>
  <si>
    <t>7.72% Haryana SDL (MD 23/03/2032)</t>
  </si>
  <si>
    <t>7.24% Rajasthan SDL (MD 09/02/2032)</t>
  </si>
  <si>
    <t>7.19% Tamilnadu SDL (MD 16/03/2032)</t>
  </si>
  <si>
    <t>8168.55 crs</t>
  </si>
  <si>
    <t>286.02 crs</t>
  </si>
  <si>
    <t>545.87 crs</t>
  </si>
  <si>
    <t>113.03 crs</t>
  </si>
  <si>
    <t xml:space="preserve">Pursuant to SEBI circular no. SEBI/HO/IMD/DF2/CIR/P/2021/683 dated December 10, 2021 (“the Circular”), SEBI has notified that with respect to the margin or collateral requirement for execution of
certain transactions, overnight funds can deploy not exceeding 5% of the net assets of the scheme in Government Securities and/or Treasury bills with a residual maturity of upto 30 days for the purpose of placing the same as margin and collateral for certain transactions. </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</si>
  <si>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</si>
  <si>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*Reduced Face Value Bonds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</si>
  <si>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</si>
  <si>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The Scheme may or may not have any present or future positions in the above securities. Investors are advised to consult their own investment advisor before making any investment decision in light of their risk appetite, investment goals and horizon.”</t>
  </si>
  <si>
    <t>JPMorgan ETFs BetaBuilders US Tre Bond0-1 yr UCITS</t>
  </si>
  <si>
    <t>International Mutual Fund Units</t>
  </si>
  <si>
    <t>Banks</t>
  </si>
  <si>
    <t>Software</t>
  </si>
  <si>
    <t>Power</t>
  </si>
  <si>
    <t>Consumer Non Durables</t>
  </si>
  <si>
    <t>Retailing</t>
  </si>
  <si>
    <t>Construction Project</t>
  </si>
  <si>
    <t>Gas</t>
  </si>
  <si>
    <t>Chemicals</t>
  </si>
  <si>
    <t>Hotels, Resorts And Other Recreational Activities</t>
  </si>
  <si>
    <t>Telecom - Services</t>
  </si>
  <si>
    <t>Petroleum Products</t>
  </si>
  <si>
    <t>Auto</t>
  </si>
  <si>
    <t>Ferrous Metals</t>
  </si>
  <si>
    <t>Industrial Capital Goods</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</si>
  <si>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</si>
  <si>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</si>
  <si>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BANDHAN US TREASURY BOND 0-1 YEAR FUND OF FUND  (31 December, 2024 )</t>
  </si>
  <si>
    <t>141.69 crs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</si>
</sst>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Black]\(0.00%\)"/>
    <numFmt numFmtId="165" formatCode="0.000%;[Black]\(0.000%\)"/>
    <numFmt numFmtId="166" formatCode="#0.00%;\(#0.00%\)"/>
    <numFmt numFmtId="167" formatCode="#,##0.00%_);\(#,##0.00%\)"/>
  </numFmts>
  <fonts count="15"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
      <sz val="11"/>
      <color rgb="FFFF0000"/>
      <name val="Calibri"/>
      <family val="2"/>
      <scheme val="minor"/>
    </font>
    <font>
      <sz val="11"/>
      <color theme="0"/>
      <name val="Calibri"/>
      <family val="2"/>
      <scheme val="minor"/>
    </font>
    <font>
      <sz val="11"/>
      <color theme="1"/>
      <name val="Calibri"/>
      <family val="2"/>
      <scheme val="minor"/>
    </font>
    <font>
      <sz val="12"/>
      <name val="Arial"/>
      <family val="2"/>
    </font>
    <font>
      <b/>
      <sz val="16"/>
      <name val="Arial"/>
      <family val="2"/>
    </font>
    <font>
      <sz val="11"/>
      <name val="Calibri"/>
      <family val="2"/>
      <scheme val="minor"/>
    </font>
    <font>
      <b/>
      <sz val="12"/>
      <name val="Arial"/>
      <family val="2"/>
    </font>
    <font>
      <b/>
      <sz val="11"/>
      <name val="Arial"/>
      <family val="2"/>
    </font>
  </fonts>
  <fills count="4">
    <fill>
      <patternFill patternType="none"/>
    </fill>
    <fill>
      <patternFill patternType="gray125"/>
    </fill>
    <fill>
      <patternFill patternType="solid">
        <fgColor rgb="FFD8D8D8"/>
        <bgColor indexed="64"/>
      </patternFill>
    </fill>
    <fill>
      <patternFill patternType="solid">
        <fgColor theme="0" tint="-0.14999847407452621"/>
        <bgColor indexed="64"/>
      </patternFill>
    </fill>
  </fills>
  <borders count="35">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9" fontId="9" fillId="0" borderId="0" applyFont="0" applyFill="0" applyBorder="0" applyAlignment="0" applyProtection="0"/>
  </cellStyleXfs>
  <cellXfs count="114">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3" fillId="2" borderId="0" xfId="0" applyFont="1" applyFill="1" applyBorder="1" applyAlignment="1">
      <alignment horizontal="left"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2" fontId="5" fillId="2" borderId="0" xfId="0" applyNumberFormat="1" applyFont="1" applyFill="1" applyBorder="1" applyAlignment="1">
      <alignment vertical="center"/>
    </xf>
    <xf numFmtId="0" fontId="0" fillId="2" borderId="0" xfId="0" applyFill="1" applyBorder="1"/>
    <xf numFmtId="0" fontId="0" fillId="2" borderId="12" xfId="0" applyFill="1" applyBorder="1"/>
    <xf numFmtId="10" fontId="6" fillId="0" borderId="0" xfId="0" applyNumberFormat="1" applyFont="1" applyBorder="1"/>
    <xf numFmtId="165" fontId="1" fillId="0" borderId="2" xfId="0" applyNumberFormat="1" applyFont="1" applyBorder="1" applyAlignment="1">
      <alignment vertical="center"/>
    </xf>
    <xf numFmtId="0" fontId="7" fillId="0" borderId="0" xfId="0" applyFont="1" applyBorder="1"/>
    <xf numFmtId="0" fontId="8" fillId="0" borderId="0" xfId="0" applyFont="1" applyBorder="1"/>
    <xf numFmtId="10" fontId="8" fillId="0" borderId="0" xfId="0" applyNumberFormat="1" applyFont="1" applyBorder="1"/>
    <xf numFmtId="0" fontId="1" fillId="0" borderId="18" xfId="0" applyFont="1" applyBorder="1" applyAlignment="1">
      <alignment vertical="center"/>
    </xf>
    <xf numFmtId="164" fontId="1" fillId="0" borderId="18" xfId="0" applyNumberFormat="1" applyFont="1" applyBorder="1" applyAlignment="1">
      <alignment vertical="center"/>
    </xf>
    <xf numFmtId="1" fontId="5" fillId="2" borderId="0" xfId="0" applyNumberFormat="1" applyFont="1" applyFill="1" applyBorder="1" applyAlignment="1">
      <alignment vertical="center"/>
    </xf>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2" borderId="23" xfId="0" applyFill="1" applyBorder="1"/>
    <xf numFmtId="0" fontId="0" fillId="0" borderId="24" xfId="0" applyBorder="1"/>
    <xf numFmtId="0" fontId="0" fillId="0" borderId="25" xfId="0" applyBorder="1"/>
    <xf numFmtId="0" fontId="0" fillId="0" borderId="26" xfId="0" applyBorder="1"/>
    <xf numFmtId="0" fontId="0" fillId="0" borderId="27" xfId="0" applyBorder="1" applyAlignment="1">
      <alignment horizontal="left" vertical="top" wrapText="1"/>
    </xf>
    <xf numFmtId="0" fontId="0" fillId="0" borderId="28" xfId="0" applyBorder="1" applyAlignment="1">
      <alignment horizontal="left" vertical="top" wrapText="1"/>
    </xf>
    <xf numFmtId="0" fontId="0" fillId="0" borderId="29"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0" fillId="0" borderId="0"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3" fillId="2" borderId="0" xfId="0" applyFont="1" applyFill="1" applyBorder="1" applyAlignment="1">
      <alignment horizontal="right" vertical="center"/>
    </xf>
    <xf numFmtId="0" fontId="0" fillId="0" borderId="0" xfId="0" applyBorder="1" applyAlignment="1">
      <alignment horizontal="right"/>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xf numFmtId="0" fontId="0" fillId="0" borderId="23" xfId="0" applyBorder="1" applyAlignment="1">
      <alignment horizontal="center" vertical="center"/>
    </xf>
    <xf numFmtId="0" fontId="0" fillId="0" borderId="23" xfId="0" applyBorder="1" applyAlignment="1">
      <alignment vertical="center"/>
    </xf>
    <xf numFmtId="0" fontId="10" fillId="0" borderId="0" xfId="0" applyFont="1"/>
    <xf numFmtId="0" fontId="10" fillId="0" borderId="19" xfId="0" applyFont="1" applyBorder="1"/>
    <xf numFmtId="0" fontId="10" fillId="0" borderId="20" xfId="0" applyFont="1" applyBorder="1"/>
    <xf numFmtId="0" fontId="10" fillId="0" borderId="21" xfId="0" applyFont="1" applyBorder="1"/>
    <xf numFmtId="0" fontId="10" fillId="0" borderId="22" xfId="0" applyFont="1" applyBorder="1"/>
    <xf numFmtId="0" fontId="11" fillId="3" borderId="0" xfId="0" applyFont="1" applyFill="1" applyBorder="1" applyAlignment="1">
      <alignment horizontal="center" vertical="center" wrapText="1"/>
    </xf>
    <xf numFmtId="0" fontId="11" fillId="3" borderId="23" xfId="0" applyFont="1" applyFill="1" applyBorder="1" applyAlignment="1">
      <alignment horizontal="center" vertical="center" wrapText="1"/>
    </xf>
    <xf numFmtId="0" fontId="12" fillId="0" borderId="0" xfId="0" applyFont="1" applyBorder="1"/>
    <xf numFmtId="0" fontId="10" fillId="0" borderId="0" xfId="0" applyFont="1" applyBorder="1"/>
    <xf numFmtId="0" fontId="10" fillId="0" borderId="23" xfId="0" applyFont="1" applyBorder="1"/>
    <xf numFmtId="0" fontId="11" fillId="3" borderId="0" xfId="0" applyFont="1" applyFill="1" applyBorder="1" applyAlignment="1">
      <alignment vertical="center"/>
    </xf>
    <xf numFmtId="0" fontId="12" fillId="0" borderId="0" xfId="0" applyFont="1"/>
    <xf numFmtId="0" fontId="13" fillId="3" borderId="30" xfId="0" applyFont="1" applyFill="1" applyBorder="1" applyAlignment="1">
      <alignment horizontal="center" vertical="center" wrapText="1"/>
    </xf>
    <xf numFmtId="0" fontId="13" fillId="3" borderId="31" xfId="0" applyFont="1" applyFill="1" applyBorder="1" applyAlignment="1">
      <alignment horizontal="center" vertical="center" wrapText="1"/>
    </xf>
    <xf numFmtId="0" fontId="14" fillId="3" borderId="0" xfId="0" applyFont="1" applyFill="1" applyBorder="1" applyAlignment="1">
      <alignment vertical="center" wrapText="1"/>
    </xf>
    <xf numFmtId="0" fontId="14" fillId="3" borderId="23" xfId="0" applyFont="1" applyFill="1" applyBorder="1" applyAlignment="1">
      <alignment vertical="center" wrapText="1"/>
    </xf>
    <xf numFmtId="0" fontId="10" fillId="0" borderId="32" xfId="0" applyFont="1" applyBorder="1" applyAlignment="1">
      <alignment horizontal="left" vertical="center" wrapText="1"/>
    </xf>
    <xf numFmtId="166" fontId="10" fillId="0" borderId="33" xfId="1" applyNumberFormat="1" applyFont="1" applyBorder="1" applyAlignment="1">
      <alignment horizontal="right"/>
    </xf>
    <xf numFmtId="10" fontId="10" fillId="0" borderId="0" xfId="0" applyNumberFormat="1" applyFont="1" applyBorder="1"/>
    <xf numFmtId="10" fontId="10" fillId="0" borderId="0" xfId="1" applyNumberFormat="1" applyFont="1" applyBorder="1"/>
    <xf numFmtId="14" fontId="10" fillId="0" borderId="0" xfId="0" applyNumberFormat="1" applyFont="1"/>
    <xf numFmtId="0" fontId="13" fillId="3" borderId="32" xfId="0" applyFont="1" applyFill="1" applyBorder="1" applyAlignment="1">
      <alignment horizontal="left"/>
    </xf>
    <xf numFmtId="166" fontId="13" fillId="3" borderId="33" xfId="0" applyNumberFormat="1" applyFont="1" applyFill="1" applyBorder="1" applyAlignment="1">
      <alignment horizontal="right"/>
    </xf>
    <xf numFmtId="0" fontId="10" fillId="0" borderId="8" xfId="0" applyFont="1" applyBorder="1" applyAlignment="1">
      <alignment vertical="center"/>
    </xf>
    <xf numFmtId="166" fontId="10" fillId="0" borderId="33" xfId="0" applyNumberFormat="1" applyFont="1" applyBorder="1" applyAlignment="1">
      <alignment vertical="center"/>
    </xf>
    <xf numFmtId="0" fontId="13" fillId="2" borderId="8" xfId="0" applyFont="1" applyFill="1" applyBorder="1" applyAlignment="1">
      <alignment horizontal="left" vertical="center"/>
    </xf>
    <xf numFmtId="166" fontId="13" fillId="2" borderId="33" xfId="0" applyNumberFormat="1" applyFont="1" applyFill="1" applyBorder="1" applyAlignment="1">
      <alignment horizontal="right" vertical="center"/>
    </xf>
    <xf numFmtId="164" fontId="10" fillId="0" borderId="33" xfId="0" applyNumberFormat="1" applyFont="1" applyBorder="1" applyAlignment="1">
      <alignment vertical="center"/>
    </xf>
    <xf numFmtId="0" fontId="13" fillId="2" borderId="9" xfId="0" applyFont="1" applyFill="1" applyBorder="1" applyAlignment="1">
      <alignment horizontal="left" vertical="center"/>
    </xf>
    <xf numFmtId="164" fontId="13" fillId="2" borderId="34" xfId="0" applyNumberFormat="1" applyFont="1" applyFill="1" applyBorder="1" applyAlignment="1">
      <alignment horizontal="right" vertical="center"/>
    </xf>
    <xf numFmtId="0" fontId="13" fillId="0" borderId="0" xfId="0" applyFont="1" applyFill="1" applyBorder="1" applyAlignment="1">
      <alignment horizontal="left"/>
    </xf>
    <xf numFmtId="167" fontId="13" fillId="0" borderId="0" xfId="0" applyNumberFormat="1" applyFont="1" applyFill="1" applyBorder="1" applyAlignment="1">
      <alignment horizontal="right"/>
    </xf>
    <xf numFmtId="0" fontId="10" fillId="0" borderId="0" xfId="0" applyFont="1" applyFill="1" applyBorder="1"/>
    <xf numFmtId="10" fontId="13" fillId="0" borderId="0" xfId="1" applyNumberFormat="1" applyFont="1" applyFill="1" applyBorder="1" applyAlignment="1">
      <alignment horizontal="right"/>
    </xf>
    <xf numFmtId="0" fontId="10" fillId="0" borderId="24" xfId="0" applyFont="1" applyBorder="1"/>
    <xf numFmtId="0" fontId="13" fillId="0" borderId="25" xfId="0" applyFont="1" applyBorder="1" applyAlignment="1"/>
    <xf numFmtId="0" fontId="13" fillId="0" borderId="26" xfId="0" applyFont="1" applyBorder="1" applyAlignment="1"/>
    <xf numFmtId="0" fontId="12" fillId="0" borderId="19" xfId="0" applyFont="1" applyBorder="1" applyAlignment="1">
      <alignment horizontal="left" vertical="top" wrapText="1"/>
    </xf>
    <xf numFmtId="0" fontId="12" fillId="0" borderId="20" xfId="0" applyFont="1" applyBorder="1" applyAlignment="1">
      <alignment horizontal="left" vertical="top" wrapText="1"/>
    </xf>
    <xf numFmtId="0" fontId="12" fillId="0" borderId="21" xfId="0" applyFont="1" applyBorder="1" applyAlignment="1">
      <alignment horizontal="left" vertical="top" wrapText="1"/>
    </xf>
    <xf numFmtId="0" fontId="12" fillId="0" borderId="22" xfId="0" applyFont="1" applyBorder="1" applyAlignment="1">
      <alignment horizontal="left" vertical="top" wrapText="1"/>
    </xf>
    <xf numFmtId="0" fontId="12" fillId="0" borderId="0" xfId="0" applyFont="1" applyBorder="1" applyAlignment="1">
      <alignment horizontal="left" vertical="top" wrapText="1"/>
    </xf>
    <xf numFmtId="0" fontId="12" fillId="0" borderId="23" xfId="0" applyFont="1" applyBorder="1" applyAlignment="1">
      <alignment horizontal="left" vertical="top" wrapText="1"/>
    </xf>
    <xf numFmtId="0" fontId="12" fillId="0" borderId="24" xfId="0" applyFont="1" applyBorder="1" applyAlignment="1">
      <alignment horizontal="left" vertical="top" wrapText="1"/>
    </xf>
    <xf numFmtId="0" fontId="12" fillId="0" borderId="25" xfId="0" applyFont="1" applyBorder="1" applyAlignment="1">
      <alignment horizontal="left" vertical="top" wrapText="1"/>
    </xf>
    <xf numFmtId="0" fontId="12" fillId="0" borderId="26" xfId="0" applyFont="1" applyBorder="1" applyAlignment="1">
      <alignment horizontal="left" vertical="top"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635898430255102"/>
                  <c:y val="-2.72925764192139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87C-49D0-94D2-BB0CDFEDA17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OF'!$G$8</c:f>
              <c:strCache>
                <c:ptCount val="1"/>
                <c:pt idx="0">
                  <c:v>AAA EQUIVALENT</c:v>
                </c:pt>
              </c:strCache>
            </c:strRef>
          </c:cat>
          <c:val>
            <c:numRef>
              <c:f>'BANDHAN OF'!$H$8</c:f>
              <c:numCache>
                <c:formatCode>0%</c:formatCode>
                <c:ptCount val="1"/>
                <c:pt idx="0">
                  <c:v>1</c:v>
                </c:pt>
              </c:numCache>
            </c:numRef>
          </c:val>
          <c:extLst>
            <c:ext xmlns:c16="http://schemas.microsoft.com/office/drawing/2014/chart" uri="{C3380CC4-5D6E-409C-BE32-E72D297353CC}">
              <c16:uniqueId val="{0000000C-E87C-49D0-94D2-BB0CDFEDA17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OF'!$K$8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862-435E-A152-76F4282AE640}"/>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862-435E-A152-76F4282AE640}"/>
                </c:ext>
              </c:extLst>
            </c:dLbl>
            <c:dLbl>
              <c:idx val="2"/>
              <c:layout>
                <c:manualLayout>
                  <c:x val="-0.11840816739449325"/>
                  <c:y val="-2.4710411198600175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862-435E-A152-76F4282AE640}"/>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9862-435E-A152-76F4282AE64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OF'!$J$9:$J$12</c:f>
              <c:strCache>
                <c:ptCount val="4"/>
                <c:pt idx="0">
                  <c:v>Net Current Asset</c:v>
                </c:pt>
                <c:pt idx="1">
                  <c:v>TRI Party Repo</c:v>
                </c:pt>
                <c:pt idx="2">
                  <c:v>REPO</c:v>
                </c:pt>
                <c:pt idx="3">
                  <c:v>Treasury Bill</c:v>
                </c:pt>
              </c:strCache>
            </c:strRef>
          </c:cat>
          <c:val>
            <c:numRef>
              <c:f>'BANDHAN OF'!$K$9:$K$12</c:f>
              <c:numCache>
                <c:formatCode>0.00%</c:formatCode>
                <c:ptCount val="4"/>
                <c:pt idx="0">
                  <c:v>4.4470000000000004E-3</c:v>
                </c:pt>
                <c:pt idx="1">
                  <c:v>0.16328200000000001</c:v>
                </c:pt>
                <c:pt idx="2">
                  <c:v>0.77017100000000005</c:v>
                </c:pt>
                <c:pt idx="3">
                  <c:v>6.2100000000000002E-2</c:v>
                </c:pt>
              </c:numCache>
            </c:numRef>
          </c:val>
          <c:extLst>
            <c:ext xmlns:c16="http://schemas.microsoft.com/office/drawing/2014/chart" uri="{C3380CC4-5D6E-409C-BE32-E72D297353CC}">
              <c16:uniqueId val="{0000000C-9862-435E-A152-76F4282AE64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473157530897505"/>
                  <c:y val="-6.637168141592920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8B9-4908-9F2E-B1BB3D74D7B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CF'!$G$8</c:f>
              <c:strCache>
                <c:ptCount val="1"/>
                <c:pt idx="0">
                  <c:v>AAA EQUIVALENT</c:v>
                </c:pt>
              </c:strCache>
            </c:strRef>
          </c:cat>
          <c:val>
            <c:numRef>
              <c:f>'BANDHAN CF'!$H$8</c:f>
              <c:numCache>
                <c:formatCode>0%</c:formatCode>
                <c:ptCount val="1"/>
                <c:pt idx="0">
                  <c:v>1</c:v>
                </c:pt>
              </c:numCache>
            </c:numRef>
          </c:val>
          <c:extLst>
            <c:ext xmlns:c16="http://schemas.microsoft.com/office/drawing/2014/chart" uri="{C3380CC4-5D6E-409C-BE32-E72D297353CC}">
              <c16:uniqueId val="{0000000C-08B9-4908-9F2E-B1BB3D74D7B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930-4D10-8382-DE4CCE28378B}"/>
                </c:ext>
              </c:extLst>
            </c:dLbl>
            <c:dLbl>
              <c:idx val="1"/>
              <c:layout>
                <c:manualLayout>
                  <c:x val="0.12345284864017265"/>
                  <c:y val="-4.457715062844867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930-4D10-8382-DE4CCE28378B}"/>
                </c:ext>
              </c:extLst>
            </c:dLbl>
            <c:dLbl>
              <c:idx val="2"/>
              <c:layout>
                <c:manualLayout>
                  <c:x val="-7.0690788919051074E-3"/>
                  <c:y val="0.4454631289900643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930-4D10-8382-DE4CCE28378B}"/>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D930-4D10-8382-DE4CCE28378B}"/>
                </c:ext>
              </c:extLst>
            </c:dLbl>
            <c:dLbl>
              <c:idx val="4"/>
              <c:layout>
                <c:manualLayout>
                  <c:x val="5.6822826215245578E-2"/>
                  <c:y val="0.1927174449728437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D930-4D10-8382-DE4CCE28378B}"/>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D930-4D10-8382-DE4CCE28378B}"/>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D930-4D10-8382-DE4CCE28378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CF'!$J$9:$J$15</c:f>
              <c:strCache>
                <c:ptCount val="7"/>
                <c:pt idx="0">
                  <c:v>Net Current Asset</c:v>
                </c:pt>
                <c:pt idx="1">
                  <c:v>TRI Party Repo</c:v>
                </c:pt>
                <c:pt idx="2">
                  <c:v>Certificate of Deposit</c:v>
                </c:pt>
                <c:pt idx="3">
                  <c:v>Corporate Bond</c:v>
                </c:pt>
                <c:pt idx="4">
                  <c:v>Commercial Paper</c:v>
                </c:pt>
                <c:pt idx="5">
                  <c:v>Corporate Debt Market Development Fund</c:v>
                </c:pt>
                <c:pt idx="6">
                  <c:v>Treasury Bill</c:v>
                </c:pt>
              </c:strCache>
            </c:strRef>
          </c:cat>
          <c:val>
            <c:numRef>
              <c:f>'BANDHAN CF'!$K$9:$K$15</c:f>
              <c:numCache>
                <c:formatCode>0.00%</c:formatCode>
                <c:ptCount val="7"/>
                <c:pt idx="0">
                  <c:v>-7.9841999999999996E-2</c:v>
                </c:pt>
                <c:pt idx="1">
                  <c:v>9.3000000000000005E-4</c:v>
                </c:pt>
                <c:pt idx="2">
                  <c:v>0.411381</c:v>
                </c:pt>
                <c:pt idx="3">
                  <c:v>3.8260000000000002E-2</c:v>
                </c:pt>
                <c:pt idx="4">
                  <c:v>0.451096</c:v>
                </c:pt>
                <c:pt idx="5">
                  <c:v>2.5709999999999999E-3</c:v>
                </c:pt>
                <c:pt idx="6">
                  <c:v>0.17560400000000001</c:v>
                </c:pt>
              </c:numCache>
            </c:numRef>
          </c:val>
          <c:extLst>
            <c:ext xmlns:c16="http://schemas.microsoft.com/office/drawing/2014/chart" uri="{C3380CC4-5D6E-409C-BE32-E72D297353CC}">
              <c16:uniqueId val="{0000000C-D930-4D10-8382-DE4CCE28378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4090230825001263"/>
                  <c:y val="-3.414096916299559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5620445463588998"/>
                      <c:h val="0.16519823788546256"/>
                    </c:manualLayout>
                  </c15:layout>
                </c:ext>
                <c:ext xmlns:c16="http://schemas.microsoft.com/office/drawing/2014/chart" uri="{C3380CC4-5D6E-409C-BE32-E72D297353CC}">
                  <c16:uniqueId val="{00000000-6387-4E4A-9BCA-BC4EE8D3B453}"/>
                </c:ext>
              </c:extLst>
            </c:dLbl>
            <c:dLbl>
              <c:idx val="1"/>
              <c:layout>
                <c:manualLayout>
                  <c:x val="-4.3175234787300412E-2"/>
                  <c:y val="-1.697908356169135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1-6387-4E4A-9BCA-BC4EE8D3B45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LDF'!$G$8:$G$9</c:f>
              <c:strCache>
                <c:ptCount val="2"/>
                <c:pt idx="0">
                  <c:v>AAA EQUIVALENT</c:v>
                </c:pt>
                <c:pt idx="1">
                  <c:v>AA+</c:v>
                </c:pt>
              </c:strCache>
            </c:strRef>
          </c:cat>
          <c:val>
            <c:numRef>
              <c:f>'BANDHAN LDF'!$H$8:$H$9</c:f>
              <c:numCache>
                <c:formatCode>0.00%</c:formatCode>
                <c:ptCount val="2"/>
                <c:pt idx="0">
                  <c:v>0.96694199999999997</c:v>
                </c:pt>
                <c:pt idx="1">
                  <c:v>3.3057999999999997E-2</c:v>
                </c:pt>
              </c:numCache>
            </c:numRef>
          </c:val>
          <c:extLst>
            <c:ext xmlns:c16="http://schemas.microsoft.com/office/drawing/2014/chart" uri="{C3380CC4-5D6E-409C-BE32-E72D297353CC}">
              <c16:uniqueId val="{00000002-6387-4E4A-9BCA-BC4EE8D3B45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LDF'!$K$8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6597-47A9-9178-5FA3D784DFEE}"/>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1-6597-47A9-9178-5FA3D784DFEE}"/>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2-6597-47A9-9178-5FA3D784DFEE}"/>
                </c:ext>
              </c:extLst>
            </c:dLbl>
            <c:dLbl>
              <c:idx val="3"/>
              <c:layout>
                <c:manualLayout>
                  <c:x val="3.242855215903151E-2"/>
                  <c:y val="9.340317341541810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3-6597-47A9-9178-5FA3D784DFEE}"/>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4-6597-47A9-9178-5FA3D784DFEE}"/>
                </c:ext>
              </c:extLst>
            </c:dLbl>
            <c:dLbl>
              <c:idx val="5"/>
              <c:layout>
                <c:manualLayout>
                  <c:x val="-3.4448397376452139E-3"/>
                  <c:y val="-0.5486971310011734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5-6597-47A9-9178-5FA3D784DFEE}"/>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6-6597-47A9-9178-5FA3D784DFEE}"/>
                </c:ext>
              </c:extLst>
            </c:dLbl>
            <c:dLbl>
              <c:idx val="7"/>
              <c:layout>
                <c:manualLayout>
                  <c:x val="0.2845744322109629"/>
                  <c:y val="0.6218829611741296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7-6597-47A9-9178-5FA3D784DFEE}"/>
                </c:ext>
              </c:extLst>
            </c:dLbl>
            <c:dLbl>
              <c:idx val="8"/>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8-6597-47A9-9178-5FA3D784DFE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LDF'!$J$9:$J$17</c:f>
              <c:strCache>
                <c:ptCount val="9"/>
                <c:pt idx="0">
                  <c:v>Net Current Asset</c:v>
                </c:pt>
                <c:pt idx="1">
                  <c:v>TRI Party Repo</c:v>
                </c:pt>
                <c:pt idx="2">
                  <c:v>Certificate of Deposit</c:v>
                </c:pt>
                <c:pt idx="3">
                  <c:v>Corporate Bond</c:v>
                </c:pt>
                <c:pt idx="4">
                  <c:v>Commercial Paper</c:v>
                </c:pt>
                <c:pt idx="5">
                  <c:v>Corporate Debt Market Development Fund</c:v>
                </c:pt>
                <c:pt idx="6">
                  <c:v>Government Bond</c:v>
                </c:pt>
                <c:pt idx="7">
                  <c:v>State Government Bond</c:v>
                </c:pt>
                <c:pt idx="8">
                  <c:v>Zero Coupon Bond</c:v>
                </c:pt>
              </c:strCache>
            </c:strRef>
          </c:cat>
          <c:val>
            <c:numRef>
              <c:f>'BANDHAN LDF'!$K$9:$K$17</c:f>
              <c:numCache>
                <c:formatCode>0.00%</c:formatCode>
                <c:ptCount val="9"/>
                <c:pt idx="0">
                  <c:v>2.3764E-2</c:v>
                </c:pt>
                <c:pt idx="1">
                  <c:v>9.9889999999999996E-3</c:v>
                </c:pt>
                <c:pt idx="2">
                  <c:v>0.196547</c:v>
                </c:pt>
                <c:pt idx="3">
                  <c:v>0.351802</c:v>
                </c:pt>
                <c:pt idx="4">
                  <c:v>7.6884999999999995E-2</c:v>
                </c:pt>
                <c:pt idx="5">
                  <c:v>2.9129999999999998E-3</c:v>
                </c:pt>
                <c:pt idx="6">
                  <c:v>1.2639999999999999E-3</c:v>
                </c:pt>
                <c:pt idx="7">
                  <c:v>0.310886</c:v>
                </c:pt>
                <c:pt idx="8">
                  <c:v>2.5950000000000001E-2</c:v>
                </c:pt>
              </c:numCache>
            </c:numRef>
          </c:val>
          <c:extLst>
            <c:ext xmlns:c16="http://schemas.microsoft.com/office/drawing/2014/chart" uri="{C3380CC4-5D6E-409C-BE32-E72D297353CC}">
              <c16:uniqueId val="{00000009-6597-47A9-9178-5FA3D784DFE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10630764302214"/>
                  <c:y val="-2.87610619469026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6A6-4149-8D47-EA5447406A8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MMF'!$G$8</c:f>
              <c:strCache>
                <c:ptCount val="1"/>
                <c:pt idx="0">
                  <c:v>AAA EQUIVALENT</c:v>
                </c:pt>
              </c:strCache>
            </c:strRef>
          </c:cat>
          <c:val>
            <c:numRef>
              <c:f>'BANDHAN MMF'!$H$8</c:f>
              <c:numCache>
                <c:formatCode>0%</c:formatCode>
                <c:ptCount val="1"/>
                <c:pt idx="0">
                  <c:v>1</c:v>
                </c:pt>
              </c:numCache>
            </c:numRef>
          </c:val>
          <c:extLst>
            <c:ext xmlns:c16="http://schemas.microsoft.com/office/drawing/2014/chart" uri="{C3380CC4-5D6E-409C-BE32-E72D297353CC}">
              <c16:uniqueId val="{0000000C-96A6-4149-8D47-EA5447406A8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MMF'!$K$8</c:f>
              <c:strCache>
                <c:ptCount val="1"/>
                <c:pt idx="0">
                  <c:v>Total</c:v>
                </c:pt>
              </c:strCache>
            </c:strRef>
          </c:tx>
          <c:dLbls>
            <c:dLbl>
              <c:idx val="0"/>
              <c:layout>
                <c:manualLayout>
                  <c:x val="4.8118413731474068E-2"/>
                  <c:y val="-0.1016363808850290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516-42A6-B3E3-98C8856529EC}"/>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516-42A6-B3E3-98C8856529EC}"/>
                </c:ext>
              </c:extLst>
            </c:dLbl>
            <c:dLbl>
              <c:idx val="2"/>
              <c:layout>
                <c:manualLayout>
                  <c:x val="1.0098635957443222E-2"/>
                  <c:y val="5.928124811342722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516-42A6-B3E3-98C8856529EC}"/>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7516-42A6-B3E3-98C8856529EC}"/>
                </c:ext>
              </c:extLst>
            </c:dLbl>
            <c:dLbl>
              <c:idx val="4"/>
              <c:layout>
                <c:manualLayout>
                  <c:x val="-7.9260061710701574E-2"/>
                  <c:y val="0.6052691223016618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7516-42A6-B3E3-98C8856529EC}"/>
                </c:ext>
              </c:extLst>
            </c:dLbl>
            <c:dLbl>
              <c:idx val="5"/>
              <c:layout>
                <c:manualLayout>
                  <c:x val="0.13895631354431873"/>
                  <c:y val="0.6251361350915473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7516-42A6-B3E3-98C8856529EC}"/>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7516-42A6-B3E3-98C8856529EC}"/>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7516-42A6-B3E3-98C8856529E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MMF'!$J$9:$J$16</c:f>
              <c:strCache>
                <c:ptCount val="8"/>
                <c:pt idx="0">
                  <c:v>Net Current Asset</c:v>
                </c:pt>
                <c:pt idx="1">
                  <c:v>TRI Party Repo</c:v>
                </c:pt>
                <c:pt idx="2">
                  <c:v>Certificate of Deposit</c:v>
                </c:pt>
                <c:pt idx="3">
                  <c:v>Commercial Paper</c:v>
                </c:pt>
                <c:pt idx="4">
                  <c:v>Corporate Debt Market Development Fund</c:v>
                </c:pt>
                <c:pt idx="5">
                  <c:v>Government Bond Strips</c:v>
                </c:pt>
                <c:pt idx="6">
                  <c:v>State Government Bond</c:v>
                </c:pt>
                <c:pt idx="7">
                  <c:v>Treasury Bill</c:v>
                </c:pt>
              </c:strCache>
            </c:strRef>
          </c:cat>
          <c:val>
            <c:numRef>
              <c:f>'BANDHAN MMF'!$K$9:$K$16</c:f>
              <c:numCache>
                <c:formatCode>0.00%</c:formatCode>
                <c:ptCount val="8"/>
                <c:pt idx="0">
                  <c:v>-0.16034599999999999</c:v>
                </c:pt>
                <c:pt idx="1">
                  <c:v>2.5543E-2</c:v>
                </c:pt>
                <c:pt idx="2">
                  <c:v>0.78415400000000002</c:v>
                </c:pt>
                <c:pt idx="3">
                  <c:v>0.184388</c:v>
                </c:pt>
                <c:pt idx="4">
                  <c:v>1.6720000000000001E-3</c:v>
                </c:pt>
                <c:pt idx="5">
                  <c:v>1.3978000000000001E-2</c:v>
                </c:pt>
                <c:pt idx="6">
                  <c:v>0.119698</c:v>
                </c:pt>
                <c:pt idx="7">
                  <c:v>3.0913E-2</c:v>
                </c:pt>
              </c:numCache>
            </c:numRef>
          </c:val>
          <c:extLst>
            <c:ext xmlns:c16="http://schemas.microsoft.com/office/drawing/2014/chart" uri="{C3380CC4-5D6E-409C-BE32-E72D297353CC}">
              <c16:uniqueId val="{0000000C-7516-42A6-B3E3-98C8856529E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8126169721290186"/>
                  <c:y val="-2.973568281938325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6262843750526904"/>
                      <c:h val="0.16519823788546256"/>
                    </c:manualLayout>
                  </c15:layout>
                </c:ext>
                <c:ext xmlns:c16="http://schemas.microsoft.com/office/drawing/2014/chart" uri="{C3380CC4-5D6E-409C-BE32-E72D297353CC}">
                  <c16:uniqueId val="{00000000-8DD2-45CF-8306-7C26AB8D335E}"/>
                </c:ext>
              </c:extLst>
            </c:dLbl>
            <c:dLbl>
              <c:idx val="1"/>
              <c:layout>
                <c:manualLayout>
                  <c:x val="-0.11351051273837023"/>
                  <c:y val="-2.578965624891600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1-8DD2-45CF-8306-7C26AB8D335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USTF'!$G$8:$G$9</c:f>
              <c:strCache>
                <c:ptCount val="2"/>
                <c:pt idx="0">
                  <c:v>AAA EQUIVALENT</c:v>
                </c:pt>
                <c:pt idx="1">
                  <c:v>AA+</c:v>
                </c:pt>
              </c:strCache>
            </c:strRef>
          </c:cat>
          <c:val>
            <c:numRef>
              <c:f>'BANDHAN USTF'!$H$8:$H$9</c:f>
              <c:numCache>
                <c:formatCode>0.00%</c:formatCode>
                <c:ptCount val="2"/>
                <c:pt idx="0">
                  <c:v>0.974885</c:v>
                </c:pt>
                <c:pt idx="1">
                  <c:v>2.5114999999999998E-2</c:v>
                </c:pt>
              </c:numCache>
            </c:numRef>
          </c:val>
          <c:extLst>
            <c:ext xmlns:c16="http://schemas.microsoft.com/office/drawing/2014/chart" uri="{C3380CC4-5D6E-409C-BE32-E72D297353CC}">
              <c16:uniqueId val="{00000002-8DD2-45CF-8306-7C26AB8D335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USTF'!$K$8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D565-41A8-A349-C1B6773794C8}"/>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1-D565-41A8-A349-C1B6773794C8}"/>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2-D565-41A8-A349-C1B6773794C8}"/>
                </c:ext>
              </c:extLst>
            </c:dLbl>
            <c:dLbl>
              <c:idx val="3"/>
              <c:layout>
                <c:manualLayout>
                  <c:x val="0.48669729720615756"/>
                  <c:y val="1.448750502278420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3-D565-41A8-A349-C1B6773794C8}"/>
                </c:ext>
              </c:extLst>
            </c:dLbl>
            <c:dLbl>
              <c:idx val="4"/>
              <c:layout>
                <c:manualLayout>
                  <c:x val="-4.7403429496366487E-3"/>
                  <c:y val="0.5379968709123086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4-D565-41A8-A349-C1B6773794C8}"/>
                </c:ext>
              </c:extLst>
            </c:dLbl>
            <c:dLbl>
              <c:idx val="5"/>
              <c:layout>
                <c:manualLayout>
                  <c:x val="0.15361176212716454"/>
                  <c:y val="0.6182748980481674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31995177797636115"/>
                      <c:h val="0.21281216069489686"/>
                    </c:manualLayout>
                  </c15:layout>
                </c:ext>
                <c:ext xmlns:c16="http://schemas.microsoft.com/office/drawing/2014/chart" uri="{C3380CC4-5D6E-409C-BE32-E72D297353CC}">
                  <c16:uniqueId val="{00000005-D565-41A8-A349-C1B6773794C8}"/>
                </c:ext>
              </c:extLst>
            </c:dLbl>
            <c:dLbl>
              <c:idx val="6"/>
              <c:layout>
                <c:manualLayout>
                  <c:x val="-0.15925997740646444"/>
                  <c:y val="-0.1484001470500226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6-D565-41A8-A349-C1B6773794C8}"/>
                </c:ext>
              </c:extLst>
            </c:dLbl>
            <c:dLbl>
              <c:idx val="7"/>
              <c:layout>
                <c:manualLayout>
                  <c:x val="-0.12069913503852704"/>
                  <c:y val="-5.679140270332658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7-D565-41A8-A349-C1B6773794C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USTF'!$J$9:$J$16</c:f>
              <c:strCache>
                <c:ptCount val="8"/>
                <c:pt idx="0">
                  <c:v>Net Current Asset</c:v>
                </c:pt>
                <c:pt idx="1">
                  <c:v>TRI Party Repo</c:v>
                </c:pt>
                <c:pt idx="2">
                  <c:v>Certificate of Deposit</c:v>
                </c:pt>
                <c:pt idx="3">
                  <c:v>Corporate Bond</c:v>
                </c:pt>
                <c:pt idx="4">
                  <c:v>Commercial Paper</c:v>
                </c:pt>
                <c:pt idx="5">
                  <c:v>Corporate Debt Market Development Fund</c:v>
                </c:pt>
                <c:pt idx="6">
                  <c:v>State Government Bond</c:v>
                </c:pt>
                <c:pt idx="7">
                  <c:v>Zero Coupon Bond</c:v>
                </c:pt>
              </c:strCache>
            </c:strRef>
          </c:cat>
          <c:val>
            <c:numRef>
              <c:f>'BANDHAN USTF'!$K$9:$K$16</c:f>
              <c:numCache>
                <c:formatCode>0.00%</c:formatCode>
                <c:ptCount val="8"/>
                <c:pt idx="0">
                  <c:v>5.0109999999999998E-3</c:v>
                </c:pt>
                <c:pt idx="1">
                  <c:v>5.0724999999999999E-2</c:v>
                </c:pt>
                <c:pt idx="2">
                  <c:v>0.23741499999999999</c:v>
                </c:pt>
                <c:pt idx="3">
                  <c:v>0.44831399999999999</c:v>
                </c:pt>
                <c:pt idx="4">
                  <c:v>0.13251199999999999</c:v>
                </c:pt>
                <c:pt idx="5">
                  <c:v>2.6809999999999998E-3</c:v>
                </c:pt>
                <c:pt idx="6">
                  <c:v>0.11708200000000001</c:v>
                </c:pt>
                <c:pt idx="7">
                  <c:v>6.2599999999999999E-3</c:v>
                </c:pt>
              </c:numCache>
            </c:numRef>
          </c:val>
          <c:extLst>
            <c:ext xmlns:c16="http://schemas.microsoft.com/office/drawing/2014/chart" uri="{C3380CC4-5D6E-409C-BE32-E72D297353CC}">
              <c16:uniqueId val="{00000008-D565-41A8-A349-C1B6773794C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991358815694075"/>
                  <c:y val="-9.825327510917030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FCD-4D58-89A7-064A042F7A0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DBF'!$G$8</c:f>
              <c:strCache>
                <c:ptCount val="1"/>
                <c:pt idx="0">
                  <c:v>AAA EQUIVALENT</c:v>
                </c:pt>
              </c:strCache>
            </c:strRef>
          </c:cat>
          <c:val>
            <c:numRef>
              <c:f>'BANDHAN DBF'!$H$8</c:f>
              <c:numCache>
                <c:formatCode>0%</c:formatCode>
                <c:ptCount val="1"/>
                <c:pt idx="0">
                  <c:v>1</c:v>
                </c:pt>
              </c:numCache>
            </c:numRef>
          </c:val>
          <c:extLst>
            <c:ext xmlns:c16="http://schemas.microsoft.com/office/drawing/2014/chart" uri="{C3380CC4-5D6E-409C-BE32-E72D297353CC}">
              <c16:uniqueId val="{0000000C-3FCD-4D58-89A7-064A042F7A0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DBF'!$K$8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309-4917-8D14-45D1002DB07B}"/>
                </c:ext>
              </c:extLst>
            </c:dLbl>
            <c:dLbl>
              <c:idx val="1"/>
              <c:layout>
                <c:manualLayout>
                  <c:x val="-0.19727056601864809"/>
                  <c:y val="1.744181977252843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309-4917-8D14-45D1002DB07B}"/>
                </c:ext>
              </c:extLst>
            </c:dLbl>
            <c:dLbl>
              <c:idx val="2"/>
              <c:layout>
                <c:manualLayout>
                  <c:x val="0.2249831391525739"/>
                  <c:y val="3.063307086614173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309-4917-8D14-45D1002DB07B}"/>
                </c:ext>
              </c:extLst>
            </c:dLbl>
            <c:dLbl>
              <c:idx val="3"/>
              <c:layout>
                <c:manualLayout>
                  <c:x val="-0.24698300426579439"/>
                  <c:y val="-4.026351706036745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0309-4917-8D14-45D1002DB07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DBF'!$J$9:$J$12</c:f>
              <c:strCache>
                <c:ptCount val="4"/>
                <c:pt idx="0">
                  <c:v>Net Current Asset</c:v>
                </c:pt>
                <c:pt idx="1">
                  <c:v>TRI Party Repo</c:v>
                </c:pt>
                <c:pt idx="2">
                  <c:v>Corporate Debt Market Development Fund</c:v>
                </c:pt>
                <c:pt idx="3">
                  <c:v>Government Bond</c:v>
                </c:pt>
              </c:strCache>
            </c:strRef>
          </c:cat>
          <c:val>
            <c:numRef>
              <c:f>'BANDHAN DBF'!$K$9:$K$12</c:f>
              <c:numCache>
                <c:formatCode>0.00%</c:formatCode>
                <c:ptCount val="4"/>
                <c:pt idx="0">
                  <c:v>8.6899999999999998E-4</c:v>
                </c:pt>
                <c:pt idx="1">
                  <c:v>1.358E-3</c:v>
                </c:pt>
                <c:pt idx="2">
                  <c:v>2.0830000000000002E-3</c:v>
                </c:pt>
                <c:pt idx="3">
                  <c:v>0.99568999999999996</c:v>
                </c:pt>
              </c:numCache>
            </c:numRef>
          </c:val>
          <c:extLst>
            <c:ext xmlns:c16="http://schemas.microsoft.com/office/drawing/2014/chart" uri="{C3380CC4-5D6E-409C-BE32-E72D297353CC}">
              <c16:uniqueId val="{0000000C-0309-4917-8D14-45D1002DB07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706562241818274"/>
                  <c:y val="-1.855895196506550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815-486C-9A6B-18A03FC02F2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IP'!$G$8</c:f>
              <c:strCache>
                <c:ptCount val="1"/>
                <c:pt idx="0">
                  <c:v>AAA EQUIVALENT</c:v>
                </c:pt>
              </c:strCache>
            </c:strRef>
          </c:cat>
          <c:val>
            <c:numRef>
              <c:f>'BANDHAN BOND IP'!$H$8</c:f>
              <c:numCache>
                <c:formatCode>0%</c:formatCode>
                <c:ptCount val="1"/>
                <c:pt idx="0">
                  <c:v>1</c:v>
                </c:pt>
              </c:numCache>
            </c:numRef>
          </c:val>
          <c:extLst>
            <c:ext xmlns:c16="http://schemas.microsoft.com/office/drawing/2014/chart" uri="{C3380CC4-5D6E-409C-BE32-E72D297353CC}">
              <c16:uniqueId val="{0000000C-5815-486C-9A6B-18A03FC02F2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IP'!$K$8</c:f>
              <c:strCache>
                <c:ptCount val="1"/>
                <c:pt idx="0">
                  <c:v>Total</c:v>
                </c:pt>
              </c:strCache>
            </c:strRef>
          </c:tx>
          <c:dLbls>
            <c:dLbl>
              <c:idx val="0"/>
              <c:layout>
                <c:manualLayout>
                  <c:x val="-0.41028444249607987"/>
                  <c:y val="-2.36459026595330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8F7-4EFB-9F57-3DCD0905A75F}"/>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8F7-4EFB-9F57-3DCD0905A75F}"/>
                </c:ext>
              </c:extLst>
            </c:dLbl>
            <c:dLbl>
              <c:idx val="2"/>
              <c:layout>
                <c:manualLayout>
                  <c:x val="-3.8210895479606805E-3"/>
                  <c:y val="-0.1418228648971019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8F7-4EFB-9F57-3DCD0905A75F}"/>
                </c:ext>
              </c:extLst>
            </c:dLbl>
            <c:dLbl>
              <c:idx val="3"/>
              <c:layout>
                <c:manualLayout>
                  <c:x val="-1.2475931140299112E-2"/>
                  <c:y val="-0.3278778187852753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B8F7-4EFB-9F57-3DCD0905A75F}"/>
                </c:ext>
              </c:extLst>
            </c:dLbl>
            <c:dLbl>
              <c:idx val="4"/>
              <c:layout>
                <c:manualLayout>
                  <c:x val="-0.29971496737426023"/>
                  <c:y val="0.1524464765724262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B8F7-4EFB-9F57-3DCD0905A75F}"/>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B8F7-4EFB-9F57-3DCD0905A75F}"/>
                </c:ext>
              </c:extLst>
            </c:dLbl>
            <c:dLbl>
              <c:idx val="6"/>
              <c:layout>
                <c:manualLayout>
                  <c:x val="5.6373147414389049E-2"/>
                  <c:y val="0.2529441558553808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B8F7-4EFB-9F57-3DCD0905A75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IP'!$J$9:$J$15</c:f>
              <c:strCache>
                <c:ptCount val="7"/>
                <c:pt idx="0">
                  <c:v>Net Current Asset</c:v>
                </c:pt>
                <c:pt idx="1">
                  <c:v>TRI Party Repo</c:v>
                </c:pt>
                <c:pt idx="2">
                  <c:v>Certificate of Deposit</c:v>
                </c:pt>
                <c:pt idx="3">
                  <c:v>Corporate Bond</c:v>
                </c:pt>
                <c:pt idx="4">
                  <c:v>Commercial Paper</c:v>
                </c:pt>
                <c:pt idx="5">
                  <c:v>Corporate Debt Market Development Fund</c:v>
                </c:pt>
                <c:pt idx="6">
                  <c:v>Government Bond</c:v>
                </c:pt>
              </c:strCache>
            </c:strRef>
          </c:cat>
          <c:val>
            <c:numRef>
              <c:f>'BANDHAN BOND IP'!$K$9:$K$15</c:f>
              <c:numCache>
                <c:formatCode>0.00%</c:formatCode>
                <c:ptCount val="7"/>
                <c:pt idx="0">
                  <c:v>1.2267E-2</c:v>
                </c:pt>
                <c:pt idx="1">
                  <c:v>1.0409E-2</c:v>
                </c:pt>
                <c:pt idx="2">
                  <c:v>0.110302</c:v>
                </c:pt>
                <c:pt idx="3">
                  <c:v>0.24623999999999999</c:v>
                </c:pt>
                <c:pt idx="4">
                  <c:v>2.7064000000000001E-2</c:v>
                </c:pt>
                <c:pt idx="5">
                  <c:v>2.8110000000000001E-3</c:v>
                </c:pt>
                <c:pt idx="6">
                  <c:v>0.59090699999999996</c:v>
                </c:pt>
              </c:numCache>
            </c:numRef>
          </c:val>
          <c:extLst>
            <c:ext xmlns:c16="http://schemas.microsoft.com/office/drawing/2014/chart" uri="{C3380CC4-5D6E-409C-BE32-E72D297353CC}">
              <c16:uniqueId val="{0000000C-B8F7-4EFB-9F57-3DCD0905A75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494570807128764"/>
                  <c:y val="-3.61842105263157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847-4679-B923-AC7A84615C0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MT'!$G$8</c:f>
              <c:strCache>
                <c:ptCount val="1"/>
                <c:pt idx="0">
                  <c:v>AAA EQUIVALENT</c:v>
                </c:pt>
              </c:strCache>
            </c:strRef>
          </c:cat>
          <c:val>
            <c:numRef>
              <c:f>'BANDHAN BOND MT'!$H$8</c:f>
              <c:numCache>
                <c:formatCode>0%</c:formatCode>
                <c:ptCount val="1"/>
                <c:pt idx="0">
                  <c:v>1</c:v>
                </c:pt>
              </c:numCache>
            </c:numRef>
          </c:val>
          <c:extLst>
            <c:ext xmlns:c16="http://schemas.microsoft.com/office/drawing/2014/chart" uri="{C3380CC4-5D6E-409C-BE32-E72D297353CC}">
              <c16:uniqueId val="{0000000C-0847-4679-B923-AC7A84615C0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MT'!$K$8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3EE-44F3-BDD5-A6145A882ACB}"/>
                </c:ext>
              </c:extLst>
            </c:dLbl>
            <c:dLbl>
              <c:idx val="1"/>
              <c:layout>
                <c:manualLayout>
                  <c:x val="-0.23147776897266856"/>
                  <c:y val="-6.450669076201540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3EE-44F3-BDD5-A6145A882ACB}"/>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3EE-44F3-BDD5-A6145A882ACB}"/>
                </c:ext>
              </c:extLst>
            </c:dLbl>
            <c:dLbl>
              <c:idx val="3"/>
              <c:layout>
                <c:manualLayout>
                  <c:x val="-8.193275894046434E-3"/>
                  <c:y val="-0.3661594595757497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63EE-44F3-BDD5-A6145A882ACB}"/>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63EE-44F3-BDD5-A6145A882ACB}"/>
                </c:ext>
              </c:extLst>
            </c:dLbl>
            <c:dLbl>
              <c:idx val="5"/>
              <c:layout>
                <c:manualLayout>
                  <c:x val="3.3752887420121737E-3"/>
                  <c:y val="0.1956273826427434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63EE-44F3-BDD5-A6145A882ACB}"/>
                </c:ext>
              </c:extLst>
            </c:dLbl>
            <c:dLbl>
              <c:idx val="6"/>
              <c:layout>
                <c:manualLayout>
                  <c:x val="-0.32260306192989258"/>
                  <c:y val="-5.469265522137601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63EE-44F3-BDD5-A6145A882AC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MT'!$J$9:$J$15</c:f>
              <c:strCache>
                <c:ptCount val="7"/>
                <c:pt idx="0">
                  <c:v>Net Current Asset</c:v>
                </c:pt>
                <c:pt idx="1">
                  <c:v>TRI Party Repo</c:v>
                </c:pt>
                <c:pt idx="2">
                  <c:v>Certificate of Deposit</c:v>
                </c:pt>
                <c:pt idx="3">
                  <c:v>Corporate Bond</c:v>
                </c:pt>
                <c:pt idx="4">
                  <c:v>Corporate Debt Market Development Fund</c:v>
                </c:pt>
                <c:pt idx="5">
                  <c:v>Government Bond</c:v>
                </c:pt>
                <c:pt idx="6">
                  <c:v>State Government Bond</c:v>
                </c:pt>
              </c:strCache>
            </c:strRef>
          </c:cat>
          <c:val>
            <c:numRef>
              <c:f>'BANDHAN BOND MT'!$K$9:$K$15</c:f>
              <c:numCache>
                <c:formatCode>0.00%</c:formatCode>
                <c:ptCount val="7"/>
                <c:pt idx="0">
                  <c:v>2.6481999999999999E-2</c:v>
                </c:pt>
                <c:pt idx="1">
                  <c:v>1.328E-3</c:v>
                </c:pt>
                <c:pt idx="2">
                  <c:v>0.111209</c:v>
                </c:pt>
                <c:pt idx="3">
                  <c:v>0.29590100000000003</c:v>
                </c:pt>
                <c:pt idx="4">
                  <c:v>3.7399999999999998E-3</c:v>
                </c:pt>
                <c:pt idx="5">
                  <c:v>0.55648699999999995</c:v>
                </c:pt>
                <c:pt idx="6">
                  <c:v>4.8529999999999997E-3</c:v>
                </c:pt>
              </c:numCache>
            </c:numRef>
          </c:val>
          <c:extLst>
            <c:ext xmlns:c16="http://schemas.microsoft.com/office/drawing/2014/chart" uri="{C3380CC4-5D6E-409C-BE32-E72D297353CC}">
              <c16:uniqueId val="{0000000C-63EE-44F3-BDD5-A6145A882AC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492429479505638"/>
                  <c:y val="-2.6431718061674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B56-4234-ABAF-D7FC2911C4F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ST'!$G$8</c:f>
              <c:strCache>
                <c:ptCount val="1"/>
                <c:pt idx="0">
                  <c:v>AAA EQUIVALENT</c:v>
                </c:pt>
              </c:strCache>
            </c:strRef>
          </c:cat>
          <c:val>
            <c:numRef>
              <c:f>'BANDHAN BOND ST'!$H$8</c:f>
              <c:numCache>
                <c:formatCode>0%</c:formatCode>
                <c:ptCount val="1"/>
                <c:pt idx="0">
                  <c:v>1</c:v>
                </c:pt>
              </c:numCache>
            </c:numRef>
          </c:val>
          <c:extLst>
            <c:ext xmlns:c16="http://schemas.microsoft.com/office/drawing/2014/chart" uri="{C3380CC4-5D6E-409C-BE32-E72D297353CC}">
              <c16:uniqueId val="{0000000C-AB56-4234-ABAF-D7FC2911C4F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ST'!$K$8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BCF-49E6-AE2E-E35196A49ACB}"/>
                </c:ext>
              </c:extLst>
            </c:dLbl>
            <c:dLbl>
              <c:idx val="1"/>
              <c:layout>
                <c:manualLayout>
                  <c:x val="-0.33934874976816337"/>
                  <c:y val="-1.558917580717257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BCF-49E6-AE2E-E35196A49ACB}"/>
                </c:ext>
              </c:extLst>
            </c:dLbl>
            <c:dLbl>
              <c:idx val="2"/>
              <c:layout>
                <c:manualLayout>
                  <c:x val="-3.1962771248883123E-2"/>
                  <c:y val="-0.1263071209985214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BCF-49E6-AE2E-E35196A49ACB}"/>
                </c:ext>
              </c:extLst>
            </c:dLbl>
            <c:dLbl>
              <c:idx val="3"/>
              <c:layout>
                <c:manualLayout>
                  <c:x val="-1.7293918292333371E-2"/>
                  <c:y val="-0.4088804456211532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ABCF-49E6-AE2E-E35196A49ACB}"/>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ABCF-49E6-AE2E-E35196A49ACB}"/>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ABCF-49E6-AE2E-E35196A49ACB}"/>
                </c:ext>
              </c:extLst>
            </c:dLbl>
            <c:dLbl>
              <c:idx val="6"/>
              <c:layout>
                <c:manualLayout>
                  <c:x val="-1.9780303158036723E-3"/>
                  <c:y val="0.3274926933259980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ABCF-49E6-AE2E-E35196A49ACB}"/>
                </c:ext>
              </c:extLst>
            </c:dLbl>
            <c:dLbl>
              <c:idx val="7"/>
              <c:layout>
                <c:manualLayout>
                  <c:x val="-0.29782958741506349"/>
                  <c:y val="-5.176838703022384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ABCF-49E6-AE2E-E35196A49AC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ST'!$J$9:$J$16</c:f>
              <c:strCache>
                <c:ptCount val="8"/>
                <c:pt idx="0">
                  <c:v>Net Current Asset</c:v>
                </c:pt>
                <c:pt idx="1">
                  <c:v>TRI Party Repo</c:v>
                </c:pt>
                <c:pt idx="2">
                  <c:v>Certificate of Deposit</c:v>
                </c:pt>
                <c:pt idx="3">
                  <c:v>Corporate Bond</c:v>
                </c:pt>
                <c:pt idx="4">
                  <c:v>Commercial Paper</c:v>
                </c:pt>
                <c:pt idx="5">
                  <c:v>Corporate Debt Market Development Fund</c:v>
                </c:pt>
                <c:pt idx="6">
                  <c:v>Government Bond</c:v>
                </c:pt>
                <c:pt idx="7">
                  <c:v>State Government Bond</c:v>
                </c:pt>
              </c:strCache>
            </c:strRef>
          </c:cat>
          <c:val>
            <c:numRef>
              <c:f>'BANDHAN BOND ST'!$K$9:$K$16</c:f>
              <c:numCache>
                <c:formatCode>0.00%</c:formatCode>
                <c:ptCount val="8"/>
                <c:pt idx="0">
                  <c:v>2.1877000000000001E-2</c:v>
                </c:pt>
                <c:pt idx="1">
                  <c:v>1.3489999999999999E-3</c:v>
                </c:pt>
                <c:pt idx="2">
                  <c:v>0.14283799999999999</c:v>
                </c:pt>
                <c:pt idx="3">
                  <c:v>0.29785400000000001</c:v>
                </c:pt>
                <c:pt idx="4">
                  <c:v>1.0579999999999999E-3</c:v>
                </c:pt>
                <c:pt idx="5">
                  <c:v>2.653E-3</c:v>
                </c:pt>
                <c:pt idx="6">
                  <c:v>0.50416000000000005</c:v>
                </c:pt>
                <c:pt idx="7">
                  <c:v>2.8211E-2</c:v>
                </c:pt>
              </c:numCache>
            </c:numRef>
          </c:val>
          <c:extLst>
            <c:ext xmlns:c16="http://schemas.microsoft.com/office/drawing/2014/chart" uri="{C3380CC4-5D6E-409C-BE32-E72D297353CC}">
              <c16:uniqueId val="{0000000C-ABCF-49E6-AE2E-E35196A49AC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1.321585903083700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B98-4FF6-9DDA-D3181AAD54D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BPDF'!$G$8</c:f>
              <c:strCache>
                <c:ptCount val="1"/>
                <c:pt idx="0">
                  <c:v>AAA EQUIVALENT</c:v>
                </c:pt>
              </c:strCache>
            </c:strRef>
          </c:cat>
          <c:val>
            <c:numRef>
              <c:f>'BANDHAN BPDF'!$H$8</c:f>
              <c:numCache>
                <c:formatCode>0%</c:formatCode>
                <c:ptCount val="1"/>
                <c:pt idx="0">
                  <c:v>1</c:v>
                </c:pt>
              </c:numCache>
            </c:numRef>
          </c:val>
          <c:extLst>
            <c:ext xmlns:c16="http://schemas.microsoft.com/office/drawing/2014/chart" uri="{C3380CC4-5D6E-409C-BE32-E72D297353CC}">
              <c16:uniqueId val="{0000000C-EB98-4FF6-9DDA-D3181AAD54D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BPDF'!$K$8</c:f>
              <c:strCache>
                <c:ptCount val="1"/>
                <c:pt idx="0">
                  <c:v>Total</c:v>
                </c:pt>
              </c:strCache>
            </c:strRef>
          </c:tx>
          <c:dLbls>
            <c:dLbl>
              <c:idx val="0"/>
              <c:layout>
                <c:manualLayout>
                  <c:x val="0.13150415619889047"/>
                  <c:y val="-9.658030369966130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755-4EA8-B438-86B8DCFE3387}"/>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755-4EA8-B438-86B8DCFE3387}"/>
                </c:ext>
              </c:extLst>
            </c:dLbl>
            <c:dLbl>
              <c:idx val="2"/>
              <c:layout>
                <c:manualLayout>
                  <c:x val="0.12844492404188235"/>
                  <c:y val="-1.574803149606299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755-4EA8-B438-86B8DCFE3387}"/>
                </c:ext>
              </c:extLst>
            </c:dLbl>
            <c:dLbl>
              <c:idx val="3"/>
              <c:layout>
                <c:manualLayout>
                  <c:x val="1.0689102834308453E-2"/>
                  <c:y val="8.286028602860286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0755-4EA8-B438-86B8DCFE3387}"/>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0755-4EA8-B438-86B8DCFE3387}"/>
                </c:ext>
              </c:extLst>
            </c:dLbl>
            <c:dLbl>
              <c:idx val="5"/>
              <c:layout>
                <c:manualLayout>
                  <c:x val="0.18070925154698275"/>
                  <c:y val="0.35492840622644928"/>
                </c:manualLayout>
              </c:layout>
              <c:spPr>
                <a:noFill/>
                <a:ln>
                  <a:noFill/>
                </a:ln>
                <a:effectLst/>
              </c:spPr>
              <c:txPr>
                <a:bodyPr wrap="square" lIns="38100" tIns="19050" rIns="38100" bIns="19050" anchor="ctr">
                  <a:no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3627783304388878"/>
                      <c:h val="0.13641364136413642"/>
                    </c:manualLayout>
                  </c15:layout>
                </c:ext>
                <c:ext xmlns:c16="http://schemas.microsoft.com/office/drawing/2014/chart" uri="{C3380CC4-5D6E-409C-BE32-E72D297353CC}">
                  <c16:uniqueId val="{00000012-0755-4EA8-B438-86B8DCFE3387}"/>
                </c:ext>
              </c:extLst>
            </c:dLbl>
            <c:dLbl>
              <c:idx val="6"/>
              <c:layout>
                <c:manualLayout>
                  <c:x val="-7.016380313274545E-2"/>
                  <c:y val="-0.1713891704131043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0755-4EA8-B438-86B8DCFE3387}"/>
                </c:ext>
              </c:extLst>
            </c:dLbl>
            <c:dLbl>
              <c:idx val="7"/>
              <c:layout>
                <c:manualLayout>
                  <c:x val="-0.20690654032271663"/>
                  <c:y val="-3.82744731166030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0755-4EA8-B438-86B8DCFE338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BPDF'!$J$9:$J$16</c:f>
              <c:strCache>
                <c:ptCount val="8"/>
                <c:pt idx="0">
                  <c:v>Net Current Asset</c:v>
                </c:pt>
                <c:pt idx="1">
                  <c:v>TRI Party Repo</c:v>
                </c:pt>
                <c:pt idx="2">
                  <c:v>Certificate of Deposit</c:v>
                </c:pt>
                <c:pt idx="3">
                  <c:v>Corporate Bond</c:v>
                </c:pt>
                <c:pt idx="4">
                  <c:v>Commercial Paper</c:v>
                </c:pt>
                <c:pt idx="5">
                  <c:v>Corporate Debt Market Development Fund</c:v>
                </c:pt>
                <c:pt idx="6">
                  <c:v>Government Bond</c:v>
                </c:pt>
                <c:pt idx="7">
                  <c:v>State Government Bond</c:v>
                </c:pt>
              </c:strCache>
            </c:strRef>
          </c:cat>
          <c:val>
            <c:numRef>
              <c:f>'BANDHAN BPDF'!$K$9:$K$16</c:f>
              <c:numCache>
                <c:formatCode>0.00%</c:formatCode>
                <c:ptCount val="8"/>
                <c:pt idx="0">
                  <c:v>2.9984E-2</c:v>
                </c:pt>
                <c:pt idx="1">
                  <c:v>2.362E-3</c:v>
                </c:pt>
                <c:pt idx="2">
                  <c:v>0.11543399999999999</c:v>
                </c:pt>
                <c:pt idx="3">
                  <c:v>0.53270700000000004</c:v>
                </c:pt>
                <c:pt idx="4">
                  <c:v>5.7918999999999998E-2</c:v>
                </c:pt>
                <c:pt idx="5">
                  <c:v>2.9559999999999999E-3</c:v>
                </c:pt>
                <c:pt idx="6">
                  <c:v>0.258548</c:v>
                </c:pt>
                <c:pt idx="7">
                  <c:v>9.0000000000000006E-5</c:v>
                </c:pt>
              </c:numCache>
            </c:numRef>
          </c:val>
          <c:extLst>
            <c:ext xmlns:c16="http://schemas.microsoft.com/office/drawing/2014/chart" uri="{C3380CC4-5D6E-409C-BE32-E72D297353CC}">
              <c16:uniqueId val="{0000000C-0755-4EA8-B438-86B8DCFE338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922836331754035"/>
                  <c:y val="-2.555555555555555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F06-409A-B017-E39E63D724D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CBF'!$G$8</c:f>
              <c:strCache>
                <c:ptCount val="1"/>
                <c:pt idx="0">
                  <c:v>AAA EQUIVALENT</c:v>
                </c:pt>
              </c:strCache>
            </c:strRef>
          </c:cat>
          <c:val>
            <c:numRef>
              <c:f>'BANDHAN CBF'!$H$8</c:f>
              <c:numCache>
                <c:formatCode>0%</c:formatCode>
                <c:ptCount val="1"/>
                <c:pt idx="0">
                  <c:v>1</c:v>
                </c:pt>
              </c:numCache>
            </c:numRef>
          </c:val>
          <c:extLst>
            <c:ext xmlns:c16="http://schemas.microsoft.com/office/drawing/2014/chart" uri="{C3380CC4-5D6E-409C-BE32-E72D297353CC}">
              <c16:uniqueId val="{0000000C-BF06-409A-B017-E39E63D724D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669-4464-90EF-4DD376CEABB2}"/>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669-4464-90EF-4DD376CEABB2}"/>
                </c:ext>
              </c:extLst>
            </c:dLbl>
            <c:dLbl>
              <c:idx val="2"/>
              <c:layout>
                <c:manualLayout>
                  <c:x val="-3.469220523023487E-2"/>
                  <c:y val="0.1415008063751067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669-4464-90EF-4DD376CEABB2}"/>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B669-4464-90EF-4DD376CEABB2}"/>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B669-4464-90EF-4DD376CEABB2}"/>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B669-4464-90EF-4DD376CEABB2}"/>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B669-4464-90EF-4DD376CEABB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CBF'!$J$9:$J$15</c:f>
              <c:strCache>
                <c:ptCount val="7"/>
                <c:pt idx="0">
                  <c:v>Net Current Asset</c:v>
                </c:pt>
                <c:pt idx="1">
                  <c:v>TRI Party Repo</c:v>
                </c:pt>
                <c:pt idx="2">
                  <c:v>Corporate Bond</c:v>
                </c:pt>
                <c:pt idx="3">
                  <c:v>Corporate Debt Market Development Fund</c:v>
                </c:pt>
                <c:pt idx="4">
                  <c:v>Government Bond</c:v>
                </c:pt>
                <c:pt idx="6">
                  <c:v>State Government Bond</c:v>
                </c:pt>
              </c:strCache>
            </c:strRef>
          </c:cat>
          <c:val>
            <c:numRef>
              <c:f>'BANDHAN CBF'!$K$9:$K$15</c:f>
              <c:numCache>
                <c:formatCode>0.00%</c:formatCode>
                <c:ptCount val="7"/>
                <c:pt idx="0">
                  <c:v>3.5527999999999997E-2</c:v>
                </c:pt>
                <c:pt idx="1">
                  <c:v>1.557E-3</c:v>
                </c:pt>
                <c:pt idx="2">
                  <c:v>0.68149299999999979</c:v>
                </c:pt>
                <c:pt idx="3">
                  <c:v>3.0209999999999998E-3</c:v>
                </c:pt>
                <c:pt idx="4">
                  <c:v>0.278221</c:v>
                </c:pt>
                <c:pt idx="6">
                  <c:v>1.8000000000000001E-4</c:v>
                </c:pt>
              </c:numCache>
            </c:numRef>
          </c:val>
          <c:extLst>
            <c:ext xmlns:c16="http://schemas.microsoft.com/office/drawing/2014/chart" uri="{C3380CC4-5D6E-409C-BE32-E72D297353CC}">
              <c16:uniqueId val="{0000000C-B669-4464-90EF-4DD376CEABB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3.2497344416530384E-2"/>
                  <c:y val="0.2109490443650490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2836719553524759"/>
                      <c:h val="0.16519823788546256"/>
                    </c:manualLayout>
                  </c15:layout>
                </c:ext>
                <c:ext xmlns:c16="http://schemas.microsoft.com/office/drawing/2014/chart" uri="{C3380CC4-5D6E-409C-BE32-E72D297353CC}">
                  <c16:uniqueId val="{0000000D-4C2C-48BE-8BB1-05D8C0F79C05}"/>
                </c:ext>
              </c:extLst>
            </c:dLbl>
            <c:dLbl>
              <c:idx val="1"/>
              <c:layout>
                <c:manualLayout>
                  <c:x val="6.4949164545010027E-2"/>
                  <c:y val="-0.1645024107669360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C2C-48BE-8BB1-05D8C0F79C05}"/>
                </c:ext>
              </c:extLst>
            </c:dLbl>
            <c:dLbl>
              <c:idx val="2"/>
              <c:layout>
                <c:manualLayout>
                  <c:x val="8.2685258561095279E-2"/>
                  <c:y val="-7.845502792327170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C2C-48BE-8BB1-05D8C0F79C0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FRF'!$G$8:$G$10</c:f>
              <c:strCache>
                <c:ptCount val="3"/>
                <c:pt idx="0">
                  <c:v>AAA EQUIVALENT</c:v>
                </c:pt>
                <c:pt idx="1">
                  <c:v>AA</c:v>
                </c:pt>
                <c:pt idx="2">
                  <c:v>AA+</c:v>
                </c:pt>
              </c:strCache>
            </c:strRef>
          </c:cat>
          <c:val>
            <c:numRef>
              <c:f>'BANDHAN FRF'!$H$8:$H$10</c:f>
              <c:numCache>
                <c:formatCode>0.00%</c:formatCode>
                <c:ptCount val="3"/>
                <c:pt idx="0">
                  <c:v>0.63126899999999997</c:v>
                </c:pt>
                <c:pt idx="1">
                  <c:v>0.24592</c:v>
                </c:pt>
                <c:pt idx="2">
                  <c:v>0.122811</c:v>
                </c:pt>
              </c:numCache>
            </c:numRef>
          </c:val>
          <c:extLst>
            <c:ext xmlns:c16="http://schemas.microsoft.com/office/drawing/2014/chart" uri="{C3380CC4-5D6E-409C-BE32-E72D297353CC}">
              <c16:uniqueId val="{0000000C-4C2C-48BE-8BB1-05D8C0F79C0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FRF'!$K$8</c:f>
              <c:strCache>
                <c:ptCount val="1"/>
                <c:pt idx="0">
                  <c:v>Total</c:v>
                </c:pt>
              </c:strCache>
            </c:strRef>
          </c:tx>
          <c:dLbls>
            <c:dLbl>
              <c:idx val="0"/>
              <c:layout>
                <c:manualLayout>
                  <c:x val="0.29920610699893779"/>
                  <c:y val="-2.997849425513867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2B9-4105-A051-7EC5353FEF0A}"/>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2B9-4105-A051-7EC5353FEF0A}"/>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2B9-4105-A051-7EC5353FEF0A}"/>
                </c:ext>
              </c:extLst>
            </c:dLbl>
            <c:dLbl>
              <c:idx val="3"/>
              <c:layout>
                <c:manualLayout>
                  <c:x val="-6.4670791954003604E-2"/>
                  <c:y val="0.2342991783263218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62B9-4105-A051-7EC5353FEF0A}"/>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62B9-4105-A051-7EC5353FEF0A}"/>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62B9-4105-A051-7EC5353FEF0A}"/>
                </c:ext>
              </c:extLst>
            </c:dLbl>
            <c:dLbl>
              <c:idx val="6"/>
              <c:layout>
                <c:manualLayout>
                  <c:x val="-0.16836264310644253"/>
                  <c:y val="-1.583268359137371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62B9-4105-A051-7EC5353FEF0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FRF'!$J$9:$J$15</c:f>
              <c:strCache>
                <c:ptCount val="6"/>
                <c:pt idx="0">
                  <c:v>Net Current Asset</c:v>
                </c:pt>
                <c:pt idx="1">
                  <c:v>TRI Party Repo</c:v>
                </c:pt>
                <c:pt idx="2">
                  <c:v>Certificate of Deposit</c:v>
                </c:pt>
                <c:pt idx="3">
                  <c:v>Corporate Bond</c:v>
                </c:pt>
                <c:pt idx="4">
                  <c:v>Corporate Debt Market Development Fund</c:v>
                </c:pt>
                <c:pt idx="5">
                  <c:v>Government Bond</c:v>
                </c:pt>
              </c:strCache>
            </c:strRef>
          </c:cat>
          <c:val>
            <c:numRef>
              <c:f>'BANDHAN FRF'!$K$9:$K$15</c:f>
              <c:numCache>
                <c:formatCode>0.00%</c:formatCode>
                <c:ptCount val="7"/>
                <c:pt idx="0">
                  <c:v>2.8829E-2</c:v>
                </c:pt>
                <c:pt idx="1">
                  <c:v>4.398E-3</c:v>
                </c:pt>
                <c:pt idx="2">
                  <c:v>2.7647000000000001E-2</c:v>
                </c:pt>
                <c:pt idx="3">
                  <c:v>0.560172</c:v>
                </c:pt>
                <c:pt idx="4">
                  <c:v>3.3080000000000002E-3</c:v>
                </c:pt>
                <c:pt idx="5">
                  <c:v>0.37560399999999999</c:v>
                </c:pt>
              </c:numCache>
            </c:numRef>
          </c:val>
          <c:extLst>
            <c:ext xmlns:c16="http://schemas.microsoft.com/office/drawing/2014/chart" uri="{C3380CC4-5D6E-409C-BE32-E72D297353CC}">
              <c16:uniqueId val="{0000000C-62B9-4105-A051-7EC5353FEF0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1767935726449612"/>
                  <c:y val="-0.4301939019737070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218E-412D-B38C-72DADDD8CFBF}"/>
                </c:ext>
              </c:extLst>
            </c:dLbl>
            <c:dLbl>
              <c:idx val="1"/>
              <c:layout>
                <c:manualLayout>
                  <c:x val="1.5366723431519668E-2"/>
                  <c:y val="0.2405137188247944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9780471766511"/>
                      <c:h val="0.16519823788546256"/>
                    </c:manualLayout>
                  </c15:layout>
                </c:ext>
                <c:ext xmlns:c16="http://schemas.microsoft.com/office/drawing/2014/chart" uri="{C3380CC4-5D6E-409C-BE32-E72D297353CC}">
                  <c16:uniqueId val="{00000001-218E-412D-B38C-72DADDD8CFBF}"/>
                </c:ext>
              </c:extLst>
            </c:dLbl>
            <c:dLbl>
              <c:idx val="2"/>
              <c:layout>
                <c:manualLayout>
                  <c:x val="-2.342882193259033E-2"/>
                  <c:y val="-0.1235884005688716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2-218E-412D-B38C-72DADDD8CFB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CRF'!$G$8:$G$10</c:f>
              <c:strCache>
                <c:ptCount val="3"/>
                <c:pt idx="0">
                  <c:v>AA</c:v>
                </c:pt>
                <c:pt idx="1">
                  <c:v>AAA EQUIVALENT</c:v>
                </c:pt>
                <c:pt idx="2">
                  <c:v>AA+</c:v>
                </c:pt>
              </c:strCache>
            </c:strRef>
          </c:cat>
          <c:val>
            <c:numRef>
              <c:f>'BANDHAN CRF'!$H$8:$H$10</c:f>
              <c:numCache>
                <c:formatCode>0.00%</c:formatCode>
                <c:ptCount val="3"/>
                <c:pt idx="0">
                  <c:v>0.58304400000000001</c:v>
                </c:pt>
                <c:pt idx="1">
                  <c:v>0.24457599999999999</c:v>
                </c:pt>
                <c:pt idx="2">
                  <c:v>0.17238000000000001</c:v>
                </c:pt>
              </c:numCache>
            </c:numRef>
          </c:val>
          <c:extLst>
            <c:ext xmlns:c16="http://schemas.microsoft.com/office/drawing/2014/chart" uri="{C3380CC4-5D6E-409C-BE32-E72D297353CC}">
              <c16:uniqueId val="{00000003-218E-412D-B38C-72DADDD8CFB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737F-4CED-99A4-833694C231EE}"/>
                </c:ext>
              </c:extLst>
            </c:dLbl>
            <c:dLbl>
              <c:idx val="1"/>
              <c:layout>
                <c:manualLayout>
                  <c:x val="0.18554814614982548"/>
                  <c:y val="-1.653977376311974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1-737F-4CED-99A4-833694C231EE}"/>
                </c:ext>
              </c:extLst>
            </c:dLbl>
            <c:dLbl>
              <c:idx val="2"/>
              <c:layout>
                <c:manualLayout>
                  <c:x val="1.915898093038156E-3"/>
                  <c:y val="6.607853180425214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2-737F-4CED-99A4-833694C231EE}"/>
                </c:ext>
              </c:extLst>
            </c:dLbl>
            <c:dLbl>
              <c:idx val="3"/>
              <c:layout>
                <c:manualLayout>
                  <c:x val="5.6558026606417242E-3"/>
                  <c:y val="0.5334016268914566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3-737F-4CED-99A4-833694C231EE}"/>
                </c:ext>
              </c:extLst>
            </c:dLbl>
            <c:dLbl>
              <c:idx val="4"/>
              <c:layout>
                <c:manualLayout>
                  <c:x val="-6.8448717732553233E-2"/>
                  <c:y val="-5.38179860924220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4-737F-4CED-99A4-833694C231E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CRF'!$J$9:$J$13</c:f>
              <c:strCache>
                <c:ptCount val="5"/>
                <c:pt idx="0">
                  <c:v>Net Current Asset</c:v>
                </c:pt>
                <c:pt idx="1">
                  <c:v>TRI Party Repo</c:v>
                </c:pt>
                <c:pt idx="2">
                  <c:v>Corporate Bond</c:v>
                </c:pt>
                <c:pt idx="3">
                  <c:v>Corporate Debt Market Development Fund</c:v>
                </c:pt>
                <c:pt idx="4">
                  <c:v>Government Bond</c:v>
                </c:pt>
              </c:strCache>
            </c:strRef>
          </c:cat>
          <c:val>
            <c:numRef>
              <c:f>'BANDHAN CRF'!$K$9:$K$13</c:f>
              <c:numCache>
                <c:formatCode>0.00%</c:formatCode>
                <c:ptCount val="5"/>
                <c:pt idx="0">
                  <c:v>2.9413000000000002E-2</c:v>
                </c:pt>
                <c:pt idx="1">
                  <c:v>9.9579999999999998E-3</c:v>
                </c:pt>
                <c:pt idx="2">
                  <c:v>0.75542399999999998</c:v>
                </c:pt>
                <c:pt idx="3">
                  <c:v>5.2459999999999998E-3</c:v>
                </c:pt>
                <c:pt idx="4">
                  <c:v>0.199959</c:v>
                </c:pt>
              </c:numCache>
            </c:numRef>
          </c:val>
          <c:extLst>
            <c:ext xmlns:c16="http://schemas.microsoft.com/office/drawing/2014/chart" uri="{C3380CC4-5D6E-409C-BE32-E72D297353CC}">
              <c16:uniqueId val="{00000005-737F-4CED-99A4-833694C231E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50031192567738"/>
                  <c:y val="-1.091703056768558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F4F-405F-99FC-E62C0D07D1E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Long Dur'!$G$8</c:f>
              <c:strCache>
                <c:ptCount val="1"/>
                <c:pt idx="0">
                  <c:v>AAA EQUIVALENT</c:v>
                </c:pt>
              </c:strCache>
            </c:strRef>
          </c:cat>
          <c:val>
            <c:numRef>
              <c:f>'BANDHAN Long Dur'!$H$8</c:f>
              <c:numCache>
                <c:formatCode>0%</c:formatCode>
                <c:ptCount val="1"/>
                <c:pt idx="0">
                  <c:v>1</c:v>
                </c:pt>
              </c:numCache>
            </c:numRef>
          </c:val>
          <c:extLst>
            <c:ext xmlns:c16="http://schemas.microsoft.com/office/drawing/2014/chart" uri="{C3380CC4-5D6E-409C-BE32-E72D297353CC}">
              <c16:uniqueId val="{0000000C-DF4F-405F-99FC-E62C0D07D1E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Long Dur'!$K$8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309-472B-9B31-D8E9D4D2CD30}"/>
                </c:ext>
              </c:extLst>
            </c:dLbl>
            <c:dLbl>
              <c:idx val="1"/>
              <c:layout>
                <c:manualLayout>
                  <c:x val="-0.30595289079229121"/>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309-472B-9B31-D8E9D4D2CD30}"/>
                </c:ext>
              </c:extLst>
            </c:dLbl>
            <c:dLbl>
              <c:idx val="2"/>
              <c:layout>
                <c:manualLayout>
                  <c:x val="0.23994258881451383"/>
                  <c:y val="4.841084864391950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309-472B-9B31-D8E9D4D2CD30}"/>
                </c:ext>
              </c:extLst>
            </c:dLbl>
            <c:dLbl>
              <c:idx val="3"/>
              <c:layout>
                <c:manualLayout>
                  <c:x val="-0.29420467382690652"/>
                  <c:y val="5.292038495188101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B309-472B-9B31-D8E9D4D2CD3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Long Dur'!$J$9:$J$12</c:f>
              <c:strCache>
                <c:ptCount val="4"/>
                <c:pt idx="0">
                  <c:v>Net Current Asset</c:v>
                </c:pt>
                <c:pt idx="1">
                  <c:v>TRI Party Repo</c:v>
                </c:pt>
                <c:pt idx="2">
                  <c:v>Corporate Debt Market Development Fund</c:v>
                </c:pt>
                <c:pt idx="3">
                  <c:v>Government Bond</c:v>
                </c:pt>
              </c:strCache>
            </c:strRef>
          </c:cat>
          <c:val>
            <c:numRef>
              <c:f>'BANDHAN Long Dur'!$K$9:$K$12</c:f>
              <c:numCache>
                <c:formatCode>0.00%</c:formatCode>
                <c:ptCount val="4"/>
                <c:pt idx="0">
                  <c:v>2.3159999999999999E-3</c:v>
                </c:pt>
                <c:pt idx="1">
                  <c:v>1.2045999999999999E-2</c:v>
                </c:pt>
                <c:pt idx="2">
                  <c:v>1.0759999999999999E-3</c:v>
                </c:pt>
                <c:pt idx="3">
                  <c:v>0.98456200000000005</c:v>
                </c:pt>
              </c:numCache>
            </c:numRef>
          </c:val>
          <c:extLst>
            <c:ext xmlns:c16="http://schemas.microsoft.com/office/drawing/2014/chart" uri="{C3380CC4-5D6E-409C-BE32-E72D297353CC}">
              <c16:uniqueId val="{0000000C-B309-472B-9B31-D8E9D4D2CD3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134827766443539"/>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892-431D-A43F-9CB3B9C181A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GSF-IP'!$G$8</c:f>
              <c:strCache>
                <c:ptCount val="1"/>
                <c:pt idx="0">
                  <c:v>AAA EQUIVALENT</c:v>
                </c:pt>
              </c:strCache>
            </c:strRef>
          </c:cat>
          <c:val>
            <c:numRef>
              <c:f>'BANDHAN GSF-IP'!$H$8</c:f>
              <c:numCache>
                <c:formatCode>0%</c:formatCode>
                <c:ptCount val="1"/>
                <c:pt idx="0">
                  <c:v>1</c:v>
                </c:pt>
              </c:numCache>
            </c:numRef>
          </c:val>
          <c:extLst>
            <c:ext xmlns:c16="http://schemas.microsoft.com/office/drawing/2014/chart" uri="{C3380CC4-5D6E-409C-BE32-E72D297353CC}">
              <c16:uniqueId val="{0000000C-D892-431D-A43F-9CB3B9C181A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BAB-4682-84A3-3102852A37BC}"/>
                </c:ext>
              </c:extLst>
            </c:dLbl>
            <c:dLbl>
              <c:idx val="1"/>
              <c:layout>
                <c:manualLayout>
                  <c:x val="0.15723439950091891"/>
                  <c:y val="2.063307086614173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BAB-4682-84A3-3102852A37BC}"/>
                </c:ext>
              </c:extLst>
            </c:dLbl>
            <c:dLbl>
              <c:idx val="2"/>
              <c:layout>
                <c:manualLayout>
                  <c:x val="-0.37393017923080812"/>
                  <c:y val="-4.359685039370078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BAB-4682-84A3-3102852A37B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GSF-IP'!$J$9:$J$11</c:f>
              <c:strCache>
                <c:ptCount val="3"/>
                <c:pt idx="0">
                  <c:v>Net Current Asset</c:v>
                </c:pt>
                <c:pt idx="1">
                  <c:v>TRI Party Repo</c:v>
                </c:pt>
                <c:pt idx="2">
                  <c:v>Government Bond</c:v>
                </c:pt>
              </c:strCache>
            </c:strRef>
          </c:cat>
          <c:val>
            <c:numRef>
              <c:f>'BANDHAN GSF-IP'!$K$9:$K$11</c:f>
              <c:numCache>
                <c:formatCode>0.00%</c:formatCode>
                <c:ptCount val="3"/>
                <c:pt idx="0">
                  <c:v>1.5590000000000001E-3</c:v>
                </c:pt>
                <c:pt idx="1">
                  <c:v>1.245E-3</c:v>
                </c:pt>
                <c:pt idx="2">
                  <c:v>0.99719599999999997</c:v>
                </c:pt>
              </c:numCache>
            </c:numRef>
          </c:val>
          <c:extLst>
            <c:ext xmlns:c16="http://schemas.microsoft.com/office/drawing/2014/chart" uri="{C3380CC4-5D6E-409C-BE32-E72D297353CC}">
              <c16:uniqueId val="{0000000C-6BAB-4682-84A3-3102852A37B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779367381004571"/>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42F-4424-AD05-59B4E3FE642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 - CMP'!$G$8</c:f>
              <c:strCache>
                <c:ptCount val="1"/>
                <c:pt idx="0">
                  <c:v>AAA EQUIVALENT</c:v>
                </c:pt>
              </c:strCache>
            </c:strRef>
          </c:cat>
          <c:val>
            <c:numRef>
              <c:f>'BANDHAN GSF - CMP'!$H$8</c:f>
              <c:numCache>
                <c:formatCode>0%</c:formatCode>
                <c:ptCount val="1"/>
                <c:pt idx="0">
                  <c:v>1</c:v>
                </c:pt>
              </c:numCache>
            </c:numRef>
          </c:val>
          <c:extLst>
            <c:ext xmlns:c16="http://schemas.microsoft.com/office/drawing/2014/chart" uri="{C3380CC4-5D6E-409C-BE32-E72D297353CC}">
              <c16:uniqueId val="{0000000C-A42F-4424-AD05-59B4E3FE642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 - CMP'!$K$8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568-4035-8D23-45F90E6E4E43}"/>
                </c:ext>
              </c:extLst>
            </c:dLbl>
            <c:dLbl>
              <c:idx val="1"/>
              <c:layout>
                <c:manualLayout>
                  <c:x val="0.1558787873678531"/>
                  <c:y val="-6.260717410323709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568-4035-8D23-45F90E6E4E43}"/>
                </c:ext>
              </c:extLst>
            </c:dLbl>
            <c:dLbl>
              <c:idx val="2"/>
              <c:layout>
                <c:manualLayout>
                  <c:x val="-0.26292620007081557"/>
                  <c:y val="-3.359685039370078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568-4035-8D23-45F90E6E4E4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 - CMP'!$J$9:$J$11</c:f>
              <c:strCache>
                <c:ptCount val="3"/>
                <c:pt idx="0">
                  <c:v>Net Current Asset</c:v>
                </c:pt>
                <c:pt idx="1">
                  <c:v>TRI Party Repo</c:v>
                </c:pt>
                <c:pt idx="2">
                  <c:v>Government Bond</c:v>
                </c:pt>
              </c:strCache>
            </c:strRef>
          </c:cat>
          <c:val>
            <c:numRef>
              <c:f>'BANDHAN GSF - CMP'!$K$9:$K$11</c:f>
              <c:numCache>
                <c:formatCode>0.00%</c:formatCode>
                <c:ptCount val="3"/>
                <c:pt idx="0">
                  <c:v>2.7212E-2</c:v>
                </c:pt>
                <c:pt idx="1">
                  <c:v>2.774E-3</c:v>
                </c:pt>
                <c:pt idx="2">
                  <c:v>0.97001400000000004</c:v>
                </c:pt>
              </c:numCache>
            </c:numRef>
          </c:val>
          <c:extLst>
            <c:ext xmlns:c16="http://schemas.microsoft.com/office/drawing/2014/chart" uri="{C3380CC4-5D6E-409C-BE32-E72D297353CC}">
              <c16:uniqueId val="{0000000C-8568-4035-8D23-45F90E6E4E4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348960528756175"/>
                  <c:y val="-3.179824561403508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3EAE-4398-B658-E54F8C5351C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GIF26'!$G$8</c:f>
              <c:strCache>
                <c:ptCount val="1"/>
                <c:pt idx="0">
                  <c:v>AAA EQUIVALENT</c:v>
                </c:pt>
              </c:strCache>
            </c:strRef>
          </c:cat>
          <c:val>
            <c:numRef>
              <c:f>'BANDHAN GIF26'!$H$8</c:f>
              <c:numCache>
                <c:formatCode>0%</c:formatCode>
                <c:ptCount val="1"/>
                <c:pt idx="0">
                  <c:v>1</c:v>
                </c:pt>
              </c:numCache>
            </c:numRef>
          </c:val>
          <c:extLst>
            <c:ext xmlns:c16="http://schemas.microsoft.com/office/drawing/2014/chart" uri="{C3380CC4-5D6E-409C-BE32-E72D297353CC}">
              <c16:uniqueId val="{00000001-3EAE-4398-B658-E54F8C5351C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GIF26'!$K$8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5A04-4F28-9A9D-78D4CD301B1B}"/>
                </c:ext>
              </c:extLst>
            </c:dLbl>
            <c:dLbl>
              <c:idx val="1"/>
              <c:layout>
                <c:manualLayout>
                  <c:x val="0.14090020064408429"/>
                  <c:y val="-1.270026246719160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1-5A04-4F28-9A9D-78D4CD301B1B}"/>
                </c:ext>
              </c:extLst>
            </c:dLbl>
            <c:dLbl>
              <c:idx val="2"/>
              <c:layout>
                <c:manualLayout>
                  <c:x val="-0.28512392722858249"/>
                  <c:y val="-4.804129483814523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2-5A04-4F28-9A9D-78D4CD301B1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GIF26'!$J$9:$J$11</c:f>
              <c:strCache>
                <c:ptCount val="3"/>
                <c:pt idx="0">
                  <c:v>Net Current Asset</c:v>
                </c:pt>
                <c:pt idx="1">
                  <c:v>TRI Party Repo</c:v>
                </c:pt>
                <c:pt idx="2">
                  <c:v>Government Bond</c:v>
                </c:pt>
              </c:strCache>
            </c:strRef>
          </c:cat>
          <c:val>
            <c:numRef>
              <c:f>'BANDHAN GIF26'!$K$9:$K$11</c:f>
              <c:numCache>
                <c:formatCode>0.00%</c:formatCode>
                <c:ptCount val="3"/>
                <c:pt idx="0">
                  <c:v>1.6743999999999998E-2</c:v>
                </c:pt>
                <c:pt idx="1">
                  <c:v>2.9459999999999998E-3</c:v>
                </c:pt>
                <c:pt idx="2">
                  <c:v>0.98031000000000001</c:v>
                </c:pt>
              </c:numCache>
            </c:numRef>
          </c:val>
          <c:extLst>
            <c:ext xmlns:c16="http://schemas.microsoft.com/office/drawing/2014/chart" uri="{C3380CC4-5D6E-409C-BE32-E72D297353CC}">
              <c16:uniqueId val="{00000003-5A04-4F28-9A9D-78D4CD301B1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492429479505638"/>
                  <c:y val="-4.495614035087719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56E-449B-B0D6-CB1E297BAE4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GIF2027'!$G$8</c:f>
              <c:strCache>
                <c:ptCount val="1"/>
                <c:pt idx="0">
                  <c:v>AAA EQUIVALENT</c:v>
                </c:pt>
              </c:strCache>
            </c:strRef>
          </c:cat>
          <c:val>
            <c:numRef>
              <c:f>'BANDHAN GIF2027'!$H$8</c:f>
              <c:numCache>
                <c:formatCode>0%</c:formatCode>
                <c:ptCount val="1"/>
                <c:pt idx="0">
                  <c:v>1</c:v>
                </c:pt>
              </c:numCache>
            </c:numRef>
          </c:val>
          <c:extLst>
            <c:ext xmlns:c16="http://schemas.microsoft.com/office/drawing/2014/chart" uri="{C3380CC4-5D6E-409C-BE32-E72D297353CC}">
              <c16:uniqueId val="{0000000C-856E-449B-B0D6-CB1E297BAE4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GIF2027'!$K$8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CB5-416A-9E77-47D83AC53CEB}"/>
                </c:ext>
              </c:extLst>
            </c:dLbl>
            <c:dLbl>
              <c:idx val="1"/>
              <c:layout>
                <c:manualLayout>
                  <c:x val="0.12646124534219089"/>
                  <c:y val="-1.936692913385826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CB5-416A-9E77-47D83AC53CEB}"/>
                </c:ext>
              </c:extLst>
            </c:dLbl>
            <c:dLbl>
              <c:idx val="2"/>
              <c:layout>
                <c:manualLayout>
                  <c:x val="-0.23847653813080646"/>
                  <c:y val="-4.693018372703412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CB5-416A-9E77-47D83AC53CE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GIF2027'!$J$9:$J$11</c:f>
              <c:strCache>
                <c:ptCount val="3"/>
                <c:pt idx="0">
                  <c:v>Net Current Asset</c:v>
                </c:pt>
                <c:pt idx="1">
                  <c:v>TRI Party Repo</c:v>
                </c:pt>
                <c:pt idx="2">
                  <c:v>Government Bond</c:v>
                </c:pt>
              </c:strCache>
            </c:strRef>
          </c:cat>
          <c:val>
            <c:numRef>
              <c:f>'BANDHAN GIF2027'!$K$9:$K$11</c:f>
              <c:numCache>
                <c:formatCode>0.00%</c:formatCode>
                <c:ptCount val="3"/>
                <c:pt idx="0">
                  <c:v>7.1269999999999997E-3</c:v>
                </c:pt>
                <c:pt idx="1">
                  <c:v>1.7655000000000001E-2</c:v>
                </c:pt>
                <c:pt idx="2">
                  <c:v>0.97521800000000003</c:v>
                </c:pt>
              </c:numCache>
            </c:numRef>
          </c:val>
          <c:extLst>
            <c:ext xmlns:c16="http://schemas.microsoft.com/office/drawing/2014/chart" uri="{C3380CC4-5D6E-409C-BE32-E72D297353CC}">
              <c16:uniqueId val="{0000000C-9CB5-416A-9E77-47D83AC53CE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635898430255102"/>
                  <c:y val="-1.42543859649122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4AD-48BC-B103-6410D505014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GIF32'!$G$8</c:f>
              <c:strCache>
                <c:ptCount val="1"/>
                <c:pt idx="0">
                  <c:v>AAA EQUIVALENT</c:v>
                </c:pt>
              </c:strCache>
            </c:strRef>
          </c:cat>
          <c:val>
            <c:numRef>
              <c:f>'BANDHAN GIF32'!$H$8</c:f>
              <c:numCache>
                <c:formatCode>0%</c:formatCode>
                <c:ptCount val="1"/>
                <c:pt idx="0">
                  <c:v>1</c:v>
                </c:pt>
              </c:numCache>
            </c:numRef>
          </c:val>
          <c:extLst>
            <c:ext xmlns:c16="http://schemas.microsoft.com/office/drawing/2014/chart" uri="{C3380CC4-5D6E-409C-BE32-E72D297353CC}">
              <c16:uniqueId val="{0000000C-44AD-48BC-B103-6410D505014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GIF32'!$K$8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474-499B-A589-A4428659B18A}"/>
                </c:ext>
              </c:extLst>
            </c:dLbl>
            <c:dLbl>
              <c:idx val="1"/>
              <c:layout>
                <c:manualLayout>
                  <c:x val="0.18374024178455209"/>
                  <c:y val="-3.080244969378827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474-499B-A589-A4428659B18A}"/>
                </c:ext>
              </c:extLst>
            </c:dLbl>
            <c:dLbl>
              <c:idx val="2"/>
              <c:layout>
                <c:manualLayout>
                  <c:x val="-0.25508497867102803"/>
                  <c:y val="-3.8041294838145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474-499B-A589-A4428659B18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GIF32'!$J$9:$J$11</c:f>
              <c:strCache>
                <c:ptCount val="3"/>
                <c:pt idx="0">
                  <c:v>Net Current Asset</c:v>
                </c:pt>
                <c:pt idx="1">
                  <c:v>TRI Party Repo</c:v>
                </c:pt>
                <c:pt idx="2">
                  <c:v>Government Bond</c:v>
                </c:pt>
              </c:strCache>
            </c:strRef>
          </c:cat>
          <c:val>
            <c:numRef>
              <c:f>'BANDHAN GIF32'!$K$9:$K$11</c:f>
              <c:numCache>
                <c:formatCode>0.00%</c:formatCode>
                <c:ptCount val="3"/>
                <c:pt idx="0">
                  <c:v>2.8885999999999998E-2</c:v>
                </c:pt>
                <c:pt idx="1">
                  <c:v>5.5900000000000004E-3</c:v>
                </c:pt>
                <c:pt idx="2">
                  <c:v>0.96552400000000005</c:v>
                </c:pt>
              </c:numCache>
            </c:numRef>
          </c:val>
          <c:extLst>
            <c:ext xmlns:c16="http://schemas.microsoft.com/office/drawing/2014/chart" uri="{C3380CC4-5D6E-409C-BE32-E72D297353CC}">
              <c16:uniqueId val="{0000000C-F474-499B-A589-A4428659B18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56309329106881"/>
                  <c:y val="-1.096491228070175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F9D2-4BC2-A327-4263C26D2C8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GIF2028'!$G$8</c:f>
              <c:strCache>
                <c:ptCount val="1"/>
                <c:pt idx="0">
                  <c:v>AAA EQUIVALENT</c:v>
                </c:pt>
              </c:strCache>
            </c:strRef>
          </c:cat>
          <c:val>
            <c:numRef>
              <c:f>'BANDHAN GIF2028'!$H$8</c:f>
              <c:numCache>
                <c:formatCode>0%</c:formatCode>
                <c:ptCount val="1"/>
                <c:pt idx="0">
                  <c:v>1</c:v>
                </c:pt>
              </c:numCache>
            </c:numRef>
          </c:val>
          <c:extLst>
            <c:ext xmlns:c16="http://schemas.microsoft.com/office/drawing/2014/chart" uri="{C3380CC4-5D6E-409C-BE32-E72D297353CC}">
              <c16:uniqueId val="{00000001-F9D2-4BC2-A327-4263C26D2C8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GIF2028'!$K$8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661F-4094-B2BE-D21FBF64E91C}"/>
                </c:ext>
              </c:extLst>
            </c:dLbl>
            <c:dLbl>
              <c:idx val="1"/>
              <c:layout>
                <c:manualLayout>
                  <c:x val="0.12422170328280699"/>
                  <c:y val="-2.960244969378827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1-661F-4094-B2BE-D21FBF64E91C}"/>
                </c:ext>
              </c:extLst>
            </c:dLbl>
            <c:dLbl>
              <c:idx val="2"/>
              <c:layout>
                <c:manualLayout>
                  <c:x val="-0.26419556896929641"/>
                  <c:y val="-1.91524059492563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2-661F-4094-B2BE-D21FBF64E91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GIF2028'!$J$9:$J$11</c:f>
              <c:strCache>
                <c:ptCount val="3"/>
                <c:pt idx="0">
                  <c:v>Net Current Asset</c:v>
                </c:pt>
                <c:pt idx="1">
                  <c:v>TRI Party Repo</c:v>
                </c:pt>
                <c:pt idx="2">
                  <c:v>Government Bond</c:v>
                </c:pt>
              </c:strCache>
            </c:strRef>
          </c:cat>
          <c:val>
            <c:numRef>
              <c:f>'BANDHAN GIF2028'!$K$9:$K$11</c:f>
              <c:numCache>
                <c:formatCode>0.00%</c:formatCode>
                <c:ptCount val="3"/>
                <c:pt idx="0">
                  <c:v>2.7909E-2</c:v>
                </c:pt>
                <c:pt idx="1">
                  <c:v>9.4350000000000007E-3</c:v>
                </c:pt>
                <c:pt idx="2">
                  <c:v>0.96265599999999996</c:v>
                </c:pt>
              </c:numCache>
            </c:numRef>
          </c:val>
          <c:extLst>
            <c:ext xmlns:c16="http://schemas.microsoft.com/office/drawing/2014/chart" uri="{C3380CC4-5D6E-409C-BE32-E72D297353CC}">
              <c16:uniqueId val="{00000003-661F-4094-B2BE-D21FBF64E91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779367381004571"/>
                  <c:y val="-2.72925764192139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4D4D-454F-8A8E-74BFEA650F0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SDLGIF26'!$G$8</c:f>
              <c:strCache>
                <c:ptCount val="1"/>
                <c:pt idx="0">
                  <c:v>AAA EQUIVALENT</c:v>
                </c:pt>
              </c:strCache>
            </c:strRef>
          </c:cat>
          <c:val>
            <c:numRef>
              <c:f>'BANDHAN SDLGIF26'!$H$8</c:f>
              <c:numCache>
                <c:formatCode>0%</c:formatCode>
                <c:ptCount val="1"/>
                <c:pt idx="0">
                  <c:v>1</c:v>
                </c:pt>
              </c:numCache>
            </c:numRef>
          </c:val>
          <c:extLst>
            <c:ext xmlns:c16="http://schemas.microsoft.com/office/drawing/2014/chart" uri="{C3380CC4-5D6E-409C-BE32-E72D297353CC}">
              <c16:uniqueId val="{00000001-4D4D-454F-8A8E-74BFEA650F0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SDLGIF26'!$K$8</c:f>
              <c:strCache>
                <c:ptCount val="1"/>
                <c:pt idx="0">
                  <c:v>Total</c:v>
                </c:pt>
              </c:strCache>
            </c:strRef>
          </c:tx>
          <c:dLbls>
            <c:dLbl>
              <c:idx val="0"/>
              <c:layout>
                <c:manualLayout>
                  <c:x val="-0.32028073310964611"/>
                  <c:y val="7.299737532808398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89DB-429B-8AAB-1D3322BDD111}"/>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1-89DB-429B-8AAB-1D3322BDD111}"/>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2-89DB-429B-8AAB-1D3322BDD111}"/>
                </c:ext>
              </c:extLst>
            </c:dLbl>
            <c:dLbl>
              <c:idx val="3"/>
              <c:layout>
                <c:manualLayout>
                  <c:x val="5.3524760154445364E-3"/>
                  <c:y val="9.222047244094487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3-89DB-429B-8AAB-1D3322BDD11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SDLGIF26'!$J$9:$J$12</c:f>
              <c:strCache>
                <c:ptCount val="4"/>
                <c:pt idx="0">
                  <c:v>Net Current Asset</c:v>
                </c:pt>
                <c:pt idx="1">
                  <c:v>TRI Party Repo</c:v>
                </c:pt>
                <c:pt idx="2">
                  <c:v>Government Bond</c:v>
                </c:pt>
                <c:pt idx="3">
                  <c:v>State Government Bond</c:v>
                </c:pt>
              </c:strCache>
            </c:strRef>
          </c:cat>
          <c:val>
            <c:numRef>
              <c:f>'BANDHAN SDLGIF26'!$K$9:$K$12</c:f>
              <c:numCache>
                <c:formatCode>0.00%</c:formatCode>
                <c:ptCount val="4"/>
                <c:pt idx="0">
                  <c:v>1.6916E-2</c:v>
                </c:pt>
                <c:pt idx="1">
                  <c:v>1.1965999999999999E-2</c:v>
                </c:pt>
                <c:pt idx="2">
                  <c:v>0.12983900000000001</c:v>
                </c:pt>
                <c:pt idx="3">
                  <c:v>0.841279</c:v>
                </c:pt>
              </c:numCache>
            </c:numRef>
          </c:val>
          <c:extLst>
            <c:ext xmlns:c16="http://schemas.microsoft.com/office/drawing/2014/chart" uri="{C3380CC4-5D6E-409C-BE32-E72D297353CC}">
              <c16:uniqueId val="{00000004-89DB-429B-8AAB-1D3322BDD11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779367381004571"/>
                  <c:y val="-4.039301310043667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1466-4E77-A7A2-C1DC2AC9E7C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SDLGIF27'!$G$8</c:f>
              <c:strCache>
                <c:ptCount val="1"/>
                <c:pt idx="0">
                  <c:v>AAA EQUIVALENT</c:v>
                </c:pt>
              </c:strCache>
            </c:strRef>
          </c:cat>
          <c:val>
            <c:numRef>
              <c:f>'BANDHAN SDLGIF27'!$H$8</c:f>
              <c:numCache>
                <c:formatCode>0%</c:formatCode>
                <c:ptCount val="1"/>
                <c:pt idx="0">
                  <c:v>1</c:v>
                </c:pt>
              </c:numCache>
            </c:numRef>
          </c:val>
          <c:extLst>
            <c:ext xmlns:c16="http://schemas.microsoft.com/office/drawing/2014/chart" uri="{C3380CC4-5D6E-409C-BE32-E72D297353CC}">
              <c16:uniqueId val="{00000001-1466-4E77-A7A2-C1DC2AC9E7C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SDLGIF27'!$K$8</c:f>
              <c:strCache>
                <c:ptCount val="1"/>
                <c:pt idx="0">
                  <c:v>Total</c:v>
                </c:pt>
              </c:strCache>
            </c:strRef>
          </c:tx>
          <c:dLbls>
            <c:dLbl>
              <c:idx val="0"/>
              <c:layout>
                <c:manualLayout>
                  <c:x val="-0.36119425382319714"/>
                  <c:y val="2.063307086614173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FA5A-4E6C-A7BB-B1743938F2AD}"/>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1-FA5A-4E6C-A7BB-B1743938F2AD}"/>
                </c:ext>
              </c:extLst>
            </c:dLbl>
            <c:dLbl>
              <c:idx val="2"/>
              <c:layout>
                <c:manualLayout>
                  <c:x val="0.11022694700635655"/>
                  <c:y val="-5.785371828521435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2-FA5A-4E6C-A7BB-B1743938F2AD}"/>
                </c:ext>
              </c:extLst>
            </c:dLbl>
            <c:dLbl>
              <c:idx val="3"/>
              <c:layout>
                <c:manualLayout>
                  <c:x val="-8.8089497378138232E-2"/>
                  <c:y val="4.381312335958005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3-FA5A-4E6C-A7BB-B1743938F2A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SDLGIF27'!$J$9:$J$12</c:f>
              <c:strCache>
                <c:ptCount val="4"/>
                <c:pt idx="0">
                  <c:v>Net Current Asset</c:v>
                </c:pt>
                <c:pt idx="1">
                  <c:v>TRI Party Repo</c:v>
                </c:pt>
                <c:pt idx="2">
                  <c:v>Government Bond</c:v>
                </c:pt>
                <c:pt idx="3">
                  <c:v>State Government Bond</c:v>
                </c:pt>
              </c:strCache>
            </c:strRef>
          </c:cat>
          <c:val>
            <c:numRef>
              <c:f>'BANDHAN SDLGIF27'!$K$9:$K$12</c:f>
              <c:numCache>
                <c:formatCode>0.00%</c:formatCode>
                <c:ptCount val="4"/>
                <c:pt idx="0">
                  <c:v>2.4381E-2</c:v>
                </c:pt>
                <c:pt idx="1">
                  <c:v>2.1271000000000002E-2</c:v>
                </c:pt>
                <c:pt idx="2">
                  <c:v>6.2842999999999996E-2</c:v>
                </c:pt>
                <c:pt idx="3">
                  <c:v>0.89150499999999999</c:v>
                </c:pt>
              </c:numCache>
            </c:numRef>
          </c:val>
          <c:extLst>
            <c:ext xmlns:c16="http://schemas.microsoft.com/office/drawing/2014/chart" uri="{C3380CC4-5D6E-409C-BE32-E72D297353CC}">
              <c16:uniqueId val="{00000004-FA5A-4E6C-A7BB-B1743938F2A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635898430255102"/>
                  <c:y val="-7.969432314410480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6F74-46CC-96C8-7591A80FAE8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SDLGIF32'!$G$8</c:f>
              <c:strCache>
                <c:ptCount val="1"/>
                <c:pt idx="0">
                  <c:v>AAA EQUIVALENT</c:v>
                </c:pt>
              </c:strCache>
            </c:strRef>
          </c:cat>
          <c:val>
            <c:numRef>
              <c:f>'BANDHAN SDLGIF32'!$H$8</c:f>
              <c:numCache>
                <c:formatCode>0%</c:formatCode>
                <c:ptCount val="1"/>
                <c:pt idx="0">
                  <c:v>1</c:v>
                </c:pt>
              </c:numCache>
            </c:numRef>
          </c:val>
          <c:extLst>
            <c:ext xmlns:c16="http://schemas.microsoft.com/office/drawing/2014/chart" uri="{C3380CC4-5D6E-409C-BE32-E72D297353CC}">
              <c16:uniqueId val="{00000001-6F74-46CC-96C8-7591A80FAE8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SDLGIF32'!$K$8</c:f>
              <c:strCache>
                <c:ptCount val="1"/>
                <c:pt idx="0">
                  <c:v>Total</c:v>
                </c:pt>
              </c:strCache>
            </c:strRef>
          </c:tx>
          <c:dLbls>
            <c:dLbl>
              <c:idx val="0"/>
              <c:layout>
                <c:manualLayout>
                  <c:x val="-0.24422423240992092"/>
                  <c:y val="3.966404199475065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C32A-4B96-BFE9-5D5B463A2D2C}"/>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1-C32A-4B96-BFE9-5D5B463A2D2C}"/>
                </c:ext>
              </c:extLst>
            </c:dLbl>
            <c:dLbl>
              <c:idx val="2"/>
              <c:layout>
                <c:manualLayout>
                  <c:x val="6.238943499300275E-2"/>
                  <c:y val="-8.210673665791775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2-C32A-4B96-BFE9-5D5B463A2D2C}"/>
                </c:ext>
              </c:extLst>
            </c:dLbl>
            <c:dLbl>
              <c:idx val="3"/>
              <c:layout>
                <c:manualLayout>
                  <c:x val="-5.8898818054595424E-2"/>
                  <c:y val="-9.6549431321084865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3-C32A-4B96-BFE9-5D5B463A2D2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SDLGIF32'!$J$9:$J$12</c:f>
              <c:strCache>
                <c:ptCount val="4"/>
                <c:pt idx="0">
                  <c:v>Net Current Asset</c:v>
                </c:pt>
                <c:pt idx="1">
                  <c:v>TRI Party Repo</c:v>
                </c:pt>
                <c:pt idx="2">
                  <c:v>Government Bond</c:v>
                </c:pt>
                <c:pt idx="3">
                  <c:v>State Government Bond</c:v>
                </c:pt>
              </c:strCache>
            </c:strRef>
          </c:cat>
          <c:val>
            <c:numRef>
              <c:f>'BANDHAN SDLGIF32'!$K$9:$K$12</c:f>
              <c:numCache>
                <c:formatCode>0.00%</c:formatCode>
                <c:ptCount val="4"/>
                <c:pt idx="0">
                  <c:v>2.3143E-2</c:v>
                </c:pt>
                <c:pt idx="1">
                  <c:v>4.3530000000000001E-3</c:v>
                </c:pt>
                <c:pt idx="2">
                  <c:v>0.10900899999999999</c:v>
                </c:pt>
                <c:pt idx="3">
                  <c:v>0.86349500000000001</c:v>
                </c:pt>
              </c:numCache>
            </c:numRef>
          </c:val>
          <c:extLst>
            <c:ext xmlns:c16="http://schemas.microsoft.com/office/drawing/2014/chart" uri="{C3380CC4-5D6E-409C-BE32-E72D297353CC}">
              <c16:uniqueId val="{00000004-C32A-4B96-BFE9-5D5B463A2D2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0781508708627697"/>
                  <c:y val="-1.096491228070175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7D0-43FA-A295-41C882EB2E7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ASBF'!$G$8</c:f>
              <c:strCache>
                <c:ptCount val="1"/>
                <c:pt idx="0">
                  <c:v>AAA EQUIVALENT</c:v>
                </c:pt>
              </c:strCache>
            </c:strRef>
          </c:cat>
          <c:val>
            <c:numRef>
              <c:f>'BANDHAN ASBF'!$H$8</c:f>
              <c:numCache>
                <c:formatCode>0%</c:formatCode>
                <c:ptCount val="1"/>
                <c:pt idx="0">
                  <c:v>1</c:v>
                </c:pt>
              </c:numCache>
            </c:numRef>
          </c:val>
          <c:extLst>
            <c:ext xmlns:c16="http://schemas.microsoft.com/office/drawing/2014/chart" uri="{C3380CC4-5D6E-409C-BE32-E72D297353CC}">
              <c16:uniqueId val="{0000000C-C7D0-43FA-A295-41C882EB2E7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ASBF'!$K$8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29E-4625-B983-81622C78DE93}"/>
                </c:ext>
              </c:extLst>
            </c:dLbl>
            <c:dLbl>
              <c:idx val="1"/>
              <c:layout>
                <c:manualLayout>
                  <c:x val="0.19021497580468394"/>
                  <c:y val="-6.033595800524934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29E-4625-B983-81622C78DE93}"/>
                </c:ext>
              </c:extLst>
            </c:dLbl>
            <c:dLbl>
              <c:idx val="2"/>
              <c:layout>
                <c:manualLayout>
                  <c:x val="-0.36124787131801245"/>
                  <c:y val="-3.470796150481189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29E-4625-B983-81622C78DE9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ASBF'!$J$9:$J$11</c:f>
              <c:strCache>
                <c:ptCount val="3"/>
                <c:pt idx="0">
                  <c:v>Net Current Asset</c:v>
                </c:pt>
                <c:pt idx="1">
                  <c:v>TRI Party Repo</c:v>
                </c:pt>
                <c:pt idx="2">
                  <c:v>Mutual Fund Units</c:v>
                </c:pt>
              </c:strCache>
            </c:strRef>
          </c:cat>
          <c:val>
            <c:numRef>
              <c:f>'BANDHAN ASBF'!$K$9:$K$11</c:f>
              <c:numCache>
                <c:formatCode>0.00%</c:formatCode>
                <c:ptCount val="3"/>
                <c:pt idx="0">
                  <c:v>-6.9700000000000003E-4</c:v>
                </c:pt>
                <c:pt idx="1">
                  <c:v>7.9120000000000006E-3</c:v>
                </c:pt>
                <c:pt idx="2">
                  <c:v>0.99278500000000003</c:v>
                </c:pt>
              </c:numCache>
            </c:numRef>
          </c:val>
          <c:extLst>
            <c:ext xmlns:c16="http://schemas.microsoft.com/office/drawing/2014/chart" uri="{C3380CC4-5D6E-409C-BE32-E72D297353CC}">
              <c16:uniqueId val="{0000000C-D29E-4625-B983-81622C78DE9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22728572931869853"/>
                  <c:y val="-0.5378728130180753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70CE-4055-853E-D6F82AD75E77}"/>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70CE-4055-853E-D6F82AD75E77}"/>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70CE-4055-853E-D6F82AD75E77}"/>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70CE-4055-853E-D6F82AD75E77}"/>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 US TB 0-1yr FOF'!$I$8:$I$10</c:f>
              <c:strCache>
                <c:ptCount val="3"/>
                <c:pt idx="0">
                  <c:v>International Mutual Fund Units</c:v>
                </c:pt>
                <c:pt idx="1">
                  <c:v>Net Current Asset</c:v>
                </c:pt>
                <c:pt idx="2">
                  <c:v>TRI Party Repo Total</c:v>
                </c:pt>
              </c:strCache>
            </c:strRef>
          </c:cat>
          <c:val>
            <c:numRef>
              <c:f>'BANDHAN US TB 0-1yr FOF'!$J$8:$J$10</c:f>
              <c:numCache>
                <c:formatCode>0.00%</c:formatCode>
                <c:ptCount val="3"/>
                <c:pt idx="0">
                  <c:v>0.99713799999999997</c:v>
                </c:pt>
                <c:pt idx="1">
                  <c:v>-3.0270000000000002E-3</c:v>
                </c:pt>
                <c:pt idx="2">
                  <c:v>5.8890000000000001E-3</c:v>
                </c:pt>
              </c:numCache>
            </c:numRef>
          </c:val>
          <c:extLst>
            <c:ext xmlns:c16="http://schemas.microsoft.com/office/drawing/2014/chart" uri="{C3380CC4-5D6E-409C-BE32-E72D297353CC}">
              <c16:uniqueId val="{00000004-70CE-4055-853E-D6F82AD75E77}"/>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38.xml"/><Relationship Id="rId1" Type="http://schemas.openxmlformats.org/officeDocument/2006/relationships/chart" Target="../charts/chart37.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40.xml"/><Relationship Id="rId1" Type="http://schemas.openxmlformats.org/officeDocument/2006/relationships/chart" Target="../charts/chart39.xml"/></Relationships>
</file>

<file path=xl/drawings/_rels/drawing21.xml.rels><?xml version="1.0" encoding="UTF-8" standalone="yes"?>
<Relationships xmlns="http://schemas.openxmlformats.org/package/2006/relationships"><Relationship Id="rId2" Type="http://schemas.openxmlformats.org/officeDocument/2006/relationships/chart" Target="../charts/chart42.xml"/><Relationship Id="rId1" Type="http://schemas.openxmlformats.org/officeDocument/2006/relationships/chart" Target="../charts/chart41.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44.xml"/><Relationship Id="rId1" Type="http://schemas.openxmlformats.org/officeDocument/2006/relationships/chart" Target="../charts/chart43.xml"/></Relationships>
</file>

<file path=xl/drawings/_rels/drawing23.xml.rels><?xml version="1.0" encoding="UTF-8" standalone="yes"?>
<Relationships xmlns="http://schemas.openxmlformats.org/package/2006/relationships"><Relationship Id="rId2" Type="http://schemas.openxmlformats.org/officeDocument/2006/relationships/chart" Target="../charts/chart46.xml"/><Relationship Id="rId1" Type="http://schemas.openxmlformats.org/officeDocument/2006/relationships/chart" Target="../charts/chart45.xml"/></Relationships>
</file>

<file path=xl/drawings/_rels/drawing24.xml.rels><?xml version="1.0" encoding="UTF-8" standalone="yes"?>
<Relationships xmlns="http://schemas.openxmlformats.org/package/2006/relationships"><Relationship Id="rId2" Type="http://schemas.openxmlformats.org/officeDocument/2006/relationships/chart" Target="../charts/chart48.xml"/><Relationship Id="rId1" Type="http://schemas.openxmlformats.org/officeDocument/2006/relationships/chart" Target="../charts/chart47.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49.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E3698F06-FEFE-471A-AC36-2333933789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3A164DE-714F-4261-A221-DB9CFA4B92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49E85E0C-AABC-448E-8C5D-A56BB91D2E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A3A2BDEE-F1C3-48E4-BA4A-9267D456AB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BA112C53-644B-44AC-8086-B3CD25BA70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57151</xdr:rowOff>
    </xdr:to>
    <xdr:graphicFrame macro="">
      <xdr:nvGraphicFramePr>
        <xdr:cNvPr id="3" name="Chart 2">
          <a:extLst>
            <a:ext uri="{FF2B5EF4-FFF2-40B4-BE49-F238E27FC236}">
              <a16:creationId xmlns:a16="http://schemas.microsoft.com/office/drawing/2014/main" id="{41E0C4DD-B810-4F11-B3F4-F4F85C9A9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37222C1A-E2F8-4A42-ABA8-7198B67513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F9DFDBC5-40E3-4EEE-8D27-7FA2280033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7D67CC95-4AEB-4F24-9763-8DAA201B0E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08F9BFFE-2C14-4AF5-BB29-DA56234FC5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464A63E2-281C-44C9-AA19-01F302B6A8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1BCE37F4-F08D-4423-B84C-D09C95FDC6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1D394DC6-D68B-40F8-A17E-BA58D5866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C2B8F1B4-2E69-4A6B-996D-4208A49743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2344D8FB-DE28-426A-9B72-AD0BC1A231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22E67F85-334C-4484-93DD-15D8078BF2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218FB4B9-873D-4A1C-BE47-D5D66A863F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FE67EC6-E32A-409E-8826-2BE603BA65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61BEA138-6ACD-48BA-9429-BD43CB6444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3421B41F-5F9C-4ABA-84D1-0D72C7C2C9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12700</xdr:colOff>
      <xdr:row>7</xdr:row>
      <xdr:rowOff>25400</xdr:rowOff>
    </xdr:from>
    <xdr:to>
      <xdr:col>13</xdr:col>
      <xdr:colOff>558800</xdr:colOff>
      <xdr:row>22</xdr:row>
      <xdr:rowOff>25400</xdr:rowOff>
    </xdr:to>
    <xdr:graphicFrame macro="">
      <xdr:nvGraphicFramePr>
        <xdr:cNvPr id="2" name="Chart 1">
          <a:extLst>
            <a:ext uri="{FF2B5EF4-FFF2-40B4-BE49-F238E27FC236}">
              <a16:creationId xmlns:a16="http://schemas.microsoft.com/office/drawing/2014/main" id="{40D0A5F6-05F8-4827-9129-B499800A0C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EAEF3856-0D2A-4C46-90F9-54603F1D9D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12700</xdr:colOff>
      <xdr:row>7</xdr:row>
      <xdr:rowOff>50800</xdr:rowOff>
    </xdr:from>
    <xdr:to>
      <xdr:col>13</xdr:col>
      <xdr:colOff>558800</xdr:colOff>
      <xdr:row>22</xdr:row>
      <xdr:rowOff>50800</xdr:rowOff>
    </xdr:to>
    <xdr:graphicFrame macro="">
      <xdr:nvGraphicFramePr>
        <xdr:cNvPr id="3" name="Chart 2">
          <a:extLst>
            <a:ext uri="{FF2B5EF4-FFF2-40B4-BE49-F238E27FC236}">
              <a16:creationId xmlns:a16="http://schemas.microsoft.com/office/drawing/2014/main" id="{6DF7545E-219E-4B4D-8932-9CF2D40C1E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4" name="Chart 3">
          <a:extLst>
            <a:ext uri="{FF2B5EF4-FFF2-40B4-BE49-F238E27FC236}">
              <a16:creationId xmlns:a16="http://schemas.microsoft.com/office/drawing/2014/main" id="{5570CC19-21B0-4D02-9AED-D3AC307A95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C24AE21B-1C88-478F-A6AE-590B61CC55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2990B628-9029-4DFF-9966-EBD277EBBA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B9776EF3-BC42-44BD-9775-851FEACE68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746DA45-3D99-4791-9E31-91C52C7401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5C0298DD-410A-46F1-8196-6203741148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17445097-BA2F-418D-A5FC-B5B1936643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D78812C1-B49B-4DC7-93F7-C9545B344A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64B172BC-EECA-49A1-9AD7-A50A3D9F1A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371B5C36-C93B-4354-8A72-3A1B021B19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74B793E6-FE93-4EBC-B547-FCF40C4852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51AB27B1-6EF4-4356-935E-633B3D7FC6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983F67B8-BDFD-4018-81AB-7FD52558B1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E6F84DC8-0577-483D-BDF6-651EC801CE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6E93BC5F-6ED7-4B48-A898-1E12ED2394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FB5880F5-B731-4D12-91B5-0D701C3D3D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7E37D526-95FA-4348-B1B2-900F7AFA3E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9A950429-5136-464E-AA4C-8048F4678B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EABEA9DC-98AA-47E3-B6EE-E0FEF2126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8E6FBD99-D57E-4FE2-82FC-0F6F7ADC47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CBC8435-1DAF-47B3-92D9-98482F029F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2A0D7892-64C9-4B0A-8317-8660EAE5C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A43D63EA-855A-48B1-B5F2-1CF0DD748C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83F455F6-F855-4199-8C1A-5E7552B357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5B7EAED-AE66-41B6-B671-4EC3DE50D0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4</xdr:col>
      <xdr:colOff>555625</xdr:colOff>
      <xdr:row>7</xdr:row>
      <xdr:rowOff>34925</xdr:rowOff>
    </xdr:from>
    <xdr:to>
      <xdr:col>11</xdr:col>
      <xdr:colOff>584200</xdr:colOff>
      <xdr:row>20</xdr:row>
      <xdr:rowOff>25401</xdr:rowOff>
    </xdr:to>
    <xdr:graphicFrame macro="">
      <xdr:nvGraphicFramePr>
        <xdr:cNvPr id="2" name="Chart 2">
          <a:extLst>
            <a:ext uri="{FF2B5EF4-FFF2-40B4-BE49-F238E27FC236}">
              <a16:creationId xmlns:a16="http://schemas.microsoft.com/office/drawing/2014/main" id="{5A10227C-EB47-4ED7-8EBB-DC451E2E88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roduct_Team/MONTH%20END%20DELIVERABLES-1/Portfolios_All/2024/Dec%202024/Bandhan%20Debt%20Fund%20Portfolio%20as%20on%2030th%20November%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DHAN OF"/>
      <sheetName val="BANDHAN CF"/>
      <sheetName val="BANDHAN LDF"/>
      <sheetName val="BANDHAN MMF"/>
      <sheetName val="BANDHAN USTF"/>
      <sheetName val="BANDHAN DBF"/>
      <sheetName val="BANDHAN BOND IP"/>
      <sheetName val="BANDHAN BOND MT"/>
      <sheetName val="BANDHAN BOND ST"/>
      <sheetName val="BANDHAN BPDF"/>
      <sheetName val="BANDHAN CBF"/>
      <sheetName val="BANDHAN CRF"/>
      <sheetName val="BANDHAN FRF"/>
      <sheetName val="BANDHAN Long Dur"/>
      <sheetName val="BANDHAN GSF-IP"/>
      <sheetName val="BANDHAN GSF - CMP"/>
      <sheetName val="BANDHAN GIF26"/>
      <sheetName val="BANDHAN GIF2027"/>
      <sheetName val="BANDHAN GIF2028"/>
      <sheetName val="BANDHAN GIF32"/>
      <sheetName val="BANDHAN SDLGIF26"/>
      <sheetName val="BANDHAN SDLGIF27"/>
      <sheetName val="BANDHAN SDLGIF32"/>
      <sheetName val="BANDHAN ASBF"/>
      <sheetName val="BANDHAN US TB 0-1yr FO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ow r="8">
          <cell r="I8" t="str">
            <v>International Mutual Fund Units</v>
          </cell>
          <cell r="J8">
            <v>0.99876900000000002</v>
          </cell>
        </row>
        <row r="9">
          <cell r="I9" t="str">
            <v>Net Current Asset</v>
          </cell>
          <cell r="J9">
            <v>-5.7369999999999999E-3</v>
          </cell>
        </row>
        <row r="10">
          <cell r="I10" t="str">
            <v>TRI Party Repo Total</v>
          </cell>
          <cell r="J10">
            <v>6.9680000000000002E-3</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5.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87F56-21BC-40B8-A511-6A57F2D29835}">
  <dimension ref="B1:N49"/>
  <sheetViews>
    <sheetView showGridLines="0" tabSelected="1" zoomScale="75" zoomScaleNormal="75" workbookViewId="0"/>
  </sheetViews>
  <sheetFormatPr defaultRowHeight="15" x14ac:dyDescent="0.25"/>
  <cols>
    <col min="1" max="1" width="2.85546875" customWidth="1"/>
    <col min="2" max="2" width="3.85546875" customWidth="1"/>
    <col min="3" max="3" width="56"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8" t="s">
        <v>172</v>
      </c>
      <c r="D3" s="59"/>
      <c r="E3" s="59"/>
      <c r="F3" s="59"/>
      <c r="G3" s="59"/>
      <c r="H3" s="59"/>
      <c r="I3" s="59"/>
      <c r="J3" s="59"/>
      <c r="K3" s="59"/>
      <c r="L3" s="59"/>
      <c r="M3" s="59"/>
      <c r="N3" s="60"/>
    </row>
    <row r="4" spans="2:14" ht="15.75" customHeight="1" x14ac:dyDescent="0.25">
      <c r="B4" s="20"/>
      <c r="C4" s="14"/>
      <c r="D4" s="1"/>
      <c r="E4" s="1"/>
      <c r="F4" s="1"/>
      <c r="G4" s="1"/>
      <c r="H4" s="1"/>
      <c r="I4" s="1"/>
      <c r="J4" s="1"/>
      <c r="K4" s="1"/>
      <c r="L4" s="1"/>
      <c r="M4" s="1"/>
      <c r="N4" s="18"/>
    </row>
    <row r="5" spans="2:14" ht="18" customHeight="1" x14ac:dyDescent="0.25">
      <c r="B5" s="20"/>
      <c r="C5" s="15" t="s">
        <v>21</v>
      </c>
      <c r="D5" s="61" t="s">
        <v>173</v>
      </c>
      <c r="E5" s="6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63" t="s">
        <v>17</v>
      </c>
      <c r="H7" s="64"/>
      <c r="I7" s="64"/>
      <c r="J7" s="64"/>
      <c r="K7" s="64"/>
      <c r="L7" s="64"/>
      <c r="M7" s="64"/>
      <c r="N7" s="65"/>
    </row>
    <row r="8" spans="2:14" ht="15" customHeight="1" x14ac:dyDescent="0.25">
      <c r="B8" s="20"/>
      <c r="C8" s="5" t="s">
        <v>9</v>
      </c>
      <c r="D8" s="6"/>
      <c r="E8" s="11">
        <v>0.77017100000000005</v>
      </c>
      <c r="F8" s="1"/>
      <c r="G8" s="24" t="s">
        <v>16</v>
      </c>
      <c r="H8" s="25">
        <v>1</v>
      </c>
      <c r="I8" s="1"/>
      <c r="J8" s="24" t="s">
        <v>13</v>
      </c>
      <c r="K8" s="24" t="s">
        <v>3</v>
      </c>
      <c r="L8" s="1"/>
      <c r="M8" s="1"/>
      <c r="N8" s="18"/>
    </row>
    <row r="9" spans="2:14" ht="15.75" customHeight="1" x14ac:dyDescent="0.25">
      <c r="B9" s="20"/>
      <c r="C9" s="7" t="s">
        <v>174</v>
      </c>
      <c r="D9" s="8"/>
      <c r="E9" s="12">
        <v>0.77017100000000005</v>
      </c>
      <c r="F9" s="1"/>
      <c r="G9" s="1"/>
      <c r="H9" s="1"/>
      <c r="I9" s="1"/>
      <c r="J9" s="24" t="s">
        <v>11</v>
      </c>
      <c r="K9" s="29">
        <v>4.4470000000000004E-3</v>
      </c>
      <c r="L9" s="1"/>
      <c r="M9" s="1"/>
      <c r="N9" s="18"/>
    </row>
    <row r="10" spans="2:14" ht="15" customHeight="1" x14ac:dyDescent="0.25">
      <c r="B10" s="20"/>
      <c r="C10" s="5" t="s">
        <v>175</v>
      </c>
      <c r="D10" s="6" t="s">
        <v>182</v>
      </c>
      <c r="E10" s="11">
        <v>6.2100000000000002E-2</v>
      </c>
      <c r="F10" s="1"/>
      <c r="G10" s="1"/>
      <c r="H10" s="1"/>
      <c r="I10" s="1"/>
      <c r="J10" s="24" t="s">
        <v>14</v>
      </c>
      <c r="K10" s="29">
        <v>0.16328200000000001</v>
      </c>
      <c r="L10" s="1"/>
      <c r="M10" s="1"/>
      <c r="N10" s="18"/>
    </row>
    <row r="11" spans="2:14" ht="15.75" customHeight="1" x14ac:dyDescent="0.25">
      <c r="B11" s="20"/>
      <c r="C11" s="7" t="s">
        <v>155</v>
      </c>
      <c r="D11" s="8"/>
      <c r="E11" s="12">
        <v>6.2100000000000002E-2</v>
      </c>
      <c r="F11" s="1"/>
      <c r="G11" s="1"/>
      <c r="H11" s="1"/>
      <c r="I11" s="1"/>
      <c r="J11" s="24" t="s">
        <v>176</v>
      </c>
      <c r="K11" s="29">
        <v>0.77017100000000005</v>
      </c>
      <c r="L11" s="1"/>
      <c r="M11" s="1"/>
      <c r="N11" s="18"/>
    </row>
    <row r="12" spans="2:14" ht="15" customHeight="1" x14ac:dyDescent="0.25">
      <c r="B12" s="20"/>
      <c r="C12" s="5" t="s">
        <v>9</v>
      </c>
      <c r="D12" s="6"/>
      <c r="E12" s="11">
        <v>0.16328200000000001</v>
      </c>
      <c r="F12" s="1"/>
      <c r="G12" s="1"/>
      <c r="H12" s="1"/>
      <c r="I12" s="1"/>
      <c r="J12" s="24" t="s">
        <v>156</v>
      </c>
      <c r="K12" s="29">
        <v>6.2100000000000002E-2</v>
      </c>
      <c r="L12" s="1"/>
      <c r="M12" s="1"/>
      <c r="N12" s="18"/>
    </row>
    <row r="13" spans="2:14" ht="15.75" customHeight="1" x14ac:dyDescent="0.25">
      <c r="B13" s="20"/>
      <c r="C13" s="7" t="s">
        <v>10</v>
      </c>
      <c r="D13" s="8"/>
      <c r="E13" s="12">
        <v>0.16328200000000001</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11</v>
      </c>
      <c r="D15" s="8"/>
      <c r="E15" s="12">
        <v>4.4470000000000004E-3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12</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63" t="s">
        <v>111</v>
      </c>
      <c r="H24" s="64"/>
      <c r="I24" s="64"/>
      <c r="J24" s="64"/>
      <c r="K24" s="64"/>
      <c r="L24" s="36">
        <v>1.0577972407487015</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63" t="s">
        <v>19</v>
      </c>
      <c r="H26" s="64"/>
      <c r="I26" s="64"/>
      <c r="J26" s="64"/>
      <c r="K26" s="64"/>
      <c r="L26" s="64"/>
      <c r="M26" s="64"/>
      <c r="N26" s="6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x14ac:dyDescent="0.25">
      <c r="B45" s="49" t="s">
        <v>334</v>
      </c>
      <c r="C45" s="50"/>
      <c r="D45" s="50"/>
      <c r="E45" s="50"/>
      <c r="F45" s="50"/>
      <c r="G45" s="50"/>
      <c r="H45" s="50"/>
      <c r="I45" s="50"/>
      <c r="J45" s="50"/>
      <c r="K45" s="50"/>
      <c r="L45" s="50"/>
      <c r="M45" s="50"/>
      <c r="N45" s="51"/>
    </row>
    <row r="46" spans="2:14" x14ac:dyDescent="0.25">
      <c r="B46" s="52"/>
      <c r="C46" s="53"/>
      <c r="D46" s="53"/>
      <c r="E46" s="53"/>
      <c r="F46" s="53"/>
      <c r="G46" s="53"/>
      <c r="H46" s="53"/>
      <c r="I46" s="53"/>
      <c r="J46" s="53"/>
      <c r="K46" s="53"/>
      <c r="L46" s="53"/>
      <c r="M46" s="53"/>
      <c r="N46" s="54"/>
    </row>
    <row r="47" spans="2:14" ht="15.75" thickBot="1" x14ac:dyDescent="0.3">
      <c r="B47" s="55"/>
      <c r="C47" s="56"/>
      <c r="D47" s="56"/>
      <c r="E47" s="56"/>
      <c r="F47" s="56"/>
      <c r="G47" s="56"/>
      <c r="H47" s="56"/>
      <c r="I47" s="56"/>
      <c r="J47" s="56"/>
      <c r="K47" s="56"/>
      <c r="L47" s="56"/>
      <c r="M47" s="56"/>
      <c r="N47" s="57"/>
    </row>
    <row r="48" spans="2:14" ht="15.75" thickBot="1" x14ac:dyDescent="0.3"/>
    <row r="49" spans="2:14" ht="121.5" customHeight="1" thickBot="1" x14ac:dyDescent="0.3">
      <c r="B49" s="46" t="s">
        <v>338</v>
      </c>
      <c r="C49" s="47"/>
      <c r="D49" s="47"/>
      <c r="E49" s="47"/>
      <c r="F49" s="47"/>
      <c r="G49" s="47"/>
      <c r="H49" s="47"/>
      <c r="I49" s="47"/>
      <c r="J49" s="47"/>
      <c r="K49" s="47"/>
      <c r="L49" s="47"/>
      <c r="M49" s="47"/>
      <c r="N49" s="48"/>
    </row>
  </sheetData>
  <mergeCells count="7">
    <mergeCell ref="B49:N49"/>
    <mergeCell ref="B45:N47"/>
    <mergeCell ref="C3:N3"/>
    <mergeCell ref="D5:E5"/>
    <mergeCell ref="G7:N7"/>
    <mergeCell ref="G24:K24"/>
    <mergeCell ref="G26:N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0A404-D8B0-4840-8034-53E1912491B1}">
  <dimension ref="B1:N80"/>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8" t="s">
        <v>130</v>
      </c>
      <c r="D3" s="59"/>
      <c r="E3" s="59"/>
      <c r="F3" s="59"/>
      <c r="G3" s="59"/>
      <c r="H3" s="59"/>
      <c r="I3" s="59"/>
      <c r="J3" s="59"/>
      <c r="K3" s="59"/>
      <c r="L3" s="59"/>
      <c r="M3" s="59"/>
      <c r="N3" s="60"/>
    </row>
    <row r="4" spans="2:14" ht="15.75" customHeight="1" x14ac:dyDescent="0.25">
      <c r="B4" s="20"/>
      <c r="C4" s="14"/>
      <c r="D4" s="1"/>
      <c r="E4" s="1"/>
      <c r="F4" s="1"/>
      <c r="G4" s="1"/>
      <c r="H4" s="1"/>
      <c r="I4" s="1"/>
      <c r="J4" s="1"/>
      <c r="K4" s="1"/>
      <c r="L4" s="1"/>
      <c r="M4" s="1"/>
      <c r="N4" s="18"/>
    </row>
    <row r="5" spans="2:14" ht="18" customHeight="1" x14ac:dyDescent="0.25">
      <c r="B5" s="20"/>
      <c r="C5" s="15" t="s">
        <v>21</v>
      </c>
      <c r="D5" s="61" t="s">
        <v>131</v>
      </c>
      <c r="E5" s="6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63" t="s">
        <v>17</v>
      </c>
      <c r="H7" s="64"/>
      <c r="I7" s="64"/>
      <c r="J7" s="64"/>
      <c r="K7" s="64"/>
      <c r="L7" s="64"/>
      <c r="M7" s="64"/>
      <c r="N7" s="65"/>
    </row>
    <row r="8" spans="2:14" ht="15" customHeight="1" x14ac:dyDescent="0.25">
      <c r="B8" s="20"/>
      <c r="C8" s="5" t="s">
        <v>29</v>
      </c>
      <c r="D8" s="6" t="s">
        <v>24</v>
      </c>
      <c r="E8" s="11">
        <v>7.8724000000000002E-2</v>
      </c>
      <c r="F8" s="1"/>
      <c r="G8" s="24" t="s">
        <v>16</v>
      </c>
      <c r="H8" s="25">
        <v>1</v>
      </c>
      <c r="I8" s="1"/>
      <c r="J8" s="24" t="s">
        <v>13</v>
      </c>
      <c r="K8" s="24" t="s">
        <v>3</v>
      </c>
      <c r="L8" s="1"/>
      <c r="M8" s="1"/>
      <c r="N8" s="18"/>
    </row>
    <row r="9" spans="2:14" ht="15" customHeight="1" x14ac:dyDescent="0.25">
      <c r="B9" s="20"/>
      <c r="C9" s="5" t="s">
        <v>62</v>
      </c>
      <c r="D9" s="6" t="s">
        <v>24</v>
      </c>
      <c r="E9" s="11">
        <v>7.5322E-2</v>
      </c>
      <c r="F9" s="1"/>
      <c r="G9" s="1"/>
      <c r="H9" s="1"/>
      <c r="I9" s="1"/>
      <c r="J9" s="24" t="s">
        <v>11</v>
      </c>
      <c r="K9" s="29">
        <v>-7.9841999999999996E-2</v>
      </c>
      <c r="L9" s="1"/>
      <c r="M9" s="1"/>
      <c r="N9" s="18"/>
    </row>
    <row r="10" spans="2:14" ht="15" customHeight="1" x14ac:dyDescent="0.25">
      <c r="B10" s="20"/>
      <c r="C10" s="5" t="s">
        <v>40</v>
      </c>
      <c r="D10" s="6" t="s">
        <v>24</v>
      </c>
      <c r="E10" s="11">
        <v>7.5245999999999993E-2</v>
      </c>
      <c r="F10" s="1"/>
      <c r="G10" s="1"/>
      <c r="H10" s="1"/>
      <c r="I10" s="1"/>
      <c r="J10" s="24" t="s">
        <v>14</v>
      </c>
      <c r="K10" s="29">
        <v>9.3000000000000005E-4</v>
      </c>
      <c r="L10" s="1"/>
      <c r="M10" s="1"/>
      <c r="N10" s="18"/>
    </row>
    <row r="11" spans="2:14" ht="15" customHeight="1" x14ac:dyDescent="0.25">
      <c r="B11" s="20"/>
      <c r="C11" s="5" t="s">
        <v>28</v>
      </c>
      <c r="D11" s="6" t="s">
        <v>24</v>
      </c>
      <c r="E11" s="11">
        <v>7.3172000000000001E-2</v>
      </c>
      <c r="F11" s="1"/>
      <c r="G11" s="1"/>
      <c r="H11" s="1"/>
      <c r="I11" s="1"/>
      <c r="J11" s="24" t="s">
        <v>55</v>
      </c>
      <c r="K11" s="29">
        <v>0.411381</v>
      </c>
      <c r="L11" s="1"/>
      <c r="M11" s="1"/>
      <c r="N11" s="18"/>
    </row>
    <row r="12" spans="2:14" ht="15" customHeight="1" x14ac:dyDescent="0.25">
      <c r="B12" s="20"/>
      <c r="C12" s="5" t="s">
        <v>132</v>
      </c>
      <c r="D12" s="6" t="s">
        <v>24</v>
      </c>
      <c r="E12" s="11">
        <v>3.7427000000000002E-2</v>
      </c>
      <c r="F12" s="1"/>
      <c r="G12" s="1"/>
      <c r="H12" s="1"/>
      <c r="I12" s="1"/>
      <c r="J12" s="24" t="s">
        <v>56</v>
      </c>
      <c r="K12" s="29">
        <v>3.8260000000000002E-2</v>
      </c>
      <c r="L12" s="1"/>
      <c r="M12" s="1"/>
      <c r="N12" s="18"/>
    </row>
    <row r="13" spans="2:14" ht="15" customHeight="1" x14ac:dyDescent="0.25">
      <c r="B13" s="20"/>
      <c r="C13" s="5" t="s">
        <v>133</v>
      </c>
      <c r="D13" s="6" t="s">
        <v>24</v>
      </c>
      <c r="E13" s="11">
        <v>3.5781E-2</v>
      </c>
      <c r="F13" s="1"/>
      <c r="G13" s="1"/>
      <c r="H13" s="1"/>
      <c r="I13" s="1"/>
      <c r="J13" s="24" t="s">
        <v>57</v>
      </c>
      <c r="K13" s="29">
        <v>0.451096</v>
      </c>
      <c r="L13" s="1"/>
      <c r="M13" s="1"/>
      <c r="N13" s="18"/>
    </row>
    <row r="14" spans="2:14" ht="15" customHeight="1" x14ac:dyDescent="0.25">
      <c r="B14" s="20"/>
      <c r="C14" s="5" t="s">
        <v>23</v>
      </c>
      <c r="D14" s="6" t="s">
        <v>24</v>
      </c>
      <c r="E14" s="11">
        <v>1.7861999999999999E-2</v>
      </c>
      <c r="F14" s="1"/>
      <c r="G14" s="1"/>
      <c r="H14" s="1"/>
      <c r="I14" s="1"/>
      <c r="J14" s="24" t="s">
        <v>48</v>
      </c>
      <c r="K14" s="29">
        <v>2.5709999999999999E-3</v>
      </c>
      <c r="L14" s="1"/>
      <c r="M14" s="1"/>
      <c r="N14" s="18"/>
    </row>
    <row r="15" spans="2:14" ht="15" customHeight="1" x14ac:dyDescent="0.25">
      <c r="B15" s="20"/>
      <c r="C15" s="5" t="s">
        <v>26</v>
      </c>
      <c r="D15" s="6" t="s">
        <v>24</v>
      </c>
      <c r="E15" s="11">
        <v>1.7846999999999998E-2</v>
      </c>
      <c r="F15" s="1"/>
      <c r="G15" s="1"/>
      <c r="H15" s="1"/>
      <c r="I15" s="1"/>
      <c r="J15" s="24" t="s">
        <v>156</v>
      </c>
      <c r="K15" s="29">
        <v>0.17560400000000001</v>
      </c>
      <c r="L15" s="1"/>
      <c r="M15" s="1"/>
      <c r="N15" s="18"/>
    </row>
    <row r="16" spans="2:14" ht="15.75" customHeight="1" x14ac:dyDescent="0.25">
      <c r="B16" s="20"/>
      <c r="C16" s="7" t="s">
        <v>31</v>
      </c>
      <c r="D16" s="8"/>
      <c r="E16" s="12">
        <v>0.411381</v>
      </c>
      <c r="F16" s="1"/>
      <c r="G16" s="1"/>
      <c r="H16" s="1"/>
      <c r="I16" s="1"/>
      <c r="J16" s="1"/>
      <c r="K16" s="1"/>
      <c r="L16" s="1"/>
      <c r="M16" s="1"/>
      <c r="N16" s="18"/>
    </row>
    <row r="17" spans="2:14" ht="15" customHeight="1" x14ac:dyDescent="0.25">
      <c r="B17" s="20"/>
      <c r="C17" s="5" t="s">
        <v>35</v>
      </c>
      <c r="D17" s="6" t="s">
        <v>24</v>
      </c>
      <c r="E17" s="11">
        <v>0.108857</v>
      </c>
      <c r="F17" s="1"/>
      <c r="G17" s="1"/>
      <c r="H17" s="1"/>
      <c r="I17" s="1"/>
      <c r="J17" s="1"/>
      <c r="K17" s="1"/>
      <c r="L17" s="1"/>
      <c r="M17" s="1"/>
      <c r="N17" s="18"/>
    </row>
    <row r="18" spans="2:14" ht="15" customHeight="1" x14ac:dyDescent="0.25">
      <c r="B18" s="20"/>
      <c r="C18" s="5" t="s">
        <v>134</v>
      </c>
      <c r="D18" s="6" t="s">
        <v>24</v>
      </c>
      <c r="E18" s="11">
        <v>4.9973999999999998E-2</v>
      </c>
      <c r="F18" s="1"/>
      <c r="G18" s="1"/>
      <c r="H18" s="1"/>
      <c r="I18" s="1"/>
      <c r="J18" s="1"/>
      <c r="K18" s="1"/>
      <c r="L18" s="1"/>
      <c r="M18" s="1"/>
      <c r="N18" s="18"/>
    </row>
    <row r="19" spans="2:14" ht="15" customHeight="1" x14ac:dyDescent="0.25">
      <c r="B19" s="20"/>
      <c r="C19" s="5" t="s">
        <v>135</v>
      </c>
      <c r="D19" s="6" t="s">
        <v>24</v>
      </c>
      <c r="E19" s="11">
        <v>3.2212999999999999E-2</v>
      </c>
      <c r="F19" s="1"/>
      <c r="G19" s="1"/>
      <c r="H19" s="1"/>
      <c r="I19" s="1"/>
      <c r="J19" s="1"/>
      <c r="K19" s="1"/>
      <c r="L19" s="1"/>
      <c r="M19" s="1"/>
      <c r="N19" s="18"/>
    </row>
    <row r="20" spans="2:14" ht="15" customHeight="1" x14ac:dyDescent="0.25">
      <c r="B20" s="20"/>
      <c r="C20" s="5" t="s">
        <v>136</v>
      </c>
      <c r="D20" s="6" t="s">
        <v>24</v>
      </c>
      <c r="E20" s="11">
        <v>3.211E-2</v>
      </c>
      <c r="F20" s="1"/>
      <c r="G20" s="1"/>
      <c r="H20" s="1"/>
      <c r="I20" s="1"/>
      <c r="J20" s="1"/>
      <c r="K20" s="1"/>
      <c r="L20" s="1"/>
      <c r="M20" s="1"/>
      <c r="N20" s="18"/>
    </row>
    <row r="21" spans="2:14" ht="15" customHeight="1" x14ac:dyDescent="0.25">
      <c r="B21" s="20"/>
      <c r="C21" s="5" t="s">
        <v>137</v>
      </c>
      <c r="D21" s="6" t="s">
        <v>24</v>
      </c>
      <c r="E21" s="11">
        <v>2.8660000000000001E-2</v>
      </c>
      <c r="F21" s="1"/>
      <c r="G21" s="1"/>
      <c r="H21" s="1"/>
      <c r="I21" s="1"/>
      <c r="J21" s="1"/>
      <c r="K21" s="1"/>
      <c r="L21" s="1"/>
      <c r="M21" s="1"/>
      <c r="N21" s="18"/>
    </row>
    <row r="22" spans="2:14" ht="15" customHeight="1" x14ac:dyDescent="0.25">
      <c r="B22" s="20"/>
      <c r="C22" s="5" t="s">
        <v>138</v>
      </c>
      <c r="D22" s="6" t="s">
        <v>24</v>
      </c>
      <c r="E22" s="11">
        <v>2.6904999999999998E-2</v>
      </c>
      <c r="F22" s="1"/>
      <c r="G22" s="1"/>
      <c r="H22" s="1"/>
      <c r="I22" s="1"/>
      <c r="J22" s="1"/>
      <c r="K22" s="1"/>
      <c r="L22" s="1"/>
      <c r="M22" s="1"/>
      <c r="N22" s="18"/>
    </row>
    <row r="23" spans="2:14" ht="15" customHeight="1" x14ac:dyDescent="0.25">
      <c r="B23" s="20"/>
      <c r="C23" s="5" t="s">
        <v>139</v>
      </c>
      <c r="D23" s="6" t="s">
        <v>24</v>
      </c>
      <c r="E23" s="11">
        <v>2.6875E-2</v>
      </c>
      <c r="F23" s="1"/>
      <c r="G23" s="1"/>
      <c r="H23" s="1"/>
      <c r="I23" s="1"/>
      <c r="J23" s="1"/>
      <c r="K23" s="1"/>
      <c r="L23" s="1"/>
      <c r="M23" s="1"/>
      <c r="N23" s="18"/>
    </row>
    <row r="24" spans="2:14" ht="15" customHeight="1" x14ac:dyDescent="0.25">
      <c r="B24" s="20"/>
      <c r="C24" s="5" t="s">
        <v>83</v>
      </c>
      <c r="D24" s="6" t="s">
        <v>24</v>
      </c>
      <c r="E24" s="11">
        <v>2.5121999999999998E-2</v>
      </c>
      <c r="F24" s="1"/>
      <c r="G24" s="63" t="s">
        <v>111</v>
      </c>
      <c r="H24" s="64"/>
      <c r="I24" s="64"/>
      <c r="J24" s="64"/>
      <c r="K24" s="64"/>
      <c r="L24" s="36">
        <v>56.136069014756963</v>
      </c>
      <c r="M24" s="27"/>
      <c r="N24" s="28"/>
    </row>
    <row r="25" spans="2:14" ht="15" customHeight="1" x14ac:dyDescent="0.25">
      <c r="B25" s="20"/>
      <c r="C25" s="5" t="s">
        <v>64</v>
      </c>
      <c r="D25" s="6" t="s">
        <v>24</v>
      </c>
      <c r="E25" s="11">
        <v>2.146E-2</v>
      </c>
      <c r="F25" s="1"/>
      <c r="G25" s="1"/>
      <c r="H25" s="1"/>
      <c r="I25" s="1"/>
      <c r="J25" s="1"/>
      <c r="K25" s="1"/>
      <c r="L25" s="1"/>
      <c r="M25" s="1"/>
      <c r="N25" s="18"/>
    </row>
    <row r="26" spans="2:14" ht="15" customHeight="1" x14ac:dyDescent="0.25">
      <c r="B26" s="20"/>
      <c r="C26" s="5" t="s">
        <v>140</v>
      </c>
      <c r="D26" s="6" t="s">
        <v>24</v>
      </c>
      <c r="E26" s="11">
        <v>1.7937000000000002E-2</v>
      </c>
      <c r="F26" s="1"/>
      <c r="G26" s="63" t="s">
        <v>19</v>
      </c>
      <c r="H26" s="64"/>
      <c r="I26" s="64"/>
      <c r="J26" s="64"/>
      <c r="K26" s="64"/>
      <c r="L26" s="64"/>
      <c r="M26" s="64"/>
      <c r="N26" s="65"/>
    </row>
    <row r="27" spans="2:14" ht="15" customHeight="1" x14ac:dyDescent="0.25">
      <c r="B27" s="20"/>
      <c r="C27" s="5" t="s">
        <v>141</v>
      </c>
      <c r="D27" s="6" t="s">
        <v>24</v>
      </c>
      <c r="E27" s="11">
        <v>1.7897E-2</v>
      </c>
      <c r="F27" s="1"/>
      <c r="G27" s="1"/>
      <c r="H27" s="1"/>
      <c r="I27" s="1"/>
      <c r="J27" s="1"/>
      <c r="K27" s="1"/>
      <c r="L27" s="1"/>
      <c r="M27" s="1"/>
      <c r="N27" s="18"/>
    </row>
    <row r="28" spans="2:14" ht="15" customHeight="1" x14ac:dyDescent="0.25">
      <c r="B28" s="20"/>
      <c r="C28" s="5" t="s">
        <v>142</v>
      </c>
      <c r="D28" s="6" t="s">
        <v>24</v>
      </c>
      <c r="E28" s="11">
        <v>1.6212000000000001E-2</v>
      </c>
      <c r="F28" s="1"/>
      <c r="G28" s="1"/>
      <c r="H28" s="1"/>
      <c r="I28" s="1"/>
      <c r="J28" s="1"/>
      <c r="K28" s="1"/>
      <c r="L28" s="1"/>
      <c r="M28" s="1"/>
      <c r="N28" s="18"/>
    </row>
    <row r="29" spans="2:14" ht="15" customHeight="1" x14ac:dyDescent="0.25">
      <c r="B29" s="20"/>
      <c r="C29" s="5" t="s">
        <v>120</v>
      </c>
      <c r="D29" s="6" t="s">
        <v>24</v>
      </c>
      <c r="E29" s="11">
        <v>1.0763E-2</v>
      </c>
      <c r="F29" s="1"/>
      <c r="G29" s="1"/>
      <c r="H29" s="1"/>
      <c r="I29" s="1"/>
      <c r="J29" s="1"/>
      <c r="K29" s="1"/>
      <c r="L29" s="1"/>
      <c r="M29" s="1"/>
      <c r="N29" s="18"/>
    </row>
    <row r="30" spans="2:14" ht="15" customHeight="1" x14ac:dyDescent="0.25">
      <c r="B30" s="20"/>
      <c r="C30" s="5" t="s">
        <v>143</v>
      </c>
      <c r="D30" s="6" t="s">
        <v>24</v>
      </c>
      <c r="E30" s="11">
        <v>9.2840000000000006E-3</v>
      </c>
      <c r="F30" s="1"/>
      <c r="G30" s="1"/>
      <c r="H30" s="1"/>
      <c r="I30" s="1"/>
      <c r="J30" s="1"/>
      <c r="K30" s="1"/>
      <c r="L30" s="1"/>
      <c r="M30" s="1"/>
      <c r="N30" s="18"/>
    </row>
    <row r="31" spans="2:14" ht="15" customHeight="1" x14ac:dyDescent="0.25">
      <c r="B31" s="20"/>
      <c r="C31" s="5" t="s">
        <v>63</v>
      </c>
      <c r="D31" s="6" t="s">
        <v>24</v>
      </c>
      <c r="E31" s="11">
        <v>7.1580000000000003E-3</v>
      </c>
      <c r="F31" s="1"/>
      <c r="G31" s="1"/>
      <c r="H31" s="1"/>
      <c r="I31" s="1"/>
      <c r="J31" s="1"/>
      <c r="K31" s="1"/>
      <c r="L31" s="1"/>
      <c r="M31" s="1"/>
      <c r="N31" s="18"/>
    </row>
    <row r="32" spans="2:14" ht="15" customHeight="1" x14ac:dyDescent="0.25">
      <c r="B32" s="20"/>
      <c r="C32" s="5" t="s">
        <v>76</v>
      </c>
      <c r="D32" s="6" t="s">
        <v>24</v>
      </c>
      <c r="E32" s="11">
        <v>7.156E-3</v>
      </c>
      <c r="F32" s="1"/>
      <c r="G32" s="1"/>
      <c r="H32" s="1"/>
      <c r="I32" s="1"/>
      <c r="J32" s="1"/>
      <c r="K32" s="1"/>
      <c r="L32" s="1"/>
      <c r="M32" s="1"/>
      <c r="N32" s="18"/>
    </row>
    <row r="33" spans="2:14" ht="15" customHeight="1" x14ac:dyDescent="0.25">
      <c r="B33" s="20"/>
      <c r="C33" s="5" t="s">
        <v>144</v>
      </c>
      <c r="D33" s="6" t="s">
        <v>24</v>
      </c>
      <c r="E33" s="11">
        <v>7.1479999999999998E-3</v>
      </c>
      <c r="F33" s="1"/>
      <c r="G33" s="1"/>
      <c r="H33" s="1"/>
      <c r="I33" s="1"/>
      <c r="J33" s="1"/>
      <c r="K33" s="1"/>
      <c r="L33" s="1"/>
      <c r="M33" s="1"/>
      <c r="N33" s="18"/>
    </row>
    <row r="34" spans="2:14" ht="15" customHeight="1" x14ac:dyDescent="0.25">
      <c r="B34" s="20"/>
      <c r="C34" s="5" t="s">
        <v>27</v>
      </c>
      <c r="D34" s="6" t="s">
        <v>24</v>
      </c>
      <c r="E34" s="11">
        <v>3.5660000000000002E-3</v>
      </c>
      <c r="F34" s="1"/>
      <c r="G34" s="1"/>
      <c r="H34" s="1"/>
      <c r="I34" s="1"/>
      <c r="J34" s="1"/>
      <c r="K34" s="1"/>
      <c r="L34" s="1"/>
      <c r="M34" s="1"/>
      <c r="N34" s="18"/>
    </row>
    <row r="35" spans="2:14" ht="15" customHeight="1" x14ac:dyDescent="0.25">
      <c r="B35" s="20"/>
      <c r="C35" s="5" t="s">
        <v>145</v>
      </c>
      <c r="D35" s="6" t="s">
        <v>24</v>
      </c>
      <c r="E35" s="11">
        <v>1.799E-3</v>
      </c>
      <c r="F35" s="1"/>
      <c r="G35" s="1"/>
      <c r="H35" s="1"/>
      <c r="I35" s="1"/>
      <c r="J35" s="1"/>
      <c r="K35" s="1"/>
      <c r="L35" s="1"/>
      <c r="M35" s="1"/>
      <c r="N35" s="18"/>
    </row>
    <row r="36" spans="2:14" ht="15.75" customHeight="1" x14ac:dyDescent="0.25">
      <c r="B36" s="20"/>
      <c r="C36" s="7" t="s">
        <v>32</v>
      </c>
      <c r="D36" s="8"/>
      <c r="E36" s="12">
        <v>0.451096</v>
      </c>
      <c r="F36" s="1"/>
      <c r="G36" s="1"/>
      <c r="H36" s="1"/>
      <c r="I36" s="1"/>
      <c r="J36" s="1"/>
      <c r="K36" s="1"/>
      <c r="L36" s="1"/>
      <c r="M36" s="1"/>
      <c r="N36" s="18"/>
    </row>
    <row r="37" spans="2:14" ht="15" customHeight="1" x14ac:dyDescent="0.25">
      <c r="B37" s="20"/>
      <c r="C37" s="5" t="s">
        <v>40</v>
      </c>
      <c r="D37" s="6" t="s">
        <v>34</v>
      </c>
      <c r="E37" s="11">
        <v>3.8260000000000002E-2</v>
      </c>
      <c r="F37" s="1"/>
      <c r="G37" s="1"/>
      <c r="H37" s="1"/>
      <c r="I37" s="1"/>
      <c r="J37" s="1"/>
      <c r="K37" s="1"/>
      <c r="L37" s="1"/>
      <c r="M37" s="1"/>
      <c r="N37" s="18"/>
    </row>
    <row r="38" spans="2:14" ht="15.75" customHeight="1" x14ac:dyDescent="0.25">
      <c r="B38" s="20"/>
      <c r="C38" s="7" t="s">
        <v>47</v>
      </c>
      <c r="D38" s="8"/>
      <c r="E38" s="12">
        <v>3.8260000000000002E-2</v>
      </c>
      <c r="F38" s="1"/>
      <c r="G38" s="1"/>
      <c r="H38" s="1"/>
      <c r="I38" s="1"/>
      <c r="J38" s="1"/>
      <c r="K38" s="1"/>
      <c r="L38" s="1"/>
      <c r="M38" s="1"/>
      <c r="N38" s="18"/>
    </row>
    <row r="39" spans="2:14" ht="15" customHeight="1" x14ac:dyDescent="0.25">
      <c r="B39" s="20"/>
      <c r="C39" s="5" t="s">
        <v>48</v>
      </c>
      <c r="D39" s="6"/>
      <c r="E39" s="11">
        <v>2.5709999999999999E-3</v>
      </c>
      <c r="F39" s="1"/>
      <c r="G39" s="1"/>
      <c r="H39" s="1"/>
      <c r="I39" s="1"/>
      <c r="J39" s="1"/>
      <c r="K39" s="1"/>
      <c r="L39" s="1"/>
      <c r="M39" s="1"/>
      <c r="N39" s="18"/>
    </row>
    <row r="40" spans="2:14" ht="15.75" customHeight="1" x14ac:dyDescent="0.25">
      <c r="B40" s="20"/>
      <c r="C40" s="7" t="s">
        <v>49</v>
      </c>
      <c r="D40" s="8"/>
      <c r="E40" s="12">
        <v>2.5709999999999999E-3</v>
      </c>
      <c r="F40" s="1"/>
      <c r="G40" s="1"/>
      <c r="H40" s="1"/>
      <c r="I40" s="1"/>
      <c r="J40" s="1"/>
      <c r="K40" s="1"/>
      <c r="L40" s="1"/>
      <c r="M40" s="1"/>
      <c r="N40" s="18"/>
    </row>
    <row r="41" spans="2:14" ht="15" customHeight="1" x14ac:dyDescent="0.25">
      <c r="B41" s="20"/>
      <c r="C41" s="5" t="s">
        <v>146</v>
      </c>
      <c r="D41" s="6" t="s">
        <v>179</v>
      </c>
      <c r="E41" s="11">
        <v>5.1882999999999999E-2</v>
      </c>
      <c r="F41" s="1"/>
      <c r="G41" s="1"/>
      <c r="H41" s="1"/>
      <c r="I41" s="1"/>
      <c r="J41" s="1"/>
      <c r="K41" s="1"/>
      <c r="L41" s="1"/>
      <c r="M41" s="1"/>
      <c r="N41" s="18"/>
    </row>
    <row r="42" spans="2:14" ht="15" customHeight="1" x14ac:dyDescent="0.25">
      <c r="B42" s="20"/>
      <c r="C42" s="5" t="s">
        <v>147</v>
      </c>
      <c r="D42" s="6" t="s">
        <v>179</v>
      </c>
      <c r="E42" s="11">
        <v>3.9400999999999999E-2</v>
      </c>
      <c r="F42" s="1"/>
      <c r="G42" s="1"/>
      <c r="H42" s="1"/>
      <c r="I42" s="1"/>
      <c r="J42" s="1"/>
      <c r="K42" s="1"/>
      <c r="L42" s="1"/>
      <c r="M42" s="1"/>
      <c r="N42" s="18"/>
    </row>
    <row r="43" spans="2:14" ht="15" customHeight="1" x14ac:dyDescent="0.25">
      <c r="B43" s="20"/>
      <c r="C43" s="5" t="s">
        <v>148</v>
      </c>
      <c r="D43" s="6" t="s">
        <v>179</v>
      </c>
      <c r="E43" s="11">
        <v>3.585E-2</v>
      </c>
      <c r="F43" s="1"/>
      <c r="G43" s="1"/>
      <c r="H43" s="1"/>
      <c r="I43" s="1"/>
      <c r="J43" s="1"/>
      <c r="K43" s="1"/>
      <c r="L43" s="1"/>
      <c r="M43" s="1"/>
      <c r="N43" s="18"/>
    </row>
    <row r="44" spans="2:14" ht="15" customHeight="1" x14ac:dyDescent="0.25">
      <c r="B44" s="20"/>
      <c r="C44" s="5" t="s">
        <v>149</v>
      </c>
      <c r="D44" s="6" t="s">
        <v>179</v>
      </c>
      <c r="E44" s="11">
        <v>1.4277E-2</v>
      </c>
      <c r="F44" s="1"/>
      <c r="G44" s="1"/>
      <c r="H44" s="1"/>
      <c r="I44" s="1"/>
      <c r="J44" s="1"/>
      <c r="K44" s="1"/>
      <c r="L44" s="1"/>
      <c r="M44" s="1"/>
      <c r="N44" s="18"/>
    </row>
    <row r="45" spans="2:14" ht="15" customHeight="1" x14ac:dyDescent="0.25">
      <c r="B45" s="20"/>
      <c r="C45" s="5" t="s">
        <v>150</v>
      </c>
      <c r="D45" s="6" t="s">
        <v>179</v>
      </c>
      <c r="E45" s="11">
        <v>1.0814000000000001E-2</v>
      </c>
      <c r="F45" s="1"/>
      <c r="G45" s="1"/>
      <c r="H45" s="1"/>
      <c r="I45" s="1"/>
      <c r="J45" s="1"/>
      <c r="K45" s="1"/>
      <c r="L45" s="1"/>
      <c r="M45" s="1"/>
      <c r="N45" s="18"/>
    </row>
    <row r="46" spans="2:14" ht="15" customHeight="1" x14ac:dyDescent="0.25">
      <c r="B46" s="20"/>
      <c r="C46" s="5" t="s">
        <v>151</v>
      </c>
      <c r="D46" s="6" t="s">
        <v>179</v>
      </c>
      <c r="E46" s="11">
        <v>1.0787E-2</v>
      </c>
      <c r="F46" s="1"/>
      <c r="G46" s="1"/>
      <c r="H46" s="1"/>
      <c r="I46" s="1"/>
      <c r="J46" s="1"/>
      <c r="K46" s="1"/>
      <c r="L46" s="1"/>
      <c r="M46" s="1"/>
      <c r="N46" s="18"/>
    </row>
    <row r="47" spans="2:14" ht="15" customHeight="1" x14ac:dyDescent="0.25">
      <c r="B47" s="20"/>
      <c r="C47" s="5" t="s">
        <v>152</v>
      </c>
      <c r="D47" s="6" t="s">
        <v>179</v>
      </c>
      <c r="E47" s="11">
        <v>7.1999999999999998E-3</v>
      </c>
      <c r="F47" s="1"/>
      <c r="G47" s="1"/>
      <c r="H47" s="1"/>
      <c r="I47" s="1"/>
      <c r="J47" s="1"/>
      <c r="K47" s="1"/>
      <c r="L47" s="1"/>
      <c r="M47" s="1"/>
      <c r="N47" s="18"/>
    </row>
    <row r="48" spans="2:14" ht="15" customHeight="1" x14ac:dyDescent="0.25">
      <c r="B48" s="20"/>
      <c r="C48" s="5" t="s">
        <v>153</v>
      </c>
      <c r="D48" s="6" t="s">
        <v>179</v>
      </c>
      <c r="E48" s="11">
        <v>3.5959999999999998E-3</v>
      </c>
      <c r="F48" s="1"/>
      <c r="G48" s="1"/>
      <c r="H48" s="1"/>
      <c r="I48" s="1"/>
      <c r="J48" s="1"/>
      <c r="K48" s="1"/>
      <c r="L48" s="1"/>
      <c r="M48" s="1"/>
      <c r="N48" s="18"/>
    </row>
    <row r="49" spans="2:14" ht="15" customHeight="1" x14ac:dyDescent="0.25">
      <c r="B49" s="20"/>
      <c r="C49" s="5" t="s">
        <v>154</v>
      </c>
      <c r="D49" s="6" t="s">
        <v>179</v>
      </c>
      <c r="E49" s="11">
        <v>1.7960000000000001E-3</v>
      </c>
      <c r="F49" s="1"/>
      <c r="G49" s="1"/>
      <c r="H49" s="1"/>
      <c r="I49" s="1"/>
      <c r="J49" s="1"/>
      <c r="K49" s="1"/>
      <c r="L49" s="1"/>
      <c r="M49" s="1"/>
      <c r="N49" s="18"/>
    </row>
    <row r="50" spans="2:14" ht="15.75" customHeight="1" x14ac:dyDescent="0.25">
      <c r="B50" s="20"/>
      <c r="C50" s="7" t="s">
        <v>155</v>
      </c>
      <c r="D50" s="8"/>
      <c r="E50" s="12">
        <v>0.17560400000000001</v>
      </c>
      <c r="F50" s="1"/>
      <c r="G50" s="1"/>
      <c r="H50" s="1"/>
      <c r="I50" s="1"/>
      <c r="J50" s="1"/>
      <c r="K50" s="1"/>
      <c r="L50" s="1"/>
      <c r="M50" s="1"/>
      <c r="N50" s="18"/>
    </row>
    <row r="51" spans="2:14" ht="15" customHeight="1" x14ac:dyDescent="0.25">
      <c r="B51" s="20"/>
      <c r="C51" s="5" t="s">
        <v>9</v>
      </c>
      <c r="D51" s="6"/>
      <c r="E51" s="11">
        <v>9.3000000000000005E-4</v>
      </c>
      <c r="F51" s="1"/>
      <c r="G51" s="1"/>
      <c r="H51" s="1"/>
      <c r="I51" s="1"/>
      <c r="J51" s="1"/>
      <c r="K51" s="1"/>
      <c r="L51" s="1"/>
      <c r="M51" s="1"/>
      <c r="N51" s="18"/>
    </row>
    <row r="52" spans="2:14" ht="15.75" customHeight="1" x14ac:dyDescent="0.25">
      <c r="B52" s="20"/>
      <c r="C52" s="7" t="s">
        <v>10</v>
      </c>
      <c r="D52" s="8"/>
      <c r="E52" s="12">
        <v>9.3000000000000005E-4</v>
      </c>
      <c r="F52" s="1"/>
      <c r="G52" s="1"/>
      <c r="H52" s="1"/>
      <c r="I52" s="1"/>
      <c r="J52" s="1"/>
      <c r="K52" s="1"/>
      <c r="L52" s="1"/>
      <c r="M52" s="1"/>
      <c r="N52" s="18"/>
    </row>
    <row r="53" spans="2:14" ht="15" customHeight="1" x14ac:dyDescent="0.25">
      <c r="B53" s="20"/>
      <c r="C53" s="5"/>
      <c r="D53" s="6"/>
      <c r="E53" s="11"/>
      <c r="F53" s="1"/>
      <c r="G53" s="1"/>
      <c r="H53" s="1"/>
      <c r="I53" s="1"/>
      <c r="J53" s="1"/>
      <c r="K53" s="1"/>
      <c r="L53" s="1"/>
      <c r="M53" s="1"/>
      <c r="N53" s="18"/>
    </row>
    <row r="54" spans="2:14" ht="15.75" customHeight="1" x14ac:dyDescent="0.25">
      <c r="B54" s="20"/>
      <c r="C54" s="7" t="s">
        <v>11</v>
      </c>
      <c r="D54" s="8"/>
      <c r="E54" s="12">
        <v>-7.9841999999999996E-2</v>
      </c>
      <c r="F54" s="1"/>
      <c r="G54" s="1"/>
      <c r="H54" s="1"/>
      <c r="I54" s="1"/>
      <c r="J54" s="1"/>
      <c r="K54" s="1"/>
      <c r="L54" s="1"/>
      <c r="M54" s="1"/>
      <c r="N54" s="18"/>
    </row>
    <row r="55" spans="2:14" ht="15" customHeight="1" x14ac:dyDescent="0.25">
      <c r="B55" s="20"/>
      <c r="C55" s="5"/>
      <c r="D55" s="6"/>
      <c r="E55" s="11"/>
      <c r="F55" s="1"/>
      <c r="G55" s="1"/>
      <c r="H55" s="1"/>
      <c r="I55" s="1"/>
      <c r="J55" s="1"/>
      <c r="K55" s="1"/>
      <c r="L55" s="1"/>
      <c r="M55" s="1"/>
      <c r="N55" s="18"/>
    </row>
    <row r="56" spans="2:14" ht="15" customHeight="1" x14ac:dyDescent="0.25">
      <c r="B56" s="20"/>
      <c r="C56" s="9" t="s">
        <v>12</v>
      </c>
      <c r="D56" s="10"/>
      <c r="E56" s="13">
        <v>1</v>
      </c>
      <c r="F56" s="1"/>
      <c r="G56" s="1"/>
      <c r="H56" s="1"/>
      <c r="I56" s="1"/>
      <c r="J56" s="1"/>
      <c r="K56" s="1"/>
      <c r="L56" s="1"/>
      <c r="M56" s="1"/>
      <c r="N56" s="18"/>
    </row>
    <row r="57" spans="2:14" ht="15" customHeight="1" x14ac:dyDescent="0.25">
      <c r="B57" s="20"/>
      <c r="C57" s="1"/>
      <c r="D57" s="1"/>
      <c r="E57" s="1"/>
      <c r="F57" s="1"/>
      <c r="G57" s="1"/>
      <c r="H57" s="1"/>
      <c r="I57" s="1"/>
      <c r="J57" s="1"/>
      <c r="K57" s="1"/>
      <c r="L57" s="1"/>
      <c r="M57" s="1"/>
      <c r="N57" s="18"/>
    </row>
    <row r="58" spans="2:14" ht="15" customHeight="1" thickBot="1" x14ac:dyDescent="0.3">
      <c r="B58" s="21"/>
      <c r="C58" s="22"/>
      <c r="D58" s="22"/>
      <c r="E58" s="22"/>
      <c r="F58" s="22"/>
      <c r="G58" s="22"/>
      <c r="H58" s="22"/>
      <c r="I58" s="22"/>
      <c r="J58" s="22"/>
      <c r="K58" s="22"/>
      <c r="L58" s="22"/>
      <c r="M58" s="22"/>
      <c r="N58" s="23"/>
    </row>
    <row r="59" spans="2:14" ht="15" customHeight="1" thickBot="1" x14ac:dyDescent="0.3"/>
    <row r="60" spans="2:14" ht="15" customHeight="1" x14ac:dyDescent="0.25">
      <c r="B60" s="49" t="s">
        <v>335</v>
      </c>
      <c r="C60" s="50"/>
      <c r="D60" s="50"/>
      <c r="E60" s="50"/>
      <c r="F60" s="50"/>
      <c r="G60" s="50"/>
      <c r="H60" s="50"/>
      <c r="I60" s="50"/>
      <c r="J60" s="50"/>
      <c r="K60" s="50"/>
      <c r="L60" s="50"/>
      <c r="M60" s="50"/>
      <c r="N60" s="51"/>
    </row>
    <row r="61" spans="2:14" ht="15" customHeight="1" x14ac:dyDescent="0.25">
      <c r="B61" s="52"/>
      <c r="C61" s="53"/>
      <c r="D61" s="53"/>
      <c r="E61" s="53"/>
      <c r="F61" s="53"/>
      <c r="G61" s="53"/>
      <c r="H61" s="53"/>
      <c r="I61" s="53"/>
      <c r="J61" s="53"/>
      <c r="K61" s="53"/>
      <c r="L61" s="53"/>
      <c r="M61" s="53"/>
      <c r="N61" s="54"/>
    </row>
    <row r="62" spans="2:14" ht="15" customHeight="1" x14ac:dyDescent="0.25">
      <c r="B62" s="52"/>
      <c r="C62" s="53"/>
      <c r="D62" s="53"/>
      <c r="E62" s="53"/>
      <c r="F62" s="53"/>
      <c r="G62" s="53"/>
      <c r="H62" s="53"/>
      <c r="I62" s="53"/>
      <c r="J62" s="53"/>
      <c r="K62" s="53"/>
      <c r="L62" s="53"/>
      <c r="M62" s="53"/>
      <c r="N62" s="54"/>
    </row>
    <row r="63" spans="2:14" ht="15" customHeight="1" thickBot="1" x14ac:dyDescent="0.3">
      <c r="B63" s="55"/>
      <c r="C63" s="56"/>
      <c r="D63" s="56"/>
      <c r="E63" s="56"/>
      <c r="F63" s="56"/>
      <c r="G63" s="56"/>
      <c r="H63" s="56"/>
      <c r="I63" s="56"/>
      <c r="J63" s="56"/>
      <c r="K63" s="56"/>
      <c r="L63" s="56"/>
      <c r="M63" s="56"/>
      <c r="N63" s="57"/>
    </row>
    <row r="64" spans="2:14" ht="15" customHeight="1" thickBot="1" x14ac:dyDescent="0.3"/>
    <row r="65" spans="2:14" ht="131.25" customHeight="1" thickBot="1" x14ac:dyDescent="0.3">
      <c r="B65" s="46" t="s">
        <v>338</v>
      </c>
      <c r="C65" s="47"/>
      <c r="D65" s="47"/>
      <c r="E65" s="47"/>
      <c r="F65" s="47"/>
      <c r="G65" s="47"/>
      <c r="H65" s="47"/>
      <c r="I65" s="47"/>
      <c r="J65" s="47"/>
      <c r="K65" s="47"/>
      <c r="L65" s="47"/>
      <c r="M65" s="47"/>
      <c r="N65" s="48"/>
    </row>
    <row r="66" spans="2:14" ht="15" customHeight="1" x14ac:dyDescent="0.25"/>
    <row r="67" spans="2:14" ht="15" customHeight="1" x14ac:dyDescent="0.25"/>
    <row r="68" spans="2:14" ht="15" customHeight="1" x14ac:dyDescent="0.25"/>
    <row r="69" spans="2:14" ht="15" customHeight="1" x14ac:dyDescent="0.25"/>
    <row r="70" spans="2:14" ht="15" customHeight="1" x14ac:dyDescent="0.25"/>
    <row r="71" spans="2:14" ht="15" customHeight="1" x14ac:dyDescent="0.25"/>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sheetData>
  <mergeCells count="7">
    <mergeCell ref="B65:N65"/>
    <mergeCell ref="B60:N63"/>
    <mergeCell ref="C3:N3"/>
    <mergeCell ref="D5:E5"/>
    <mergeCell ref="G7:N7"/>
    <mergeCell ref="G24:K24"/>
    <mergeCell ref="G26:N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776CF-BE80-4412-87CF-1F890D4541FF}">
  <dimension ref="B1:N103"/>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8" t="s">
        <v>160</v>
      </c>
      <c r="D3" s="59"/>
      <c r="E3" s="59"/>
      <c r="F3" s="59"/>
      <c r="G3" s="59"/>
      <c r="H3" s="59"/>
      <c r="I3" s="59"/>
      <c r="J3" s="59"/>
      <c r="K3" s="59"/>
      <c r="L3" s="59"/>
      <c r="M3" s="59"/>
      <c r="N3" s="60"/>
    </row>
    <row r="4" spans="2:14" ht="15.75" customHeight="1" x14ac:dyDescent="0.25">
      <c r="B4" s="20"/>
      <c r="C4" s="14"/>
      <c r="D4" s="1"/>
      <c r="E4" s="1"/>
      <c r="F4" s="1"/>
      <c r="G4" s="1"/>
      <c r="H4" s="1"/>
      <c r="I4" s="1"/>
      <c r="J4" s="1"/>
      <c r="K4" s="1"/>
      <c r="L4" s="1"/>
      <c r="M4" s="1"/>
      <c r="N4" s="18"/>
    </row>
    <row r="5" spans="2:14" ht="18" customHeight="1" x14ac:dyDescent="0.25">
      <c r="B5" s="20"/>
      <c r="C5" s="15" t="s">
        <v>21</v>
      </c>
      <c r="D5" s="61" t="s">
        <v>161</v>
      </c>
      <c r="E5" s="6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63" t="s">
        <v>17</v>
      </c>
      <c r="H7" s="64"/>
      <c r="I7" s="64"/>
      <c r="J7" s="64"/>
      <c r="K7" s="64"/>
      <c r="L7" s="64"/>
      <c r="M7" s="64"/>
      <c r="N7" s="65"/>
    </row>
    <row r="8" spans="2:14" ht="15" customHeight="1" x14ac:dyDescent="0.25">
      <c r="B8" s="20"/>
      <c r="C8" s="5" t="s">
        <v>26</v>
      </c>
      <c r="D8" s="6" t="s">
        <v>24</v>
      </c>
      <c r="E8" s="11">
        <v>8.9202000000000004E-2</v>
      </c>
      <c r="F8" s="1"/>
      <c r="G8" s="24" t="s">
        <v>16</v>
      </c>
      <c r="H8" s="29">
        <v>0.96694199999999997</v>
      </c>
      <c r="I8" s="1"/>
      <c r="J8" s="24" t="s">
        <v>13</v>
      </c>
      <c r="K8" s="24" t="s">
        <v>3</v>
      </c>
      <c r="L8" s="1"/>
      <c r="M8" s="1"/>
      <c r="N8" s="18"/>
    </row>
    <row r="9" spans="2:14" ht="15" customHeight="1" x14ac:dyDescent="0.25">
      <c r="B9" s="20"/>
      <c r="C9" s="5" t="s">
        <v>62</v>
      </c>
      <c r="D9" s="6" t="s">
        <v>24</v>
      </c>
      <c r="E9" s="11">
        <v>5.5441999999999998E-2</v>
      </c>
      <c r="F9" s="1"/>
      <c r="G9" s="24" t="s">
        <v>124</v>
      </c>
      <c r="H9" s="29">
        <v>3.3057999999999997E-2</v>
      </c>
      <c r="I9" s="1"/>
      <c r="J9" s="24" t="s">
        <v>11</v>
      </c>
      <c r="K9" s="29">
        <v>2.3764E-2</v>
      </c>
      <c r="L9" s="1"/>
      <c r="M9" s="1"/>
      <c r="N9" s="18"/>
    </row>
    <row r="10" spans="2:14" ht="15" customHeight="1" x14ac:dyDescent="0.25">
      <c r="B10" s="20"/>
      <c r="C10" s="5" t="s">
        <v>28</v>
      </c>
      <c r="D10" s="6" t="s">
        <v>24</v>
      </c>
      <c r="E10" s="11">
        <v>4.7620999999999997E-2</v>
      </c>
      <c r="F10" s="1"/>
      <c r="G10" s="1"/>
      <c r="H10" s="1"/>
      <c r="I10" s="1"/>
      <c r="J10" s="24" t="s">
        <v>14</v>
      </c>
      <c r="K10" s="29">
        <v>9.9889999999999996E-3</v>
      </c>
      <c r="L10" s="1"/>
      <c r="M10" s="1"/>
      <c r="N10" s="18"/>
    </row>
    <row r="11" spans="2:14" ht="15" customHeight="1" x14ac:dyDescent="0.25">
      <c r="B11" s="20"/>
      <c r="C11" s="5" t="s">
        <v>29</v>
      </c>
      <c r="D11" s="6" t="s">
        <v>24</v>
      </c>
      <c r="E11" s="11">
        <v>4.2820000000000002E-3</v>
      </c>
      <c r="F11" s="1"/>
      <c r="G11" s="1"/>
      <c r="H11" s="1"/>
      <c r="I11" s="1"/>
      <c r="J11" s="24" t="s">
        <v>55</v>
      </c>
      <c r="K11" s="29">
        <v>0.196547</v>
      </c>
      <c r="L11" s="1"/>
      <c r="M11" s="1"/>
      <c r="N11" s="18"/>
    </row>
    <row r="12" spans="2:14" ht="15.75" customHeight="1" x14ac:dyDescent="0.25">
      <c r="B12" s="20"/>
      <c r="C12" s="7" t="s">
        <v>31</v>
      </c>
      <c r="D12" s="8"/>
      <c r="E12" s="12">
        <v>0.196547</v>
      </c>
      <c r="F12" s="1"/>
      <c r="G12" s="1"/>
      <c r="H12" s="1"/>
      <c r="I12" s="1"/>
      <c r="J12" s="24" t="s">
        <v>56</v>
      </c>
      <c r="K12" s="29">
        <v>0.351802</v>
      </c>
      <c r="L12" s="1"/>
      <c r="M12" s="1"/>
      <c r="N12" s="18"/>
    </row>
    <row r="13" spans="2:14" ht="15" customHeight="1" x14ac:dyDescent="0.25">
      <c r="B13" s="20"/>
      <c r="C13" s="5" t="s">
        <v>143</v>
      </c>
      <c r="D13" s="6" t="s">
        <v>24</v>
      </c>
      <c r="E13" s="11">
        <v>3.0106999999999998E-2</v>
      </c>
      <c r="F13" s="1"/>
      <c r="G13" s="1"/>
      <c r="H13" s="1"/>
      <c r="I13" s="1"/>
      <c r="J13" s="24" t="s">
        <v>57</v>
      </c>
      <c r="K13" s="29">
        <v>7.6884999999999995E-2</v>
      </c>
      <c r="L13" s="1"/>
      <c r="M13" s="1"/>
      <c r="N13" s="18"/>
    </row>
    <row r="14" spans="2:14" ht="15" customHeight="1" x14ac:dyDescent="0.25">
      <c r="B14" s="20"/>
      <c r="C14" s="5" t="s">
        <v>83</v>
      </c>
      <c r="D14" s="6" t="s">
        <v>24</v>
      </c>
      <c r="E14" s="11">
        <v>2.1218999999999998E-2</v>
      </c>
      <c r="F14" s="1"/>
      <c r="G14" s="1"/>
      <c r="H14" s="1"/>
      <c r="I14" s="1"/>
      <c r="J14" s="24" t="s">
        <v>48</v>
      </c>
      <c r="K14" s="29">
        <v>2.9129999999999998E-3</v>
      </c>
      <c r="L14" s="1"/>
      <c r="M14" s="1"/>
      <c r="N14" s="18"/>
    </row>
    <row r="15" spans="2:14" ht="15" customHeight="1" x14ac:dyDescent="0.25">
      <c r="B15" s="20"/>
      <c r="C15" s="5" t="s">
        <v>142</v>
      </c>
      <c r="D15" s="6" t="s">
        <v>24</v>
      </c>
      <c r="E15" s="11">
        <v>1.6854000000000001E-2</v>
      </c>
      <c r="F15" s="1"/>
      <c r="G15" s="1"/>
      <c r="H15" s="1"/>
      <c r="I15" s="1"/>
      <c r="J15" s="24" t="s">
        <v>58</v>
      </c>
      <c r="K15" s="29">
        <v>1.2639999999999999E-3</v>
      </c>
      <c r="L15" s="1"/>
      <c r="M15" s="1"/>
      <c r="N15" s="18"/>
    </row>
    <row r="16" spans="2:14" ht="15" customHeight="1" x14ac:dyDescent="0.25">
      <c r="B16" s="20"/>
      <c r="C16" s="5" t="s">
        <v>63</v>
      </c>
      <c r="D16" s="6" t="s">
        <v>24</v>
      </c>
      <c r="E16" s="11">
        <v>8.7049999999999992E-3</v>
      </c>
      <c r="F16" s="1"/>
      <c r="G16" s="1"/>
      <c r="H16" s="1"/>
      <c r="I16" s="1"/>
      <c r="J16" s="24" t="s">
        <v>59</v>
      </c>
      <c r="K16" s="29">
        <v>0.310886</v>
      </c>
      <c r="L16" s="1"/>
      <c r="M16" s="1"/>
      <c r="N16" s="18"/>
    </row>
    <row r="17" spans="2:14" ht="15.75" customHeight="1" x14ac:dyDescent="0.25">
      <c r="B17" s="20"/>
      <c r="C17" s="7" t="s">
        <v>32</v>
      </c>
      <c r="D17" s="8"/>
      <c r="E17" s="12">
        <v>7.6884999999999995E-2</v>
      </c>
      <c r="F17" s="1"/>
      <c r="G17" s="1"/>
      <c r="H17" s="1"/>
      <c r="I17" s="1"/>
      <c r="J17" s="24" t="s">
        <v>163</v>
      </c>
      <c r="K17" s="29">
        <v>2.5950000000000001E-2</v>
      </c>
      <c r="L17" s="1"/>
      <c r="M17" s="1"/>
      <c r="N17" s="18"/>
    </row>
    <row r="18" spans="2:14" ht="15" customHeight="1" x14ac:dyDescent="0.25">
      <c r="B18" s="20"/>
      <c r="C18" s="5" t="s">
        <v>46</v>
      </c>
      <c r="D18" s="6" t="s">
        <v>34</v>
      </c>
      <c r="E18" s="11">
        <v>0.10383199999999999</v>
      </c>
      <c r="F18" s="1"/>
      <c r="G18" s="1"/>
      <c r="H18" s="1"/>
      <c r="I18" s="1"/>
      <c r="J18" s="1"/>
      <c r="K18" s="1"/>
      <c r="L18" s="1"/>
      <c r="M18" s="1"/>
      <c r="N18" s="18"/>
    </row>
    <row r="19" spans="2:14" ht="15" customHeight="1" x14ac:dyDescent="0.25">
      <c r="B19" s="20"/>
      <c r="C19" s="5" t="s">
        <v>40</v>
      </c>
      <c r="D19" s="6" t="s">
        <v>34</v>
      </c>
      <c r="E19" s="11">
        <v>9.6728999999999996E-2</v>
      </c>
      <c r="F19" s="1"/>
      <c r="G19" s="1"/>
      <c r="H19" s="1"/>
      <c r="I19" s="1"/>
      <c r="J19" s="1"/>
      <c r="K19" s="1"/>
      <c r="L19" s="1"/>
      <c r="M19" s="1"/>
      <c r="N19" s="18"/>
    </row>
    <row r="20" spans="2:14" ht="15" customHeight="1" x14ac:dyDescent="0.25">
      <c r="B20" s="20"/>
      <c r="C20" s="5" t="s">
        <v>35</v>
      </c>
      <c r="D20" s="6" t="s">
        <v>34</v>
      </c>
      <c r="E20" s="11">
        <v>6.7246E-2</v>
      </c>
      <c r="F20" s="1"/>
      <c r="G20" s="1"/>
      <c r="H20" s="1"/>
      <c r="I20" s="1"/>
      <c r="J20" s="1"/>
      <c r="K20" s="1"/>
      <c r="L20" s="1"/>
      <c r="M20" s="1"/>
      <c r="N20" s="18"/>
    </row>
    <row r="21" spans="2:14" ht="15" customHeight="1" x14ac:dyDescent="0.25">
      <c r="B21" s="20"/>
      <c r="C21" s="5" t="s">
        <v>37</v>
      </c>
      <c r="D21" s="6" t="s">
        <v>34</v>
      </c>
      <c r="E21" s="11">
        <v>4.9709999999999997E-2</v>
      </c>
      <c r="F21" s="1"/>
      <c r="G21" s="1"/>
      <c r="H21" s="1"/>
      <c r="I21" s="1"/>
      <c r="J21" s="1"/>
      <c r="K21" s="1"/>
      <c r="L21" s="1"/>
      <c r="M21" s="1"/>
      <c r="N21" s="18"/>
    </row>
    <row r="22" spans="2:14" ht="15" customHeight="1" x14ac:dyDescent="0.25">
      <c r="B22" s="20"/>
      <c r="C22" s="5" t="s">
        <v>36</v>
      </c>
      <c r="D22" s="6" t="s">
        <v>34</v>
      </c>
      <c r="E22" s="11">
        <v>2.2741999999999998E-2</v>
      </c>
      <c r="F22" s="1"/>
      <c r="G22" s="1"/>
      <c r="H22" s="1"/>
      <c r="I22" s="1"/>
      <c r="J22" s="1"/>
      <c r="K22" s="1"/>
      <c r="L22" s="1"/>
      <c r="M22" s="1"/>
      <c r="N22" s="18"/>
    </row>
    <row r="23" spans="2:14" ht="15" customHeight="1" x14ac:dyDescent="0.25">
      <c r="B23" s="20"/>
      <c r="C23" s="5" t="s">
        <v>120</v>
      </c>
      <c r="D23" s="6" t="s">
        <v>93</v>
      </c>
      <c r="E23" s="11">
        <v>1.1542999999999999E-2</v>
      </c>
      <c r="F23" s="1"/>
      <c r="G23" s="1"/>
      <c r="H23" s="1"/>
      <c r="I23" s="1"/>
      <c r="J23" s="1"/>
      <c r="K23" s="1"/>
      <c r="L23" s="1"/>
      <c r="M23" s="1"/>
      <c r="N23" s="18"/>
    </row>
    <row r="24" spans="2:14" ht="15.75" customHeight="1" x14ac:dyDescent="0.25">
      <c r="B24" s="20"/>
      <c r="C24" s="7" t="s">
        <v>47</v>
      </c>
      <c r="D24" s="8"/>
      <c r="E24" s="12">
        <v>0.351802</v>
      </c>
      <c r="F24" s="1"/>
      <c r="G24" s="63" t="s">
        <v>111</v>
      </c>
      <c r="H24" s="64"/>
      <c r="I24" s="64"/>
      <c r="J24" s="64"/>
      <c r="K24" s="64"/>
      <c r="L24" s="26">
        <v>375.4877311243788</v>
      </c>
      <c r="M24" s="27"/>
      <c r="N24" s="28"/>
    </row>
    <row r="25" spans="2:14" ht="15" customHeight="1" x14ac:dyDescent="0.25">
      <c r="B25" s="20"/>
      <c r="C25" s="5" t="s">
        <v>48</v>
      </c>
      <c r="D25" s="6"/>
      <c r="E25" s="11">
        <v>2.9129999999999998E-3</v>
      </c>
      <c r="F25" s="1"/>
      <c r="G25" s="1"/>
      <c r="H25" s="1"/>
      <c r="I25" s="1"/>
      <c r="J25" s="1"/>
      <c r="K25" s="1"/>
      <c r="L25" s="1"/>
      <c r="M25" s="1"/>
      <c r="N25" s="18"/>
    </row>
    <row r="26" spans="2:14" ht="15.75" customHeight="1" x14ac:dyDescent="0.25">
      <c r="B26" s="20"/>
      <c r="C26" s="7" t="s">
        <v>49</v>
      </c>
      <c r="D26" s="8"/>
      <c r="E26" s="12">
        <v>2.9129999999999998E-3</v>
      </c>
      <c r="F26" s="1"/>
      <c r="G26" s="63" t="s">
        <v>19</v>
      </c>
      <c r="H26" s="64"/>
      <c r="I26" s="64"/>
      <c r="J26" s="64"/>
      <c r="K26" s="64"/>
      <c r="L26" s="64"/>
      <c r="M26" s="64"/>
      <c r="N26" s="65"/>
    </row>
    <row r="27" spans="2:14" ht="15" customHeight="1" x14ac:dyDescent="0.25">
      <c r="B27" s="20"/>
      <c r="C27" s="5" t="s">
        <v>114</v>
      </c>
      <c r="D27" s="6" t="s">
        <v>179</v>
      </c>
      <c r="E27" s="11">
        <v>1.2639999999999999E-3</v>
      </c>
      <c r="F27" s="1"/>
      <c r="G27" s="1"/>
      <c r="H27" s="1"/>
      <c r="I27" s="1"/>
      <c r="J27" s="1"/>
      <c r="K27" s="1"/>
      <c r="L27" s="1"/>
      <c r="M27" s="1"/>
      <c r="N27" s="18"/>
    </row>
    <row r="28" spans="2:14" ht="15.75" customHeight="1" x14ac:dyDescent="0.25">
      <c r="B28" s="20"/>
      <c r="C28" s="7" t="s">
        <v>53</v>
      </c>
      <c r="D28" s="8"/>
      <c r="E28" s="12">
        <v>1.2639999999999999E-3</v>
      </c>
      <c r="F28" s="1"/>
      <c r="G28" s="1"/>
      <c r="H28" s="1"/>
      <c r="I28" s="1"/>
      <c r="J28" s="1"/>
      <c r="K28" s="1"/>
      <c r="L28" s="1"/>
      <c r="M28" s="1"/>
      <c r="N28" s="18"/>
    </row>
    <row r="29" spans="2:14" ht="15" customHeight="1" x14ac:dyDescent="0.25">
      <c r="B29" s="20"/>
      <c r="C29" s="5" t="s">
        <v>216</v>
      </c>
      <c r="D29" s="6" t="s">
        <v>179</v>
      </c>
      <c r="E29" s="11">
        <v>2.3212E-2</v>
      </c>
      <c r="F29" s="1"/>
      <c r="G29" s="1"/>
      <c r="H29" s="1"/>
      <c r="I29" s="1"/>
      <c r="J29" s="1"/>
      <c r="K29" s="1"/>
      <c r="L29" s="1"/>
      <c r="M29" s="1"/>
      <c r="N29" s="18"/>
    </row>
    <row r="30" spans="2:14" ht="15.75" customHeight="1" x14ac:dyDescent="0.25">
      <c r="B30" s="20"/>
      <c r="C30" s="5" t="s">
        <v>220</v>
      </c>
      <c r="D30" s="6" t="s">
        <v>179</v>
      </c>
      <c r="E30" s="11">
        <v>1.9894999999999999E-2</v>
      </c>
      <c r="F30" s="1"/>
      <c r="G30" s="1"/>
      <c r="H30" s="1"/>
      <c r="I30" s="1"/>
      <c r="J30" s="1"/>
      <c r="K30" s="1"/>
      <c r="L30" s="1"/>
      <c r="M30" s="1"/>
      <c r="N30" s="18"/>
    </row>
    <row r="31" spans="2:14" ht="15" customHeight="1" x14ac:dyDescent="0.25">
      <c r="B31" s="20"/>
      <c r="C31" s="5" t="s">
        <v>218</v>
      </c>
      <c r="D31" s="6" t="s">
        <v>179</v>
      </c>
      <c r="E31" s="11">
        <v>1.443E-2</v>
      </c>
      <c r="F31" s="1"/>
      <c r="G31" s="1"/>
      <c r="H31" s="1"/>
      <c r="I31" s="1"/>
      <c r="J31" s="1"/>
      <c r="K31" s="1"/>
      <c r="L31" s="1"/>
      <c r="M31" s="1"/>
      <c r="N31" s="18"/>
    </row>
    <row r="32" spans="2:14" ht="15.75" customHeight="1" x14ac:dyDescent="0.25">
      <c r="B32" s="20"/>
      <c r="C32" s="5" t="s">
        <v>206</v>
      </c>
      <c r="D32" s="6" t="s">
        <v>179</v>
      </c>
      <c r="E32" s="11">
        <v>1.3528999999999999E-2</v>
      </c>
      <c r="F32" s="1"/>
      <c r="G32" s="1"/>
      <c r="H32" s="1"/>
      <c r="I32" s="1"/>
      <c r="J32" s="1"/>
      <c r="K32" s="1"/>
      <c r="L32" s="1"/>
      <c r="M32" s="1"/>
      <c r="N32" s="18"/>
    </row>
    <row r="33" spans="2:14" ht="15" customHeight="1" x14ac:dyDescent="0.25">
      <c r="B33" s="20"/>
      <c r="C33" s="5" t="s">
        <v>200</v>
      </c>
      <c r="D33" s="6" t="s">
        <v>179</v>
      </c>
      <c r="E33" s="11">
        <v>1.3524E-2</v>
      </c>
      <c r="F33" s="1"/>
      <c r="G33" s="1"/>
      <c r="H33" s="1"/>
      <c r="I33" s="1"/>
      <c r="J33" s="1"/>
      <c r="K33" s="1"/>
      <c r="L33" s="1"/>
      <c r="M33" s="1"/>
      <c r="N33" s="18"/>
    </row>
    <row r="34" spans="2:14" ht="15" customHeight="1" x14ac:dyDescent="0.25">
      <c r="B34" s="20"/>
      <c r="C34" s="5" t="s">
        <v>226</v>
      </c>
      <c r="D34" s="6" t="s">
        <v>179</v>
      </c>
      <c r="E34" s="11">
        <v>1.1311999999999999E-2</v>
      </c>
      <c r="F34" s="1"/>
      <c r="G34" s="1"/>
      <c r="H34" s="1"/>
      <c r="I34" s="1"/>
      <c r="J34" s="1"/>
      <c r="K34" s="1"/>
      <c r="L34" s="1"/>
      <c r="M34" s="1"/>
      <c r="N34" s="18"/>
    </row>
    <row r="35" spans="2:14" ht="15.75" customHeight="1" x14ac:dyDescent="0.25">
      <c r="B35" s="20"/>
      <c r="C35" s="5" t="s">
        <v>186</v>
      </c>
      <c r="D35" s="6" t="s">
        <v>179</v>
      </c>
      <c r="E35" s="11">
        <v>1.082E-2</v>
      </c>
      <c r="F35" s="1"/>
      <c r="G35" s="1"/>
      <c r="H35" s="1"/>
      <c r="I35" s="1"/>
      <c r="J35" s="1"/>
      <c r="K35" s="1"/>
      <c r="L35" s="1"/>
      <c r="M35" s="1"/>
      <c r="N35" s="18"/>
    </row>
    <row r="36" spans="2:14" ht="15" customHeight="1" x14ac:dyDescent="0.25">
      <c r="B36" s="20"/>
      <c r="C36" s="5" t="s">
        <v>222</v>
      </c>
      <c r="D36" s="6" t="s">
        <v>179</v>
      </c>
      <c r="E36" s="11">
        <v>9.2960000000000004E-3</v>
      </c>
      <c r="F36" s="1"/>
      <c r="G36" s="1"/>
      <c r="H36" s="1"/>
      <c r="I36" s="1"/>
      <c r="J36" s="1"/>
      <c r="K36" s="1"/>
      <c r="L36" s="1"/>
      <c r="M36" s="1"/>
      <c r="N36" s="18"/>
    </row>
    <row r="37" spans="2:14" ht="15.75" customHeight="1" x14ac:dyDescent="0.25">
      <c r="B37" s="20"/>
      <c r="C37" s="5" t="s">
        <v>229</v>
      </c>
      <c r="D37" s="6" t="s">
        <v>179</v>
      </c>
      <c r="E37" s="11">
        <v>9.273E-3</v>
      </c>
      <c r="F37" s="1"/>
      <c r="G37" s="1"/>
      <c r="H37" s="1"/>
      <c r="I37" s="1"/>
      <c r="J37" s="1"/>
      <c r="K37" s="1"/>
      <c r="L37" s="1"/>
      <c r="M37" s="1"/>
      <c r="N37" s="18"/>
    </row>
    <row r="38" spans="2:14" ht="15" customHeight="1" x14ac:dyDescent="0.25">
      <c r="B38" s="20"/>
      <c r="C38" s="5" t="s">
        <v>195</v>
      </c>
      <c r="D38" s="6" t="s">
        <v>179</v>
      </c>
      <c r="E38" s="11">
        <v>9.1870000000000007E-3</v>
      </c>
      <c r="F38" s="1"/>
      <c r="G38" s="1"/>
      <c r="H38" s="1"/>
      <c r="I38" s="1"/>
      <c r="J38" s="1"/>
      <c r="K38" s="1"/>
      <c r="L38" s="1"/>
      <c r="M38" s="1"/>
      <c r="N38" s="18"/>
    </row>
    <row r="39" spans="2:14" ht="15" customHeight="1" x14ac:dyDescent="0.25">
      <c r="B39" s="20"/>
      <c r="C39" s="5" t="s">
        <v>191</v>
      </c>
      <c r="D39" s="6" t="s">
        <v>179</v>
      </c>
      <c r="E39" s="11">
        <v>9.0290000000000006E-3</v>
      </c>
      <c r="F39" s="1"/>
      <c r="G39" s="1"/>
      <c r="H39" s="1"/>
      <c r="I39" s="1"/>
      <c r="J39" s="1"/>
      <c r="K39" s="1"/>
      <c r="L39" s="1"/>
      <c r="M39" s="1"/>
      <c r="N39" s="18"/>
    </row>
    <row r="40" spans="2:14" ht="15" customHeight="1" x14ac:dyDescent="0.25">
      <c r="B40" s="20"/>
      <c r="C40" s="5" t="s">
        <v>227</v>
      </c>
      <c r="D40" s="6" t="s">
        <v>179</v>
      </c>
      <c r="E40" s="11">
        <v>9.0109999999999999E-3</v>
      </c>
      <c r="F40" s="1"/>
      <c r="G40" s="1"/>
      <c r="H40" s="1"/>
      <c r="I40" s="1"/>
      <c r="J40" s="1"/>
      <c r="K40" s="1"/>
      <c r="L40" s="1"/>
      <c r="M40" s="1"/>
      <c r="N40" s="18"/>
    </row>
    <row r="41" spans="2:14" ht="15" customHeight="1" x14ac:dyDescent="0.25">
      <c r="B41" s="20"/>
      <c r="C41" s="5" t="s">
        <v>223</v>
      </c>
      <c r="D41" s="6" t="s">
        <v>179</v>
      </c>
      <c r="E41" s="11">
        <v>9.0089999999999996E-3</v>
      </c>
      <c r="F41" s="1"/>
      <c r="G41" s="1"/>
      <c r="H41" s="1"/>
      <c r="I41" s="1"/>
      <c r="J41" s="1"/>
      <c r="K41" s="1"/>
      <c r="L41" s="1"/>
      <c r="M41" s="1"/>
      <c r="N41" s="18"/>
    </row>
    <row r="42" spans="2:14" ht="15" customHeight="1" x14ac:dyDescent="0.25">
      <c r="B42" s="20"/>
      <c r="C42" s="5" t="s">
        <v>205</v>
      </c>
      <c r="D42" s="6" t="s">
        <v>179</v>
      </c>
      <c r="E42" s="11">
        <v>9.0050000000000009E-3</v>
      </c>
      <c r="F42" s="1"/>
      <c r="G42" s="1"/>
      <c r="H42" s="1"/>
      <c r="I42" s="1"/>
      <c r="J42" s="1"/>
      <c r="K42" s="1"/>
      <c r="L42" s="1"/>
      <c r="M42" s="1"/>
      <c r="N42" s="18"/>
    </row>
    <row r="43" spans="2:14" ht="15" customHeight="1" x14ac:dyDescent="0.25">
      <c r="B43" s="20"/>
      <c r="C43" s="5" t="s">
        <v>207</v>
      </c>
      <c r="D43" s="6" t="s">
        <v>179</v>
      </c>
      <c r="E43" s="11">
        <v>8.9689999999999995E-3</v>
      </c>
      <c r="F43" s="1"/>
      <c r="G43" s="1"/>
      <c r="H43" s="1"/>
      <c r="I43" s="1"/>
      <c r="J43" s="1"/>
      <c r="K43" s="1"/>
      <c r="L43" s="1"/>
      <c r="M43" s="1"/>
      <c r="N43" s="18"/>
    </row>
    <row r="44" spans="2:14" ht="15" customHeight="1" x14ac:dyDescent="0.25">
      <c r="B44" s="20"/>
      <c r="C44" s="5" t="s">
        <v>225</v>
      </c>
      <c r="D44" s="6" t="s">
        <v>179</v>
      </c>
      <c r="E44" s="11">
        <v>8.9449999999999998E-3</v>
      </c>
      <c r="F44" s="1"/>
      <c r="G44" s="1"/>
      <c r="H44" s="1"/>
      <c r="I44" s="1"/>
      <c r="J44" s="1"/>
      <c r="K44" s="1"/>
      <c r="L44" s="1"/>
      <c r="M44" s="1"/>
      <c r="N44" s="18"/>
    </row>
    <row r="45" spans="2:14" ht="15" customHeight="1" x14ac:dyDescent="0.25">
      <c r="B45" s="20"/>
      <c r="C45" s="5" t="s">
        <v>190</v>
      </c>
      <c r="D45" s="6" t="s">
        <v>179</v>
      </c>
      <c r="E45" s="11">
        <v>7.7640000000000001E-3</v>
      </c>
      <c r="F45" s="1"/>
      <c r="G45" s="1"/>
      <c r="H45" s="1"/>
      <c r="I45" s="1"/>
      <c r="J45" s="1"/>
      <c r="K45" s="1"/>
      <c r="L45" s="1"/>
      <c r="M45" s="1"/>
      <c r="N45" s="18"/>
    </row>
    <row r="46" spans="2:14" ht="15" customHeight="1" x14ac:dyDescent="0.25">
      <c r="B46" s="20"/>
      <c r="C46" s="5" t="s">
        <v>185</v>
      </c>
      <c r="D46" s="6" t="s">
        <v>179</v>
      </c>
      <c r="E46" s="11">
        <v>7.2110000000000004E-3</v>
      </c>
      <c r="F46" s="1"/>
      <c r="G46" s="1"/>
      <c r="H46" s="1"/>
      <c r="I46" s="1"/>
      <c r="J46" s="1"/>
      <c r="K46" s="1"/>
      <c r="L46" s="1"/>
      <c r="M46" s="1"/>
      <c r="N46" s="18"/>
    </row>
    <row r="47" spans="2:14" ht="15" customHeight="1" x14ac:dyDescent="0.25">
      <c r="B47" s="20"/>
      <c r="C47" s="5" t="s">
        <v>194</v>
      </c>
      <c r="D47" s="6" t="s">
        <v>179</v>
      </c>
      <c r="E47" s="11">
        <v>6.3309999999999998E-3</v>
      </c>
      <c r="F47" s="1"/>
      <c r="G47" s="1"/>
      <c r="H47" s="1"/>
      <c r="I47" s="1"/>
      <c r="J47" s="1"/>
      <c r="K47" s="1"/>
      <c r="L47" s="1"/>
      <c r="M47" s="1"/>
      <c r="N47" s="18"/>
    </row>
    <row r="48" spans="2:14" ht="15" customHeight="1" x14ac:dyDescent="0.25">
      <c r="B48" s="20"/>
      <c r="C48" s="5" t="s">
        <v>189</v>
      </c>
      <c r="D48" s="6" t="s">
        <v>179</v>
      </c>
      <c r="E48" s="11">
        <v>6.3200000000000001E-3</v>
      </c>
      <c r="F48" s="1"/>
      <c r="G48" s="1"/>
      <c r="H48" s="1"/>
      <c r="I48" s="1"/>
      <c r="J48" s="1"/>
      <c r="K48" s="1"/>
      <c r="L48" s="1"/>
      <c r="M48" s="1"/>
      <c r="N48" s="18"/>
    </row>
    <row r="49" spans="2:14" ht="15" customHeight="1" x14ac:dyDescent="0.25">
      <c r="B49" s="20"/>
      <c r="C49" s="5" t="s">
        <v>204</v>
      </c>
      <c r="D49" s="6" t="s">
        <v>179</v>
      </c>
      <c r="E49" s="11">
        <v>6.313E-3</v>
      </c>
      <c r="F49" s="1"/>
      <c r="G49" s="1"/>
      <c r="H49" s="1"/>
      <c r="I49" s="1"/>
      <c r="J49" s="1"/>
      <c r="K49" s="1"/>
      <c r="L49" s="1"/>
      <c r="M49" s="1"/>
      <c r="N49" s="18"/>
    </row>
    <row r="50" spans="2:14" ht="15" customHeight="1" x14ac:dyDescent="0.25">
      <c r="B50" s="20"/>
      <c r="C50" s="5" t="s">
        <v>224</v>
      </c>
      <c r="D50" s="6" t="s">
        <v>179</v>
      </c>
      <c r="E50" s="11">
        <v>5.6470000000000001E-3</v>
      </c>
      <c r="F50" s="1"/>
      <c r="G50" s="1"/>
      <c r="H50" s="1"/>
      <c r="I50" s="1"/>
      <c r="J50" s="1"/>
      <c r="K50" s="1"/>
      <c r="L50" s="1"/>
      <c r="M50" s="1"/>
      <c r="N50" s="18"/>
    </row>
    <row r="51" spans="2:14" ht="15" customHeight="1" x14ac:dyDescent="0.25">
      <c r="B51" s="20"/>
      <c r="C51" s="5" t="s">
        <v>221</v>
      </c>
      <c r="D51" s="6" t="s">
        <v>179</v>
      </c>
      <c r="E51" s="11">
        <v>5.5120000000000004E-3</v>
      </c>
      <c r="F51" s="1"/>
      <c r="G51" s="1"/>
      <c r="H51" s="1"/>
      <c r="I51" s="1"/>
      <c r="J51" s="1"/>
      <c r="K51" s="1"/>
      <c r="L51" s="1"/>
      <c r="M51" s="1"/>
      <c r="N51" s="18"/>
    </row>
    <row r="52" spans="2:14" ht="15" customHeight="1" x14ac:dyDescent="0.25">
      <c r="B52" s="20"/>
      <c r="C52" s="5" t="s">
        <v>188</v>
      </c>
      <c r="D52" s="6" t="s">
        <v>179</v>
      </c>
      <c r="E52" s="11">
        <v>4.6940000000000003E-3</v>
      </c>
      <c r="F52" s="1"/>
      <c r="G52" s="1"/>
      <c r="H52" s="1"/>
      <c r="I52" s="1"/>
      <c r="J52" s="1"/>
      <c r="K52" s="1"/>
      <c r="L52" s="1"/>
      <c r="M52" s="1"/>
      <c r="N52" s="18"/>
    </row>
    <row r="53" spans="2:14" ht="15" customHeight="1" x14ac:dyDescent="0.25">
      <c r="B53" s="20"/>
      <c r="C53" s="5" t="s">
        <v>213</v>
      </c>
      <c r="D53" s="6" t="s">
        <v>179</v>
      </c>
      <c r="E53" s="11">
        <v>4.6620000000000003E-3</v>
      </c>
      <c r="F53" s="1"/>
      <c r="G53" s="1"/>
      <c r="H53" s="1"/>
      <c r="I53" s="1"/>
      <c r="J53" s="1"/>
      <c r="K53" s="1"/>
      <c r="L53" s="1"/>
      <c r="M53" s="1"/>
      <c r="N53" s="18"/>
    </row>
    <row r="54" spans="2:14" ht="15" customHeight="1" x14ac:dyDescent="0.25">
      <c r="B54" s="20"/>
      <c r="C54" s="5" t="s">
        <v>208</v>
      </c>
      <c r="D54" s="6" t="s">
        <v>179</v>
      </c>
      <c r="E54" s="11">
        <v>4.5750000000000001E-3</v>
      </c>
      <c r="F54" s="1"/>
      <c r="G54" s="1"/>
      <c r="H54" s="1"/>
      <c r="I54" s="1"/>
      <c r="J54" s="1"/>
      <c r="K54" s="1"/>
      <c r="L54" s="1"/>
      <c r="M54" s="1"/>
      <c r="N54" s="18"/>
    </row>
    <row r="55" spans="2:14" ht="15" customHeight="1" x14ac:dyDescent="0.25">
      <c r="B55" s="20"/>
      <c r="C55" s="5" t="s">
        <v>199</v>
      </c>
      <c r="D55" s="6" t="s">
        <v>179</v>
      </c>
      <c r="E55" s="11">
        <v>4.5310000000000003E-3</v>
      </c>
      <c r="F55" s="1"/>
      <c r="G55" s="1"/>
      <c r="H55" s="1"/>
      <c r="I55" s="1"/>
      <c r="J55" s="1"/>
      <c r="K55" s="1"/>
      <c r="L55" s="1"/>
      <c r="M55" s="1"/>
      <c r="N55" s="18"/>
    </row>
    <row r="56" spans="2:14" ht="15" customHeight="1" x14ac:dyDescent="0.25">
      <c r="B56" s="20"/>
      <c r="C56" s="5" t="s">
        <v>192</v>
      </c>
      <c r="D56" s="6" t="s">
        <v>179</v>
      </c>
      <c r="E56" s="11">
        <v>4.5139999999999998E-3</v>
      </c>
      <c r="F56" s="1"/>
      <c r="G56" s="1"/>
      <c r="H56" s="1"/>
      <c r="I56" s="1"/>
      <c r="J56" s="1"/>
      <c r="K56" s="1"/>
      <c r="L56" s="1"/>
      <c r="M56" s="1"/>
      <c r="N56" s="18"/>
    </row>
    <row r="57" spans="2:14" ht="15" customHeight="1" x14ac:dyDescent="0.25">
      <c r="B57" s="20"/>
      <c r="C57" s="5" t="s">
        <v>201</v>
      </c>
      <c r="D57" s="6" t="s">
        <v>179</v>
      </c>
      <c r="E57" s="11">
        <v>4.5139999999999998E-3</v>
      </c>
      <c r="F57" s="1"/>
      <c r="G57" s="1"/>
      <c r="H57" s="1"/>
      <c r="I57" s="1"/>
      <c r="J57" s="1"/>
      <c r="K57" s="1"/>
      <c r="L57" s="1"/>
      <c r="M57" s="1"/>
      <c r="N57" s="18"/>
    </row>
    <row r="58" spans="2:14" ht="15" customHeight="1" x14ac:dyDescent="0.25">
      <c r="B58" s="20"/>
      <c r="C58" s="5" t="s">
        <v>187</v>
      </c>
      <c r="D58" s="6" t="s">
        <v>179</v>
      </c>
      <c r="E58" s="11">
        <v>4.5079999999999999E-3</v>
      </c>
      <c r="F58" s="1"/>
      <c r="G58" s="1"/>
      <c r="H58" s="1"/>
      <c r="I58" s="1"/>
      <c r="J58" s="1"/>
      <c r="K58" s="1"/>
      <c r="L58" s="1"/>
      <c r="M58" s="1"/>
      <c r="N58" s="18"/>
    </row>
    <row r="59" spans="2:14" ht="15" customHeight="1" x14ac:dyDescent="0.25">
      <c r="B59" s="20"/>
      <c r="C59" s="5" t="s">
        <v>217</v>
      </c>
      <c r="D59" s="6" t="s">
        <v>179</v>
      </c>
      <c r="E59" s="11">
        <v>4.5079999999999999E-3</v>
      </c>
      <c r="F59" s="1"/>
      <c r="G59" s="1"/>
      <c r="H59" s="1"/>
      <c r="I59" s="1"/>
      <c r="J59" s="1"/>
      <c r="K59" s="1"/>
      <c r="L59" s="1"/>
      <c r="M59" s="1"/>
      <c r="N59" s="18"/>
    </row>
    <row r="60" spans="2:14" ht="15" customHeight="1" x14ac:dyDescent="0.25">
      <c r="B60" s="20"/>
      <c r="C60" s="5" t="s">
        <v>203</v>
      </c>
      <c r="D60" s="6" t="s">
        <v>179</v>
      </c>
      <c r="E60" s="11">
        <v>4.5050000000000003E-3</v>
      </c>
      <c r="F60" s="1"/>
      <c r="G60" s="1"/>
      <c r="H60" s="1"/>
      <c r="I60" s="1"/>
      <c r="J60" s="1"/>
      <c r="K60" s="1"/>
      <c r="L60" s="1"/>
      <c r="M60" s="1"/>
      <c r="N60" s="18"/>
    </row>
    <row r="61" spans="2:14" ht="15" customHeight="1" x14ac:dyDescent="0.25">
      <c r="B61" s="20"/>
      <c r="C61" s="5" t="s">
        <v>214</v>
      </c>
      <c r="D61" s="6" t="s">
        <v>179</v>
      </c>
      <c r="E61" s="11">
        <v>4.4669999999999996E-3</v>
      </c>
      <c r="F61" s="1"/>
      <c r="G61" s="1"/>
      <c r="H61" s="1"/>
      <c r="I61" s="1"/>
      <c r="J61" s="1"/>
      <c r="K61" s="1"/>
      <c r="L61" s="1"/>
      <c r="M61" s="1"/>
      <c r="N61" s="18"/>
    </row>
    <row r="62" spans="2:14" ht="15" customHeight="1" x14ac:dyDescent="0.25">
      <c r="B62" s="20"/>
      <c r="C62" s="5" t="s">
        <v>228</v>
      </c>
      <c r="D62" s="6" t="s">
        <v>179</v>
      </c>
      <c r="E62" s="11">
        <v>4.4559999999999999E-3</v>
      </c>
      <c r="F62" s="1"/>
      <c r="G62" s="1"/>
      <c r="H62" s="1"/>
      <c r="I62" s="1"/>
      <c r="J62" s="1"/>
      <c r="K62" s="1"/>
      <c r="L62" s="1"/>
      <c r="M62" s="1"/>
      <c r="N62" s="18"/>
    </row>
    <row r="63" spans="2:14" ht="15" customHeight="1" x14ac:dyDescent="0.25">
      <c r="B63" s="20"/>
      <c r="C63" s="5" t="s">
        <v>211</v>
      </c>
      <c r="D63" s="6" t="s">
        <v>179</v>
      </c>
      <c r="E63" s="11">
        <v>3.6830000000000001E-3</v>
      </c>
      <c r="F63" s="1"/>
      <c r="G63" s="1"/>
      <c r="H63" s="1"/>
      <c r="I63" s="1"/>
      <c r="J63" s="1"/>
      <c r="K63" s="1"/>
      <c r="L63" s="1"/>
      <c r="M63" s="1"/>
      <c r="N63" s="18"/>
    </row>
    <row r="64" spans="2:14" ht="15" customHeight="1" x14ac:dyDescent="0.25">
      <c r="B64" s="20"/>
      <c r="C64" s="5" t="s">
        <v>193</v>
      </c>
      <c r="D64" s="6" t="s">
        <v>179</v>
      </c>
      <c r="E64" s="11">
        <v>3.6159999999999999E-3</v>
      </c>
      <c r="F64" s="1"/>
      <c r="G64" s="1"/>
      <c r="H64" s="1"/>
      <c r="I64" s="1"/>
      <c r="J64" s="1"/>
      <c r="K64" s="1"/>
      <c r="L64" s="1"/>
      <c r="M64" s="1"/>
      <c r="N64" s="18"/>
    </row>
    <row r="65" spans="2:14" ht="15" customHeight="1" x14ac:dyDescent="0.25">
      <c r="B65" s="20"/>
      <c r="C65" s="5" t="s">
        <v>202</v>
      </c>
      <c r="D65" s="6" t="s">
        <v>179</v>
      </c>
      <c r="E65" s="11">
        <v>3.5729999999999998E-3</v>
      </c>
      <c r="F65" s="1"/>
      <c r="G65" s="1"/>
      <c r="H65" s="1"/>
      <c r="I65" s="1"/>
      <c r="J65" s="1"/>
      <c r="K65" s="1"/>
      <c r="L65" s="1"/>
      <c r="M65" s="1"/>
      <c r="N65" s="18"/>
    </row>
    <row r="66" spans="2:14" ht="15" customHeight="1" x14ac:dyDescent="0.25">
      <c r="B66" s="20"/>
      <c r="C66" s="5" t="s">
        <v>198</v>
      </c>
      <c r="D66" s="6" t="s">
        <v>179</v>
      </c>
      <c r="E66" s="11">
        <v>2.9009999999999999E-3</v>
      </c>
      <c r="F66" s="1"/>
      <c r="G66" s="1"/>
      <c r="H66" s="1"/>
      <c r="I66" s="1"/>
      <c r="J66" s="1"/>
      <c r="K66" s="1"/>
      <c r="L66" s="1"/>
      <c r="M66" s="1"/>
      <c r="N66" s="18"/>
    </row>
    <row r="67" spans="2:14" ht="15" customHeight="1" x14ac:dyDescent="0.25">
      <c r="B67" s="20"/>
      <c r="C67" s="5" t="s">
        <v>210</v>
      </c>
      <c r="D67" s="6" t="s">
        <v>179</v>
      </c>
      <c r="E67" s="11">
        <v>1.8489999999999999E-3</v>
      </c>
      <c r="F67" s="1"/>
      <c r="G67" s="1"/>
      <c r="H67" s="1"/>
      <c r="I67" s="1"/>
      <c r="J67" s="1"/>
      <c r="K67" s="1"/>
      <c r="L67" s="1"/>
      <c r="M67" s="1"/>
      <c r="N67" s="18"/>
    </row>
    <row r="68" spans="2:14" ht="15" customHeight="1" x14ac:dyDescent="0.25">
      <c r="B68" s="20"/>
      <c r="C68" s="5" t="s">
        <v>209</v>
      </c>
      <c r="D68" s="6" t="s">
        <v>179</v>
      </c>
      <c r="E68" s="11">
        <v>1.841E-3</v>
      </c>
      <c r="F68" s="1"/>
      <c r="G68" s="1"/>
      <c r="H68" s="1"/>
      <c r="I68" s="1"/>
      <c r="J68" s="1"/>
      <c r="K68" s="1"/>
      <c r="L68" s="1"/>
      <c r="M68" s="1"/>
      <c r="N68" s="18"/>
    </row>
    <row r="69" spans="2:14" ht="15" customHeight="1" x14ac:dyDescent="0.25">
      <c r="B69" s="20"/>
      <c r="C69" s="5" t="s">
        <v>212</v>
      </c>
      <c r="D69" s="6" t="s">
        <v>179</v>
      </c>
      <c r="E69" s="11">
        <v>1.8289999999999999E-3</v>
      </c>
      <c r="F69" s="1"/>
      <c r="G69" s="1"/>
      <c r="H69" s="1"/>
      <c r="I69" s="1"/>
      <c r="J69" s="1"/>
      <c r="K69" s="1"/>
      <c r="L69" s="1"/>
      <c r="M69" s="1"/>
      <c r="N69" s="18"/>
    </row>
    <row r="70" spans="2:14" ht="15" customHeight="1" x14ac:dyDescent="0.25">
      <c r="B70" s="20"/>
      <c r="C70" s="5" t="s">
        <v>196</v>
      </c>
      <c r="D70" s="6" t="s">
        <v>179</v>
      </c>
      <c r="E70" s="11">
        <v>1.815E-3</v>
      </c>
      <c r="F70" s="1"/>
      <c r="G70" s="1"/>
      <c r="H70" s="1"/>
      <c r="I70" s="1"/>
      <c r="J70" s="1"/>
      <c r="K70" s="1"/>
      <c r="L70" s="1"/>
      <c r="M70" s="1"/>
      <c r="N70" s="18"/>
    </row>
    <row r="71" spans="2:14" ht="15" customHeight="1" x14ac:dyDescent="0.25">
      <c r="B71" s="20"/>
      <c r="C71" s="5" t="s">
        <v>219</v>
      </c>
      <c r="D71" s="6" t="s">
        <v>179</v>
      </c>
      <c r="E71" s="11">
        <v>1.802E-3</v>
      </c>
      <c r="F71" s="1"/>
      <c r="G71" s="1"/>
      <c r="H71" s="1"/>
      <c r="I71" s="1"/>
      <c r="J71" s="1"/>
      <c r="K71" s="1"/>
      <c r="L71" s="1"/>
      <c r="M71" s="1"/>
      <c r="N71" s="18"/>
    </row>
    <row r="72" spans="2:14" ht="15" customHeight="1" x14ac:dyDescent="0.25">
      <c r="B72" s="20"/>
      <c r="C72" s="5" t="s">
        <v>184</v>
      </c>
      <c r="D72" s="6" t="s">
        <v>179</v>
      </c>
      <c r="E72" s="11">
        <v>1.8E-3</v>
      </c>
      <c r="F72" s="1"/>
      <c r="G72" s="1"/>
      <c r="H72" s="1"/>
      <c r="I72" s="1"/>
      <c r="J72" s="1"/>
      <c r="K72" s="1"/>
      <c r="L72" s="1"/>
      <c r="M72" s="1"/>
      <c r="N72" s="18"/>
    </row>
    <row r="73" spans="2:14" ht="15" customHeight="1" x14ac:dyDescent="0.25">
      <c r="B73" s="20"/>
      <c r="C73" s="5" t="s">
        <v>197</v>
      </c>
      <c r="D73" s="6" t="s">
        <v>179</v>
      </c>
      <c r="E73" s="11">
        <v>9.0700000000000004E-4</v>
      </c>
      <c r="F73" s="1"/>
      <c r="G73" s="1"/>
      <c r="H73" s="1"/>
      <c r="I73" s="1"/>
      <c r="J73" s="1"/>
      <c r="K73" s="1"/>
      <c r="L73" s="1"/>
      <c r="M73" s="1"/>
      <c r="N73" s="18"/>
    </row>
    <row r="74" spans="2:14" ht="15" customHeight="1" x14ac:dyDescent="0.25">
      <c r="B74" s="20"/>
      <c r="C74" s="5" t="s">
        <v>183</v>
      </c>
      <c r="D74" s="6" t="s">
        <v>179</v>
      </c>
      <c r="E74" s="11">
        <v>8.9700000000000001E-4</v>
      </c>
      <c r="F74" s="1"/>
      <c r="G74" s="1"/>
      <c r="H74" s="1"/>
      <c r="I74" s="1"/>
      <c r="J74" s="1"/>
      <c r="K74" s="1"/>
      <c r="L74" s="1"/>
      <c r="M74" s="1"/>
      <c r="N74" s="18"/>
    </row>
    <row r="75" spans="2:14" ht="15" customHeight="1" x14ac:dyDescent="0.25">
      <c r="B75" s="20"/>
      <c r="C75" s="5" t="s">
        <v>215</v>
      </c>
      <c r="D75" s="6" t="s">
        <v>179</v>
      </c>
      <c r="E75" s="11">
        <v>8.9499999999999996E-4</v>
      </c>
      <c r="F75" s="1"/>
      <c r="G75" s="1"/>
      <c r="H75" s="1"/>
      <c r="I75" s="1"/>
      <c r="J75" s="1"/>
      <c r="K75" s="1"/>
      <c r="L75" s="1"/>
      <c r="M75" s="1"/>
      <c r="N75" s="18"/>
    </row>
    <row r="76" spans="2:14" ht="15" customHeight="1" x14ac:dyDescent="0.25">
      <c r="B76" s="20"/>
      <c r="C76" s="7" t="s">
        <v>54</v>
      </c>
      <c r="D76" s="8"/>
      <c r="E76" s="12">
        <v>0.310886</v>
      </c>
      <c r="F76" s="1"/>
      <c r="G76" s="1"/>
      <c r="H76" s="1"/>
      <c r="I76" s="1"/>
      <c r="J76" s="1"/>
      <c r="K76" s="1"/>
      <c r="L76" s="1"/>
      <c r="M76" s="1"/>
      <c r="N76" s="18"/>
    </row>
    <row r="77" spans="2:14" ht="15" customHeight="1" x14ac:dyDescent="0.25">
      <c r="B77" s="20"/>
      <c r="C77" s="5" t="s">
        <v>9</v>
      </c>
      <c r="D77" s="6"/>
      <c r="E77" s="11">
        <v>9.9889999999999996E-3</v>
      </c>
      <c r="F77" s="1"/>
      <c r="G77" s="1"/>
      <c r="H77" s="1"/>
      <c r="I77" s="1"/>
      <c r="J77" s="1"/>
      <c r="K77" s="1"/>
      <c r="L77" s="1"/>
      <c r="M77" s="1"/>
      <c r="N77" s="18"/>
    </row>
    <row r="78" spans="2:14" ht="15" customHeight="1" x14ac:dyDescent="0.25">
      <c r="B78" s="20"/>
      <c r="C78" s="7" t="s">
        <v>10</v>
      </c>
      <c r="D78" s="8"/>
      <c r="E78" s="12">
        <v>9.9889999999999996E-3</v>
      </c>
      <c r="F78" s="1"/>
      <c r="G78" s="1"/>
      <c r="H78" s="1"/>
      <c r="I78" s="1"/>
      <c r="J78" s="1"/>
      <c r="K78" s="1"/>
      <c r="L78" s="1"/>
      <c r="M78" s="1"/>
      <c r="N78" s="18"/>
    </row>
    <row r="79" spans="2:14" ht="15" customHeight="1" x14ac:dyDescent="0.25">
      <c r="B79" s="20"/>
      <c r="C79" s="5" t="s">
        <v>120</v>
      </c>
      <c r="D79" s="6" t="s">
        <v>93</v>
      </c>
      <c r="E79" s="11">
        <v>2.1514999999999999E-2</v>
      </c>
      <c r="F79" s="1"/>
      <c r="G79" s="1"/>
      <c r="H79" s="1"/>
      <c r="I79" s="1"/>
      <c r="J79" s="1"/>
      <c r="K79" s="1"/>
      <c r="L79" s="1"/>
      <c r="M79" s="1"/>
      <c r="N79" s="18"/>
    </row>
    <row r="80" spans="2:14" ht="15" customHeight="1" x14ac:dyDescent="0.25">
      <c r="B80" s="20"/>
      <c r="C80" s="5" t="s">
        <v>76</v>
      </c>
      <c r="D80" s="6" t="s">
        <v>34</v>
      </c>
      <c r="E80" s="11">
        <v>4.4349999999999997E-3</v>
      </c>
      <c r="F80" s="1"/>
      <c r="G80" s="1"/>
      <c r="H80" s="1"/>
      <c r="I80" s="1"/>
      <c r="J80" s="1"/>
      <c r="K80" s="1"/>
      <c r="L80" s="1"/>
      <c r="M80" s="1"/>
      <c r="N80" s="18"/>
    </row>
    <row r="81" spans="2:14" ht="15" customHeight="1" x14ac:dyDescent="0.25">
      <c r="B81" s="20"/>
      <c r="C81" s="7" t="s">
        <v>162</v>
      </c>
      <c r="D81" s="8"/>
      <c r="E81" s="12">
        <v>2.5950000000000001E-2</v>
      </c>
      <c r="F81" s="1"/>
      <c r="G81" s="1"/>
      <c r="H81" s="1"/>
      <c r="I81" s="1"/>
      <c r="J81" s="1"/>
      <c r="K81" s="1"/>
      <c r="L81" s="1"/>
      <c r="M81" s="1"/>
      <c r="N81" s="18"/>
    </row>
    <row r="82" spans="2:14" ht="15" customHeight="1" x14ac:dyDescent="0.25">
      <c r="B82" s="20"/>
      <c r="C82" s="5"/>
      <c r="D82" s="6"/>
      <c r="E82" s="11"/>
      <c r="F82" s="1"/>
      <c r="G82" s="1"/>
      <c r="H82" s="1"/>
      <c r="I82" s="1"/>
      <c r="J82" s="1"/>
      <c r="K82" s="1"/>
      <c r="L82" s="1"/>
      <c r="M82" s="1"/>
      <c r="N82" s="18"/>
    </row>
    <row r="83" spans="2:14" ht="15" customHeight="1" x14ac:dyDescent="0.25">
      <c r="B83" s="20"/>
      <c r="C83" s="7" t="s">
        <v>11</v>
      </c>
      <c r="D83" s="8"/>
      <c r="E83" s="12">
        <v>2.3764E-2</v>
      </c>
      <c r="F83" s="1"/>
      <c r="G83" s="1"/>
      <c r="H83" s="1"/>
      <c r="I83" s="1"/>
      <c r="J83" s="1"/>
      <c r="K83" s="1"/>
      <c r="L83" s="1"/>
      <c r="M83" s="1"/>
      <c r="N83" s="18"/>
    </row>
    <row r="84" spans="2:14" ht="15" customHeight="1" x14ac:dyDescent="0.25">
      <c r="B84" s="20"/>
      <c r="C84" s="5"/>
      <c r="D84" s="6"/>
      <c r="E84" s="11"/>
      <c r="F84" s="1"/>
      <c r="G84" s="1"/>
      <c r="H84" s="1"/>
      <c r="I84" s="1"/>
      <c r="J84" s="1"/>
      <c r="K84" s="1"/>
      <c r="L84" s="1"/>
      <c r="M84" s="1"/>
      <c r="N84" s="18"/>
    </row>
    <row r="85" spans="2:14" ht="15" customHeight="1" x14ac:dyDescent="0.25">
      <c r="B85" s="20"/>
      <c r="C85" s="9" t="s">
        <v>12</v>
      </c>
      <c r="D85" s="10"/>
      <c r="E85" s="13">
        <v>1</v>
      </c>
      <c r="F85" s="1"/>
      <c r="G85" s="1"/>
      <c r="H85" s="1"/>
      <c r="I85" s="1"/>
      <c r="J85" s="1"/>
      <c r="K85" s="1"/>
      <c r="L85" s="1"/>
      <c r="M85" s="1"/>
      <c r="N85" s="18"/>
    </row>
    <row r="86" spans="2:14" ht="15" customHeight="1" x14ac:dyDescent="0.25">
      <c r="B86" s="20"/>
      <c r="C86" s="1"/>
      <c r="D86" s="1"/>
      <c r="E86" s="1"/>
      <c r="F86" s="1"/>
      <c r="G86" s="1"/>
      <c r="H86" s="1"/>
      <c r="I86" s="1"/>
      <c r="J86" s="1"/>
      <c r="K86" s="1"/>
      <c r="L86" s="1"/>
      <c r="M86" s="1"/>
      <c r="N86" s="18"/>
    </row>
    <row r="87" spans="2:14" ht="15" customHeight="1" thickBot="1" x14ac:dyDescent="0.3">
      <c r="B87" s="21"/>
      <c r="C87" s="22"/>
      <c r="D87" s="22"/>
      <c r="E87" s="22"/>
      <c r="F87" s="22"/>
      <c r="G87" s="22"/>
      <c r="H87" s="22"/>
      <c r="I87" s="22"/>
      <c r="J87" s="22"/>
      <c r="K87" s="22"/>
      <c r="L87" s="22"/>
      <c r="M87" s="22"/>
      <c r="N87" s="23"/>
    </row>
    <row r="88" spans="2:14" ht="15" customHeight="1" thickBot="1" x14ac:dyDescent="0.3"/>
    <row r="89" spans="2:14" ht="15" customHeight="1" x14ac:dyDescent="0.25">
      <c r="B89" s="49" t="s">
        <v>335</v>
      </c>
      <c r="C89" s="50"/>
      <c r="D89" s="50"/>
      <c r="E89" s="50"/>
      <c r="F89" s="50"/>
      <c r="G89" s="50"/>
      <c r="H89" s="50"/>
      <c r="I89" s="50"/>
      <c r="J89" s="50"/>
      <c r="K89" s="50"/>
      <c r="L89" s="50"/>
      <c r="M89" s="50"/>
      <c r="N89" s="51"/>
    </row>
    <row r="90" spans="2:14" ht="15" customHeight="1" x14ac:dyDescent="0.25">
      <c r="B90" s="52"/>
      <c r="C90" s="53"/>
      <c r="D90" s="53"/>
      <c r="E90" s="53"/>
      <c r="F90" s="53"/>
      <c r="G90" s="53"/>
      <c r="H90" s="53"/>
      <c r="I90" s="53"/>
      <c r="J90" s="53"/>
      <c r="K90" s="53"/>
      <c r="L90" s="53"/>
      <c r="M90" s="53"/>
      <c r="N90" s="54"/>
    </row>
    <row r="91" spans="2:14" ht="15" customHeight="1" x14ac:dyDescent="0.25">
      <c r="B91" s="52"/>
      <c r="C91" s="53"/>
      <c r="D91" s="53"/>
      <c r="E91" s="53"/>
      <c r="F91" s="53"/>
      <c r="G91" s="53"/>
      <c r="H91" s="53"/>
      <c r="I91" s="53"/>
      <c r="J91" s="53"/>
      <c r="K91" s="53"/>
      <c r="L91" s="53"/>
      <c r="M91" s="53"/>
      <c r="N91" s="54"/>
    </row>
    <row r="92" spans="2:14" ht="15" customHeight="1" thickBot="1" x14ac:dyDescent="0.3">
      <c r="B92" s="55"/>
      <c r="C92" s="56"/>
      <c r="D92" s="56"/>
      <c r="E92" s="56"/>
      <c r="F92" s="56"/>
      <c r="G92" s="56"/>
      <c r="H92" s="56"/>
      <c r="I92" s="56"/>
      <c r="J92" s="56"/>
      <c r="K92" s="56"/>
      <c r="L92" s="56"/>
      <c r="M92" s="56"/>
      <c r="N92" s="57"/>
    </row>
    <row r="93" spans="2:14" ht="15" customHeight="1" thickBot="1" x14ac:dyDescent="0.3"/>
    <row r="94" spans="2:14" ht="143.25" customHeight="1" thickBot="1" x14ac:dyDescent="0.3">
      <c r="B94" s="46" t="s">
        <v>338</v>
      </c>
      <c r="C94" s="47"/>
      <c r="D94" s="47"/>
      <c r="E94" s="47"/>
      <c r="F94" s="47"/>
      <c r="G94" s="47"/>
      <c r="H94" s="47"/>
      <c r="I94" s="47"/>
      <c r="J94" s="47"/>
      <c r="K94" s="47"/>
      <c r="L94" s="47"/>
      <c r="M94" s="47"/>
      <c r="N94" s="48"/>
    </row>
    <row r="95" spans="2:14" ht="15" customHeight="1" x14ac:dyDescent="0.25"/>
    <row r="96" spans="2:14"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sheetData>
  <sortState ref="C29:E75">
    <sortCondition descending="1" ref="E29"/>
  </sortState>
  <mergeCells count="7">
    <mergeCell ref="B89:N92"/>
    <mergeCell ref="B94:N94"/>
    <mergeCell ref="C3:N3"/>
    <mergeCell ref="D5:E5"/>
    <mergeCell ref="G7:N7"/>
    <mergeCell ref="G24:K24"/>
    <mergeCell ref="G26:N26"/>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1683D-E97D-4BDE-91EE-9A29FD967E94}">
  <dimension ref="B1:N89"/>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8" t="s">
        <v>164</v>
      </c>
      <c r="D3" s="59"/>
      <c r="E3" s="59"/>
      <c r="F3" s="59"/>
      <c r="G3" s="59"/>
      <c r="H3" s="59"/>
      <c r="I3" s="59"/>
      <c r="J3" s="59"/>
      <c r="K3" s="59"/>
      <c r="L3" s="59"/>
      <c r="M3" s="59"/>
      <c r="N3" s="60"/>
    </row>
    <row r="4" spans="2:14" ht="15.75" customHeight="1" x14ac:dyDescent="0.25">
      <c r="B4" s="20"/>
      <c r="C4" s="14"/>
      <c r="D4" s="1"/>
      <c r="E4" s="1"/>
      <c r="F4" s="1"/>
      <c r="G4" s="1"/>
      <c r="H4" s="1"/>
      <c r="I4" s="1"/>
      <c r="J4" s="1"/>
      <c r="K4" s="1"/>
      <c r="L4" s="1"/>
      <c r="M4" s="1"/>
      <c r="N4" s="18"/>
    </row>
    <row r="5" spans="2:14" ht="18" customHeight="1" x14ac:dyDescent="0.25">
      <c r="B5" s="20"/>
      <c r="C5" s="15" t="s">
        <v>21</v>
      </c>
      <c r="D5" s="61" t="s">
        <v>330</v>
      </c>
      <c r="E5" s="6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63" t="s">
        <v>17</v>
      </c>
      <c r="H7" s="64"/>
      <c r="I7" s="64"/>
      <c r="J7" s="64"/>
      <c r="K7" s="64"/>
      <c r="L7" s="64"/>
      <c r="M7" s="64"/>
      <c r="N7" s="65"/>
    </row>
    <row r="8" spans="2:14" ht="15" customHeight="1" x14ac:dyDescent="0.25">
      <c r="B8" s="20"/>
      <c r="C8" s="5" t="s">
        <v>23</v>
      </c>
      <c r="D8" s="6" t="s">
        <v>24</v>
      </c>
      <c r="E8" s="11">
        <v>0.16565099999999999</v>
      </c>
      <c r="F8" s="1"/>
      <c r="G8" s="24" t="s">
        <v>16</v>
      </c>
      <c r="H8" s="25">
        <v>1</v>
      </c>
      <c r="I8" s="1"/>
      <c r="J8" s="24" t="s">
        <v>13</v>
      </c>
      <c r="K8" s="24" t="s">
        <v>3</v>
      </c>
      <c r="L8" s="1"/>
      <c r="M8" s="1"/>
      <c r="N8" s="18"/>
    </row>
    <row r="9" spans="2:14" ht="15" customHeight="1" x14ac:dyDescent="0.25">
      <c r="B9" s="20"/>
      <c r="C9" s="5" t="s">
        <v>28</v>
      </c>
      <c r="D9" s="6" t="s">
        <v>24</v>
      </c>
      <c r="E9" s="11">
        <v>0.10102999999999999</v>
      </c>
      <c r="F9" s="1"/>
      <c r="G9" s="1"/>
      <c r="H9" s="1"/>
      <c r="I9" s="1"/>
      <c r="J9" s="24" t="s">
        <v>11</v>
      </c>
      <c r="K9" s="29">
        <v>-0.16034599999999999</v>
      </c>
      <c r="L9" s="1"/>
      <c r="M9" s="1"/>
      <c r="N9" s="18"/>
    </row>
    <row r="10" spans="2:14" ht="15" customHeight="1" x14ac:dyDescent="0.25">
      <c r="B10" s="20"/>
      <c r="C10" s="5" t="s">
        <v>62</v>
      </c>
      <c r="D10" s="6" t="s">
        <v>24</v>
      </c>
      <c r="E10" s="11">
        <v>8.9784000000000003E-2</v>
      </c>
      <c r="F10" s="1"/>
      <c r="G10" s="1"/>
      <c r="H10" s="1"/>
      <c r="I10" s="1"/>
      <c r="J10" s="24" t="s">
        <v>14</v>
      </c>
      <c r="K10" s="29">
        <v>2.5543E-2</v>
      </c>
      <c r="L10" s="1"/>
      <c r="M10" s="1"/>
      <c r="N10" s="18"/>
    </row>
    <row r="11" spans="2:14" ht="15" customHeight="1" x14ac:dyDescent="0.25">
      <c r="B11" s="20"/>
      <c r="C11" s="5" t="s">
        <v>40</v>
      </c>
      <c r="D11" s="6" t="s">
        <v>24</v>
      </c>
      <c r="E11" s="11">
        <v>8.8074E-2</v>
      </c>
      <c r="F11" s="1"/>
      <c r="G11" s="1"/>
      <c r="H11" s="1"/>
      <c r="I11" s="1"/>
      <c r="J11" s="24" t="s">
        <v>55</v>
      </c>
      <c r="K11" s="29">
        <v>0.78415400000000002</v>
      </c>
      <c r="L11" s="1"/>
      <c r="M11" s="1"/>
      <c r="N11" s="18"/>
    </row>
    <row r="12" spans="2:14" ht="15" customHeight="1" x14ac:dyDescent="0.25">
      <c r="B12" s="20"/>
      <c r="C12" s="5" t="s">
        <v>26</v>
      </c>
      <c r="D12" s="6" t="s">
        <v>24</v>
      </c>
      <c r="E12" s="11">
        <v>6.3972000000000001E-2</v>
      </c>
      <c r="F12" s="1"/>
      <c r="G12" s="1"/>
      <c r="H12" s="1"/>
      <c r="I12" s="1"/>
      <c r="J12" s="24" t="s">
        <v>57</v>
      </c>
      <c r="K12" s="29">
        <v>0.184388</v>
      </c>
      <c r="L12" s="1"/>
      <c r="M12" s="1"/>
      <c r="N12" s="18"/>
    </row>
    <row r="13" spans="2:14" ht="15" customHeight="1" x14ac:dyDescent="0.25">
      <c r="B13" s="20"/>
      <c r="C13" s="5" t="s">
        <v>133</v>
      </c>
      <c r="D13" s="6" t="s">
        <v>24</v>
      </c>
      <c r="E13" s="11">
        <v>5.9055999999999997E-2</v>
      </c>
      <c r="F13" s="1"/>
      <c r="G13" s="1"/>
      <c r="H13" s="1"/>
      <c r="I13" s="1"/>
      <c r="J13" s="24" t="s">
        <v>48</v>
      </c>
      <c r="K13" s="29">
        <v>1.6720000000000001E-3</v>
      </c>
      <c r="L13" s="1"/>
      <c r="M13" s="1"/>
      <c r="N13" s="18"/>
    </row>
    <row r="14" spans="2:14" ht="15" customHeight="1" x14ac:dyDescent="0.25">
      <c r="B14" s="20"/>
      <c r="C14" s="5" t="s">
        <v>29</v>
      </c>
      <c r="D14" s="6" t="s">
        <v>24</v>
      </c>
      <c r="E14" s="11">
        <v>5.0181000000000003E-2</v>
      </c>
      <c r="F14" s="1"/>
      <c r="G14" s="1"/>
      <c r="H14" s="1"/>
      <c r="I14" s="1"/>
      <c r="J14" s="24" t="s">
        <v>171</v>
      </c>
      <c r="K14" s="29">
        <v>1.3978000000000001E-2</v>
      </c>
      <c r="L14" s="1"/>
      <c r="M14" s="1"/>
      <c r="N14" s="18"/>
    </row>
    <row r="15" spans="2:14" ht="15" customHeight="1" x14ac:dyDescent="0.25">
      <c r="B15" s="20"/>
      <c r="C15" s="5" t="s">
        <v>35</v>
      </c>
      <c r="D15" s="6" t="s">
        <v>24</v>
      </c>
      <c r="E15" s="11">
        <v>4.8482999999999998E-2</v>
      </c>
      <c r="F15" s="1"/>
      <c r="G15" s="1"/>
      <c r="H15" s="1"/>
      <c r="I15" s="1"/>
      <c r="J15" s="24" t="s">
        <v>59</v>
      </c>
      <c r="K15" s="29">
        <v>0.119698</v>
      </c>
      <c r="L15" s="1"/>
      <c r="M15" s="1"/>
      <c r="N15" s="18"/>
    </row>
    <row r="16" spans="2:14" ht="15" customHeight="1" x14ac:dyDescent="0.25">
      <c r="B16" s="20"/>
      <c r="C16" s="5" t="s">
        <v>165</v>
      </c>
      <c r="D16" s="6" t="s">
        <v>24</v>
      </c>
      <c r="E16" s="11">
        <v>3.4306999999999997E-2</v>
      </c>
      <c r="F16" s="1"/>
      <c r="G16" s="1"/>
      <c r="H16" s="1"/>
      <c r="I16" s="1"/>
      <c r="J16" s="24" t="s">
        <v>156</v>
      </c>
      <c r="K16" s="29">
        <v>3.0913E-2</v>
      </c>
      <c r="L16" s="1"/>
      <c r="M16" s="1"/>
      <c r="N16" s="18"/>
    </row>
    <row r="17" spans="2:14" ht="15" customHeight="1" x14ac:dyDescent="0.25">
      <c r="B17" s="20"/>
      <c r="C17" s="5" t="s">
        <v>25</v>
      </c>
      <c r="D17" s="6" t="s">
        <v>24</v>
      </c>
      <c r="E17" s="11">
        <v>2.6922000000000001E-2</v>
      </c>
      <c r="F17" s="1"/>
      <c r="G17" s="1"/>
      <c r="H17" s="1"/>
      <c r="I17" s="1"/>
      <c r="J17" s="1"/>
      <c r="K17" s="1"/>
      <c r="L17" s="1"/>
      <c r="M17" s="1"/>
      <c r="N17" s="18"/>
    </row>
    <row r="18" spans="2:14" ht="15" customHeight="1" x14ac:dyDescent="0.25">
      <c r="B18" s="20"/>
      <c r="C18" s="5" t="s">
        <v>166</v>
      </c>
      <c r="D18" s="6" t="s">
        <v>24</v>
      </c>
      <c r="E18" s="11">
        <v>2.3539000000000001E-2</v>
      </c>
      <c r="F18" s="1"/>
      <c r="G18" s="1"/>
      <c r="H18" s="1"/>
      <c r="I18" s="1"/>
      <c r="J18" s="1"/>
      <c r="K18" s="1"/>
      <c r="L18" s="1"/>
      <c r="M18" s="1"/>
      <c r="N18" s="18"/>
    </row>
    <row r="19" spans="2:14" ht="15" customHeight="1" x14ac:dyDescent="0.25">
      <c r="B19" s="20"/>
      <c r="C19" s="5" t="s">
        <v>27</v>
      </c>
      <c r="D19" s="6" t="s">
        <v>24</v>
      </c>
      <c r="E19" s="11">
        <v>2.1083000000000001E-2</v>
      </c>
      <c r="F19" s="1"/>
      <c r="G19" s="1"/>
      <c r="H19" s="1"/>
      <c r="I19" s="1"/>
      <c r="J19" s="1"/>
      <c r="K19" s="1"/>
      <c r="L19" s="1"/>
      <c r="M19" s="1"/>
      <c r="N19" s="18"/>
    </row>
    <row r="20" spans="2:14" ht="15" customHeight="1" x14ac:dyDescent="0.25">
      <c r="B20" s="20"/>
      <c r="C20" s="5" t="s">
        <v>132</v>
      </c>
      <c r="D20" s="6" t="s">
        <v>24</v>
      </c>
      <c r="E20" s="11">
        <v>1.2071999999999999E-2</v>
      </c>
      <c r="F20" s="1"/>
      <c r="G20" s="1"/>
      <c r="H20" s="1"/>
      <c r="I20" s="1"/>
      <c r="J20" s="1"/>
      <c r="K20" s="1"/>
      <c r="L20" s="1"/>
      <c r="M20" s="1"/>
      <c r="N20" s="18"/>
    </row>
    <row r="21" spans="2:14" ht="15.75" customHeight="1" x14ac:dyDescent="0.25">
      <c r="B21" s="20"/>
      <c r="C21" s="7" t="s">
        <v>31</v>
      </c>
      <c r="D21" s="8"/>
      <c r="E21" s="12">
        <v>0.78415400000000002</v>
      </c>
      <c r="F21" s="1"/>
      <c r="G21" s="1"/>
      <c r="H21" s="1"/>
      <c r="I21" s="1"/>
      <c r="J21" s="1"/>
      <c r="K21" s="1"/>
      <c r="L21" s="1"/>
      <c r="M21" s="1"/>
      <c r="N21" s="18"/>
    </row>
    <row r="22" spans="2:14" ht="15" customHeight="1" x14ac:dyDescent="0.25">
      <c r="B22" s="20"/>
      <c r="C22" s="5" t="s">
        <v>120</v>
      </c>
      <c r="D22" s="6" t="s">
        <v>24</v>
      </c>
      <c r="E22" s="11">
        <v>3.6380999999999997E-2</v>
      </c>
      <c r="F22" s="1"/>
      <c r="G22" s="1"/>
      <c r="H22" s="1"/>
      <c r="I22" s="1"/>
      <c r="J22" s="1"/>
      <c r="K22" s="1"/>
      <c r="L22" s="1"/>
      <c r="M22" s="1"/>
      <c r="N22" s="18"/>
    </row>
    <row r="23" spans="2:14" ht="15" customHeight="1" x14ac:dyDescent="0.25">
      <c r="B23" s="20"/>
      <c r="C23" s="5" t="s">
        <v>76</v>
      </c>
      <c r="D23" s="6" t="s">
        <v>24</v>
      </c>
      <c r="E23" s="11">
        <v>3.3297E-2</v>
      </c>
      <c r="F23" s="1"/>
      <c r="G23" s="1"/>
      <c r="H23" s="1"/>
      <c r="I23" s="1"/>
      <c r="J23" s="1"/>
      <c r="K23" s="1"/>
      <c r="L23" s="1"/>
      <c r="M23" s="1"/>
      <c r="N23" s="18"/>
    </row>
    <row r="24" spans="2:14" ht="15" customHeight="1" x14ac:dyDescent="0.25">
      <c r="B24" s="20"/>
      <c r="C24" s="5" t="s">
        <v>27</v>
      </c>
      <c r="D24" s="6" t="s">
        <v>24</v>
      </c>
      <c r="E24" s="11">
        <v>2.4191000000000001E-2</v>
      </c>
      <c r="F24" s="1"/>
      <c r="G24" s="63" t="s">
        <v>111</v>
      </c>
      <c r="H24" s="64"/>
      <c r="I24" s="64"/>
      <c r="J24" s="64"/>
      <c r="K24" s="64"/>
      <c r="L24" s="26">
        <v>197.51359395564751</v>
      </c>
      <c r="M24" s="27"/>
      <c r="N24" s="28"/>
    </row>
    <row r="25" spans="2:14" ht="15" customHeight="1" x14ac:dyDescent="0.25">
      <c r="B25" s="20"/>
      <c r="C25" s="5" t="s">
        <v>145</v>
      </c>
      <c r="D25" s="6" t="s">
        <v>24</v>
      </c>
      <c r="E25" s="11">
        <v>1.8197000000000001E-2</v>
      </c>
      <c r="F25" s="1"/>
      <c r="G25" s="1"/>
      <c r="H25" s="1"/>
      <c r="I25" s="1"/>
      <c r="J25" s="1"/>
      <c r="K25" s="1"/>
      <c r="L25" s="1"/>
      <c r="M25" s="1"/>
      <c r="N25" s="18"/>
    </row>
    <row r="26" spans="2:14" ht="15" customHeight="1" x14ac:dyDescent="0.25">
      <c r="B26" s="20"/>
      <c r="C26" s="5" t="s">
        <v>98</v>
      </c>
      <c r="D26" s="6" t="s">
        <v>24</v>
      </c>
      <c r="E26" s="11">
        <v>1.7909999999999999E-2</v>
      </c>
      <c r="F26" s="1"/>
      <c r="G26" s="63" t="s">
        <v>19</v>
      </c>
      <c r="H26" s="64"/>
      <c r="I26" s="64"/>
      <c r="J26" s="64"/>
      <c r="K26" s="64"/>
      <c r="L26" s="64"/>
      <c r="M26" s="64"/>
      <c r="N26" s="65"/>
    </row>
    <row r="27" spans="2:14" ht="15" customHeight="1" x14ac:dyDescent="0.25">
      <c r="B27" s="20"/>
      <c r="C27" s="5" t="s">
        <v>136</v>
      </c>
      <c r="D27" s="6" t="s">
        <v>24</v>
      </c>
      <c r="E27" s="11">
        <v>1.5119E-2</v>
      </c>
      <c r="F27" s="1"/>
      <c r="G27" s="1"/>
      <c r="H27" s="1"/>
      <c r="I27" s="1"/>
      <c r="J27" s="1"/>
      <c r="K27" s="1"/>
      <c r="L27" s="1"/>
      <c r="M27" s="1"/>
      <c r="N27" s="18"/>
    </row>
    <row r="28" spans="2:14" ht="15" customHeight="1" x14ac:dyDescent="0.25">
      <c r="B28" s="20"/>
      <c r="C28" s="5" t="s">
        <v>141</v>
      </c>
      <c r="D28" s="6" t="s">
        <v>24</v>
      </c>
      <c r="E28" s="11">
        <v>1.2068000000000001E-2</v>
      </c>
      <c r="F28" s="1"/>
      <c r="G28" s="1"/>
      <c r="H28" s="1"/>
      <c r="I28" s="1"/>
      <c r="J28" s="1"/>
      <c r="K28" s="1"/>
      <c r="L28" s="1"/>
      <c r="M28" s="1"/>
      <c r="N28" s="18"/>
    </row>
    <row r="29" spans="2:14" ht="15" customHeight="1" x14ac:dyDescent="0.25">
      <c r="B29" s="20"/>
      <c r="C29" s="5" t="s">
        <v>137</v>
      </c>
      <c r="D29" s="6" t="s">
        <v>24</v>
      </c>
      <c r="E29" s="11">
        <v>9.0810000000000005E-3</v>
      </c>
      <c r="F29" s="1"/>
      <c r="G29" s="1"/>
      <c r="H29" s="1"/>
      <c r="I29" s="1"/>
      <c r="J29" s="1"/>
      <c r="K29" s="1"/>
      <c r="L29" s="1"/>
      <c r="M29" s="1"/>
      <c r="N29" s="18"/>
    </row>
    <row r="30" spans="2:14" ht="15" customHeight="1" x14ac:dyDescent="0.25">
      <c r="B30" s="20"/>
      <c r="C30" s="5" t="s">
        <v>71</v>
      </c>
      <c r="D30" s="6" t="s">
        <v>24</v>
      </c>
      <c r="E30" s="11">
        <v>6.0850000000000001E-3</v>
      </c>
      <c r="F30" s="1"/>
      <c r="G30" s="1"/>
      <c r="H30" s="1"/>
      <c r="I30" s="1"/>
      <c r="J30" s="1"/>
      <c r="K30" s="1"/>
      <c r="L30" s="1"/>
      <c r="M30" s="1"/>
      <c r="N30" s="18"/>
    </row>
    <row r="31" spans="2:14" ht="15" customHeight="1" x14ac:dyDescent="0.25">
      <c r="B31" s="20"/>
      <c r="C31" s="5" t="s">
        <v>63</v>
      </c>
      <c r="D31" s="6" t="s">
        <v>24</v>
      </c>
      <c r="E31" s="11">
        <v>6.0350000000000004E-3</v>
      </c>
      <c r="F31" s="1"/>
      <c r="G31" s="1"/>
      <c r="H31" s="1"/>
      <c r="I31" s="1"/>
      <c r="J31" s="1"/>
      <c r="K31" s="1"/>
      <c r="L31" s="1"/>
      <c r="M31" s="1"/>
      <c r="N31" s="18"/>
    </row>
    <row r="32" spans="2:14" ht="15" customHeight="1" x14ac:dyDescent="0.25">
      <c r="B32" s="20"/>
      <c r="C32" s="5" t="s">
        <v>143</v>
      </c>
      <c r="D32" s="6" t="s">
        <v>24</v>
      </c>
      <c r="E32" s="11">
        <v>6.0239999999999998E-3</v>
      </c>
      <c r="F32" s="1"/>
      <c r="G32" s="1"/>
      <c r="H32" s="1"/>
      <c r="I32" s="1"/>
      <c r="J32" s="1"/>
      <c r="K32" s="1"/>
      <c r="L32" s="1"/>
      <c r="M32" s="1"/>
      <c r="N32" s="18"/>
    </row>
    <row r="33" spans="2:14" ht="15.75" customHeight="1" x14ac:dyDescent="0.25">
      <c r="B33" s="20"/>
      <c r="C33" s="7" t="s">
        <v>32</v>
      </c>
      <c r="D33" s="8"/>
      <c r="E33" s="12">
        <v>0.184388</v>
      </c>
      <c r="F33" s="1"/>
      <c r="G33" s="1"/>
      <c r="H33" s="1"/>
      <c r="I33" s="1"/>
      <c r="J33" s="1"/>
      <c r="K33" s="1"/>
      <c r="L33" s="1"/>
      <c r="M33" s="1"/>
      <c r="N33" s="18"/>
    </row>
    <row r="34" spans="2:14" ht="15" customHeight="1" x14ac:dyDescent="0.25">
      <c r="B34" s="20"/>
      <c r="C34" s="5" t="s">
        <v>48</v>
      </c>
      <c r="D34" s="6"/>
      <c r="E34" s="11">
        <v>1.6720000000000001E-3</v>
      </c>
      <c r="F34" s="1"/>
      <c r="G34" s="1"/>
      <c r="H34" s="1"/>
      <c r="I34" s="1"/>
      <c r="J34" s="1"/>
      <c r="K34" s="1"/>
      <c r="L34" s="1"/>
      <c r="M34" s="1"/>
      <c r="N34" s="18"/>
    </row>
    <row r="35" spans="2:14" ht="15.75" customHeight="1" x14ac:dyDescent="0.25">
      <c r="B35" s="20"/>
      <c r="C35" s="7" t="s">
        <v>49</v>
      </c>
      <c r="D35" s="8"/>
      <c r="E35" s="12">
        <v>1.6720000000000001E-3</v>
      </c>
      <c r="F35" s="1"/>
      <c r="G35" s="1"/>
      <c r="H35" s="1"/>
      <c r="I35" s="1"/>
      <c r="J35" s="1"/>
      <c r="K35" s="1"/>
      <c r="L35" s="1"/>
      <c r="M35" s="1"/>
      <c r="N35" s="18"/>
    </row>
    <row r="36" spans="2:14" ht="15" customHeight="1" x14ac:dyDescent="0.25">
      <c r="B36" s="20"/>
      <c r="C36" s="5" t="s">
        <v>230</v>
      </c>
      <c r="D36" s="6" t="s">
        <v>179</v>
      </c>
      <c r="E36" s="11">
        <v>1.0954999999999999E-2</v>
      </c>
      <c r="F36" s="1"/>
      <c r="G36" s="1"/>
      <c r="H36" s="1"/>
      <c r="I36" s="1"/>
      <c r="J36" s="1"/>
      <c r="K36" s="1"/>
      <c r="L36" s="1"/>
      <c r="M36" s="1"/>
      <c r="N36" s="18"/>
    </row>
    <row r="37" spans="2:14" ht="15.75" customHeight="1" x14ac:dyDescent="0.25">
      <c r="B37" s="20"/>
      <c r="C37" s="5" t="s">
        <v>231</v>
      </c>
      <c r="D37" s="6" t="s">
        <v>179</v>
      </c>
      <c r="E37" s="11">
        <v>3.0230000000000001E-3</v>
      </c>
      <c r="F37" s="1"/>
      <c r="G37" s="1"/>
      <c r="H37" s="1"/>
      <c r="I37" s="1"/>
      <c r="J37" s="1"/>
      <c r="K37" s="1"/>
      <c r="L37" s="1"/>
      <c r="M37" s="1"/>
      <c r="N37" s="18"/>
    </row>
    <row r="38" spans="2:14" ht="15" customHeight="1" x14ac:dyDescent="0.25">
      <c r="B38" s="20"/>
      <c r="C38" s="7" t="s">
        <v>167</v>
      </c>
      <c r="D38" s="8"/>
      <c r="E38" s="12">
        <v>1.3978000000000001E-2</v>
      </c>
      <c r="F38" s="1"/>
      <c r="G38" s="1"/>
      <c r="H38" s="1"/>
      <c r="I38" s="1"/>
      <c r="J38" s="1"/>
      <c r="K38" s="1"/>
      <c r="L38" s="1"/>
      <c r="M38" s="1"/>
      <c r="N38" s="18"/>
    </row>
    <row r="39" spans="2:14" ht="15.75" customHeight="1" x14ac:dyDescent="0.25">
      <c r="B39" s="20"/>
      <c r="C39" s="5" t="s">
        <v>243</v>
      </c>
      <c r="D39" s="6" t="s">
        <v>179</v>
      </c>
      <c r="E39" s="11">
        <v>3.0501E-2</v>
      </c>
      <c r="F39" s="1"/>
      <c r="G39" s="1"/>
      <c r="H39" s="1"/>
      <c r="I39" s="1"/>
      <c r="J39" s="1"/>
      <c r="K39" s="1"/>
      <c r="L39" s="1"/>
      <c r="M39" s="1"/>
      <c r="N39" s="18"/>
    </row>
    <row r="40" spans="2:14" ht="15" customHeight="1" x14ac:dyDescent="0.25">
      <c r="B40" s="20"/>
      <c r="C40" s="5" t="s">
        <v>233</v>
      </c>
      <c r="D40" s="6" t="s">
        <v>179</v>
      </c>
      <c r="E40" s="11">
        <v>1.9741000000000002E-2</v>
      </c>
      <c r="F40" s="1"/>
      <c r="G40" s="1"/>
      <c r="H40" s="1"/>
      <c r="I40" s="1"/>
      <c r="J40" s="1"/>
      <c r="K40" s="1"/>
      <c r="L40" s="1"/>
      <c r="M40" s="1"/>
      <c r="N40" s="18"/>
    </row>
    <row r="41" spans="2:14" ht="15" customHeight="1" x14ac:dyDescent="0.25">
      <c r="B41" s="20"/>
      <c r="C41" s="5" t="s">
        <v>242</v>
      </c>
      <c r="D41" s="6" t="s">
        <v>179</v>
      </c>
      <c r="E41" s="11">
        <v>1.8305999999999999E-2</v>
      </c>
      <c r="F41" s="1"/>
      <c r="G41" s="1"/>
      <c r="H41" s="1"/>
      <c r="I41" s="1"/>
      <c r="J41" s="1"/>
      <c r="K41" s="1"/>
      <c r="L41" s="1"/>
      <c r="M41" s="1"/>
      <c r="N41" s="18"/>
    </row>
    <row r="42" spans="2:14" ht="15" customHeight="1" x14ac:dyDescent="0.25">
      <c r="B42" s="20"/>
      <c r="C42" s="5" t="s">
        <v>235</v>
      </c>
      <c r="D42" s="6" t="s">
        <v>179</v>
      </c>
      <c r="E42" s="11">
        <v>1.2965000000000001E-2</v>
      </c>
      <c r="F42" s="1"/>
      <c r="G42" s="1"/>
      <c r="H42" s="1"/>
      <c r="I42" s="1"/>
      <c r="J42" s="1"/>
      <c r="K42" s="1"/>
      <c r="L42" s="1"/>
      <c r="M42" s="1"/>
      <c r="N42" s="18"/>
    </row>
    <row r="43" spans="2:14" ht="15.75" customHeight="1" x14ac:dyDescent="0.25">
      <c r="B43" s="20"/>
      <c r="C43" s="5" t="s">
        <v>239</v>
      </c>
      <c r="D43" s="6" t="s">
        <v>179</v>
      </c>
      <c r="E43" s="11">
        <v>8.6219999999999995E-3</v>
      </c>
      <c r="F43" s="1"/>
      <c r="G43" s="1"/>
      <c r="H43" s="1"/>
      <c r="I43" s="1"/>
      <c r="J43" s="1"/>
      <c r="K43" s="1"/>
      <c r="L43" s="1"/>
      <c r="M43" s="1"/>
      <c r="N43" s="18"/>
    </row>
    <row r="44" spans="2:14" ht="15" customHeight="1" x14ac:dyDescent="0.25">
      <c r="B44" s="20"/>
      <c r="C44" s="5" t="s">
        <v>246</v>
      </c>
      <c r="D44" s="6" t="s">
        <v>179</v>
      </c>
      <c r="E44" s="11">
        <v>5.5539999999999999E-3</v>
      </c>
      <c r="F44" s="1"/>
      <c r="G44" s="1"/>
      <c r="H44" s="1"/>
      <c r="I44" s="1"/>
      <c r="J44" s="1"/>
      <c r="K44" s="1"/>
      <c r="L44" s="1"/>
      <c r="M44" s="1"/>
      <c r="N44" s="18"/>
    </row>
    <row r="45" spans="2:14" ht="15.75" customHeight="1" x14ac:dyDescent="0.25">
      <c r="B45" s="20"/>
      <c r="C45" s="5" t="s">
        <v>248</v>
      </c>
      <c r="D45" s="6" t="s">
        <v>179</v>
      </c>
      <c r="E45" s="11">
        <v>3.0869999999999999E-3</v>
      </c>
      <c r="F45" s="1"/>
      <c r="G45" s="1"/>
      <c r="H45" s="1"/>
      <c r="I45" s="1"/>
      <c r="J45" s="1"/>
      <c r="K45" s="1"/>
      <c r="L45" s="1"/>
      <c r="M45" s="1"/>
      <c r="N45" s="18"/>
    </row>
    <row r="46" spans="2:14" ht="15" customHeight="1" x14ac:dyDescent="0.25">
      <c r="B46" s="20"/>
      <c r="C46" s="5" t="s">
        <v>237</v>
      </c>
      <c r="D46" s="6" t="s">
        <v>179</v>
      </c>
      <c r="E46" s="11">
        <v>3.0860000000000002E-3</v>
      </c>
      <c r="F46" s="1"/>
      <c r="G46" s="1"/>
      <c r="H46" s="1"/>
      <c r="I46" s="1"/>
      <c r="J46" s="1"/>
      <c r="K46" s="1"/>
      <c r="L46" s="1"/>
      <c r="M46" s="1"/>
      <c r="N46" s="18"/>
    </row>
    <row r="47" spans="2:14" ht="15.75" customHeight="1" x14ac:dyDescent="0.25">
      <c r="B47" s="20"/>
      <c r="C47" s="5" t="s">
        <v>241</v>
      </c>
      <c r="D47" s="6" t="s">
        <v>179</v>
      </c>
      <c r="E47" s="11">
        <v>3.0690000000000001E-3</v>
      </c>
      <c r="F47" s="1"/>
      <c r="G47" s="1"/>
      <c r="H47" s="1"/>
      <c r="I47" s="1"/>
      <c r="J47" s="1"/>
      <c r="K47" s="1"/>
      <c r="L47" s="1"/>
      <c r="M47" s="1"/>
      <c r="N47" s="18"/>
    </row>
    <row r="48" spans="2:14" ht="15" customHeight="1" x14ac:dyDescent="0.25">
      <c r="B48" s="20"/>
      <c r="C48" s="5" t="s">
        <v>236</v>
      </c>
      <c r="D48" s="6" t="s">
        <v>179</v>
      </c>
      <c r="E48" s="11">
        <v>2.47E-3</v>
      </c>
      <c r="F48" s="1"/>
      <c r="G48" s="1"/>
      <c r="H48" s="1"/>
      <c r="I48" s="1"/>
      <c r="J48" s="1"/>
      <c r="K48" s="1"/>
      <c r="L48" s="1"/>
      <c r="M48" s="1"/>
      <c r="N48" s="18"/>
    </row>
    <row r="49" spans="2:14" ht="15" customHeight="1" x14ac:dyDescent="0.25">
      <c r="B49" s="20"/>
      <c r="C49" s="5" t="s">
        <v>238</v>
      </c>
      <c r="D49" s="6" t="s">
        <v>179</v>
      </c>
      <c r="E49" s="11">
        <v>2.47E-3</v>
      </c>
      <c r="F49" s="1"/>
      <c r="G49" s="1"/>
      <c r="H49" s="1"/>
      <c r="I49" s="1"/>
      <c r="J49" s="1"/>
      <c r="K49" s="1"/>
      <c r="L49" s="1"/>
      <c r="M49" s="1"/>
      <c r="N49" s="18"/>
    </row>
    <row r="50" spans="2:14" ht="15" customHeight="1" x14ac:dyDescent="0.25">
      <c r="B50" s="20"/>
      <c r="C50" s="5" t="s">
        <v>247</v>
      </c>
      <c r="D50" s="6" t="s">
        <v>179</v>
      </c>
      <c r="E50" s="11">
        <v>2.4680000000000001E-3</v>
      </c>
      <c r="F50" s="1"/>
      <c r="G50" s="1"/>
      <c r="H50" s="1"/>
      <c r="I50" s="1"/>
      <c r="J50" s="1"/>
      <c r="K50" s="1"/>
      <c r="L50" s="1"/>
      <c r="M50" s="1"/>
      <c r="N50" s="18"/>
    </row>
    <row r="51" spans="2:14" ht="15" customHeight="1" x14ac:dyDescent="0.25">
      <c r="B51" s="20"/>
      <c r="C51" s="5" t="s">
        <v>245</v>
      </c>
      <c r="D51" s="6" t="s">
        <v>179</v>
      </c>
      <c r="E51" s="11">
        <v>2.4380000000000001E-3</v>
      </c>
      <c r="F51" s="1"/>
      <c r="G51" s="1"/>
      <c r="H51" s="1"/>
      <c r="I51" s="1"/>
      <c r="J51" s="1"/>
      <c r="K51" s="1"/>
      <c r="L51" s="1"/>
      <c r="M51" s="1"/>
      <c r="N51" s="18"/>
    </row>
    <row r="52" spans="2:14" ht="15" customHeight="1" x14ac:dyDescent="0.25">
      <c r="B52" s="20"/>
      <c r="C52" s="5" t="s">
        <v>234</v>
      </c>
      <c r="D52" s="6" t="s">
        <v>179</v>
      </c>
      <c r="E52" s="11">
        <v>1.8519999999999999E-3</v>
      </c>
      <c r="F52" s="1"/>
      <c r="G52" s="1"/>
      <c r="H52" s="1"/>
      <c r="I52" s="1"/>
      <c r="J52" s="1"/>
      <c r="K52" s="1"/>
      <c r="L52" s="1"/>
      <c r="M52" s="1"/>
      <c r="N52" s="18"/>
    </row>
    <row r="53" spans="2:14" ht="15" customHeight="1" x14ac:dyDescent="0.25">
      <c r="B53" s="20"/>
      <c r="C53" s="5" t="s">
        <v>232</v>
      </c>
      <c r="D53" s="6" t="s">
        <v>179</v>
      </c>
      <c r="E53" s="11">
        <v>1.2310000000000001E-3</v>
      </c>
      <c r="F53" s="1"/>
      <c r="G53" s="1"/>
      <c r="H53" s="1"/>
      <c r="I53" s="1"/>
      <c r="J53" s="1"/>
      <c r="K53" s="1"/>
      <c r="L53" s="1"/>
      <c r="M53" s="1"/>
      <c r="N53" s="18"/>
    </row>
    <row r="54" spans="2:14" ht="15" customHeight="1" x14ac:dyDescent="0.25">
      <c r="B54" s="20"/>
      <c r="C54" s="5" t="s">
        <v>244</v>
      </c>
      <c r="D54" s="6" t="s">
        <v>179</v>
      </c>
      <c r="E54" s="11">
        <v>1.224E-3</v>
      </c>
      <c r="F54" s="1"/>
      <c r="G54" s="1"/>
      <c r="H54" s="1"/>
      <c r="I54" s="1"/>
      <c r="J54" s="1"/>
      <c r="K54" s="1"/>
      <c r="L54" s="1"/>
      <c r="M54" s="1"/>
      <c r="N54" s="18"/>
    </row>
    <row r="55" spans="2:14" ht="15" customHeight="1" x14ac:dyDescent="0.25">
      <c r="B55" s="20"/>
      <c r="C55" s="5" t="s">
        <v>240</v>
      </c>
      <c r="D55" s="6" t="s">
        <v>179</v>
      </c>
      <c r="E55" s="11">
        <v>6.1399999999999996E-4</v>
      </c>
      <c r="F55" s="1"/>
      <c r="G55" s="1"/>
      <c r="H55" s="1"/>
      <c r="I55" s="1"/>
      <c r="J55" s="1"/>
      <c r="K55" s="1"/>
      <c r="L55" s="1"/>
      <c r="M55" s="1"/>
      <c r="N55" s="18"/>
    </row>
    <row r="56" spans="2:14" ht="15" customHeight="1" x14ac:dyDescent="0.25">
      <c r="B56" s="20"/>
      <c r="C56" s="7" t="s">
        <v>54</v>
      </c>
      <c r="D56" s="8"/>
      <c r="E56" s="12">
        <v>0.119698</v>
      </c>
      <c r="F56" s="1"/>
      <c r="G56" s="1"/>
      <c r="H56" s="1"/>
      <c r="I56" s="1"/>
      <c r="J56" s="1"/>
      <c r="K56" s="1"/>
      <c r="L56" s="1"/>
      <c r="M56" s="1"/>
      <c r="N56" s="18"/>
    </row>
    <row r="57" spans="2:14" ht="15" customHeight="1" x14ac:dyDescent="0.25">
      <c r="B57" s="20"/>
      <c r="C57" s="5" t="s">
        <v>168</v>
      </c>
      <c r="D57" s="6" t="s">
        <v>179</v>
      </c>
      <c r="E57" s="11">
        <v>2.4240000000000001E-2</v>
      </c>
      <c r="F57" s="1"/>
      <c r="G57" s="1"/>
      <c r="H57" s="1"/>
      <c r="I57" s="1"/>
      <c r="J57" s="1"/>
      <c r="K57" s="1"/>
      <c r="L57" s="1"/>
      <c r="M57" s="1"/>
      <c r="N57" s="18"/>
    </row>
    <row r="58" spans="2:14" ht="15" customHeight="1" x14ac:dyDescent="0.25">
      <c r="B58" s="20"/>
      <c r="C58" s="5" t="s">
        <v>169</v>
      </c>
      <c r="D58" s="6" t="s">
        <v>179</v>
      </c>
      <c r="E58" s="11">
        <v>6.0740000000000004E-3</v>
      </c>
      <c r="F58" s="1"/>
      <c r="G58" s="1"/>
      <c r="H58" s="1"/>
      <c r="I58" s="1"/>
      <c r="J58" s="1"/>
      <c r="K58" s="1"/>
      <c r="L58" s="1"/>
      <c r="M58" s="1"/>
      <c r="N58" s="18"/>
    </row>
    <row r="59" spans="2:14" ht="15" customHeight="1" x14ac:dyDescent="0.25">
      <c r="B59" s="20"/>
      <c r="C59" s="5" t="s">
        <v>170</v>
      </c>
      <c r="D59" s="6" t="s">
        <v>179</v>
      </c>
      <c r="E59" s="11">
        <v>5.9900000000000003E-4</v>
      </c>
      <c r="F59" s="1"/>
      <c r="G59" s="1"/>
      <c r="H59" s="1"/>
      <c r="I59" s="1"/>
      <c r="J59" s="1"/>
      <c r="K59" s="1"/>
      <c r="L59" s="1"/>
      <c r="M59" s="1"/>
      <c r="N59" s="18"/>
    </row>
    <row r="60" spans="2:14" ht="15" customHeight="1" x14ac:dyDescent="0.25">
      <c r="B60" s="20"/>
      <c r="C60" s="7" t="s">
        <v>155</v>
      </c>
      <c r="D60" s="8"/>
      <c r="E60" s="12">
        <v>3.0913E-2</v>
      </c>
      <c r="F60" s="1"/>
      <c r="G60" s="1"/>
      <c r="H60" s="1"/>
      <c r="I60" s="1"/>
      <c r="J60" s="1"/>
      <c r="K60" s="1"/>
      <c r="L60" s="1"/>
      <c r="M60" s="1"/>
      <c r="N60" s="18"/>
    </row>
    <row r="61" spans="2:14" ht="15" customHeight="1" x14ac:dyDescent="0.25">
      <c r="B61" s="20"/>
      <c r="C61" s="5" t="s">
        <v>9</v>
      </c>
      <c r="D61" s="6"/>
      <c r="E61" s="11">
        <v>2.5543E-2</v>
      </c>
      <c r="F61" s="1"/>
      <c r="G61" s="1"/>
      <c r="H61" s="1"/>
      <c r="I61" s="1"/>
      <c r="J61" s="1"/>
      <c r="K61" s="1"/>
      <c r="L61" s="1"/>
      <c r="M61" s="1"/>
      <c r="N61" s="18"/>
    </row>
    <row r="62" spans="2:14" ht="15" customHeight="1" x14ac:dyDescent="0.25">
      <c r="B62" s="20"/>
      <c r="C62" s="7" t="s">
        <v>10</v>
      </c>
      <c r="D62" s="8"/>
      <c r="E62" s="12">
        <v>2.5543E-2</v>
      </c>
      <c r="F62" s="1"/>
      <c r="G62" s="1"/>
      <c r="H62" s="1"/>
      <c r="I62" s="1"/>
      <c r="J62" s="1"/>
      <c r="K62" s="1"/>
      <c r="L62" s="1"/>
      <c r="M62" s="1"/>
      <c r="N62" s="18"/>
    </row>
    <row r="63" spans="2:14" ht="15" customHeight="1" x14ac:dyDescent="0.25">
      <c r="B63" s="20"/>
      <c r="C63" s="5"/>
      <c r="D63" s="6"/>
      <c r="E63" s="11"/>
      <c r="F63" s="1"/>
      <c r="G63" s="1"/>
      <c r="H63" s="1"/>
      <c r="I63" s="1"/>
      <c r="J63" s="1"/>
      <c r="K63" s="1"/>
      <c r="L63" s="1"/>
      <c r="M63" s="1"/>
      <c r="N63" s="18"/>
    </row>
    <row r="64" spans="2:14" ht="15" customHeight="1" x14ac:dyDescent="0.25">
      <c r="B64" s="20"/>
      <c r="C64" s="7" t="s">
        <v>11</v>
      </c>
      <c r="D64" s="8"/>
      <c r="E64" s="12">
        <v>-0.16034599999999999</v>
      </c>
      <c r="F64" s="1"/>
      <c r="G64" s="1"/>
      <c r="H64" s="1"/>
      <c r="I64" s="1"/>
      <c r="J64" s="1"/>
      <c r="K64" s="1"/>
      <c r="L64" s="1"/>
      <c r="M64" s="1"/>
      <c r="N64" s="18"/>
    </row>
    <row r="65" spans="2:14" ht="15" customHeight="1" x14ac:dyDescent="0.25">
      <c r="B65" s="20"/>
      <c r="C65" s="5"/>
      <c r="D65" s="6"/>
      <c r="E65" s="11"/>
      <c r="F65" s="1"/>
      <c r="G65" s="1"/>
      <c r="H65" s="1"/>
      <c r="I65" s="1"/>
      <c r="J65" s="1"/>
      <c r="K65" s="1"/>
      <c r="L65" s="1"/>
      <c r="M65" s="1"/>
      <c r="N65" s="18"/>
    </row>
    <row r="66" spans="2:14" ht="15" customHeight="1" x14ac:dyDescent="0.25">
      <c r="B66" s="20"/>
      <c r="C66" s="9" t="s">
        <v>12</v>
      </c>
      <c r="D66" s="10"/>
      <c r="E66" s="13">
        <v>1</v>
      </c>
      <c r="F66" s="1"/>
      <c r="G66" s="1"/>
      <c r="H66" s="1"/>
      <c r="I66" s="1"/>
      <c r="J66" s="1"/>
      <c r="K66" s="1"/>
      <c r="L66" s="1"/>
      <c r="M66" s="1"/>
      <c r="N66" s="18"/>
    </row>
    <row r="67" spans="2:14" ht="15" customHeight="1" thickBot="1" x14ac:dyDescent="0.3">
      <c r="B67" s="21"/>
      <c r="C67" s="22"/>
      <c r="D67" s="22"/>
      <c r="E67" s="22"/>
      <c r="F67" s="22"/>
      <c r="G67" s="22"/>
      <c r="H67" s="22"/>
      <c r="I67" s="22"/>
      <c r="J67" s="22"/>
      <c r="K67" s="22"/>
      <c r="L67" s="22"/>
      <c r="M67" s="22"/>
      <c r="N67" s="23"/>
    </row>
    <row r="68" spans="2:14" ht="15" customHeight="1" thickBot="1" x14ac:dyDescent="0.3"/>
    <row r="69" spans="2:14" ht="15" customHeight="1" x14ac:dyDescent="0.25">
      <c r="B69" s="49" t="s">
        <v>335</v>
      </c>
      <c r="C69" s="50"/>
      <c r="D69" s="50"/>
      <c r="E69" s="50"/>
      <c r="F69" s="50"/>
      <c r="G69" s="50"/>
      <c r="H69" s="50"/>
      <c r="I69" s="50"/>
      <c r="J69" s="50"/>
      <c r="K69" s="50"/>
      <c r="L69" s="50"/>
      <c r="M69" s="50"/>
      <c r="N69" s="51"/>
    </row>
    <row r="70" spans="2:14" ht="15" customHeight="1" x14ac:dyDescent="0.25">
      <c r="B70" s="52"/>
      <c r="C70" s="53"/>
      <c r="D70" s="53"/>
      <c r="E70" s="53"/>
      <c r="F70" s="53"/>
      <c r="G70" s="53"/>
      <c r="H70" s="53"/>
      <c r="I70" s="53"/>
      <c r="J70" s="53"/>
      <c r="K70" s="53"/>
      <c r="L70" s="53"/>
      <c r="M70" s="53"/>
      <c r="N70" s="54"/>
    </row>
    <row r="71" spans="2:14" ht="15" customHeight="1" x14ac:dyDescent="0.25">
      <c r="B71" s="52"/>
      <c r="C71" s="53"/>
      <c r="D71" s="53"/>
      <c r="E71" s="53"/>
      <c r="F71" s="53"/>
      <c r="G71" s="53"/>
      <c r="H71" s="53"/>
      <c r="I71" s="53"/>
      <c r="J71" s="53"/>
      <c r="K71" s="53"/>
      <c r="L71" s="53"/>
      <c r="M71" s="53"/>
      <c r="N71" s="54"/>
    </row>
    <row r="72" spans="2:14" ht="15" customHeight="1" thickBot="1" x14ac:dyDescent="0.3">
      <c r="B72" s="55"/>
      <c r="C72" s="56"/>
      <c r="D72" s="56"/>
      <c r="E72" s="56"/>
      <c r="F72" s="56"/>
      <c r="G72" s="56"/>
      <c r="H72" s="56"/>
      <c r="I72" s="56"/>
      <c r="J72" s="56"/>
      <c r="K72" s="56"/>
      <c r="L72" s="56"/>
      <c r="M72" s="56"/>
      <c r="N72" s="57"/>
    </row>
    <row r="73" spans="2:14" ht="15" customHeight="1" thickBot="1" x14ac:dyDescent="0.3"/>
    <row r="74" spans="2:14" ht="129.75" customHeight="1" thickBot="1" x14ac:dyDescent="0.3">
      <c r="B74" s="46" t="s">
        <v>338</v>
      </c>
      <c r="C74" s="47"/>
      <c r="D74" s="47"/>
      <c r="E74" s="47"/>
      <c r="F74" s="47"/>
      <c r="G74" s="47"/>
      <c r="H74" s="47"/>
      <c r="I74" s="47"/>
      <c r="J74" s="47"/>
      <c r="K74" s="47"/>
      <c r="L74" s="47"/>
      <c r="M74" s="47"/>
      <c r="N74" s="48"/>
    </row>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sheetData>
  <sortState ref="C39:E55">
    <sortCondition descending="1" ref="E39"/>
  </sortState>
  <mergeCells count="7">
    <mergeCell ref="B74:N74"/>
    <mergeCell ref="B69:N72"/>
    <mergeCell ref="C3:N3"/>
    <mergeCell ref="D5:E5"/>
    <mergeCell ref="G7:N7"/>
    <mergeCell ref="G24:K24"/>
    <mergeCell ref="G26:N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2967F-82B4-4141-B44F-DE7A1F86D1F4}">
  <dimension ref="B1:N75"/>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8" t="s">
        <v>177</v>
      </c>
      <c r="D3" s="59"/>
      <c r="E3" s="59"/>
      <c r="F3" s="59"/>
      <c r="G3" s="59"/>
      <c r="H3" s="59"/>
      <c r="I3" s="59"/>
      <c r="J3" s="59"/>
      <c r="K3" s="59"/>
      <c r="L3" s="59"/>
      <c r="M3" s="59"/>
      <c r="N3" s="60"/>
    </row>
    <row r="4" spans="2:14" ht="15.75" customHeight="1" x14ac:dyDescent="0.25">
      <c r="B4" s="20"/>
      <c r="C4" s="14"/>
      <c r="D4" s="1"/>
      <c r="E4" s="1"/>
      <c r="F4" s="1"/>
      <c r="G4" s="1"/>
      <c r="H4" s="1"/>
      <c r="I4" s="1"/>
      <c r="J4" s="1"/>
      <c r="K4" s="1"/>
      <c r="L4" s="1"/>
      <c r="M4" s="1"/>
      <c r="N4" s="18"/>
    </row>
    <row r="5" spans="2:14" ht="18" customHeight="1" x14ac:dyDescent="0.25">
      <c r="B5" s="20"/>
      <c r="C5" s="15" t="s">
        <v>21</v>
      </c>
      <c r="D5" s="61" t="s">
        <v>178</v>
      </c>
      <c r="E5" s="6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63" t="s">
        <v>17</v>
      </c>
      <c r="H7" s="64"/>
      <c r="I7" s="64"/>
      <c r="J7" s="64"/>
      <c r="K7" s="64"/>
      <c r="L7" s="64"/>
      <c r="M7" s="64"/>
      <c r="N7" s="65"/>
    </row>
    <row r="8" spans="2:14" ht="15" customHeight="1" x14ac:dyDescent="0.25">
      <c r="B8" s="20"/>
      <c r="C8" s="5" t="s">
        <v>26</v>
      </c>
      <c r="D8" s="6" t="s">
        <v>24</v>
      </c>
      <c r="E8" s="11">
        <v>0.11534700000000001</v>
      </c>
      <c r="F8" s="1"/>
      <c r="G8" s="24" t="s">
        <v>16</v>
      </c>
      <c r="H8" s="29">
        <v>0.974885</v>
      </c>
      <c r="I8" s="1"/>
      <c r="J8" s="24" t="s">
        <v>13</v>
      </c>
      <c r="K8" s="24" t="s">
        <v>3</v>
      </c>
      <c r="L8" s="1"/>
      <c r="M8" s="1"/>
      <c r="N8" s="18"/>
    </row>
    <row r="9" spans="2:14" ht="15" customHeight="1" x14ac:dyDescent="0.25">
      <c r="B9" s="20"/>
      <c r="C9" s="5" t="s">
        <v>62</v>
      </c>
      <c r="D9" s="6" t="s">
        <v>24</v>
      </c>
      <c r="E9" s="11">
        <v>8.0579999999999999E-2</v>
      </c>
      <c r="F9" s="1"/>
      <c r="G9" s="24" t="s">
        <v>124</v>
      </c>
      <c r="H9" s="29">
        <v>2.5114999999999998E-2</v>
      </c>
      <c r="I9" s="1"/>
      <c r="J9" s="24" t="s">
        <v>11</v>
      </c>
      <c r="K9" s="29">
        <v>5.0109999999999998E-3</v>
      </c>
      <c r="L9" s="1"/>
      <c r="M9" s="1"/>
      <c r="N9" s="18"/>
    </row>
    <row r="10" spans="2:14" ht="15" customHeight="1" x14ac:dyDescent="0.25">
      <c r="B10" s="20"/>
      <c r="C10" s="5" t="s">
        <v>29</v>
      </c>
      <c r="D10" s="6" t="s">
        <v>24</v>
      </c>
      <c r="E10" s="11">
        <v>2.3446000000000002E-2</v>
      </c>
      <c r="F10" s="1"/>
      <c r="G10" s="1"/>
      <c r="H10" s="1"/>
      <c r="I10" s="1"/>
      <c r="J10" s="24" t="s">
        <v>14</v>
      </c>
      <c r="K10" s="29">
        <v>5.0724999999999999E-2</v>
      </c>
      <c r="L10" s="1"/>
      <c r="M10" s="1"/>
      <c r="N10" s="18"/>
    </row>
    <row r="11" spans="2:14" ht="15" customHeight="1" x14ac:dyDescent="0.25">
      <c r="B11" s="20"/>
      <c r="C11" s="5" t="s">
        <v>40</v>
      </c>
      <c r="D11" s="6" t="s">
        <v>24</v>
      </c>
      <c r="E11" s="11">
        <v>1.205E-2</v>
      </c>
      <c r="F11" s="1"/>
      <c r="G11" s="1"/>
      <c r="H11" s="1"/>
      <c r="I11" s="1"/>
      <c r="J11" s="24" t="s">
        <v>55</v>
      </c>
      <c r="K11" s="29">
        <v>0.23741499999999999</v>
      </c>
      <c r="L11" s="1"/>
      <c r="M11" s="1"/>
      <c r="N11" s="18"/>
    </row>
    <row r="12" spans="2:14" ht="15" customHeight="1" x14ac:dyDescent="0.25">
      <c r="B12" s="20"/>
      <c r="C12" s="5" t="s">
        <v>166</v>
      </c>
      <c r="D12" s="6" t="s">
        <v>24</v>
      </c>
      <c r="E12" s="11">
        <v>5.9919999999999999E-3</v>
      </c>
      <c r="F12" s="1"/>
      <c r="G12" s="1"/>
      <c r="H12" s="1"/>
      <c r="I12" s="1"/>
      <c r="J12" s="24" t="s">
        <v>56</v>
      </c>
      <c r="K12" s="29">
        <v>0.44831399999999999</v>
      </c>
      <c r="L12" s="1"/>
      <c r="M12" s="1"/>
      <c r="N12" s="18"/>
    </row>
    <row r="13" spans="2:14" ht="15.75" customHeight="1" x14ac:dyDescent="0.25">
      <c r="B13" s="20"/>
      <c r="C13" s="7" t="s">
        <v>31</v>
      </c>
      <c r="D13" s="8"/>
      <c r="E13" s="12">
        <v>0.23741499999999999</v>
      </c>
      <c r="F13" s="1"/>
      <c r="G13" s="1"/>
      <c r="H13" s="1"/>
      <c r="I13" s="1"/>
      <c r="J13" s="24" t="s">
        <v>57</v>
      </c>
      <c r="K13" s="29">
        <v>0.13251199999999999</v>
      </c>
      <c r="L13" s="1"/>
      <c r="M13" s="1"/>
      <c r="N13" s="18"/>
    </row>
    <row r="14" spans="2:14" ht="15" customHeight="1" x14ac:dyDescent="0.25">
      <c r="B14" s="20"/>
      <c r="C14" s="5" t="s">
        <v>83</v>
      </c>
      <c r="D14" s="6" t="s">
        <v>24</v>
      </c>
      <c r="E14" s="11">
        <v>6.2397000000000001E-2</v>
      </c>
      <c r="F14" s="1"/>
      <c r="G14" s="1"/>
      <c r="H14" s="1"/>
      <c r="I14" s="1"/>
      <c r="J14" s="24" t="s">
        <v>48</v>
      </c>
      <c r="K14" s="29">
        <v>2.6809999999999998E-3</v>
      </c>
      <c r="L14" s="1"/>
      <c r="M14" s="1"/>
      <c r="N14" s="18"/>
    </row>
    <row r="15" spans="2:14" ht="15" customHeight="1" x14ac:dyDescent="0.25">
      <c r="B15" s="20"/>
      <c r="C15" s="5" t="s">
        <v>180</v>
      </c>
      <c r="D15" s="6" t="s">
        <v>24</v>
      </c>
      <c r="E15" s="11">
        <v>2.4220999999999999E-2</v>
      </c>
      <c r="F15" s="1"/>
      <c r="G15" s="1"/>
      <c r="H15" s="1"/>
      <c r="I15" s="1"/>
      <c r="J15" s="24" t="s">
        <v>59</v>
      </c>
      <c r="K15" s="29">
        <v>0.11708200000000001</v>
      </c>
      <c r="L15" s="1"/>
      <c r="M15" s="1"/>
      <c r="N15" s="18"/>
    </row>
    <row r="16" spans="2:14" ht="15" customHeight="1" x14ac:dyDescent="0.25">
      <c r="B16" s="20"/>
      <c r="C16" s="5" t="s">
        <v>143</v>
      </c>
      <c r="D16" s="6" t="s">
        <v>24</v>
      </c>
      <c r="E16" s="11">
        <v>2.1871000000000002E-2</v>
      </c>
      <c r="F16" s="1"/>
      <c r="G16" s="1"/>
      <c r="H16" s="1"/>
      <c r="I16" s="1"/>
      <c r="J16" s="24" t="s">
        <v>163</v>
      </c>
      <c r="K16" s="29">
        <v>6.2599999999999999E-3</v>
      </c>
      <c r="L16" s="1"/>
      <c r="M16" s="1"/>
      <c r="N16" s="18"/>
    </row>
    <row r="17" spans="2:14" ht="15" customHeight="1" x14ac:dyDescent="0.25">
      <c r="B17" s="20"/>
      <c r="C17" s="5" t="s">
        <v>27</v>
      </c>
      <c r="D17" s="6" t="s">
        <v>24</v>
      </c>
      <c r="E17" s="11">
        <v>1.2181000000000001E-2</v>
      </c>
      <c r="F17" s="1"/>
      <c r="G17" s="1"/>
      <c r="H17" s="1"/>
      <c r="I17" s="1"/>
      <c r="J17" s="1"/>
      <c r="K17" s="1"/>
      <c r="L17" s="1"/>
      <c r="M17" s="1"/>
      <c r="N17" s="18"/>
    </row>
    <row r="18" spans="2:14" ht="15" customHeight="1" x14ac:dyDescent="0.25">
      <c r="B18" s="20"/>
      <c r="C18" s="5" t="s">
        <v>76</v>
      </c>
      <c r="D18" s="6" t="s">
        <v>24</v>
      </c>
      <c r="E18" s="11">
        <v>5.9659999999999999E-3</v>
      </c>
      <c r="F18" s="1"/>
      <c r="G18" s="1"/>
      <c r="H18" s="1"/>
      <c r="I18" s="1"/>
      <c r="J18" s="1"/>
      <c r="K18" s="1"/>
      <c r="L18" s="1"/>
      <c r="M18" s="1"/>
      <c r="N18" s="18"/>
    </row>
    <row r="19" spans="2:14" ht="15" customHeight="1" x14ac:dyDescent="0.25">
      <c r="B19" s="20"/>
      <c r="C19" s="5" t="s">
        <v>63</v>
      </c>
      <c r="D19" s="6" t="s">
        <v>24</v>
      </c>
      <c r="E19" s="11">
        <v>5.8760000000000001E-3</v>
      </c>
      <c r="F19" s="1"/>
      <c r="G19" s="1"/>
      <c r="H19" s="1"/>
      <c r="I19" s="1"/>
      <c r="J19" s="1"/>
      <c r="K19" s="1"/>
      <c r="L19" s="1"/>
      <c r="M19" s="1"/>
      <c r="N19" s="18"/>
    </row>
    <row r="20" spans="2:14" ht="15.75" customHeight="1" x14ac:dyDescent="0.25">
      <c r="B20" s="20"/>
      <c r="C20" s="7" t="s">
        <v>32</v>
      </c>
      <c r="D20" s="8"/>
      <c r="E20" s="12">
        <v>0.13251199999999999</v>
      </c>
      <c r="F20" s="1"/>
      <c r="G20" s="1"/>
      <c r="H20" s="1"/>
      <c r="I20" s="1"/>
      <c r="J20" s="1"/>
      <c r="K20" s="1"/>
      <c r="L20" s="1"/>
      <c r="M20" s="1"/>
      <c r="N20" s="18"/>
    </row>
    <row r="21" spans="2:14" ht="15" customHeight="1" x14ac:dyDescent="0.25">
      <c r="B21" s="20"/>
      <c r="C21" s="5" t="s">
        <v>40</v>
      </c>
      <c r="D21" s="6" t="s">
        <v>34</v>
      </c>
      <c r="E21" s="11">
        <v>8.6623000000000006E-2</v>
      </c>
      <c r="F21" s="1"/>
      <c r="G21" s="1"/>
      <c r="H21" s="1"/>
      <c r="I21" s="1"/>
      <c r="J21" s="1"/>
      <c r="K21" s="1"/>
      <c r="L21" s="1"/>
      <c r="M21" s="1"/>
      <c r="N21" s="18"/>
    </row>
    <row r="22" spans="2:14" ht="15" customHeight="1" x14ac:dyDescent="0.25">
      <c r="B22" s="20"/>
      <c r="C22" s="5" t="s">
        <v>46</v>
      </c>
      <c r="D22" s="6" t="s">
        <v>34</v>
      </c>
      <c r="E22" s="11">
        <v>8.4693000000000004E-2</v>
      </c>
      <c r="F22" s="1"/>
      <c r="G22" s="1"/>
      <c r="H22" s="1"/>
      <c r="I22" s="1"/>
      <c r="J22" s="1"/>
      <c r="K22" s="1"/>
      <c r="L22" s="1"/>
      <c r="M22" s="1"/>
      <c r="N22" s="18"/>
    </row>
    <row r="23" spans="2:14" ht="15" customHeight="1" x14ac:dyDescent="0.25">
      <c r="B23" s="20"/>
      <c r="C23" s="5" t="s">
        <v>35</v>
      </c>
      <c r="D23" s="6" t="s">
        <v>34</v>
      </c>
      <c r="E23" s="11">
        <v>6.6250000000000003E-2</v>
      </c>
      <c r="F23" s="1"/>
      <c r="G23" s="1"/>
      <c r="H23" s="1"/>
      <c r="I23" s="1"/>
      <c r="J23" s="1"/>
      <c r="K23" s="1"/>
      <c r="L23" s="1"/>
      <c r="M23" s="1"/>
      <c r="N23" s="18"/>
    </row>
    <row r="24" spans="2:14" ht="15" customHeight="1" x14ac:dyDescent="0.25">
      <c r="B24" s="20"/>
      <c r="C24" s="5" t="s">
        <v>37</v>
      </c>
      <c r="D24" s="6" t="s">
        <v>34</v>
      </c>
      <c r="E24" s="11">
        <v>6.3866999999999993E-2</v>
      </c>
      <c r="F24" s="1"/>
      <c r="G24" s="63" t="s">
        <v>111</v>
      </c>
      <c r="H24" s="64"/>
      <c r="I24" s="64"/>
      <c r="J24" s="64"/>
      <c r="K24" s="64"/>
      <c r="L24" s="36">
        <v>177.84568800714445</v>
      </c>
      <c r="M24" s="27"/>
      <c r="N24" s="28"/>
    </row>
    <row r="25" spans="2:14" ht="15" customHeight="1" x14ac:dyDescent="0.25">
      <c r="B25" s="20"/>
      <c r="C25" s="5" t="s">
        <v>181</v>
      </c>
      <c r="D25" s="6" t="s">
        <v>34</v>
      </c>
      <c r="E25" s="11">
        <v>6.2740000000000004E-2</v>
      </c>
      <c r="F25" s="1"/>
      <c r="G25" s="1"/>
      <c r="H25" s="1"/>
      <c r="I25" s="1"/>
      <c r="J25" s="1"/>
      <c r="K25" s="1"/>
      <c r="L25" s="1"/>
      <c r="M25" s="1"/>
      <c r="N25" s="18"/>
    </row>
    <row r="26" spans="2:14" ht="15" customHeight="1" x14ac:dyDescent="0.25">
      <c r="B26" s="20"/>
      <c r="C26" s="5" t="s">
        <v>71</v>
      </c>
      <c r="D26" s="6" t="s">
        <v>34</v>
      </c>
      <c r="E26" s="11">
        <v>2.6384000000000001E-2</v>
      </c>
      <c r="F26" s="1"/>
      <c r="G26" s="63" t="s">
        <v>19</v>
      </c>
      <c r="H26" s="64"/>
      <c r="I26" s="64"/>
      <c r="J26" s="64"/>
      <c r="K26" s="64"/>
      <c r="L26" s="64"/>
      <c r="M26" s="64"/>
      <c r="N26" s="65"/>
    </row>
    <row r="27" spans="2:14" ht="15" customHeight="1" x14ac:dyDescent="0.25">
      <c r="B27" s="20"/>
      <c r="C27" s="5" t="s">
        <v>120</v>
      </c>
      <c r="D27" s="6" t="s">
        <v>93</v>
      </c>
      <c r="E27" s="11">
        <v>2.5114999999999998E-2</v>
      </c>
      <c r="F27" s="1"/>
      <c r="G27" s="1"/>
      <c r="H27" s="1"/>
      <c r="I27" s="1"/>
      <c r="J27" s="1"/>
      <c r="K27" s="1"/>
      <c r="L27" s="1"/>
      <c r="M27" s="1"/>
      <c r="N27" s="18"/>
    </row>
    <row r="28" spans="2:14" ht="15" customHeight="1" x14ac:dyDescent="0.25">
      <c r="B28" s="20"/>
      <c r="C28" s="5" t="s">
        <v>39</v>
      </c>
      <c r="D28" s="6" t="s">
        <v>34</v>
      </c>
      <c r="E28" s="11">
        <v>2.0087000000000001E-2</v>
      </c>
      <c r="F28" s="1"/>
      <c r="G28" s="1"/>
      <c r="H28" s="1"/>
      <c r="I28" s="1"/>
      <c r="J28" s="1"/>
      <c r="K28" s="1"/>
      <c r="L28" s="1"/>
      <c r="M28" s="1"/>
      <c r="N28" s="18"/>
    </row>
    <row r="29" spans="2:14" ht="15" customHeight="1" x14ac:dyDescent="0.25">
      <c r="B29" s="20"/>
      <c r="C29" s="5" t="s">
        <v>36</v>
      </c>
      <c r="D29" s="6" t="s">
        <v>34</v>
      </c>
      <c r="E29" s="11">
        <v>1.2555E-2</v>
      </c>
      <c r="F29" s="1"/>
      <c r="G29" s="1"/>
      <c r="H29" s="1"/>
      <c r="I29" s="1"/>
      <c r="J29" s="1"/>
      <c r="K29" s="1"/>
      <c r="L29" s="1"/>
      <c r="M29" s="1"/>
      <c r="N29" s="18"/>
    </row>
    <row r="30" spans="2:14" ht="15.75" customHeight="1" x14ac:dyDescent="0.25">
      <c r="B30" s="20"/>
      <c r="C30" s="7" t="s">
        <v>47</v>
      </c>
      <c r="D30" s="8"/>
      <c r="E30" s="12">
        <v>0.44831399999999999</v>
      </c>
      <c r="F30" s="1"/>
      <c r="G30" s="1"/>
      <c r="H30" s="1"/>
      <c r="I30" s="1"/>
      <c r="J30" s="1"/>
      <c r="K30" s="1"/>
      <c r="L30" s="1"/>
      <c r="M30" s="1"/>
      <c r="N30" s="18"/>
    </row>
    <row r="31" spans="2:14" ht="15" customHeight="1" x14ac:dyDescent="0.25">
      <c r="B31" s="20"/>
      <c r="C31" s="5" t="s">
        <v>48</v>
      </c>
      <c r="D31" s="6"/>
      <c r="E31" s="11">
        <v>2.6809999999999998E-3</v>
      </c>
      <c r="F31" s="1"/>
      <c r="G31" s="1"/>
      <c r="H31" s="1"/>
      <c r="I31" s="1"/>
      <c r="J31" s="1"/>
      <c r="K31" s="1"/>
      <c r="L31" s="1"/>
      <c r="M31" s="1"/>
      <c r="N31" s="18"/>
    </row>
    <row r="32" spans="2:14" ht="15.75" customHeight="1" x14ac:dyDescent="0.25">
      <c r="B32" s="20"/>
      <c r="C32" s="7" t="s">
        <v>49</v>
      </c>
      <c r="D32" s="8"/>
      <c r="E32" s="12">
        <v>2.6809999999999998E-3</v>
      </c>
      <c r="F32" s="1"/>
      <c r="G32" s="1"/>
      <c r="H32" s="1"/>
      <c r="I32" s="1"/>
      <c r="J32" s="1"/>
      <c r="K32" s="1"/>
      <c r="L32" s="1"/>
      <c r="M32" s="1"/>
      <c r="N32" s="18"/>
    </row>
    <row r="33" spans="2:14" ht="15" customHeight="1" x14ac:dyDescent="0.25">
      <c r="B33" s="20"/>
      <c r="C33" s="5" t="s">
        <v>243</v>
      </c>
      <c r="D33" s="6" t="s">
        <v>182</v>
      </c>
      <c r="E33" s="11">
        <v>5.6337999999999999E-2</v>
      </c>
      <c r="F33" s="1"/>
      <c r="G33" s="1"/>
      <c r="H33" s="1"/>
      <c r="I33" s="1"/>
      <c r="J33" s="1"/>
      <c r="K33" s="1"/>
      <c r="L33" s="1"/>
      <c r="M33" s="1"/>
      <c r="N33" s="18"/>
    </row>
    <row r="34" spans="2:14" ht="15.75" customHeight="1" x14ac:dyDescent="0.25">
      <c r="B34" s="20"/>
      <c r="C34" s="5" t="s">
        <v>252</v>
      </c>
      <c r="D34" s="6" t="s">
        <v>182</v>
      </c>
      <c r="E34" s="11">
        <v>1.2743000000000001E-2</v>
      </c>
      <c r="F34" s="1"/>
      <c r="G34" s="1"/>
      <c r="H34" s="1"/>
      <c r="I34" s="1"/>
      <c r="J34" s="1"/>
      <c r="K34" s="1"/>
      <c r="L34" s="1"/>
      <c r="M34" s="1"/>
      <c r="N34" s="18"/>
    </row>
    <row r="35" spans="2:14" ht="15" customHeight="1" x14ac:dyDescent="0.25">
      <c r="B35" s="20"/>
      <c r="C35" s="5" t="s">
        <v>253</v>
      </c>
      <c r="D35" s="6" t="s">
        <v>182</v>
      </c>
      <c r="E35" s="11">
        <v>6.3829999999999998E-3</v>
      </c>
      <c r="F35" s="1"/>
      <c r="G35" s="1"/>
      <c r="H35" s="1"/>
      <c r="I35" s="1"/>
      <c r="J35" s="1"/>
      <c r="K35" s="1"/>
      <c r="L35" s="1"/>
      <c r="M35" s="1"/>
      <c r="N35" s="18"/>
    </row>
    <row r="36" spans="2:14" ht="15.75" customHeight="1" x14ac:dyDescent="0.25">
      <c r="B36" s="20"/>
      <c r="C36" s="5" t="s">
        <v>189</v>
      </c>
      <c r="D36" s="6" t="s">
        <v>182</v>
      </c>
      <c r="E36" s="11">
        <v>6.3720000000000001E-3</v>
      </c>
      <c r="F36" s="1"/>
      <c r="G36" s="1"/>
      <c r="H36" s="1"/>
      <c r="I36" s="1"/>
      <c r="J36" s="1"/>
      <c r="K36" s="1"/>
      <c r="L36" s="1"/>
      <c r="M36" s="1"/>
      <c r="N36" s="18"/>
    </row>
    <row r="37" spans="2:14" ht="15" customHeight="1" x14ac:dyDescent="0.25">
      <c r="B37" s="20"/>
      <c r="C37" s="5" t="s">
        <v>192</v>
      </c>
      <c r="D37" s="6" t="s">
        <v>182</v>
      </c>
      <c r="E37" s="11">
        <v>6.3709999999999999E-3</v>
      </c>
      <c r="F37" s="1"/>
      <c r="G37" s="1"/>
      <c r="H37" s="1"/>
      <c r="I37" s="1"/>
      <c r="J37" s="1"/>
      <c r="K37" s="1"/>
      <c r="L37" s="1"/>
      <c r="M37" s="1"/>
      <c r="N37" s="18"/>
    </row>
    <row r="38" spans="2:14" ht="15.75" customHeight="1" x14ac:dyDescent="0.25">
      <c r="B38" s="20"/>
      <c r="C38" s="5" t="s">
        <v>254</v>
      </c>
      <c r="D38" s="6" t="s">
        <v>182</v>
      </c>
      <c r="E38" s="11">
        <v>6.3629999999999997E-3</v>
      </c>
      <c r="F38" s="1"/>
      <c r="G38" s="1"/>
      <c r="H38" s="1"/>
      <c r="I38" s="1"/>
      <c r="J38" s="1"/>
      <c r="K38" s="1"/>
      <c r="L38" s="1"/>
      <c r="M38" s="1"/>
      <c r="N38" s="18"/>
    </row>
    <row r="39" spans="2:14" ht="15" customHeight="1" x14ac:dyDescent="0.25">
      <c r="B39" s="20"/>
      <c r="C39" s="5" t="s">
        <v>250</v>
      </c>
      <c r="D39" s="6" t="s">
        <v>182</v>
      </c>
      <c r="E39" s="11">
        <v>6.3619999999999996E-3</v>
      </c>
      <c r="F39" s="1"/>
      <c r="G39" s="1"/>
      <c r="H39" s="1"/>
      <c r="I39" s="1"/>
      <c r="J39" s="1"/>
      <c r="K39" s="1"/>
      <c r="L39" s="1"/>
      <c r="M39" s="1"/>
      <c r="N39" s="18"/>
    </row>
    <row r="40" spans="2:14" ht="15.75" customHeight="1" x14ac:dyDescent="0.25">
      <c r="B40" s="20"/>
      <c r="C40" s="5" t="s">
        <v>249</v>
      </c>
      <c r="D40" s="6" t="s">
        <v>182</v>
      </c>
      <c r="E40" s="11">
        <v>6.3340000000000002E-3</v>
      </c>
      <c r="F40" s="1"/>
      <c r="G40" s="1"/>
      <c r="H40" s="1"/>
      <c r="I40" s="1"/>
      <c r="J40" s="1"/>
      <c r="K40" s="1"/>
      <c r="L40" s="1"/>
      <c r="M40" s="1"/>
      <c r="N40" s="18"/>
    </row>
    <row r="41" spans="2:14" ht="15" customHeight="1" x14ac:dyDescent="0.25">
      <c r="B41" s="20"/>
      <c r="C41" s="5" t="s">
        <v>256</v>
      </c>
      <c r="D41" s="6" t="s">
        <v>182</v>
      </c>
      <c r="E41" s="11">
        <v>3.7390000000000001E-3</v>
      </c>
      <c r="F41" s="1"/>
      <c r="G41" s="1"/>
      <c r="H41" s="1"/>
      <c r="I41" s="1"/>
      <c r="J41" s="1"/>
      <c r="K41" s="1"/>
      <c r="L41" s="1"/>
      <c r="M41" s="1"/>
      <c r="N41" s="18"/>
    </row>
    <row r="42" spans="2:14" ht="15" customHeight="1" x14ac:dyDescent="0.25">
      <c r="B42" s="20"/>
      <c r="C42" s="5" t="s">
        <v>255</v>
      </c>
      <c r="D42" s="6" t="s">
        <v>182</v>
      </c>
      <c r="E42" s="11">
        <v>2.5170000000000001E-3</v>
      </c>
      <c r="F42" s="1"/>
      <c r="G42" s="1"/>
      <c r="H42" s="1"/>
      <c r="I42" s="1"/>
      <c r="J42" s="1"/>
      <c r="K42" s="1"/>
      <c r="L42" s="1"/>
      <c r="M42" s="1"/>
      <c r="N42" s="18"/>
    </row>
    <row r="43" spans="2:14" ht="15" customHeight="1" x14ac:dyDescent="0.25">
      <c r="B43" s="20"/>
      <c r="C43" s="5" t="s">
        <v>185</v>
      </c>
      <c r="D43" s="6" t="s">
        <v>182</v>
      </c>
      <c r="E43" s="11">
        <v>1.2719999999999999E-3</v>
      </c>
      <c r="F43" s="1"/>
      <c r="G43" s="1"/>
      <c r="H43" s="1"/>
      <c r="I43" s="1"/>
      <c r="J43" s="1"/>
      <c r="K43" s="1"/>
      <c r="L43" s="1"/>
      <c r="M43" s="1"/>
      <c r="N43" s="18"/>
    </row>
    <row r="44" spans="2:14" ht="15" customHeight="1" x14ac:dyDescent="0.25">
      <c r="B44" s="20"/>
      <c r="C44" s="5" t="s">
        <v>251</v>
      </c>
      <c r="D44" s="6" t="s">
        <v>182</v>
      </c>
      <c r="E44" s="11">
        <v>1.2639999999999999E-3</v>
      </c>
      <c r="F44" s="1"/>
      <c r="G44" s="1"/>
      <c r="H44" s="1"/>
      <c r="I44" s="1"/>
      <c r="J44" s="1"/>
      <c r="K44" s="1"/>
      <c r="L44" s="1"/>
      <c r="M44" s="1"/>
      <c r="N44" s="18"/>
    </row>
    <row r="45" spans="2:14" ht="15" customHeight="1" x14ac:dyDescent="0.25">
      <c r="B45" s="20"/>
      <c r="C45" s="5" t="s">
        <v>198</v>
      </c>
      <c r="D45" s="6" t="s">
        <v>182</v>
      </c>
      <c r="E45" s="11">
        <v>1.024E-3</v>
      </c>
      <c r="F45" s="1"/>
      <c r="G45" s="1"/>
      <c r="H45" s="1"/>
      <c r="I45" s="1"/>
      <c r="J45" s="1"/>
      <c r="K45" s="1"/>
      <c r="L45" s="1"/>
      <c r="M45" s="1"/>
      <c r="N45" s="18"/>
    </row>
    <row r="46" spans="2:14" ht="15" customHeight="1" x14ac:dyDescent="0.25">
      <c r="B46" s="20"/>
      <c r="C46" s="7" t="s">
        <v>54</v>
      </c>
      <c r="D46" s="8"/>
      <c r="E46" s="12">
        <v>0.11708200000000001</v>
      </c>
      <c r="F46" s="1"/>
      <c r="G46" s="1"/>
      <c r="H46" s="1"/>
      <c r="I46" s="1"/>
      <c r="J46" s="1"/>
      <c r="K46" s="1"/>
      <c r="L46" s="1"/>
      <c r="M46" s="1"/>
      <c r="N46" s="18"/>
    </row>
    <row r="47" spans="2:14" ht="15" customHeight="1" x14ac:dyDescent="0.25">
      <c r="B47" s="20"/>
      <c r="C47" s="5" t="s">
        <v>9</v>
      </c>
      <c r="D47" s="6"/>
      <c r="E47" s="11">
        <v>5.0724999999999999E-2</v>
      </c>
      <c r="F47" s="1"/>
      <c r="G47" s="1"/>
      <c r="H47" s="1"/>
      <c r="I47" s="1"/>
      <c r="J47" s="1"/>
      <c r="K47" s="1"/>
      <c r="L47" s="1"/>
      <c r="M47" s="1"/>
      <c r="N47" s="18"/>
    </row>
    <row r="48" spans="2:14" ht="15" customHeight="1" x14ac:dyDescent="0.25">
      <c r="B48" s="20"/>
      <c r="C48" s="7" t="s">
        <v>10</v>
      </c>
      <c r="D48" s="8"/>
      <c r="E48" s="12">
        <v>5.0724999999999999E-2</v>
      </c>
      <c r="F48" s="1"/>
      <c r="G48" s="1"/>
      <c r="H48" s="1"/>
      <c r="I48" s="1"/>
      <c r="J48" s="1"/>
      <c r="K48" s="1"/>
      <c r="L48" s="1"/>
      <c r="M48" s="1"/>
      <c r="N48" s="18"/>
    </row>
    <row r="49" spans="2:14" ht="15" customHeight="1" x14ac:dyDescent="0.25">
      <c r="B49" s="20"/>
      <c r="C49" s="5" t="s">
        <v>76</v>
      </c>
      <c r="D49" s="6" t="s">
        <v>34</v>
      </c>
      <c r="E49" s="11">
        <v>6.2599999999999999E-3</v>
      </c>
      <c r="F49" s="1"/>
      <c r="G49" s="1"/>
      <c r="H49" s="1"/>
      <c r="I49" s="1"/>
      <c r="J49" s="1"/>
      <c r="K49" s="1"/>
      <c r="L49" s="1"/>
      <c r="M49" s="1"/>
      <c r="N49" s="18"/>
    </row>
    <row r="50" spans="2:14" ht="15" customHeight="1" x14ac:dyDescent="0.25">
      <c r="B50" s="20"/>
      <c r="C50" s="7" t="s">
        <v>162</v>
      </c>
      <c r="D50" s="8"/>
      <c r="E50" s="12">
        <v>6.2599999999999999E-3</v>
      </c>
      <c r="F50" s="1"/>
      <c r="G50" s="1"/>
      <c r="H50" s="1"/>
      <c r="I50" s="1"/>
      <c r="J50" s="1"/>
      <c r="K50" s="1"/>
      <c r="L50" s="1"/>
      <c r="M50" s="1"/>
      <c r="N50" s="18"/>
    </row>
    <row r="51" spans="2:14" ht="15" customHeight="1" x14ac:dyDescent="0.25">
      <c r="B51" s="20"/>
      <c r="C51" s="5"/>
      <c r="D51" s="6"/>
      <c r="E51" s="11"/>
      <c r="F51" s="1"/>
      <c r="G51" s="1"/>
      <c r="H51" s="1"/>
      <c r="I51" s="1"/>
      <c r="J51" s="1"/>
      <c r="K51" s="1"/>
      <c r="L51" s="1"/>
      <c r="M51" s="1"/>
      <c r="N51" s="18"/>
    </row>
    <row r="52" spans="2:14" ht="15" customHeight="1" x14ac:dyDescent="0.25">
      <c r="B52" s="20"/>
      <c r="C52" s="7" t="s">
        <v>11</v>
      </c>
      <c r="D52" s="8"/>
      <c r="E52" s="12">
        <v>5.0109999999999998E-3</v>
      </c>
      <c r="F52" s="1"/>
      <c r="G52" s="1"/>
      <c r="H52" s="1"/>
      <c r="I52" s="1"/>
      <c r="J52" s="1"/>
      <c r="K52" s="1"/>
      <c r="L52" s="1"/>
      <c r="M52" s="1"/>
      <c r="N52" s="18"/>
    </row>
    <row r="53" spans="2:14" ht="15" customHeight="1" x14ac:dyDescent="0.25">
      <c r="B53" s="20"/>
      <c r="C53" s="5"/>
      <c r="D53" s="6"/>
      <c r="E53" s="11"/>
      <c r="F53" s="1"/>
      <c r="G53" s="1"/>
      <c r="H53" s="1"/>
      <c r="I53" s="1"/>
      <c r="J53" s="1"/>
      <c r="K53" s="1"/>
      <c r="L53" s="1"/>
      <c r="M53" s="1"/>
      <c r="N53" s="18"/>
    </row>
    <row r="54" spans="2:14" ht="15" customHeight="1" x14ac:dyDescent="0.25">
      <c r="B54" s="20"/>
      <c r="C54" s="9" t="s">
        <v>12</v>
      </c>
      <c r="D54" s="10"/>
      <c r="E54" s="13">
        <v>1</v>
      </c>
      <c r="F54" s="1"/>
      <c r="G54" s="1"/>
      <c r="H54" s="1"/>
      <c r="I54" s="1"/>
      <c r="J54" s="1"/>
      <c r="K54" s="1"/>
      <c r="L54" s="1"/>
      <c r="M54" s="1"/>
      <c r="N54" s="18"/>
    </row>
    <row r="55" spans="2:14" ht="15" customHeight="1" x14ac:dyDescent="0.25">
      <c r="B55" s="20"/>
      <c r="C55" s="1"/>
      <c r="D55" s="1"/>
      <c r="E55" s="1"/>
      <c r="F55" s="1"/>
      <c r="G55" s="1"/>
      <c r="H55" s="1"/>
      <c r="I55" s="1"/>
      <c r="J55" s="1"/>
      <c r="K55" s="1"/>
      <c r="L55" s="1"/>
      <c r="M55" s="1"/>
      <c r="N55" s="18"/>
    </row>
    <row r="56" spans="2:14" ht="15" customHeight="1" thickBot="1" x14ac:dyDescent="0.3">
      <c r="B56" s="21"/>
      <c r="C56" s="22"/>
      <c r="D56" s="22"/>
      <c r="E56" s="22"/>
      <c r="F56" s="22"/>
      <c r="G56" s="22"/>
      <c r="H56" s="22"/>
      <c r="I56" s="22"/>
      <c r="J56" s="22"/>
      <c r="K56" s="22"/>
      <c r="L56" s="22"/>
      <c r="M56" s="22"/>
      <c r="N56" s="23"/>
    </row>
    <row r="57" spans="2:14" ht="15" customHeight="1" thickBot="1" x14ac:dyDescent="0.3"/>
    <row r="58" spans="2:14" ht="15" customHeight="1" x14ac:dyDescent="0.25">
      <c r="B58" s="49" t="s">
        <v>335</v>
      </c>
      <c r="C58" s="50"/>
      <c r="D58" s="50"/>
      <c r="E58" s="50"/>
      <c r="F58" s="50"/>
      <c r="G58" s="50"/>
      <c r="H58" s="50"/>
      <c r="I58" s="50"/>
      <c r="J58" s="50"/>
      <c r="K58" s="50"/>
      <c r="L58" s="50"/>
      <c r="M58" s="50"/>
      <c r="N58" s="51"/>
    </row>
    <row r="59" spans="2:14" ht="15" customHeight="1" x14ac:dyDescent="0.25">
      <c r="B59" s="52"/>
      <c r="C59" s="53"/>
      <c r="D59" s="53"/>
      <c r="E59" s="53"/>
      <c r="F59" s="53"/>
      <c r="G59" s="53"/>
      <c r="H59" s="53"/>
      <c r="I59" s="53"/>
      <c r="J59" s="53"/>
      <c r="K59" s="53"/>
      <c r="L59" s="53"/>
      <c r="M59" s="53"/>
      <c r="N59" s="54"/>
    </row>
    <row r="60" spans="2:14" ht="15" customHeight="1" x14ac:dyDescent="0.25">
      <c r="B60" s="52"/>
      <c r="C60" s="53"/>
      <c r="D60" s="53"/>
      <c r="E60" s="53"/>
      <c r="F60" s="53"/>
      <c r="G60" s="53"/>
      <c r="H60" s="53"/>
      <c r="I60" s="53"/>
      <c r="J60" s="53"/>
      <c r="K60" s="53"/>
      <c r="L60" s="53"/>
      <c r="M60" s="53"/>
      <c r="N60" s="54"/>
    </row>
    <row r="61" spans="2:14" ht="15" customHeight="1" thickBot="1" x14ac:dyDescent="0.3">
      <c r="B61" s="55"/>
      <c r="C61" s="56"/>
      <c r="D61" s="56"/>
      <c r="E61" s="56"/>
      <c r="F61" s="56"/>
      <c r="G61" s="56"/>
      <c r="H61" s="56"/>
      <c r="I61" s="56"/>
      <c r="J61" s="56"/>
      <c r="K61" s="56"/>
      <c r="L61" s="56"/>
      <c r="M61" s="56"/>
      <c r="N61" s="57"/>
    </row>
    <row r="62" spans="2:14" ht="15" customHeight="1" thickBot="1" x14ac:dyDescent="0.3"/>
    <row r="63" spans="2:14" ht="138" customHeight="1" thickBot="1" x14ac:dyDescent="0.3">
      <c r="B63" s="46" t="s">
        <v>338</v>
      </c>
      <c r="C63" s="47"/>
      <c r="D63" s="47"/>
      <c r="E63" s="47"/>
      <c r="F63" s="47"/>
      <c r="G63" s="47"/>
      <c r="H63" s="47"/>
      <c r="I63" s="47"/>
      <c r="J63" s="47"/>
      <c r="K63" s="47"/>
      <c r="L63" s="47"/>
      <c r="M63" s="47"/>
      <c r="N63" s="48"/>
    </row>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sheetData>
  <sortState ref="C33:E45">
    <sortCondition descending="1" ref="E33"/>
  </sortState>
  <mergeCells count="7">
    <mergeCell ref="B58:N61"/>
    <mergeCell ref="B63:N63"/>
    <mergeCell ref="C3:N3"/>
    <mergeCell ref="D5:E5"/>
    <mergeCell ref="G7:N7"/>
    <mergeCell ref="G24:K24"/>
    <mergeCell ref="G26:N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BDD30-C649-49E8-BBA8-AD223E1F6E34}">
  <dimension ref="B1:N50"/>
  <sheetViews>
    <sheetView showGridLines="0" zoomScale="75" zoomScaleNormal="75" workbookViewId="0"/>
  </sheetViews>
  <sheetFormatPr defaultRowHeight="15" x14ac:dyDescent="0.25"/>
  <cols>
    <col min="1" max="1" width="2.85546875" customWidth="1"/>
    <col min="2" max="2" width="3.85546875" customWidth="1"/>
    <col min="3" max="3" width="56"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8" t="s">
        <v>115</v>
      </c>
      <c r="D3" s="59"/>
      <c r="E3" s="59"/>
      <c r="F3" s="59"/>
      <c r="G3" s="59"/>
      <c r="H3" s="59"/>
      <c r="I3" s="59"/>
      <c r="J3" s="59"/>
      <c r="K3" s="59"/>
      <c r="L3" s="59"/>
      <c r="M3" s="59"/>
      <c r="N3" s="60"/>
    </row>
    <row r="4" spans="2:14" ht="15.75" customHeight="1" x14ac:dyDescent="0.25">
      <c r="B4" s="20"/>
      <c r="C4" s="14"/>
      <c r="D4" s="1"/>
      <c r="E4" s="1"/>
      <c r="F4" s="1"/>
      <c r="G4" s="1"/>
      <c r="H4" s="1"/>
      <c r="I4" s="1"/>
      <c r="J4" s="1"/>
      <c r="K4" s="1"/>
      <c r="L4" s="1"/>
      <c r="M4" s="1"/>
      <c r="N4" s="18"/>
    </row>
    <row r="5" spans="2:14" ht="18" customHeight="1" x14ac:dyDescent="0.25">
      <c r="B5" s="20"/>
      <c r="C5" s="15" t="s">
        <v>21</v>
      </c>
      <c r="D5" s="61" t="s">
        <v>116</v>
      </c>
      <c r="E5" s="6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63" t="s">
        <v>17</v>
      </c>
      <c r="H7" s="64"/>
      <c r="I7" s="64"/>
      <c r="J7" s="64"/>
      <c r="K7" s="64"/>
      <c r="L7" s="64"/>
      <c r="M7" s="64"/>
      <c r="N7" s="65"/>
    </row>
    <row r="8" spans="2:14" ht="15" customHeight="1" x14ac:dyDescent="0.25">
      <c r="B8" s="20"/>
      <c r="C8" s="5" t="s">
        <v>48</v>
      </c>
      <c r="D8" s="6"/>
      <c r="E8" s="11">
        <v>2.0830000000000002E-3</v>
      </c>
      <c r="F8" s="1"/>
      <c r="G8" s="24" t="s">
        <v>16</v>
      </c>
      <c r="H8" s="25">
        <v>1</v>
      </c>
      <c r="I8" s="1"/>
      <c r="J8" s="24" t="s">
        <v>13</v>
      </c>
      <c r="K8" s="24" t="s">
        <v>3</v>
      </c>
      <c r="L8" s="1"/>
      <c r="M8" s="1"/>
      <c r="N8" s="18"/>
    </row>
    <row r="9" spans="2:14" ht="15.75" customHeight="1" x14ac:dyDescent="0.25">
      <c r="B9" s="20"/>
      <c r="C9" s="7" t="s">
        <v>49</v>
      </c>
      <c r="D9" s="8"/>
      <c r="E9" s="12">
        <v>2.0830000000000002E-3</v>
      </c>
      <c r="F9" s="1"/>
      <c r="G9" s="1"/>
      <c r="H9" s="1"/>
      <c r="I9" s="1"/>
      <c r="J9" s="24" t="s">
        <v>11</v>
      </c>
      <c r="K9" s="29">
        <v>8.6899999999999998E-4</v>
      </c>
      <c r="L9" s="1"/>
      <c r="M9" s="1"/>
      <c r="N9" s="18"/>
    </row>
    <row r="10" spans="2:14" ht="15" customHeight="1" x14ac:dyDescent="0.25">
      <c r="B10" s="20"/>
      <c r="C10" s="5" t="s">
        <v>65</v>
      </c>
      <c r="D10" s="6" t="s">
        <v>179</v>
      </c>
      <c r="E10" s="11">
        <v>0.99562399999999995</v>
      </c>
      <c r="F10" s="1"/>
      <c r="G10" s="1"/>
      <c r="H10" s="1"/>
      <c r="I10" s="1"/>
      <c r="J10" s="24" t="s">
        <v>14</v>
      </c>
      <c r="K10" s="29">
        <v>1.358E-3</v>
      </c>
      <c r="L10" s="1"/>
      <c r="M10" s="1"/>
      <c r="N10" s="18"/>
    </row>
    <row r="11" spans="2:14" ht="15" customHeight="1" x14ac:dyDescent="0.25">
      <c r="B11" s="20"/>
      <c r="C11" s="5" t="s">
        <v>117</v>
      </c>
      <c r="D11" s="6" t="s">
        <v>179</v>
      </c>
      <c r="E11" s="30">
        <v>3.3000000000000003E-5</v>
      </c>
      <c r="F11" s="1"/>
      <c r="G11" s="1"/>
      <c r="H11" s="1"/>
      <c r="I11" s="1"/>
      <c r="J11" s="24" t="s">
        <v>48</v>
      </c>
      <c r="K11" s="29">
        <v>2.0830000000000002E-3</v>
      </c>
      <c r="L11" s="1"/>
      <c r="M11" s="1"/>
      <c r="N11" s="18"/>
    </row>
    <row r="12" spans="2:14" ht="15" customHeight="1" x14ac:dyDescent="0.25">
      <c r="B12" s="20"/>
      <c r="C12" s="5" t="s">
        <v>118</v>
      </c>
      <c r="D12" s="6" t="s">
        <v>179</v>
      </c>
      <c r="E12" s="30">
        <v>3.3000000000000003E-5</v>
      </c>
      <c r="F12" s="1"/>
      <c r="G12" s="1"/>
      <c r="H12" s="1"/>
      <c r="I12" s="1"/>
      <c r="J12" s="24" t="s">
        <v>58</v>
      </c>
      <c r="K12" s="29">
        <v>0.99568999999999996</v>
      </c>
      <c r="L12" s="1"/>
      <c r="M12" s="1"/>
      <c r="N12" s="18"/>
    </row>
    <row r="13" spans="2:14" ht="15.75" customHeight="1" x14ac:dyDescent="0.25">
      <c r="B13" s="20"/>
      <c r="C13" s="7" t="s">
        <v>53</v>
      </c>
      <c r="D13" s="8"/>
      <c r="E13" s="12">
        <v>0.99568999999999996</v>
      </c>
      <c r="F13" s="1"/>
      <c r="G13" s="1"/>
      <c r="H13" s="1"/>
      <c r="I13" s="1"/>
      <c r="J13" s="1"/>
      <c r="K13" s="1"/>
      <c r="L13" s="1"/>
      <c r="M13" s="1"/>
      <c r="N13" s="18"/>
    </row>
    <row r="14" spans="2:14" ht="15" customHeight="1" x14ac:dyDescent="0.25">
      <c r="B14" s="20"/>
      <c r="C14" s="5" t="s">
        <v>9</v>
      </c>
      <c r="D14" s="6"/>
      <c r="E14" s="11">
        <v>1.358E-3</v>
      </c>
      <c r="F14" s="1"/>
      <c r="G14" s="1"/>
      <c r="H14" s="1"/>
      <c r="I14" s="1"/>
      <c r="J14" s="1"/>
      <c r="K14" s="1"/>
      <c r="L14" s="1"/>
      <c r="M14" s="1"/>
      <c r="N14" s="18"/>
    </row>
    <row r="15" spans="2:14" ht="15.75" customHeight="1" x14ac:dyDescent="0.25">
      <c r="B15" s="20"/>
      <c r="C15" s="7" t="s">
        <v>10</v>
      </c>
      <c r="D15" s="8"/>
      <c r="E15" s="12">
        <v>1.358E-3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11</v>
      </c>
      <c r="D17" s="8"/>
      <c r="E17" s="12">
        <v>8.6899999999999998E-4</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12</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63" t="s">
        <v>18</v>
      </c>
      <c r="H24" s="64"/>
      <c r="I24" s="64"/>
      <c r="J24" s="64"/>
      <c r="K24" s="64"/>
      <c r="L24" s="26">
        <v>28.486432048283604</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63" t="s">
        <v>19</v>
      </c>
      <c r="H26" s="64"/>
      <c r="I26" s="64"/>
      <c r="J26" s="64"/>
      <c r="K26" s="64"/>
      <c r="L26" s="64"/>
      <c r="M26" s="64"/>
      <c r="N26" s="6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x14ac:dyDescent="0.25">
      <c r="B45" s="49" t="s">
        <v>335</v>
      </c>
      <c r="C45" s="50"/>
      <c r="D45" s="50"/>
      <c r="E45" s="50"/>
      <c r="F45" s="50"/>
      <c r="G45" s="50"/>
      <c r="H45" s="50"/>
      <c r="I45" s="50"/>
      <c r="J45" s="50"/>
      <c r="K45" s="50"/>
      <c r="L45" s="50"/>
      <c r="M45" s="50"/>
      <c r="N45" s="51"/>
    </row>
    <row r="46" spans="2:14" x14ac:dyDescent="0.25">
      <c r="B46" s="52"/>
      <c r="C46" s="53"/>
      <c r="D46" s="53"/>
      <c r="E46" s="53"/>
      <c r="F46" s="53"/>
      <c r="G46" s="53"/>
      <c r="H46" s="53"/>
      <c r="I46" s="53"/>
      <c r="J46" s="53"/>
      <c r="K46" s="53"/>
      <c r="L46" s="53"/>
      <c r="M46" s="53"/>
      <c r="N46" s="54"/>
    </row>
    <row r="47" spans="2:14" x14ac:dyDescent="0.25">
      <c r="B47" s="52"/>
      <c r="C47" s="53"/>
      <c r="D47" s="53"/>
      <c r="E47" s="53"/>
      <c r="F47" s="53"/>
      <c r="G47" s="53"/>
      <c r="H47" s="53"/>
      <c r="I47" s="53"/>
      <c r="J47" s="53"/>
      <c r="K47" s="53"/>
      <c r="L47" s="53"/>
      <c r="M47" s="53"/>
      <c r="N47" s="54"/>
    </row>
    <row r="48" spans="2:14" ht="15.75" thickBot="1" x14ac:dyDescent="0.3">
      <c r="B48" s="55"/>
      <c r="C48" s="56"/>
      <c r="D48" s="56"/>
      <c r="E48" s="56"/>
      <c r="F48" s="56"/>
      <c r="G48" s="56"/>
      <c r="H48" s="56"/>
      <c r="I48" s="56"/>
      <c r="J48" s="56"/>
      <c r="K48" s="56"/>
      <c r="L48" s="56"/>
      <c r="M48" s="56"/>
      <c r="N48" s="57"/>
    </row>
    <row r="49" spans="2:14" ht="15.75" thickBot="1" x14ac:dyDescent="0.3"/>
    <row r="50" spans="2:14" ht="126.75" customHeight="1" thickBot="1" x14ac:dyDescent="0.3">
      <c r="B50" s="46" t="s">
        <v>338</v>
      </c>
      <c r="C50" s="47"/>
      <c r="D50" s="47"/>
      <c r="E50" s="47"/>
      <c r="F50" s="47"/>
      <c r="G50" s="47"/>
      <c r="H50" s="47"/>
      <c r="I50" s="47"/>
      <c r="J50" s="47"/>
      <c r="K50" s="47"/>
      <c r="L50" s="47"/>
      <c r="M50" s="47"/>
      <c r="N50" s="48"/>
    </row>
  </sheetData>
  <mergeCells count="7">
    <mergeCell ref="B50:N50"/>
    <mergeCell ref="B45:N48"/>
    <mergeCell ref="C3:N3"/>
    <mergeCell ref="D5:E5"/>
    <mergeCell ref="G7:N7"/>
    <mergeCell ref="G24:K24"/>
    <mergeCell ref="G26:N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EAB59-D62E-4CCD-B6B5-31A481BE6796}">
  <dimension ref="B1:N51"/>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8" t="s">
        <v>60</v>
      </c>
      <c r="D3" s="59"/>
      <c r="E3" s="59"/>
      <c r="F3" s="59"/>
      <c r="G3" s="59"/>
      <c r="H3" s="59"/>
      <c r="I3" s="59"/>
      <c r="J3" s="59"/>
      <c r="K3" s="59"/>
      <c r="L3" s="59"/>
      <c r="M3" s="59"/>
      <c r="N3" s="60"/>
    </row>
    <row r="4" spans="2:14" ht="15.75" customHeight="1" x14ac:dyDescent="0.25">
      <c r="B4" s="20"/>
      <c r="C4" s="14"/>
      <c r="D4" s="1"/>
      <c r="E4" s="1"/>
      <c r="F4" s="1"/>
      <c r="G4" s="1"/>
      <c r="H4" s="1"/>
      <c r="I4" s="1"/>
      <c r="J4" s="1"/>
      <c r="K4" s="1"/>
      <c r="L4" s="1"/>
      <c r="M4" s="1"/>
      <c r="N4" s="18"/>
    </row>
    <row r="5" spans="2:14" ht="18" customHeight="1" x14ac:dyDescent="0.25">
      <c r="B5" s="20"/>
      <c r="C5" s="15" t="s">
        <v>21</v>
      </c>
      <c r="D5" s="61" t="s">
        <v>61</v>
      </c>
      <c r="E5" s="6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63" t="s">
        <v>17</v>
      </c>
      <c r="H7" s="64"/>
      <c r="I7" s="64"/>
      <c r="J7" s="64"/>
      <c r="K7" s="64"/>
      <c r="L7" s="64"/>
      <c r="M7" s="64"/>
      <c r="N7" s="65"/>
    </row>
    <row r="8" spans="2:14" ht="15" customHeight="1" x14ac:dyDescent="0.25">
      <c r="B8" s="20"/>
      <c r="C8" s="5" t="s">
        <v>40</v>
      </c>
      <c r="D8" s="6" t="s">
        <v>24</v>
      </c>
      <c r="E8" s="11">
        <v>6.9379999999999997E-2</v>
      </c>
      <c r="F8" s="1"/>
      <c r="G8" s="24" t="s">
        <v>16</v>
      </c>
      <c r="H8" s="25">
        <v>1</v>
      </c>
      <c r="I8" s="1"/>
      <c r="J8" s="24" t="s">
        <v>13</v>
      </c>
      <c r="K8" s="24" t="s">
        <v>3</v>
      </c>
      <c r="L8" s="1"/>
      <c r="M8" s="1"/>
      <c r="N8" s="18"/>
    </row>
    <row r="9" spans="2:14" ht="15" customHeight="1" x14ac:dyDescent="0.25">
      <c r="B9" s="20"/>
      <c r="C9" s="5" t="s">
        <v>62</v>
      </c>
      <c r="D9" s="6" t="s">
        <v>24</v>
      </c>
      <c r="E9" s="11">
        <v>4.0922E-2</v>
      </c>
      <c r="F9" s="1"/>
      <c r="G9" s="1"/>
      <c r="H9" s="1"/>
      <c r="I9" s="1"/>
      <c r="J9" s="24" t="s">
        <v>11</v>
      </c>
      <c r="K9" s="29">
        <v>1.2267E-2</v>
      </c>
      <c r="L9" s="1"/>
      <c r="M9" s="1"/>
      <c r="N9" s="18"/>
    </row>
    <row r="10" spans="2:14" ht="15.75" customHeight="1" x14ac:dyDescent="0.25">
      <c r="B10" s="20"/>
      <c r="C10" s="7" t="s">
        <v>31</v>
      </c>
      <c r="D10" s="8"/>
      <c r="E10" s="12">
        <v>0.110302</v>
      </c>
      <c r="F10" s="1"/>
      <c r="G10" s="1"/>
      <c r="H10" s="1"/>
      <c r="I10" s="1"/>
      <c r="J10" s="24" t="s">
        <v>14</v>
      </c>
      <c r="K10" s="29">
        <v>1.0409E-2</v>
      </c>
      <c r="L10" s="1"/>
      <c r="M10" s="1"/>
      <c r="N10" s="18"/>
    </row>
    <row r="11" spans="2:14" ht="15" customHeight="1" x14ac:dyDescent="0.25">
      <c r="B11" s="20"/>
      <c r="C11" s="5" t="s">
        <v>63</v>
      </c>
      <c r="D11" s="6" t="s">
        <v>24</v>
      </c>
      <c r="E11" s="11">
        <v>2.7064000000000001E-2</v>
      </c>
      <c r="F11" s="1"/>
      <c r="G11" s="1"/>
      <c r="H11" s="1"/>
      <c r="I11" s="1"/>
      <c r="J11" s="24" t="s">
        <v>55</v>
      </c>
      <c r="K11" s="29">
        <v>0.110302</v>
      </c>
      <c r="L11" s="1"/>
      <c r="M11" s="1"/>
      <c r="N11" s="18"/>
    </row>
    <row r="12" spans="2:14" ht="15.75" customHeight="1" x14ac:dyDescent="0.25">
      <c r="B12" s="20"/>
      <c r="C12" s="7" t="s">
        <v>32</v>
      </c>
      <c r="D12" s="8"/>
      <c r="E12" s="12">
        <v>2.7064000000000001E-2</v>
      </c>
      <c r="F12" s="1"/>
      <c r="G12" s="1"/>
      <c r="H12" s="1"/>
      <c r="I12" s="1"/>
      <c r="J12" s="24" t="s">
        <v>56</v>
      </c>
      <c r="K12" s="29">
        <v>0.24623999999999999</v>
      </c>
      <c r="L12" s="1"/>
      <c r="M12" s="1"/>
      <c r="N12" s="18"/>
    </row>
    <row r="13" spans="2:14" ht="15" customHeight="1" x14ac:dyDescent="0.25">
      <c r="B13" s="20"/>
      <c r="C13" s="5" t="s">
        <v>35</v>
      </c>
      <c r="D13" s="6" t="s">
        <v>34</v>
      </c>
      <c r="E13" s="11">
        <v>0.103002</v>
      </c>
      <c r="F13" s="1"/>
      <c r="G13" s="1"/>
      <c r="H13" s="1"/>
      <c r="I13" s="1"/>
      <c r="J13" s="24" t="s">
        <v>57</v>
      </c>
      <c r="K13" s="29">
        <v>2.7064000000000001E-2</v>
      </c>
      <c r="L13" s="1"/>
      <c r="M13" s="1"/>
      <c r="N13" s="18"/>
    </row>
    <row r="14" spans="2:14" ht="15" customHeight="1" x14ac:dyDescent="0.25">
      <c r="B14" s="20"/>
      <c r="C14" s="5" t="s">
        <v>64</v>
      </c>
      <c r="D14" s="6" t="s">
        <v>34</v>
      </c>
      <c r="E14" s="11">
        <v>8.7223999999999996E-2</v>
      </c>
      <c r="F14" s="1"/>
      <c r="G14" s="1"/>
      <c r="H14" s="1"/>
      <c r="I14" s="1"/>
      <c r="J14" s="24" t="s">
        <v>48</v>
      </c>
      <c r="K14" s="29">
        <v>2.8110000000000001E-3</v>
      </c>
      <c r="L14" s="1"/>
      <c r="M14" s="1"/>
      <c r="N14" s="18"/>
    </row>
    <row r="15" spans="2:14" ht="15" customHeight="1" x14ac:dyDescent="0.25">
      <c r="B15" s="20"/>
      <c r="C15" s="5" t="s">
        <v>46</v>
      </c>
      <c r="D15" s="6" t="s">
        <v>34</v>
      </c>
      <c r="E15" s="11">
        <v>5.1949000000000002E-2</v>
      </c>
      <c r="F15" s="1"/>
      <c r="G15" s="1"/>
      <c r="H15" s="1"/>
      <c r="I15" s="1"/>
      <c r="J15" s="24" t="s">
        <v>58</v>
      </c>
      <c r="K15" s="29">
        <v>0.59090699999999996</v>
      </c>
      <c r="L15" s="1"/>
      <c r="M15" s="1"/>
      <c r="N15" s="18"/>
    </row>
    <row r="16" spans="2:14" ht="15" customHeight="1" x14ac:dyDescent="0.25">
      <c r="B16" s="20"/>
      <c r="C16" s="5" t="s">
        <v>36</v>
      </c>
      <c r="D16" s="6" t="s">
        <v>34</v>
      </c>
      <c r="E16" s="11">
        <v>4.065E-3</v>
      </c>
      <c r="F16" s="1"/>
      <c r="G16" s="1"/>
      <c r="H16" s="1"/>
      <c r="I16" s="1"/>
      <c r="J16" s="1"/>
      <c r="K16" s="1"/>
      <c r="L16" s="1"/>
      <c r="M16" s="1"/>
      <c r="N16" s="18"/>
    </row>
    <row r="17" spans="2:14" ht="15.75" customHeight="1" x14ac:dyDescent="0.25">
      <c r="B17" s="20"/>
      <c r="C17" s="7" t="s">
        <v>47</v>
      </c>
      <c r="D17" s="8"/>
      <c r="E17" s="12">
        <v>0.24623999999999999</v>
      </c>
      <c r="F17" s="1"/>
      <c r="G17" s="1"/>
      <c r="H17" s="1"/>
      <c r="I17" s="1"/>
      <c r="J17" s="1"/>
      <c r="K17" s="1"/>
      <c r="L17" s="1"/>
      <c r="M17" s="1"/>
      <c r="N17" s="18"/>
    </row>
    <row r="18" spans="2:14" ht="15" customHeight="1" x14ac:dyDescent="0.25">
      <c r="B18" s="20"/>
      <c r="C18" s="5" t="s">
        <v>48</v>
      </c>
      <c r="D18" s="6"/>
      <c r="E18" s="11">
        <v>2.8110000000000001E-3</v>
      </c>
      <c r="F18" s="1"/>
      <c r="G18" s="1"/>
      <c r="H18" s="1"/>
      <c r="I18" s="1"/>
      <c r="J18" s="1"/>
      <c r="K18" s="1"/>
      <c r="L18" s="1"/>
      <c r="M18" s="1"/>
      <c r="N18" s="18"/>
    </row>
    <row r="19" spans="2:14" ht="15.75" customHeight="1" x14ac:dyDescent="0.25">
      <c r="B19" s="20"/>
      <c r="C19" s="7" t="s">
        <v>49</v>
      </c>
      <c r="D19" s="8"/>
      <c r="E19" s="12">
        <v>2.8110000000000001E-3</v>
      </c>
      <c r="F19" s="1"/>
      <c r="G19" s="1"/>
      <c r="H19" s="1"/>
      <c r="I19" s="1"/>
      <c r="J19" s="1"/>
      <c r="K19" s="1"/>
      <c r="L19" s="1"/>
      <c r="M19" s="1"/>
      <c r="N19" s="18"/>
    </row>
    <row r="20" spans="2:14" ht="15" customHeight="1" x14ac:dyDescent="0.25">
      <c r="B20" s="20"/>
      <c r="C20" s="5" t="s">
        <v>65</v>
      </c>
      <c r="D20" s="6" t="s">
        <v>179</v>
      </c>
      <c r="E20" s="11">
        <v>0.483242</v>
      </c>
      <c r="F20" s="1"/>
      <c r="G20" s="1"/>
      <c r="H20" s="1"/>
      <c r="I20" s="1"/>
      <c r="J20" s="1"/>
      <c r="K20" s="1"/>
      <c r="L20" s="1"/>
      <c r="M20" s="1"/>
      <c r="N20" s="18"/>
    </row>
    <row r="21" spans="2:14" ht="15" customHeight="1" x14ac:dyDescent="0.25">
      <c r="B21" s="20"/>
      <c r="C21" s="5" t="s">
        <v>66</v>
      </c>
      <c r="D21" s="6" t="s">
        <v>179</v>
      </c>
      <c r="E21" s="11">
        <v>6.2727000000000005E-2</v>
      </c>
      <c r="F21" s="1"/>
      <c r="G21" s="1"/>
      <c r="H21" s="1"/>
      <c r="I21" s="1"/>
      <c r="J21" s="1"/>
      <c r="K21" s="1"/>
      <c r="L21" s="1"/>
      <c r="M21" s="1"/>
      <c r="N21" s="18"/>
    </row>
    <row r="22" spans="2:14" ht="15" customHeight="1" x14ac:dyDescent="0.25">
      <c r="B22" s="20"/>
      <c r="C22" s="5" t="s">
        <v>51</v>
      </c>
      <c r="D22" s="6" t="s">
        <v>179</v>
      </c>
      <c r="E22" s="11">
        <v>4.2043999999999998E-2</v>
      </c>
      <c r="F22" s="1"/>
      <c r="G22" s="1"/>
      <c r="H22" s="1"/>
      <c r="I22" s="1"/>
      <c r="J22" s="1"/>
      <c r="K22" s="1"/>
      <c r="L22" s="1"/>
      <c r="M22" s="1"/>
      <c r="N22" s="18"/>
    </row>
    <row r="23" spans="2:14" ht="15" customHeight="1" x14ac:dyDescent="0.25">
      <c r="B23" s="20"/>
      <c r="C23" s="5" t="s">
        <v>67</v>
      </c>
      <c r="D23" s="6" t="s">
        <v>179</v>
      </c>
      <c r="E23" s="11">
        <v>2.0690000000000001E-3</v>
      </c>
      <c r="F23" s="1"/>
      <c r="G23" s="1"/>
      <c r="H23" s="1"/>
      <c r="I23" s="1"/>
      <c r="J23" s="1"/>
      <c r="K23" s="1"/>
      <c r="L23" s="1"/>
      <c r="M23" s="1"/>
      <c r="N23" s="18"/>
    </row>
    <row r="24" spans="2:14" ht="15" customHeight="1" x14ac:dyDescent="0.25">
      <c r="B24" s="20"/>
      <c r="C24" s="5" t="s">
        <v>68</v>
      </c>
      <c r="D24" s="6" t="s">
        <v>179</v>
      </c>
      <c r="E24" s="11">
        <v>8.25E-4</v>
      </c>
      <c r="F24" s="1"/>
      <c r="G24" s="63" t="s">
        <v>18</v>
      </c>
      <c r="H24" s="64"/>
      <c r="I24" s="64"/>
      <c r="J24" s="64"/>
      <c r="K24" s="64"/>
      <c r="L24" s="26">
        <v>14.844787905764491</v>
      </c>
      <c r="M24" s="27"/>
      <c r="N24" s="28"/>
    </row>
    <row r="25" spans="2:14" ht="15.75" customHeight="1" x14ac:dyDescent="0.25">
      <c r="B25" s="20"/>
      <c r="C25" s="7" t="s">
        <v>53</v>
      </c>
      <c r="D25" s="8"/>
      <c r="E25" s="12">
        <v>0.59090699999999996</v>
      </c>
      <c r="F25" s="1"/>
      <c r="G25" s="1"/>
      <c r="H25" s="1"/>
      <c r="I25" s="1"/>
      <c r="J25" s="1"/>
      <c r="K25" s="1"/>
      <c r="L25" s="1"/>
      <c r="M25" s="1"/>
      <c r="N25" s="18"/>
    </row>
    <row r="26" spans="2:14" ht="15" customHeight="1" x14ac:dyDescent="0.25">
      <c r="B26" s="20"/>
      <c r="C26" s="5" t="s">
        <v>9</v>
      </c>
      <c r="D26" s="6"/>
      <c r="E26" s="11">
        <v>1.0409E-2</v>
      </c>
      <c r="F26" s="1"/>
      <c r="G26" s="63" t="s">
        <v>19</v>
      </c>
      <c r="H26" s="64"/>
      <c r="I26" s="64"/>
      <c r="J26" s="64"/>
      <c r="K26" s="64"/>
      <c r="L26" s="64"/>
      <c r="M26" s="64"/>
      <c r="N26" s="65"/>
    </row>
    <row r="27" spans="2:14" ht="15.75" customHeight="1" x14ac:dyDescent="0.25">
      <c r="B27" s="20"/>
      <c r="C27" s="7" t="s">
        <v>10</v>
      </c>
      <c r="D27" s="8"/>
      <c r="E27" s="12">
        <v>1.0409E-2</v>
      </c>
      <c r="F27" s="1"/>
      <c r="G27" s="1"/>
      <c r="H27" s="1"/>
      <c r="I27" s="1"/>
      <c r="J27" s="1"/>
      <c r="K27" s="1"/>
      <c r="L27" s="1"/>
      <c r="M27" s="1"/>
      <c r="N27" s="18"/>
    </row>
    <row r="28" spans="2:14" ht="15" customHeight="1" x14ac:dyDescent="0.25">
      <c r="B28" s="20"/>
      <c r="C28" s="5"/>
      <c r="D28" s="6"/>
      <c r="E28" s="11"/>
      <c r="F28" s="1"/>
      <c r="G28" s="1"/>
      <c r="H28" s="1"/>
      <c r="I28" s="1"/>
      <c r="J28" s="1"/>
      <c r="K28" s="1"/>
      <c r="L28" s="1"/>
      <c r="M28" s="1"/>
      <c r="N28" s="18"/>
    </row>
    <row r="29" spans="2:14" ht="15.75" customHeight="1" x14ac:dyDescent="0.25">
      <c r="B29" s="20"/>
      <c r="C29" s="7" t="s">
        <v>11</v>
      </c>
      <c r="D29" s="8"/>
      <c r="E29" s="12">
        <v>1.2267E-2</v>
      </c>
      <c r="F29" s="1"/>
      <c r="G29" s="1"/>
      <c r="H29" s="1"/>
      <c r="I29" s="1"/>
      <c r="J29" s="1"/>
      <c r="K29" s="1"/>
      <c r="L29" s="1"/>
      <c r="M29" s="1"/>
      <c r="N29" s="18"/>
    </row>
    <row r="30" spans="2:14" ht="15" customHeight="1" x14ac:dyDescent="0.25">
      <c r="B30" s="20"/>
      <c r="C30" s="5"/>
      <c r="D30" s="6"/>
      <c r="E30" s="11"/>
      <c r="F30" s="1"/>
      <c r="G30" s="1"/>
      <c r="H30" s="1"/>
      <c r="I30" s="1"/>
      <c r="J30" s="1"/>
      <c r="K30" s="1"/>
      <c r="L30" s="1"/>
      <c r="M30" s="1"/>
      <c r="N30" s="18"/>
    </row>
    <row r="31" spans="2:14" ht="15" customHeight="1" x14ac:dyDescent="0.25">
      <c r="B31" s="20"/>
      <c r="C31" s="9" t="s">
        <v>12</v>
      </c>
      <c r="D31" s="10"/>
      <c r="E31" s="13">
        <v>1</v>
      </c>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49" t="s">
        <v>335</v>
      </c>
      <c r="C45" s="50"/>
      <c r="D45" s="50"/>
      <c r="E45" s="50"/>
      <c r="F45" s="50"/>
      <c r="G45" s="50"/>
      <c r="H45" s="50"/>
      <c r="I45" s="50"/>
      <c r="J45" s="50"/>
      <c r="K45" s="50"/>
      <c r="L45" s="50"/>
      <c r="M45" s="50"/>
      <c r="N45" s="51"/>
    </row>
    <row r="46" spans="2:14" ht="15" customHeight="1" x14ac:dyDescent="0.25">
      <c r="B46" s="52"/>
      <c r="C46" s="53"/>
      <c r="D46" s="53"/>
      <c r="E46" s="53"/>
      <c r="F46" s="53"/>
      <c r="G46" s="53"/>
      <c r="H46" s="53"/>
      <c r="I46" s="53"/>
      <c r="J46" s="53"/>
      <c r="K46" s="53"/>
      <c r="L46" s="53"/>
      <c r="M46" s="53"/>
      <c r="N46" s="54"/>
    </row>
    <row r="47" spans="2:14" ht="15" customHeight="1" x14ac:dyDescent="0.25">
      <c r="B47" s="52"/>
      <c r="C47" s="53"/>
      <c r="D47" s="53"/>
      <c r="E47" s="53"/>
      <c r="F47" s="53"/>
      <c r="G47" s="53"/>
      <c r="H47" s="53"/>
      <c r="I47" s="53"/>
      <c r="J47" s="53"/>
      <c r="K47" s="53"/>
      <c r="L47" s="53"/>
      <c r="M47" s="53"/>
      <c r="N47" s="54"/>
    </row>
    <row r="48" spans="2:14" ht="15" customHeight="1" thickBot="1" x14ac:dyDescent="0.3">
      <c r="B48" s="55"/>
      <c r="C48" s="56"/>
      <c r="D48" s="56"/>
      <c r="E48" s="56"/>
      <c r="F48" s="56"/>
      <c r="G48" s="56"/>
      <c r="H48" s="56"/>
      <c r="I48" s="56"/>
      <c r="J48" s="56"/>
      <c r="K48" s="56"/>
      <c r="L48" s="56"/>
      <c r="M48" s="56"/>
      <c r="N48" s="57"/>
    </row>
    <row r="49" spans="2:14" ht="15" customHeight="1" thickBot="1" x14ac:dyDescent="0.3"/>
    <row r="50" spans="2:14" ht="126.75" customHeight="1" thickBot="1" x14ac:dyDescent="0.3">
      <c r="B50" s="46" t="s">
        <v>338</v>
      </c>
      <c r="C50" s="47"/>
      <c r="D50" s="47"/>
      <c r="E50" s="47"/>
      <c r="F50" s="47"/>
      <c r="G50" s="47"/>
      <c r="H50" s="47"/>
      <c r="I50" s="47"/>
      <c r="J50" s="47"/>
      <c r="K50" s="47"/>
      <c r="L50" s="47"/>
      <c r="M50" s="47"/>
      <c r="N50" s="48"/>
    </row>
    <row r="51" spans="2:14" ht="15" customHeight="1" x14ac:dyDescent="0.25"/>
  </sheetData>
  <mergeCells count="7">
    <mergeCell ref="B50:N50"/>
    <mergeCell ref="B45:N48"/>
    <mergeCell ref="C3:N3"/>
    <mergeCell ref="D5:E5"/>
    <mergeCell ref="G7:N7"/>
    <mergeCell ref="G24:K24"/>
    <mergeCell ref="G26:N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696F2-1A3F-4ECA-B177-4945A4C88B2D}">
  <dimension ref="B1:N53"/>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8" t="s">
        <v>69</v>
      </c>
      <c r="D3" s="59"/>
      <c r="E3" s="59"/>
      <c r="F3" s="59"/>
      <c r="G3" s="59"/>
      <c r="H3" s="59"/>
      <c r="I3" s="59"/>
      <c r="J3" s="59"/>
      <c r="K3" s="59"/>
      <c r="L3" s="59"/>
      <c r="M3" s="59"/>
      <c r="N3" s="60"/>
    </row>
    <row r="4" spans="2:14" ht="15.75" customHeight="1" x14ac:dyDescent="0.25">
      <c r="B4" s="20"/>
      <c r="C4" s="14"/>
      <c r="D4" s="1"/>
      <c r="E4" s="1"/>
      <c r="F4" s="1"/>
      <c r="G4" s="1"/>
      <c r="H4" s="1"/>
      <c r="I4" s="1"/>
      <c r="J4" s="1"/>
      <c r="K4" s="1"/>
      <c r="L4" s="1"/>
      <c r="M4" s="1"/>
      <c r="N4" s="18"/>
    </row>
    <row r="5" spans="2:14" ht="18" customHeight="1" x14ac:dyDescent="0.25">
      <c r="B5" s="20"/>
      <c r="C5" s="15" t="s">
        <v>21</v>
      </c>
      <c r="D5" s="61" t="s">
        <v>70</v>
      </c>
      <c r="E5" s="6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63" t="s">
        <v>17</v>
      </c>
      <c r="H7" s="64"/>
      <c r="I7" s="64"/>
      <c r="J7" s="64"/>
      <c r="K7" s="64"/>
      <c r="L7" s="64"/>
      <c r="M7" s="64"/>
      <c r="N7" s="65"/>
    </row>
    <row r="8" spans="2:14" ht="15" customHeight="1" x14ac:dyDescent="0.25">
      <c r="B8" s="20"/>
      <c r="C8" s="5" t="s">
        <v>40</v>
      </c>
      <c r="D8" s="6" t="s">
        <v>24</v>
      </c>
      <c r="E8" s="11">
        <v>7.8516000000000002E-2</v>
      </c>
      <c r="F8" s="1"/>
      <c r="G8" s="24" t="s">
        <v>16</v>
      </c>
      <c r="H8" s="25">
        <v>1</v>
      </c>
      <c r="I8" s="1"/>
      <c r="J8" s="24" t="s">
        <v>13</v>
      </c>
      <c r="K8" s="24" t="s">
        <v>3</v>
      </c>
      <c r="L8" s="1"/>
      <c r="M8" s="1"/>
      <c r="N8" s="18"/>
    </row>
    <row r="9" spans="2:14" ht="15" customHeight="1" x14ac:dyDescent="0.25">
      <c r="B9" s="20"/>
      <c r="C9" s="5" t="s">
        <v>26</v>
      </c>
      <c r="D9" s="6" t="s">
        <v>24</v>
      </c>
      <c r="E9" s="11">
        <v>1.6874E-2</v>
      </c>
      <c r="F9" s="1"/>
      <c r="G9" s="1"/>
      <c r="H9" s="1"/>
      <c r="I9" s="1"/>
      <c r="J9" s="24" t="s">
        <v>11</v>
      </c>
      <c r="K9" s="29">
        <v>2.6481999999999999E-2</v>
      </c>
      <c r="L9" s="1"/>
      <c r="M9" s="1"/>
      <c r="N9" s="18"/>
    </row>
    <row r="10" spans="2:14" ht="15" customHeight="1" x14ac:dyDescent="0.25">
      <c r="B10" s="20"/>
      <c r="C10" s="5" t="s">
        <v>29</v>
      </c>
      <c r="D10" s="6" t="s">
        <v>24</v>
      </c>
      <c r="E10" s="11">
        <v>1.5819E-2</v>
      </c>
      <c r="F10" s="1"/>
      <c r="G10" s="1"/>
      <c r="H10" s="1"/>
      <c r="I10" s="1"/>
      <c r="J10" s="24" t="s">
        <v>14</v>
      </c>
      <c r="K10" s="29">
        <v>1.328E-3</v>
      </c>
      <c r="L10" s="1"/>
      <c r="M10" s="1"/>
      <c r="N10" s="18"/>
    </row>
    <row r="11" spans="2:14" ht="15.75" customHeight="1" x14ac:dyDescent="0.25">
      <c r="B11" s="20"/>
      <c r="C11" s="7" t="s">
        <v>31</v>
      </c>
      <c r="D11" s="8"/>
      <c r="E11" s="12">
        <v>0.111209</v>
      </c>
      <c r="F11" s="1"/>
      <c r="G11" s="1"/>
      <c r="H11" s="1"/>
      <c r="I11" s="1"/>
      <c r="J11" s="24" t="s">
        <v>55</v>
      </c>
      <c r="K11" s="29">
        <v>0.111209</v>
      </c>
      <c r="L11" s="1"/>
      <c r="M11" s="1"/>
      <c r="N11" s="18"/>
    </row>
    <row r="12" spans="2:14" ht="15" customHeight="1" x14ac:dyDescent="0.25">
      <c r="B12" s="20"/>
      <c r="C12" s="5" t="s">
        <v>46</v>
      </c>
      <c r="D12" s="6" t="s">
        <v>34</v>
      </c>
      <c r="E12" s="11">
        <v>0.10222000000000001</v>
      </c>
      <c r="F12" s="1"/>
      <c r="G12" s="1"/>
      <c r="H12" s="1"/>
      <c r="I12" s="1"/>
      <c r="J12" s="24" t="s">
        <v>56</v>
      </c>
      <c r="K12" s="29">
        <v>0.29590100000000003</v>
      </c>
      <c r="L12" s="1"/>
      <c r="M12" s="1"/>
      <c r="N12" s="18"/>
    </row>
    <row r="13" spans="2:14" ht="15" customHeight="1" x14ac:dyDescent="0.25">
      <c r="B13" s="20"/>
      <c r="C13" s="5" t="s">
        <v>71</v>
      </c>
      <c r="D13" s="6" t="s">
        <v>34</v>
      </c>
      <c r="E13" s="11">
        <v>7.109E-2</v>
      </c>
      <c r="F13" s="1"/>
      <c r="G13" s="1"/>
      <c r="H13" s="1"/>
      <c r="I13" s="1"/>
      <c r="J13" s="24" t="s">
        <v>48</v>
      </c>
      <c r="K13" s="29">
        <v>3.7399999999999998E-3</v>
      </c>
      <c r="L13" s="1"/>
      <c r="M13" s="1"/>
      <c r="N13" s="18"/>
    </row>
    <row r="14" spans="2:14" ht="15" customHeight="1" x14ac:dyDescent="0.25">
      <c r="B14" s="20"/>
      <c r="C14" s="5" t="s">
        <v>64</v>
      </c>
      <c r="D14" s="6" t="s">
        <v>34</v>
      </c>
      <c r="E14" s="11">
        <v>5.5704999999999998E-2</v>
      </c>
      <c r="F14" s="1"/>
      <c r="G14" s="1"/>
      <c r="H14" s="1"/>
      <c r="I14" s="1"/>
      <c r="J14" s="24" t="s">
        <v>58</v>
      </c>
      <c r="K14" s="29">
        <v>0.55648699999999995</v>
      </c>
      <c r="L14" s="1"/>
      <c r="M14" s="1"/>
      <c r="N14" s="18"/>
    </row>
    <row r="15" spans="2:14" ht="15" customHeight="1" x14ac:dyDescent="0.25">
      <c r="B15" s="20"/>
      <c r="C15" s="5" t="s">
        <v>40</v>
      </c>
      <c r="D15" s="6" t="s">
        <v>34</v>
      </c>
      <c r="E15" s="11">
        <v>3.3079999999999998E-2</v>
      </c>
      <c r="F15" s="1"/>
      <c r="G15" s="1"/>
      <c r="H15" s="1"/>
      <c r="I15" s="1"/>
      <c r="J15" s="24" t="s">
        <v>59</v>
      </c>
      <c r="K15" s="29">
        <v>4.8529999999999997E-3</v>
      </c>
      <c r="L15" s="1"/>
      <c r="M15" s="1"/>
      <c r="N15" s="18"/>
    </row>
    <row r="16" spans="2:14" ht="15" customHeight="1" x14ac:dyDescent="0.25">
      <c r="B16" s="20"/>
      <c r="C16" s="5" t="s">
        <v>35</v>
      </c>
      <c r="D16" s="6" t="s">
        <v>34</v>
      </c>
      <c r="E16" s="11">
        <v>2.0247999999999999E-2</v>
      </c>
      <c r="F16" s="1"/>
      <c r="G16" s="1"/>
      <c r="H16" s="1"/>
      <c r="I16" s="1"/>
      <c r="J16" s="1"/>
      <c r="K16" s="1"/>
      <c r="L16" s="1"/>
      <c r="M16" s="1"/>
      <c r="N16" s="18"/>
    </row>
    <row r="17" spans="2:14" ht="15" customHeight="1" x14ac:dyDescent="0.25">
      <c r="B17" s="20"/>
      <c r="C17" s="5" t="s">
        <v>63</v>
      </c>
      <c r="D17" s="6" t="s">
        <v>34</v>
      </c>
      <c r="E17" s="11">
        <v>1.3558000000000001E-2</v>
      </c>
      <c r="F17" s="1"/>
      <c r="G17" s="1"/>
      <c r="H17" s="1"/>
      <c r="I17" s="1"/>
      <c r="J17" s="1"/>
      <c r="K17" s="1"/>
      <c r="L17" s="1"/>
      <c r="M17" s="1"/>
      <c r="N17" s="18"/>
    </row>
    <row r="18" spans="2:14" ht="15.75" customHeight="1" x14ac:dyDescent="0.25">
      <c r="B18" s="20"/>
      <c r="C18" s="7" t="s">
        <v>47</v>
      </c>
      <c r="D18" s="8"/>
      <c r="E18" s="12">
        <v>0.29590100000000003</v>
      </c>
      <c r="F18" s="1"/>
      <c r="G18" s="1"/>
      <c r="H18" s="1"/>
      <c r="I18" s="1"/>
      <c r="J18" s="1"/>
      <c r="K18" s="1"/>
      <c r="L18" s="1"/>
      <c r="M18" s="1"/>
      <c r="N18" s="18"/>
    </row>
    <row r="19" spans="2:14" ht="15" customHeight="1" x14ac:dyDescent="0.25">
      <c r="B19" s="20"/>
      <c r="C19" s="5" t="s">
        <v>48</v>
      </c>
      <c r="D19" s="6"/>
      <c r="E19" s="11">
        <v>3.7399999999999998E-3</v>
      </c>
      <c r="F19" s="1"/>
      <c r="G19" s="1"/>
      <c r="H19" s="1"/>
      <c r="I19" s="1"/>
      <c r="J19" s="1"/>
      <c r="K19" s="1"/>
      <c r="L19" s="1"/>
      <c r="M19" s="1"/>
      <c r="N19" s="18"/>
    </row>
    <row r="20" spans="2:14" ht="15.75" customHeight="1" x14ac:dyDescent="0.25">
      <c r="B20" s="20"/>
      <c r="C20" s="7" t="s">
        <v>49</v>
      </c>
      <c r="D20" s="8"/>
      <c r="E20" s="12">
        <v>3.7399999999999998E-3</v>
      </c>
      <c r="F20" s="1"/>
      <c r="G20" s="1"/>
      <c r="H20" s="1"/>
      <c r="I20" s="1"/>
      <c r="J20" s="1"/>
      <c r="K20" s="1"/>
      <c r="L20" s="1"/>
      <c r="M20" s="1"/>
      <c r="N20" s="18"/>
    </row>
    <row r="21" spans="2:14" ht="15" customHeight="1" x14ac:dyDescent="0.25">
      <c r="B21" s="20"/>
      <c r="C21" s="5" t="s">
        <v>50</v>
      </c>
      <c r="D21" s="6" t="s">
        <v>179</v>
      </c>
      <c r="E21" s="11">
        <v>0.407968</v>
      </c>
      <c r="F21" s="1"/>
      <c r="G21" s="1"/>
      <c r="H21" s="1"/>
      <c r="I21" s="1"/>
      <c r="J21" s="1"/>
      <c r="K21" s="1"/>
      <c r="L21" s="1"/>
      <c r="M21" s="1"/>
      <c r="N21" s="18"/>
    </row>
    <row r="22" spans="2:14" ht="15" customHeight="1" x14ac:dyDescent="0.25">
      <c r="B22" s="20"/>
      <c r="C22" s="5" t="s">
        <v>51</v>
      </c>
      <c r="D22" s="6" t="s">
        <v>179</v>
      </c>
      <c r="E22" s="11">
        <v>0.14830599999999999</v>
      </c>
      <c r="F22" s="1"/>
      <c r="G22" s="1"/>
      <c r="H22" s="1"/>
      <c r="I22" s="1"/>
      <c r="J22" s="1"/>
      <c r="K22" s="1"/>
      <c r="L22" s="1"/>
      <c r="M22" s="1"/>
      <c r="N22" s="18"/>
    </row>
    <row r="23" spans="2:14" ht="15" customHeight="1" x14ac:dyDescent="0.25">
      <c r="B23" s="20"/>
      <c r="C23" s="5" t="s">
        <v>67</v>
      </c>
      <c r="D23" s="6" t="s">
        <v>179</v>
      </c>
      <c r="E23" s="11">
        <v>1.36E-4</v>
      </c>
      <c r="F23" s="1"/>
      <c r="G23" s="1"/>
      <c r="H23" s="1"/>
      <c r="I23" s="1"/>
      <c r="J23" s="1"/>
      <c r="K23" s="1"/>
      <c r="L23" s="1"/>
      <c r="M23" s="1"/>
      <c r="N23" s="18"/>
    </row>
    <row r="24" spans="2:14" ht="15" customHeight="1" x14ac:dyDescent="0.25">
      <c r="B24" s="20"/>
      <c r="C24" s="5" t="s">
        <v>72</v>
      </c>
      <c r="D24" s="6" t="s">
        <v>179</v>
      </c>
      <c r="E24" s="11">
        <v>7.7000000000000001E-5</v>
      </c>
      <c r="F24" s="1"/>
      <c r="G24" s="63" t="s">
        <v>18</v>
      </c>
      <c r="H24" s="64"/>
      <c r="I24" s="64"/>
      <c r="J24" s="64"/>
      <c r="K24" s="64"/>
      <c r="L24" s="26">
        <v>5.0937979924400629</v>
      </c>
      <c r="M24" s="27"/>
      <c r="N24" s="28"/>
    </row>
    <row r="25" spans="2:14" ht="15.75" customHeight="1" x14ac:dyDescent="0.25">
      <c r="B25" s="20"/>
      <c r="C25" s="7" t="s">
        <v>53</v>
      </c>
      <c r="D25" s="8"/>
      <c r="E25" s="12">
        <v>0.55648699999999995</v>
      </c>
      <c r="F25" s="1"/>
      <c r="G25" s="1"/>
      <c r="H25" s="1"/>
      <c r="I25" s="1"/>
      <c r="J25" s="1"/>
      <c r="K25" s="1"/>
      <c r="L25" s="1"/>
      <c r="M25" s="1"/>
      <c r="N25" s="18"/>
    </row>
    <row r="26" spans="2:14" ht="15" customHeight="1" x14ac:dyDescent="0.25">
      <c r="B26" s="20"/>
      <c r="C26" s="5" t="s">
        <v>258</v>
      </c>
      <c r="D26" s="6" t="s">
        <v>179</v>
      </c>
      <c r="E26" s="11">
        <v>3.4749999999999998E-3</v>
      </c>
      <c r="F26" s="1"/>
      <c r="G26" s="63" t="s">
        <v>19</v>
      </c>
      <c r="H26" s="64"/>
      <c r="I26" s="64"/>
      <c r="J26" s="64"/>
      <c r="K26" s="64"/>
      <c r="L26" s="64"/>
      <c r="M26" s="64"/>
      <c r="N26" s="65"/>
    </row>
    <row r="27" spans="2:14" ht="15.75" customHeight="1" x14ac:dyDescent="0.25">
      <c r="B27" s="20"/>
      <c r="C27" s="5" t="s">
        <v>257</v>
      </c>
      <c r="D27" s="6" t="s">
        <v>179</v>
      </c>
      <c r="E27" s="11">
        <v>1.3780000000000001E-3</v>
      </c>
      <c r="F27" s="1"/>
      <c r="G27" s="1"/>
      <c r="H27" s="1"/>
      <c r="I27" s="1"/>
      <c r="J27" s="1"/>
      <c r="K27" s="1"/>
      <c r="L27" s="1"/>
      <c r="M27" s="1"/>
      <c r="N27" s="18"/>
    </row>
    <row r="28" spans="2:14" ht="15" customHeight="1" x14ac:dyDescent="0.25">
      <c r="B28" s="20"/>
      <c r="C28" s="7" t="s">
        <v>54</v>
      </c>
      <c r="D28" s="8"/>
      <c r="E28" s="12">
        <v>4.8529999999999997E-3</v>
      </c>
      <c r="F28" s="1"/>
      <c r="G28" s="1"/>
      <c r="H28" s="1"/>
      <c r="I28" s="1"/>
      <c r="J28" s="1"/>
      <c r="K28" s="1"/>
      <c r="L28" s="1"/>
      <c r="M28" s="1"/>
      <c r="N28" s="18"/>
    </row>
    <row r="29" spans="2:14" ht="15.75" customHeight="1" x14ac:dyDescent="0.25">
      <c r="B29" s="20"/>
      <c r="C29" s="5" t="s">
        <v>9</v>
      </c>
      <c r="D29" s="6"/>
      <c r="E29" s="11">
        <v>1.328E-3</v>
      </c>
      <c r="F29" s="1"/>
      <c r="G29" s="1"/>
      <c r="H29" s="1"/>
      <c r="I29" s="1"/>
      <c r="J29" s="1"/>
      <c r="K29" s="1"/>
      <c r="L29" s="1"/>
      <c r="M29" s="1"/>
      <c r="N29" s="18"/>
    </row>
    <row r="30" spans="2:14" ht="15" customHeight="1" x14ac:dyDescent="0.25">
      <c r="B30" s="20"/>
      <c r="C30" s="7" t="s">
        <v>10</v>
      </c>
      <c r="D30" s="8"/>
      <c r="E30" s="12">
        <v>1.328E-3</v>
      </c>
      <c r="F30" s="1"/>
      <c r="G30" s="1"/>
      <c r="H30" s="1"/>
      <c r="I30" s="1"/>
      <c r="J30" s="1"/>
      <c r="K30" s="1"/>
      <c r="L30" s="1"/>
      <c r="M30" s="1"/>
      <c r="N30" s="18"/>
    </row>
    <row r="31" spans="2:14" ht="15.75" customHeight="1" x14ac:dyDescent="0.25">
      <c r="B31" s="20"/>
      <c r="C31" s="5"/>
      <c r="D31" s="6"/>
      <c r="E31" s="11"/>
      <c r="F31" s="1"/>
      <c r="G31" s="1"/>
      <c r="H31" s="1"/>
      <c r="I31" s="1"/>
      <c r="J31" s="1"/>
      <c r="K31" s="1"/>
      <c r="L31" s="1"/>
      <c r="M31" s="1"/>
      <c r="N31" s="18"/>
    </row>
    <row r="32" spans="2:14" ht="15" customHeight="1" x14ac:dyDescent="0.25">
      <c r="B32" s="20"/>
      <c r="C32" s="7" t="s">
        <v>11</v>
      </c>
      <c r="D32" s="8"/>
      <c r="E32" s="12">
        <v>2.6481999999999999E-2</v>
      </c>
      <c r="F32" s="1"/>
      <c r="G32" s="1"/>
      <c r="H32" s="1"/>
      <c r="I32" s="1"/>
      <c r="J32" s="1"/>
      <c r="K32" s="1"/>
      <c r="L32" s="1"/>
      <c r="M32" s="1"/>
      <c r="N32" s="18"/>
    </row>
    <row r="33" spans="2:14" ht="15" customHeight="1" x14ac:dyDescent="0.25">
      <c r="B33" s="20"/>
      <c r="C33" s="5"/>
      <c r="D33" s="6"/>
      <c r="E33" s="11"/>
      <c r="F33" s="1"/>
      <c r="G33" s="1"/>
      <c r="H33" s="1"/>
      <c r="I33" s="1"/>
      <c r="J33" s="1"/>
      <c r="K33" s="1"/>
      <c r="L33" s="1"/>
      <c r="M33" s="1"/>
      <c r="N33" s="18"/>
    </row>
    <row r="34" spans="2:14" ht="15" customHeight="1" x14ac:dyDescent="0.25">
      <c r="B34" s="20"/>
      <c r="C34" s="9" t="s">
        <v>12</v>
      </c>
      <c r="D34" s="10"/>
      <c r="E34" s="13">
        <v>1</v>
      </c>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49" t="s">
        <v>335</v>
      </c>
      <c r="C45" s="50"/>
      <c r="D45" s="50"/>
      <c r="E45" s="50"/>
      <c r="F45" s="50"/>
      <c r="G45" s="50"/>
      <c r="H45" s="50"/>
      <c r="I45" s="50"/>
      <c r="J45" s="50"/>
      <c r="K45" s="50"/>
      <c r="L45" s="50"/>
      <c r="M45" s="50"/>
      <c r="N45" s="51"/>
    </row>
    <row r="46" spans="2:14" ht="15" customHeight="1" x14ac:dyDescent="0.25">
      <c r="B46" s="52"/>
      <c r="C46" s="53"/>
      <c r="D46" s="53"/>
      <c r="E46" s="53"/>
      <c r="F46" s="53"/>
      <c r="G46" s="53"/>
      <c r="H46" s="53"/>
      <c r="I46" s="53"/>
      <c r="J46" s="53"/>
      <c r="K46" s="53"/>
      <c r="L46" s="53"/>
      <c r="M46" s="53"/>
      <c r="N46" s="54"/>
    </row>
    <row r="47" spans="2:14" ht="15" customHeight="1" x14ac:dyDescent="0.25">
      <c r="B47" s="52"/>
      <c r="C47" s="53"/>
      <c r="D47" s="53"/>
      <c r="E47" s="53"/>
      <c r="F47" s="53"/>
      <c r="G47" s="53"/>
      <c r="H47" s="53"/>
      <c r="I47" s="53"/>
      <c r="J47" s="53"/>
      <c r="K47" s="53"/>
      <c r="L47" s="53"/>
      <c r="M47" s="53"/>
      <c r="N47" s="54"/>
    </row>
    <row r="48" spans="2:14" ht="15" customHeight="1" thickBot="1" x14ac:dyDescent="0.3">
      <c r="B48" s="55"/>
      <c r="C48" s="56"/>
      <c r="D48" s="56"/>
      <c r="E48" s="56"/>
      <c r="F48" s="56"/>
      <c r="G48" s="56"/>
      <c r="H48" s="56"/>
      <c r="I48" s="56"/>
      <c r="J48" s="56"/>
      <c r="K48" s="56"/>
      <c r="L48" s="56"/>
      <c r="M48" s="56"/>
      <c r="N48" s="57"/>
    </row>
    <row r="49" spans="2:14" ht="15" customHeight="1" thickBot="1" x14ac:dyDescent="0.3"/>
    <row r="50" spans="2:14" ht="123" customHeight="1" thickBot="1" x14ac:dyDescent="0.3">
      <c r="B50" s="46" t="s">
        <v>338</v>
      </c>
      <c r="C50" s="47"/>
      <c r="D50" s="47"/>
      <c r="E50" s="47"/>
      <c r="F50" s="47"/>
      <c r="G50" s="47"/>
      <c r="H50" s="47"/>
      <c r="I50" s="47"/>
      <c r="J50" s="47"/>
      <c r="K50" s="47"/>
      <c r="L50" s="47"/>
      <c r="M50" s="47"/>
      <c r="N50" s="48"/>
    </row>
    <row r="51" spans="2:14" ht="15" customHeight="1" x14ac:dyDescent="0.25"/>
    <row r="52" spans="2:14" ht="15" customHeight="1" x14ac:dyDescent="0.25"/>
    <row r="53" spans="2:14" ht="15" customHeight="1" x14ac:dyDescent="0.25"/>
  </sheetData>
  <sortState ref="C26:E27">
    <sortCondition descending="1" ref="E26"/>
  </sortState>
  <mergeCells count="7">
    <mergeCell ref="B50:N50"/>
    <mergeCell ref="B45:N48"/>
    <mergeCell ref="C3:N3"/>
    <mergeCell ref="D5:E5"/>
    <mergeCell ref="G7:N7"/>
    <mergeCell ref="G24:K24"/>
    <mergeCell ref="G26:N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41F7D-17A4-4770-B7CA-12BCBDAABF14}">
  <dimension ref="B1:N64"/>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8" t="s">
        <v>73</v>
      </c>
      <c r="D3" s="59"/>
      <c r="E3" s="59"/>
      <c r="F3" s="59"/>
      <c r="G3" s="59"/>
      <c r="H3" s="59"/>
      <c r="I3" s="59"/>
      <c r="J3" s="59"/>
      <c r="K3" s="59"/>
      <c r="L3" s="59"/>
      <c r="M3" s="59"/>
      <c r="N3" s="60"/>
    </row>
    <row r="4" spans="2:14" ht="15.75" customHeight="1" x14ac:dyDescent="0.25">
      <c r="B4" s="20"/>
      <c r="C4" s="14"/>
      <c r="D4" s="1"/>
      <c r="E4" s="1"/>
      <c r="F4" s="1"/>
      <c r="G4" s="1"/>
      <c r="H4" s="1"/>
      <c r="I4" s="1"/>
      <c r="J4" s="1"/>
      <c r="K4" s="1"/>
      <c r="L4" s="1"/>
      <c r="M4" s="1"/>
      <c r="N4" s="18"/>
    </row>
    <row r="5" spans="2:14" ht="18" customHeight="1" x14ac:dyDescent="0.25">
      <c r="B5" s="20"/>
      <c r="C5" s="15" t="s">
        <v>21</v>
      </c>
      <c r="D5" s="61" t="s">
        <v>74</v>
      </c>
      <c r="E5" s="6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63" t="s">
        <v>17</v>
      </c>
      <c r="H7" s="64"/>
      <c r="I7" s="64"/>
      <c r="J7" s="64"/>
      <c r="K7" s="64"/>
      <c r="L7" s="64"/>
      <c r="M7" s="64"/>
      <c r="N7" s="65"/>
    </row>
    <row r="8" spans="2:14" ht="15" customHeight="1" x14ac:dyDescent="0.25">
      <c r="B8" s="20"/>
      <c r="C8" s="5" t="s">
        <v>40</v>
      </c>
      <c r="D8" s="6" t="s">
        <v>24</v>
      </c>
      <c r="E8" s="11">
        <v>7.7039999999999997E-2</v>
      </c>
      <c r="F8" s="1"/>
      <c r="G8" s="24" t="s">
        <v>16</v>
      </c>
      <c r="H8" s="25">
        <v>1</v>
      </c>
      <c r="I8" s="1"/>
      <c r="J8" s="24" t="s">
        <v>13</v>
      </c>
      <c r="K8" s="24" t="s">
        <v>3</v>
      </c>
      <c r="L8" s="1"/>
      <c r="M8" s="1"/>
      <c r="N8" s="18"/>
    </row>
    <row r="9" spans="2:14" ht="15" customHeight="1" x14ac:dyDescent="0.25">
      <c r="B9" s="20"/>
      <c r="C9" s="5" t="s">
        <v>29</v>
      </c>
      <c r="D9" s="6" t="s">
        <v>24</v>
      </c>
      <c r="E9" s="11">
        <v>5.5161000000000002E-2</v>
      </c>
      <c r="F9" s="1"/>
      <c r="G9" s="1"/>
      <c r="H9" s="1"/>
      <c r="I9" s="1"/>
      <c r="J9" s="24" t="s">
        <v>11</v>
      </c>
      <c r="K9" s="29">
        <v>2.1877000000000001E-2</v>
      </c>
      <c r="L9" s="1"/>
      <c r="M9" s="1"/>
      <c r="N9" s="18"/>
    </row>
    <row r="10" spans="2:14" ht="15" customHeight="1" x14ac:dyDescent="0.25">
      <c r="B10" s="20"/>
      <c r="C10" s="5" t="s">
        <v>28</v>
      </c>
      <c r="D10" s="6" t="s">
        <v>24</v>
      </c>
      <c r="E10" s="11">
        <v>7.1879999999999999E-3</v>
      </c>
      <c r="F10" s="1"/>
      <c r="G10" s="1"/>
      <c r="H10" s="1"/>
      <c r="I10" s="1"/>
      <c r="J10" s="24" t="s">
        <v>14</v>
      </c>
      <c r="K10" s="29">
        <v>1.3489999999999999E-3</v>
      </c>
      <c r="L10" s="1"/>
      <c r="M10" s="1"/>
      <c r="N10" s="18"/>
    </row>
    <row r="11" spans="2:14" ht="15" customHeight="1" x14ac:dyDescent="0.25">
      <c r="B11" s="20"/>
      <c r="C11" s="5" t="s">
        <v>26</v>
      </c>
      <c r="D11" s="6" t="s">
        <v>24</v>
      </c>
      <c r="E11" s="11">
        <v>3.4489999999999998E-3</v>
      </c>
      <c r="F11" s="1"/>
      <c r="G11" s="1"/>
      <c r="H11" s="1"/>
      <c r="I11" s="1"/>
      <c r="J11" s="24" t="s">
        <v>55</v>
      </c>
      <c r="K11" s="29">
        <v>0.14283799999999999</v>
      </c>
      <c r="L11" s="1"/>
      <c r="M11" s="1"/>
      <c r="N11" s="18"/>
    </row>
    <row r="12" spans="2:14" ht="15.75" customHeight="1" x14ac:dyDescent="0.25">
      <c r="B12" s="20"/>
      <c r="C12" s="7" t="s">
        <v>31</v>
      </c>
      <c r="D12" s="8"/>
      <c r="E12" s="12">
        <v>0.14283799999999999</v>
      </c>
      <c r="F12" s="1"/>
      <c r="G12" s="1"/>
      <c r="H12" s="1"/>
      <c r="I12" s="1"/>
      <c r="J12" s="24" t="s">
        <v>56</v>
      </c>
      <c r="K12" s="29">
        <v>0.29785400000000001</v>
      </c>
      <c r="L12" s="1"/>
      <c r="M12" s="1"/>
      <c r="N12" s="18"/>
    </row>
    <row r="13" spans="2:14" ht="15" customHeight="1" x14ac:dyDescent="0.25">
      <c r="B13" s="20"/>
      <c r="C13" s="5" t="s">
        <v>63</v>
      </c>
      <c r="D13" s="6" t="s">
        <v>24</v>
      </c>
      <c r="E13" s="11">
        <v>1.0579999999999999E-3</v>
      </c>
      <c r="F13" s="1"/>
      <c r="G13" s="1"/>
      <c r="H13" s="1"/>
      <c r="I13" s="1"/>
      <c r="J13" s="24" t="s">
        <v>57</v>
      </c>
      <c r="K13" s="29">
        <v>1.0579999999999999E-3</v>
      </c>
      <c r="L13" s="1"/>
      <c r="M13" s="1"/>
      <c r="N13" s="18"/>
    </row>
    <row r="14" spans="2:14" ht="15.75" customHeight="1" x14ac:dyDescent="0.25">
      <c r="B14" s="20"/>
      <c r="C14" s="7" t="s">
        <v>32</v>
      </c>
      <c r="D14" s="8"/>
      <c r="E14" s="12">
        <v>1.0579999999999999E-3</v>
      </c>
      <c r="F14" s="1"/>
      <c r="G14" s="1"/>
      <c r="H14" s="1"/>
      <c r="I14" s="1"/>
      <c r="J14" s="24" t="s">
        <v>48</v>
      </c>
      <c r="K14" s="29">
        <v>2.653E-3</v>
      </c>
      <c r="L14" s="1"/>
      <c r="M14" s="1"/>
      <c r="N14" s="18"/>
    </row>
    <row r="15" spans="2:14" ht="15" customHeight="1" x14ac:dyDescent="0.25">
      <c r="B15" s="20"/>
      <c r="C15" s="5" t="s">
        <v>46</v>
      </c>
      <c r="D15" s="6" t="s">
        <v>34</v>
      </c>
      <c r="E15" s="11">
        <v>8.0010999999999999E-2</v>
      </c>
      <c r="F15" s="1"/>
      <c r="G15" s="1"/>
      <c r="H15" s="1"/>
      <c r="I15" s="1"/>
      <c r="J15" s="24" t="s">
        <v>58</v>
      </c>
      <c r="K15" s="29">
        <v>0.50416000000000005</v>
      </c>
      <c r="L15" s="1"/>
      <c r="M15" s="1"/>
      <c r="N15" s="18"/>
    </row>
    <row r="16" spans="2:14" ht="15" customHeight="1" x14ac:dyDescent="0.25">
      <c r="B16" s="20"/>
      <c r="C16" s="5" t="s">
        <v>64</v>
      </c>
      <c r="D16" s="6" t="s">
        <v>34</v>
      </c>
      <c r="E16" s="11">
        <v>4.5440000000000001E-2</v>
      </c>
      <c r="F16" s="1"/>
      <c r="G16" s="1"/>
      <c r="H16" s="1"/>
      <c r="I16" s="1"/>
      <c r="J16" s="24" t="s">
        <v>59</v>
      </c>
      <c r="K16" s="29">
        <v>2.8211E-2</v>
      </c>
      <c r="L16" s="1"/>
      <c r="M16" s="1"/>
      <c r="N16" s="18"/>
    </row>
    <row r="17" spans="2:14" ht="15" customHeight="1" x14ac:dyDescent="0.25">
      <c r="B17" s="20"/>
      <c r="C17" s="5" t="s">
        <v>71</v>
      </c>
      <c r="D17" s="6" t="s">
        <v>34</v>
      </c>
      <c r="E17" s="11">
        <v>4.1146000000000002E-2</v>
      </c>
      <c r="F17" s="1"/>
      <c r="G17" s="1"/>
      <c r="H17" s="1"/>
      <c r="I17" s="1"/>
      <c r="J17" s="1"/>
      <c r="K17" s="1"/>
      <c r="L17" s="1"/>
      <c r="M17" s="1"/>
      <c r="N17" s="18"/>
    </row>
    <row r="18" spans="2:14" ht="15" customHeight="1" x14ac:dyDescent="0.25">
      <c r="B18" s="20"/>
      <c r="C18" s="5" t="s">
        <v>63</v>
      </c>
      <c r="D18" s="6" t="s">
        <v>34</v>
      </c>
      <c r="E18" s="11">
        <v>4.0620999999999997E-2</v>
      </c>
      <c r="F18" s="1"/>
      <c r="G18" s="1"/>
      <c r="H18" s="1"/>
      <c r="I18" s="1"/>
      <c r="J18" s="1"/>
      <c r="K18" s="1"/>
      <c r="L18" s="1"/>
      <c r="M18" s="1"/>
      <c r="N18" s="18"/>
    </row>
    <row r="19" spans="2:14" ht="15" customHeight="1" x14ac:dyDescent="0.25">
      <c r="B19" s="20"/>
      <c r="C19" s="5" t="s">
        <v>35</v>
      </c>
      <c r="D19" s="6" t="s">
        <v>34</v>
      </c>
      <c r="E19" s="11">
        <v>3.9264E-2</v>
      </c>
      <c r="F19" s="1"/>
      <c r="G19" s="1"/>
      <c r="H19" s="1"/>
      <c r="I19" s="1"/>
      <c r="J19" s="1"/>
      <c r="K19" s="1"/>
      <c r="L19" s="1"/>
      <c r="M19" s="1"/>
      <c r="N19" s="18"/>
    </row>
    <row r="20" spans="2:14" ht="15" customHeight="1" x14ac:dyDescent="0.25">
      <c r="B20" s="20"/>
      <c r="C20" s="5" t="s">
        <v>75</v>
      </c>
      <c r="D20" s="6" t="s">
        <v>34</v>
      </c>
      <c r="E20" s="11">
        <v>3.0842000000000001E-2</v>
      </c>
      <c r="F20" s="1"/>
      <c r="G20" s="1"/>
      <c r="H20" s="1"/>
      <c r="I20" s="1"/>
      <c r="J20" s="1"/>
      <c r="K20" s="1"/>
      <c r="L20" s="1"/>
      <c r="M20" s="1"/>
      <c r="N20" s="18"/>
    </row>
    <row r="21" spans="2:14" ht="15" customHeight="1" x14ac:dyDescent="0.25">
      <c r="B21" s="20"/>
      <c r="C21" s="5" t="s">
        <v>76</v>
      </c>
      <c r="D21" s="6" t="s">
        <v>34</v>
      </c>
      <c r="E21" s="11">
        <v>1.0278000000000001E-2</v>
      </c>
      <c r="F21" s="1"/>
      <c r="G21" s="1"/>
      <c r="H21" s="1"/>
      <c r="I21" s="1"/>
      <c r="J21" s="1"/>
      <c r="K21" s="1"/>
      <c r="L21" s="1"/>
      <c r="M21" s="1"/>
      <c r="N21" s="18"/>
    </row>
    <row r="22" spans="2:14" ht="15" customHeight="1" x14ac:dyDescent="0.25">
      <c r="B22" s="20"/>
      <c r="C22" s="5" t="s">
        <v>37</v>
      </c>
      <c r="D22" s="6" t="s">
        <v>34</v>
      </c>
      <c r="E22" s="11">
        <v>1.0252000000000001E-2</v>
      </c>
      <c r="F22" s="1"/>
      <c r="G22" s="1"/>
      <c r="H22" s="1"/>
      <c r="I22" s="1"/>
      <c r="J22" s="1"/>
      <c r="K22" s="1"/>
      <c r="L22" s="1"/>
      <c r="M22" s="1"/>
      <c r="N22" s="18"/>
    </row>
    <row r="23" spans="2:14" ht="15.75" customHeight="1" x14ac:dyDescent="0.25">
      <c r="B23" s="20"/>
      <c r="C23" s="7" t="s">
        <v>47</v>
      </c>
      <c r="D23" s="8"/>
      <c r="E23" s="12">
        <v>0.29785400000000001</v>
      </c>
      <c r="F23" s="1"/>
      <c r="G23" s="1"/>
      <c r="H23" s="1"/>
      <c r="I23" s="1"/>
      <c r="J23" s="1"/>
      <c r="K23" s="1"/>
      <c r="L23" s="1"/>
      <c r="M23" s="1"/>
      <c r="N23" s="18"/>
    </row>
    <row r="24" spans="2:14" ht="15" customHeight="1" x14ac:dyDescent="0.25">
      <c r="B24" s="20"/>
      <c r="C24" s="5" t="s">
        <v>48</v>
      </c>
      <c r="D24" s="6"/>
      <c r="E24" s="11">
        <v>2.653E-3</v>
      </c>
      <c r="F24" s="1"/>
      <c r="G24" s="63" t="s">
        <v>18</v>
      </c>
      <c r="H24" s="64"/>
      <c r="I24" s="64"/>
      <c r="J24" s="64"/>
      <c r="K24" s="64"/>
      <c r="L24" s="26">
        <v>3.5357436759367573</v>
      </c>
      <c r="M24" s="27"/>
      <c r="N24" s="28"/>
    </row>
    <row r="25" spans="2:14" ht="15.75" customHeight="1" x14ac:dyDescent="0.25">
      <c r="B25" s="20"/>
      <c r="C25" s="7" t="s">
        <v>49</v>
      </c>
      <c r="D25" s="8"/>
      <c r="E25" s="12">
        <v>2.653E-3</v>
      </c>
      <c r="F25" s="1"/>
      <c r="G25" s="1"/>
      <c r="H25" s="1"/>
      <c r="I25" s="1"/>
      <c r="J25" s="1"/>
      <c r="K25" s="1"/>
      <c r="L25" s="1"/>
      <c r="M25" s="1"/>
      <c r="N25" s="18"/>
    </row>
    <row r="26" spans="2:14" ht="15" customHeight="1" x14ac:dyDescent="0.25">
      <c r="B26" s="20"/>
      <c r="C26" s="5" t="s">
        <v>51</v>
      </c>
      <c r="D26" s="6" t="s">
        <v>179</v>
      </c>
      <c r="E26" s="11">
        <v>0.42406100000000002</v>
      </c>
      <c r="F26" s="1"/>
      <c r="G26" s="63" t="s">
        <v>19</v>
      </c>
      <c r="H26" s="64"/>
      <c r="I26" s="64"/>
      <c r="J26" s="64"/>
      <c r="K26" s="64"/>
      <c r="L26" s="64"/>
      <c r="M26" s="64"/>
      <c r="N26" s="65"/>
    </row>
    <row r="27" spans="2:14" ht="15" customHeight="1" x14ac:dyDescent="0.25">
      <c r="B27" s="20"/>
      <c r="C27" s="5" t="s">
        <v>77</v>
      </c>
      <c r="D27" s="6" t="s">
        <v>179</v>
      </c>
      <c r="E27" s="11">
        <v>4.5350000000000001E-2</v>
      </c>
      <c r="F27" s="1"/>
      <c r="G27" s="1"/>
      <c r="H27" s="1"/>
      <c r="I27" s="1"/>
      <c r="J27" s="1"/>
      <c r="K27" s="1"/>
      <c r="L27" s="1"/>
      <c r="M27" s="1"/>
      <c r="N27" s="18"/>
    </row>
    <row r="28" spans="2:14" ht="15" customHeight="1" x14ac:dyDescent="0.25">
      <c r="B28" s="20"/>
      <c r="C28" s="5" t="s">
        <v>50</v>
      </c>
      <c r="D28" s="6" t="s">
        <v>179</v>
      </c>
      <c r="E28" s="11">
        <v>2.23E-2</v>
      </c>
      <c r="F28" s="1"/>
      <c r="G28" s="1"/>
      <c r="H28" s="1"/>
      <c r="I28" s="1"/>
      <c r="J28" s="1"/>
      <c r="K28" s="1"/>
      <c r="L28" s="1"/>
      <c r="M28" s="1"/>
      <c r="N28" s="18"/>
    </row>
    <row r="29" spans="2:14" ht="15" customHeight="1" x14ac:dyDescent="0.25">
      <c r="B29" s="20"/>
      <c r="C29" s="5" t="s">
        <v>78</v>
      </c>
      <c r="D29" s="6" t="s">
        <v>179</v>
      </c>
      <c r="E29" s="11">
        <v>1.2154999999999999E-2</v>
      </c>
      <c r="F29" s="1"/>
      <c r="G29" s="1"/>
      <c r="H29" s="1"/>
      <c r="I29" s="1"/>
      <c r="J29" s="1"/>
      <c r="K29" s="1"/>
      <c r="L29" s="1"/>
      <c r="M29" s="1"/>
      <c r="N29" s="18"/>
    </row>
    <row r="30" spans="2:14" ht="15" customHeight="1" x14ac:dyDescent="0.25">
      <c r="B30" s="20"/>
      <c r="C30" s="5" t="s">
        <v>72</v>
      </c>
      <c r="D30" s="6" t="s">
        <v>179</v>
      </c>
      <c r="E30" s="11">
        <v>1.06E-4</v>
      </c>
      <c r="F30" s="1"/>
      <c r="G30" s="1"/>
      <c r="H30" s="1"/>
      <c r="I30" s="1"/>
      <c r="J30" s="1"/>
      <c r="K30" s="1"/>
      <c r="L30" s="1"/>
      <c r="M30" s="1"/>
      <c r="N30" s="18"/>
    </row>
    <row r="31" spans="2:14" ht="15" customHeight="1" x14ac:dyDescent="0.25">
      <c r="B31" s="20"/>
      <c r="C31" s="5" t="s">
        <v>79</v>
      </c>
      <c r="D31" s="6" t="s">
        <v>179</v>
      </c>
      <c r="E31" s="11">
        <v>1.01E-4</v>
      </c>
      <c r="F31" s="1"/>
      <c r="G31" s="1"/>
      <c r="H31" s="1"/>
      <c r="I31" s="1"/>
      <c r="J31" s="1"/>
      <c r="K31" s="1"/>
      <c r="L31" s="1"/>
      <c r="M31" s="1"/>
      <c r="N31" s="18"/>
    </row>
    <row r="32" spans="2:14" ht="15" customHeight="1" x14ac:dyDescent="0.25">
      <c r="B32" s="20"/>
      <c r="C32" s="5" t="s">
        <v>67</v>
      </c>
      <c r="D32" s="6" t="s">
        <v>179</v>
      </c>
      <c r="E32" s="11">
        <v>8.7000000000000001E-5</v>
      </c>
      <c r="F32" s="1"/>
      <c r="G32" s="1"/>
      <c r="H32" s="1"/>
      <c r="I32" s="1"/>
      <c r="J32" s="1"/>
      <c r="K32" s="1"/>
      <c r="L32" s="1"/>
      <c r="M32" s="1"/>
      <c r="N32" s="18"/>
    </row>
    <row r="33" spans="2:14" ht="15.75" customHeight="1" x14ac:dyDescent="0.25">
      <c r="B33" s="20"/>
      <c r="C33" s="7" t="s">
        <v>53</v>
      </c>
      <c r="D33" s="8"/>
      <c r="E33" s="12">
        <v>0.50416000000000005</v>
      </c>
      <c r="F33" s="1"/>
      <c r="G33" s="1"/>
      <c r="H33" s="1"/>
      <c r="I33" s="1"/>
      <c r="J33" s="1"/>
      <c r="K33" s="1"/>
      <c r="L33" s="1"/>
      <c r="M33" s="1"/>
      <c r="N33" s="18"/>
    </row>
    <row r="34" spans="2:14" ht="15" customHeight="1" x14ac:dyDescent="0.25">
      <c r="B34" s="20"/>
      <c r="C34" s="5" t="s">
        <v>261</v>
      </c>
      <c r="D34" s="6" t="s">
        <v>179</v>
      </c>
      <c r="E34" s="11">
        <v>2.0990999999999999E-2</v>
      </c>
      <c r="F34" s="1"/>
      <c r="G34" s="1"/>
      <c r="H34" s="1"/>
      <c r="I34" s="1"/>
      <c r="J34" s="1"/>
      <c r="K34" s="1"/>
      <c r="L34" s="1"/>
      <c r="M34" s="1"/>
      <c r="N34" s="18"/>
    </row>
    <row r="35" spans="2:14" ht="15.75" customHeight="1" x14ac:dyDescent="0.25">
      <c r="B35" s="20"/>
      <c r="C35" s="5" t="s">
        <v>259</v>
      </c>
      <c r="D35" s="6" t="s">
        <v>179</v>
      </c>
      <c r="E35" s="11">
        <v>3.0860000000000002E-3</v>
      </c>
      <c r="F35" s="1"/>
      <c r="G35" s="1"/>
      <c r="H35" s="1"/>
      <c r="I35" s="1"/>
      <c r="J35" s="1"/>
      <c r="K35" s="1"/>
      <c r="L35" s="1"/>
      <c r="M35" s="1"/>
      <c r="N35" s="18"/>
    </row>
    <row r="36" spans="2:14" ht="15" customHeight="1" x14ac:dyDescent="0.25">
      <c r="B36" s="20"/>
      <c r="C36" s="5" t="s">
        <v>260</v>
      </c>
      <c r="D36" s="6" t="s">
        <v>179</v>
      </c>
      <c r="E36" s="11">
        <v>3.0799999999999998E-3</v>
      </c>
      <c r="F36" s="1"/>
      <c r="G36" s="1"/>
      <c r="H36" s="1"/>
      <c r="I36" s="1"/>
      <c r="J36" s="1"/>
      <c r="K36" s="1"/>
      <c r="L36" s="1"/>
      <c r="M36" s="1"/>
      <c r="N36" s="18"/>
    </row>
    <row r="37" spans="2:14" ht="15.75" customHeight="1" x14ac:dyDescent="0.25">
      <c r="B37" s="20"/>
      <c r="C37" s="5" t="s">
        <v>258</v>
      </c>
      <c r="D37" s="6" t="s">
        <v>179</v>
      </c>
      <c r="E37" s="11">
        <v>1.054E-3</v>
      </c>
      <c r="F37" s="1"/>
      <c r="G37" s="1"/>
      <c r="H37" s="1"/>
      <c r="I37" s="1"/>
      <c r="J37" s="1"/>
      <c r="K37" s="1"/>
      <c r="L37" s="1"/>
      <c r="M37" s="1"/>
      <c r="N37" s="18"/>
    </row>
    <row r="38" spans="2:14" ht="15" customHeight="1" x14ac:dyDescent="0.25">
      <c r="B38" s="20"/>
      <c r="C38" s="7" t="s">
        <v>54</v>
      </c>
      <c r="D38" s="8"/>
      <c r="E38" s="12">
        <v>2.8211E-2</v>
      </c>
      <c r="F38" s="1"/>
      <c r="G38" s="1"/>
      <c r="H38" s="1"/>
      <c r="I38" s="1"/>
      <c r="J38" s="1"/>
      <c r="K38" s="1"/>
      <c r="L38" s="1"/>
      <c r="M38" s="1"/>
      <c r="N38" s="18"/>
    </row>
    <row r="39" spans="2:14" ht="15.75" customHeight="1" x14ac:dyDescent="0.25">
      <c r="B39" s="20"/>
      <c r="C39" s="5" t="s">
        <v>9</v>
      </c>
      <c r="D39" s="6"/>
      <c r="E39" s="11">
        <v>1.3489999999999999E-3</v>
      </c>
      <c r="F39" s="1"/>
      <c r="G39" s="1"/>
      <c r="H39" s="1"/>
      <c r="I39" s="1"/>
      <c r="J39" s="1"/>
      <c r="K39" s="1"/>
      <c r="L39" s="1"/>
      <c r="M39" s="1"/>
      <c r="N39" s="18"/>
    </row>
    <row r="40" spans="2:14" ht="15" customHeight="1" x14ac:dyDescent="0.25">
      <c r="B40" s="20"/>
      <c r="C40" s="7" t="s">
        <v>10</v>
      </c>
      <c r="D40" s="8"/>
      <c r="E40" s="12">
        <v>1.3489999999999999E-3</v>
      </c>
      <c r="F40" s="1"/>
      <c r="G40" s="1"/>
      <c r="H40" s="1"/>
      <c r="I40" s="1"/>
      <c r="J40" s="1"/>
      <c r="K40" s="1"/>
      <c r="L40" s="1"/>
      <c r="M40" s="1"/>
      <c r="N40" s="18"/>
    </row>
    <row r="41" spans="2:14" ht="15" customHeight="1" x14ac:dyDescent="0.25">
      <c r="B41" s="20"/>
      <c r="C41" s="5"/>
      <c r="D41" s="6"/>
      <c r="E41" s="11"/>
      <c r="F41" s="1"/>
      <c r="G41" s="1"/>
      <c r="H41" s="1"/>
      <c r="I41" s="1"/>
      <c r="J41" s="1"/>
      <c r="K41" s="1"/>
      <c r="L41" s="1"/>
      <c r="M41" s="1"/>
      <c r="N41" s="18"/>
    </row>
    <row r="42" spans="2:14" ht="15" customHeight="1" x14ac:dyDescent="0.25">
      <c r="B42" s="20"/>
      <c r="C42" s="7" t="s">
        <v>11</v>
      </c>
      <c r="D42" s="8"/>
      <c r="E42" s="12">
        <v>2.1877000000000001E-2</v>
      </c>
      <c r="F42" s="1"/>
      <c r="G42" s="1"/>
      <c r="H42" s="1"/>
      <c r="I42" s="1"/>
      <c r="J42" s="1"/>
      <c r="K42" s="1"/>
      <c r="L42" s="1"/>
      <c r="M42" s="1"/>
      <c r="N42" s="18"/>
    </row>
    <row r="43" spans="2:14" ht="15" customHeight="1" x14ac:dyDescent="0.25">
      <c r="B43" s="20"/>
      <c r="C43" s="5"/>
      <c r="D43" s="6"/>
      <c r="E43" s="11"/>
      <c r="F43" s="1"/>
      <c r="G43" s="1"/>
      <c r="H43" s="1"/>
      <c r="I43" s="1"/>
      <c r="J43" s="1"/>
      <c r="K43" s="1"/>
      <c r="L43" s="1"/>
      <c r="M43" s="1"/>
      <c r="N43" s="18"/>
    </row>
    <row r="44" spans="2:14" ht="15" customHeight="1" x14ac:dyDescent="0.25">
      <c r="B44" s="20"/>
      <c r="C44" s="9" t="s">
        <v>12</v>
      </c>
      <c r="D44" s="10"/>
      <c r="E44" s="13">
        <v>1</v>
      </c>
      <c r="F44" s="1"/>
      <c r="G44" s="1"/>
      <c r="H44" s="1"/>
      <c r="I44" s="1"/>
      <c r="J44" s="1"/>
      <c r="K44" s="1"/>
      <c r="L44" s="1"/>
      <c r="M44" s="1"/>
      <c r="N44" s="18"/>
    </row>
    <row r="45" spans="2:14" ht="15" customHeight="1" x14ac:dyDescent="0.25">
      <c r="B45" s="20"/>
      <c r="C45" s="1"/>
      <c r="D45" s="1"/>
      <c r="E45" s="1"/>
      <c r="F45" s="1"/>
      <c r="G45" s="1"/>
      <c r="H45" s="1"/>
      <c r="I45" s="1"/>
      <c r="J45" s="1"/>
      <c r="K45" s="1"/>
      <c r="L45" s="1"/>
      <c r="M45" s="1"/>
      <c r="N45" s="18"/>
    </row>
    <row r="46" spans="2:14" ht="15" customHeight="1" thickBot="1" x14ac:dyDescent="0.3">
      <c r="B46" s="21"/>
      <c r="C46" s="22"/>
      <c r="D46" s="22"/>
      <c r="E46" s="22"/>
      <c r="F46" s="22"/>
      <c r="G46" s="22"/>
      <c r="H46" s="22"/>
      <c r="I46" s="22"/>
      <c r="J46" s="22"/>
      <c r="K46" s="22"/>
      <c r="L46" s="22"/>
      <c r="M46" s="22"/>
      <c r="N46" s="23"/>
    </row>
    <row r="47" spans="2:14" ht="15" customHeight="1" thickBot="1" x14ac:dyDescent="0.3"/>
    <row r="48" spans="2:14" ht="15" customHeight="1" x14ac:dyDescent="0.25">
      <c r="B48" s="49" t="s">
        <v>335</v>
      </c>
      <c r="C48" s="50"/>
      <c r="D48" s="50"/>
      <c r="E48" s="50"/>
      <c r="F48" s="50"/>
      <c r="G48" s="50"/>
      <c r="H48" s="50"/>
      <c r="I48" s="50"/>
      <c r="J48" s="50"/>
      <c r="K48" s="50"/>
      <c r="L48" s="50"/>
      <c r="M48" s="50"/>
      <c r="N48" s="51"/>
    </row>
    <row r="49" spans="2:14" ht="15" customHeight="1" x14ac:dyDescent="0.25">
      <c r="B49" s="52"/>
      <c r="C49" s="53"/>
      <c r="D49" s="53"/>
      <c r="E49" s="53"/>
      <c r="F49" s="53"/>
      <c r="G49" s="53"/>
      <c r="H49" s="53"/>
      <c r="I49" s="53"/>
      <c r="J49" s="53"/>
      <c r="K49" s="53"/>
      <c r="L49" s="53"/>
      <c r="M49" s="53"/>
      <c r="N49" s="54"/>
    </row>
    <row r="50" spans="2:14" ht="15" customHeight="1" x14ac:dyDescent="0.25">
      <c r="B50" s="52"/>
      <c r="C50" s="53"/>
      <c r="D50" s="53"/>
      <c r="E50" s="53"/>
      <c r="F50" s="53"/>
      <c r="G50" s="53"/>
      <c r="H50" s="53"/>
      <c r="I50" s="53"/>
      <c r="J50" s="53"/>
      <c r="K50" s="53"/>
      <c r="L50" s="53"/>
      <c r="M50" s="53"/>
      <c r="N50" s="54"/>
    </row>
    <row r="51" spans="2:14" ht="15" customHeight="1" thickBot="1" x14ac:dyDescent="0.3">
      <c r="B51" s="55"/>
      <c r="C51" s="56"/>
      <c r="D51" s="56"/>
      <c r="E51" s="56"/>
      <c r="F51" s="56"/>
      <c r="G51" s="56"/>
      <c r="H51" s="56"/>
      <c r="I51" s="56"/>
      <c r="J51" s="56"/>
      <c r="K51" s="56"/>
      <c r="L51" s="56"/>
      <c r="M51" s="56"/>
      <c r="N51" s="57"/>
    </row>
    <row r="52" spans="2:14" ht="15" customHeight="1" thickBot="1" x14ac:dyDescent="0.3"/>
    <row r="53" spans="2:14" ht="124.5" customHeight="1" thickBot="1" x14ac:dyDescent="0.3">
      <c r="B53" s="46" t="s">
        <v>338</v>
      </c>
      <c r="C53" s="47"/>
      <c r="D53" s="47"/>
      <c r="E53" s="47"/>
      <c r="F53" s="47"/>
      <c r="G53" s="47"/>
      <c r="H53" s="47"/>
      <c r="I53" s="47"/>
      <c r="J53" s="47"/>
      <c r="K53" s="47"/>
      <c r="L53" s="47"/>
      <c r="M53" s="47"/>
      <c r="N53" s="48"/>
    </row>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sheetData>
  <sortState ref="C34:E37">
    <sortCondition descending="1" ref="E34"/>
  </sortState>
  <mergeCells count="7">
    <mergeCell ref="B53:N53"/>
    <mergeCell ref="B48:N51"/>
    <mergeCell ref="C3:N3"/>
    <mergeCell ref="D5:E5"/>
    <mergeCell ref="G7:N7"/>
    <mergeCell ref="G24:K24"/>
    <mergeCell ref="G26: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B2814-5BFA-48C8-A418-2710F552478B}">
  <dimension ref="B1:N72"/>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8" t="s">
        <v>20</v>
      </c>
      <c r="D3" s="59"/>
      <c r="E3" s="59"/>
      <c r="F3" s="59"/>
      <c r="G3" s="59"/>
      <c r="H3" s="59"/>
      <c r="I3" s="59"/>
      <c r="J3" s="59"/>
      <c r="K3" s="59"/>
      <c r="L3" s="59"/>
      <c r="M3" s="59"/>
      <c r="N3" s="60"/>
    </row>
    <row r="4" spans="2:14" ht="15.75" customHeight="1" x14ac:dyDescent="0.25">
      <c r="B4" s="20"/>
      <c r="C4" s="14"/>
      <c r="D4" s="1"/>
      <c r="E4" s="1"/>
      <c r="F4" s="1"/>
      <c r="G4" s="1"/>
      <c r="H4" s="1"/>
      <c r="I4" s="1"/>
      <c r="J4" s="1"/>
      <c r="K4" s="1"/>
      <c r="L4" s="1"/>
      <c r="M4" s="1"/>
      <c r="N4" s="18"/>
    </row>
    <row r="5" spans="2:14" ht="18" customHeight="1" x14ac:dyDescent="0.25">
      <c r="B5" s="20"/>
      <c r="C5" s="15" t="s">
        <v>21</v>
      </c>
      <c r="D5" s="61" t="s">
        <v>22</v>
      </c>
      <c r="E5" s="6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63" t="s">
        <v>17</v>
      </c>
      <c r="H7" s="64"/>
      <c r="I7" s="64"/>
      <c r="J7" s="64"/>
      <c r="K7" s="64"/>
      <c r="L7" s="64"/>
      <c r="M7" s="64"/>
      <c r="N7" s="65"/>
    </row>
    <row r="8" spans="2:14" ht="15" customHeight="1" x14ac:dyDescent="0.25">
      <c r="B8" s="20"/>
      <c r="C8" s="5" t="s">
        <v>23</v>
      </c>
      <c r="D8" s="6" t="s">
        <v>24</v>
      </c>
      <c r="E8" s="11">
        <v>4.9912999999999999E-2</v>
      </c>
      <c r="F8" s="1"/>
      <c r="G8" s="24" t="s">
        <v>16</v>
      </c>
      <c r="H8" s="25">
        <v>1</v>
      </c>
      <c r="I8" s="1"/>
      <c r="J8" s="24" t="s">
        <v>13</v>
      </c>
      <c r="K8" s="24" t="s">
        <v>3</v>
      </c>
      <c r="L8" s="1"/>
      <c r="M8" s="1"/>
      <c r="N8" s="18"/>
    </row>
    <row r="9" spans="2:14" ht="15" customHeight="1" x14ac:dyDescent="0.25">
      <c r="B9" s="20"/>
      <c r="C9" s="5" t="s">
        <v>25</v>
      </c>
      <c r="D9" s="6" t="s">
        <v>24</v>
      </c>
      <c r="E9" s="11">
        <v>2.5616E-2</v>
      </c>
      <c r="F9" s="1"/>
      <c r="G9" s="1"/>
      <c r="H9" s="1"/>
      <c r="I9" s="1"/>
      <c r="J9" s="24" t="s">
        <v>11</v>
      </c>
      <c r="K9" s="29">
        <v>2.9984E-2</v>
      </c>
      <c r="L9" s="1"/>
      <c r="M9" s="1"/>
      <c r="N9" s="18"/>
    </row>
    <row r="10" spans="2:14" ht="15" customHeight="1" x14ac:dyDescent="0.25">
      <c r="B10" s="20"/>
      <c r="C10" s="5" t="s">
        <v>26</v>
      </c>
      <c r="D10" s="6" t="s">
        <v>24</v>
      </c>
      <c r="E10" s="11">
        <v>2.1486999999999999E-2</v>
      </c>
      <c r="F10" s="1"/>
      <c r="G10" s="1"/>
      <c r="H10" s="1"/>
      <c r="I10" s="1"/>
      <c r="J10" s="24" t="s">
        <v>14</v>
      </c>
      <c r="K10" s="29">
        <v>2.362E-3</v>
      </c>
      <c r="L10" s="1"/>
      <c r="M10" s="1"/>
      <c r="N10" s="18"/>
    </row>
    <row r="11" spans="2:14" ht="15" customHeight="1" x14ac:dyDescent="0.25">
      <c r="B11" s="20"/>
      <c r="C11" s="5" t="s">
        <v>27</v>
      </c>
      <c r="D11" s="6" t="s">
        <v>24</v>
      </c>
      <c r="E11" s="11">
        <v>7.3610000000000004E-3</v>
      </c>
      <c r="F11" s="1"/>
      <c r="G11" s="1"/>
      <c r="H11" s="1"/>
      <c r="I11" s="1"/>
      <c r="J11" s="24" t="s">
        <v>55</v>
      </c>
      <c r="K11" s="29">
        <v>0.11543399999999999</v>
      </c>
      <c r="L11" s="1"/>
      <c r="M11" s="1"/>
      <c r="N11" s="18"/>
    </row>
    <row r="12" spans="2:14" ht="15" customHeight="1" x14ac:dyDescent="0.25">
      <c r="B12" s="20"/>
      <c r="C12" s="5" t="s">
        <v>28</v>
      </c>
      <c r="D12" s="6" t="s">
        <v>24</v>
      </c>
      <c r="E12" s="11">
        <v>6.9810000000000002E-3</v>
      </c>
      <c r="F12" s="1"/>
      <c r="G12" s="1"/>
      <c r="H12" s="1"/>
      <c r="I12" s="1"/>
      <c r="J12" s="24" t="s">
        <v>56</v>
      </c>
      <c r="K12" s="29">
        <v>0.53270700000000004</v>
      </c>
      <c r="L12" s="1"/>
      <c r="M12" s="1"/>
      <c r="N12" s="18"/>
    </row>
    <row r="13" spans="2:14" ht="15" customHeight="1" x14ac:dyDescent="0.25">
      <c r="B13" s="20"/>
      <c r="C13" s="5" t="s">
        <v>29</v>
      </c>
      <c r="D13" s="6" t="s">
        <v>24</v>
      </c>
      <c r="E13" s="11">
        <v>3.7030000000000001E-3</v>
      </c>
      <c r="F13" s="1"/>
      <c r="G13" s="1"/>
      <c r="H13" s="1"/>
      <c r="I13" s="1"/>
      <c r="J13" s="24" t="s">
        <v>57</v>
      </c>
      <c r="K13" s="29">
        <v>5.7918999999999998E-2</v>
      </c>
      <c r="L13" s="1"/>
      <c r="M13" s="1"/>
      <c r="N13" s="18"/>
    </row>
    <row r="14" spans="2:14" ht="15" customHeight="1" x14ac:dyDescent="0.25">
      <c r="B14" s="20"/>
      <c r="C14" s="5" t="s">
        <v>30</v>
      </c>
      <c r="D14" s="6" t="s">
        <v>24</v>
      </c>
      <c r="E14" s="11">
        <v>3.7300000000000001E-4</v>
      </c>
      <c r="F14" s="1"/>
      <c r="G14" s="1"/>
      <c r="H14" s="1"/>
      <c r="I14" s="1"/>
      <c r="J14" s="24" t="s">
        <v>48</v>
      </c>
      <c r="K14" s="29">
        <v>2.9559999999999999E-3</v>
      </c>
      <c r="L14" s="1"/>
      <c r="M14" s="1"/>
      <c r="N14" s="18"/>
    </row>
    <row r="15" spans="2:14" ht="15.75" customHeight="1" x14ac:dyDescent="0.25">
      <c r="B15" s="20"/>
      <c r="C15" s="7" t="s">
        <v>31</v>
      </c>
      <c r="D15" s="8"/>
      <c r="E15" s="12">
        <v>0.11543399999999999</v>
      </c>
      <c r="F15" s="1"/>
      <c r="G15" s="1"/>
      <c r="H15" s="1"/>
      <c r="I15" s="1"/>
      <c r="J15" s="24" t="s">
        <v>58</v>
      </c>
      <c r="K15" s="29">
        <v>0.258548</v>
      </c>
      <c r="L15" s="1"/>
      <c r="M15" s="1"/>
      <c r="N15" s="18"/>
    </row>
    <row r="16" spans="2:14" ht="15" customHeight="1" x14ac:dyDescent="0.25">
      <c r="B16" s="20"/>
      <c r="C16" s="5" t="s">
        <v>27</v>
      </c>
      <c r="D16" s="6" t="s">
        <v>24</v>
      </c>
      <c r="E16" s="11">
        <v>5.7918999999999998E-2</v>
      </c>
      <c r="F16" s="1"/>
      <c r="G16" s="1"/>
      <c r="H16" s="1"/>
      <c r="I16" s="1"/>
      <c r="J16" s="24" t="s">
        <v>59</v>
      </c>
      <c r="K16" s="29">
        <v>9.0000000000000006E-5</v>
      </c>
      <c r="L16" s="1"/>
      <c r="M16" s="1"/>
      <c r="N16" s="18"/>
    </row>
    <row r="17" spans="2:14" ht="15.75" customHeight="1" x14ac:dyDescent="0.25">
      <c r="B17" s="20"/>
      <c r="C17" s="7" t="s">
        <v>32</v>
      </c>
      <c r="D17" s="8"/>
      <c r="E17" s="12">
        <v>5.7918999999999998E-2</v>
      </c>
      <c r="F17" s="1"/>
      <c r="G17" s="1"/>
      <c r="H17" s="1"/>
      <c r="I17" s="1"/>
      <c r="J17" s="1"/>
      <c r="K17" s="1"/>
      <c r="L17" s="1"/>
      <c r="M17" s="1"/>
      <c r="N17" s="18"/>
    </row>
    <row r="18" spans="2:14" ht="15" customHeight="1" x14ac:dyDescent="0.25">
      <c r="B18" s="20"/>
      <c r="C18" s="5" t="s">
        <v>33</v>
      </c>
      <c r="D18" s="6" t="s">
        <v>34</v>
      </c>
      <c r="E18" s="11">
        <v>9.6531000000000006E-2</v>
      </c>
      <c r="F18" s="1"/>
      <c r="G18" s="1"/>
      <c r="H18" s="1"/>
      <c r="I18" s="1"/>
      <c r="J18" s="1"/>
      <c r="K18" s="1"/>
      <c r="L18" s="1"/>
      <c r="M18" s="1"/>
      <c r="N18" s="18"/>
    </row>
    <row r="19" spans="2:14" ht="15" customHeight="1" x14ac:dyDescent="0.25">
      <c r="B19" s="20"/>
      <c r="C19" s="5" t="s">
        <v>35</v>
      </c>
      <c r="D19" s="6" t="s">
        <v>34</v>
      </c>
      <c r="E19" s="11">
        <v>7.9858999999999999E-2</v>
      </c>
      <c r="F19" s="1"/>
      <c r="G19" s="1"/>
      <c r="H19" s="1"/>
      <c r="I19" s="1"/>
      <c r="J19" s="1"/>
      <c r="K19" s="1"/>
      <c r="L19" s="1"/>
      <c r="M19" s="1"/>
      <c r="N19" s="18"/>
    </row>
    <row r="20" spans="2:14" ht="15" customHeight="1" x14ac:dyDescent="0.25">
      <c r="B20" s="20"/>
      <c r="C20" s="5" t="s">
        <v>36</v>
      </c>
      <c r="D20" s="6" t="s">
        <v>34</v>
      </c>
      <c r="E20" s="11">
        <v>5.9497000000000001E-2</v>
      </c>
      <c r="F20" s="1"/>
      <c r="G20" s="1"/>
      <c r="H20" s="1"/>
      <c r="I20" s="1"/>
      <c r="J20" s="1"/>
      <c r="K20" s="1"/>
      <c r="L20" s="1"/>
      <c r="M20" s="1"/>
      <c r="N20" s="18"/>
    </row>
    <row r="21" spans="2:14" ht="15" customHeight="1" x14ac:dyDescent="0.25">
      <c r="B21" s="20"/>
      <c r="C21" s="5" t="s">
        <v>37</v>
      </c>
      <c r="D21" s="6" t="s">
        <v>34</v>
      </c>
      <c r="E21" s="11">
        <v>4.8717999999999997E-2</v>
      </c>
      <c r="F21" s="1"/>
      <c r="G21" s="1"/>
      <c r="H21" s="1"/>
      <c r="I21" s="1"/>
      <c r="J21" s="1"/>
      <c r="K21" s="1"/>
      <c r="L21" s="1"/>
      <c r="M21" s="1"/>
      <c r="N21" s="18"/>
    </row>
    <row r="22" spans="2:14" ht="15" customHeight="1" x14ac:dyDescent="0.25">
      <c r="B22" s="20"/>
      <c r="C22" s="5" t="s">
        <v>38</v>
      </c>
      <c r="D22" s="6" t="s">
        <v>34</v>
      </c>
      <c r="E22" s="11">
        <v>4.4964999999999998E-2</v>
      </c>
      <c r="F22" s="1"/>
      <c r="G22" s="1"/>
      <c r="H22" s="1"/>
      <c r="I22" s="1"/>
      <c r="J22" s="1"/>
      <c r="K22" s="1"/>
      <c r="L22" s="1"/>
      <c r="M22" s="1"/>
      <c r="N22" s="18"/>
    </row>
    <row r="23" spans="2:14" ht="15" customHeight="1" x14ac:dyDescent="0.25">
      <c r="B23" s="20"/>
      <c r="C23" s="5" t="s">
        <v>39</v>
      </c>
      <c r="D23" s="6" t="s">
        <v>34</v>
      </c>
      <c r="E23" s="11">
        <v>4.2771000000000003E-2</v>
      </c>
      <c r="F23" s="1"/>
      <c r="G23" s="1"/>
      <c r="H23" s="1"/>
      <c r="I23" s="1"/>
      <c r="J23" s="1"/>
      <c r="K23" s="1"/>
      <c r="L23" s="1"/>
      <c r="M23" s="1"/>
      <c r="N23" s="18"/>
    </row>
    <row r="24" spans="2:14" ht="15" customHeight="1" x14ac:dyDescent="0.25">
      <c r="B24" s="20"/>
      <c r="C24" s="5" t="s">
        <v>40</v>
      </c>
      <c r="D24" s="6" t="s">
        <v>34</v>
      </c>
      <c r="E24" s="11">
        <v>4.2640999999999998E-2</v>
      </c>
      <c r="F24" s="1"/>
      <c r="G24" s="63" t="s">
        <v>18</v>
      </c>
      <c r="H24" s="64"/>
      <c r="I24" s="64"/>
      <c r="J24" s="64"/>
      <c r="K24" s="64"/>
      <c r="L24" s="26">
        <v>3.0138545323070511</v>
      </c>
      <c r="M24" s="27"/>
      <c r="N24" s="28"/>
    </row>
    <row r="25" spans="2:14" ht="15" customHeight="1" x14ac:dyDescent="0.25">
      <c r="B25" s="20"/>
      <c r="C25" s="5" t="s">
        <v>41</v>
      </c>
      <c r="D25" s="6" t="s">
        <v>34</v>
      </c>
      <c r="E25" s="11">
        <v>3.1777E-2</v>
      </c>
      <c r="F25" s="1"/>
      <c r="G25" s="1"/>
      <c r="H25" s="1"/>
      <c r="I25" s="1"/>
      <c r="J25" s="1"/>
      <c r="K25" s="1"/>
      <c r="L25" s="1"/>
      <c r="M25" s="1"/>
      <c r="N25" s="18"/>
    </row>
    <row r="26" spans="2:14" ht="15" customHeight="1" x14ac:dyDescent="0.25">
      <c r="B26" s="20"/>
      <c r="C26" s="5" t="s">
        <v>42</v>
      </c>
      <c r="D26" s="6" t="s">
        <v>34</v>
      </c>
      <c r="E26" s="11">
        <v>2.1024999999999999E-2</v>
      </c>
      <c r="F26" s="1"/>
      <c r="G26" s="63" t="s">
        <v>19</v>
      </c>
      <c r="H26" s="64"/>
      <c r="I26" s="64"/>
      <c r="J26" s="64"/>
      <c r="K26" s="64"/>
      <c r="L26" s="64"/>
      <c r="M26" s="64"/>
      <c r="N26" s="65"/>
    </row>
    <row r="27" spans="2:14" ht="15" customHeight="1" x14ac:dyDescent="0.25">
      <c r="B27" s="20"/>
      <c r="C27" s="5" t="s">
        <v>43</v>
      </c>
      <c r="D27" s="6" t="s">
        <v>34</v>
      </c>
      <c r="E27" s="11">
        <v>1.7453E-2</v>
      </c>
      <c r="F27" s="1"/>
      <c r="G27" s="1"/>
      <c r="H27" s="1"/>
      <c r="I27" s="1"/>
      <c r="J27" s="1"/>
      <c r="K27" s="1"/>
      <c r="L27" s="1"/>
      <c r="M27" s="1"/>
      <c r="N27" s="18"/>
    </row>
    <row r="28" spans="2:14" ht="15" customHeight="1" x14ac:dyDescent="0.25">
      <c r="B28" s="20"/>
      <c r="C28" s="5" t="s">
        <v>27</v>
      </c>
      <c r="D28" s="6" t="s">
        <v>34</v>
      </c>
      <c r="E28" s="11">
        <v>1.6775000000000002E-2</v>
      </c>
      <c r="F28" s="1"/>
      <c r="G28" s="1"/>
      <c r="H28" s="1"/>
      <c r="I28" s="1"/>
      <c r="J28" s="1"/>
      <c r="K28" s="1"/>
      <c r="L28" s="1"/>
      <c r="M28" s="1"/>
      <c r="N28" s="18"/>
    </row>
    <row r="29" spans="2:14" ht="15" customHeight="1" x14ac:dyDescent="0.25">
      <c r="B29" s="20"/>
      <c r="C29" s="5" t="s">
        <v>30</v>
      </c>
      <c r="D29" s="6" t="s">
        <v>34</v>
      </c>
      <c r="E29" s="11">
        <v>1.3759E-2</v>
      </c>
      <c r="F29" s="1"/>
      <c r="G29" s="1"/>
      <c r="H29" s="1"/>
      <c r="I29" s="1"/>
      <c r="J29" s="1"/>
      <c r="K29" s="1"/>
      <c r="L29" s="1"/>
      <c r="M29" s="1"/>
      <c r="N29" s="18"/>
    </row>
    <row r="30" spans="2:14" ht="15" customHeight="1" x14ac:dyDescent="0.25">
      <c r="B30" s="20"/>
      <c r="C30" s="5" t="s">
        <v>44</v>
      </c>
      <c r="D30" s="6" t="s">
        <v>34</v>
      </c>
      <c r="E30" s="11">
        <v>1.1302E-2</v>
      </c>
      <c r="F30" s="1"/>
      <c r="G30" s="1"/>
      <c r="H30" s="1"/>
      <c r="I30" s="1"/>
      <c r="J30" s="1"/>
      <c r="K30" s="1"/>
      <c r="L30" s="1"/>
      <c r="M30" s="1"/>
      <c r="N30" s="18"/>
    </row>
    <row r="31" spans="2:14" ht="15" customHeight="1" x14ac:dyDescent="0.25">
      <c r="B31" s="20"/>
      <c r="C31" s="5" t="s">
        <v>25</v>
      </c>
      <c r="D31" s="6" t="s">
        <v>34</v>
      </c>
      <c r="E31" s="11">
        <v>3.3909999999999999E-3</v>
      </c>
      <c r="F31" s="1"/>
      <c r="G31" s="1"/>
      <c r="H31" s="1"/>
      <c r="I31" s="1"/>
      <c r="J31" s="1"/>
      <c r="K31" s="1"/>
      <c r="L31" s="1"/>
      <c r="M31" s="1"/>
      <c r="N31" s="18"/>
    </row>
    <row r="32" spans="2:14" ht="15" customHeight="1" x14ac:dyDescent="0.25">
      <c r="B32" s="20"/>
      <c r="C32" s="5" t="s">
        <v>45</v>
      </c>
      <c r="D32" s="6" t="s">
        <v>34</v>
      </c>
      <c r="E32" s="11">
        <v>1.8680000000000001E-3</v>
      </c>
      <c r="F32" s="1"/>
      <c r="G32" s="1"/>
      <c r="H32" s="1"/>
      <c r="I32" s="1"/>
      <c r="J32" s="1"/>
      <c r="K32" s="1"/>
      <c r="L32" s="1"/>
      <c r="M32" s="1"/>
      <c r="N32" s="18"/>
    </row>
    <row r="33" spans="2:14" ht="15" customHeight="1" x14ac:dyDescent="0.25">
      <c r="B33" s="20"/>
      <c r="C33" s="5" t="s">
        <v>46</v>
      </c>
      <c r="D33" s="6" t="s">
        <v>34</v>
      </c>
      <c r="E33" s="11">
        <v>3.7500000000000001E-4</v>
      </c>
      <c r="F33" s="1"/>
      <c r="G33" s="1"/>
      <c r="H33" s="1"/>
      <c r="I33" s="1"/>
      <c r="J33" s="1"/>
      <c r="K33" s="1"/>
      <c r="L33" s="1"/>
      <c r="M33" s="1"/>
      <c r="N33" s="18"/>
    </row>
    <row r="34" spans="2:14" ht="15.75" customHeight="1" x14ac:dyDescent="0.25">
      <c r="B34" s="20"/>
      <c r="C34" s="7" t="s">
        <v>47</v>
      </c>
      <c r="D34" s="8"/>
      <c r="E34" s="12">
        <v>0.53270700000000004</v>
      </c>
      <c r="F34" s="1"/>
      <c r="G34" s="1"/>
      <c r="H34" s="1"/>
      <c r="I34" s="1"/>
      <c r="J34" s="1"/>
      <c r="K34" s="1"/>
      <c r="L34" s="1"/>
      <c r="M34" s="1"/>
      <c r="N34" s="18"/>
    </row>
    <row r="35" spans="2:14" ht="15" customHeight="1" x14ac:dyDescent="0.25">
      <c r="B35" s="20"/>
      <c r="C35" s="5" t="s">
        <v>48</v>
      </c>
      <c r="D35" s="6"/>
      <c r="E35" s="11">
        <v>2.9559999999999999E-3</v>
      </c>
      <c r="F35" s="1"/>
      <c r="G35" s="1"/>
      <c r="H35" s="1"/>
      <c r="I35" s="1"/>
      <c r="J35" s="1"/>
      <c r="K35" s="1"/>
      <c r="L35" s="1"/>
      <c r="M35" s="1"/>
      <c r="N35" s="18"/>
    </row>
    <row r="36" spans="2:14" ht="15.75" customHeight="1" x14ac:dyDescent="0.25">
      <c r="B36" s="20"/>
      <c r="C36" s="7" t="s">
        <v>49</v>
      </c>
      <c r="D36" s="8"/>
      <c r="E36" s="12">
        <v>2.9559999999999999E-3</v>
      </c>
      <c r="F36" s="1"/>
      <c r="G36" s="1"/>
      <c r="H36" s="1"/>
      <c r="I36" s="1"/>
      <c r="J36" s="1"/>
      <c r="K36" s="1"/>
      <c r="L36" s="1"/>
      <c r="M36" s="1"/>
      <c r="N36" s="18"/>
    </row>
    <row r="37" spans="2:14" ht="15" customHeight="1" x14ac:dyDescent="0.25">
      <c r="B37" s="20"/>
      <c r="C37" s="5" t="s">
        <v>50</v>
      </c>
      <c r="D37" s="6" t="s">
        <v>179</v>
      </c>
      <c r="E37" s="11">
        <v>0.12751799999999999</v>
      </c>
      <c r="F37" s="1"/>
      <c r="G37" s="1"/>
      <c r="H37" s="1"/>
      <c r="I37" s="1"/>
      <c r="J37" s="1"/>
      <c r="K37" s="1"/>
      <c r="L37" s="1"/>
      <c r="M37" s="1"/>
      <c r="N37" s="18"/>
    </row>
    <row r="38" spans="2:14" ht="15" customHeight="1" x14ac:dyDescent="0.25">
      <c r="B38" s="20"/>
      <c r="C38" s="5" t="s">
        <v>51</v>
      </c>
      <c r="D38" s="6" t="s">
        <v>179</v>
      </c>
      <c r="E38" s="11">
        <v>8.9793999999999999E-2</v>
      </c>
      <c r="F38" s="1"/>
      <c r="G38" s="1"/>
      <c r="H38" s="1"/>
      <c r="I38" s="1"/>
      <c r="J38" s="1"/>
      <c r="K38" s="1"/>
      <c r="L38" s="1"/>
      <c r="M38" s="1"/>
      <c r="N38" s="18"/>
    </row>
    <row r="39" spans="2:14" ht="15" customHeight="1" x14ac:dyDescent="0.25">
      <c r="B39" s="20"/>
      <c r="C39" s="5" t="s">
        <v>52</v>
      </c>
      <c r="D39" s="6" t="s">
        <v>179</v>
      </c>
      <c r="E39" s="11">
        <v>4.1236000000000002E-2</v>
      </c>
      <c r="F39" s="1"/>
      <c r="G39" s="1"/>
      <c r="H39" s="1"/>
      <c r="I39" s="1"/>
      <c r="J39" s="1"/>
      <c r="K39" s="1"/>
      <c r="L39" s="1"/>
      <c r="M39" s="1"/>
      <c r="N39" s="18"/>
    </row>
    <row r="40" spans="2:14" ht="15.75" customHeight="1" x14ac:dyDescent="0.25">
      <c r="B40" s="20"/>
      <c r="C40" s="7" t="s">
        <v>53</v>
      </c>
      <c r="D40" s="8"/>
      <c r="E40" s="12">
        <v>0.258548</v>
      </c>
      <c r="F40" s="1"/>
      <c r="G40" s="1"/>
      <c r="H40" s="1"/>
      <c r="I40" s="1"/>
      <c r="J40" s="1"/>
      <c r="K40" s="1"/>
      <c r="L40" s="1"/>
      <c r="M40" s="1"/>
      <c r="N40" s="18"/>
    </row>
    <row r="41" spans="2:14" ht="15" customHeight="1" x14ac:dyDescent="0.25">
      <c r="B41" s="20"/>
      <c r="C41" s="5" t="s">
        <v>262</v>
      </c>
      <c r="D41" s="6" t="s">
        <v>179</v>
      </c>
      <c r="E41" s="11">
        <v>9.0000000000000006E-5</v>
      </c>
      <c r="F41" s="1"/>
      <c r="G41" s="1"/>
      <c r="H41" s="1"/>
      <c r="I41" s="1"/>
      <c r="J41" s="1"/>
      <c r="K41" s="1"/>
      <c r="L41" s="1"/>
      <c r="M41" s="1"/>
      <c r="N41" s="18"/>
    </row>
    <row r="42" spans="2:14" ht="15.75" customHeight="1" x14ac:dyDescent="0.25">
      <c r="B42" s="20"/>
      <c r="C42" s="7" t="s">
        <v>54</v>
      </c>
      <c r="D42" s="8"/>
      <c r="E42" s="12">
        <v>9.0000000000000006E-5</v>
      </c>
      <c r="F42" s="1"/>
      <c r="G42" s="1"/>
      <c r="H42" s="1"/>
      <c r="I42" s="1"/>
      <c r="J42" s="1"/>
      <c r="K42" s="1"/>
      <c r="L42" s="1"/>
      <c r="M42" s="1"/>
      <c r="N42" s="18"/>
    </row>
    <row r="43" spans="2:14" ht="15" customHeight="1" x14ac:dyDescent="0.25">
      <c r="B43" s="20"/>
      <c r="C43" s="5" t="s">
        <v>9</v>
      </c>
      <c r="D43" s="6"/>
      <c r="E43" s="11">
        <v>2.362E-3</v>
      </c>
      <c r="F43" s="1"/>
      <c r="G43" s="1"/>
      <c r="H43" s="1"/>
      <c r="I43" s="1"/>
      <c r="J43" s="1"/>
      <c r="K43" s="1"/>
      <c r="L43" s="1"/>
      <c r="M43" s="1"/>
      <c r="N43" s="18"/>
    </row>
    <row r="44" spans="2:14" ht="15.75" customHeight="1" x14ac:dyDescent="0.25">
      <c r="B44" s="20"/>
      <c r="C44" s="7" t="s">
        <v>10</v>
      </c>
      <c r="D44" s="8"/>
      <c r="E44" s="12">
        <v>2.362E-3</v>
      </c>
      <c r="F44" s="1"/>
      <c r="G44" s="1"/>
      <c r="H44" s="1"/>
      <c r="I44" s="1"/>
      <c r="J44" s="1"/>
      <c r="K44" s="1"/>
      <c r="L44" s="1"/>
      <c r="M44" s="1"/>
      <c r="N44" s="18"/>
    </row>
    <row r="45" spans="2:14" ht="15" customHeight="1" x14ac:dyDescent="0.25">
      <c r="B45" s="20"/>
      <c r="C45" s="5"/>
      <c r="D45" s="6"/>
      <c r="E45" s="11"/>
      <c r="F45" s="1"/>
      <c r="G45" s="1"/>
      <c r="H45" s="1"/>
      <c r="I45" s="1"/>
      <c r="J45" s="1"/>
      <c r="K45" s="1"/>
      <c r="L45" s="1"/>
      <c r="M45" s="1"/>
      <c r="N45" s="18"/>
    </row>
    <row r="46" spans="2:14" ht="15.75" customHeight="1" x14ac:dyDescent="0.25">
      <c r="B46" s="20"/>
      <c r="C46" s="7" t="s">
        <v>11</v>
      </c>
      <c r="D46" s="8"/>
      <c r="E46" s="12">
        <v>2.9984E-2</v>
      </c>
      <c r="F46" s="1"/>
      <c r="G46" s="1"/>
      <c r="H46" s="1"/>
      <c r="I46" s="1"/>
      <c r="J46" s="1"/>
      <c r="K46" s="1"/>
      <c r="L46" s="1"/>
      <c r="M46" s="1"/>
      <c r="N46" s="18"/>
    </row>
    <row r="47" spans="2:14" ht="15" customHeight="1" x14ac:dyDescent="0.25">
      <c r="B47" s="20"/>
      <c r="C47" s="5"/>
      <c r="D47" s="6"/>
      <c r="E47" s="11"/>
      <c r="F47" s="1"/>
      <c r="G47" s="1"/>
      <c r="H47" s="1"/>
      <c r="I47" s="1"/>
      <c r="J47" s="1"/>
      <c r="K47" s="1"/>
      <c r="L47" s="1"/>
      <c r="M47" s="1"/>
      <c r="N47" s="18"/>
    </row>
    <row r="48" spans="2:14" ht="15" customHeight="1" x14ac:dyDescent="0.25">
      <c r="B48" s="20"/>
      <c r="C48" s="9" t="s">
        <v>12</v>
      </c>
      <c r="D48" s="10"/>
      <c r="E48" s="13">
        <v>1</v>
      </c>
      <c r="F48" s="1"/>
      <c r="G48" s="1"/>
      <c r="H48" s="1"/>
      <c r="I48" s="1"/>
      <c r="J48" s="1"/>
      <c r="K48" s="1"/>
      <c r="L48" s="1"/>
      <c r="M48" s="1"/>
      <c r="N48" s="18"/>
    </row>
    <row r="49" spans="2:14" ht="15" customHeight="1" x14ac:dyDescent="0.25">
      <c r="B49" s="20"/>
      <c r="C49" s="1"/>
      <c r="D49" s="1"/>
      <c r="E49" s="1"/>
      <c r="F49" s="1"/>
      <c r="G49" s="1"/>
      <c r="H49" s="1"/>
      <c r="I49" s="1"/>
      <c r="J49" s="1"/>
      <c r="K49" s="1"/>
      <c r="L49" s="1"/>
      <c r="M49" s="1"/>
      <c r="N49" s="18"/>
    </row>
    <row r="50" spans="2:14" ht="15" customHeight="1" thickBot="1" x14ac:dyDescent="0.3">
      <c r="B50" s="21"/>
      <c r="C50" s="22"/>
      <c r="D50" s="22"/>
      <c r="E50" s="22"/>
      <c r="F50" s="22"/>
      <c r="G50" s="22"/>
      <c r="H50" s="22"/>
      <c r="I50" s="22"/>
      <c r="J50" s="22"/>
      <c r="K50" s="22"/>
      <c r="L50" s="22"/>
      <c r="M50" s="22"/>
      <c r="N50" s="23"/>
    </row>
    <row r="51" spans="2:14" ht="15" customHeight="1" thickBot="1" x14ac:dyDescent="0.3"/>
    <row r="52" spans="2:14" ht="15" customHeight="1" x14ac:dyDescent="0.25">
      <c r="B52" s="49" t="s">
        <v>335</v>
      </c>
      <c r="C52" s="50"/>
      <c r="D52" s="50"/>
      <c r="E52" s="50"/>
      <c r="F52" s="50"/>
      <c r="G52" s="50"/>
      <c r="H52" s="50"/>
      <c r="I52" s="50"/>
      <c r="J52" s="50"/>
      <c r="K52" s="50"/>
      <c r="L52" s="50"/>
      <c r="M52" s="50"/>
      <c r="N52" s="51"/>
    </row>
    <row r="53" spans="2:14" ht="15" customHeight="1" x14ac:dyDescent="0.25">
      <c r="B53" s="52"/>
      <c r="C53" s="53"/>
      <c r="D53" s="53"/>
      <c r="E53" s="53"/>
      <c r="F53" s="53"/>
      <c r="G53" s="53"/>
      <c r="H53" s="53"/>
      <c r="I53" s="53"/>
      <c r="J53" s="53"/>
      <c r="K53" s="53"/>
      <c r="L53" s="53"/>
      <c r="M53" s="53"/>
      <c r="N53" s="54"/>
    </row>
    <row r="54" spans="2:14" ht="15" customHeight="1" x14ac:dyDescent="0.25">
      <c r="B54" s="52"/>
      <c r="C54" s="53"/>
      <c r="D54" s="53"/>
      <c r="E54" s="53"/>
      <c r="F54" s="53"/>
      <c r="G54" s="53"/>
      <c r="H54" s="53"/>
      <c r="I54" s="53"/>
      <c r="J54" s="53"/>
      <c r="K54" s="53"/>
      <c r="L54" s="53"/>
      <c r="M54" s="53"/>
      <c r="N54" s="54"/>
    </row>
    <row r="55" spans="2:14" ht="15" customHeight="1" thickBot="1" x14ac:dyDescent="0.3">
      <c r="B55" s="55"/>
      <c r="C55" s="56"/>
      <c r="D55" s="56"/>
      <c r="E55" s="56"/>
      <c r="F55" s="56"/>
      <c r="G55" s="56"/>
      <c r="H55" s="56"/>
      <c r="I55" s="56"/>
      <c r="J55" s="56"/>
      <c r="K55" s="56"/>
      <c r="L55" s="56"/>
      <c r="M55" s="56"/>
      <c r="N55" s="57"/>
    </row>
    <row r="56" spans="2:14" ht="15" customHeight="1" thickBot="1" x14ac:dyDescent="0.3"/>
    <row r="57" spans="2:14" ht="129" customHeight="1" thickBot="1" x14ac:dyDescent="0.3">
      <c r="B57" s="46" t="s">
        <v>338</v>
      </c>
      <c r="C57" s="47"/>
      <c r="D57" s="47"/>
      <c r="E57" s="47"/>
      <c r="F57" s="47"/>
      <c r="G57" s="47"/>
      <c r="H57" s="47"/>
      <c r="I57" s="47"/>
      <c r="J57" s="47"/>
      <c r="K57" s="47"/>
      <c r="L57" s="47"/>
      <c r="M57" s="47"/>
      <c r="N57" s="48"/>
    </row>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sheetData>
  <mergeCells count="7">
    <mergeCell ref="B57:N57"/>
    <mergeCell ref="B52:N55"/>
    <mergeCell ref="C3:N3"/>
    <mergeCell ref="D5:E5"/>
    <mergeCell ref="G7:N7"/>
    <mergeCell ref="G24:K24"/>
    <mergeCell ref="G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D4FEE-DC3F-47AC-B687-B8A069CD21F5}">
  <dimension ref="B1:N73"/>
  <sheetViews>
    <sheetView showGridLines="0" zoomScale="75" zoomScaleNormal="75" workbookViewId="0"/>
  </sheetViews>
  <sheetFormatPr defaultRowHeight="15" x14ac:dyDescent="0.25"/>
  <cols>
    <col min="1" max="1" width="2.85546875" customWidth="1"/>
    <col min="2" max="2" width="3.85546875" customWidth="1"/>
    <col min="3" max="3" width="60.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8" t="s">
        <v>80</v>
      </c>
      <c r="D3" s="59"/>
      <c r="E3" s="59"/>
      <c r="F3" s="59"/>
      <c r="G3" s="59"/>
      <c r="H3" s="59"/>
      <c r="I3" s="59"/>
      <c r="J3" s="59"/>
      <c r="K3" s="59"/>
      <c r="L3" s="59"/>
      <c r="M3" s="59"/>
      <c r="N3" s="60"/>
    </row>
    <row r="4" spans="2:14" ht="15.75" customHeight="1" x14ac:dyDescent="0.25">
      <c r="B4" s="20"/>
      <c r="C4" s="14"/>
      <c r="D4" s="1"/>
      <c r="E4" s="1"/>
      <c r="F4" s="1"/>
      <c r="G4" s="1"/>
      <c r="H4" s="1"/>
      <c r="I4" s="1"/>
      <c r="J4" s="1"/>
      <c r="K4" s="1"/>
      <c r="L4" s="1"/>
      <c r="M4" s="1"/>
      <c r="N4" s="18"/>
    </row>
    <row r="5" spans="2:14" ht="18" customHeight="1" x14ac:dyDescent="0.25">
      <c r="B5" s="20"/>
      <c r="C5" s="15" t="s">
        <v>21</v>
      </c>
      <c r="D5" s="61" t="s">
        <v>81</v>
      </c>
      <c r="E5" s="6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63" t="s">
        <v>17</v>
      </c>
      <c r="H7" s="64"/>
      <c r="I7" s="64"/>
      <c r="J7" s="64"/>
      <c r="K7" s="64"/>
      <c r="L7" s="64"/>
      <c r="M7" s="64"/>
      <c r="N7" s="65"/>
    </row>
    <row r="8" spans="2:14" ht="15" customHeight="1" x14ac:dyDescent="0.25">
      <c r="B8" s="20"/>
      <c r="C8" s="5" t="s">
        <v>46</v>
      </c>
      <c r="D8" s="6" t="s">
        <v>34</v>
      </c>
      <c r="E8" s="11">
        <v>0.10219</v>
      </c>
      <c r="F8" s="1"/>
      <c r="G8" s="24" t="s">
        <v>16</v>
      </c>
      <c r="H8" s="25">
        <v>1</v>
      </c>
      <c r="I8" s="31"/>
      <c r="J8" s="32" t="s">
        <v>13</v>
      </c>
      <c r="K8" s="32" t="s">
        <v>3</v>
      </c>
      <c r="L8" s="31"/>
      <c r="M8" s="1"/>
      <c r="N8" s="18"/>
    </row>
    <row r="9" spans="2:14" ht="15" customHeight="1" x14ac:dyDescent="0.25">
      <c r="B9" s="20"/>
      <c r="C9" s="5" t="s">
        <v>39</v>
      </c>
      <c r="D9" s="6" t="s">
        <v>34</v>
      </c>
      <c r="E9" s="11">
        <v>8.2368999999999998E-2</v>
      </c>
      <c r="F9" s="1"/>
      <c r="G9" s="1"/>
      <c r="H9" s="1"/>
      <c r="I9" s="31"/>
      <c r="J9" s="32" t="s">
        <v>11</v>
      </c>
      <c r="K9" s="33">
        <v>3.5527999999999997E-2</v>
      </c>
      <c r="L9" s="31"/>
      <c r="M9" s="1"/>
      <c r="N9" s="18"/>
    </row>
    <row r="10" spans="2:14" ht="15" customHeight="1" x14ac:dyDescent="0.25">
      <c r="B10" s="20"/>
      <c r="C10" s="5" t="s">
        <v>35</v>
      </c>
      <c r="D10" s="6" t="s">
        <v>34</v>
      </c>
      <c r="E10" s="11">
        <v>7.5080999999999995E-2</v>
      </c>
      <c r="F10" s="1"/>
      <c r="G10" s="1"/>
      <c r="H10" s="1"/>
      <c r="I10" s="31"/>
      <c r="J10" s="32" t="s">
        <v>14</v>
      </c>
      <c r="K10" s="33">
        <v>1.557E-3</v>
      </c>
      <c r="L10" s="31"/>
      <c r="M10" s="1"/>
      <c r="N10" s="18"/>
    </row>
    <row r="11" spans="2:14" ht="15" customHeight="1" x14ac:dyDescent="0.25">
      <c r="B11" s="20"/>
      <c r="C11" s="5" t="s">
        <v>27</v>
      </c>
      <c r="D11" s="6" t="s">
        <v>34</v>
      </c>
      <c r="E11" s="11">
        <v>7.2728000000000001E-2</v>
      </c>
      <c r="F11" s="1"/>
      <c r="G11" s="1"/>
      <c r="H11" s="1"/>
      <c r="I11" s="31"/>
      <c r="J11" s="32" t="s">
        <v>56</v>
      </c>
      <c r="K11" s="33">
        <v>0.68149299999999979</v>
      </c>
      <c r="L11" s="31"/>
      <c r="M11" s="1"/>
      <c r="N11" s="18"/>
    </row>
    <row r="12" spans="2:14" ht="15" customHeight="1" x14ac:dyDescent="0.25">
      <c r="B12" s="20"/>
      <c r="C12" s="5" t="s">
        <v>33</v>
      </c>
      <c r="D12" s="6" t="s">
        <v>34</v>
      </c>
      <c r="E12" s="11">
        <v>4.9126999999999997E-2</v>
      </c>
      <c r="F12" s="1"/>
      <c r="G12" s="1"/>
      <c r="H12" s="1"/>
      <c r="I12" s="31"/>
      <c r="J12" s="32" t="s">
        <v>48</v>
      </c>
      <c r="K12" s="33">
        <v>3.0209999999999998E-3</v>
      </c>
      <c r="L12" s="31"/>
      <c r="M12" s="1"/>
      <c r="N12" s="18"/>
    </row>
    <row r="13" spans="2:14" ht="15" customHeight="1" x14ac:dyDescent="0.25">
      <c r="B13" s="20"/>
      <c r="C13" s="5" t="s">
        <v>76</v>
      </c>
      <c r="D13" s="6" t="s">
        <v>34</v>
      </c>
      <c r="E13" s="11">
        <v>3.8801000000000002E-2</v>
      </c>
      <c r="F13" s="1"/>
      <c r="G13" s="1"/>
      <c r="H13" s="1"/>
      <c r="I13" s="31"/>
      <c r="J13" s="32" t="s">
        <v>58</v>
      </c>
      <c r="K13" s="33">
        <v>0.278221</v>
      </c>
      <c r="L13" s="31"/>
      <c r="M13" s="1"/>
      <c r="N13" s="18"/>
    </row>
    <row r="14" spans="2:14" ht="15" customHeight="1" x14ac:dyDescent="0.25">
      <c r="B14" s="20"/>
      <c r="C14" s="5" t="s">
        <v>64</v>
      </c>
      <c r="D14" s="6" t="s">
        <v>34</v>
      </c>
      <c r="E14" s="11">
        <v>3.2643999999999999E-2</v>
      </c>
      <c r="F14" s="1"/>
      <c r="G14" s="1"/>
      <c r="H14" s="1"/>
      <c r="I14" s="31"/>
      <c r="J14" s="32"/>
      <c r="K14" s="33"/>
      <c r="L14" s="31"/>
      <c r="M14" s="1"/>
      <c r="N14" s="18"/>
    </row>
    <row r="15" spans="2:14" ht="15" customHeight="1" x14ac:dyDescent="0.25">
      <c r="B15" s="20"/>
      <c r="C15" s="5" t="s">
        <v>40</v>
      </c>
      <c r="D15" s="6" t="s">
        <v>34</v>
      </c>
      <c r="E15" s="11">
        <v>3.2097000000000001E-2</v>
      </c>
      <c r="F15" s="1"/>
      <c r="G15" s="1"/>
      <c r="H15" s="1"/>
      <c r="I15" s="31"/>
      <c r="J15" s="32" t="s">
        <v>59</v>
      </c>
      <c r="K15" s="33">
        <v>1.8000000000000001E-4</v>
      </c>
      <c r="L15" s="31"/>
      <c r="M15" s="1"/>
      <c r="N15" s="18"/>
    </row>
    <row r="16" spans="2:14" ht="15" customHeight="1" x14ac:dyDescent="0.25">
      <c r="B16" s="20"/>
      <c r="C16" s="5" t="s">
        <v>82</v>
      </c>
      <c r="D16" s="6" t="s">
        <v>34</v>
      </c>
      <c r="E16" s="11">
        <v>3.0904000000000001E-2</v>
      </c>
      <c r="F16" s="1"/>
      <c r="G16" s="1"/>
      <c r="H16" s="1"/>
      <c r="I16" s="31"/>
      <c r="J16" s="31"/>
      <c r="K16" s="31"/>
      <c r="L16" s="31"/>
      <c r="M16" s="1"/>
      <c r="N16" s="18"/>
    </row>
    <row r="17" spans="2:14" ht="15" customHeight="1" x14ac:dyDescent="0.25">
      <c r="B17" s="20"/>
      <c r="C17" s="5" t="s">
        <v>44</v>
      </c>
      <c r="D17" s="6" t="s">
        <v>34</v>
      </c>
      <c r="E17" s="11">
        <v>3.0016999999999999E-2</v>
      </c>
      <c r="F17" s="1"/>
      <c r="G17" s="1"/>
      <c r="H17" s="1"/>
      <c r="I17" s="31"/>
      <c r="J17" s="31"/>
      <c r="K17" s="31"/>
      <c r="L17" s="31"/>
      <c r="M17" s="1"/>
      <c r="N17" s="18"/>
    </row>
    <row r="18" spans="2:14" ht="15" customHeight="1" x14ac:dyDescent="0.25">
      <c r="B18" s="20"/>
      <c r="C18" s="5" t="s">
        <v>36</v>
      </c>
      <c r="D18" s="6" t="s">
        <v>34</v>
      </c>
      <c r="E18" s="11">
        <v>2.1273E-2</v>
      </c>
      <c r="F18" s="1"/>
      <c r="G18" s="1"/>
      <c r="H18" s="1"/>
      <c r="I18" s="31"/>
      <c r="J18" s="31"/>
      <c r="K18" s="31"/>
      <c r="L18" s="31"/>
      <c r="M18" s="1"/>
      <c r="N18" s="18"/>
    </row>
    <row r="19" spans="2:14" ht="15" customHeight="1" x14ac:dyDescent="0.25">
      <c r="B19" s="20"/>
      <c r="C19" s="5" t="s">
        <v>83</v>
      </c>
      <c r="D19" s="6" t="s">
        <v>34</v>
      </c>
      <c r="E19" s="11">
        <v>2.0773E-2</v>
      </c>
      <c r="F19" s="1"/>
      <c r="G19" s="1"/>
      <c r="H19" s="1"/>
      <c r="I19" s="31"/>
      <c r="J19" s="31"/>
      <c r="K19" s="31"/>
      <c r="L19" s="31"/>
      <c r="M19" s="1"/>
      <c r="N19" s="18"/>
    </row>
    <row r="20" spans="2:14" ht="15" customHeight="1" x14ac:dyDescent="0.25">
      <c r="B20" s="20"/>
      <c r="C20" s="5" t="s">
        <v>38</v>
      </c>
      <c r="D20" s="6" t="s">
        <v>34</v>
      </c>
      <c r="E20" s="11">
        <v>1.7627E-2</v>
      </c>
      <c r="F20" s="1"/>
      <c r="G20" s="1"/>
      <c r="H20" s="1"/>
      <c r="I20" s="31"/>
      <c r="J20" s="31"/>
      <c r="K20" s="31"/>
      <c r="L20" s="31"/>
      <c r="M20" s="1"/>
      <c r="N20" s="18"/>
    </row>
    <row r="21" spans="2:14" ht="15" customHeight="1" x14ac:dyDescent="0.25">
      <c r="B21" s="20"/>
      <c r="C21" s="5" t="s">
        <v>41</v>
      </c>
      <c r="D21" s="6" t="s">
        <v>34</v>
      </c>
      <c r="E21" s="11">
        <v>1.7545999999999999E-2</v>
      </c>
      <c r="F21" s="1"/>
      <c r="G21" s="1"/>
      <c r="H21" s="1"/>
      <c r="I21" s="1"/>
      <c r="J21" s="1"/>
      <c r="K21" s="1"/>
      <c r="L21" s="1"/>
      <c r="M21" s="1"/>
      <c r="N21" s="18"/>
    </row>
    <row r="22" spans="2:14" ht="15" customHeight="1" x14ac:dyDescent="0.25">
      <c r="B22" s="20"/>
      <c r="C22" s="5" t="s">
        <v>71</v>
      </c>
      <c r="D22" s="6" t="s">
        <v>34</v>
      </c>
      <c r="E22" s="11">
        <v>1.4463E-2</v>
      </c>
      <c r="F22" s="1"/>
      <c r="G22" s="1"/>
      <c r="H22" s="1"/>
      <c r="I22" s="1"/>
      <c r="J22" s="1"/>
      <c r="K22" s="1"/>
      <c r="L22" s="1"/>
      <c r="M22" s="1"/>
      <c r="N22" s="18"/>
    </row>
    <row r="23" spans="2:14" ht="15" customHeight="1" x14ac:dyDescent="0.25">
      <c r="B23" s="20"/>
      <c r="C23" s="5" t="s">
        <v>63</v>
      </c>
      <c r="D23" s="6" t="s">
        <v>34</v>
      </c>
      <c r="E23" s="11">
        <v>1.0163999999999999E-2</v>
      </c>
      <c r="F23" s="1"/>
      <c r="G23" s="1"/>
      <c r="H23" s="1"/>
      <c r="I23" s="1"/>
      <c r="J23" s="1"/>
      <c r="K23" s="1"/>
      <c r="L23" s="1"/>
      <c r="M23" s="1"/>
      <c r="N23" s="18"/>
    </row>
    <row r="24" spans="2:14" ht="15" customHeight="1" x14ac:dyDescent="0.25">
      <c r="B24" s="20"/>
      <c r="C24" s="5" t="s">
        <v>84</v>
      </c>
      <c r="D24" s="6" t="s">
        <v>34</v>
      </c>
      <c r="E24" s="11">
        <v>9.7059999999999994E-3</v>
      </c>
      <c r="F24" s="1"/>
      <c r="G24" s="63" t="s">
        <v>18</v>
      </c>
      <c r="H24" s="64"/>
      <c r="I24" s="64"/>
      <c r="J24" s="64"/>
      <c r="K24" s="64"/>
      <c r="L24" s="26">
        <v>4.0109121199321809</v>
      </c>
      <c r="M24" s="27"/>
      <c r="N24" s="28"/>
    </row>
    <row r="25" spans="2:14" ht="15" customHeight="1" x14ac:dyDescent="0.25">
      <c r="B25" s="20"/>
      <c r="C25" s="5" t="s">
        <v>85</v>
      </c>
      <c r="D25" s="6" t="s">
        <v>34</v>
      </c>
      <c r="E25" s="11">
        <v>9.0620000000000006E-3</v>
      </c>
      <c r="F25" s="1"/>
      <c r="G25" s="1"/>
      <c r="H25" s="1"/>
      <c r="I25" s="1"/>
      <c r="J25" s="1"/>
      <c r="K25" s="1"/>
      <c r="L25" s="1"/>
      <c r="M25" s="1"/>
      <c r="N25" s="18"/>
    </row>
    <row r="26" spans="2:14" ht="15" customHeight="1" x14ac:dyDescent="0.25">
      <c r="B26" s="20"/>
      <c r="C26" s="5" t="s">
        <v>37</v>
      </c>
      <c r="D26" s="6" t="s">
        <v>34</v>
      </c>
      <c r="E26" s="11">
        <v>5.4879999999999998E-3</v>
      </c>
      <c r="F26" s="1"/>
      <c r="G26" s="63" t="s">
        <v>19</v>
      </c>
      <c r="H26" s="64"/>
      <c r="I26" s="64"/>
      <c r="J26" s="64"/>
      <c r="K26" s="64"/>
      <c r="L26" s="64"/>
      <c r="M26" s="64"/>
      <c r="N26" s="65"/>
    </row>
    <row r="27" spans="2:14" ht="15" customHeight="1" x14ac:dyDescent="0.25">
      <c r="B27" s="20"/>
      <c r="C27" s="5" t="s">
        <v>264</v>
      </c>
      <c r="D27" s="6" t="s">
        <v>34</v>
      </c>
      <c r="E27" s="11">
        <v>2.8939999999999999E-3</v>
      </c>
      <c r="F27" s="1"/>
      <c r="G27" s="1"/>
      <c r="H27" s="1"/>
      <c r="I27" s="1"/>
      <c r="J27" s="1"/>
      <c r="K27" s="1"/>
      <c r="L27" s="1"/>
      <c r="M27" s="1"/>
      <c r="N27" s="18"/>
    </row>
    <row r="28" spans="2:14" ht="15" customHeight="1" x14ac:dyDescent="0.25">
      <c r="B28" s="20"/>
      <c r="C28" s="5" t="s">
        <v>42</v>
      </c>
      <c r="D28" s="6" t="s">
        <v>34</v>
      </c>
      <c r="E28" s="11">
        <v>2.1549999999999998E-3</v>
      </c>
      <c r="F28" s="1"/>
      <c r="G28" s="1"/>
      <c r="H28" s="1"/>
      <c r="I28" s="1"/>
      <c r="J28" s="1"/>
      <c r="K28" s="1"/>
      <c r="L28" s="1"/>
      <c r="M28" s="1"/>
      <c r="N28" s="18"/>
    </row>
    <row r="29" spans="2:14" ht="15" customHeight="1" x14ac:dyDescent="0.25">
      <c r="B29" s="20"/>
      <c r="C29" s="5" t="s">
        <v>265</v>
      </c>
      <c r="D29" s="6" t="s">
        <v>34</v>
      </c>
      <c r="E29" s="11">
        <v>1.8439999999999999E-3</v>
      </c>
      <c r="F29" s="1"/>
      <c r="G29" s="1"/>
      <c r="H29" s="1"/>
      <c r="I29" s="1"/>
      <c r="J29" s="1"/>
      <c r="K29" s="1"/>
      <c r="L29" s="1"/>
      <c r="M29" s="1"/>
      <c r="N29" s="18"/>
    </row>
    <row r="30" spans="2:14" ht="15.75" customHeight="1" x14ac:dyDescent="0.25">
      <c r="B30" s="20"/>
      <c r="C30" s="5" t="s">
        <v>75</v>
      </c>
      <c r="D30" s="6" t="s">
        <v>34</v>
      </c>
      <c r="E30" s="11">
        <v>1.8060000000000001E-3</v>
      </c>
      <c r="F30" s="1"/>
      <c r="G30" s="1"/>
      <c r="H30" s="1"/>
      <c r="I30" s="1"/>
      <c r="J30" s="1"/>
      <c r="K30" s="1"/>
      <c r="L30" s="1"/>
      <c r="M30" s="1"/>
      <c r="N30" s="18"/>
    </row>
    <row r="31" spans="2:14" ht="15" customHeight="1" x14ac:dyDescent="0.25">
      <c r="B31" s="20"/>
      <c r="C31" s="5" t="s">
        <v>43</v>
      </c>
      <c r="D31" s="6" t="s">
        <v>34</v>
      </c>
      <c r="E31" s="11">
        <v>7.3399999999999995E-4</v>
      </c>
      <c r="F31" s="1"/>
      <c r="G31" s="1"/>
      <c r="H31" s="1"/>
      <c r="I31" s="1"/>
      <c r="J31" s="1"/>
      <c r="K31" s="1"/>
      <c r="L31" s="1"/>
      <c r="M31" s="1"/>
      <c r="N31" s="18"/>
    </row>
    <row r="32" spans="2:14" ht="15.75" customHeight="1" x14ac:dyDescent="0.25">
      <c r="B32" s="20"/>
      <c r="C32" s="7" t="s">
        <v>47</v>
      </c>
      <c r="D32" s="8"/>
      <c r="E32" s="12">
        <f>SUM(E8:E31)</f>
        <v>0.68149299999999979</v>
      </c>
      <c r="F32" s="1"/>
      <c r="G32" s="1"/>
      <c r="H32" s="1"/>
      <c r="I32" s="1"/>
      <c r="J32" s="1"/>
      <c r="K32" s="1"/>
      <c r="L32" s="1"/>
      <c r="M32" s="1"/>
      <c r="N32" s="18"/>
    </row>
    <row r="33" spans="2:14" ht="15" customHeight="1" x14ac:dyDescent="0.25">
      <c r="B33" s="20"/>
      <c r="C33" s="5" t="s">
        <v>48</v>
      </c>
      <c r="D33" s="6"/>
      <c r="E33" s="11">
        <v>3.0209999999999998E-3</v>
      </c>
      <c r="F33" s="1"/>
      <c r="G33" s="1"/>
      <c r="H33" s="1"/>
      <c r="I33" s="1"/>
      <c r="J33" s="1"/>
      <c r="K33" s="1"/>
      <c r="L33" s="1"/>
      <c r="M33" s="1"/>
      <c r="N33" s="18"/>
    </row>
    <row r="34" spans="2:14" ht="15" customHeight="1" x14ac:dyDescent="0.25">
      <c r="B34" s="20"/>
      <c r="C34" s="7" t="s">
        <v>49</v>
      </c>
      <c r="D34" s="8"/>
      <c r="E34" s="12">
        <v>3.0209999999999998E-3</v>
      </c>
      <c r="F34" s="1"/>
      <c r="G34" s="1"/>
      <c r="H34" s="1"/>
      <c r="I34" s="1"/>
      <c r="J34" s="1"/>
      <c r="K34" s="1"/>
      <c r="L34" s="1"/>
      <c r="M34" s="1"/>
      <c r="N34" s="18"/>
    </row>
    <row r="35" spans="2:14" ht="15" customHeight="1" x14ac:dyDescent="0.25">
      <c r="B35" s="20"/>
      <c r="C35" s="5" t="s">
        <v>50</v>
      </c>
      <c r="D35" s="6" t="s">
        <v>179</v>
      </c>
      <c r="E35" s="11">
        <v>0.17544599999999999</v>
      </c>
      <c r="F35" s="1"/>
      <c r="G35" s="1"/>
      <c r="H35" s="1"/>
      <c r="I35" s="1"/>
      <c r="J35" s="1"/>
      <c r="K35" s="1"/>
      <c r="L35" s="1"/>
      <c r="M35" s="1"/>
      <c r="N35" s="18"/>
    </row>
    <row r="36" spans="2:14" ht="15" customHeight="1" x14ac:dyDescent="0.25">
      <c r="B36" s="20"/>
      <c r="C36" s="5" t="s">
        <v>52</v>
      </c>
      <c r="D36" s="6" t="s">
        <v>179</v>
      </c>
      <c r="E36" s="11">
        <v>8.9734999999999995E-2</v>
      </c>
      <c r="F36" s="1"/>
      <c r="G36" s="1"/>
      <c r="H36" s="1"/>
      <c r="I36" s="1"/>
      <c r="J36" s="1"/>
      <c r="K36" s="1"/>
      <c r="L36" s="1"/>
      <c r="M36" s="1"/>
      <c r="N36" s="18"/>
    </row>
    <row r="37" spans="2:14" ht="15.75" customHeight="1" x14ac:dyDescent="0.25">
      <c r="B37" s="20"/>
      <c r="C37" s="5" t="s">
        <v>86</v>
      </c>
      <c r="D37" s="6" t="s">
        <v>179</v>
      </c>
      <c r="E37" s="11">
        <v>1.12E-2</v>
      </c>
      <c r="F37" s="1"/>
      <c r="G37" s="1"/>
      <c r="H37" s="1"/>
      <c r="I37" s="1"/>
      <c r="J37" s="1"/>
      <c r="K37" s="1"/>
      <c r="L37" s="1"/>
      <c r="M37" s="1"/>
      <c r="N37" s="18"/>
    </row>
    <row r="38" spans="2:14" ht="15" customHeight="1" x14ac:dyDescent="0.25">
      <c r="B38" s="20"/>
      <c r="C38" s="5" t="s">
        <v>51</v>
      </c>
      <c r="D38" s="6" t="s">
        <v>179</v>
      </c>
      <c r="E38" s="11">
        <v>1.8400000000000001E-3</v>
      </c>
      <c r="F38" s="1"/>
      <c r="G38" s="1"/>
      <c r="H38" s="1"/>
      <c r="I38" s="1"/>
      <c r="J38" s="1"/>
      <c r="K38" s="1"/>
      <c r="L38" s="1"/>
      <c r="M38" s="1"/>
      <c r="N38" s="18"/>
    </row>
    <row r="39" spans="2:14" ht="15" customHeight="1" x14ac:dyDescent="0.25">
      <c r="B39" s="20"/>
      <c r="C39" s="7" t="s">
        <v>53</v>
      </c>
      <c r="D39" s="8"/>
      <c r="E39" s="12">
        <v>0.278221</v>
      </c>
      <c r="F39" s="1"/>
      <c r="G39" s="1"/>
      <c r="H39" s="1"/>
      <c r="I39" s="1"/>
      <c r="J39" s="1"/>
      <c r="K39" s="1"/>
      <c r="L39" s="1"/>
      <c r="M39" s="1"/>
      <c r="N39" s="18"/>
    </row>
    <row r="40" spans="2:14" ht="15.75" customHeight="1" x14ac:dyDescent="0.25">
      <c r="B40" s="20"/>
      <c r="C40" s="5" t="s">
        <v>263</v>
      </c>
      <c r="D40" s="6" t="s">
        <v>179</v>
      </c>
      <c r="E40" s="11">
        <v>1.8000000000000001E-4</v>
      </c>
      <c r="F40" s="1"/>
      <c r="G40" s="1"/>
      <c r="H40" s="1"/>
      <c r="I40" s="1"/>
      <c r="J40" s="1"/>
      <c r="K40" s="1"/>
      <c r="L40" s="1"/>
      <c r="M40" s="1"/>
      <c r="N40" s="18"/>
    </row>
    <row r="41" spans="2:14" ht="15" customHeight="1" x14ac:dyDescent="0.25">
      <c r="B41" s="20"/>
      <c r="C41" s="7" t="s">
        <v>54</v>
      </c>
      <c r="D41" s="8"/>
      <c r="E41" s="12">
        <v>1.8000000000000001E-4</v>
      </c>
      <c r="F41" s="1"/>
      <c r="G41" s="1"/>
      <c r="H41" s="1"/>
      <c r="I41" s="1"/>
      <c r="J41" s="1"/>
      <c r="K41" s="1"/>
      <c r="L41" s="1"/>
      <c r="M41" s="1"/>
      <c r="N41" s="18"/>
    </row>
    <row r="42" spans="2:14" ht="15.75" customHeight="1" x14ac:dyDescent="0.25">
      <c r="B42" s="20"/>
      <c r="C42" s="5" t="s">
        <v>9</v>
      </c>
      <c r="D42" s="6"/>
      <c r="E42" s="11">
        <v>1.557E-3</v>
      </c>
      <c r="F42" s="1"/>
      <c r="G42" s="1"/>
      <c r="H42" s="1"/>
      <c r="I42" s="1"/>
      <c r="J42" s="1"/>
      <c r="K42" s="1"/>
      <c r="L42" s="1"/>
      <c r="M42" s="1"/>
      <c r="N42" s="18"/>
    </row>
    <row r="43" spans="2:14" ht="15" customHeight="1" x14ac:dyDescent="0.25">
      <c r="B43" s="20"/>
      <c r="C43" s="7" t="s">
        <v>10</v>
      </c>
      <c r="D43" s="8"/>
      <c r="E43" s="12">
        <v>1.557E-3</v>
      </c>
      <c r="F43" s="1"/>
      <c r="G43" s="1"/>
      <c r="H43" s="1"/>
      <c r="I43" s="1"/>
      <c r="J43" s="1"/>
      <c r="K43" s="1"/>
      <c r="L43" s="1"/>
      <c r="M43" s="1"/>
      <c r="N43" s="18"/>
    </row>
    <row r="44" spans="2:14" ht="15.75" customHeight="1" x14ac:dyDescent="0.25">
      <c r="B44" s="20"/>
      <c r="C44" s="5"/>
      <c r="D44" s="6"/>
      <c r="E44" s="11"/>
      <c r="F44" s="1"/>
      <c r="G44" s="1"/>
      <c r="H44" s="1"/>
      <c r="I44" s="1"/>
      <c r="J44" s="1"/>
      <c r="K44" s="1"/>
      <c r="L44" s="1"/>
      <c r="M44" s="1"/>
      <c r="N44" s="18"/>
    </row>
    <row r="45" spans="2:14" ht="15" customHeight="1" x14ac:dyDescent="0.25">
      <c r="B45" s="20"/>
      <c r="C45" s="7" t="s">
        <v>11</v>
      </c>
      <c r="D45" s="8"/>
      <c r="E45" s="12">
        <v>3.5527999999999997E-2</v>
      </c>
      <c r="F45" s="1"/>
      <c r="G45" s="1"/>
      <c r="H45" s="1"/>
      <c r="I45" s="1"/>
      <c r="J45" s="1"/>
      <c r="K45" s="1"/>
      <c r="L45" s="1"/>
      <c r="M45" s="1"/>
      <c r="N45" s="18"/>
    </row>
    <row r="46" spans="2:14" ht="15.75" customHeight="1" x14ac:dyDescent="0.25">
      <c r="B46" s="20"/>
      <c r="C46" s="5"/>
      <c r="D46" s="6"/>
      <c r="E46" s="11"/>
      <c r="F46" s="1"/>
      <c r="G46" s="1"/>
      <c r="H46" s="1"/>
      <c r="I46" s="1"/>
      <c r="J46" s="1"/>
      <c r="K46" s="1"/>
      <c r="L46" s="1"/>
      <c r="M46" s="1"/>
      <c r="N46" s="18"/>
    </row>
    <row r="47" spans="2:14" ht="15" customHeight="1" x14ac:dyDescent="0.25">
      <c r="B47" s="20"/>
      <c r="C47" s="9" t="s">
        <v>12</v>
      </c>
      <c r="D47" s="10"/>
      <c r="E47" s="13">
        <v>1</v>
      </c>
      <c r="F47" s="1"/>
      <c r="G47" s="1"/>
      <c r="H47" s="1"/>
      <c r="I47" s="1"/>
      <c r="J47" s="1"/>
      <c r="K47" s="1"/>
      <c r="L47" s="1"/>
      <c r="M47" s="1"/>
      <c r="N47" s="18"/>
    </row>
    <row r="48" spans="2:14" ht="15" customHeight="1" x14ac:dyDescent="0.25">
      <c r="B48" s="20"/>
      <c r="F48" s="1"/>
      <c r="G48" s="1"/>
      <c r="H48" s="1"/>
      <c r="I48" s="1"/>
      <c r="J48" s="1"/>
      <c r="K48" s="1"/>
      <c r="L48" s="1"/>
      <c r="M48" s="1"/>
      <c r="N48" s="18"/>
    </row>
    <row r="49" spans="2:14" ht="15" customHeight="1" x14ac:dyDescent="0.25">
      <c r="B49" s="20"/>
      <c r="C49" t="s">
        <v>336</v>
      </c>
      <c r="F49" s="1"/>
      <c r="G49" s="1"/>
      <c r="H49" s="1"/>
      <c r="I49" s="1"/>
      <c r="J49" s="1"/>
      <c r="K49" s="1"/>
      <c r="L49" s="1"/>
      <c r="M49" s="1"/>
      <c r="N49" s="18"/>
    </row>
    <row r="50" spans="2:14" ht="15" customHeight="1" x14ac:dyDescent="0.25">
      <c r="B50" s="20"/>
      <c r="F50" s="1"/>
      <c r="G50" s="1"/>
      <c r="H50" s="1"/>
      <c r="I50" s="1"/>
      <c r="J50" s="1"/>
      <c r="K50" s="1"/>
      <c r="L50" s="1"/>
      <c r="M50" s="1"/>
      <c r="N50" s="18"/>
    </row>
    <row r="51" spans="2:14" ht="15" customHeight="1" thickBot="1" x14ac:dyDescent="0.3">
      <c r="B51" s="21"/>
      <c r="C51" s="22"/>
      <c r="D51" s="22"/>
      <c r="E51" s="22"/>
      <c r="F51" s="22"/>
      <c r="G51" s="22"/>
      <c r="H51" s="22"/>
      <c r="I51" s="22"/>
      <c r="J51" s="22"/>
      <c r="K51" s="22"/>
      <c r="L51" s="22"/>
      <c r="M51" s="22"/>
      <c r="N51" s="23"/>
    </row>
    <row r="52" spans="2:14" ht="15" customHeight="1" thickBot="1" x14ac:dyDescent="0.3"/>
    <row r="53" spans="2:14" ht="15" customHeight="1" x14ac:dyDescent="0.25">
      <c r="B53" s="49" t="s">
        <v>335</v>
      </c>
      <c r="C53" s="50"/>
      <c r="D53" s="50"/>
      <c r="E53" s="50"/>
      <c r="F53" s="50"/>
      <c r="G53" s="50"/>
      <c r="H53" s="50"/>
      <c r="I53" s="50"/>
      <c r="J53" s="50"/>
      <c r="K53" s="50"/>
      <c r="L53" s="50"/>
      <c r="M53" s="50"/>
      <c r="N53" s="51"/>
    </row>
    <row r="54" spans="2:14" ht="15" customHeight="1" x14ac:dyDescent="0.25">
      <c r="B54" s="52"/>
      <c r="C54" s="53"/>
      <c r="D54" s="53"/>
      <c r="E54" s="53"/>
      <c r="F54" s="53"/>
      <c r="G54" s="53"/>
      <c r="H54" s="53"/>
      <c r="I54" s="53"/>
      <c r="J54" s="53"/>
      <c r="K54" s="53"/>
      <c r="L54" s="53"/>
      <c r="M54" s="53"/>
      <c r="N54" s="54"/>
    </row>
    <row r="55" spans="2:14" ht="15" customHeight="1" x14ac:dyDescent="0.25">
      <c r="B55" s="52"/>
      <c r="C55" s="53"/>
      <c r="D55" s="53"/>
      <c r="E55" s="53"/>
      <c r="F55" s="53"/>
      <c r="G55" s="53"/>
      <c r="H55" s="53"/>
      <c r="I55" s="53"/>
      <c r="J55" s="53"/>
      <c r="K55" s="53"/>
      <c r="L55" s="53"/>
      <c r="M55" s="53"/>
      <c r="N55" s="54"/>
    </row>
    <row r="56" spans="2:14" ht="15" customHeight="1" thickBot="1" x14ac:dyDescent="0.3">
      <c r="B56" s="55"/>
      <c r="C56" s="56"/>
      <c r="D56" s="56"/>
      <c r="E56" s="56"/>
      <c r="F56" s="56"/>
      <c r="G56" s="56"/>
      <c r="H56" s="56"/>
      <c r="I56" s="56"/>
      <c r="J56" s="56"/>
      <c r="K56" s="56"/>
      <c r="L56" s="56"/>
      <c r="M56" s="56"/>
      <c r="N56" s="57"/>
    </row>
    <row r="57" spans="2:14" ht="15" customHeight="1" thickBot="1" x14ac:dyDescent="0.3"/>
    <row r="58" spans="2:14" ht="129.75" customHeight="1" thickBot="1" x14ac:dyDescent="0.3">
      <c r="B58" s="46" t="s">
        <v>338</v>
      </c>
      <c r="C58" s="47"/>
      <c r="D58" s="47"/>
      <c r="E58" s="47"/>
      <c r="F58" s="47"/>
      <c r="G58" s="47"/>
      <c r="H58" s="47"/>
      <c r="I58" s="47"/>
      <c r="J58" s="47"/>
      <c r="K58" s="47"/>
      <c r="L58" s="47"/>
      <c r="M58" s="47"/>
      <c r="N58" s="48"/>
    </row>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sheetData>
  <sortState ref="C8:E31">
    <sortCondition descending="1" ref="E8"/>
  </sortState>
  <mergeCells count="7">
    <mergeCell ref="B58:N58"/>
    <mergeCell ref="B53:N56"/>
    <mergeCell ref="C3:N3"/>
    <mergeCell ref="D5:E5"/>
    <mergeCell ref="G7:N7"/>
    <mergeCell ref="G24:K24"/>
    <mergeCell ref="G26:N26"/>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6DE4-FBB3-43B3-9493-59AF530AFA9D}">
  <dimension ref="B1:N57"/>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8" t="s">
        <v>119</v>
      </c>
      <c r="D3" s="59"/>
      <c r="E3" s="59"/>
      <c r="F3" s="59"/>
      <c r="G3" s="59"/>
      <c r="H3" s="59"/>
      <c r="I3" s="59"/>
      <c r="J3" s="59"/>
      <c r="K3" s="59"/>
      <c r="L3" s="59"/>
      <c r="M3" s="59"/>
      <c r="N3" s="60"/>
    </row>
    <row r="4" spans="2:14" ht="15.75" customHeight="1" x14ac:dyDescent="0.25">
      <c r="B4" s="20"/>
      <c r="C4" s="14"/>
      <c r="D4" s="1"/>
      <c r="E4" s="1"/>
      <c r="F4" s="1"/>
      <c r="G4" s="1"/>
      <c r="H4" s="1"/>
      <c r="I4" s="1"/>
      <c r="J4" s="1"/>
      <c r="K4" s="1"/>
      <c r="L4" s="1"/>
      <c r="M4" s="1"/>
      <c r="N4" s="18"/>
    </row>
    <row r="5" spans="2:14" ht="18" customHeight="1" x14ac:dyDescent="0.25">
      <c r="B5" s="20"/>
      <c r="C5" s="15" t="s">
        <v>21</v>
      </c>
      <c r="D5" s="61" t="s">
        <v>331</v>
      </c>
      <c r="E5" s="6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63" t="s">
        <v>17</v>
      </c>
      <c r="H7" s="64"/>
      <c r="I7" s="64"/>
      <c r="J7" s="64"/>
      <c r="K7" s="64"/>
      <c r="L7" s="64"/>
      <c r="M7" s="64"/>
      <c r="N7" s="65"/>
    </row>
    <row r="8" spans="2:14" ht="15" customHeight="1" x14ac:dyDescent="0.25">
      <c r="B8" s="20"/>
      <c r="C8" s="5" t="s">
        <v>26</v>
      </c>
      <c r="D8" s="6" t="s">
        <v>24</v>
      </c>
      <c r="E8" s="11">
        <v>2.7647000000000001E-2</v>
      </c>
      <c r="F8" s="1"/>
      <c r="G8" s="24" t="s">
        <v>16</v>
      </c>
      <c r="H8" s="29">
        <v>0.63126899999999997</v>
      </c>
      <c r="I8" s="1"/>
      <c r="J8" s="24" t="s">
        <v>13</v>
      </c>
      <c r="K8" s="24" t="s">
        <v>3</v>
      </c>
      <c r="L8" s="1"/>
      <c r="M8" s="1"/>
      <c r="N8" s="18"/>
    </row>
    <row r="9" spans="2:14" ht="15.75" customHeight="1" x14ac:dyDescent="0.25">
      <c r="B9" s="20"/>
      <c r="C9" s="7" t="s">
        <v>31</v>
      </c>
      <c r="D9" s="8"/>
      <c r="E9" s="12">
        <v>2.7647000000000001E-2</v>
      </c>
      <c r="F9" s="1"/>
      <c r="G9" s="24" t="s">
        <v>123</v>
      </c>
      <c r="H9" s="29">
        <v>0.24592</v>
      </c>
      <c r="I9" s="1"/>
      <c r="J9" s="24" t="s">
        <v>11</v>
      </c>
      <c r="K9" s="29">
        <v>2.8829E-2</v>
      </c>
      <c r="L9" s="1"/>
      <c r="M9" s="1"/>
      <c r="N9" s="18"/>
    </row>
    <row r="10" spans="2:14" ht="15" customHeight="1" x14ac:dyDescent="0.25">
      <c r="B10" s="20"/>
      <c r="C10" s="5" t="s">
        <v>27</v>
      </c>
      <c r="D10" s="6" t="s">
        <v>34</v>
      </c>
      <c r="E10" s="11">
        <v>8.7247000000000005E-2</v>
      </c>
      <c r="F10" s="1"/>
      <c r="G10" s="24" t="s">
        <v>124</v>
      </c>
      <c r="H10" s="29">
        <v>0.122811</v>
      </c>
      <c r="I10" s="1"/>
      <c r="J10" s="24" t="s">
        <v>14</v>
      </c>
      <c r="K10" s="29">
        <v>4.398E-3</v>
      </c>
      <c r="L10" s="1"/>
      <c r="M10" s="1"/>
      <c r="N10" s="18"/>
    </row>
    <row r="11" spans="2:14" ht="15" customHeight="1" x14ac:dyDescent="0.25">
      <c r="B11" s="20"/>
      <c r="C11" s="5" t="s">
        <v>71</v>
      </c>
      <c r="D11" s="6" t="s">
        <v>34</v>
      </c>
      <c r="E11" s="11">
        <v>6.9213999999999998E-2</v>
      </c>
      <c r="F11" s="1"/>
      <c r="G11" s="1"/>
      <c r="H11" s="1"/>
      <c r="I11" s="1"/>
      <c r="J11" s="24" t="s">
        <v>55</v>
      </c>
      <c r="K11" s="29">
        <v>2.7647000000000001E-2</v>
      </c>
      <c r="L11" s="1"/>
      <c r="M11" s="1"/>
      <c r="N11" s="18"/>
    </row>
    <row r="12" spans="2:14" ht="15" customHeight="1" x14ac:dyDescent="0.25">
      <c r="B12" s="20"/>
      <c r="C12" s="5" t="s">
        <v>96</v>
      </c>
      <c r="D12" s="6" t="s">
        <v>90</v>
      </c>
      <c r="E12" s="11">
        <v>5.2891000000000001E-2</v>
      </c>
      <c r="F12" s="1"/>
      <c r="G12" s="1"/>
      <c r="H12" s="1"/>
      <c r="I12" s="1"/>
      <c r="J12" s="24" t="s">
        <v>56</v>
      </c>
      <c r="K12" s="29">
        <v>0.560172</v>
      </c>
      <c r="L12" s="1"/>
      <c r="M12" s="1"/>
      <c r="N12" s="18"/>
    </row>
    <row r="13" spans="2:14" ht="15" customHeight="1" x14ac:dyDescent="0.25">
      <c r="B13" s="20"/>
      <c r="C13" s="5" t="s">
        <v>95</v>
      </c>
      <c r="D13" s="6" t="s">
        <v>90</v>
      </c>
      <c r="E13" s="11">
        <v>5.2833999999999999E-2</v>
      </c>
      <c r="F13" s="1"/>
      <c r="G13" s="1"/>
      <c r="H13" s="1"/>
      <c r="I13" s="1"/>
      <c r="J13" s="24" t="s">
        <v>48</v>
      </c>
      <c r="K13" s="29">
        <v>3.3080000000000002E-3</v>
      </c>
      <c r="L13" s="1"/>
      <c r="M13" s="1"/>
      <c r="N13" s="18"/>
    </row>
    <row r="14" spans="2:14" ht="15" customHeight="1" x14ac:dyDescent="0.25">
      <c r="B14" s="20"/>
      <c r="C14" s="5" t="s">
        <v>91</v>
      </c>
      <c r="D14" s="6" t="s">
        <v>90</v>
      </c>
      <c r="E14" s="11">
        <v>5.2794000000000001E-2</v>
      </c>
      <c r="F14" s="1"/>
      <c r="G14" s="1"/>
      <c r="H14" s="1"/>
      <c r="I14" s="1"/>
      <c r="J14" s="24" t="s">
        <v>58</v>
      </c>
      <c r="K14" s="29">
        <v>0.37560399999999999</v>
      </c>
      <c r="L14" s="1"/>
      <c r="M14" s="1"/>
      <c r="N14" s="18"/>
    </row>
    <row r="15" spans="2:14" ht="15" customHeight="1" x14ac:dyDescent="0.25">
      <c r="B15" s="20"/>
      <c r="C15" s="5" t="s">
        <v>89</v>
      </c>
      <c r="D15" s="6" t="s">
        <v>90</v>
      </c>
      <c r="E15" s="11">
        <v>5.2373999999999997E-2</v>
      </c>
      <c r="F15" s="1"/>
      <c r="G15" s="1"/>
      <c r="H15" s="1"/>
      <c r="I15" s="1"/>
      <c r="J15" s="24"/>
      <c r="K15" s="29"/>
      <c r="L15" s="1"/>
      <c r="M15" s="1"/>
      <c r="N15" s="18"/>
    </row>
    <row r="16" spans="2:14" ht="15" customHeight="1" x14ac:dyDescent="0.25">
      <c r="B16" s="20"/>
      <c r="C16" s="5" t="s">
        <v>98</v>
      </c>
      <c r="D16" s="6" t="s">
        <v>93</v>
      </c>
      <c r="E16" s="11">
        <v>3.526E-2</v>
      </c>
      <c r="F16" s="1"/>
      <c r="G16" s="1"/>
      <c r="H16" s="1"/>
      <c r="I16" s="1"/>
      <c r="J16" s="1"/>
      <c r="K16" s="1"/>
      <c r="L16" s="1"/>
      <c r="M16" s="1"/>
      <c r="N16" s="18"/>
    </row>
    <row r="17" spans="2:14" ht="15" customHeight="1" x14ac:dyDescent="0.25">
      <c r="B17" s="20"/>
      <c r="C17" s="5" t="s">
        <v>92</v>
      </c>
      <c r="D17" s="6" t="s">
        <v>93</v>
      </c>
      <c r="E17" s="11">
        <v>3.5152000000000003E-2</v>
      </c>
      <c r="F17" s="1"/>
      <c r="G17" s="1"/>
      <c r="H17" s="1"/>
      <c r="I17" s="1"/>
      <c r="J17" s="1"/>
      <c r="K17" s="1"/>
      <c r="L17" s="1"/>
      <c r="M17" s="1"/>
      <c r="N17" s="18"/>
    </row>
    <row r="18" spans="2:14" ht="15" customHeight="1" x14ac:dyDescent="0.25">
      <c r="B18" s="20"/>
      <c r="C18" s="5" t="s">
        <v>97</v>
      </c>
      <c r="D18" s="6" t="s">
        <v>90</v>
      </c>
      <c r="E18" s="11">
        <v>3.5027000000000003E-2</v>
      </c>
      <c r="F18" s="1"/>
      <c r="G18" s="1"/>
      <c r="H18" s="1"/>
      <c r="I18" s="1"/>
      <c r="J18" s="1"/>
      <c r="K18" s="1"/>
      <c r="L18" s="1"/>
      <c r="M18" s="1"/>
      <c r="N18" s="18"/>
    </row>
    <row r="19" spans="2:14" ht="15" customHeight="1" x14ac:dyDescent="0.25">
      <c r="B19" s="20"/>
      <c r="C19" s="5" t="s">
        <v>63</v>
      </c>
      <c r="D19" s="6" t="s">
        <v>34</v>
      </c>
      <c r="E19" s="11">
        <v>3.4979999999999997E-2</v>
      </c>
      <c r="F19" s="1"/>
      <c r="G19" s="1"/>
      <c r="H19" s="1"/>
      <c r="I19" s="1"/>
      <c r="J19" s="1"/>
      <c r="K19" s="1"/>
      <c r="L19" s="1"/>
      <c r="M19" s="1"/>
      <c r="N19" s="18"/>
    </row>
    <row r="20" spans="2:14" ht="15" customHeight="1" x14ac:dyDescent="0.25">
      <c r="B20" s="20"/>
      <c r="C20" s="5" t="s">
        <v>120</v>
      </c>
      <c r="D20" s="6" t="s">
        <v>93</v>
      </c>
      <c r="E20" s="11">
        <v>3.4959999999999998E-2</v>
      </c>
      <c r="F20" s="1"/>
      <c r="G20" s="1"/>
      <c r="H20" s="1"/>
      <c r="I20" s="1"/>
      <c r="J20" s="1"/>
      <c r="K20" s="1"/>
      <c r="L20" s="1"/>
      <c r="M20" s="1"/>
      <c r="N20" s="18"/>
    </row>
    <row r="21" spans="2:14" ht="15" customHeight="1" x14ac:dyDescent="0.25">
      <c r="B21" s="20"/>
      <c r="C21" s="5" t="s">
        <v>121</v>
      </c>
      <c r="D21" s="6" t="s">
        <v>93</v>
      </c>
      <c r="E21" s="11">
        <v>1.7439E-2</v>
      </c>
      <c r="F21" s="1"/>
      <c r="G21" s="1"/>
      <c r="H21" s="1"/>
      <c r="I21" s="1"/>
      <c r="J21" s="1"/>
      <c r="K21" s="1"/>
      <c r="L21" s="1"/>
      <c r="M21" s="1"/>
      <c r="N21" s="18"/>
    </row>
    <row r="22" spans="2:14" ht="15.75" customHeight="1" x14ac:dyDescent="0.25">
      <c r="B22" s="20"/>
      <c r="C22" s="7" t="s">
        <v>47</v>
      </c>
      <c r="D22" s="8"/>
      <c r="E22" s="12">
        <v>0.560172</v>
      </c>
      <c r="F22" s="1"/>
      <c r="G22" s="1"/>
      <c r="H22" s="1"/>
      <c r="I22" s="1"/>
      <c r="J22" s="1"/>
      <c r="K22" s="1"/>
      <c r="L22" s="1"/>
      <c r="M22" s="1"/>
      <c r="N22" s="18"/>
    </row>
    <row r="23" spans="2:14" ht="15" customHeight="1" x14ac:dyDescent="0.25">
      <c r="B23" s="20"/>
      <c r="C23" s="5" t="s">
        <v>48</v>
      </c>
      <c r="D23" s="6"/>
      <c r="E23" s="11">
        <v>3.3080000000000002E-3</v>
      </c>
      <c r="F23" s="1"/>
      <c r="G23" s="1"/>
      <c r="H23" s="1"/>
      <c r="I23" s="1"/>
      <c r="J23" s="1"/>
      <c r="K23" s="1"/>
      <c r="L23" s="1"/>
      <c r="M23" s="1"/>
      <c r="N23" s="18"/>
    </row>
    <row r="24" spans="2:14" ht="15.75" customHeight="1" x14ac:dyDescent="0.25">
      <c r="B24" s="20"/>
      <c r="C24" s="7" t="s">
        <v>49</v>
      </c>
      <c r="D24" s="8"/>
      <c r="E24" s="12">
        <v>3.3080000000000002E-3</v>
      </c>
      <c r="F24" s="1"/>
      <c r="G24" s="63" t="s">
        <v>18</v>
      </c>
      <c r="H24" s="64"/>
      <c r="I24" s="64"/>
      <c r="J24" s="64"/>
      <c r="K24" s="64"/>
      <c r="L24" s="26">
        <v>3.6654921005531604</v>
      </c>
      <c r="M24" s="27"/>
      <c r="N24" s="28"/>
    </row>
    <row r="25" spans="2:14" ht="15" customHeight="1" x14ac:dyDescent="0.25">
      <c r="B25" s="20"/>
      <c r="C25" s="5" t="s">
        <v>77</v>
      </c>
      <c r="D25" s="6" t="s">
        <v>179</v>
      </c>
      <c r="E25" s="11">
        <v>0.143479</v>
      </c>
      <c r="F25" s="1"/>
      <c r="G25" s="1"/>
      <c r="H25" s="1"/>
      <c r="I25" s="1"/>
      <c r="J25" s="1"/>
      <c r="K25" s="1"/>
      <c r="L25" s="1"/>
      <c r="M25" s="1"/>
      <c r="N25" s="18"/>
    </row>
    <row r="26" spans="2:14" ht="15" customHeight="1" x14ac:dyDescent="0.25">
      <c r="B26" s="20"/>
      <c r="C26" s="5" t="s">
        <v>50</v>
      </c>
      <c r="D26" s="6" t="s">
        <v>179</v>
      </c>
      <c r="E26" s="11">
        <v>0.107326</v>
      </c>
      <c r="F26" s="1"/>
      <c r="G26" s="63" t="s">
        <v>19</v>
      </c>
      <c r="H26" s="64"/>
      <c r="I26" s="64"/>
      <c r="J26" s="64"/>
      <c r="K26" s="64"/>
      <c r="L26" s="64"/>
      <c r="M26" s="64"/>
      <c r="N26" s="65"/>
    </row>
    <row r="27" spans="2:14" ht="15" customHeight="1" x14ac:dyDescent="0.25">
      <c r="B27" s="20"/>
      <c r="C27" s="5" t="s">
        <v>52</v>
      </c>
      <c r="D27" s="6" t="s">
        <v>179</v>
      </c>
      <c r="E27" s="11">
        <v>8.9231000000000005E-2</v>
      </c>
      <c r="F27" s="1"/>
      <c r="G27" s="1"/>
      <c r="H27" s="1"/>
      <c r="I27" s="1"/>
      <c r="J27" s="1"/>
      <c r="K27" s="1"/>
      <c r="L27" s="1"/>
      <c r="M27" s="1"/>
      <c r="N27" s="18"/>
    </row>
    <row r="28" spans="2:14" ht="15" customHeight="1" x14ac:dyDescent="0.25">
      <c r="B28" s="20"/>
      <c r="C28" s="5" t="s">
        <v>51</v>
      </c>
      <c r="D28" s="6" t="s">
        <v>179</v>
      </c>
      <c r="E28" s="11">
        <v>3.5568000000000002E-2</v>
      </c>
      <c r="F28" s="1"/>
      <c r="G28" s="1"/>
      <c r="H28" s="1"/>
      <c r="I28" s="1"/>
      <c r="J28" s="1"/>
      <c r="K28" s="1"/>
      <c r="L28" s="1"/>
      <c r="M28" s="1"/>
      <c r="N28" s="18"/>
    </row>
    <row r="29" spans="2:14" ht="15.75" customHeight="1" x14ac:dyDescent="0.25">
      <c r="B29" s="20"/>
      <c r="C29" s="7" t="s">
        <v>53</v>
      </c>
      <c r="D29" s="8"/>
      <c r="E29" s="12">
        <v>0.37560399999999999</v>
      </c>
      <c r="F29" s="1"/>
      <c r="G29" s="1"/>
      <c r="H29" s="1"/>
      <c r="I29" s="1"/>
      <c r="J29" s="1"/>
      <c r="K29" s="1"/>
      <c r="L29" s="1"/>
      <c r="M29" s="1"/>
      <c r="N29" s="18"/>
    </row>
    <row r="30" spans="2:14" ht="15" customHeight="1" x14ac:dyDescent="0.25">
      <c r="B30" s="20"/>
      <c r="C30" s="5" t="s">
        <v>9</v>
      </c>
      <c r="D30" s="6"/>
      <c r="E30" s="11">
        <v>4.398E-3</v>
      </c>
      <c r="F30" s="1"/>
      <c r="G30" s="1"/>
      <c r="H30" s="1"/>
      <c r="I30" s="1"/>
      <c r="J30" s="1"/>
      <c r="K30" s="1"/>
      <c r="L30" s="1"/>
      <c r="M30" s="1"/>
      <c r="N30" s="18"/>
    </row>
    <row r="31" spans="2:14" ht="15.75" customHeight="1" x14ac:dyDescent="0.25">
      <c r="B31" s="20"/>
      <c r="C31" s="7" t="s">
        <v>10</v>
      </c>
      <c r="D31" s="8"/>
      <c r="E31" s="12">
        <v>4.398E-3</v>
      </c>
      <c r="F31" s="1"/>
      <c r="G31" s="1"/>
      <c r="H31" s="1"/>
      <c r="I31" s="1"/>
      <c r="J31" s="1"/>
      <c r="K31" s="1"/>
      <c r="L31" s="1"/>
      <c r="M31" s="1"/>
      <c r="N31" s="18"/>
    </row>
    <row r="32" spans="2:14" ht="15" customHeight="1" x14ac:dyDescent="0.25">
      <c r="B32" s="20"/>
      <c r="C32" s="5"/>
      <c r="D32" s="6"/>
      <c r="E32" s="11"/>
      <c r="F32" s="1"/>
      <c r="G32" s="1"/>
      <c r="H32" s="1"/>
      <c r="I32" s="1"/>
      <c r="J32" s="1"/>
      <c r="K32" s="1"/>
      <c r="L32" s="1"/>
      <c r="M32" s="1"/>
      <c r="N32" s="18"/>
    </row>
    <row r="33" spans="2:14" ht="15.75" customHeight="1" x14ac:dyDescent="0.25">
      <c r="B33" s="20"/>
      <c r="C33" s="7" t="s">
        <v>11</v>
      </c>
      <c r="D33" s="8"/>
      <c r="E33" s="12">
        <v>2.8829E-2</v>
      </c>
      <c r="F33" s="1"/>
      <c r="G33" s="1"/>
      <c r="H33" s="1"/>
      <c r="I33" s="1"/>
      <c r="J33" s="1"/>
      <c r="K33" s="1"/>
      <c r="L33" s="1"/>
      <c r="M33" s="1"/>
      <c r="N33" s="18"/>
    </row>
    <row r="34" spans="2:14" ht="15" customHeight="1" x14ac:dyDescent="0.25">
      <c r="B34" s="20"/>
      <c r="C34" s="5"/>
      <c r="D34" s="6"/>
      <c r="E34" s="11"/>
      <c r="F34" s="1"/>
      <c r="G34" s="1"/>
      <c r="H34" s="1"/>
      <c r="I34" s="1"/>
      <c r="J34" s="1"/>
      <c r="K34" s="1"/>
      <c r="L34" s="1"/>
      <c r="M34" s="1"/>
      <c r="N34" s="18"/>
    </row>
    <row r="35" spans="2:14" ht="15.75" customHeight="1" x14ac:dyDescent="0.25">
      <c r="B35" s="20"/>
      <c r="C35" s="9" t="s">
        <v>12</v>
      </c>
      <c r="D35" s="10"/>
      <c r="E35" s="13">
        <v>1</v>
      </c>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34" t="s">
        <v>122</v>
      </c>
      <c r="D37" s="34"/>
      <c r="E37" s="35">
        <v>0.64681</v>
      </c>
      <c r="F37" s="1"/>
      <c r="G37" s="1"/>
      <c r="H37" s="1"/>
      <c r="I37" s="1"/>
      <c r="J37" s="1"/>
      <c r="K37" s="1"/>
      <c r="L37" s="1"/>
      <c r="M37" s="1"/>
      <c r="N37" s="18"/>
    </row>
    <row r="38" spans="2:14" ht="15" customHeight="1" x14ac:dyDescent="0.25">
      <c r="B38" s="20"/>
      <c r="F38" s="1"/>
      <c r="G38" s="1"/>
      <c r="H38" s="1"/>
      <c r="I38" s="1"/>
      <c r="J38" s="1"/>
      <c r="K38" s="1"/>
      <c r="L38" s="1"/>
      <c r="M38" s="1"/>
      <c r="N38" s="18"/>
    </row>
    <row r="39" spans="2:14" ht="15" customHeight="1" x14ac:dyDescent="0.25">
      <c r="B39" s="20"/>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49" t="s">
        <v>335</v>
      </c>
      <c r="C45" s="50"/>
      <c r="D45" s="50"/>
      <c r="E45" s="50"/>
      <c r="F45" s="50"/>
      <c r="G45" s="50"/>
      <c r="H45" s="50"/>
      <c r="I45" s="50"/>
      <c r="J45" s="50"/>
      <c r="K45" s="50"/>
      <c r="L45" s="50"/>
      <c r="M45" s="50"/>
      <c r="N45" s="51"/>
    </row>
    <row r="46" spans="2:14" ht="15" customHeight="1" x14ac:dyDescent="0.25">
      <c r="B46" s="52"/>
      <c r="C46" s="53"/>
      <c r="D46" s="53"/>
      <c r="E46" s="53"/>
      <c r="F46" s="53"/>
      <c r="G46" s="53"/>
      <c r="H46" s="53"/>
      <c r="I46" s="53"/>
      <c r="J46" s="53"/>
      <c r="K46" s="53"/>
      <c r="L46" s="53"/>
      <c r="M46" s="53"/>
      <c r="N46" s="54"/>
    </row>
    <row r="47" spans="2:14" ht="15" customHeight="1" x14ac:dyDescent="0.25">
      <c r="B47" s="52"/>
      <c r="C47" s="53"/>
      <c r="D47" s="53"/>
      <c r="E47" s="53"/>
      <c r="F47" s="53"/>
      <c r="G47" s="53"/>
      <c r="H47" s="53"/>
      <c r="I47" s="53"/>
      <c r="J47" s="53"/>
      <c r="K47" s="53"/>
      <c r="L47" s="53"/>
      <c r="M47" s="53"/>
      <c r="N47" s="54"/>
    </row>
    <row r="48" spans="2:14" ht="15" customHeight="1" thickBot="1" x14ac:dyDescent="0.3">
      <c r="B48" s="55"/>
      <c r="C48" s="56"/>
      <c r="D48" s="56"/>
      <c r="E48" s="56"/>
      <c r="F48" s="56"/>
      <c r="G48" s="56"/>
      <c r="H48" s="56"/>
      <c r="I48" s="56"/>
      <c r="J48" s="56"/>
      <c r="K48" s="56"/>
      <c r="L48" s="56"/>
      <c r="M48" s="56"/>
      <c r="N48" s="57"/>
    </row>
    <row r="49" spans="2:14" ht="15" customHeight="1" thickBot="1" x14ac:dyDescent="0.3"/>
    <row r="50" spans="2:14" ht="69.75" customHeight="1" thickBot="1" x14ac:dyDescent="0.3">
      <c r="B50" s="46" t="s">
        <v>337</v>
      </c>
      <c r="C50" s="47"/>
      <c r="D50" s="47"/>
      <c r="E50" s="47"/>
      <c r="F50" s="47"/>
      <c r="G50" s="47"/>
      <c r="H50" s="47"/>
      <c r="I50" s="47"/>
      <c r="J50" s="47"/>
      <c r="K50" s="47"/>
      <c r="L50" s="47"/>
      <c r="M50" s="47"/>
      <c r="N50" s="48"/>
    </row>
    <row r="51" spans="2:14" ht="15" customHeight="1" thickBot="1" x14ac:dyDescent="0.3"/>
    <row r="52" spans="2:14" ht="129" customHeight="1" thickBot="1" x14ac:dyDescent="0.3">
      <c r="B52" s="46" t="s">
        <v>338</v>
      </c>
      <c r="C52" s="47"/>
      <c r="D52" s="47"/>
      <c r="E52" s="47"/>
      <c r="F52" s="47"/>
      <c r="G52" s="47"/>
      <c r="H52" s="47"/>
      <c r="I52" s="47"/>
      <c r="J52" s="47"/>
      <c r="K52" s="47"/>
      <c r="L52" s="47"/>
      <c r="M52" s="47"/>
      <c r="N52" s="48"/>
    </row>
    <row r="53" spans="2:14" ht="15" customHeight="1" x14ac:dyDescent="0.25"/>
    <row r="54" spans="2:14" ht="15" customHeight="1" x14ac:dyDescent="0.25"/>
    <row r="55" spans="2:14" ht="15" customHeight="1" x14ac:dyDescent="0.25"/>
    <row r="56" spans="2:14" ht="15" customHeight="1" x14ac:dyDescent="0.25"/>
    <row r="57" spans="2:14" ht="15" customHeight="1" x14ac:dyDescent="0.25"/>
  </sheetData>
  <mergeCells count="8">
    <mergeCell ref="B52:N52"/>
    <mergeCell ref="B45:N48"/>
    <mergeCell ref="B50:N50"/>
    <mergeCell ref="C3:N3"/>
    <mergeCell ref="D5:E5"/>
    <mergeCell ref="G7:N7"/>
    <mergeCell ref="G24:K24"/>
    <mergeCell ref="G26:N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24591-987E-430D-8518-2C29426CCC90}">
  <dimension ref="B1:N50"/>
  <sheetViews>
    <sheetView showGridLines="0" zoomScale="75" zoomScaleNormal="75" workbookViewId="0"/>
  </sheetViews>
  <sheetFormatPr defaultRowHeight="15" x14ac:dyDescent="0.25"/>
  <cols>
    <col min="1" max="1" width="2.85546875" customWidth="1"/>
    <col min="2" max="2" width="3.85546875" customWidth="1"/>
    <col min="3" max="3" width="56"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8" t="s">
        <v>87</v>
      </c>
      <c r="D3" s="59"/>
      <c r="E3" s="59"/>
      <c r="F3" s="59"/>
      <c r="G3" s="59"/>
      <c r="H3" s="59"/>
      <c r="I3" s="59"/>
      <c r="J3" s="59"/>
      <c r="K3" s="59"/>
      <c r="L3" s="59"/>
      <c r="M3" s="59"/>
      <c r="N3" s="60"/>
    </row>
    <row r="4" spans="2:14" ht="15.75" customHeight="1" x14ac:dyDescent="0.25">
      <c r="B4" s="20"/>
      <c r="C4" s="14"/>
      <c r="D4" s="1"/>
      <c r="E4" s="1"/>
      <c r="F4" s="1"/>
      <c r="G4" s="1"/>
      <c r="H4" s="1"/>
      <c r="I4" s="1"/>
      <c r="J4" s="1"/>
      <c r="K4" s="1"/>
      <c r="L4" s="1"/>
      <c r="M4" s="1"/>
      <c r="N4" s="18"/>
    </row>
    <row r="5" spans="2:14" ht="18" customHeight="1" x14ac:dyDescent="0.25">
      <c r="B5" s="20"/>
      <c r="C5" s="15" t="s">
        <v>21</v>
      </c>
      <c r="D5" s="61" t="s">
        <v>88</v>
      </c>
      <c r="E5" s="6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63" t="s">
        <v>17</v>
      </c>
      <c r="H7" s="64"/>
      <c r="I7" s="64"/>
      <c r="J7" s="64"/>
      <c r="K7" s="64"/>
      <c r="L7" s="64"/>
      <c r="M7" s="64"/>
      <c r="N7" s="65"/>
    </row>
    <row r="8" spans="2:14" ht="15" customHeight="1" x14ac:dyDescent="0.25">
      <c r="B8" s="20"/>
      <c r="C8" s="5" t="s">
        <v>89</v>
      </c>
      <c r="D8" s="6" t="s">
        <v>90</v>
      </c>
      <c r="E8" s="11">
        <v>0.13672599999999999</v>
      </c>
      <c r="F8" s="1"/>
      <c r="G8" s="24" t="s">
        <v>123</v>
      </c>
      <c r="H8" s="29">
        <v>0.58304400000000001</v>
      </c>
      <c r="I8" s="1"/>
      <c r="J8" s="24" t="s">
        <v>13</v>
      </c>
      <c r="K8" s="24" t="s">
        <v>3</v>
      </c>
      <c r="L8" s="1"/>
      <c r="M8" s="1"/>
      <c r="N8" s="18"/>
    </row>
    <row r="9" spans="2:14" ht="15" customHeight="1" x14ac:dyDescent="0.25">
      <c r="B9" s="20"/>
      <c r="C9" s="5" t="s">
        <v>91</v>
      </c>
      <c r="D9" s="6" t="s">
        <v>90</v>
      </c>
      <c r="E9" s="11">
        <v>0.10305599999999999</v>
      </c>
      <c r="F9" s="1"/>
      <c r="G9" s="24" t="s">
        <v>16</v>
      </c>
      <c r="H9" s="29">
        <v>0.24457599999999999</v>
      </c>
      <c r="I9" s="1"/>
      <c r="J9" s="24" t="s">
        <v>11</v>
      </c>
      <c r="K9" s="29">
        <v>2.9413000000000002E-2</v>
      </c>
      <c r="L9" s="1"/>
      <c r="M9" s="1"/>
      <c r="N9" s="18"/>
    </row>
    <row r="10" spans="2:14" ht="15" customHeight="1" x14ac:dyDescent="0.25">
      <c r="B10" s="20"/>
      <c r="C10" s="5" t="s">
        <v>92</v>
      </c>
      <c r="D10" s="6" t="s">
        <v>93</v>
      </c>
      <c r="E10" s="11">
        <v>8.6229E-2</v>
      </c>
      <c r="F10" s="1"/>
      <c r="G10" s="24" t="s">
        <v>124</v>
      </c>
      <c r="H10" s="29">
        <v>0.17238000000000001</v>
      </c>
      <c r="I10" s="1"/>
      <c r="J10" s="24" t="s">
        <v>14</v>
      </c>
      <c r="K10" s="29">
        <v>9.9579999999999998E-3</v>
      </c>
      <c r="L10" s="1"/>
      <c r="M10" s="1"/>
      <c r="N10" s="18"/>
    </row>
    <row r="11" spans="2:14" ht="15" customHeight="1" x14ac:dyDescent="0.25">
      <c r="B11" s="20"/>
      <c r="C11" s="5" t="s">
        <v>94</v>
      </c>
      <c r="D11" s="6" t="s">
        <v>90</v>
      </c>
      <c r="E11" s="11">
        <v>8.5667999999999994E-2</v>
      </c>
      <c r="F11" s="1"/>
      <c r="G11" s="1"/>
      <c r="H11" s="1"/>
      <c r="I11" s="1"/>
      <c r="J11" s="24" t="s">
        <v>56</v>
      </c>
      <c r="K11" s="29">
        <v>0.75542399999999998</v>
      </c>
      <c r="L11" s="1"/>
      <c r="M11" s="1"/>
      <c r="N11" s="18"/>
    </row>
    <row r="12" spans="2:14" ht="15" customHeight="1" x14ac:dyDescent="0.25">
      <c r="B12" s="20"/>
      <c r="C12" s="5" t="s">
        <v>95</v>
      </c>
      <c r="D12" s="6" t="s">
        <v>90</v>
      </c>
      <c r="E12" s="11">
        <v>6.8994E-2</v>
      </c>
      <c r="F12" s="1"/>
      <c r="G12" s="1"/>
      <c r="H12" s="1"/>
      <c r="I12" s="1"/>
      <c r="J12" s="24" t="s">
        <v>48</v>
      </c>
      <c r="K12" s="29">
        <v>5.2459999999999998E-3</v>
      </c>
      <c r="L12" s="1"/>
      <c r="M12" s="1"/>
      <c r="N12" s="18"/>
    </row>
    <row r="13" spans="2:14" ht="15" customHeight="1" x14ac:dyDescent="0.25">
      <c r="B13" s="20"/>
      <c r="C13" s="5" t="s">
        <v>96</v>
      </c>
      <c r="D13" s="6" t="s">
        <v>90</v>
      </c>
      <c r="E13" s="11">
        <v>6.8719000000000002E-2</v>
      </c>
      <c r="F13" s="1"/>
      <c r="G13" s="1"/>
      <c r="H13" s="1"/>
      <c r="I13" s="1"/>
      <c r="J13" s="24" t="s">
        <v>58</v>
      </c>
      <c r="K13" s="29">
        <v>0.199959</v>
      </c>
      <c r="L13" s="1"/>
      <c r="M13" s="1"/>
      <c r="N13" s="18"/>
    </row>
    <row r="14" spans="2:14" ht="15" customHeight="1" x14ac:dyDescent="0.25">
      <c r="B14" s="20"/>
      <c r="C14" s="5" t="s">
        <v>97</v>
      </c>
      <c r="D14" s="6" t="s">
        <v>90</v>
      </c>
      <c r="E14" s="11">
        <v>6.8640999999999994E-2</v>
      </c>
      <c r="F14" s="1"/>
      <c r="G14" s="1"/>
      <c r="H14" s="1"/>
      <c r="I14" s="1"/>
      <c r="J14" s="1"/>
      <c r="K14" s="1"/>
      <c r="L14" s="1"/>
      <c r="M14" s="1"/>
      <c r="N14" s="18"/>
    </row>
    <row r="15" spans="2:14" ht="15" customHeight="1" x14ac:dyDescent="0.25">
      <c r="B15" s="20"/>
      <c r="C15" s="5" t="s">
        <v>98</v>
      </c>
      <c r="D15" s="6" t="s">
        <v>93</v>
      </c>
      <c r="E15" s="11">
        <v>5.1799999999999999E-2</v>
      </c>
      <c r="F15" s="1"/>
      <c r="G15" s="1"/>
      <c r="H15" s="1"/>
      <c r="I15" s="1"/>
      <c r="J15" s="1"/>
      <c r="K15" s="1"/>
      <c r="L15" s="1"/>
      <c r="M15" s="1"/>
      <c r="N15" s="18"/>
    </row>
    <row r="16" spans="2:14" ht="15" customHeight="1" x14ac:dyDescent="0.25">
      <c r="B16" s="20"/>
      <c r="C16" s="5" t="s">
        <v>99</v>
      </c>
      <c r="D16" s="6" t="s">
        <v>90</v>
      </c>
      <c r="E16" s="11">
        <v>5.1240000000000001E-2</v>
      </c>
      <c r="F16" s="1"/>
      <c r="G16" s="1"/>
      <c r="H16" s="1"/>
      <c r="I16" s="1"/>
      <c r="J16" s="1"/>
      <c r="K16" s="1"/>
      <c r="L16" s="1"/>
      <c r="M16" s="1"/>
      <c r="N16" s="18"/>
    </row>
    <row r="17" spans="2:14" ht="15" customHeight="1" x14ac:dyDescent="0.25">
      <c r="B17" s="20"/>
      <c r="C17" s="5" t="s">
        <v>100</v>
      </c>
      <c r="D17" s="6" t="s">
        <v>93</v>
      </c>
      <c r="E17" s="11">
        <v>3.4351E-2</v>
      </c>
      <c r="F17" s="1"/>
      <c r="G17" s="1"/>
      <c r="H17" s="1"/>
      <c r="I17" s="1"/>
      <c r="J17" s="1"/>
      <c r="K17" s="1"/>
      <c r="L17" s="1"/>
      <c r="M17" s="1"/>
      <c r="N17" s="18"/>
    </row>
    <row r="18" spans="2:14" ht="15.75" customHeight="1" x14ac:dyDescent="0.25">
      <c r="B18" s="20"/>
      <c r="C18" s="7" t="s">
        <v>47</v>
      </c>
      <c r="D18" s="8"/>
      <c r="E18" s="12">
        <v>0.75542399999999998</v>
      </c>
      <c r="F18" s="1"/>
      <c r="G18" s="1"/>
      <c r="H18" s="1"/>
      <c r="I18" s="1"/>
      <c r="J18" s="1"/>
      <c r="K18" s="1"/>
      <c r="L18" s="1"/>
      <c r="M18" s="1"/>
      <c r="N18" s="18"/>
    </row>
    <row r="19" spans="2:14" ht="15" customHeight="1" x14ac:dyDescent="0.25">
      <c r="B19" s="20"/>
      <c r="C19" s="5" t="s">
        <v>48</v>
      </c>
      <c r="D19" s="6"/>
      <c r="E19" s="11">
        <v>5.2459999999999998E-3</v>
      </c>
      <c r="F19" s="1"/>
      <c r="G19" s="1"/>
      <c r="H19" s="1"/>
      <c r="I19" s="1"/>
      <c r="J19" s="1"/>
      <c r="K19" s="1"/>
      <c r="L19" s="1"/>
      <c r="M19" s="1"/>
      <c r="N19" s="18"/>
    </row>
    <row r="20" spans="2:14" ht="15.75" customHeight="1" x14ac:dyDescent="0.25">
      <c r="B20" s="20"/>
      <c r="C20" s="7" t="s">
        <v>49</v>
      </c>
      <c r="D20" s="8"/>
      <c r="E20" s="12">
        <v>5.2459999999999998E-3</v>
      </c>
      <c r="F20" s="1"/>
      <c r="G20" s="1"/>
      <c r="H20" s="1"/>
      <c r="I20" s="1"/>
      <c r="J20" s="1"/>
      <c r="K20" s="1"/>
      <c r="L20" s="1"/>
      <c r="M20" s="1"/>
      <c r="N20" s="18"/>
    </row>
    <row r="21" spans="2:14" ht="15" customHeight="1" x14ac:dyDescent="0.25">
      <c r="B21" s="20"/>
      <c r="C21" s="5" t="s">
        <v>101</v>
      </c>
      <c r="D21" s="6" t="s">
        <v>179</v>
      </c>
      <c r="E21" s="11">
        <v>0.18243999999999999</v>
      </c>
      <c r="F21" s="1"/>
      <c r="G21" s="1"/>
      <c r="H21" s="1"/>
      <c r="I21" s="1"/>
      <c r="J21" s="1"/>
      <c r="K21" s="1"/>
      <c r="L21" s="1"/>
      <c r="M21" s="1"/>
      <c r="N21" s="18"/>
    </row>
    <row r="22" spans="2:14" ht="15" customHeight="1" x14ac:dyDescent="0.25">
      <c r="B22" s="20"/>
      <c r="C22" s="5" t="s">
        <v>50</v>
      </c>
      <c r="D22" s="6" t="s">
        <v>179</v>
      </c>
      <c r="E22" s="11">
        <v>1.7519E-2</v>
      </c>
      <c r="F22" s="1"/>
      <c r="G22" s="1"/>
      <c r="H22" s="1"/>
      <c r="I22" s="1"/>
      <c r="J22" s="1"/>
      <c r="K22" s="1"/>
      <c r="L22" s="1"/>
      <c r="M22" s="1"/>
      <c r="N22" s="18"/>
    </row>
    <row r="23" spans="2:14" ht="15.75" customHeight="1" x14ac:dyDescent="0.25">
      <c r="B23" s="20"/>
      <c r="C23" s="7" t="s">
        <v>53</v>
      </c>
      <c r="D23" s="8"/>
      <c r="E23" s="12">
        <v>0.199959</v>
      </c>
      <c r="F23" s="1"/>
      <c r="G23" s="1"/>
      <c r="H23" s="1"/>
      <c r="I23" s="1"/>
      <c r="J23" s="1"/>
      <c r="K23" s="1"/>
      <c r="L23" s="1"/>
      <c r="M23" s="1"/>
      <c r="N23" s="18"/>
    </row>
    <row r="24" spans="2:14" ht="15" customHeight="1" x14ac:dyDescent="0.25">
      <c r="B24" s="20"/>
      <c r="C24" s="5" t="s">
        <v>9</v>
      </c>
      <c r="D24" s="6"/>
      <c r="E24" s="11">
        <v>9.9579999999999998E-3</v>
      </c>
      <c r="F24" s="1"/>
      <c r="G24" s="63" t="s">
        <v>18</v>
      </c>
      <c r="H24" s="64"/>
      <c r="I24" s="64"/>
      <c r="J24" s="64"/>
      <c r="K24" s="64"/>
      <c r="L24" s="26">
        <v>3.6429689020694269</v>
      </c>
      <c r="M24" s="27"/>
      <c r="N24" s="28"/>
    </row>
    <row r="25" spans="2:14" ht="15.75" customHeight="1" x14ac:dyDescent="0.25">
      <c r="B25" s="20"/>
      <c r="C25" s="7" t="s">
        <v>10</v>
      </c>
      <c r="D25" s="8"/>
      <c r="E25" s="12">
        <v>9.9579999999999998E-3</v>
      </c>
      <c r="F25" s="1"/>
      <c r="G25" s="1"/>
      <c r="H25" s="1"/>
      <c r="I25" s="1"/>
      <c r="J25" s="1"/>
      <c r="K25" s="1"/>
      <c r="L25" s="1"/>
      <c r="M25" s="1"/>
      <c r="N25" s="18"/>
    </row>
    <row r="26" spans="2:14" ht="15" customHeight="1" x14ac:dyDescent="0.25">
      <c r="B26" s="20"/>
      <c r="C26" s="5"/>
      <c r="D26" s="6"/>
      <c r="E26" s="11"/>
      <c r="F26" s="1"/>
      <c r="G26" s="63" t="s">
        <v>19</v>
      </c>
      <c r="H26" s="64"/>
      <c r="I26" s="64"/>
      <c r="J26" s="64"/>
      <c r="K26" s="64"/>
      <c r="L26" s="64"/>
      <c r="M26" s="64"/>
      <c r="N26" s="65"/>
    </row>
    <row r="27" spans="2:14" ht="15.75" customHeight="1" x14ac:dyDescent="0.25">
      <c r="B27" s="20"/>
      <c r="C27" s="7" t="s">
        <v>11</v>
      </c>
      <c r="D27" s="8"/>
      <c r="E27" s="12">
        <v>2.9413000000000002E-2</v>
      </c>
      <c r="F27" s="1"/>
      <c r="G27" s="1"/>
      <c r="H27" s="1"/>
      <c r="I27" s="1"/>
      <c r="J27" s="1"/>
      <c r="K27" s="1"/>
      <c r="L27" s="1"/>
      <c r="M27" s="1"/>
      <c r="N27" s="18"/>
    </row>
    <row r="28" spans="2:14" ht="15" customHeight="1" x14ac:dyDescent="0.25">
      <c r="B28" s="20"/>
      <c r="C28" s="5"/>
      <c r="D28" s="6"/>
      <c r="E28" s="11"/>
      <c r="F28" s="1"/>
      <c r="G28" s="1"/>
      <c r="H28" s="1"/>
      <c r="I28" s="1"/>
      <c r="J28" s="1"/>
      <c r="K28" s="1"/>
      <c r="L28" s="1"/>
      <c r="M28" s="1"/>
      <c r="N28" s="18"/>
    </row>
    <row r="29" spans="2:14" ht="15" customHeight="1" x14ac:dyDescent="0.25">
      <c r="B29" s="20"/>
      <c r="C29" s="9" t="s">
        <v>12</v>
      </c>
      <c r="D29" s="10"/>
      <c r="E29" s="13">
        <v>1</v>
      </c>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49" t="s">
        <v>335</v>
      </c>
      <c r="C45" s="50"/>
      <c r="D45" s="50"/>
      <c r="E45" s="50"/>
      <c r="F45" s="50"/>
      <c r="G45" s="50"/>
      <c r="H45" s="50"/>
      <c r="I45" s="50"/>
      <c r="J45" s="50"/>
      <c r="K45" s="50"/>
      <c r="L45" s="50"/>
      <c r="M45" s="50"/>
      <c r="N45" s="51"/>
    </row>
    <row r="46" spans="2:14" ht="15" customHeight="1" x14ac:dyDescent="0.25">
      <c r="B46" s="52"/>
      <c r="C46" s="53"/>
      <c r="D46" s="53"/>
      <c r="E46" s="53"/>
      <c r="F46" s="53"/>
      <c r="G46" s="53"/>
      <c r="H46" s="53"/>
      <c r="I46" s="53"/>
      <c r="J46" s="53"/>
      <c r="K46" s="53"/>
      <c r="L46" s="53"/>
      <c r="M46" s="53"/>
      <c r="N46" s="54"/>
    </row>
    <row r="47" spans="2:14" ht="15" customHeight="1" x14ac:dyDescent="0.25">
      <c r="B47" s="52"/>
      <c r="C47" s="53"/>
      <c r="D47" s="53"/>
      <c r="E47" s="53"/>
      <c r="F47" s="53"/>
      <c r="G47" s="53"/>
      <c r="H47" s="53"/>
      <c r="I47" s="53"/>
      <c r="J47" s="53"/>
      <c r="K47" s="53"/>
      <c r="L47" s="53"/>
      <c r="M47" s="53"/>
      <c r="N47" s="54"/>
    </row>
    <row r="48" spans="2:14" ht="15" customHeight="1" thickBot="1" x14ac:dyDescent="0.3">
      <c r="B48" s="55"/>
      <c r="C48" s="56"/>
      <c r="D48" s="56"/>
      <c r="E48" s="56"/>
      <c r="F48" s="56"/>
      <c r="G48" s="56"/>
      <c r="H48" s="56"/>
      <c r="I48" s="56"/>
      <c r="J48" s="56"/>
      <c r="K48" s="56"/>
      <c r="L48" s="56"/>
      <c r="M48" s="56"/>
      <c r="N48" s="57"/>
    </row>
    <row r="49" spans="2:14" ht="15" customHeight="1" thickBot="1" x14ac:dyDescent="0.3"/>
    <row r="50" spans="2:14" ht="146.25" customHeight="1" thickBot="1" x14ac:dyDescent="0.3">
      <c r="B50" s="46" t="s">
        <v>338</v>
      </c>
      <c r="C50" s="47"/>
      <c r="D50" s="47"/>
      <c r="E50" s="47"/>
      <c r="F50" s="47"/>
      <c r="G50" s="47"/>
      <c r="H50" s="47"/>
      <c r="I50" s="47"/>
      <c r="J50" s="47"/>
      <c r="K50" s="47"/>
      <c r="L50" s="47"/>
      <c r="M50" s="47"/>
      <c r="N50" s="48"/>
    </row>
  </sheetData>
  <mergeCells count="7">
    <mergeCell ref="B45:N48"/>
    <mergeCell ref="B50:N50"/>
    <mergeCell ref="C3:N3"/>
    <mergeCell ref="D5:E5"/>
    <mergeCell ref="G7:N7"/>
    <mergeCell ref="G24:K24"/>
    <mergeCell ref="G26:N26"/>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ECC0F-BA14-453E-841A-EC66C5796DB9}">
  <dimension ref="B1:N50"/>
  <sheetViews>
    <sheetView showGridLines="0" zoomScale="75" zoomScaleNormal="75" workbookViewId="0"/>
  </sheetViews>
  <sheetFormatPr defaultRowHeight="15" x14ac:dyDescent="0.25"/>
  <cols>
    <col min="1" max="1" width="2.85546875" customWidth="1"/>
    <col min="2" max="2" width="3.85546875" customWidth="1"/>
    <col min="3" max="3" width="56"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8" t="s">
        <v>157</v>
      </c>
      <c r="D3" s="59"/>
      <c r="E3" s="59"/>
      <c r="F3" s="59"/>
      <c r="G3" s="59"/>
      <c r="H3" s="59"/>
      <c r="I3" s="59"/>
      <c r="J3" s="59"/>
      <c r="K3" s="59"/>
      <c r="L3" s="59"/>
      <c r="M3" s="59"/>
      <c r="N3" s="60"/>
    </row>
    <row r="4" spans="2:14" ht="15.75" customHeight="1" x14ac:dyDescent="0.25">
      <c r="B4" s="20"/>
      <c r="C4" s="14"/>
      <c r="D4" s="1"/>
      <c r="E4" s="1"/>
      <c r="F4" s="1"/>
      <c r="G4" s="1"/>
      <c r="H4" s="1"/>
      <c r="I4" s="1"/>
      <c r="J4" s="1"/>
      <c r="K4" s="1"/>
      <c r="L4" s="1"/>
      <c r="M4" s="1"/>
      <c r="N4" s="18"/>
    </row>
    <row r="5" spans="2:14" ht="18" customHeight="1" x14ac:dyDescent="0.25">
      <c r="B5" s="20"/>
      <c r="C5" s="15" t="s">
        <v>21</v>
      </c>
      <c r="D5" s="61" t="s">
        <v>158</v>
      </c>
      <c r="E5" s="6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63" t="s">
        <v>17</v>
      </c>
      <c r="H7" s="64"/>
      <c r="I7" s="64"/>
      <c r="J7" s="64"/>
      <c r="K7" s="64"/>
      <c r="L7" s="64"/>
      <c r="M7" s="64"/>
      <c r="N7" s="65"/>
    </row>
    <row r="8" spans="2:14" ht="15" customHeight="1" x14ac:dyDescent="0.25">
      <c r="B8" s="20"/>
      <c r="C8" s="5" t="s">
        <v>48</v>
      </c>
      <c r="D8" s="6"/>
      <c r="E8" s="11">
        <v>1.0759999999999999E-3</v>
      </c>
      <c r="F8" s="1"/>
      <c r="G8" s="24" t="s">
        <v>16</v>
      </c>
      <c r="H8" s="25">
        <v>1</v>
      </c>
      <c r="I8" s="1"/>
      <c r="J8" s="24" t="s">
        <v>13</v>
      </c>
      <c r="K8" s="24" t="s">
        <v>3</v>
      </c>
      <c r="L8" s="1"/>
      <c r="M8" s="1"/>
      <c r="N8" s="18"/>
    </row>
    <row r="9" spans="2:14" ht="15.75" customHeight="1" x14ac:dyDescent="0.25">
      <c r="B9" s="20"/>
      <c r="C9" s="7" t="s">
        <v>49</v>
      </c>
      <c r="D9" s="8"/>
      <c r="E9" s="12">
        <v>1.0759999999999999E-3</v>
      </c>
      <c r="F9" s="1"/>
      <c r="G9" s="1"/>
      <c r="H9" s="1"/>
      <c r="I9" s="1"/>
      <c r="J9" s="24" t="s">
        <v>11</v>
      </c>
      <c r="K9" s="29">
        <v>2.3159999999999999E-3</v>
      </c>
      <c r="L9" s="1"/>
      <c r="M9" s="1"/>
      <c r="N9" s="18"/>
    </row>
    <row r="10" spans="2:14" ht="15" customHeight="1" x14ac:dyDescent="0.25">
      <c r="B10" s="20"/>
      <c r="C10" s="5" t="s">
        <v>65</v>
      </c>
      <c r="D10" s="6" t="s">
        <v>179</v>
      </c>
      <c r="E10" s="11">
        <v>0.95965800000000001</v>
      </c>
      <c r="F10" s="1"/>
      <c r="G10" s="1"/>
      <c r="H10" s="1"/>
      <c r="I10" s="1"/>
      <c r="J10" s="24" t="s">
        <v>14</v>
      </c>
      <c r="K10" s="29">
        <v>1.2045999999999999E-2</v>
      </c>
      <c r="L10" s="1"/>
      <c r="M10" s="1"/>
      <c r="N10" s="18"/>
    </row>
    <row r="11" spans="2:14" ht="15" customHeight="1" x14ac:dyDescent="0.25">
      <c r="B11" s="20"/>
      <c r="C11" s="5" t="s">
        <v>159</v>
      </c>
      <c r="D11" s="6" t="s">
        <v>179</v>
      </c>
      <c r="E11" s="11">
        <v>2.4903999999999999E-2</v>
      </c>
      <c r="F11" s="1"/>
      <c r="G11" s="1"/>
      <c r="H11" s="1"/>
      <c r="I11" s="1"/>
      <c r="J11" s="24" t="s">
        <v>48</v>
      </c>
      <c r="K11" s="29">
        <v>1.0759999999999999E-3</v>
      </c>
      <c r="L11" s="1"/>
      <c r="M11" s="1"/>
      <c r="N11" s="18"/>
    </row>
    <row r="12" spans="2:14" ht="15.75" customHeight="1" x14ac:dyDescent="0.25">
      <c r="B12" s="20"/>
      <c r="C12" s="7" t="s">
        <v>53</v>
      </c>
      <c r="D12" s="8"/>
      <c r="E12" s="12">
        <v>0.98456200000000005</v>
      </c>
      <c r="F12" s="1"/>
      <c r="G12" s="1"/>
      <c r="H12" s="1"/>
      <c r="I12" s="1"/>
      <c r="J12" s="24" t="s">
        <v>58</v>
      </c>
      <c r="K12" s="29">
        <v>0.98456200000000005</v>
      </c>
      <c r="L12" s="1"/>
      <c r="M12" s="1"/>
      <c r="N12" s="18"/>
    </row>
    <row r="13" spans="2:14" ht="15" customHeight="1" x14ac:dyDescent="0.25">
      <c r="B13" s="20"/>
      <c r="C13" s="5" t="s">
        <v>9</v>
      </c>
      <c r="D13" s="6"/>
      <c r="E13" s="11">
        <v>1.2045999999999999E-2</v>
      </c>
      <c r="F13" s="1"/>
      <c r="G13" s="1"/>
      <c r="H13" s="1"/>
      <c r="I13" s="1"/>
      <c r="J13" s="1"/>
      <c r="K13" s="1"/>
      <c r="L13" s="1"/>
      <c r="M13" s="1"/>
      <c r="N13" s="18"/>
    </row>
    <row r="14" spans="2:14" ht="15.75" customHeight="1" x14ac:dyDescent="0.25">
      <c r="B14" s="20"/>
      <c r="C14" s="7" t="s">
        <v>10</v>
      </c>
      <c r="D14" s="8"/>
      <c r="E14" s="12">
        <v>1.2045999999999999E-2</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11</v>
      </c>
      <c r="D16" s="8"/>
      <c r="E16" s="12">
        <v>2.3159999999999999E-3</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12</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63" t="s">
        <v>18</v>
      </c>
      <c r="H24" s="64"/>
      <c r="I24" s="64"/>
      <c r="J24" s="64"/>
      <c r="K24" s="64"/>
      <c r="L24" s="26">
        <v>28.661440049727656</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63" t="s">
        <v>19</v>
      </c>
      <c r="H26" s="64"/>
      <c r="I26" s="64"/>
      <c r="J26" s="64"/>
      <c r="K26" s="64"/>
      <c r="L26" s="64"/>
      <c r="M26" s="64"/>
      <c r="N26" s="6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x14ac:dyDescent="0.25">
      <c r="B45" s="49" t="s">
        <v>335</v>
      </c>
      <c r="C45" s="50"/>
      <c r="D45" s="50"/>
      <c r="E45" s="50"/>
      <c r="F45" s="50"/>
      <c r="G45" s="50"/>
      <c r="H45" s="50"/>
      <c r="I45" s="50"/>
      <c r="J45" s="50"/>
      <c r="K45" s="50"/>
      <c r="L45" s="50"/>
      <c r="M45" s="50"/>
      <c r="N45" s="51"/>
    </row>
    <row r="46" spans="2:14" x14ac:dyDescent="0.25">
      <c r="B46" s="52"/>
      <c r="C46" s="53"/>
      <c r="D46" s="53"/>
      <c r="E46" s="53"/>
      <c r="F46" s="53"/>
      <c r="G46" s="53"/>
      <c r="H46" s="53"/>
      <c r="I46" s="53"/>
      <c r="J46" s="53"/>
      <c r="K46" s="53"/>
      <c r="L46" s="53"/>
      <c r="M46" s="53"/>
      <c r="N46" s="54"/>
    </row>
    <row r="47" spans="2:14" x14ac:dyDescent="0.25">
      <c r="B47" s="52"/>
      <c r="C47" s="53"/>
      <c r="D47" s="53"/>
      <c r="E47" s="53"/>
      <c r="F47" s="53"/>
      <c r="G47" s="53"/>
      <c r="H47" s="53"/>
      <c r="I47" s="53"/>
      <c r="J47" s="53"/>
      <c r="K47" s="53"/>
      <c r="L47" s="53"/>
      <c r="M47" s="53"/>
      <c r="N47" s="54"/>
    </row>
    <row r="48" spans="2:14" ht="15.75" thickBot="1" x14ac:dyDescent="0.3">
      <c r="B48" s="55"/>
      <c r="C48" s="56"/>
      <c r="D48" s="56"/>
      <c r="E48" s="56"/>
      <c r="F48" s="56"/>
      <c r="G48" s="56"/>
      <c r="H48" s="56"/>
      <c r="I48" s="56"/>
      <c r="J48" s="56"/>
      <c r="K48" s="56"/>
      <c r="L48" s="56"/>
      <c r="M48" s="56"/>
      <c r="N48" s="57"/>
    </row>
    <row r="49" spans="2:14" ht="15.75" thickBot="1" x14ac:dyDescent="0.3"/>
    <row r="50" spans="2:14" ht="131.25" customHeight="1" thickBot="1" x14ac:dyDescent="0.3">
      <c r="B50" s="46" t="s">
        <v>338</v>
      </c>
      <c r="C50" s="47"/>
      <c r="D50" s="47"/>
      <c r="E50" s="47"/>
      <c r="F50" s="47"/>
      <c r="G50" s="47"/>
      <c r="H50" s="47"/>
      <c r="I50" s="47"/>
      <c r="J50" s="47"/>
      <c r="K50" s="47"/>
      <c r="L50" s="47"/>
      <c r="M50" s="47"/>
      <c r="N50" s="48"/>
    </row>
  </sheetData>
  <mergeCells count="7">
    <mergeCell ref="B50:N50"/>
    <mergeCell ref="B45:N48"/>
    <mergeCell ref="C3:N3"/>
    <mergeCell ref="D5:E5"/>
    <mergeCell ref="G7:N7"/>
    <mergeCell ref="G24:K24"/>
    <mergeCell ref="G26:N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3CEDC-4E12-4DD0-A0B0-6392B44CC2FF}">
  <dimension ref="B1:N45"/>
  <sheetViews>
    <sheetView showGridLines="0" zoomScale="75" zoomScaleNormal="75" workbookViewId="0"/>
  </sheetViews>
  <sheetFormatPr defaultRowHeight="15" x14ac:dyDescent="0.25"/>
  <cols>
    <col min="1" max="1" width="2.85546875" customWidth="1"/>
    <col min="2" max="2" width="3.85546875" customWidth="1"/>
    <col min="3" max="3" width="56"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8" t="s">
        <v>128</v>
      </c>
      <c r="D3" s="59"/>
      <c r="E3" s="59"/>
      <c r="F3" s="59"/>
      <c r="G3" s="59"/>
      <c r="H3" s="59"/>
      <c r="I3" s="59"/>
      <c r="J3" s="59"/>
      <c r="K3" s="59"/>
      <c r="L3" s="59"/>
      <c r="M3" s="59"/>
      <c r="N3" s="60"/>
    </row>
    <row r="4" spans="2:14" ht="15.75" customHeight="1" x14ac:dyDescent="0.25">
      <c r="B4" s="20"/>
      <c r="C4" s="14"/>
      <c r="D4" s="1"/>
      <c r="E4" s="1"/>
      <c r="F4" s="1"/>
      <c r="G4" s="1"/>
      <c r="H4" s="1"/>
      <c r="I4" s="1"/>
      <c r="J4" s="1"/>
      <c r="K4" s="1"/>
      <c r="L4" s="1"/>
      <c r="M4" s="1"/>
      <c r="N4" s="18"/>
    </row>
    <row r="5" spans="2:14" ht="18" customHeight="1" x14ac:dyDescent="0.25">
      <c r="B5" s="20"/>
      <c r="C5" s="15" t="s">
        <v>21</v>
      </c>
      <c r="D5" s="61" t="s">
        <v>129</v>
      </c>
      <c r="E5" s="6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63" t="s">
        <v>17</v>
      </c>
      <c r="H7" s="64"/>
      <c r="I7" s="64"/>
      <c r="J7" s="64"/>
      <c r="K7" s="64"/>
      <c r="L7" s="64"/>
      <c r="M7" s="64"/>
      <c r="N7" s="65"/>
    </row>
    <row r="8" spans="2:14" ht="15" customHeight="1" x14ac:dyDescent="0.25">
      <c r="B8" s="20"/>
      <c r="C8" s="5" t="s">
        <v>65</v>
      </c>
      <c r="D8" s="6" t="s">
        <v>179</v>
      </c>
      <c r="E8" s="11">
        <v>0.99717900000000004</v>
      </c>
      <c r="F8" s="1"/>
      <c r="G8" s="24" t="s">
        <v>16</v>
      </c>
      <c r="H8" s="25">
        <v>1</v>
      </c>
      <c r="I8" s="1"/>
      <c r="J8" s="24" t="s">
        <v>13</v>
      </c>
      <c r="K8" s="24" t="s">
        <v>3</v>
      </c>
      <c r="L8" s="1"/>
      <c r="M8" s="1"/>
      <c r="N8" s="18"/>
    </row>
    <row r="9" spans="2:14" ht="15" customHeight="1" x14ac:dyDescent="0.25">
      <c r="B9" s="20"/>
      <c r="C9" s="5" t="s">
        <v>117</v>
      </c>
      <c r="D9" s="6" t="s">
        <v>179</v>
      </c>
      <c r="E9" s="30">
        <v>1.7E-5</v>
      </c>
      <c r="F9" s="1"/>
      <c r="G9" s="1"/>
      <c r="H9" s="1"/>
      <c r="I9" s="1"/>
      <c r="J9" s="24" t="s">
        <v>11</v>
      </c>
      <c r="K9" s="29">
        <v>1.5590000000000001E-3</v>
      </c>
      <c r="L9" s="1"/>
      <c r="M9" s="1"/>
      <c r="N9" s="18"/>
    </row>
    <row r="10" spans="2:14" ht="15.75" customHeight="1" x14ac:dyDescent="0.25">
      <c r="B10" s="20"/>
      <c r="C10" s="7" t="s">
        <v>53</v>
      </c>
      <c r="D10" s="8"/>
      <c r="E10" s="12">
        <v>0.99719599999999997</v>
      </c>
      <c r="F10" s="1"/>
      <c r="G10" s="1"/>
      <c r="H10" s="1"/>
      <c r="I10" s="1"/>
      <c r="J10" s="24" t="s">
        <v>14</v>
      </c>
      <c r="K10" s="29">
        <v>1.245E-3</v>
      </c>
      <c r="L10" s="1"/>
      <c r="M10" s="1"/>
      <c r="N10" s="18"/>
    </row>
    <row r="11" spans="2:14" ht="15" customHeight="1" x14ac:dyDescent="0.25">
      <c r="B11" s="20"/>
      <c r="C11" s="5" t="s">
        <v>9</v>
      </c>
      <c r="D11" s="6"/>
      <c r="E11" s="11">
        <v>1.245E-3</v>
      </c>
      <c r="F11" s="1"/>
      <c r="G11" s="1"/>
      <c r="H11" s="1"/>
      <c r="I11" s="1"/>
      <c r="J11" s="24" t="s">
        <v>58</v>
      </c>
      <c r="K11" s="29">
        <v>0.99719599999999997</v>
      </c>
      <c r="L11" s="1"/>
      <c r="M11" s="1"/>
      <c r="N11" s="18"/>
    </row>
    <row r="12" spans="2:14" ht="15.75" customHeight="1" x14ac:dyDescent="0.25">
      <c r="B12" s="20"/>
      <c r="C12" s="7" t="s">
        <v>10</v>
      </c>
      <c r="D12" s="8"/>
      <c r="E12" s="12">
        <v>1.245E-3</v>
      </c>
      <c r="F12" s="1"/>
      <c r="G12" s="1"/>
      <c r="H12" s="1"/>
      <c r="I12" s="1"/>
      <c r="J12" s="1"/>
      <c r="K12" s="1"/>
      <c r="L12" s="1"/>
      <c r="M12" s="1"/>
      <c r="N12" s="18"/>
    </row>
    <row r="13" spans="2:14" ht="15" customHeight="1" x14ac:dyDescent="0.25">
      <c r="B13" s="20"/>
      <c r="C13" s="5"/>
      <c r="D13" s="6"/>
      <c r="E13" s="11"/>
      <c r="F13" s="1"/>
      <c r="G13" s="1"/>
      <c r="H13" s="1"/>
      <c r="I13" s="1"/>
      <c r="J13" s="1"/>
      <c r="K13" s="1"/>
      <c r="L13" s="1"/>
      <c r="M13" s="1"/>
      <c r="N13" s="18"/>
    </row>
    <row r="14" spans="2:14" ht="15.75" customHeight="1" x14ac:dyDescent="0.25">
      <c r="B14" s="20"/>
      <c r="C14" s="7" t="s">
        <v>11</v>
      </c>
      <c r="D14" s="8"/>
      <c r="E14" s="12">
        <v>1.5590000000000001E-3</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 customHeight="1" x14ac:dyDescent="0.25">
      <c r="B16" s="20"/>
      <c r="C16" s="9" t="s">
        <v>12</v>
      </c>
      <c r="D16" s="10"/>
      <c r="E16" s="13">
        <v>1</v>
      </c>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63" t="s">
        <v>18</v>
      </c>
      <c r="H24" s="64"/>
      <c r="I24" s="64"/>
      <c r="J24" s="64"/>
      <c r="K24" s="64"/>
      <c r="L24" s="26">
        <v>28.471424913149846</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63" t="s">
        <v>19</v>
      </c>
      <c r="H26" s="64"/>
      <c r="I26" s="64"/>
      <c r="J26" s="64"/>
      <c r="K26" s="64"/>
      <c r="L26" s="64"/>
      <c r="M26" s="64"/>
      <c r="N26" s="6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1.25" customHeight="1" thickBot="1" x14ac:dyDescent="0.3">
      <c r="B45" s="46" t="s">
        <v>338</v>
      </c>
      <c r="C45" s="47"/>
      <c r="D45" s="47"/>
      <c r="E45" s="47"/>
      <c r="F45" s="47"/>
      <c r="G45" s="47"/>
      <c r="H45" s="47"/>
      <c r="I45" s="47"/>
      <c r="J45" s="47"/>
      <c r="K45" s="47"/>
      <c r="L45" s="47"/>
      <c r="M45" s="47"/>
      <c r="N45" s="48"/>
    </row>
  </sheetData>
  <mergeCells count="6">
    <mergeCell ref="B45:N45"/>
    <mergeCell ref="C3:N3"/>
    <mergeCell ref="D5:E5"/>
    <mergeCell ref="G7:N7"/>
    <mergeCell ref="G24:K24"/>
    <mergeCell ref="G26:N2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B082E-B0FA-49B0-89FA-59C06DD505E3}">
  <dimension ref="B1:N45"/>
  <sheetViews>
    <sheetView showGridLines="0" zoomScale="75" zoomScaleNormal="75" workbookViewId="0"/>
  </sheetViews>
  <sheetFormatPr defaultRowHeight="15" x14ac:dyDescent="0.25"/>
  <cols>
    <col min="1" max="1" width="2.85546875" customWidth="1"/>
    <col min="2" max="2" width="3.85546875" customWidth="1"/>
    <col min="3" max="3" width="56"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8" t="s">
        <v>125</v>
      </c>
      <c r="D3" s="59"/>
      <c r="E3" s="59"/>
      <c r="F3" s="59"/>
      <c r="G3" s="59"/>
      <c r="H3" s="59"/>
      <c r="I3" s="59"/>
      <c r="J3" s="59"/>
      <c r="K3" s="59"/>
      <c r="L3" s="59"/>
      <c r="M3" s="59"/>
      <c r="N3" s="60"/>
    </row>
    <row r="4" spans="2:14" ht="15.75" customHeight="1" x14ac:dyDescent="0.25">
      <c r="B4" s="20"/>
      <c r="C4" s="14"/>
      <c r="D4" s="1"/>
      <c r="E4" s="1"/>
      <c r="F4" s="1"/>
      <c r="G4" s="1"/>
      <c r="H4" s="1"/>
      <c r="I4" s="1"/>
      <c r="J4" s="1"/>
      <c r="K4" s="1"/>
      <c r="L4" s="1"/>
      <c r="M4" s="1"/>
      <c r="N4" s="18"/>
    </row>
    <row r="5" spans="2:14" ht="18" customHeight="1" x14ac:dyDescent="0.25">
      <c r="B5" s="20"/>
      <c r="C5" s="15" t="s">
        <v>21</v>
      </c>
      <c r="D5" s="61" t="s">
        <v>126</v>
      </c>
      <c r="E5" s="6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63" t="s">
        <v>17</v>
      </c>
      <c r="H7" s="64"/>
      <c r="I7" s="64"/>
      <c r="J7" s="64"/>
      <c r="K7" s="64"/>
      <c r="L7" s="64"/>
      <c r="M7" s="64"/>
      <c r="N7" s="65"/>
    </row>
    <row r="8" spans="2:14" ht="15" customHeight="1" x14ac:dyDescent="0.25">
      <c r="B8" s="20"/>
      <c r="C8" s="5" t="s">
        <v>101</v>
      </c>
      <c r="D8" s="6" t="s">
        <v>179</v>
      </c>
      <c r="E8" s="11">
        <v>0.52141000000000004</v>
      </c>
      <c r="F8" s="1"/>
      <c r="G8" s="24" t="s">
        <v>16</v>
      </c>
      <c r="H8" s="25">
        <v>1</v>
      </c>
      <c r="I8" s="1"/>
      <c r="J8" s="24" t="s">
        <v>13</v>
      </c>
      <c r="K8" s="24" t="s">
        <v>3</v>
      </c>
      <c r="L8" s="1"/>
      <c r="M8" s="1"/>
      <c r="N8" s="18"/>
    </row>
    <row r="9" spans="2:14" ht="15" customHeight="1" x14ac:dyDescent="0.25">
      <c r="B9" s="20"/>
      <c r="C9" s="5" t="s">
        <v>50</v>
      </c>
      <c r="D9" s="6" t="s">
        <v>179</v>
      </c>
      <c r="E9" s="11">
        <v>0.415439</v>
      </c>
      <c r="F9" s="1"/>
      <c r="G9" s="1"/>
      <c r="H9" s="1"/>
      <c r="I9" s="1"/>
      <c r="J9" s="24" t="s">
        <v>11</v>
      </c>
      <c r="K9" s="29">
        <v>2.7212E-2</v>
      </c>
      <c r="L9" s="1"/>
      <c r="M9" s="1"/>
      <c r="N9" s="18"/>
    </row>
    <row r="10" spans="2:14" ht="15" customHeight="1" x14ac:dyDescent="0.25">
      <c r="B10" s="20"/>
      <c r="C10" s="5" t="s">
        <v>127</v>
      </c>
      <c r="D10" s="6" t="s">
        <v>179</v>
      </c>
      <c r="E10" s="11">
        <v>2.8537E-2</v>
      </c>
      <c r="F10" s="1"/>
      <c r="G10" s="1"/>
      <c r="H10" s="1"/>
      <c r="I10" s="1"/>
      <c r="J10" s="24" t="s">
        <v>14</v>
      </c>
      <c r="K10" s="29">
        <v>2.774E-3</v>
      </c>
      <c r="L10" s="1"/>
      <c r="M10" s="1"/>
      <c r="N10" s="18"/>
    </row>
    <row r="11" spans="2:14" ht="15" customHeight="1" x14ac:dyDescent="0.25">
      <c r="B11" s="20"/>
      <c r="C11" s="5" t="s">
        <v>117</v>
      </c>
      <c r="D11" s="6" t="s">
        <v>179</v>
      </c>
      <c r="E11" s="11">
        <v>1.9980000000000002E-3</v>
      </c>
      <c r="F11" s="1"/>
      <c r="G11" s="1"/>
      <c r="H11" s="1"/>
      <c r="I11" s="1"/>
      <c r="J11" s="24" t="s">
        <v>58</v>
      </c>
      <c r="K11" s="29">
        <v>0.97001400000000004</v>
      </c>
      <c r="L11" s="1"/>
      <c r="M11" s="1"/>
      <c r="N11" s="18"/>
    </row>
    <row r="12" spans="2:14" ht="15" customHeight="1" x14ac:dyDescent="0.25">
      <c r="B12" s="20"/>
      <c r="C12" s="5" t="s">
        <v>78</v>
      </c>
      <c r="D12" s="6" t="s">
        <v>179</v>
      </c>
      <c r="E12" s="11">
        <v>1.3699999999999999E-3</v>
      </c>
      <c r="F12" s="1"/>
      <c r="G12" s="1"/>
      <c r="H12" s="1"/>
      <c r="I12" s="1"/>
      <c r="J12" s="1"/>
      <c r="K12" s="1"/>
      <c r="L12" s="1"/>
      <c r="M12" s="1"/>
      <c r="N12" s="18"/>
    </row>
    <row r="13" spans="2:14" ht="15" customHeight="1" x14ac:dyDescent="0.25">
      <c r="B13" s="20"/>
      <c r="C13" s="5" t="s">
        <v>72</v>
      </c>
      <c r="D13" s="6" t="s">
        <v>179</v>
      </c>
      <c r="E13" s="11">
        <v>1.2600000000000001E-3</v>
      </c>
      <c r="F13" s="1"/>
      <c r="G13" s="1"/>
      <c r="H13" s="1"/>
      <c r="I13" s="1"/>
      <c r="J13" s="1"/>
      <c r="K13" s="1"/>
      <c r="L13" s="1"/>
      <c r="M13" s="1"/>
      <c r="N13" s="18"/>
    </row>
    <row r="14" spans="2:14" ht="15.75" customHeight="1" x14ac:dyDescent="0.25">
      <c r="B14" s="20"/>
      <c r="C14" s="7" t="s">
        <v>53</v>
      </c>
      <c r="D14" s="8"/>
      <c r="E14" s="12">
        <v>0.97001400000000004</v>
      </c>
      <c r="F14" s="1"/>
      <c r="G14" s="1"/>
      <c r="H14" s="1"/>
      <c r="I14" s="1"/>
      <c r="J14" s="1"/>
      <c r="K14" s="1"/>
      <c r="L14" s="1"/>
      <c r="M14" s="1"/>
      <c r="N14" s="18"/>
    </row>
    <row r="15" spans="2:14" ht="15" customHeight="1" x14ac:dyDescent="0.25">
      <c r="B15" s="20"/>
      <c r="C15" s="5" t="s">
        <v>9</v>
      </c>
      <c r="D15" s="6"/>
      <c r="E15" s="11">
        <v>2.774E-3</v>
      </c>
      <c r="F15" s="1"/>
      <c r="G15" s="1"/>
      <c r="H15" s="1"/>
      <c r="I15" s="1"/>
      <c r="J15" s="1"/>
      <c r="K15" s="1"/>
      <c r="L15" s="1"/>
      <c r="M15" s="1"/>
      <c r="N15" s="18"/>
    </row>
    <row r="16" spans="2:14" ht="15.75" customHeight="1" x14ac:dyDescent="0.25">
      <c r="B16" s="20"/>
      <c r="C16" s="7" t="s">
        <v>10</v>
      </c>
      <c r="D16" s="8"/>
      <c r="E16" s="12">
        <v>2.774E-3</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11</v>
      </c>
      <c r="D18" s="8"/>
      <c r="E18" s="12">
        <v>2.7212E-2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12</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63" t="s">
        <v>18</v>
      </c>
      <c r="H24" s="64"/>
      <c r="I24" s="64"/>
      <c r="J24" s="64"/>
      <c r="K24" s="64"/>
      <c r="L24" s="26">
        <v>10.675747765818485</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63" t="s">
        <v>19</v>
      </c>
      <c r="H26" s="64"/>
      <c r="I26" s="64"/>
      <c r="J26" s="64"/>
      <c r="K26" s="64"/>
      <c r="L26" s="64"/>
      <c r="M26" s="64"/>
      <c r="N26" s="6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1.25" customHeight="1" thickBot="1" x14ac:dyDescent="0.3">
      <c r="B45" s="46" t="s">
        <v>338</v>
      </c>
      <c r="C45" s="47"/>
      <c r="D45" s="47"/>
      <c r="E45" s="47"/>
      <c r="F45" s="47"/>
      <c r="G45" s="47"/>
      <c r="H45" s="47"/>
      <c r="I45" s="47"/>
      <c r="J45" s="47"/>
      <c r="K45" s="47"/>
      <c r="L45" s="47"/>
      <c r="M45" s="47"/>
      <c r="N45" s="48"/>
    </row>
  </sheetData>
  <mergeCells count="6">
    <mergeCell ref="B45:N45"/>
    <mergeCell ref="C3:N3"/>
    <mergeCell ref="D5:E5"/>
    <mergeCell ref="G7:N7"/>
    <mergeCell ref="G24:K24"/>
    <mergeCell ref="G26:N2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740D1-7548-4D54-8E1C-B5FB10E92EF1}">
  <dimension ref="B1:N45"/>
  <sheetViews>
    <sheetView showGridLines="0" zoomScale="75" zoomScaleNormal="75" workbookViewId="0"/>
  </sheetViews>
  <sheetFormatPr defaultRowHeight="15" x14ac:dyDescent="0.25"/>
  <cols>
    <col min="1" max="1" width="2.85546875" customWidth="1"/>
    <col min="2" max="2" width="3.85546875" customWidth="1"/>
    <col min="3" max="3" width="56"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8" t="s">
        <v>106</v>
      </c>
      <c r="D3" s="59"/>
      <c r="E3" s="59"/>
      <c r="F3" s="59"/>
      <c r="G3" s="59"/>
      <c r="H3" s="59"/>
      <c r="I3" s="59"/>
      <c r="J3" s="59"/>
      <c r="K3" s="59"/>
      <c r="L3" s="59"/>
      <c r="M3" s="59"/>
      <c r="N3" s="60"/>
    </row>
    <row r="4" spans="2:14" ht="15.75" customHeight="1" x14ac:dyDescent="0.25">
      <c r="B4" s="20"/>
      <c r="C4" s="14"/>
      <c r="D4" s="1"/>
      <c r="E4" s="1"/>
      <c r="F4" s="1"/>
      <c r="G4" s="1"/>
      <c r="H4" s="1"/>
      <c r="I4" s="1"/>
      <c r="J4" s="1"/>
      <c r="K4" s="1"/>
      <c r="L4" s="1"/>
      <c r="M4" s="1"/>
      <c r="N4" s="18"/>
    </row>
    <row r="5" spans="2:14" ht="18" customHeight="1" x14ac:dyDescent="0.25">
      <c r="B5" s="20"/>
      <c r="C5" s="15" t="s">
        <v>21</v>
      </c>
      <c r="D5" s="61" t="s">
        <v>268</v>
      </c>
      <c r="E5" s="6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63" t="s">
        <v>17</v>
      </c>
      <c r="H7" s="64"/>
      <c r="I7" s="64"/>
      <c r="J7" s="64"/>
      <c r="K7" s="64"/>
      <c r="L7" s="64"/>
      <c r="M7" s="64"/>
      <c r="N7" s="65"/>
    </row>
    <row r="8" spans="2:14" ht="15" customHeight="1" x14ac:dyDescent="0.25">
      <c r="B8" s="20"/>
      <c r="C8" s="5" t="s">
        <v>269</v>
      </c>
      <c r="D8" s="6" t="s">
        <v>179</v>
      </c>
      <c r="E8" s="11">
        <v>0.33055499999999999</v>
      </c>
      <c r="F8" s="1"/>
      <c r="G8" s="24" t="s">
        <v>16</v>
      </c>
      <c r="H8" s="25">
        <v>1</v>
      </c>
      <c r="I8" s="1"/>
      <c r="J8" s="24" t="s">
        <v>13</v>
      </c>
      <c r="K8" s="24" t="s">
        <v>3</v>
      </c>
      <c r="L8" s="1"/>
      <c r="M8" s="1"/>
      <c r="N8" s="18"/>
    </row>
    <row r="9" spans="2:14" ht="15" customHeight="1" x14ac:dyDescent="0.25">
      <c r="B9" s="20"/>
      <c r="C9" s="5" t="s">
        <v>79</v>
      </c>
      <c r="D9" s="6" t="s">
        <v>179</v>
      </c>
      <c r="E9" s="11">
        <v>0.32306099999999999</v>
      </c>
      <c r="F9" s="1"/>
      <c r="G9" s="1"/>
      <c r="H9" s="1"/>
      <c r="I9" s="1"/>
      <c r="J9" s="24" t="s">
        <v>11</v>
      </c>
      <c r="K9" s="29">
        <v>1.6743999999999998E-2</v>
      </c>
      <c r="L9" s="1"/>
      <c r="M9" s="1"/>
      <c r="N9" s="18"/>
    </row>
    <row r="10" spans="2:14" ht="15" customHeight="1" x14ac:dyDescent="0.25">
      <c r="B10" s="20"/>
      <c r="C10" s="5" t="s">
        <v>270</v>
      </c>
      <c r="D10" s="6" t="s">
        <v>179</v>
      </c>
      <c r="E10" s="11">
        <v>0.189586</v>
      </c>
      <c r="F10" s="1"/>
      <c r="G10" s="1"/>
      <c r="H10" s="1"/>
      <c r="I10" s="1"/>
      <c r="J10" s="24" t="s">
        <v>14</v>
      </c>
      <c r="K10" s="29">
        <v>2.9459999999999998E-3</v>
      </c>
      <c r="L10" s="1"/>
      <c r="M10" s="1"/>
      <c r="N10" s="18"/>
    </row>
    <row r="11" spans="2:14" ht="15" customHeight="1" x14ac:dyDescent="0.25">
      <c r="B11" s="20"/>
      <c r="C11" s="5" t="s">
        <v>271</v>
      </c>
      <c r="D11" s="6" t="s">
        <v>179</v>
      </c>
      <c r="E11" s="11">
        <v>9.4313999999999995E-2</v>
      </c>
      <c r="F11" s="1"/>
      <c r="G11" s="1"/>
      <c r="H11" s="1"/>
      <c r="I11" s="1"/>
      <c r="J11" s="24" t="s">
        <v>58</v>
      </c>
      <c r="K11" s="29">
        <v>0.98031000000000001</v>
      </c>
      <c r="L11" s="1"/>
      <c r="M11" s="1"/>
      <c r="N11" s="18"/>
    </row>
    <row r="12" spans="2:14" ht="15" customHeight="1" x14ac:dyDescent="0.25">
      <c r="B12" s="20"/>
      <c r="C12" s="5" t="s">
        <v>272</v>
      </c>
      <c r="D12" s="6" t="s">
        <v>179</v>
      </c>
      <c r="E12" s="11">
        <v>4.2793999999999999E-2</v>
      </c>
      <c r="F12" s="1"/>
      <c r="G12" s="1"/>
      <c r="H12" s="1"/>
      <c r="I12" s="1"/>
      <c r="J12" s="1"/>
      <c r="K12" s="1"/>
      <c r="L12" s="1"/>
      <c r="M12" s="1"/>
      <c r="N12" s="18"/>
    </row>
    <row r="13" spans="2:14" ht="15.75" customHeight="1" x14ac:dyDescent="0.25">
      <c r="B13" s="20"/>
      <c r="C13" s="7" t="s">
        <v>53</v>
      </c>
      <c r="D13" s="8"/>
      <c r="E13" s="12">
        <v>0.98031000000000001</v>
      </c>
      <c r="F13" s="1"/>
      <c r="G13" s="1"/>
      <c r="H13" s="1"/>
      <c r="I13" s="1"/>
      <c r="J13" s="1"/>
      <c r="K13" s="1"/>
      <c r="L13" s="1"/>
      <c r="M13" s="1"/>
      <c r="N13" s="18"/>
    </row>
    <row r="14" spans="2:14" ht="15" customHeight="1" x14ac:dyDescent="0.25">
      <c r="B14" s="20"/>
      <c r="C14" s="5" t="s">
        <v>9</v>
      </c>
      <c r="D14" s="6"/>
      <c r="E14" s="11">
        <v>2.9459999999999998E-3</v>
      </c>
      <c r="F14" s="1"/>
      <c r="G14" s="1"/>
      <c r="H14" s="1"/>
      <c r="I14" s="1"/>
      <c r="J14" s="1"/>
      <c r="K14" s="1"/>
      <c r="L14" s="1"/>
      <c r="M14" s="1"/>
      <c r="N14" s="18"/>
    </row>
    <row r="15" spans="2:14" ht="15.75" customHeight="1" x14ac:dyDescent="0.25">
      <c r="B15" s="20"/>
      <c r="C15" s="7" t="s">
        <v>10</v>
      </c>
      <c r="D15" s="8"/>
      <c r="E15" s="12">
        <v>2.9459999999999998E-3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11</v>
      </c>
      <c r="D17" s="8"/>
      <c r="E17" s="12">
        <v>1.6743999999999998E-2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12</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63" t="s">
        <v>18</v>
      </c>
      <c r="H24" s="64"/>
      <c r="I24" s="64"/>
      <c r="J24" s="64"/>
      <c r="K24" s="64"/>
      <c r="L24" s="26">
        <v>1.1910151334780996</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63" t="s">
        <v>19</v>
      </c>
      <c r="H26" s="64"/>
      <c r="I26" s="64"/>
      <c r="J26" s="64"/>
      <c r="K26" s="64"/>
      <c r="L26" s="64"/>
      <c r="M26" s="64"/>
      <c r="N26" s="6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1.25" customHeight="1" thickBot="1" x14ac:dyDescent="0.3">
      <c r="B45" s="46" t="s">
        <v>338</v>
      </c>
      <c r="C45" s="47"/>
      <c r="D45" s="47"/>
      <c r="E45" s="47"/>
      <c r="F45" s="47"/>
      <c r="G45" s="47"/>
      <c r="H45" s="47"/>
      <c r="I45" s="47"/>
      <c r="J45" s="47"/>
      <c r="K45" s="47"/>
      <c r="L45" s="47"/>
      <c r="M45" s="47"/>
      <c r="N45" s="48"/>
    </row>
  </sheetData>
  <mergeCells count="6">
    <mergeCell ref="B45:N45"/>
    <mergeCell ref="C3:N3"/>
    <mergeCell ref="D5:E5"/>
    <mergeCell ref="G7:N7"/>
    <mergeCell ref="G24:K24"/>
    <mergeCell ref="G26:N2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B38CB-BE20-4B57-A38B-558E06062D5E}">
  <dimension ref="B1:N45"/>
  <sheetViews>
    <sheetView showGridLines="0" zoomScale="75" zoomScaleNormal="75" workbookViewId="0"/>
  </sheetViews>
  <sheetFormatPr defaultRowHeight="15" x14ac:dyDescent="0.25"/>
  <cols>
    <col min="1" max="1" width="2.85546875" customWidth="1"/>
    <col min="2" max="2" width="3.85546875" customWidth="1"/>
    <col min="3" max="3" width="56"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37"/>
      <c r="C2" s="38"/>
      <c r="D2" s="38"/>
      <c r="E2" s="38"/>
      <c r="F2" s="38"/>
      <c r="G2" s="38"/>
      <c r="H2" s="38"/>
      <c r="I2" s="38"/>
      <c r="J2" s="38"/>
      <c r="K2" s="38"/>
      <c r="L2" s="38"/>
      <c r="M2" s="38"/>
      <c r="N2" s="39"/>
    </row>
    <row r="3" spans="2:14" ht="20.25" customHeight="1" x14ac:dyDescent="0.25">
      <c r="B3" s="40"/>
      <c r="C3" s="58" t="s">
        <v>112</v>
      </c>
      <c r="D3" s="59"/>
      <c r="E3" s="59"/>
      <c r="F3" s="59"/>
      <c r="G3" s="59"/>
      <c r="H3" s="59"/>
      <c r="I3" s="59"/>
      <c r="J3" s="59"/>
      <c r="K3" s="59"/>
      <c r="L3" s="59"/>
      <c r="M3" s="59"/>
      <c r="N3" s="66"/>
    </row>
    <row r="4" spans="2:14" ht="15.75" customHeight="1" x14ac:dyDescent="0.25">
      <c r="B4" s="40"/>
      <c r="C4" s="14"/>
      <c r="D4" s="1"/>
      <c r="E4" s="1"/>
      <c r="F4" s="1"/>
      <c r="G4" s="1"/>
      <c r="H4" s="1"/>
      <c r="I4" s="1"/>
      <c r="J4" s="1"/>
      <c r="K4" s="1"/>
      <c r="L4" s="1"/>
      <c r="M4" s="1"/>
      <c r="N4" s="41"/>
    </row>
    <row r="5" spans="2:14" ht="18" customHeight="1" x14ac:dyDescent="0.25">
      <c r="B5" s="40"/>
      <c r="C5" s="15" t="s">
        <v>21</v>
      </c>
      <c r="D5" s="61" t="s">
        <v>113</v>
      </c>
      <c r="E5" s="62"/>
      <c r="F5" s="1"/>
      <c r="G5" s="1"/>
      <c r="H5" s="1"/>
      <c r="I5" s="1"/>
      <c r="J5" s="1"/>
      <c r="K5" s="1"/>
      <c r="L5" s="1"/>
      <c r="M5" s="1"/>
      <c r="N5" s="41"/>
    </row>
    <row r="6" spans="2:14" ht="15" customHeight="1" x14ac:dyDescent="0.25">
      <c r="B6" s="40"/>
      <c r="C6" s="1"/>
      <c r="D6" s="1"/>
      <c r="E6" s="1"/>
      <c r="F6" s="1"/>
      <c r="G6" s="1"/>
      <c r="H6" s="1"/>
      <c r="I6" s="1"/>
      <c r="J6" s="1"/>
      <c r="K6" s="1"/>
      <c r="L6" s="1"/>
      <c r="M6" s="1"/>
      <c r="N6" s="41"/>
    </row>
    <row r="7" spans="2:14" ht="32.25" customHeight="1" x14ac:dyDescent="0.25">
      <c r="B7" s="40"/>
      <c r="C7" s="4" t="s">
        <v>1</v>
      </c>
      <c r="D7" s="3" t="s">
        <v>2</v>
      </c>
      <c r="E7" s="2" t="s">
        <v>3</v>
      </c>
      <c r="F7" s="1"/>
      <c r="G7" s="63" t="s">
        <v>17</v>
      </c>
      <c r="H7" s="64"/>
      <c r="I7" s="64"/>
      <c r="J7" s="64"/>
      <c r="K7" s="64"/>
      <c r="L7" s="64"/>
      <c r="M7" s="64"/>
      <c r="N7" s="67"/>
    </row>
    <row r="8" spans="2:14" ht="15" customHeight="1" x14ac:dyDescent="0.25">
      <c r="B8" s="40"/>
      <c r="C8" s="5" t="s">
        <v>114</v>
      </c>
      <c r="D8" s="6" t="s">
        <v>179</v>
      </c>
      <c r="E8" s="11">
        <v>0.67972600000000005</v>
      </c>
      <c r="F8" s="1"/>
      <c r="G8" s="24" t="s">
        <v>16</v>
      </c>
      <c r="H8" s="25">
        <v>1</v>
      </c>
      <c r="I8" s="1"/>
      <c r="J8" s="24" t="s">
        <v>13</v>
      </c>
      <c r="K8" s="24" t="s">
        <v>3</v>
      </c>
      <c r="L8" s="1"/>
      <c r="M8" s="1"/>
      <c r="N8" s="41"/>
    </row>
    <row r="9" spans="2:14" ht="15" customHeight="1" x14ac:dyDescent="0.25">
      <c r="B9" s="40"/>
      <c r="C9" s="5" t="s">
        <v>72</v>
      </c>
      <c r="D9" s="6" t="s">
        <v>179</v>
      </c>
      <c r="E9" s="11">
        <v>0.14962</v>
      </c>
      <c r="F9" s="1"/>
      <c r="G9" s="1"/>
      <c r="H9" s="1"/>
      <c r="I9" s="1"/>
      <c r="J9" s="24" t="s">
        <v>11</v>
      </c>
      <c r="K9" s="29">
        <v>7.1269999999999997E-3</v>
      </c>
      <c r="L9" s="1"/>
      <c r="M9" s="1"/>
      <c r="N9" s="41"/>
    </row>
    <row r="10" spans="2:14" ht="15" customHeight="1" x14ac:dyDescent="0.25">
      <c r="B10" s="40"/>
      <c r="C10" s="5" t="s">
        <v>67</v>
      </c>
      <c r="D10" s="6" t="s">
        <v>179</v>
      </c>
      <c r="E10" s="11">
        <v>0.145872</v>
      </c>
      <c r="F10" s="1"/>
      <c r="G10" s="1"/>
      <c r="H10" s="1"/>
      <c r="I10" s="1"/>
      <c r="J10" s="24" t="s">
        <v>14</v>
      </c>
      <c r="K10" s="29">
        <v>1.7655000000000001E-2</v>
      </c>
      <c r="L10" s="1"/>
      <c r="M10" s="1"/>
      <c r="N10" s="41"/>
    </row>
    <row r="11" spans="2:14" ht="15.75" customHeight="1" x14ac:dyDescent="0.25">
      <c r="B11" s="40"/>
      <c r="C11" s="7" t="s">
        <v>53</v>
      </c>
      <c r="D11" s="8"/>
      <c r="E11" s="12">
        <v>0.97521800000000003</v>
      </c>
      <c r="F11" s="1"/>
      <c r="G11" s="1"/>
      <c r="H11" s="1"/>
      <c r="I11" s="1"/>
      <c r="J11" s="24" t="s">
        <v>58</v>
      </c>
      <c r="K11" s="29">
        <v>0.97521800000000003</v>
      </c>
      <c r="L11" s="1"/>
      <c r="M11" s="1"/>
      <c r="N11" s="41"/>
    </row>
    <row r="12" spans="2:14" ht="15" customHeight="1" x14ac:dyDescent="0.25">
      <c r="B12" s="40"/>
      <c r="C12" s="5" t="s">
        <v>9</v>
      </c>
      <c r="D12" s="6"/>
      <c r="E12" s="11">
        <v>1.7655000000000001E-2</v>
      </c>
      <c r="F12" s="1"/>
      <c r="G12" s="1"/>
      <c r="H12" s="1"/>
      <c r="I12" s="1"/>
      <c r="J12" s="1"/>
      <c r="K12" s="1"/>
      <c r="L12" s="1"/>
      <c r="M12" s="1"/>
      <c r="N12" s="41"/>
    </row>
    <row r="13" spans="2:14" ht="15.75" customHeight="1" x14ac:dyDescent="0.25">
      <c r="B13" s="40"/>
      <c r="C13" s="7" t="s">
        <v>10</v>
      </c>
      <c r="D13" s="8"/>
      <c r="E13" s="12">
        <v>1.7655000000000001E-2</v>
      </c>
      <c r="F13" s="1"/>
      <c r="G13" s="1"/>
      <c r="H13" s="1"/>
      <c r="I13" s="1"/>
      <c r="J13" s="1"/>
      <c r="K13" s="1"/>
      <c r="L13" s="1"/>
      <c r="M13" s="1"/>
      <c r="N13" s="41"/>
    </row>
    <row r="14" spans="2:14" ht="15" customHeight="1" x14ac:dyDescent="0.25">
      <c r="B14" s="40"/>
      <c r="C14" s="5"/>
      <c r="D14" s="6"/>
      <c r="E14" s="11"/>
      <c r="F14" s="1"/>
      <c r="G14" s="1"/>
      <c r="H14" s="1"/>
      <c r="I14" s="1"/>
      <c r="J14" s="1"/>
      <c r="K14" s="1"/>
      <c r="L14" s="1"/>
      <c r="M14" s="1"/>
      <c r="N14" s="41"/>
    </row>
    <row r="15" spans="2:14" ht="15.75" customHeight="1" x14ac:dyDescent="0.25">
      <c r="B15" s="40"/>
      <c r="C15" s="7" t="s">
        <v>11</v>
      </c>
      <c r="D15" s="8"/>
      <c r="E15" s="12">
        <v>7.1269999999999997E-3</v>
      </c>
      <c r="F15" s="1"/>
      <c r="G15" s="1"/>
      <c r="H15" s="1"/>
      <c r="I15" s="1"/>
      <c r="J15" s="1"/>
      <c r="K15" s="1"/>
      <c r="L15" s="1"/>
      <c r="M15" s="1"/>
      <c r="N15" s="41"/>
    </row>
    <row r="16" spans="2:14" ht="15" customHeight="1" x14ac:dyDescent="0.25">
      <c r="B16" s="40"/>
      <c r="C16" s="5"/>
      <c r="D16" s="6"/>
      <c r="E16" s="11"/>
      <c r="F16" s="1"/>
      <c r="G16" s="1"/>
      <c r="H16" s="1"/>
      <c r="I16" s="1"/>
      <c r="J16" s="1"/>
      <c r="K16" s="1"/>
      <c r="L16" s="1"/>
      <c r="M16" s="1"/>
      <c r="N16" s="41"/>
    </row>
    <row r="17" spans="2:14" ht="15" customHeight="1" x14ac:dyDescent="0.25">
      <c r="B17" s="40"/>
      <c r="C17" s="9" t="s">
        <v>12</v>
      </c>
      <c r="D17" s="10"/>
      <c r="E17" s="13">
        <v>1</v>
      </c>
      <c r="F17" s="1"/>
      <c r="G17" s="1"/>
      <c r="H17" s="1"/>
      <c r="I17" s="1"/>
      <c r="J17" s="1"/>
      <c r="K17" s="1"/>
      <c r="L17" s="1"/>
      <c r="M17" s="1"/>
      <c r="N17" s="41"/>
    </row>
    <row r="18" spans="2:14" ht="15" customHeight="1" x14ac:dyDescent="0.25">
      <c r="B18" s="40"/>
      <c r="C18" s="1"/>
      <c r="D18" s="1"/>
      <c r="E18" s="1"/>
      <c r="F18" s="1"/>
      <c r="G18" s="1"/>
      <c r="H18" s="1"/>
      <c r="I18" s="1"/>
      <c r="J18" s="1"/>
      <c r="K18" s="1"/>
      <c r="L18" s="1"/>
      <c r="M18" s="1"/>
      <c r="N18" s="41"/>
    </row>
    <row r="19" spans="2:14" ht="15" customHeight="1" x14ac:dyDescent="0.25">
      <c r="B19" s="40"/>
      <c r="C19" s="1"/>
      <c r="D19" s="1"/>
      <c r="E19" s="1"/>
      <c r="F19" s="1"/>
      <c r="G19" s="1"/>
      <c r="H19" s="1"/>
      <c r="I19" s="1"/>
      <c r="J19" s="1"/>
      <c r="K19" s="1"/>
      <c r="L19" s="1"/>
      <c r="M19" s="1"/>
      <c r="N19" s="41"/>
    </row>
    <row r="20" spans="2:14" ht="15" customHeight="1" x14ac:dyDescent="0.25">
      <c r="B20" s="40"/>
      <c r="C20" s="1"/>
      <c r="D20" s="1"/>
      <c r="E20" s="1"/>
      <c r="F20" s="1"/>
      <c r="G20" s="1"/>
      <c r="H20" s="1"/>
      <c r="I20" s="1"/>
      <c r="J20" s="1"/>
      <c r="K20" s="1"/>
      <c r="L20" s="1"/>
      <c r="M20" s="1"/>
      <c r="N20" s="41"/>
    </row>
    <row r="21" spans="2:14" ht="15" customHeight="1" x14ac:dyDescent="0.25">
      <c r="B21" s="40"/>
      <c r="C21" s="1"/>
      <c r="D21" s="1"/>
      <c r="E21" s="1"/>
      <c r="F21" s="1"/>
      <c r="G21" s="1"/>
      <c r="H21" s="1"/>
      <c r="I21" s="1"/>
      <c r="J21" s="1"/>
      <c r="K21" s="1"/>
      <c r="L21" s="1"/>
      <c r="M21" s="1"/>
      <c r="N21" s="41"/>
    </row>
    <row r="22" spans="2:14" ht="15" customHeight="1" x14ac:dyDescent="0.25">
      <c r="B22" s="40"/>
      <c r="C22" s="1"/>
      <c r="D22" s="1"/>
      <c r="E22" s="1"/>
      <c r="F22" s="1"/>
      <c r="G22" s="1"/>
      <c r="H22" s="1"/>
      <c r="I22" s="1"/>
      <c r="J22" s="1"/>
      <c r="K22" s="1"/>
      <c r="L22" s="1"/>
      <c r="M22" s="1"/>
      <c r="N22" s="41"/>
    </row>
    <row r="23" spans="2:14" ht="15" customHeight="1" x14ac:dyDescent="0.25">
      <c r="B23" s="40"/>
      <c r="C23" s="1"/>
      <c r="D23" s="1"/>
      <c r="E23" s="1"/>
      <c r="F23" s="1"/>
      <c r="G23" s="1"/>
      <c r="H23" s="1"/>
      <c r="I23" s="1"/>
      <c r="J23" s="1"/>
      <c r="K23" s="1"/>
      <c r="L23" s="1"/>
      <c r="M23" s="1"/>
      <c r="N23" s="41"/>
    </row>
    <row r="24" spans="2:14" ht="15" customHeight="1" x14ac:dyDescent="0.25">
      <c r="B24" s="40"/>
      <c r="C24" s="1"/>
      <c r="D24" s="1"/>
      <c r="E24" s="1"/>
      <c r="F24" s="1"/>
      <c r="G24" s="63" t="s">
        <v>18</v>
      </c>
      <c r="H24" s="64"/>
      <c r="I24" s="64"/>
      <c r="J24" s="64"/>
      <c r="K24" s="64"/>
      <c r="L24" s="26">
        <v>2.358081517071938</v>
      </c>
      <c r="M24" s="27"/>
      <c r="N24" s="42"/>
    </row>
    <row r="25" spans="2:14" ht="15" customHeight="1" x14ac:dyDescent="0.25">
      <c r="B25" s="40"/>
      <c r="C25" s="1"/>
      <c r="D25" s="1"/>
      <c r="E25" s="1"/>
      <c r="F25" s="1"/>
      <c r="G25" s="1"/>
      <c r="H25" s="1"/>
      <c r="I25" s="1"/>
      <c r="J25" s="1"/>
      <c r="K25" s="1"/>
      <c r="L25" s="1"/>
      <c r="M25" s="1"/>
      <c r="N25" s="41"/>
    </row>
    <row r="26" spans="2:14" ht="15" customHeight="1" x14ac:dyDescent="0.25">
      <c r="B26" s="40"/>
      <c r="C26" s="1"/>
      <c r="D26" s="1"/>
      <c r="E26" s="1"/>
      <c r="F26" s="1"/>
      <c r="G26" s="63" t="s">
        <v>19</v>
      </c>
      <c r="H26" s="64"/>
      <c r="I26" s="64"/>
      <c r="J26" s="64"/>
      <c r="K26" s="64"/>
      <c r="L26" s="64"/>
      <c r="M26" s="64"/>
      <c r="N26" s="67"/>
    </row>
    <row r="27" spans="2:14" ht="15" customHeight="1" x14ac:dyDescent="0.25">
      <c r="B27" s="40"/>
      <c r="C27" s="1"/>
      <c r="D27" s="1"/>
      <c r="E27" s="1"/>
      <c r="F27" s="1"/>
      <c r="G27" s="1"/>
      <c r="H27" s="1"/>
      <c r="I27" s="1"/>
      <c r="J27" s="1"/>
      <c r="K27" s="1"/>
      <c r="L27" s="1"/>
      <c r="M27" s="1"/>
      <c r="N27" s="41"/>
    </row>
    <row r="28" spans="2:14" ht="15" customHeight="1" x14ac:dyDescent="0.25">
      <c r="B28" s="40"/>
      <c r="C28" s="1"/>
      <c r="D28" s="1"/>
      <c r="E28" s="1"/>
      <c r="F28" s="1"/>
      <c r="G28" s="1"/>
      <c r="H28" s="1"/>
      <c r="I28" s="1"/>
      <c r="J28" s="1"/>
      <c r="K28" s="1"/>
      <c r="L28" s="1"/>
      <c r="M28" s="1"/>
      <c r="N28" s="41"/>
    </row>
    <row r="29" spans="2:14" ht="15" customHeight="1" x14ac:dyDescent="0.25">
      <c r="B29" s="40"/>
      <c r="C29" s="1"/>
      <c r="D29" s="1"/>
      <c r="E29" s="1"/>
      <c r="F29" s="1"/>
      <c r="G29" s="1"/>
      <c r="H29" s="1"/>
      <c r="I29" s="1"/>
      <c r="J29" s="1"/>
      <c r="K29" s="1"/>
      <c r="L29" s="1"/>
      <c r="M29" s="1"/>
      <c r="N29" s="41"/>
    </row>
    <row r="30" spans="2:14" ht="15" customHeight="1" x14ac:dyDescent="0.25">
      <c r="B30" s="40"/>
      <c r="C30" s="1"/>
      <c r="D30" s="1"/>
      <c r="E30" s="1"/>
      <c r="F30" s="1"/>
      <c r="G30" s="1"/>
      <c r="H30" s="1"/>
      <c r="I30" s="1"/>
      <c r="J30" s="1"/>
      <c r="K30" s="1"/>
      <c r="L30" s="1"/>
      <c r="M30" s="1"/>
      <c r="N30" s="41"/>
    </row>
    <row r="31" spans="2:14" ht="15" customHeight="1" x14ac:dyDescent="0.25">
      <c r="B31" s="40"/>
      <c r="C31" s="1"/>
      <c r="D31" s="1"/>
      <c r="E31" s="1"/>
      <c r="F31" s="1"/>
      <c r="G31" s="1"/>
      <c r="H31" s="1"/>
      <c r="I31" s="1"/>
      <c r="J31" s="1"/>
      <c r="K31" s="1"/>
      <c r="L31" s="1"/>
      <c r="M31" s="1"/>
      <c r="N31" s="41"/>
    </row>
    <row r="32" spans="2:14" ht="15" customHeight="1" x14ac:dyDescent="0.25">
      <c r="B32" s="40"/>
      <c r="C32" s="1"/>
      <c r="D32" s="1"/>
      <c r="E32" s="1"/>
      <c r="F32" s="1"/>
      <c r="G32" s="1"/>
      <c r="H32" s="1"/>
      <c r="I32" s="1"/>
      <c r="J32" s="1"/>
      <c r="K32" s="1"/>
      <c r="L32" s="1"/>
      <c r="M32" s="1"/>
      <c r="N32" s="41"/>
    </row>
    <row r="33" spans="2:14" ht="15" customHeight="1" x14ac:dyDescent="0.25">
      <c r="B33" s="40"/>
      <c r="C33" s="1"/>
      <c r="D33" s="1"/>
      <c r="E33" s="1"/>
      <c r="F33" s="1"/>
      <c r="G33" s="1"/>
      <c r="H33" s="1"/>
      <c r="I33" s="1"/>
      <c r="J33" s="1"/>
      <c r="K33" s="1"/>
      <c r="L33" s="1"/>
      <c r="M33" s="1"/>
      <c r="N33" s="41"/>
    </row>
    <row r="34" spans="2:14" ht="15" customHeight="1" x14ac:dyDescent="0.25">
      <c r="B34" s="40"/>
      <c r="C34" s="1"/>
      <c r="D34" s="1"/>
      <c r="E34" s="1"/>
      <c r="F34" s="1"/>
      <c r="G34" s="1"/>
      <c r="H34" s="1"/>
      <c r="I34" s="1"/>
      <c r="J34" s="1"/>
      <c r="K34" s="1"/>
      <c r="L34" s="1"/>
      <c r="M34" s="1"/>
      <c r="N34" s="41"/>
    </row>
    <row r="35" spans="2:14" ht="15" customHeight="1" x14ac:dyDescent="0.25">
      <c r="B35" s="40"/>
      <c r="C35" s="1"/>
      <c r="D35" s="1"/>
      <c r="E35" s="1"/>
      <c r="F35" s="1"/>
      <c r="G35" s="1"/>
      <c r="H35" s="1"/>
      <c r="I35" s="1"/>
      <c r="J35" s="1"/>
      <c r="K35" s="1"/>
      <c r="L35" s="1"/>
      <c r="M35" s="1"/>
      <c r="N35" s="41"/>
    </row>
    <row r="36" spans="2:14" ht="15" customHeight="1" x14ac:dyDescent="0.25">
      <c r="B36" s="40"/>
      <c r="C36" s="1"/>
      <c r="D36" s="1"/>
      <c r="E36" s="1"/>
      <c r="F36" s="1"/>
      <c r="G36" s="1"/>
      <c r="H36" s="1"/>
      <c r="I36" s="1"/>
      <c r="J36" s="1"/>
      <c r="K36" s="1"/>
      <c r="L36" s="1"/>
      <c r="M36" s="1"/>
      <c r="N36" s="41"/>
    </row>
    <row r="37" spans="2:14" ht="15" customHeight="1" x14ac:dyDescent="0.25">
      <c r="B37" s="40"/>
      <c r="C37" s="1"/>
      <c r="D37" s="1"/>
      <c r="E37" s="1"/>
      <c r="F37" s="1"/>
      <c r="G37" s="1"/>
      <c r="H37" s="1"/>
      <c r="I37" s="1"/>
      <c r="J37" s="1"/>
      <c r="K37" s="1"/>
      <c r="L37" s="1"/>
      <c r="M37" s="1"/>
      <c r="N37" s="41"/>
    </row>
    <row r="38" spans="2:14" ht="15" customHeight="1" x14ac:dyDescent="0.25">
      <c r="B38" s="40"/>
      <c r="C38" s="1"/>
      <c r="D38" s="1"/>
      <c r="E38" s="1"/>
      <c r="F38" s="1"/>
      <c r="G38" s="1"/>
      <c r="H38" s="1"/>
      <c r="I38" s="1"/>
      <c r="J38" s="1"/>
      <c r="K38" s="1"/>
      <c r="L38" s="1"/>
      <c r="M38" s="1"/>
      <c r="N38" s="41"/>
    </row>
    <row r="39" spans="2:14" ht="15" customHeight="1" x14ac:dyDescent="0.25">
      <c r="B39" s="40"/>
      <c r="C39" s="1"/>
      <c r="D39" s="1"/>
      <c r="E39" s="1"/>
      <c r="F39" s="1"/>
      <c r="G39" s="1"/>
      <c r="H39" s="1"/>
      <c r="I39" s="1"/>
      <c r="J39" s="1"/>
      <c r="K39" s="1"/>
      <c r="L39" s="1"/>
      <c r="M39" s="1"/>
      <c r="N39" s="41"/>
    </row>
    <row r="40" spans="2:14" ht="15" customHeight="1" x14ac:dyDescent="0.25">
      <c r="B40" s="40"/>
      <c r="C40" s="1"/>
      <c r="D40" s="1"/>
      <c r="E40" s="1"/>
      <c r="F40" s="1"/>
      <c r="G40" s="1"/>
      <c r="H40" s="1"/>
      <c r="I40" s="1"/>
      <c r="J40" s="1"/>
      <c r="K40" s="1"/>
      <c r="L40" s="1"/>
      <c r="M40" s="1"/>
      <c r="N40" s="41"/>
    </row>
    <row r="41" spans="2:14" ht="15" customHeight="1" x14ac:dyDescent="0.25">
      <c r="B41" s="40"/>
      <c r="C41" s="1"/>
      <c r="D41" s="1"/>
      <c r="E41" s="1"/>
      <c r="F41" s="1"/>
      <c r="G41" s="1"/>
      <c r="H41" s="1"/>
      <c r="I41" s="1"/>
      <c r="J41" s="1"/>
      <c r="K41" s="1"/>
      <c r="L41" s="1"/>
      <c r="M41" s="1"/>
      <c r="N41" s="41"/>
    </row>
    <row r="42" spans="2:14" ht="15" customHeight="1" thickBot="1" x14ac:dyDescent="0.3">
      <c r="B42" s="43"/>
      <c r="C42" s="44"/>
      <c r="D42" s="44"/>
      <c r="E42" s="44"/>
      <c r="F42" s="44"/>
      <c r="G42" s="44"/>
      <c r="H42" s="44"/>
      <c r="I42" s="44"/>
      <c r="J42" s="44"/>
      <c r="K42" s="44"/>
      <c r="L42" s="44"/>
      <c r="M42" s="44"/>
      <c r="N42" s="45"/>
    </row>
    <row r="44" spans="2:14" ht="15.75" thickBot="1" x14ac:dyDescent="0.3"/>
    <row r="45" spans="2:14" ht="131.25" customHeight="1" thickBot="1" x14ac:dyDescent="0.3">
      <c r="B45" s="46" t="s">
        <v>338</v>
      </c>
      <c r="C45" s="47"/>
      <c r="D45" s="47"/>
      <c r="E45" s="47"/>
      <c r="F45" s="47"/>
      <c r="G45" s="47"/>
      <c r="H45" s="47"/>
      <c r="I45" s="47"/>
      <c r="J45" s="47"/>
      <c r="K45" s="47"/>
      <c r="L45" s="47"/>
      <c r="M45" s="47"/>
      <c r="N45" s="48"/>
    </row>
  </sheetData>
  <mergeCells count="6">
    <mergeCell ref="B45:N45"/>
    <mergeCell ref="C3:N3"/>
    <mergeCell ref="D5:E5"/>
    <mergeCell ref="G7:N7"/>
    <mergeCell ref="G24:K24"/>
    <mergeCell ref="G26:N2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31E42-5FA0-48DF-9670-B661DFC0CC88}">
  <dimension ref="B1:N45"/>
  <sheetViews>
    <sheetView showGridLines="0" zoomScale="75" zoomScaleNormal="75" workbookViewId="0"/>
  </sheetViews>
  <sheetFormatPr defaultRowHeight="15" x14ac:dyDescent="0.25"/>
  <cols>
    <col min="1" max="1" width="2.85546875" customWidth="1"/>
    <col min="2" max="2" width="3.85546875" customWidth="1"/>
    <col min="3" max="3" width="56"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37"/>
      <c r="C2" s="38"/>
      <c r="D2" s="38"/>
      <c r="E2" s="38"/>
      <c r="F2" s="38"/>
      <c r="G2" s="38"/>
      <c r="H2" s="38"/>
      <c r="I2" s="38"/>
      <c r="J2" s="38"/>
      <c r="K2" s="38"/>
      <c r="L2" s="38"/>
      <c r="M2" s="38"/>
      <c r="N2" s="39"/>
    </row>
    <row r="3" spans="2:14" ht="20.25" customHeight="1" x14ac:dyDescent="0.25">
      <c r="B3" s="40"/>
      <c r="C3" s="58" t="s">
        <v>108</v>
      </c>
      <c r="D3" s="59"/>
      <c r="E3" s="59"/>
      <c r="F3" s="59"/>
      <c r="G3" s="59"/>
      <c r="H3" s="59"/>
      <c r="I3" s="59"/>
      <c r="J3" s="59"/>
      <c r="K3" s="59"/>
      <c r="L3" s="59"/>
      <c r="M3" s="59"/>
      <c r="N3" s="66"/>
    </row>
    <row r="4" spans="2:14" ht="15.75" customHeight="1" x14ac:dyDescent="0.25">
      <c r="B4" s="40"/>
      <c r="C4" s="14"/>
      <c r="D4" s="1"/>
      <c r="E4" s="1"/>
      <c r="F4" s="1"/>
      <c r="G4" s="1"/>
      <c r="H4" s="1"/>
      <c r="I4" s="1"/>
      <c r="J4" s="1"/>
      <c r="K4" s="1"/>
      <c r="L4" s="1"/>
      <c r="M4" s="1"/>
      <c r="N4" s="41"/>
    </row>
    <row r="5" spans="2:14" ht="18" customHeight="1" x14ac:dyDescent="0.25">
      <c r="B5" s="40"/>
      <c r="C5" s="15" t="s">
        <v>21</v>
      </c>
      <c r="D5" s="61" t="s">
        <v>109</v>
      </c>
      <c r="E5" s="62"/>
      <c r="F5" s="1"/>
      <c r="G5" s="1"/>
      <c r="H5" s="1"/>
      <c r="I5" s="1"/>
      <c r="J5" s="1"/>
      <c r="K5" s="1"/>
      <c r="L5" s="1"/>
      <c r="M5" s="1"/>
      <c r="N5" s="41"/>
    </row>
    <row r="6" spans="2:14" ht="15" customHeight="1" x14ac:dyDescent="0.25">
      <c r="B6" s="40"/>
      <c r="C6" s="1"/>
      <c r="D6" s="1"/>
      <c r="E6" s="1"/>
      <c r="F6" s="1"/>
      <c r="G6" s="1"/>
      <c r="H6" s="1"/>
      <c r="I6" s="1"/>
      <c r="J6" s="1"/>
      <c r="K6" s="1"/>
      <c r="L6" s="1"/>
      <c r="M6" s="1"/>
      <c r="N6" s="41"/>
    </row>
    <row r="7" spans="2:14" ht="32.25" customHeight="1" x14ac:dyDescent="0.25">
      <c r="B7" s="40"/>
      <c r="C7" s="4" t="s">
        <v>1</v>
      </c>
      <c r="D7" s="3" t="s">
        <v>2</v>
      </c>
      <c r="E7" s="2" t="s">
        <v>3</v>
      </c>
      <c r="F7" s="1"/>
      <c r="G7" s="63" t="s">
        <v>17</v>
      </c>
      <c r="H7" s="64"/>
      <c r="I7" s="64"/>
      <c r="J7" s="64"/>
      <c r="K7" s="64"/>
      <c r="L7" s="64"/>
      <c r="M7" s="64"/>
      <c r="N7" s="67"/>
    </row>
    <row r="8" spans="2:14" ht="15" customHeight="1" x14ac:dyDescent="0.25">
      <c r="B8" s="40"/>
      <c r="C8" s="5" t="s">
        <v>78</v>
      </c>
      <c r="D8" s="6" t="s">
        <v>179</v>
      </c>
      <c r="E8" s="11">
        <v>0.75328799999999996</v>
      </c>
      <c r="F8" s="1"/>
      <c r="G8" s="24" t="s">
        <v>16</v>
      </c>
      <c r="H8" s="25">
        <v>1</v>
      </c>
      <c r="I8" s="1"/>
      <c r="J8" s="24" t="s">
        <v>13</v>
      </c>
      <c r="K8" s="24" t="s">
        <v>3</v>
      </c>
      <c r="L8" s="1"/>
      <c r="M8" s="1"/>
      <c r="N8" s="41"/>
    </row>
    <row r="9" spans="2:14" ht="15" customHeight="1" x14ac:dyDescent="0.25">
      <c r="B9" s="40"/>
      <c r="C9" s="5" t="s">
        <v>110</v>
      </c>
      <c r="D9" s="6" t="s">
        <v>179</v>
      </c>
      <c r="E9" s="11">
        <v>0.21223600000000001</v>
      </c>
      <c r="F9" s="1"/>
      <c r="G9" s="1"/>
      <c r="H9" s="1"/>
      <c r="I9" s="1"/>
      <c r="J9" s="24" t="s">
        <v>11</v>
      </c>
      <c r="K9" s="29">
        <v>2.8885999999999998E-2</v>
      </c>
      <c r="L9" s="1"/>
      <c r="M9" s="1"/>
      <c r="N9" s="41"/>
    </row>
    <row r="10" spans="2:14" ht="15.75" customHeight="1" x14ac:dyDescent="0.25">
      <c r="B10" s="40"/>
      <c r="C10" s="7" t="s">
        <v>53</v>
      </c>
      <c r="D10" s="8"/>
      <c r="E10" s="12">
        <v>0.96552400000000005</v>
      </c>
      <c r="F10" s="1"/>
      <c r="G10" s="1"/>
      <c r="H10" s="1"/>
      <c r="I10" s="1"/>
      <c r="J10" s="24" t="s">
        <v>14</v>
      </c>
      <c r="K10" s="29">
        <v>5.5900000000000004E-3</v>
      </c>
      <c r="L10" s="1"/>
      <c r="M10" s="1"/>
      <c r="N10" s="41"/>
    </row>
    <row r="11" spans="2:14" ht="15" customHeight="1" x14ac:dyDescent="0.25">
      <c r="B11" s="40"/>
      <c r="C11" s="5" t="s">
        <v>9</v>
      </c>
      <c r="D11" s="6"/>
      <c r="E11" s="11">
        <v>5.5900000000000004E-3</v>
      </c>
      <c r="F11" s="1"/>
      <c r="G11" s="1"/>
      <c r="H11" s="1"/>
      <c r="I11" s="1"/>
      <c r="J11" s="24" t="s">
        <v>58</v>
      </c>
      <c r="K11" s="29">
        <v>0.96552400000000005</v>
      </c>
      <c r="L11" s="1"/>
      <c r="M11" s="1"/>
      <c r="N11" s="41"/>
    </row>
    <row r="12" spans="2:14" ht="15.75" customHeight="1" x14ac:dyDescent="0.25">
      <c r="B12" s="40"/>
      <c r="C12" s="7" t="s">
        <v>10</v>
      </c>
      <c r="D12" s="8"/>
      <c r="E12" s="12">
        <v>5.5900000000000004E-3</v>
      </c>
      <c r="F12" s="1"/>
      <c r="G12" s="1"/>
      <c r="H12" s="1"/>
      <c r="I12" s="1"/>
      <c r="J12" s="1"/>
      <c r="K12" s="1"/>
      <c r="L12" s="1"/>
      <c r="M12" s="1"/>
      <c r="N12" s="41"/>
    </row>
    <row r="13" spans="2:14" ht="15" customHeight="1" x14ac:dyDescent="0.25">
      <c r="B13" s="40"/>
      <c r="C13" s="5"/>
      <c r="D13" s="6"/>
      <c r="E13" s="11"/>
      <c r="F13" s="1"/>
      <c r="G13" s="1"/>
      <c r="H13" s="1"/>
      <c r="I13" s="1"/>
      <c r="J13" s="1"/>
      <c r="K13" s="1"/>
      <c r="L13" s="1"/>
      <c r="M13" s="1"/>
      <c r="N13" s="41"/>
    </row>
    <row r="14" spans="2:14" ht="15.75" customHeight="1" x14ac:dyDescent="0.25">
      <c r="B14" s="40"/>
      <c r="C14" s="7" t="s">
        <v>11</v>
      </c>
      <c r="D14" s="8"/>
      <c r="E14" s="12">
        <v>2.8885999999999998E-2</v>
      </c>
      <c r="F14" s="1"/>
      <c r="G14" s="1"/>
      <c r="H14" s="1"/>
      <c r="I14" s="1"/>
      <c r="J14" s="1"/>
      <c r="K14" s="1"/>
      <c r="L14" s="1"/>
      <c r="M14" s="1"/>
      <c r="N14" s="41"/>
    </row>
    <row r="15" spans="2:14" ht="15" customHeight="1" x14ac:dyDescent="0.25">
      <c r="B15" s="40"/>
      <c r="C15" s="5"/>
      <c r="D15" s="6"/>
      <c r="E15" s="11"/>
      <c r="F15" s="1"/>
      <c r="G15" s="1"/>
      <c r="H15" s="1"/>
      <c r="I15" s="1"/>
      <c r="J15" s="1"/>
      <c r="K15" s="1"/>
      <c r="L15" s="1"/>
      <c r="M15" s="1"/>
      <c r="N15" s="41"/>
    </row>
    <row r="16" spans="2:14" ht="15" customHeight="1" x14ac:dyDescent="0.25">
      <c r="B16" s="40"/>
      <c r="C16" s="9" t="s">
        <v>12</v>
      </c>
      <c r="D16" s="10"/>
      <c r="E16" s="13">
        <v>1</v>
      </c>
      <c r="F16" s="1"/>
      <c r="G16" s="1"/>
      <c r="H16" s="1"/>
      <c r="I16" s="1"/>
      <c r="J16" s="1"/>
      <c r="K16" s="1"/>
      <c r="L16" s="1"/>
      <c r="M16" s="1"/>
      <c r="N16" s="41"/>
    </row>
    <row r="17" spans="2:14" ht="15" customHeight="1" x14ac:dyDescent="0.25">
      <c r="B17" s="40"/>
      <c r="C17" s="1"/>
      <c r="D17" s="1"/>
      <c r="E17" s="1"/>
      <c r="F17" s="1"/>
      <c r="G17" s="1"/>
      <c r="H17" s="1"/>
      <c r="I17" s="1"/>
      <c r="J17" s="1"/>
      <c r="K17" s="1"/>
      <c r="L17" s="1"/>
      <c r="M17" s="1"/>
      <c r="N17" s="41"/>
    </row>
    <row r="18" spans="2:14" ht="15" customHeight="1" x14ac:dyDescent="0.25">
      <c r="B18" s="40"/>
      <c r="C18" s="1"/>
      <c r="D18" s="1"/>
      <c r="E18" s="1"/>
      <c r="F18" s="1"/>
      <c r="G18" s="1"/>
      <c r="H18" s="1"/>
      <c r="I18" s="1"/>
      <c r="J18" s="1"/>
      <c r="K18" s="1"/>
      <c r="L18" s="1"/>
      <c r="M18" s="1"/>
      <c r="N18" s="41"/>
    </row>
    <row r="19" spans="2:14" ht="15" customHeight="1" x14ac:dyDescent="0.25">
      <c r="B19" s="40"/>
      <c r="C19" s="1"/>
      <c r="D19" s="1"/>
      <c r="E19" s="1"/>
      <c r="F19" s="1"/>
      <c r="G19" s="1"/>
      <c r="H19" s="1"/>
      <c r="I19" s="1"/>
      <c r="J19" s="1"/>
      <c r="K19" s="1"/>
      <c r="L19" s="1"/>
      <c r="M19" s="1"/>
      <c r="N19" s="41"/>
    </row>
    <row r="20" spans="2:14" ht="15" customHeight="1" x14ac:dyDescent="0.25">
      <c r="B20" s="40"/>
      <c r="C20" s="1"/>
      <c r="D20" s="1"/>
      <c r="E20" s="1"/>
      <c r="F20" s="1"/>
      <c r="G20" s="1"/>
      <c r="H20" s="1"/>
      <c r="I20" s="1"/>
      <c r="J20" s="1"/>
      <c r="K20" s="1"/>
      <c r="L20" s="1"/>
      <c r="M20" s="1"/>
      <c r="N20" s="41"/>
    </row>
    <row r="21" spans="2:14" ht="15" customHeight="1" x14ac:dyDescent="0.25">
      <c r="B21" s="40"/>
      <c r="C21" s="1"/>
      <c r="D21" s="1"/>
      <c r="E21" s="1"/>
      <c r="F21" s="1"/>
      <c r="G21" s="1"/>
      <c r="H21" s="1"/>
      <c r="I21" s="1"/>
      <c r="J21" s="1"/>
      <c r="K21" s="1"/>
      <c r="L21" s="1"/>
      <c r="M21" s="1"/>
      <c r="N21" s="41"/>
    </row>
    <row r="22" spans="2:14" ht="15" customHeight="1" x14ac:dyDescent="0.25">
      <c r="B22" s="40"/>
      <c r="C22" s="1"/>
      <c r="D22" s="1"/>
      <c r="E22" s="1"/>
      <c r="F22" s="1"/>
      <c r="G22" s="1"/>
      <c r="H22" s="1"/>
      <c r="I22" s="1"/>
      <c r="J22" s="1"/>
      <c r="K22" s="1"/>
      <c r="L22" s="1"/>
      <c r="M22" s="1"/>
      <c r="N22" s="41"/>
    </row>
    <row r="23" spans="2:14" ht="15" customHeight="1" x14ac:dyDescent="0.25">
      <c r="B23" s="40"/>
      <c r="C23" s="1"/>
      <c r="D23" s="1"/>
      <c r="E23" s="1"/>
      <c r="F23" s="1"/>
      <c r="G23" s="1"/>
      <c r="H23" s="1"/>
      <c r="I23" s="1"/>
      <c r="J23" s="1"/>
      <c r="K23" s="1"/>
      <c r="L23" s="1"/>
      <c r="M23" s="1"/>
      <c r="N23" s="41"/>
    </row>
    <row r="24" spans="2:14" ht="15" customHeight="1" x14ac:dyDescent="0.25">
      <c r="B24" s="40"/>
      <c r="C24" s="1"/>
      <c r="D24" s="1"/>
      <c r="E24" s="1"/>
      <c r="F24" s="1"/>
      <c r="G24" s="63" t="s">
        <v>18</v>
      </c>
      <c r="H24" s="64"/>
      <c r="I24" s="64"/>
      <c r="J24" s="64"/>
      <c r="K24" s="64"/>
      <c r="L24" s="26">
        <v>6.8981601998630246</v>
      </c>
      <c r="M24" s="27"/>
      <c r="N24" s="42"/>
    </row>
    <row r="25" spans="2:14" ht="15" customHeight="1" x14ac:dyDescent="0.25">
      <c r="B25" s="40"/>
      <c r="C25" s="1"/>
      <c r="D25" s="1"/>
      <c r="E25" s="1"/>
      <c r="F25" s="1"/>
      <c r="G25" s="1"/>
      <c r="H25" s="1"/>
      <c r="I25" s="1"/>
      <c r="J25" s="1"/>
      <c r="K25" s="1"/>
      <c r="L25" s="1"/>
      <c r="M25" s="1"/>
      <c r="N25" s="41"/>
    </row>
    <row r="26" spans="2:14" ht="15" customHeight="1" x14ac:dyDescent="0.25">
      <c r="B26" s="40"/>
      <c r="C26" s="1"/>
      <c r="D26" s="1"/>
      <c r="E26" s="1"/>
      <c r="F26" s="1"/>
      <c r="G26" s="63" t="s">
        <v>19</v>
      </c>
      <c r="H26" s="64"/>
      <c r="I26" s="64"/>
      <c r="J26" s="64"/>
      <c r="K26" s="64"/>
      <c r="L26" s="64"/>
      <c r="M26" s="64"/>
      <c r="N26" s="67"/>
    </row>
    <row r="27" spans="2:14" ht="15" customHeight="1" x14ac:dyDescent="0.25">
      <c r="B27" s="40"/>
      <c r="C27" s="1"/>
      <c r="D27" s="1"/>
      <c r="E27" s="1"/>
      <c r="F27" s="1"/>
      <c r="G27" s="1"/>
      <c r="H27" s="1"/>
      <c r="I27" s="1"/>
      <c r="J27" s="1"/>
      <c r="K27" s="1"/>
      <c r="L27" s="1"/>
      <c r="M27" s="1"/>
      <c r="N27" s="41"/>
    </row>
    <row r="28" spans="2:14" ht="15" customHeight="1" x14ac:dyDescent="0.25">
      <c r="B28" s="40"/>
      <c r="C28" s="1"/>
      <c r="D28" s="1"/>
      <c r="E28" s="1"/>
      <c r="F28" s="1"/>
      <c r="G28" s="1"/>
      <c r="H28" s="1"/>
      <c r="I28" s="1"/>
      <c r="J28" s="1"/>
      <c r="K28" s="1"/>
      <c r="L28" s="1"/>
      <c r="M28" s="1"/>
      <c r="N28" s="41"/>
    </row>
    <row r="29" spans="2:14" ht="15" customHeight="1" x14ac:dyDescent="0.25">
      <c r="B29" s="40"/>
      <c r="C29" s="1"/>
      <c r="D29" s="1"/>
      <c r="E29" s="1"/>
      <c r="F29" s="1"/>
      <c r="G29" s="1"/>
      <c r="H29" s="1"/>
      <c r="I29" s="1"/>
      <c r="J29" s="1"/>
      <c r="K29" s="1"/>
      <c r="L29" s="1"/>
      <c r="M29" s="1"/>
      <c r="N29" s="41"/>
    </row>
    <row r="30" spans="2:14" ht="15" customHeight="1" x14ac:dyDescent="0.25">
      <c r="B30" s="40"/>
      <c r="C30" s="1"/>
      <c r="D30" s="1"/>
      <c r="E30" s="1"/>
      <c r="F30" s="1"/>
      <c r="G30" s="1"/>
      <c r="H30" s="1"/>
      <c r="I30" s="1"/>
      <c r="J30" s="1"/>
      <c r="K30" s="1"/>
      <c r="L30" s="1"/>
      <c r="M30" s="1"/>
      <c r="N30" s="41"/>
    </row>
    <row r="31" spans="2:14" ht="15" customHeight="1" x14ac:dyDescent="0.25">
      <c r="B31" s="40"/>
      <c r="C31" s="1"/>
      <c r="D31" s="1"/>
      <c r="E31" s="1"/>
      <c r="F31" s="1"/>
      <c r="G31" s="1"/>
      <c r="H31" s="1"/>
      <c r="I31" s="1"/>
      <c r="J31" s="1"/>
      <c r="K31" s="1"/>
      <c r="L31" s="1"/>
      <c r="M31" s="1"/>
      <c r="N31" s="41"/>
    </row>
    <row r="32" spans="2:14" ht="15" customHeight="1" x14ac:dyDescent="0.25">
      <c r="B32" s="40"/>
      <c r="C32" s="1"/>
      <c r="D32" s="1"/>
      <c r="E32" s="1"/>
      <c r="F32" s="1"/>
      <c r="G32" s="1"/>
      <c r="H32" s="1"/>
      <c r="I32" s="1"/>
      <c r="J32" s="1"/>
      <c r="K32" s="1"/>
      <c r="L32" s="1"/>
      <c r="M32" s="1"/>
      <c r="N32" s="41"/>
    </row>
    <row r="33" spans="2:14" ht="15" customHeight="1" x14ac:dyDescent="0.25">
      <c r="B33" s="40"/>
      <c r="C33" s="1"/>
      <c r="D33" s="1"/>
      <c r="E33" s="1"/>
      <c r="F33" s="1"/>
      <c r="G33" s="1"/>
      <c r="H33" s="1"/>
      <c r="I33" s="1"/>
      <c r="J33" s="1"/>
      <c r="K33" s="1"/>
      <c r="L33" s="1"/>
      <c r="M33" s="1"/>
      <c r="N33" s="41"/>
    </row>
    <row r="34" spans="2:14" ht="15" customHeight="1" x14ac:dyDescent="0.25">
      <c r="B34" s="40"/>
      <c r="C34" s="1"/>
      <c r="D34" s="1"/>
      <c r="E34" s="1"/>
      <c r="F34" s="1"/>
      <c r="G34" s="1"/>
      <c r="H34" s="1"/>
      <c r="I34" s="1"/>
      <c r="J34" s="1"/>
      <c r="K34" s="1"/>
      <c r="L34" s="1"/>
      <c r="M34" s="1"/>
      <c r="N34" s="41"/>
    </row>
    <row r="35" spans="2:14" ht="15" customHeight="1" x14ac:dyDescent="0.25">
      <c r="B35" s="40"/>
      <c r="C35" s="1"/>
      <c r="D35" s="1"/>
      <c r="E35" s="1"/>
      <c r="F35" s="1"/>
      <c r="G35" s="1"/>
      <c r="H35" s="1"/>
      <c r="I35" s="1"/>
      <c r="J35" s="1"/>
      <c r="K35" s="1"/>
      <c r="L35" s="1"/>
      <c r="M35" s="1"/>
      <c r="N35" s="41"/>
    </row>
    <row r="36" spans="2:14" ht="15" customHeight="1" x14ac:dyDescent="0.25">
      <c r="B36" s="40"/>
      <c r="C36" s="1"/>
      <c r="D36" s="1"/>
      <c r="E36" s="1"/>
      <c r="F36" s="1"/>
      <c r="G36" s="1"/>
      <c r="H36" s="1"/>
      <c r="I36" s="1"/>
      <c r="J36" s="1"/>
      <c r="K36" s="1"/>
      <c r="L36" s="1"/>
      <c r="M36" s="1"/>
      <c r="N36" s="41"/>
    </row>
    <row r="37" spans="2:14" ht="15" customHeight="1" x14ac:dyDescent="0.25">
      <c r="B37" s="40"/>
      <c r="C37" s="1"/>
      <c r="D37" s="1"/>
      <c r="E37" s="1"/>
      <c r="F37" s="1"/>
      <c r="G37" s="1"/>
      <c r="H37" s="1"/>
      <c r="I37" s="1"/>
      <c r="J37" s="1"/>
      <c r="K37" s="1"/>
      <c r="L37" s="1"/>
      <c r="M37" s="1"/>
      <c r="N37" s="41"/>
    </row>
    <row r="38" spans="2:14" ht="15" customHeight="1" x14ac:dyDescent="0.25">
      <c r="B38" s="40"/>
      <c r="C38" s="1"/>
      <c r="D38" s="1"/>
      <c r="E38" s="1"/>
      <c r="F38" s="1"/>
      <c r="G38" s="1"/>
      <c r="H38" s="1"/>
      <c r="I38" s="1"/>
      <c r="J38" s="1"/>
      <c r="K38" s="1"/>
      <c r="L38" s="1"/>
      <c r="M38" s="1"/>
      <c r="N38" s="41"/>
    </row>
    <row r="39" spans="2:14" ht="15" customHeight="1" x14ac:dyDescent="0.25">
      <c r="B39" s="40"/>
      <c r="C39" s="1"/>
      <c r="D39" s="1"/>
      <c r="E39" s="1"/>
      <c r="F39" s="1"/>
      <c r="G39" s="1"/>
      <c r="H39" s="1"/>
      <c r="I39" s="1"/>
      <c r="J39" s="1"/>
      <c r="K39" s="1"/>
      <c r="L39" s="1"/>
      <c r="M39" s="1"/>
      <c r="N39" s="41"/>
    </row>
    <row r="40" spans="2:14" ht="15" customHeight="1" x14ac:dyDescent="0.25">
      <c r="B40" s="40"/>
      <c r="C40" s="1"/>
      <c r="D40" s="1"/>
      <c r="E40" s="1"/>
      <c r="F40" s="1"/>
      <c r="G40" s="1"/>
      <c r="H40" s="1"/>
      <c r="I40" s="1"/>
      <c r="J40" s="1"/>
      <c r="K40" s="1"/>
      <c r="L40" s="1"/>
      <c r="M40" s="1"/>
      <c r="N40" s="41"/>
    </row>
    <row r="41" spans="2:14" ht="15" customHeight="1" x14ac:dyDescent="0.25">
      <c r="B41" s="40"/>
      <c r="C41" s="1"/>
      <c r="D41" s="1"/>
      <c r="E41" s="1"/>
      <c r="F41" s="1"/>
      <c r="G41" s="1"/>
      <c r="H41" s="1"/>
      <c r="I41" s="1"/>
      <c r="J41" s="1"/>
      <c r="K41" s="1"/>
      <c r="L41" s="1"/>
      <c r="M41" s="1"/>
      <c r="N41" s="41"/>
    </row>
    <row r="42" spans="2:14" ht="15" customHeight="1" thickBot="1" x14ac:dyDescent="0.3">
      <c r="B42" s="43"/>
      <c r="C42" s="44"/>
      <c r="D42" s="44"/>
      <c r="E42" s="44"/>
      <c r="F42" s="44"/>
      <c r="G42" s="44"/>
      <c r="H42" s="44"/>
      <c r="I42" s="44"/>
      <c r="J42" s="44"/>
      <c r="K42" s="44"/>
      <c r="L42" s="44"/>
      <c r="M42" s="44"/>
      <c r="N42" s="45"/>
    </row>
    <row r="44" spans="2:14" ht="15.75" thickBot="1" x14ac:dyDescent="0.3"/>
    <row r="45" spans="2:14" ht="131.25" customHeight="1" thickBot="1" x14ac:dyDescent="0.3">
      <c r="B45" s="46" t="s">
        <v>338</v>
      </c>
      <c r="C45" s="47"/>
      <c r="D45" s="47"/>
      <c r="E45" s="47"/>
      <c r="F45" s="47"/>
      <c r="G45" s="47"/>
      <c r="H45" s="47"/>
      <c r="I45" s="47"/>
      <c r="J45" s="47"/>
      <c r="K45" s="47"/>
      <c r="L45" s="47"/>
      <c r="M45" s="47"/>
      <c r="N45" s="48"/>
    </row>
  </sheetData>
  <mergeCells count="6">
    <mergeCell ref="B45:N45"/>
    <mergeCell ref="C3:N3"/>
    <mergeCell ref="D5:E5"/>
    <mergeCell ref="G7:N7"/>
    <mergeCell ref="G24:K24"/>
    <mergeCell ref="G26:N2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DBF86-4234-4961-BAD4-CF5089F4223F}">
  <dimension ref="B1:N45"/>
  <sheetViews>
    <sheetView showGridLines="0" zoomScale="75" zoomScaleNormal="75" workbookViewId="0"/>
  </sheetViews>
  <sheetFormatPr defaultRowHeight="15" x14ac:dyDescent="0.25"/>
  <cols>
    <col min="1" max="1" width="2.85546875" customWidth="1"/>
    <col min="2" max="2" width="3.85546875" customWidth="1"/>
    <col min="3" max="3" width="56"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8" t="s">
        <v>107</v>
      </c>
      <c r="D3" s="59"/>
      <c r="E3" s="59"/>
      <c r="F3" s="59"/>
      <c r="G3" s="59"/>
      <c r="H3" s="59"/>
      <c r="I3" s="59"/>
      <c r="J3" s="59"/>
      <c r="K3" s="59"/>
      <c r="L3" s="59"/>
      <c r="M3" s="59"/>
      <c r="N3" s="60"/>
    </row>
    <row r="4" spans="2:14" ht="15.75" customHeight="1" x14ac:dyDescent="0.25">
      <c r="B4" s="20"/>
      <c r="C4" s="14"/>
      <c r="D4" s="1"/>
      <c r="E4" s="1"/>
      <c r="F4" s="1"/>
      <c r="G4" s="1"/>
      <c r="H4" s="1"/>
      <c r="I4" s="1"/>
      <c r="J4" s="1"/>
      <c r="K4" s="1"/>
      <c r="L4" s="1"/>
      <c r="M4" s="1"/>
      <c r="N4" s="18"/>
    </row>
    <row r="5" spans="2:14" ht="18" customHeight="1" x14ac:dyDescent="0.25">
      <c r="B5" s="20"/>
      <c r="C5" s="15" t="s">
        <v>21</v>
      </c>
      <c r="D5" s="61" t="s">
        <v>273</v>
      </c>
      <c r="E5" s="6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63" t="s">
        <v>17</v>
      </c>
      <c r="H7" s="64"/>
      <c r="I7" s="64"/>
      <c r="J7" s="64"/>
      <c r="K7" s="64"/>
      <c r="L7" s="64"/>
      <c r="M7" s="64"/>
      <c r="N7" s="65"/>
    </row>
    <row r="8" spans="2:14" ht="15" customHeight="1" x14ac:dyDescent="0.25">
      <c r="B8" s="20"/>
      <c r="C8" s="5" t="s">
        <v>117</v>
      </c>
      <c r="D8" s="6" t="s">
        <v>179</v>
      </c>
      <c r="E8" s="11">
        <v>0.57498899999999997</v>
      </c>
      <c r="F8" s="1"/>
      <c r="G8" s="24" t="s">
        <v>16</v>
      </c>
      <c r="H8" s="25">
        <v>1</v>
      </c>
      <c r="I8" s="1"/>
      <c r="J8" s="24" t="s">
        <v>13</v>
      </c>
      <c r="K8" s="24" t="s">
        <v>3</v>
      </c>
      <c r="L8" s="1"/>
      <c r="M8" s="1"/>
      <c r="N8" s="18"/>
    </row>
    <row r="9" spans="2:14" ht="15" customHeight="1" x14ac:dyDescent="0.25">
      <c r="B9" s="20"/>
      <c r="C9" s="5" t="s">
        <v>274</v>
      </c>
      <c r="D9" s="6" t="s">
        <v>179</v>
      </c>
      <c r="E9" s="11">
        <v>0.38468999999999998</v>
      </c>
      <c r="F9" s="1"/>
      <c r="G9" s="1"/>
      <c r="H9" s="1"/>
      <c r="I9" s="1"/>
      <c r="J9" s="24" t="s">
        <v>11</v>
      </c>
      <c r="K9" s="29">
        <v>2.7909E-2</v>
      </c>
      <c r="L9" s="1"/>
      <c r="M9" s="1"/>
      <c r="N9" s="18"/>
    </row>
    <row r="10" spans="2:14" ht="15" customHeight="1" x14ac:dyDescent="0.25">
      <c r="B10" s="20"/>
      <c r="C10" s="5" t="s">
        <v>114</v>
      </c>
      <c r="D10" s="6" t="s">
        <v>179</v>
      </c>
      <c r="E10" s="11">
        <v>2.977E-3</v>
      </c>
      <c r="F10" s="1"/>
      <c r="G10" s="1"/>
      <c r="H10" s="1"/>
      <c r="I10" s="1"/>
      <c r="J10" s="24" t="s">
        <v>14</v>
      </c>
      <c r="K10" s="29">
        <v>9.4350000000000007E-3</v>
      </c>
      <c r="L10" s="1"/>
      <c r="M10" s="1"/>
      <c r="N10" s="18"/>
    </row>
    <row r="11" spans="2:14" ht="15.75" customHeight="1" x14ac:dyDescent="0.25">
      <c r="B11" s="20"/>
      <c r="C11" s="7" t="s">
        <v>53</v>
      </c>
      <c r="D11" s="8"/>
      <c r="E11" s="12">
        <v>0.96265599999999996</v>
      </c>
      <c r="F11" s="1"/>
      <c r="G11" s="1"/>
      <c r="H11" s="1"/>
      <c r="I11" s="1"/>
      <c r="J11" s="24" t="s">
        <v>58</v>
      </c>
      <c r="K11" s="29">
        <v>0.96265599999999996</v>
      </c>
      <c r="L11" s="1"/>
      <c r="M11" s="1"/>
      <c r="N11" s="18"/>
    </row>
    <row r="12" spans="2:14" ht="15" customHeight="1" x14ac:dyDescent="0.25">
      <c r="B12" s="20"/>
      <c r="C12" s="5" t="s">
        <v>9</v>
      </c>
      <c r="D12" s="6"/>
      <c r="E12" s="11">
        <v>9.4350000000000007E-3</v>
      </c>
      <c r="F12" s="1"/>
      <c r="G12" s="1"/>
      <c r="H12" s="1"/>
      <c r="I12" s="1"/>
      <c r="J12" s="1"/>
      <c r="K12" s="1"/>
      <c r="L12" s="1"/>
      <c r="M12" s="1"/>
      <c r="N12" s="18"/>
    </row>
    <row r="13" spans="2:14" ht="15.75" customHeight="1" x14ac:dyDescent="0.25">
      <c r="B13" s="20"/>
      <c r="C13" s="7" t="s">
        <v>10</v>
      </c>
      <c r="D13" s="8"/>
      <c r="E13" s="12">
        <v>9.4350000000000007E-3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11</v>
      </c>
      <c r="D15" s="8"/>
      <c r="E15" s="12">
        <v>2.7909E-2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12</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63" t="s">
        <v>18</v>
      </c>
      <c r="H24" s="64"/>
      <c r="I24" s="64"/>
      <c r="J24" s="64"/>
      <c r="K24" s="64"/>
      <c r="L24" s="26">
        <v>2.8749755449135685</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63" t="s">
        <v>19</v>
      </c>
      <c r="H26" s="64"/>
      <c r="I26" s="64"/>
      <c r="J26" s="64"/>
      <c r="K26" s="64"/>
      <c r="L26" s="64"/>
      <c r="M26" s="64"/>
      <c r="N26" s="6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1.25" customHeight="1" thickBot="1" x14ac:dyDescent="0.3">
      <c r="B45" s="46" t="s">
        <v>338</v>
      </c>
      <c r="C45" s="47"/>
      <c r="D45" s="47"/>
      <c r="E45" s="47"/>
      <c r="F45" s="47"/>
      <c r="G45" s="47"/>
      <c r="H45" s="47"/>
      <c r="I45" s="47"/>
      <c r="J45" s="47"/>
      <c r="K45" s="47"/>
      <c r="L45" s="47"/>
      <c r="M45" s="47"/>
      <c r="N45" s="48"/>
    </row>
  </sheetData>
  <mergeCells count="6">
    <mergeCell ref="B45:N45"/>
    <mergeCell ref="C3:N3"/>
    <mergeCell ref="D5:E5"/>
    <mergeCell ref="G7:N7"/>
    <mergeCell ref="G24:K24"/>
    <mergeCell ref="G26:N2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04133-D772-4C12-955F-41C69769FA24}">
  <dimension ref="B1:N45"/>
  <sheetViews>
    <sheetView showGridLines="0" zoomScale="75" zoomScaleNormal="75" workbookViewId="0"/>
  </sheetViews>
  <sheetFormatPr defaultRowHeight="15" x14ac:dyDescent="0.25"/>
  <cols>
    <col min="1" max="1" width="2.85546875" customWidth="1"/>
    <col min="2" max="2" width="3.85546875" customWidth="1"/>
    <col min="3" max="3" width="56"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8" t="s">
        <v>103</v>
      </c>
      <c r="D3" s="59"/>
      <c r="E3" s="59"/>
      <c r="F3" s="59"/>
      <c r="G3" s="59"/>
      <c r="H3" s="59"/>
      <c r="I3" s="59"/>
      <c r="J3" s="59"/>
      <c r="K3" s="59"/>
      <c r="L3" s="59"/>
      <c r="M3" s="59"/>
      <c r="N3" s="60"/>
    </row>
    <row r="4" spans="2:14" ht="15.75" customHeight="1" x14ac:dyDescent="0.25">
      <c r="B4" s="20"/>
      <c r="C4" s="14"/>
      <c r="D4" s="1"/>
      <c r="E4" s="1"/>
      <c r="F4" s="1"/>
      <c r="G4" s="1"/>
      <c r="H4" s="1"/>
      <c r="I4" s="1"/>
      <c r="J4" s="1"/>
      <c r="K4" s="1"/>
      <c r="L4" s="1"/>
      <c r="M4" s="1"/>
      <c r="N4" s="18"/>
    </row>
    <row r="5" spans="2:14" ht="18" customHeight="1" x14ac:dyDescent="0.25">
      <c r="B5" s="20"/>
      <c r="C5" s="15" t="s">
        <v>21</v>
      </c>
      <c r="D5" s="61" t="s">
        <v>266</v>
      </c>
      <c r="E5" s="6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63" t="s">
        <v>17</v>
      </c>
      <c r="H7" s="64"/>
      <c r="I7" s="64"/>
      <c r="J7" s="64"/>
      <c r="K7" s="64"/>
      <c r="L7" s="64"/>
      <c r="M7" s="64"/>
      <c r="N7" s="65"/>
    </row>
    <row r="8" spans="2:14" ht="15" customHeight="1" x14ac:dyDescent="0.25">
      <c r="B8" s="20"/>
      <c r="C8" s="5" t="s">
        <v>267</v>
      </c>
      <c r="D8" s="6" t="s">
        <v>179</v>
      </c>
      <c r="E8" s="11">
        <v>0.12983900000000001</v>
      </c>
      <c r="F8" s="1"/>
      <c r="G8" s="24" t="s">
        <v>16</v>
      </c>
      <c r="H8" s="25">
        <v>1</v>
      </c>
      <c r="I8" s="1"/>
      <c r="J8" s="24" t="s">
        <v>13</v>
      </c>
      <c r="K8" s="24" t="s">
        <v>3</v>
      </c>
      <c r="L8" s="1"/>
      <c r="M8" s="1"/>
      <c r="N8" s="18"/>
    </row>
    <row r="9" spans="2:14" ht="15.75" customHeight="1" x14ac:dyDescent="0.25">
      <c r="B9" s="20"/>
      <c r="C9" s="7" t="s">
        <v>53</v>
      </c>
      <c r="D9" s="8"/>
      <c r="E9" s="12">
        <v>0.12983900000000001</v>
      </c>
      <c r="F9" s="1"/>
      <c r="G9" s="1"/>
      <c r="H9" s="1"/>
      <c r="I9" s="1"/>
      <c r="J9" s="24" t="s">
        <v>11</v>
      </c>
      <c r="K9" s="29">
        <v>1.6916E-2</v>
      </c>
      <c r="L9" s="1"/>
      <c r="M9" s="1"/>
      <c r="N9" s="18"/>
    </row>
    <row r="10" spans="2:14" ht="15" customHeight="1" x14ac:dyDescent="0.25">
      <c r="B10" s="20"/>
      <c r="C10" s="5" t="s">
        <v>284</v>
      </c>
      <c r="D10" s="6" t="s">
        <v>179</v>
      </c>
      <c r="E10" s="11">
        <v>0.155642</v>
      </c>
      <c r="F10" s="1"/>
      <c r="G10" s="1"/>
      <c r="H10" s="1"/>
      <c r="I10" s="1"/>
      <c r="J10" s="24" t="s">
        <v>14</v>
      </c>
      <c r="K10" s="29">
        <v>1.1965999999999999E-2</v>
      </c>
      <c r="L10" s="1"/>
      <c r="M10" s="1"/>
      <c r="N10" s="18"/>
    </row>
    <row r="11" spans="2:14" ht="15.75" customHeight="1" x14ac:dyDescent="0.25">
      <c r="B11" s="20"/>
      <c r="C11" s="5" t="s">
        <v>279</v>
      </c>
      <c r="D11" s="6" t="s">
        <v>179</v>
      </c>
      <c r="E11" s="11">
        <v>0.13062399999999999</v>
      </c>
      <c r="F11" s="1"/>
      <c r="G11" s="1"/>
      <c r="H11" s="1"/>
      <c r="I11" s="1"/>
      <c r="J11" s="24" t="s">
        <v>58</v>
      </c>
      <c r="K11" s="29">
        <v>0.12983900000000001</v>
      </c>
      <c r="L11" s="1"/>
      <c r="M11" s="1"/>
      <c r="N11" s="18"/>
    </row>
    <row r="12" spans="2:14" ht="15" customHeight="1" x14ac:dyDescent="0.25">
      <c r="B12" s="20"/>
      <c r="C12" s="5" t="s">
        <v>281</v>
      </c>
      <c r="D12" s="6" t="s">
        <v>179</v>
      </c>
      <c r="E12" s="11">
        <v>8.8653999999999997E-2</v>
      </c>
      <c r="F12" s="1"/>
      <c r="G12" s="1"/>
      <c r="H12" s="1"/>
      <c r="I12" s="1"/>
      <c r="J12" s="24" t="s">
        <v>59</v>
      </c>
      <c r="K12" s="29">
        <v>0.841279</v>
      </c>
      <c r="L12" s="1"/>
      <c r="M12" s="1"/>
      <c r="N12" s="18"/>
    </row>
    <row r="13" spans="2:14" ht="15.75" customHeight="1" x14ac:dyDescent="0.25">
      <c r="B13" s="20"/>
      <c r="C13" s="5" t="s">
        <v>287</v>
      </c>
      <c r="D13" s="6" t="s">
        <v>179</v>
      </c>
      <c r="E13" s="11">
        <v>5.4339999999999999E-2</v>
      </c>
      <c r="F13" s="1"/>
      <c r="G13" s="1"/>
      <c r="H13" s="1"/>
      <c r="I13" s="1"/>
      <c r="J13" s="1"/>
      <c r="K13" s="1"/>
      <c r="L13" s="1"/>
      <c r="M13" s="1"/>
      <c r="N13" s="18"/>
    </row>
    <row r="14" spans="2:14" ht="15" customHeight="1" x14ac:dyDescent="0.25">
      <c r="B14" s="20"/>
      <c r="C14" s="5" t="s">
        <v>292</v>
      </c>
      <c r="D14" s="6" t="s">
        <v>179</v>
      </c>
      <c r="E14" s="11">
        <v>4.4422000000000003E-2</v>
      </c>
      <c r="F14" s="1"/>
      <c r="G14" s="1"/>
      <c r="H14" s="1"/>
      <c r="I14" s="1"/>
      <c r="J14" s="1"/>
      <c r="K14" s="1"/>
      <c r="L14" s="1"/>
      <c r="M14" s="1"/>
      <c r="N14" s="18"/>
    </row>
    <row r="15" spans="2:14" ht="15.75" customHeight="1" x14ac:dyDescent="0.25">
      <c r="B15" s="20"/>
      <c r="C15" s="5" t="s">
        <v>277</v>
      </c>
      <c r="D15" s="6" t="s">
        <v>179</v>
      </c>
      <c r="E15" s="11">
        <v>4.4204E-2</v>
      </c>
      <c r="F15" s="1"/>
      <c r="G15" s="1"/>
      <c r="H15" s="1"/>
      <c r="I15" s="1"/>
      <c r="J15" s="1"/>
      <c r="K15" s="1"/>
      <c r="L15" s="1"/>
      <c r="M15" s="1"/>
      <c r="N15" s="18"/>
    </row>
    <row r="16" spans="2:14" ht="15" customHeight="1" x14ac:dyDescent="0.25">
      <c r="B16" s="20"/>
      <c r="C16" s="5" t="s">
        <v>282</v>
      </c>
      <c r="D16" s="6" t="s">
        <v>179</v>
      </c>
      <c r="E16" s="11">
        <v>4.4145999999999998E-2</v>
      </c>
      <c r="F16" s="1"/>
      <c r="G16" s="1"/>
      <c r="H16" s="1"/>
      <c r="I16" s="1"/>
      <c r="J16" s="1"/>
      <c r="K16" s="1"/>
      <c r="L16" s="1"/>
      <c r="M16" s="1"/>
      <c r="N16" s="18"/>
    </row>
    <row r="17" spans="2:14" ht="15" customHeight="1" x14ac:dyDescent="0.25">
      <c r="B17" s="20"/>
      <c r="C17" s="5" t="s">
        <v>276</v>
      </c>
      <c r="D17" s="6" t="s">
        <v>179</v>
      </c>
      <c r="E17" s="11">
        <v>4.4067000000000002E-2</v>
      </c>
      <c r="F17" s="1"/>
      <c r="G17" s="1"/>
      <c r="H17" s="1"/>
      <c r="I17" s="1"/>
      <c r="J17" s="1"/>
      <c r="K17" s="1"/>
      <c r="L17" s="1"/>
      <c r="M17" s="1"/>
      <c r="N17" s="18"/>
    </row>
    <row r="18" spans="2:14" ht="15" customHeight="1" x14ac:dyDescent="0.25">
      <c r="B18" s="20"/>
      <c r="C18" s="5" t="s">
        <v>283</v>
      </c>
      <c r="D18" s="6" t="s">
        <v>179</v>
      </c>
      <c r="E18" s="11">
        <v>3.601E-2</v>
      </c>
      <c r="F18" s="1"/>
      <c r="G18" s="1"/>
      <c r="H18" s="1"/>
      <c r="I18" s="1"/>
      <c r="J18" s="1"/>
      <c r="K18" s="1"/>
      <c r="L18" s="1"/>
      <c r="M18" s="1"/>
      <c r="N18" s="18"/>
    </row>
    <row r="19" spans="2:14" ht="15" customHeight="1" x14ac:dyDescent="0.25">
      <c r="B19" s="20"/>
      <c r="C19" s="5" t="s">
        <v>288</v>
      </c>
      <c r="D19" s="6" t="s">
        <v>179</v>
      </c>
      <c r="E19" s="11">
        <v>3.5733000000000001E-2</v>
      </c>
      <c r="F19" s="1"/>
      <c r="G19" s="1"/>
      <c r="H19" s="1"/>
      <c r="I19" s="1"/>
      <c r="J19" s="1"/>
      <c r="K19" s="1"/>
      <c r="L19" s="1"/>
      <c r="M19" s="1"/>
      <c r="N19" s="18"/>
    </row>
    <row r="20" spans="2:14" ht="15" customHeight="1" x14ac:dyDescent="0.25">
      <c r="B20" s="20"/>
      <c r="C20" s="5" t="s">
        <v>285</v>
      </c>
      <c r="D20" s="6" t="s">
        <v>179</v>
      </c>
      <c r="E20" s="11">
        <v>3.5528999999999998E-2</v>
      </c>
      <c r="F20" s="1"/>
      <c r="G20" s="1"/>
      <c r="H20" s="1"/>
      <c r="I20" s="1"/>
      <c r="J20" s="1"/>
      <c r="K20" s="1"/>
      <c r="L20" s="1"/>
      <c r="M20" s="1"/>
      <c r="N20" s="18"/>
    </row>
    <row r="21" spans="2:14" ht="15" customHeight="1" x14ac:dyDescent="0.25">
      <c r="B21" s="20"/>
      <c r="C21" s="5" t="s">
        <v>224</v>
      </c>
      <c r="D21" s="6" t="s">
        <v>179</v>
      </c>
      <c r="E21" s="11">
        <v>3.1031E-2</v>
      </c>
      <c r="F21" s="1"/>
      <c r="G21" s="1"/>
      <c r="H21" s="1"/>
      <c r="I21" s="1"/>
      <c r="J21" s="1"/>
      <c r="K21" s="1"/>
      <c r="L21" s="1"/>
      <c r="M21" s="1"/>
      <c r="N21" s="18"/>
    </row>
    <row r="22" spans="2:14" ht="15" customHeight="1" x14ac:dyDescent="0.25">
      <c r="B22" s="20"/>
      <c r="C22" s="5" t="s">
        <v>286</v>
      </c>
      <c r="D22" s="6" t="s">
        <v>179</v>
      </c>
      <c r="E22" s="11">
        <v>3.0331E-2</v>
      </c>
      <c r="F22" s="1"/>
      <c r="G22" s="1"/>
      <c r="H22" s="1"/>
      <c r="I22" s="1"/>
      <c r="J22" s="1"/>
      <c r="K22" s="1"/>
      <c r="L22" s="1"/>
      <c r="M22" s="1"/>
      <c r="N22" s="18"/>
    </row>
    <row r="23" spans="2:14" ht="15" customHeight="1" x14ac:dyDescent="0.25">
      <c r="B23" s="20"/>
      <c r="C23" s="5" t="s">
        <v>275</v>
      </c>
      <c r="D23" s="6" t="s">
        <v>179</v>
      </c>
      <c r="E23" s="11">
        <v>2.1708000000000002E-2</v>
      </c>
      <c r="F23" s="1"/>
      <c r="G23" s="1"/>
      <c r="H23" s="1"/>
      <c r="I23" s="1"/>
      <c r="J23" s="1"/>
      <c r="K23" s="1"/>
      <c r="L23" s="1"/>
      <c r="M23" s="1"/>
      <c r="N23" s="18"/>
    </row>
    <row r="24" spans="2:14" ht="15" customHeight="1" x14ac:dyDescent="0.25">
      <c r="B24" s="20"/>
      <c r="C24" s="5" t="s">
        <v>290</v>
      </c>
      <c r="D24" s="6" t="s">
        <v>179</v>
      </c>
      <c r="E24" s="11">
        <v>1.7659000000000001E-2</v>
      </c>
      <c r="F24" s="1"/>
      <c r="G24" s="63" t="s">
        <v>18</v>
      </c>
      <c r="H24" s="64"/>
      <c r="I24" s="64"/>
      <c r="J24" s="64"/>
      <c r="K24" s="64"/>
      <c r="L24" s="26">
        <v>1.7302266437967611</v>
      </c>
      <c r="M24" s="27"/>
      <c r="N24" s="28"/>
    </row>
    <row r="25" spans="2:14" ht="15" customHeight="1" x14ac:dyDescent="0.25">
      <c r="B25" s="20"/>
      <c r="C25" s="5" t="s">
        <v>289</v>
      </c>
      <c r="D25" s="6" t="s">
        <v>179</v>
      </c>
      <c r="E25" s="11">
        <v>8.8319999999999996E-3</v>
      </c>
      <c r="F25" s="1"/>
      <c r="G25" s="1"/>
      <c r="H25" s="1"/>
      <c r="I25" s="1"/>
      <c r="J25" s="1"/>
      <c r="K25" s="1"/>
      <c r="L25" s="1"/>
      <c r="M25" s="1"/>
      <c r="N25" s="18"/>
    </row>
    <row r="26" spans="2:14" ht="15" customHeight="1" x14ac:dyDescent="0.25">
      <c r="B26" s="20"/>
      <c r="C26" s="5" t="s">
        <v>291</v>
      </c>
      <c r="D26" s="6" t="s">
        <v>179</v>
      </c>
      <c r="E26" s="11">
        <v>8.8269999999999998E-3</v>
      </c>
      <c r="F26" s="1"/>
      <c r="G26" s="63" t="s">
        <v>19</v>
      </c>
      <c r="H26" s="64"/>
      <c r="I26" s="64"/>
      <c r="J26" s="64"/>
      <c r="K26" s="64"/>
      <c r="L26" s="64"/>
      <c r="M26" s="64"/>
      <c r="N26" s="65"/>
    </row>
    <row r="27" spans="2:14" ht="15" customHeight="1" x14ac:dyDescent="0.25">
      <c r="B27" s="20"/>
      <c r="C27" s="5" t="s">
        <v>280</v>
      </c>
      <c r="D27" s="6" t="s">
        <v>179</v>
      </c>
      <c r="E27" s="11">
        <v>5.1289999999999999E-3</v>
      </c>
      <c r="F27" s="1"/>
      <c r="G27" s="1"/>
      <c r="H27" s="1"/>
      <c r="I27" s="1"/>
      <c r="J27" s="1"/>
      <c r="K27" s="1"/>
      <c r="L27" s="1"/>
      <c r="M27" s="1"/>
      <c r="N27" s="18"/>
    </row>
    <row r="28" spans="2:14" ht="15" customHeight="1" x14ac:dyDescent="0.25">
      <c r="B28" s="20"/>
      <c r="C28" s="5" t="s">
        <v>278</v>
      </c>
      <c r="D28" s="6" t="s">
        <v>179</v>
      </c>
      <c r="E28" s="11">
        <v>4.3909999999999999E-3</v>
      </c>
      <c r="F28" s="1"/>
      <c r="G28" s="1"/>
      <c r="H28" s="1"/>
      <c r="I28" s="1"/>
      <c r="J28" s="1"/>
      <c r="K28" s="1"/>
      <c r="L28" s="1"/>
      <c r="M28" s="1"/>
      <c r="N28" s="18"/>
    </row>
    <row r="29" spans="2:14" ht="15" customHeight="1" x14ac:dyDescent="0.25">
      <c r="B29" s="20"/>
      <c r="C29" s="7" t="s">
        <v>54</v>
      </c>
      <c r="D29" s="8"/>
      <c r="E29" s="12">
        <v>0.841279</v>
      </c>
      <c r="F29" s="1"/>
      <c r="G29" s="1"/>
      <c r="H29" s="1"/>
      <c r="I29" s="1"/>
      <c r="J29" s="1"/>
      <c r="K29" s="1"/>
      <c r="L29" s="1"/>
      <c r="M29" s="1"/>
      <c r="N29" s="18"/>
    </row>
    <row r="30" spans="2:14" ht="15" customHeight="1" x14ac:dyDescent="0.25">
      <c r="B30" s="20"/>
      <c r="C30" s="5" t="s">
        <v>9</v>
      </c>
      <c r="D30" s="6"/>
      <c r="E30" s="11">
        <v>1.1965999999999999E-2</v>
      </c>
      <c r="F30" s="1"/>
      <c r="G30" s="1"/>
      <c r="H30" s="1"/>
      <c r="I30" s="1"/>
      <c r="J30" s="1"/>
      <c r="K30" s="1"/>
      <c r="L30" s="1"/>
      <c r="M30" s="1"/>
      <c r="N30" s="18"/>
    </row>
    <row r="31" spans="2:14" ht="15" customHeight="1" x14ac:dyDescent="0.25">
      <c r="B31" s="20"/>
      <c r="C31" s="7" t="s">
        <v>10</v>
      </c>
      <c r="D31" s="8"/>
      <c r="E31" s="12">
        <v>1.1965999999999999E-2</v>
      </c>
      <c r="F31" s="1"/>
      <c r="G31" s="1"/>
      <c r="H31" s="1"/>
      <c r="I31" s="1"/>
      <c r="J31" s="1"/>
      <c r="K31" s="1"/>
      <c r="L31" s="1"/>
      <c r="M31" s="1"/>
      <c r="N31" s="18"/>
    </row>
    <row r="32" spans="2:14" ht="15" customHeight="1" x14ac:dyDescent="0.25">
      <c r="B32" s="20"/>
      <c r="C32" s="5"/>
      <c r="D32" s="6"/>
      <c r="E32" s="11"/>
      <c r="F32" s="1"/>
      <c r="G32" s="1"/>
      <c r="H32" s="1"/>
      <c r="I32" s="1"/>
      <c r="J32" s="1"/>
      <c r="K32" s="1"/>
      <c r="L32" s="1"/>
      <c r="M32" s="1"/>
      <c r="N32" s="18"/>
    </row>
    <row r="33" spans="2:14" ht="15" customHeight="1" x14ac:dyDescent="0.25">
      <c r="B33" s="20"/>
      <c r="C33" s="7" t="s">
        <v>11</v>
      </c>
      <c r="D33" s="8"/>
      <c r="E33" s="12">
        <v>1.6916E-2</v>
      </c>
      <c r="F33" s="1"/>
      <c r="G33" s="1"/>
      <c r="H33" s="1"/>
      <c r="I33" s="1"/>
      <c r="J33" s="1"/>
      <c r="K33" s="1"/>
      <c r="L33" s="1"/>
      <c r="M33" s="1"/>
      <c r="N33" s="18"/>
    </row>
    <row r="34" spans="2:14" ht="15" customHeight="1" x14ac:dyDescent="0.25">
      <c r="B34" s="20"/>
      <c r="C34" s="5"/>
      <c r="D34" s="6"/>
      <c r="E34" s="11"/>
      <c r="F34" s="1"/>
      <c r="G34" s="1"/>
      <c r="H34" s="1"/>
      <c r="I34" s="1"/>
      <c r="J34" s="1"/>
      <c r="K34" s="1"/>
      <c r="L34" s="1"/>
      <c r="M34" s="1"/>
      <c r="N34" s="18"/>
    </row>
    <row r="35" spans="2:14" ht="15" customHeight="1" x14ac:dyDescent="0.25">
      <c r="B35" s="20"/>
      <c r="C35" s="9" t="s">
        <v>12</v>
      </c>
      <c r="D35" s="10"/>
      <c r="E35" s="13">
        <v>1</v>
      </c>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F38" s="1"/>
      <c r="G38" s="1"/>
      <c r="H38" s="1"/>
      <c r="I38" s="1"/>
      <c r="J38" s="1"/>
      <c r="K38" s="1"/>
      <c r="L38" s="1"/>
      <c r="M38" s="1"/>
      <c r="N38" s="18"/>
    </row>
    <row r="39" spans="2:14" ht="15" customHeight="1" x14ac:dyDescent="0.25">
      <c r="B39" s="20"/>
      <c r="F39" s="1"/>
      <c r="G39" s="1"/>
      <c r="H39" s="1"/>
      <c r="I39" s="1"/>
      <c r="J39" s="1"/>
      <c r="K39" s="1"/>
      <c r="L39" s="1"/>
      <c r="M39" s="1"/>
      <c r="N39" s="18"/>
    </row>
    <row r="40" spans="2:14" ht="15" customHeight="1" x14ac:dyDescent="0.25">
      <c r="B40" s="20"/>
      <c r="F40" s="1"/>
      <c r="G40" s="1"/>
      <c r="H40" s="1"/>
      <c r="I40" s="1"/>
      <c r="J40" s="1"/>
      <c r="K40" s="1"/>
      <c r="L40" s="1"/>
      <c r="M40" s="1"/>
      <c r="N40" s="18"/>
    </row>
    <row r="41" spans="2:14" ht="15" customHeight="1" x14ac:dyDescent="0.25">
      <c r="B41" s="20"/>
      <c r="F41" s="1"/>
      <c r="G41" s="1"/>
      <c r="H41" s="1"/>
      <c r="I41" s="1"/>
      <c r="J41" s="1"/>
      <c r="K41" s="1"/>
      <c r="L41" s="1"/>
      <c r="M41" s="1"/>
      <c r="N41" s="18"/>
    </row>
    <row r="42" spans="2:14" ht="15" customHeight="1" x14ac:dyDescent="0.25">
      <c r="B42" s="20"/>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6.75" customHeight="1" thickBot="1" x14ac:dyDescent="0.3">
      <c r="B45" s="46" t="s">
        <v>338</v>
      </c>
      <c r="C45" s="47"/>
      <c r="D45" s="47"/>
      <c r="E45" s="47"/>
      <c r="F45" s="47"/>
      <c r="G45" s="47"/>
      <c r="H45" s="47"/>
      <c r="I45" s="47"/>
      <c r="J45" s="47"/>
      <c r="K45" s="47"/>
      <c r="L45" s="47"/>
      <c r="M45" s="47"/>
      <c r="N45" s="48"/>
    </row>
  </sheetData>
  <sortState ref="C10:E28">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D81B-767E-49F3-BB3C-DD17900E8BCB}">
  <dimension ref="B1:N45"/>
  <sheetViews>
    <sheetView showGridLines="0" zoomScale="75" zoomScaleNormal="75" workbookViewId="0"/>
  </sheetViews>
  <sheetFormatPr defaultRowHeight="15" x14ac:dyDescent="0.25"/>
  <cols>
    <col min="1" max="1" width="2.85546875" customWidth="1"/>
    <col min="2" max="2" width="3.85546875" customWidth="1"/>
    <col min="3" max="3" width="56"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8" t="s">
        <v>104</v>
      </c>
      <c r="D3" s="59"/>
      <c r="E3" s="59"/>
      <c r="F3" s="59"/>
      <c r="G3" s="59"/>
      <c r="H3" s="59"/>
      <c r="I3" s="59"/>
      <c r="J3" s="59"/>
      <c r="K3" s="59"/>
      <c r="L3" s="59"/>
      <c r="M3" s="59"/>
      <c r="N3" s="60"/>
    </row>
    <row r="4" spans="2:14" ht="15.75" customHeight="1" x14ac:dyDescent="0.25">
      <c r="B4" s="20"/>
      <c r="C4" s="14"/>
      <c r="D4" s="1"/>
      <c r="E4" s="1"/>
      <c r="F4" s="1"/>
      <c r="G4" s="1"/>
      <c r="H4" s="1"/>
      <c r="I4" s="1"/>
      <c r="J4" s="1"/>
      <c r="K4" s="1"/>
      <c r="L4" s="1"/>
      <c r="M4" s="1"/>
      <c r="N4" s="18"/>
    </row>
    <row r="5" spans="2:14" ht="18" customHeight="1" x14ac:dyDescent="0.25">
      <c r="B5" s="20"/>
      <c r="C5" s="15" t="s">
        <v>21</v>
      </c>
      <c r="D5" s="61" t="s">
        <v>105</v>
      </c>
      <c r="E5" s="6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63" t="s">
        <v>17</v>
      </c>
      <c r="H7" s="64"/>
      <c r="I7" s="64"/>
      <c r="J7" s="64"/>
      <c r="K7" s="64"/>
      <c r="L7" s="64"/>
      <c r="M7" s="64"/>
      <c r="N7" s="65"/>
    </row>
    <row r="8" spans="2:14" ht="15" customHeight="1" x14ac:dyDescent="0.25">
      <c r="B8" s="20"/>
      <c r="C8" s="5" t="s">
        <v>114</v>
      </c>
      <c r="D8" s="6" t="s">
        <v>179</v>
      </c>
      <c r="E8" s="11">
        <v>6.2842999999999996E-2</v>
      </c>
      <c r="F8" s="1"/>
      <c r="G8" s="24" t="s">
        <v>16</v>
      </c>
      <c r="H8" s="25">
        <v>1</v>
      </c>
      <c r="I8" s="1"/>
      <c r="J8" s="24" t="s">
        <v>13</v>
      </c>
      <c r="K8" s="24" t="s">
        <v>3</v>
      </c>
      <c r="L8" s="1"/>
      <c r="M8" s="1"/>
      <c r="N8" s="18"/>
    </row>
    <row r="9" spans="2:14" ht="15.75" customHeight="1" x14ac:dyDescent="0.25">
      <c r="B9" s="20"/>
      <c r="C9" s="7" t="s">
        <v>53</v>
      </c>
      <c r="D9" s="8"/>
      <c r="E9" s="12">
        <v>6.2842999999999996E-2</v>
      </c>
      <c r="F9" s="1"/>
      <c r="G9" s="1"/>
      <c r="H9" s="1"/>
      <c r="I9" s="1"/>
      <c r="J9" s="24" t="s">
        <v>11</v>
      </c>
      <c r="K9" s="29">
        <v>2.4381E-2</v>
      </c>
      <c r="L9" s="1"/>
      <c r="M9" s="1"/>
      <c r="N9" s="18"/>
    </row>
    <row r="10" spans="2:14" ht="15" customHeight="1" x14ac:dyDescent="0.25">
      <c r="B10" s="20"/>
      <c r="C10" s="5" t="s">
        <v>207</v>
      </c>
      <c r="D10" s="6" t="s">
        <v>179</v>
      </c>
      <c r="E10" s="11">
        <v>0.194297</v>
      </c>
      <c r="F10" s="1"/>
      <c r="G10" s="1"/>
      <c r="H10" s="1"/>
      <c r="I10" s="1"/>
      <c r="J10" s="24" t="s">
        <v>14</v>
      </c>
      <c r="K10" s="29">
        <v>2.1271000000000002E-2</v>
      </c>
      <c r="L10" s="1"/>
      <c r="M10" s="1"/>
      <c r="N10" s="18"/>
    </row>
    <row r="11" spans="2:14" ht="15.75" customHeight="1" x14ac:dyDescent="0.25">
      <c r="B11" s="20"/>
      <c r="C11" s="5" t="s">
        <v>262</v>
      </c>
      <c r="D11" s="6" t="s">
        <v>179</v>
      </c>
      <c r="E11" s="11">
        <v>0.16997799999999999</v>
      </c>
      <c r="F11" s="1"/>
      <c r="G11" s="1"/>
      <c r="H11" s="1"/>
      <c r="I11" s="1"/>
      <c r="J11" s="24" t="s">
        <v>58</v>
      </c>
      <c r="K11" s="29">
        <v>6.2842999999999996E-2</v>
      </c>
      <c r="L11" s="1"/>
      <c r="M11" s="1"/>
      <c r="N11" s="18"/>
    </row>
    <row r="12" spans="2:14" ht="15" customHeight="1" x14ac:dyDescent="0.25">
      <c r="B12" s="20"/>
      <c r="C12" s="5" t="s">
        <v>294</v>
      </c>
      <c r="D12" s="6" t="s">
        <v>179</v>
      </c>
      <c r="E12" s="11">
        <v>0.146922</v>
      </c>
      <c r="F12" s="1"/>
      <c r="G12" s="1"/>
      <c r="H12" s="1"/>
      <c r="I12" s="1"/>
      <c r="J12" s="24" t="s">
        <v>59</v>
      </c>
      <c r="K12" s="29">
        <v>0.89150499999999999</v>
      </c>
      <c r="L12" s="1"/>
      <c r="M12" s="1"/>
      <c r="N12" s="18"/>
    </row>
    <row r="13" spans="2:14" ht="15.75" customHeight="1" x14ac:dyDescent="0.25">
      <c r="B13" s="20"/>
      <c r="C13" s="5" t="s">
        <v>300</v>
      </c>
      <c r="D13" s="6" t="s">
        <v>179</v>
      </c>
      <c r="E13" s="11">
        <v>0.13381299999999999</v>
      </c>
      <c r="F13" s="1"/>
      <c r="G13" s="1"/>
      <c r="H13" s="1"/>
      <c r="I13" s="1"/>
      <c r="J13" s="1"/>
      <c r="K13" s="1"/>
      <c r="L13" s="1"/>
      <c r="M13" s="1"/>
      <c r="N13" s="18"/>
    </row>
    <row r="14" spans="2:14" ht="15" customHeight="1" x14ac:dyDescent="0.25">
      <c r="B14" s="20"/>
      <c r="C14" s="5" t="s">
        <v>298</v>
      </c>
      <c r="D14" s="6" t="s">
        <v>179</v>
      </c>
      <c r="E14" s="11">
        <v>6.6878000000000007E-2</v>
      </c>
      <c r="F14" s="1"/>
      <c r="G14" s="1"/>
      <c r="H14" s="1"/>
      <c r="I14" s="1"/>
      <c r="J14" s="1"/>
      <c r="K14" s="1"/>
      <c r="L14" s="1"/>
      <c r="M14" s="1"/>
      <c r="N14" s="18"/>
    </row>
    <row r="15" spans="2:14" ht="15.75" customHeight="1" x14ac:dyDescent="0.25">
      <c r="B15" s="20"/>
      <c r="C15" s="5" t="s">
        <v>296</v>
      </c>
      <c r="D15" s="6" t="s">
        <v>179</v>
      </c>
      <c r="E15" s="11">
        <v>6.5269999999999995E-2</v>
      </c>
      <c r="F15" s="1"/>
      <c r="G15" s="1"/>
      <c r="H15" s="1"/>
      <c r="I15" s="1"/>
      <c r="J15" s="1"/>
      <c r="K15" s="1"/>
      <c r="L15" s="1"/>
      <c r="M15" s="1"/>
      <c r="N15" s="18"/>
    </row>
    <row r="16" spans="2:14" ht="15" customHeight="1" x14ac:dyDescent="0.25">
      <c r="B16" s="20"/>
      <c r="C16" s="5" t="s">
        <v>297</v>
      </c>
      <c r="D16" s="6" t="s">
        <v>179</v>
      </c>
      <c r="E16" s="11">
        <v>4.0145E-2</v>
      </c>
      <c r="F16" s="1"/>
      <c r="G16" s="1"/>
      <c r="H16" s="1"/>
      <c r="I16" s="1"/>
      <c r="J16" s="1"/>
      <c r="K16" s="1"/>
      <c r="L16" s="1"/>
      <c r="M16" s="1"/>
      <c r="N16" s="18"/>
    </row>
    <row r="17" spans="2:14" ht="15" customHeight="1" x14ac:dyDescent="0.25">
      <c r="B17" s="20"/>
      <c r="C17" s="5" t="s">
        <v>225</v>
      </c>
      <c r="D17" s="6" t="s">
        <v>179</v>
      </c>
      <c r="E17" s="11">
        <v>3.3411000000000003E-2</v>
      </c>
      <c r="F17" s="1"/>
      <c r="G17" s="1"/>
      <c r="H17" s="1"/>
      <c r="I17" s="1"/>
      <c r="J17" s="1"/>
      <c r="K17" s="1"/>
      <c r="L17" s="1"/>
      <c r="M17" s="1"/>
      <c r="N17" s="18"/>
    </row>
    <row r="18" spans="2:14" ht="15" customHeight="1" x14ac:dyDescent="0.25">
      <c r="B18" s="20"/>
      <c r="C18" s="5" t="s">
        <v>299</v>
      </c>
      <c r="D18" s="6" t="s">
        <v>179</v>
      </c>
      <c r="E18" s="11">
        <v>3.0001E-2</v>
      </c>
      <c r="F18" s="1"/>
      <c r="G18" s="1"/>
      <c r="H18" s="1"/>
      <c r="I18" s="1"/>
      <c r="J18" s="1"/>
      <c r="K18" s="1"/>
      <c r="L18" s="1"/>
      <c r="M18" s="1"/>
      <c r="N18" s="18"/>
    </row>
    <row r="19" spans="2:14" ht="15" customHeight="1" x14ac:dyDescent="0.25">
      <c r="B19" s="20"/>
      <c r="C19" s="5" t="s">
        <v>293</v>
      </c>
      <c r="D19" s="6" t="s">
        <v>179</v>
      </c>
      <c r="E19" s="11">
        <v>6.7260000000000002E-3</v>
      </c>
      <c r="F19" s="1"/>
      <c r="G19" s="1"/>
      <c r="H19" s="1"/>
      <c r="I19" s="1"/>
      <c r="J19" s="1"/>
      <c r="K19" s="1"/>
      <c r="L19" s="1"/>
      <c r="M19" s="1"/>
      <c r="N19" s="18"/>
    </row>
    <row r="20" spans="2:14" ht="15" customHeight="1" x14ac:dyDescent="0.25">
      <c r="B20" s="20"/>
      <c r="C20" s="5" t="s">
        <v>295</v>
      </c>
      <c r="D20" s="6" t="s">
        <v>179</v>
      </c>
      <c r="E20" s="11">
        <v>4.0639999999999999E-3</v>
      </c>
      <c r="F20" s="1"/>
      <c r="G20" s="1"/>
      <c r="H20" s="1"/>
      <c r="I20" s="1"/>
      <c r="J20" s="1"/>
      <c r="K20" s="1"/>
      <c r="L20" s="1"/>
      <c r="M20" s="1"/>
      <c r="N20" s="18"/>
    </row>
    <row r="21" spans="2:14" ht="15" customHeight="1" x14ac:dyDescent="0.25">
      <c r="B21" s="20"/>
      <c r="C21" s="7" t="s">
        <v>54</v>
      </c>
      <c r="D21" s="8"/>
      <c r="E21" s="12">
        <v>0.89150499999999999</v>
      </c>
      <c r="F21" s="1"/>
      <c r="G21" s="1"/>
      <c r="H21" s="1"/>
      <c r="I21" s="1"/>
      <c r="J21" s="1"/>
      <c r="K21" s="1"/>
      <c r="L21" s="1"/>
      <c r="M21" s="1"/>
      <c r="N21" s="18"/>
    </row>
    <row r="22" spans="2:14" ht="15" customHeight="1" x14ac:dyDescent="0.25">
      <c r="B22" s="20"/>
      <c r="C22" s="5" t="s">
        <v>9</v>
      </c>
      <c r="D22" s="6"/>
      <c r="E22" s="11">
        <v>2.1271000000000002E-2</v>
      </c>
      <c r="F22" s="1"/>
      <c r="G22" s="1"/>
      <c r="H22" s="1"/>
      <c r="I22" s="1"/>
      <c r="J22" s="1"/>
      <c r="K22" s="1"/>
      <c r="L22" s="1"/>
      <c r="M22" s="1"/>
      <c r="N22" s="18"/>
    </row>
    <row r="23" spans="2:14" ht="15" customHeight="1" x14ac:dyDescent="0.25">
      <c r="B23" s="20"/>
      <c r="C23" s="7" t="s">
        <v>10</v>
      </c>
      <c r="D23" s="8"/>
      <c r="E23" s="12">
        <v>2.1271000000000002E-2</v>
      </c>
      <c r="F23" s="1"/>
      <c r="G23" s="1"/>
      <c r="H23" s="1"/>
      <c r="I23" s="1"/>
      <c r="J23" s="1"/>
      <c r="K23" s="1"/>
      <c r="L23" s="1"/>
      <c r="M23" s="1"/>
      <c r="N23" s="18"/>
    </row>
    <row r="24" spans="2:14" ht="15" customHeight="1" x14ac:dyDescent="0.25">
      <c r="B24" s="20"/>
      <c r="C24" s="5"/>
      <c r="D24" s="6"/>
      <c r="E24" s="11"/>
      <c r="F24" s="1"/>
      <c r="G24" s="63" t="s">
        <v>18</v>
      </c>
      <c r="H24" s="64"/>
      <c r="I24" s="64"/>
      <c r="J24" s="64"/>
      <c r="K24" s="64"/>
      <c r="L24" s="26">
        <v>2.5491093178678819</v>
      </c>
      <c r="M24" s="27"/>
      <c r="N24" s="28"/>
    </row>
    <row r="25" spans="2:14" ht="15" customHeight="1" x14ac:dyDescent="0.25">
      <c r="B25" s="20"/>
      <c r="C25" s="7" t="s">
        <v>11</v>
      </c>
      <c r="D25" s="8"/>
      <c r="E25" s="12">
        <v>2.4381E-2</v>
      </c>
      <c r="F25" s="1"/>
      <c r="G25" s="1"/>
      <c r="H25" s="1"/>
      <c r="I25" s="1"/>
      <c r="J25" s="1"/>
      <c r="K25" s="1"/>
      <c r="L25" s="1"/>
      <c r="M25" s="1"/>
      <c r="N25" s="18"/>
    </row>
    <row r="26" spans="2:14" ht="15" customHeight="1" x14ac:dyDescent="0.25">
      <c r="B26" s="20"/>
      <c r="C26" s="5"/>
      <c r="D26" s="6"/>
      <c r="E26" s="11"/>
      <c r="F26" s="1"/>
      <c r="G26" s="63" t="s">
        <v>19</v>
      </c>
      <c r="H26" s="64"/>
      <c r="I26" s="64"/>
      <c r="J26" s="64"/>
      <c r="K26" s="64"/>
      <c r="L26" s="64"/>
      <c r="M26" s="64"/>
      <c r="N26" s="65"/>
    </row>
    <row r="27" spans="2:14" ht="15" customHeight="1" x14ac:dyDescent="0.25">
      <c r="B27" s="20"/>
      <c r="C27" s="9" t="s">
        <v>12</v>
      </c>
      <c r="D27" s="10"/>
      <c r="E27" s="13">
        <v>1</v>
      </c>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F34" s="1"/>
      <c r="G34" s="1"/>
      <c r="H34" s="1"/>
      <c r="I34" s="1"/>
      <c r="J34" s="1"/>
      <c r="K34" s="1"/>
      <c r="L34" s="1"/>
      <c r="M34" s="1"/>
      <c r="N34" s="18"/>
    </row>
    <row r="35" spans="2:14" ht="15" customHeight="1" x14ac:dyDescent="0.25">
      <c r="B35" s="20"/>
      <c r="F35" s="1"/>
      <c r="G35" s="1"/>
      <c r="H35" s="1"/>
      <c r="I35" s="1"/>
      <c r="J35" s="1"/>
      <c r="K35" s="1"/>
      <c r="L35" s="1"/>
      <c r="M35" s="1"/>
      <c r="N35" s="18"/>
    </row>
    <row r="36" spans="2:14" ht="15" customHeight="1" x14ac:dyDescent="0.25">
      <c r="B36" s="20"/>
      <c r="F36" s="1"/>
      <c r="G36" s="1"/>
      <c r="H36" s="1"/>
      <c r="I36" s="1"/>
      <c r="J36" s="1"/>
      <c r="K36" s="1"/>
      <c r="L36" s="1"/>
      <c r="M36" s="1"/>
      <c r="N36" s="18"/>
    </row>
    <row r="37" spans="2:14" ht="15" customHeight="1" x14ac:dyDescent="0.25">
      <c r="B37" s="20"/>
      <c r="F37" s="1"/>
      <c r="G37" s="1"/>
      <c r="H37" s="1"/>
      <c r="I37" s="1"/>
      <c r="J37" s="1"/>
      <c r="K37" s="1"/>
      <c r="L37" s="1"/>
      <c r="M37" s="1"/>
      <c r="N37" s="18"/>
    </row>
    <row r="38" spans="2:14" ht="15" customHeight="1" x14ac:dyDescent="0.25">
      <c r="B38" s="20"/>
      <c r="F38" s="1"/>
      <c r="G38" s="1"/>
      <c r="H38" s="1"/>
      <c r="I38" s="1"/>
      <c r="J38" s="1"/>
      <c r="K38" s="1"/>
      <c r="L38" s="1"/>
      <c r="M38" s="1"/>
      <c r="N38" s="18"/>
    </row>
    <row r="39" spans="2:14" ht="15" customHeight="1" x14ac:dyDescent="0.25">
      <c r="B39" s="20"/>
      <c r="F39" s="1"/>
      <c r="G39" s="1"/>
      <c r="H39" s="1"/>
      <c r="I39" s="1"/>
      <c r="J39" s="1"/>
      <c r="K39" s="1"/>
      <c r="L39" s="1"/>
      <c r="M39" s="1"/>
      <c r="N39" s="18"/>
    </row>
    <row r="40" spans="2:14" ht="15" customHeight="1" x14ac:dyDescent="0.25">
      <c r="B40" s="20"/>
      <c r="F40" s="1"/>
      <c r="G40" s="1"/>
      <c r="H40" s="1"/>
      <c r="I40" s="1"/>
      <c r="J40" s="1"/>
      <c r="K40" s="1"/>
      <c r="L40" s="1"/>
      <c r="M40" s="1"/>
      <c r="N40" s="18"/>
    </row>
    <row r="41" spans="2:14" ht="15" customHeight="1" x14ac:dyDescent="0.25">
      <c r="B41" s="20"/>
      <c r="F41" s="1"/>
      <c r="G41" s="1"/>
      <c r="H41" s="1"/>
      <c r="I41" s="1"/>
      <c r="J41" s="1"/>
      <c r="K41" s="1"/>
      <c r="L41" s="1"/>
      <c r="M41" s="1"/>
      <c r="N41" s="18"/>
    </row>
    <row r="42" spans="2:14" ht="15" customHeight="1" x14ac:dyDescent="0.25">
      <c r="B42" s="20"/>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5" customHeight="1" thickBot="1" x14ac:dyDescent="0.3">
      <c r="B45" s="46" t="s">
        <v>338</v>
      </c>
      <c r="C45" s="47"/>
      <c r="D45" s="47"/>
      <c r="E45" s="47"/>
      <c r="F45" s="47"/>
      <c r="G45" s="47"/>
      <c r="H45" s="47"/>
      <c r="I45" s="47"/>
      <c r="J45" s="47"/>
      <c r="K45" s="47"/>
      <c r="L45" s="47"/>
      <c r="M45" s="47"/>
      <c r="N45" s="48"/>
    </row>
  </sheetData>
  <sortState ref="C10:E20">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EAF27-01B4-4463-AD1B-F171FCC1FBDA}">
  <dimension ref="B1:N50"/>
  <sheetViews>
    <sheetView showGridLines="0" zoomScale="75" zoomScaleNormal="75" workbookViewId="0"/>
  </sheetViews>
  <sheetFormatPr defaultRowHeight="15" x14ac:dyDescent="0.25"/>
  <cols>
    <col min="1" max="1" width="2.85546875" customWidth="1"/>
    <col min="2" max="2" width="3.85546875" customWidth="1"/>
    <col min="3" max="3" width="50"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8" t="s">
        <v>102</v>
      </c>
      <c r="D3" s="59"/>
      <c r="E3" s="59"/>
      <c r="F3" s="59"/>
      <c r="G3" s="59"/>
      <c r="H3" s="59"/>
      <c r="I3" s="59"/>
      <c r="J3" s="59"/>
      <c r="K3" s="59"/>
      <c r="L3" s="59"/>
      <c r="M3" s="59"/>
      <c r="N3" s="60"/>
    </row>
    <row r="4" spans="2:14" ht="15.75" customHeight="1" x14ac:dyDescent="0.25">
      <c r="B4" s="20"/>
      <c r="C4" s="14"/>
      <c r="D4" s="1"/>
      <c r="E4" s="1"/>
      <c r="F4" s="1"/>
      <c r="G4" s="1"/>
      <c r="H4" s="1"/>
      <c r="I4" s="1"/>
      <c r="J4" s="1"/>
      <c r="K4" s="1"/>
      <c r="L4" s="1"/>
      <c r="M4" s="1"/>
      <c r="N4" s="18"/>
    </row>
    <row r="5" spans="2:14" ht="18" customHeight="1" x14ac:dyDescent="0.25">
      <c r="B5" s="20"/>
      <c r="C5" s="15" t="s">
        <v>21</v>
      </c>
      <c r="D5" s="61" t="s">
        <v>332</v>
      </c>
      <c r="E5" s="6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63" t="s">
        <v>17</v>
      </c>
      <c r="H7" s="64"/>
      <c r="I7" s="64"/>
      <c r="J7" s="64"/>
      <c r="K7" s="64"/>
      <c r="L7" s="64"/>
      <c r="M7" s="64"/>
      <c r="N7" s="65"/>
    </row>
    <row r="8" spans="2:14" ht="15" customHeight="1" x14ac:dyDescent="0.25">
      <c r="B8" s="20"/>
      <c r="C8" s="5" t="s">
        <v>78</v>
      </c>
      <c r="D8" s="6" t="s">
        <v>179</v>
      </c>
      <c r="E8" s="11">
        <v>0.100184</v>
      </c>
      <c r="F8" s="1"/>
      <c r="G8" s="24" t="s">
        <v>16</v>
      </c>
      <c r="H8" s="25">
        <v>1</v>
      </c>
      <c r="I8" s="1"/>
      <c r="J8" s="24" t="s">
        <v>13</v>
      </c>
      <c r="K8" s="24" t="s">
        <v>3</v>
      </c>
      <c r="L8" s="1"/>
      <c r="M8" s="1"/>
      <c r="N8" s="18"/>
    </row>
    <row r="9" spans="2:14" ht="15" customHeight="1" x14ac:dyDescent="0.25">
      <c r="B9" s="20"/>
      <c r="C9" s="5" t="s">
        <v>110</v>
      </c>
      <c r="D9" s="6" t="s">
        <v>179</v>
      </c>
      <c r="E9" s="11">
        <v>8.8249999999999995E-3</v>
      </c>
      <c r="F9" s="1"/>
      <c r="G9" s="1"/>
      <c r="H9" s="1"/>
      <c r="I9" s="1"/>
      <c r="J9" s="24" t="s">
        <v>11</v>
      </c>
      <c r="K9" s="29">
        <v>2.3143E-2</v>
      </c>
      <c r="L9" s="1"/>
      <c r="M9" s="1"/>
      <c r="N9" s="18"/>
    </row>
    <row r="10" spans="2:14" ht="15.75" customHeight="1" x14ac:dyDescent="0.25">
      <c r="B10" s="20"/>
      <c r="C10" s="7" t="s">
        <v>53</v>
      </c>
      <c r="D10" s="8"/>
      <c r="E10" s="12">
        <v>0.10900899999999999</v>
      </c>
      <c r="F10" s="1"/>
      <c r="G10" s="1"/>
      <c r="H10" s="1"/>
      <c r="I10" s="1"/>
      <c r="J10" s="24" t="s">
        <v>14</v>
      </c>
      <c r="K10" s="29">
        <v>4.3530000000000001E-3</v>
      </c>
      <c r="L10" s="1"/>
      <c r="M10" s="1"/>
      <c r="N10" s="18"/>
    </row>
    <row r="11" spans="2:14" ht="15" customHeight="1" x14ac:dyDescent="0.25">
      <c r="B11" s="20"/>
      <c r="C11" s="5" t="s">
        <v>303</v>
      </c>
      <c r="D11" s="6" t="s">
        <v>179</v>
      </c>
      <c r="E11" s="11">
        <v>0.18460599999999999</v>
      </c>
      <c r="F11" s="1"/>
      <c r="G11" s="1"/>
      <c r="H11" s="1"/>
      <c r="I11" s="1"/>
      <c r="J11" s="24" t="s">
        <v>58</v>
      </c>
      <c r="K11" s="29">
        <v>0.10900899999999999</v>
      </c>
      <c r="L11" s="1"/>
      <c r="M11" s="1"/>
      <c r="N11" s="18"/>
    </row>
    <row r="12" spans="2:14" ht="15.75" customHeight="1" x14ac:dyDescent="0.25">
      <c r="B12" s="20"/>
      <c r="C12" s="5" t="s">
        <v>327</v>
      </c>
      <c r="D12" s="6" t="s">
        <v>179</v>
      </c>
      <c r="E12" s="11">
        <v>9.4591999999999996E-2</v>
      </c>
      <c r="F12" s="1"/>
      <c r="G12" s="1"/>
      <c r="H12" s="1"/>
      <c r="I12" s="1"/>
      <c r="J12" s="24" t="s">
        <v>59</v>
      </c>
      <c r="K12" s="29">
        <v>0.86349500000000001</v>
      </c>
      <c r="L12" s="1"/>
      <c r="M12" s="1"/>
      <c r="N12" s="18"/>
    </row>
    <row r="13" spans="2:14" ht="15" customHeight="1" x14ac:dyDescent="0.25">
      <c r="B13" s="20"/>
      <c r="C13" s="5" t="s">
        <v>326</v>
      </c>
      <c r="D13" s="6" t="s">
        <v>179</v>
      </c>
      <c r="E13" s="11">
        <v>9.4590999999999995E-2</v>
      </c>
      <c r="F13" s="1"/>
      <c r="G13" s="1"/>
      <c r="H13" s="1"/>
      <c r="I13" s="1"/>
      <c r="J13" s="1"/>
      <c r="K13" s="1"/>
      <c r="L13" s="1"/>
      <c r="M13" s="1"/>
      <c r="N13" s="18"/>
    </row>
    <row r="14" spans="2:14" ht="15.75" customHeight="1" x14ac:dyDescent="0.25">
      <c r="B14" s="20"/>
      <c r="C14" s="5" t="s">
        <v>324</v>
      </c>
      <c r="D14" s="6" t="s">
        <v>179</v>
      </c>
      <c r="E14" s="11">
        <v>7.9503000000000004E-2</v>
      </c>
      <c r="F14" s="1"/>
      <c r="G14" s="1"/>
      <c r="H14" s="1"/>
      <c r="I14" s="1"/>
      <c r="J14" s="1"/>
      <c r="K14" s="1"/>
      <c r="L14" s="1"/>
      <c r="M14" s="1"/>
      <c r="N14" s="18"/>
    </row>
    <row r="15" spans="2:14" ht="15" customHeight="1" x14ac:dyDescent="0.25">
      <c r="B15" s="20"/>
      <c r="C15" s="5" t="s">
        <v>311</v>
      </c>
      <c r="D15" s="6" t="s">
        <v>179</v>
      </c>
      <c r="E15" s="11">
        <v>5.7099999999999998E-2</v>
      </c>
      <c r="F15" s="1"/>
      <c r="G15" s="1"/>
      <c r="H15" s="1"/>
      <c r="I15" s="1"/>
      <c r="J15" s="1"/>
      <c r="K15" s="1"/>
      <c r="L15" s="1"/>
      <c r="M15" s="1"/>
      <c r="N15" s="18"/>
    </row>
    <row r="16" spans="2:14" ht="15.75" customHeight="1" x14ac:dyDescent="0.25">
      <c r="B16" s="20"/>
      <c r="C16" s="5" t="s">
        <v>325</v>
      </c>
      <c r="D16" s="6" t="s">
        <v>179</v>
      </c>
      <c r="E16" s="11">
        <v>5.3032999999999997E-2</v>
      </c>
      <c r="F16" s="1"/>
      <c r="G16" s="1"/>
      <c r="H16" s="1"/>
      <c r="I16" s="1"/>
      <c r="J16" s="1"/>
      <c r="K16" s="1"/>
      <c r="L16" s="1"/>
      <c r="M16" s="1"/>
      <c r="N16" s="18"/>
    </row>
    <row r="17" spans="2:14" ht="15" customHeight="1" x14ac:dyDescent="0.25">
      <c r="B17" s="20"/>
      <c r="C17" s="5" t="s">
        <v>322</v>
      </c>
      <c r="D17" s="6" t="s">
        <v>179</v>
      </c>
      <c r="E17" s="11">
        <v>4.3307999999999999E-2</v>
      </c>
      <c r="F17" s="1"/>
      <c r="G17" s="1"/>
      <c r="H17" s="1"/>
      <c r="I17" s="1"/>
      <c r="J17" s="1"/>
      <c r="K17" s="1"/>
      <c r="L17" s="1"/>
      <c r="M17" s="1"/>
      <c r="N17" s="18"/>
    </row>
    <row r="18" spans="2:14" ht="15" customHeight="1" x14ac:dyDescent="0.25">
      <c r="B18" s="20"/>
      <c r="C18" s="5" t="s">
        <v>314</v>
      </c>
      <c r="D18" s="6" t="s">
        <v>179</v>
      </c>
      <c r="E18" s="11">
        <v>2.7765999999999999E-2</v>
      </c>
      <c r="F18" s="1"/>
      <c r="G18" s="1"/>
      <c r="H18" s="1"/>
      <c r="I18" s="1"/>
      <c r="J18" s="1"/>
      <c r="K18" s="1"/>
      <c r="L18" s="1"/>
      <c r="M18" s="1"/>
      <c r="N18" s="18"/>
    </row>
    <row r="19" spans="2:14" ht="15" customHeight="1" x14ac:dyDescent="0.25">
      <c r="B19" s="20"/>
      <c r="C19" s="5" t="s">
        <v>308</v>
      </c>
      <c r="D19" s="6" t="s">
        <v>179</v>
      </c>
      <c r="E19" s="11">
        <v>2.7696999999999999E-2</v>
      </c>
      <c r="F19" s="1"/>
      <c r="G19" s="1"/>
      <c r="H19" s="1"/>
      <c r="I19" s="1"/>
      <c r="J19" s="1"/>
      <c r="K19" s="1"/>
      <c r="L19" s="1"/>
      <c r="M19" s="1"/>
      <c r="N19" s="18"/>
    </row>
    <row r="20" spans="2:14" ht="15" customHeight="1" x14ac:dyDescent="0.25">
      <c r="B20" s="20"/>
      <c r="C20" s="5" t="s">
        <v>317</v>
      </c>
      <c r="D20" s="6" t="s">
        <v>179</v>
      </c>
      <c r="E20" s="11">
        <v>2.1366E-2</v>
      </c>
      <c r="F20" s="1"/>
      <c r="G20" s="1"/>
      <c r="H20" s="1"/>
      <c r="I20" s="1"/>
      <c r="J20" s="1"/>
      <c r="K20" s="1"/>
      <c r="L20" s="1"/>
      <c r="M20" s="1"/>
      <c r="N20" s="18"/>
    </row>
    <row r="21" spans="2:14" ht="15" customHeight="1" x14ac:dyDescent="0.25">
      <c r="B21" s="20"/>
      <c r="C21" s="5" t="s">
        <v>307</v>
      </c>
      <c r="D21" s="6" t="s">
        <v>179</v>
      </c>
      <c r="E21" s="11">
        <v>1.9959999999999999E-2</v>
      </c>
      <c r="F21" s="1"/>
      <c r="G21" s="1"/>
      <c r="H21" s="1"/>
      <c r="I21" s="1"/>
      <c r="J21" s="1"/>
      <c r="K21" s="1"/>
      <c r="L21" s="1"/>
      <c r="M21" s="1"/>
      <c r="N21" s="18"/>
    </row>
    <row r="22" spans="2:14" ht="15" customHeight="1" x14ac:dyDescent="0.25">
      <c r="B22" s="20"/>
      <c r="C22" s="5" t="s">
        <v>318</v>
      </c>
      <c r="D22" s="6" t="s">
        <v>179</v>
      </c>
      <c r="E22" s="11">
        <v>1.8859999999999998E-2</v>
      </c>
      <c r="F22" s="1"/>
      <c r="G22" s="1"/>
      <c r="H22" s="1"/>
      <c r="I22" s="1"/>
      <c r="J22" s="1"/>
      <c r="K22" s="1"/>
      <c r="L22" s="1"/>
      <c r="M22" s="1"/>
      <c r="N22" s="18"/>
    </row>
    <row r="23" spans="2:14" ht="15" customHeight="1" x14ac:dyDescent="0.25">
      <c r="B23" s="20"/>
      <c r="C23" s="5" t="s">
        <v>304</v>
      </c>
      <c r="D23" s="6" t="s">
        <v>179</v>
      </c>
      <c r="E23" s="11">
        <v>1.8422999999999998E-2</v>
      </c>
      <c r="F23" s="1"/>
      <c r="G23" s="1"/>
      <c r="H23" s="1"/>
      <c r="I23" s="1"/>
      <c r="J23" s="1"/>
      <c r="K23" s="1"/>
      <c r="L23" s="1"/>
      <c r="M23" s="1"/>
      <c r="N23" s="18"/>
    </row>
    <row r="24" spans="2:14" ht="15" customHeight="1" x14ac:dyDescent="0.25">
      <c r="B24" s="20"/>
      <c r="C24" s="5" t="s">
        <v>316</v>
      </c>
      <c r="D24" s="6" t="s">
        <v>179</v>
      </c>
      <c r="E24" s="11">
        <v>1.8334E-2</v>
      </c>
      <c r="F24" s="1"/>
      <c r="G24" s="63" t="s">
        <v>18</v>
      </c>
      <c r="H24" s="64"/>
      <c r="I24" s="64"/>
      <c r="J24" s="64"/>
      <c r="K24" s="64"/>
      <c r="L24" s="26">
        <v>7.0924268008322384</v>
      </c>
      <c r="M24" s="27"/>
      <c r="N24" s="28"/>
    </row>
    <row r="25" spans="2:14" ht="15" customHeight="1" x14ac:dyDescent="0.25">
      <c r="B25" s="20"/>
      <c r="C25" s="5" t="s">
        <v>309</v>
      </c>
      <c r="D25" s="6" t="s">
        <v>179</v>
      </c>
      <c r="E25" s="11">
        <v>1.8287000000000001E-2</v>
      </c>
      <c r="F25" s="1"/>
      <c r="G25" s="1"/>
      <c r="H25" s="1"/>
      <c r="I25" s="1"/>
      <c r="J25" s="1"/>
      <c r="K25" s="1"/>
      <c r="L25" s="1"/>
      <c r="M25" s="1"/>
      <c r="N25" s="18"/>
    </row>
    <row r="26" spans="2:14" ht="15" customHeight="1" x14ac:dyDescent="0.25">
      <c r="B26" s="20"/>
      <c r="C26" s="5" t="s">
        <v>301</v>
      </c>
      <c r="D26" s="6" t="s">
        <v>179</v>
      </c>
      <c r="E26" s="11">
        <v>9.5209999999999999E-3</v>
      </c>
      <c r="F26" s="1"/>
      <c r="G26" s="63" t="s">
        <v>19</v>
      </c>
      <c r="H26" s="64"/>
      <c r="I26" s="64"/>
      <c r="J26" s="64"/>
      <c r="K26" s="64"/>
      <c r="L26" s="64"/>
      <c r="M26" s="64"/>
      <c r="N26" s="65"/>
    </row>
    <row r="27" spans="2:14" ht="15" customHeight="1" x14ac:dyDescent="0.25">
      <c r="B27" s="20"/>
      <c r="C27" s="5" t="s">
        <v>315</v>
      </c>
      <c r="D27" s="6" t="s">
        <v>179</v>
      </c>
      <c r="E27" s="11">
        <v>9.4699999999999993E-3</v>
      </c>
      <c r="F27" s="1"/>
      <c r="G27" s="1"/>
      <c r="H27" s="1"/>
      <c r="I27" s="1"/>
      <c r="J27" s="1"/>
      <c r="K27" s="1"/>
      <c r="L27" s="1"/>
      <c r="M27" s="1"/>
      <c r="N27" s="18"/>
    </row>
    <row r="28" spans="2:14" ht="15" customHeight="1" x14ac:dyDescent="0.25">
      <c r="B28" s="20"/>
      <c r="C28" s="5" t="s">
        <v>323</v>
      </c>
      <c r="D28" s="6" t="s">
        <v>179</v>
      </c>
      <c r="E28" s="11">
        <v>9.4619999999999999E-3</v>
      </c>
      <c r="F28" s="1"/>
      <c r="G28" s="1"/>
      <c r="H28" s="1"/>
      <c r="I28" s="1"/>
      <c r="J28" s="1"/>
      <c r="K28" s="1"/>
      <c r="L28" s="1"/>
      <c r="M28" s="1"/>
      <c r="N28" s="18"/>
    </row>
    <row r="29" spans="2:14" ht="15" customHeight="1" x14ac:dyDescent="0.25">
      <c r="B29" s="20"/>
      <c r="C29" s="5" t="s">
        <v>312</v>
      </c>
      <c r="D29" s="6" t="s">
        <v>179</v>
      </c>
      <c r="E29" s="11">
        <v>9.2530000000000008E-3</v>
      </c>
      <c r="F29" s="1"/>
      <c r="G29" s="1"/>
      <c r="H29" s="1"/>
      <c r="I29" s="1"/>
      <c r="J29" s="1"/>
      <c r="K29" s="1"/>
      <c r="L29" s="1"/>
      <c r="M29" s="1"/>
      <c r="N29" s="18"/>
    </row>
    <row r="30" spans="2:14" ht="15" customHeight="1" x14ac:dyDescent="0.25">
      <c r="B30" s="20"/>
      <c r="C30" s="5" t="s">
        <v>313</v>
      </c>
      <c r="D30" s="6" t="s">
        <v>179</v>
      </c>
      <c r="E30" s="11">
        <v>9.2060000000000006E-3</v>
      </c>
      <c r="F30" s="1"/>
      <c r="G30" s="1"/>
      <c r="H30" s="1"/>
      <c r="I30" s="1"/>
      <c r="J30" s="1"/>
      <c r="K30" s="1"/>
      <c r="L30" s="1"/>
      <c r="M30" s="1"/>
      <c r="N30" s="18"/>
    </row>
    <row r="31" spans="2:14" ht="15" customHeight="1" x14ac:dyDescent="0.25">
      <c r="B31" s="20"/>
      <c r="C31" s="5" t="s">
        <v>306</v>
      </c>
      <c r="D31" s="6" t="s">
        <v>179</v>
      </c>
      <c r="E31" s="11">
        <v>9.1859999999999997E-3</v>
      </c>
      <c r="F31" s="1"/>
      <c r="G31" s="1"/>
      <c r="H31" s="1"/>
      <c r="I31" s="1"/>
      <c r="J31" s="1"/>
      <c r="K31" s="1"/>
      <c r="L31" s="1"/>
      <c r="M31" s="1"/>
      <c r="N31" s="18"/>
    </row>
    <row r="32" spans="2:14" ht="15" customHeight="1" x14ac:dyDescent="0.25">
      <c r="B32" s="20"/>
      <c r="C32" s="5" t="s">
        <v>305</v>
      </c>
      <c r="D32" s="6" t="s">
        <v>179</v>
      </c>
      <c r="E32" s="11">
        <v>9.1660000000000005E-3</v>
      </c>
      <c r="F32" s="1"/>
      <c r="G32" s="1"/>
      <c r="H32" s="1"/>
      <c r="I32" s="1"/>
      <c r="J32" s="1"/>
      <c r="K32" s="1"/>
      <c r="L32" s="1"/>
      <c r="M32" s="1"/>
      <c r="N32" s="18"/>
    </row>
    <row r="33" spans="2:14" ht="15" customHeight="1" x14ac:dyDescent="0.25">
      <c r="B33" s="20"/>
      <c r="C33" s="5" t="s">
        <v>321</v>
      </c>
      <c r="D33" s="6" t="s">
        <v>179</v>
      </c>
      <c r="E33" s="11">
        <v>5.6309999999999997E-3</v>
      </c>
      <c r="F33" s="1"/>
      <c r="G33" s="1"/>
      <c r="H33" s="1"/>
      <c r="I33" s="1"/>
      <c r="J33" s="1"/>
      <c r="K33" s="1"/>
      <c r="L33" s="1"/>
      <c r="M33" s="1"/>
      <c r="N33" s="18"/>
    </row>
    <row r="34" spans="2:14" ht="15" customHeight="1" x14ac:dyDescent="0.25">
      <c r="B34" s="20"/>
      <c r="C34" s="5" t="s">
        <v>320</v>
      </c>
      <c r="D34" s="6" t="s">
        <v>179</v>
      </c>
      <c r="E34" s="11">
        <v>4.5880000000000001E-3</v>
      </c>
      <c r="F34" s="1"/>
      <c r="G34" s="1"/>
      <c r="H34" s="1"/>
      <c r="I34" s="1"/>
      <c r="J34" s="1"/>
      <c r="K34" s="1"/>
      <c r="L34" s="1"/>
      <c r="M34" s="1"/>
      <c r="N34" s="18"/>
    </row>
    <row r="35" spans="2:14" ht="15" customHeight="1" x14ac:dyDescent="0.25">
      <c r="B35" s="20"/>
      <c r="C35" s="5" t="s">
        <v>319</v>
      </c>
      <c r="D35" s="6" t="s">
        <v>179</v>
      </c>
      <c r="E35" s="11">
        <v>3.6189999999999998E-3</v>
      </c>
      <c r="F35" s="1"/>
      <c r="G35" s="1"/>
      <c r="H35" s="1"/>
      <c r="I35" s="1"/>
      <c r="J35" s="1"/>
      <c r="K35" s="1"/>
      <c r="L35" s="1"/>
      <c r="M35" s="1"/>
      <c r="N35" s="18"/>
    </row>
    <row r="36" spans="2:14" ht="15" customHeight="1" x14ac:dyDescent="0.25">
      <c r="B36" s="20"/>
      <c r="C36" s="5" t="s">
        <v>310</v>
      </c>
      <c r="D36" s="6" t="s">
        <v>179</v>
      </c>
      <c r="E36" s="11">
        <v>3.4989999999999999E-3</v>
      </c>
      <c r="F36" s="1"/>
      <c r="G36" s="1"/>
      <c r="H36" s="1"/>
      <c r="I36" s="1"/>
      <c r="J36" s="1"/>
      <c r="K36" s="1"/>
      <c r="L36" s="1"/>
      <c r="M36" s="1"/>
      <c r="N36" s="18"/>
    </row>
    <row r="37" spans="2:14" ht="15" customHeight="1" x14ac:dyDescent="0.25">
      <c r="B37" s="20"/>
      <c r="C37" s="5" t="s">
        <v>302</v>
      </c>
      <c r="D37" s="6" t="s">
        <v>179</v>
      </c>
      <c r="E37" s="11">
        <v>1.6260000000000001E-3</v>
      </c>
      <c r="F37" s="1"/>
      <c r="G37" s="1"/>
      <c r="H37" s="1"/>
      <c r="I37" s="1"/>
      <c r="J37" s="1"/>
      <c r="K37" s="1"/>
      <c r="L37" s="1"/>
      <c r="M37" s="1"/>
      <c r="N37" s="18"/>
    </row>
    <row r="38" spans="2:14" ht="15" customHeight="1" x14ac:dyDescent="0.25">
      <c r="B38" s="20"/>
      <c r="C38" s="5" t="s">
        <v>328</v>
      </c>
      <c r="D38" s="6" t="s">
        <v>179</v>
      </c>
      <c r="E38" s="11">
        <v>9.2199999999999997E-4</v>
      </c>
      <c r="F38" s="1"/>
      <c r="G38" s="1"/>
      <c r="H38" s="1"/>
      <c r="I38" s="1"/>
      <c r="J38" s="1"/>
      <c r="K38" s="1"/>
      <c r="L38" s="1"/>
      <c r="M38" s="1"/>
      <c r="N38" s="18"/>
    </row>
    <row r="39" spans="2:14" ht="15" customHeight="1" x14ac:dyDescent="0.25">
      <c r="B39" s="20"/>
      <c r="C39" s="5" t="s">
        <v>329</v>
      </c>
      <c r="D39" s="6" t="s">
        <v>179</v>
      </c>
      <c r="E39" s="11">
        <v>9.2000000000000003E-4</v>
      </c>
      <c r="F39" s="1"/>
      <c r="G39" s="1"/>
      <c r="H39" s="1"/>
      <c r="I39" s="1"/>
      <c r="J39" s="1"/>
      <c r="K39" s="1"/>
      <c r="L39" s="1"/>
      <c r="M39" s="1"/>
      <c r="N39" s="18"/>
    </row>
    <row r="40" spans="2:14" ht="15" customHeight="1" x14ac:dyDescent="0.25">
      <c r="B40" s="20"/>
      <c r="C40" s="7" t="s">
        <v>54</v>
      </c>
      <c r="D40" s="8"/>
      <c r="E40" s="12">
        <v>0.86349500000000001</v>
      </c>
      <c r="F40" s="1"/>
      <c r="G40" s="1"/>
      <c r="H40" s="1"/>
      <c r="I40" s="1"/>
      <c r="J40" s="1"/>
      <c r="K40" s="1"/>
      <c r="L40" s="1"/>
      <c r="M40" s="1"/>
      <c r="N40" s="18"/>
    </row>
    <row r="41" spans="2:14" ht="15" customHeight="1" x14ac:dyDescent="0.25">
      <c r="B41" s="20"/>
      <c r="C41" s="5" t="s">
        <v>9</v>
      </c>
      <c r="D41" s="6"/>
      <c r="E41" s="11">
        <v>4.3530000000000001E-3</v>
      </c>
      <c r="F41" s="1"/>
      <c r="G41" s="1"/>
      <c r="H41" s="1"/>
      <c r="I41" s="1"/>
      <c r="J41" s="1"/>
      <c r="K41" s="1"/>
      <c r="L41" s="1"/>
      <c r="M41" s="1"/>
      <c r="N41" s="18"/>
    </row>
    <row r="42" spans="2:14" ht="15" customHeight="1" x14ac:dyDescent="0.25">
      <c r="B42" s="20"/>
      <c r="C42" s="7" t="s">
        <v>10</v>
      </c>
      <c r="D42" s="8"/>
      <c r="E42" s="12">
        <v>4.3530000000000001E-3</v>
      </c>
      <c r="F42" s="1"/>
      <c r="G42" s="1"/>
      <c r="H42" s="1"/>
      <c r="I42" s="1"/>
      <c r="J42" s="1"/>
      <c r="K42" s="1"/>
      <c r="L42" s="1"/>
      <c r="M42" s="1"/>
      <c r="N42" s="18"/>
    </row>
    <row r="43" spans="2:14" ht="15" customHeight="1" x14ac:dyDescent="0.25">
      <c r="B43" s="20"/>
      <c r="C43" s="5"/>
      <c r="D43" s="6"/>
      <c r="E43" s="11"/>
      <c r="F43" s="1"/>
      <c r="G43" s="1"/>
      <c r="H43" s="1"/>
      <c r="I43" s="1"/>
      <c r="J43" s="1"/>
      <c r="K43" s="1"/>
      <c r="L43" s="1"/>
      <c r="M43" s="1"/>
      <c r="N43" s="18"/>
    </row>
    <row r="44" spans="2:14" ht="15" customHeight="1" x14ac:dyDescent="0.25">
      <c r="B44" s="20"/>
      <c r="C44" s="7" t="s">
        <v>11</v>
      </c>
      <c r="D44" s="8"/>
      <c r="E44" s="12">
        <v>2.3143E-2</v>
      </c>
      <c r="F44" s="1"/>
      <c r="G44" s="1"/>
      <c r="H44" s="1"/>
      <c r="I44" s="1"/>
      <c r="J44" s="1"/>
      <c r="K44" s="1"/>
      <c r="L44" s="1"/>
      <c r="M44" s="1"/>
      <c r="N44" s="18"/>
    </row>
    <row r="45" spans="2:14" ht="15" customHeight="1" x14ac:dyDescent="0.25">
      <c r="B45" s="20"/>
      <c r="C45" s="5"/>
      <c r="D45" s="6"/>
      <c r="E45" s="11"/>
      <c r="F45" s="1"/>
      <c r="G45" s="1"/>
      <c r="H45" s="1"/>
      <c r="I45" s="1"/>
      <c r="J45" s="1"/>
      <c r="K45" s="1"/>
      <c r="L45" s="1"/>
      <c r="M45" s="1"/>
      <c r="N45" s="18"/>
    </row>
    <row r="46" spans="2:14" ht="15" customHeight="1" x14ac:dyDescent="0.25">
      <c r="B46" s="20"/>
      <c r="C46" s="9" t="s">
        <v>12</v>
      </c>
      <c r="D46" s="10"/>
      <c r="E46" s="13">
        <v>1</v>
      </c>
      <c r="F46" s="1"/>
      <c r="G46" s="1"/>
      <c r="H46" s="1"/>
      <c r="I46" s="1"/>
      <c r="J46" s="1"/>
      <c r="K46" s="1"/>
      <c r="L46" s="1"/>
      <c r="M46" s="1"/>
      <c r="N46" s="18"/>
    </row>
    <row r="47" spans="2:14" ht="15" customHeight="1" x14ac:dyDescent="0.25">
      <c r="B47" s="20"/>
      <c r="C47" s="1"/>
      <c r="D47" s="1"/>
      <c r="E47" s="1"/>
      <c r="F47" s="1"/>
      <c r="G47" s="1"/>
      <c r="H47" s="1"/>
      <c r="I47" s="1"/>
      <c r="J47" s="1"/>
      <c r="K47" s="1"/>
      <c r="L47" s="1"/>
      <c r="M47" s="1"/>
      <c r="N47" s="18"/>
    </row>
    <row r="48" spans="2:14" ht="15.75" thickBot="1" x14ac:dyDescent="0.3">
      <c r="B48" s="21"/>
      <c r="C48" s="22"/>
      <c r="D48" s="22"/>
      <c r="E48" s="22"/>
      <c r="F48" s="22"/>
      <c r="G48" s="22"/>
      <c r="H48" s="22"/>
      <c r="I48" s="22"/>
      <c r="J48" s="22"/>
      <c r="K48" s="22"/>
      <c r="L48" s="22"/>
      <c r="M48" s="22"/>
      <c r="N48" s="23"/>
    </row>
    <row r="49" spans="2:14" ht="15.75" thickBot="1" x14ac:dyDescent="0.3"/>
    <row r="50" spans="2:14" ht="123" customHeight="1" thickBot="1" x14ac:dyDescent="0.3">
      <c r="B50" s="46" t="s">
        <v>338</v>
      </c>
      <c r="C50" s="47"/>
      <c r="D50" s="47"/>
      <c r="E50" s="47"/>
      <c r="F50" s="47"/>
      <c r="G50" s="47"/>
      <c r="H50" s="47"/>
      <c r="I50" s="47"/>
      <c r="J50" s="47"/>
      <c r="K50" s="47"/>
      <c r="L50" s="47"/>
      <c r="M50" s="47"/>
      <c r="N50" s="48"/>
    </row>
  </sheetData>
  <sortState ref="C11:E39">
    <sortCondition descending="1" ref="E11"/>
  </sortState>
  <mergeCells count="6">
    <mergeCell ref="B50:N50"/>
    <mergeCell ref="C3:N3"/>
    <mergeCell ref="D5:E5"/>
    <mergeCell ref="G7:N7"/>
    <mergeCell ref="G24:K24"/>
    <mergeCell ref="G26:N26"/>
  </mergeCells>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F2846-004A-4536-8517-097567C1707F}">
  <dimension ref="B1:N45"/>
  <sheetViews>
    <sheetView showGridLines="0" zoomScale="75" zoomScaleNormal="75" workbookViewId="0"/>
  </sheetViews>
  <sheetFormatPr defaultRowHeight="15" x14ac:dyDescent="0.25"/>
  <cols>
    <col min="1" max="1" width="2.85546875" customWidth="1"/>
    <col min="2" max="2" width="3.85546875" customWidth="1"/>
    <col min="3" max="3" width="6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8" t="s">
        <v>0</v>
      </c>
      <c r="D3" s="59"/>
      <c r="E3" s="59"/>
      <c r="F3" s="59"/>
      <c r="G3" s="59"/>
      <c r="H3" s="59"/>
      <c r="I3" s="59"/>
      <c r="J3" s="59"/>
      <c r="K3" s="59"/>
      <c r="L3" s="59"/>
      <c r="M3" s="59"/>
      <c r="N3" s="60"/>
    </row>
    <row r="4" spans="2:14" ht="15.75" customHeight="1" x14ac:dyDescent="0.25">
      <c r="B4" s="20"/>
      <c r="C4" s="14"/>
      <c r="D4" s="1"/>
      <c r="E4" s="1"/>
      <c r="F4" s="1"/>
      <c r="G4" s="1"/>
      <c r="H4" s="1"/>
      <c r="I4" s="1"/>
      <c r="J4" s="1"/>
      <c r="K4" s="1"/>
      <c r="L4" s="1"/>
      <c r="M4" s="1"/>
      <c r="N4" s="18"/>
    </row>
    <row r="5" spans="2:14" ht="18" customHeight="1" x14ac:dyDescent="0.25">
      <c r="B5" s="20"/>
      <c r="C5" s="15" t="s">
        <v>21</v>
      </c>
      <c r="D5" s="61" t="s">
        <v>333</v>
      </c>
      <c r="E5" s="6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63" t="s">
        <v>17</v>
      </c>
      <c r="H7" s="64"/>
      <c r="I7" s="64"/>
      <c r="J7" s="64"/>
      <c r="K7" s="64"/>
      <c r="L7" s="64"/>
      <c r="M7" s="64"/>
      <c r="N7" s="65"/>
    </row>
    <row r="8" spans="2:14" ht="15" customHeight="1" x14ac:dyDescent="0.25">
      <c r="B8" s="20"/>
      <c r="C8" s="5" t="s">
        <v>4</v>
      </c>
      <c r="D8" s="6"/>
      <c r="E8" s="11">
        <v>0.68186899999999995</v>
      </c>
      <c r="F8" s="1"/>
      <c r="G8" s="24" t="s">
        <v>16</v>
      </c>
      <c r="H8" s="25">
        <v>1</v>
      </c>
      <c r="I8" s="1"/>
      <c r="J8" s="24" t="s">
        <v>13</v>
      </c>
      <c r="K8" s="24" t="s">
        <v>3</v>
      </c>
      <c r="L8" s="1"/>
      <c r="M8" s="1"/>
      <c r="N8" s="18"/>
    </row>
    <row r="9" spans="2:14" ht="15" customHeight="1" x14ac:dyDescent="0.25">
      <c r="B9" s="20"/>
      <c r="C9" s="5" t="s">
        <v>5</v>
      </c>
      <c r="D9" s="6"/>
      <c r="E9" s="11">
        <v>0.21249499999999999</v>
      </c>
      <c r="F9" s="1"/>
      <c r="G9" s="1"/>
      <c r="H9" s="1"/>
      <c r="I9" s="1"/>
      <c r="J9" s="24" t="s">
        <v>11</v>
      </c>
      <c r="K9" s="29">
        <v>-6.9700000000000003E-4</v>
      </c>
      <c r="L9" s="1"/>
      <c r="M9" s="1"/>
      <c r="N9" s="18"/>
    </row>
    <row r="10" spans="2:14" ht="15" customHeight="1" x14ac:dyDescent="0.25">
      <c r="B10" s="20"/>
      <c r="C10" s="5" t="s">
        <v>6</v>
      </c>
      <c r="D10" s="6"/>
      <c r="E10" s="11">
        <v>9.8364999999999994E-2</v>
      </c>
      <c r="F10" s="1"/>
      <c r="G10" s="1"/>
      <c r="H10" s="1"/>
      <c r="I10" s="1"/>
      <c r="J10" s="24" t="s">
        <v>14</v>
      </c>
      <c r="K10" s="29">
        <v>7.9120000000000006E-3</v>
      </c>
      <c r="L10" s="1"/>
      <c r="M10" s="1"/>
      <c r="N10" s="18"/>
    </row>
    <row r="11" spans="2:14" ht="15" customHeight="1" x14ac:dyDescent="0.25">
      <c r="B11" s="20"/>
      <c r="C11" s="5" t="s">
        <v>7</v>
      </c>
      <c r="D11" s="6"/>
      <c r="E11" s="11">
        <v>5.5999999999999999E-5</v>
      </c>
      <c r="F11" s="1"/>
      <c r="G11" s="1"/>
      <c r="H11" s="1"/>
      <c r="I11" s="1"/>
      <c r="J11" s="24" t="s">
        <v>15</v>
      </c>
      <c r="K11" s="29">
        <v>0.99278500000000003</v>
      </c>
      <c r="L11" s="1"/>
      <c r="M11" s="1"/>
      <c r="N11" s="18"/>
    </row>
    <row r="12" spans="2:14" ht="15.75" customHeight="1" x14ac:dyDescent="0.25">
      <c r="B12" s="20"/>
      <c r="C12" s="7" t="s">
        <v>8</v>
      </c>
      <c r="D12" s="8"/>
      <c r="E12" s="12">
        <v>0.99278500000000003</v>
      </c>
      <c r="F12" s="1"/>
      <c r="G12" s="1"/>
      <c r="H12" s="1"/>
      <c r="I12" s="1"/>
      <c r="J12" s="1"/>
      <c r="K12" s="1"/>
      <c r="L12" s="1"/>
      <c r="M12" s="1"/>
      <c r="N12" s="18"/>
    </row>
    <row r="13" spans="2:14" ht="15" customHeight="1" x14ac:dyDescent="0.25">
      <c r="B13" s="20"/>
      <c r="C13" s="5" t="s">
        <v>9</v>
      </c>
      <c r="D13" s="6"/>
      <c r="E13" s="11">
        <v>7.9120000000000006E-3</v>
      </c>
      <c r="F13" s="1"/>
      <c r="G13" s="1"/>
      <c r="H13" s="1"/>
      <c r="I13" s="1"/>
      <c r="J13" s="1"/>
      <c r="K13" s="1"/>
      <c r="L13" s="1"/>
      <c r="M13" s="1"/>
      <c r="N13" s="18"/>
    </row>
    <row r="14" spans="2:14" ht="15.75" customHeight="1" x14ac:dyDescent="0.25">
      <c r="B14" s="20"/>
      <c r="C14" s="7" t="s">
        <v>10</v>
      </c>
      <c r="D14" s="8"/>
      <c r="E14" s="12">
        <v>7.9120000000000006E-3</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11</v>
      </c>
      <c r="D16" s="8"/>
      <c r="E16" s="12">
        <v>-6.9700000000000003E-4</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12</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63" t="s">
        <v>18</v>
      </c>
      <c r="H24" s="64"/>
      <c r="I24" s="64"/>
      <c r="J24" s="64"/>
      <c r="K24" s="64"/>
      <c r="L24" s="26">
        <v>3.6239593164422437</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63" t="s">
        <v>19</v>
      </c>
      <c r="H26" s="64"/>
      <c r="I26" s="64"/>
      <c r="J26" s="64"/>
      <c r="K26" s="64"/>
      <c r="L26" s="64"/>
      <c r="M26" s="64"/>
      <c r="N26" s="6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8.25" customHeight="1" thickBot="1" x14ac:dyDescent="0.3">
      <c r="B45" s="46" t="s">
        <v>338</v>
      </c>
      <c r="C45" s="47"/>
      <c r="D45" s="47"/>
      <c r="E45" s="47"/>
      <c r="F45" s="47"/>
      <c r="G45" s="47"/>
      <c r="H45" s="47"/>
      <c r="I45" s="47"/>
      <c r="J45" s="47"/>
      <c r="K45" s="47"/>
      <c r="L45" s="47"/>
      <c r="M45" s="47"/>
      <c r="N45" s="48"/>
    </row>
  </sheetData>
  <mergeCells count="6">
    <mergeCell ref="B45:N45"/>
    <mergeCell ref="C3:N3"/>
    <mergeCell ref="D5:E5"/>
    <mergeCell ref="G7:N7"/>
    <mergeCell ref="G24:K24"/>
    <mergeCell ref="G26:N26"/>
  </mergeCell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328B2-56A4-4E75-A760-CD19C204F14C}">
  <sheetPr>
    <tabColor rgb="FFE5E3E3"/>
    <pageSetUpPr fitToPage="1"/>
  </sheetPr>
  <dimension ref="B1:X691"/>
  <sheetViews>
    <sheetView showGridLines="0" zoomScale="75" zoomScaleNormal="75" workbookViewId="0"/>
  </sheetViews>
  <sheetFormatPr defaultRowHeight="15" x14ac:dyDescent="0.2"/>
  <cols>
    <col min="1" max="1" width="2.85546875" style="68" customWidth="1"/>
    <col min="2" max="2" width="3.85546875" style="68" customWidth="1"/>
    <col min="3" max="3" width="60.5703125" style="68" customWidth="1"/>
    <col min="4" max="4" width="15.42578125" style="68" bestFit="1" customWidth="1"/>
    <col min="5" max="5" width="9.140625" style="68"/>
    <col min="6" max="6" width="10.7109375" style="68" customWidth="1"/>
    <col min="7" max="7" width="10.5703125" style="68" bestFit="1" customWidth="1"/>
    <col min="8" max="9" width="9.140625" style="68"/>
    <col min="10" max="11" width="16.42578125" style="68" customWidth="1"/>
    <col min="12" max="18" width="9.140625" style="68"/>
    <col min="19" max="19" width="9.85546875" style="68" customWidth="1"/>
    <col min="20" max="21" width="9.28515625" style="68" bestFit="1" customWidth="1"/>
    <col min="22" max="16384" width="9.140625" style="68"/>
  </cols>
  <sheetData>
    <row r="1" spans="2:24" ht="15.75" thickBot="1" x14ac:dyDescent="0.25"/>
    <row r="2" spans="2:24" x14ac:dyDescent="0.2">
      <c r="B2" s="69"/>
      <c r="C2" s="70"/>
      <c r="D2" s="70"/>
      <c r="E2" s="70"/>
      <c r="F2" s="70"/>
      <c r="G2" s="70"/>
      <c r="H2" s="70"/>
      <c r="I2" s="70"/>
      <c r="J2" s="70"/>
      <c r="K2" s="70"/>
      <c r="L2" s="70"/>
      <c r="M2" s="71"/>
    </row>
    <row r="3" spans="2:24" ht="20.25" customHeight="1" x14ac:dyDescent="0.2">
      <c r="B3" s="72"/>
      <c r="C3" s="73" t="s">
        <v>357</v>
      </c>
      <c r="D3" s="73"/>
      <c r="E3" s="73"/>
      <c r="F3" s="73"/>
      <c r="G3" s="73"/>
      <c r="H3" s="73"/>
      <c r="I3" s="73"/>
      <c r="J3" s="73"/>
      <c r="K3" s="73"/>
      <c r="L3" s="73"/>
      <c r="M3" s="74"/>
    </row>
    <row r="4" spans="2:24" ht="15.75" x14ac:dyDescent="0.25">
      <c r="B4" s="72"/>
      <c r="C4" s="14"/>
      <c r="D4" s="75"/>
      <c r="E4" s="75"/>
      <c r="F4" s="76"/>
      <c r="G4" s="76"/>
      <c r="H4" s="76"/>
      <c r="I4" s="76"/>
      <c r="J4" s="76"/>
      <c r="K4" s="76"/>
      <c r="L4" s="76"/>
      <c r="M4" s="77"/>
    </row>
    <row r="5" spans="2:24" ht="20.25" customHeight="1" x14ac:dyDescent="0.25">
      <c r="B5" s="72"/>
      <c r="C5" s="15" t="s">
        <v>21</v>
      </c>
      <c r="D5" s="78" t="s">
        <v>358</v>
      </c>
      <c r="E5" s="79"/>
      <c r="F5" s="76"/>
      <c r="G5" s="76"/>
      <c r="H5" s="76"/>
      <c r="I5" s="76"/>
      <c r="J5" s="76"/>
      <c r="K5" s="76"/>
      <c r="L5" s="76"/>
      <c r="M5" s="77"/>
    </row>
    <row r="6" spans="2:24" x14ac:dyDescent="0.2">
      <c r="B6" s="72"/>
      <c r="C6" s="76"/>
      <c r="D6" s="76"/>
      <c r="E6" s="76"/>
      <c r="F6" s="76"/>
      <c r="G6" s="76"/>
      <c r="H6" s="76"/>
      <c r="I6" s="76"/>
      <c r="J6" s="76"/>
      <c r="K6" s="76"/>
      <c r="L6" s="76"/>
      <c r="M6" s="77"/>
    </row>
    <row r="7" spans="2:24" ht="15.75" x14ac:dyDescent="0.2">
      <c r="B7" s="72"/>
      <c r="C7" s="80" t="s">
        <v>1</v>
      </c>
      <c r="D7" s="81" t="s">
        <v>3</v>
      </c>
      <c r="E7" s="76"/>
      <c r="F7" s="82" t="s">
        <v>19</v>
      </c>
      <c r="G7" s="82"/>
      <c r="H7" s="82"/>
      <c r="I7" s="82"/>
      <c r="J7" s="82"/>
      <c r="K7" s="82"/>
      <c r="L7" s="82"/>
      <c r="M7" s="83"/>
    </row>
    <row r="8" spans="2:24" x14ac:dyDescent="0.2">
      <c r="B8" s="72"/>
      <c r="C8" s="84" t="s">
        <v>339</v>
      </c>
      <c r="D8" s="85">
        <v>0.99713799999999997</v>
      </c>
      <c r="E8" s="76"/>
      <c r="F8" s="76"/>
      <c r="G8" s="86"/>
      <c r="H8" s="76"/>
      <c r="I8" s="76" t="s">
        <v>340</v>
      </c>
      <c r="J8" s="87">
        <f>D9</f>
        <v>0.99713799999999997</v>
      </c>
      <c r="K8" s="76"/>
      <c r="L8" s="76"/>
      <c r="M8" s="77"/>
      <c r="S8" s="88"/>
      <c r="W8" s="68" t="s">
        <v>341</v>
      </c>
      <c r="X8" s="68">
        <v>0.25058799999999998</v>
      </c>
    </row>
    <row r="9" spans="2:24" ht="15.75" x14ac:dyDescent="0.25">
      <c r="B9" s="72"/>
      <c r="C9" s="89" t="s">
        <v>340</v>
      </c>
      <c r="D9" s="90">
        <v>0.99713799999999997</v>
      </c>
      <c r="E9" s="76"/>
      <c r="F9" s="76"/>
      <c r="G9" s="76"/>
      <c r="H9" s="76"/>
      <c r="I9" s="76" t="s">
        <v>11</v>
      </c>
      <c r="J9" s="87">
        <f>D13</f>
        <v>-3.0270000000000002E-3</v>
      </c>
      <c r="K9" s="76"/>
      <c r="L9" s="76"/>
      <c r="M9" s="77"/>
      <c r="S9" s="88"/>
      <c r="W9" s="68" t="s">
        <v>342</v>
      </c>
      <c r="X9" s="68">
        <v>6.1296999999999997E-2</v>
      </c>
    </row>
    <row r="10" spans="2:24" x14ac:dyDescent="0.2">
      <c r="B10" s="72"/>
      <c r="C10" s="91" t="s">
        <v>9</v>
      </c>
      <c r="D10" s="92">
        <v>5.8890000000000001E-3</v>
      </c>
      <c r="E10" s="76"/>
      <c r="F10" s="76"/>
      <c r="G10" s="76"/>
      <c r="I10" s="68" t="s">
        <v>10</v>
      </c>
      <c r="J10" s="87">
        <f>D11</f>
        <v>5.8890000000000001E-3</v>
      </c>
      <c r="K10" s="76"/>
      <c r="L10" s="76"/>
      <c r="M10" s="77"/>
      <c r="S10" s="88"/>
      <c r="W10" s="68" t="s">
        <v>343</v>
      </c>
      <c r="X10" s="68">
        <v>3.0130999999999998E-2</v>
      </c>
    </row>
    <row r="11" spans="2:24" ht="15.75" x14ac:dyDescent="0.2">
      <c r="B11" s="72"/>
      <c r="C11" s="93" t="s">
        <v>10</v>
      </c>
      <c r="D11" s="94">
        <v>5.8890000000000001E-3</v>
      </c>
      <c r="E11" s="76"/>
      <c r="F11" s="76"/>
      <c r="G11" s="76"/>
      <c r="J11" s="76"/>
      <c r="K11" s="76"/>
      <c r="L11" s="76"/>
      <c r="M11" s="77"/>
      <c r="S11" s="88"/>
      <c r="W11" s="68" t="s">
        <v>344</v>
      </c>
      <c r="X11" s="68">
        <v>2.7299E-2</v>
      </c>
    </row>
    <row r="12" spans="2:24" x14ac:dyDescent="0.2">
      <c r="B12" s="72"/>
      <c r="C12" s="91"/>
      <c r="D12" s="95"/>
      <c r="E12" s="76"/>
      <c r="F12" s="76"/>
      <c r="G12" s="76"/>
      <c r="J12" s="76"/>
      <c r="K12" s="76"/>
      <c r="L12" s="76"/>
      <c r="M12" s="77"/>
      <c r="S12" s="88"/>
      <c r="W12" s="68" t="s">
        <v>345</v>
      </c>
      <c r="X12" s="68">
        <v>2.5925E-2</v>
      </c>
    </row>
    <row r="13" spans="2:24" ht="15.75" x14ac:dyDescent="0.2">
      <c r="B13" s="72"/>
      <c r="C13" s="93" t="s">
        <v>11</v>
      </c>
      <c r="D13" s="94">
        <v>-3.0270000000000002E-3</v>
      </c>
      <c r="E13" s="76"/>
      <c r="F13" s="76"/>
      <c r="G13" s="76"/>
      <c r="J13" s="76"/>
      <c r="K13" s="76"/>
      <c r="L13" s="76"/>
      <c r="M13" s="77"/>
      <c r="S13" s="88"/>
      <c r="W13" s="68" t="s">
        <v>346</v>
      </c>
      <c r="X13" s="68">
        <v>2.3822000000000003E-2</v>
      </c>
    </row>
    <row r="14" spans="2:24" x14ac:dyDescent="0.2">
      <c r="B14" s="72"/>
      <c r="C14" s="91"/>
      <c r="D14" s="95"/>
      <c r="E14" s="76"/>
      <c r="F14" s="76"/>
      <c r="G14" s="76"/>
      <c r="H14" s="76"/>
      <c r="I14" s="76"/>
      <c r="J14" s="76"/>
      <c r="K14" s="76"/>
      <c r="L14" s="76"/>
      <c r="M14" s="77"/>
      <c r="S14" s="88"/>
      <c r="W14" s="68" t="s">
        <v>347</v>
      </c>
      <c r="X14" s="68">
        <v>2.3753E-2</v>
      </c>
    </row>
    <row r="15" spans="2:24" ht="15.75" x14ac:dyDescent="0.2">
      <c r="B15" s="72"/>
      <c r="C15" s="96" t="s">
        <v>12</v>
      </c>
      <c r="D15" s="97">
        <f>D13+D11+D9</f>
        <v>1</v>
      </c>
      <c r="E15" s="76"/>
      <c r="F15" s="76"/>
      <c r="G15" s="76"/>
      <c r="H15" s="76"/>
      <c r="I15" s="76"/>
      <c r="J15" s="76"/>
      <c r="K15" s="76"/>
      <c r="L15" s="76"/>
      <c r="M15" s="77"/>
      <c r="S15" s="88"/>
      <c r="W15" s="68" t="s">
        <v>348</v>
      </c>
      <c r="X15" s="68">
        <v>1.8620999999999999E-2</v>
      </c>
    </row>
    <row r="16" spans="2:24" x14ac:dyDescent="0.2">
      <c r="B16" s="72"/>
      <c r="E16" s="76"/>
      <c r="F16" s="76"/>
      <c r="G16" s="76"/>
      <c r="H16" s="76"/>
      <c r="I16" s="76"/>
      <c r="J16" s="76"/>
      <c r="K16" s="76"/>
      <c r="L16" s="76"/>
      <c r="M16" s="77"/>
      <c r="S16" s="88"/>
      <c r="W16" s="68" t="s">
        <v>349</v>
      </c>
      <c r="X16" s="68">
        <v>1.7219000000000002E-2</v>
      </c>
    </row>
    <row r="17" spans="2:24" ht="15.75" x14ac:dyDescent="0.25">
      <c r="B17" s="72"/>
      <c r="C17" s="98"/>
      <c r="D17" s="99"/>
      <c r="E17" s="76"/>
      <c r="F17" s="76"/>
      <c r="G17" s="76"/>
      <c r="H17" s="76"/>
      <c r="I17" s="76"/>
      <c r="J17" s="76"/>
      <c r="K17" s="76"/>
      <c r="L17" s="76"/>
      <c r="M17" s="77"/>
      <c r="S17" s="88"/>
      <c r="W17" s="68" t="s">
        <v>350</v>
      </c>
      <c r="X17" s="68">
        <v>1.6056000000000001E-2</v>
      </c>
    </row>
    <row r="18" spans="2:24" x14ac:dyDescent="0.2">
      <c r="B18" s="72"/>
      <c r="C18" s="100"/>
      <c r="D18" s="100"/>
      <c r="E18" s="76"/>
      <c r="F18" s="76"/>
      <c r="G18" s="76"/>
      <c r="H18" s="76"/>
      <c r="I18" s="76"/>
      <c r="J18" s="76"/>
      <c r="K18" s="76"/>
      <c r="L18" s="76"/>
      <c r="M18" s="77"/>
      <c r="S18" s="88"/>
      <c r="W18" s="68" t="s">
        <v>351</v>
      </c>
      <c r="X18" s="68">
        <v>1.41E-2</v>
      </c>
    </row>
    <row r="19" spans="2:24" ht="15.75" x14ac:dyDescent="0.25">
      <c r="B19" s="72"/>
      <c r="C19" s="98"/>
      <c r="D19" s="101"/>
      <c r="E19" s="76"/>
      <c r="F19" s="76"/>
      <c r="G19" s="76"/>
      <c r="H19" s="76"/>
      <c r="I19" s="76"/>
      <c r="J19" s="76"/>
      <c r="K19" s="76"/>
      <c r="L19" s="76"/>
      <c r="M19" s="77"/>
      <c r="S19" s="88"/>
      <c r="W19" s="68" t="s">
        <v>352</v>
      </c>
      <c r="X19" s="68">
        <v>1.1167E-2</v>
      </c>
    </row>
    <row r="20" spans="2:24" x14ac:dyDescent="0.2">
      <c r="B20" s="72"/>
      <c r="E20" s="76"/>
      <c r="F20" s="76"/>
      <c r="G20" s="76"/>
      <c r="H20" s="76"/>
      <c r="I20" s="76"/>
      <c r="J20" s="76"/>
      <c r="K20" s="76"/>
      <c r="L20" s="76"/>
      <c r="M20" s="77"/>
      <c r="S20" s="88"/>
      <c r="W20" s="68" t="s">
        <v>353</v>
      </c>
      <c r="X20" s="68">
        <v>1.1159000000000001E-2</v>
      </c>
    </row>
    <row r="21" spans="2:24" x14ac:dyDescent="0.2">
      <c r="B21" s="72"/>
      <c r="E21" s="76"/>
      <c r="F21" s="76"/>
      <c r="G21" s="76"/>
      <c r="H21" s="76"/>
      <c r="I21" s="76"/>
      <c r="J21" s="76"/>
      <c r="K21" s="76"/>
      <c r="L21" s="76"/>
      <c r="M21" s="77"/>
      <c r="S21" s="88"/>
      <c r="W21" s="68" t="s">
        <v>354</v>
      </c>
      <c r="X21" s="68">
        <v>1.0543E-2</v>
      </c>
    </row>
    <row r="22" spans="2:24" ht="16.5" thickBot="1" x14ac:dyDescent="0.3">
      <c r="B22" s="102"/>
      <c r="C22" s="103"/>
      <c r="D22" s="103"/>
      <c r="E22" s="103"/>
      <c r="F22" s="103"/>
      <c r="G22" s="103"/>
      <c r="H22" s="103"/>
      <c r="I22" s="103"/>
      <c r="J22" s="103"/>
      <c r="K22" s="103"/>
      <c r="L22" s="103"/>
      <c r="M22" s="104"/>
      <c r="S22" s="88"/>
    </row>
    <row r="23" spans="2:24" ht="15.75" thickBot="1" x14ac:dyDescent="0.25">
      <c r="S23" s="88"/>
    </row>
    <row r="24" spans="2:24" ht="15" customHeight="1" x14ac:dyDescent="0.2">
      <c r="B24" s="105" t="s">
        <v>355</v>
      </c>
      <c r="C24" s="106"/>
      <c r="D24" s="106"/>
      <c r="E24" s="106"/>
      <c r="F24" s="106"/>
      <c r="G24" s="106"/>
      <c r="H24" s="106"/>
      <c r="I24" s="106"/>
      <c r="J24" s="106"/>
      <c r="K24" s="106"/>
      <c r="L24" s="106"/>
      <c r="M24" s="106"/>
      <c r="N24" s="107"/>
      <c r="S24" s="88"/>
    </row>
    <row r="25" spans="2:24" ht="15.75" customHeight="1" x14ac:dyDescent="0.2">
      <c r="B25" s="108"/>
      <c r="C25" s="109"/>
      <c r="D25" s="109"/>
      <c r="E25" s="109"/>
      <c r="F25" s="109"/>
      <c r="G25" s="109"/>
      <c r="H25" s="109"/>
      <c r="I25" s="109"/>
      <c r="J25" s="109"/>
      <c r="K25" s="109"/>
      <c r="L25" s="109"/>
      <c r="M25" s="109"/>
      <c r="N25" s="110"/>
      <c r="S25" s="88"/>
    </row>
    <row r="26" spans="2:24" ht="15.75" customHeight="1" x14ac:dyDescent="0.2">
      <c r="B26" s="108"/>
      <c r="C26" s="109"/>
      <c r="D26" s="109"/>
      <c r="E26" s="109"/>
      <c r="F26" s="109"/>
      <c r="G26" s="109"/>
      <c r="H26" s="109"/>
      <c r="I26" s="109"/>
      <c r="J26" s="109"/>
      <c r="K26" s="109"/>
      <c r="L26" s="109"/>
      <c r="M26" s="109"/>
      <c r="N26" s="110"/>
      <c r="S26" s="88"/>
    </row>
    <row r="27" spans="2:24" ht="15.75" customHeight="1" x14ac:dyDescent="0.2">
      <c r="B27" s="108"/>
      <c r="C27" s="109"/>
      <c r="D27" s="109"/>
      <c r="E27" s="109"/>
      <c r="F27" s="109"/>
      <c r="G27" s="109"/>
      <c r="H27" s="109"/>
      <c r="I27" s="109"/>
      <c r="J27" s="109"/>
      <c r="K27" s="109"/>
      <c r="L27" s="109"/>
      <c r="M27" s="109"/>
      <c r="N27" s="110"/>
      <c r="S27" s="88"/>
    </row>
    <row r="28" spans="2:24" ht="15.75" customHeight="1" x14ac:dyDescent="0.2">
      <c r="B28" s="108"/>
      <c r="C28" s="109"/>
      <c r="D28" s="109"/>
      <c r="E28" s="109"/>
      <c r="F28" s="109"/>
      <c r="G28" s="109"/>
      <c r="H28" s="109"/>
      <c r="I28" s="109"/>
      <c r="J28" s="109"/>
      <c r="K28" s="109"/>
      <c r="L28" s="109"/>
      <c r="M28" s="109"/>
      <c r="N28" s="110"/>
      <c r="S28" s="88"/>
    </row>
    <row r="29" spans="2:24" ht="15.75" customHeight="1" x14ac:dyDescent="0.2">
      <c r="B29" s="108"/>
      <c r="C29" s="109"/>
      <c r="D29" s="109"/>
      <c r="E29" s="109"/>
      <c r="F29" s="109"/>
      <c r="G29" s="109"/>
      <c r="H29" s="109"/>
      <c r="I29" s="109"/>
      <c r="J29" s="109"/>
      <c r="K29" s="109"/>
      <c r="L29" s="109"/>
      <c r="M29" s="109"/>
      <c r="N29" s="110"/>
      <c r="S29" s="88"/>
    </row>
    <row r="30" spans="2:24" ht="28.5" customHeight="1" thickBot="1" x14ac:dyDescent="0.25">
      <c r="B30" s="111"/>
      <c r="C30" s="112"/>
      <c r="D30" s="112"/>
      <c r="E30" s="112"/>
      <c r="F30" s="112"/>
      <c r="G30" s="112"/>
      <c r="H30" s="112"/>
      <c r="I30" s="112"/>
      <c r="J30" s="112"/>
      <c r="K30" s="112"/>
      <c r="L30" s="112"/>
      <c r="M30" s="112"/>
      <c r="N30" s="113"/>
      <c r="S30" s="88"/>
    </row>
    <row r="31" spans="2:24" ht="15.75" thickBot="1" x14ac:dyDescent="0.25">
      <c r="S31" s="88"/>
    </row>
    <row r="32" spans="2:24" x14ac:dyDescent="0.2">
      <c r="B32" s="105" t="s">
        <v>356</v>
      </c>
      <c r="C32" s="106"/>
      <c r="D32" s="106"/>
      <c r="E32" s="106"/>
      <c r="F32" s="106"/>
      <c r="G32" s="106"/>
      <c r="H32" s="106"/>
      <c r="I32" s="106"/>
      <c r="J32" s="106"/>
      <c r="K32" s="106"/>
      <c r="L32" s="106"/>
      <c r="M32" s="106"/>
      <c r="N32" s="107"/>
      <c r="S32" s="88"/>
    </row>
    <row r="33" spans="2:19" x14ac:dyDescent="0.2">
      <c r="B33" s="108"/>
      <c r="C33" s="109"/>
      <c r="D33" s="109"/>
      <c r="E33" s="109"/>
      <c r="F33" s="109"/>
      <c r="G33" s="109"/>
      <c r="H33" s="109"/>
      <c r="I33" s="109"/>
      <c r="J33" s="109"/>
      <c r="K33" s="109"/>
      <c r="L33" s="109"/>
      <c r="M33" s="109"/>
      <c r="N33" s="110"/>
      <c r="S33" s="88"/>
    </row>
    <row r="34" spans="2:19" x14ac:dyDescent="0.2">
      <c r="B34" s="108"/>
      <c r="C34" s="109"/>
      <c r="D34" s="109"/>
      <c r="E34" s="109"/>
      <c r="F34" s="109"/>
      <c r="G34" s="109"/>
      <c r="H34" s="109"/>
      <c r="I34" s="109"/>
      <c r="J34" s="109"/>
      <c r="K34" s="109"/>
      <c r="L34" s="109"/>
      <c r="M34" s="109"/>
      <c r="N34" s="110"/>
      <c r="S34" s="88"/>
    </row>
    <row r="35" spans="2:19" x14ac:dyDescent="0.2">
      <c r="B35" s="108"/>
      <c r="C35" s="109"/>
      <c r="D35" s="109"/>
      <c r="E35" s="109"/>
      <c r="F35" s="109"/>
      <c r="G35" s="109"/>
      <c r="H35" s="109"/>
      <c r="I35" s="109"/>
      <c r="J35" s="109"/>
      <c r="K35" s="109"/>
      <c r="L35" s="109"/>
      <c r="M35" s="109"/>
      <c r="N35" s="110"/>
      <c r="S35" s="88"/>
    </row>
    <row r="36" spans="2:19" x14ac:dyDescent="0.2">
      <c r="B36" s="108"/>
      <c r="C36" s="109"/>
      <c r="D36" s="109"/>
      <c r="E36" s="109"/>
      <c r="F36" s="109"/>
      <c r="G36" s="109"/>
      <c r="H36" s="109"/>
      <c r="I36" s="109"/>
      <c r="J36" s="109"/>
      <c r="K36" s="109"/>
      <c r="L36" s="109"/>
      <c r="M36" s="109"/>
      <c r="N36" s="110"/>
      <c r="S36" s="88"/>
    </row>
    <row r="37" spans="2:19" x14ac:dyDescent="0.2">
      <c r="B37" s="108"/>
      <c r="C37" s="109"/>
      <c r="D37" s="109"/>
      <c r="E37" s="109"/>
      <c r="F37" s="109"/>
      <c r="G37" s="109"/>
      <c r="H37" s="109"/>
      <c r="I37" s="109"/>
      <c r="J37" s="109"/>
      <c r="K37" s="109"/>
      <c r="L37" s="109"/>
      <c r="M37" s="109"/>
      <c r="N37" s="110"/>
      <c r="S37" s="88"/>
    </row>
    <row r="38" spans="2:19" ht="15.75" thickBot="1" x14ac:dyDescent="0.25">
      <c r="B38" s="111"/>
      <c r="C38" s="112"/>
      <c r="D38" s="112"/>
      <c r="E38" s="112"/>
      <c r="F38" s="112"/>
      <c r="G38" s="112"/>
      <c r="H38" s="112"/>
      <c r="I38" s="112"/>
      <c r="J38" s="112"/>
      <c r="K38" s="112"/>
      <c r="L38" s="112"/>
      <c r="M38" s="112"/>
      <c r="N38" s="113"/>
      <c r="S38" s="88"/>
    </row>
    <row r="39" spans="2:19" x14ac:dyDescent="0.2">
      <c r="S39" s="88"/>
    </row>
    <row r="40" spans="2:19" x14ac:dyDescent="0.2">
      <c r="S40" s="88"/>
    </row>
    <row r="41" spans="2:19" x14ac:dyDescent="0.2">
      <c r="S41" s="88"/>
    </row>
    <row r="42" spans="2:19" x14ac:dyDescent="0.2">
      <c r="S42" s="88"/>
    </row>
    <row r="43" spans="2:19" x14ac:dyDescent="0.2">
      <c r="S43" s="88"/>
    </row>
    <row r="44" spans="2:19" x14ac:dyDescent="0.2">
      <c r="S44" s="88"/>
    </row>
    <row r="45" spans="2:19" x14ac:dyDescent="0.2">
      <c r="S45" s="88"/>
    </row>
    <row r="46" spans="2:19" x14ac:dyDescent="0.2">
      <c r="S46" s="88"/>
    </row>
    <row r="47" spans="2:19" x14ac:dyDescent="0.2">
      <c r="S47" s="88"/>
    </row>
    <row r="48" spans="2:19" x14ac:dyDescent="0.2">
      <c r="S48" s="88"/>
    </row>
    <row r="49" spans="19:19" x14ac:dyDescent="0.2">
      <c r="S49" s="88"/>
    </row>
    <row r="50" spans="19:19" x14ac:dyDescent="0.2">
      <c r="S50" s="88"/>
    </row>
    <row r="51" spans="19:19" x14ac:dyDescent="0.2">
      <c r="S51" s="88"/>
    </row>
    <row r="52" spans="19:19" x14ac:dyDescent="0.2">
      <c r="S52" s="88"/>
    </row>
    <row r="53" spans="19:19" x14ac:dyDescent="0.2">
      <c r="S53" s="88"/>
    </row>
    <row r="54" spans="19:19" x14ac:dyDescent="0.2">
      <c r="S54" s="88"/>
    </row>
    <row r="55" spans="19:19" x14ac:dyDescent="0.2">
      <c r="S55" s="88"/>
    </row>
    <row r="56" spans="19:19" x14ac:dyDescent="0.2">
      <c r="S56" s="88"/>
    </row>
    <row r="57" spans="19:19" x14ac:dyDescent="0.2">
      <c r="S57" s="88"/>
    </row>
    <row r="58" spans="19:19" x14ac:dyDescent="0.2">
      <c r="S58" s="88"/>
    </row>
    <row r="59" spans="19:19" x14ac:dyDescent="0.2">
      <c r="S59" s="88"/>
    </row>
    <row r="60" spans="19:19" x14ac:dyDescent="0.2">
      <c r="S60" s="88"/>
    </row>
    <row r="61" spans="19:19" x14ac:dyDescent="0.2">
      <c r="S61" s="88"/>
    </row>
    <row r="62" spans="19:19" x14ac:dyDescent="0.2">
      <c r="S62" s="88"/>
    </row>
    <row r="63" spans="19:19" x14ac:dyDescent="0.2">
      <c r="S63" s="88"/>
    </row>
    <row r="64" spans="19:19" x14ac:dyDescent="0.2">
      <c r="S64" s="88"/>
    </row>
    <row r="65" spans="19:19" x14ac:dyDescent="0.2">
      <c r="S65" s="88"/>
    </row>
    <row r="66" spans="19:19" x14ac:dyDescent="0.2">
      <c r="S66" s="88"/>
    </row>
    <row r="67" spans="19:19" x14ac:dyDescent="0.2">
      <c r="S67" s="88"/>
    </row>
    <row r="68" spans="19:19" x14ac:dyDescent="0.2">
      <c r="S68" s="88"/>
    </row>
    <row r="69" spans="19:19" x14ac:dyDescent="0.2">
      <c r="S69" s="88"/>
    </row>
    <row r="70" spans="19:19" x14ac:dyDescent="0.2">
      <c r="S70" s="88"/>
    </row>
    <row r="71" spans="19:19" x14ac:dyDescent="0.2">
      <c r="S71" s="88"/>
    </row>
    <row r="72" spans="19:19" x14ac:dyDescent="0.2">
      <c r="S72" s="88"/>
    </row>
    <row r="73" spans="19:19" x14ac:dyDescent="0.2">
      <c r="S73" s="88"/>
    </row>
    <row r="74" spans="19:19" x14ac:dyDescent="0.2">
      <c r="S74" s="88"/>
    </row>
    <row r="75" spans="19:19" x14ac:dyDescent="0.2">
      <c r="S75" s="88"/>
    </row>
    <row r="76" spans="19:19" x14ac:dyDescent="0.2">
      <c r="S76" s="88"/>
    </row>
    <row r="77" spans="19:19" x14ac:dyDescent="0.2">
      <c r="S77" s="88"/>
    </row>
    <row r="78" spans="19:19" x14ac:dyDescent="0.2">
      <c r="S78" s="88"/>
    </row>
    <row r="79" spans="19:19" x14ac:dyDescent="0.2">
      <c r="S79" s="88"/>
    </row>
    <row r="80" spans="19:19" x14ac:dyDescent="0.2">
      <c r="S80" s="88"/>
    </row>
    <row r="81" spans="19:19" x14ac:dyDescent="0.2">
      <c r="S81" s="88"/>
    </row>
    <row r="82" spans="19:19" x14ac:dyDescent="0.2">
      <c r="S82" s="88"/>
    </row>
    <row r="83" spans="19:19" x14ac:dyDescent="0.2">
      <c r="S83" s="88"/>
    </row>
    <row r="84" spans="19:19" x14ac:dyDescent="0.2">
      <c r="S84" s="88"/>
    </row>
    <row r="85" spans="19:19" x14ac:dyDescent="0.2">
      <c r="S85" s="88"/>
    </row>
    <row r="86" spans="19:19" x14ac:dyDescent="0.2">
      <c r="S86" s="88"/>
    </row>
    <row r="87" spans="19:19" x14ac:dyDescent="0.2">
      <c r="S87" s="88"/>
    </row>
    <row r="88" spans="19:19" x14ac:dyDescent="0.2">
      <c r="S88" s="88"/>
    </row>
    <row r="89" spans="19:19" x14ac:dyDescent="0.2">
      <c r="S89" s="88"/>
    </row>
    <row r="90" spans="19:19" x14ac:dyDescent="0.2">
      <c r="S90" s="88"/>
    </row>
    <row r="91" spans="19:19" x14ac:dyDescent="0.2">
      <c r="S91" s="88"/>
    </row>
    <row r="92" spans="19:19" x14ac:dyDescent="0.2">
      <c r="S92" s="88"/>
    </row>
    <row r="93" spans="19:19" x14ac:dyDescent="0.2">
      <c r="S93" s="88"/>
    </row>
    <row r="94" spans="19:19" x14ac:dyDescent="0.2">
      <c r="S94" s="88"/>
    </row>
    <row r="95" spans="19:19" x14ac:dyDescent="0.2">
      <c r="S95" s="88"/>
    </row>
    <row r="96" spans="19:19" x14ac:dyDescent="0.2">
      <c r="S96" s="88"/>
    </row>
    <row r="97" spans="19:19" x14ac:dyDescent="0.2">
      <c r="S97" s="88"/>
    </row>
    <row r="98" spans="19:19" x14ac:dyDescent="0.2">
      <c r="S98" s="88"/>
    </row>
    <row r="99" spans="19:19" x14ac:dyDescent="0.2">
      <c r="S99" s="88"/>
    </row>
    <row r="100" spans="19:19" x14ac:dyDescent="0.2">
      <c r="S100" s="88"/>
    </row>
    <row r="101" spans="19:19" x14ac:dyDescent="0.2">
      <c r="S101" s="88"/>
    </row>
    <row r="102" spans="19:19" x14ac:dyDescent="0.2">
      <c r="S102" s="88"/>
    </row>
    <row r="103" spans="19:19" x14ac:dyDescent="0.2">
      <c r="S103" s="88"/>
    </row>
    <row r="104" spans="19:19" x14ac:dyDescent="0.2">
      <c r="S104" s="88"/>
    </row>
    <row r="105" spans="19:19" x14ac:dyDescent="0.2">
      <c r="S105" s="88"/>
    </row>
    <row r="106" spans="19:19" x14ac:dyDescent="0.2">
      <c r="S106" s="88"/>
    </row>
    <row r="107" spans="19:19" x14ac:dyDescent="0.2">
      <c r="S107" s="88"/>
    </row>
    <row r="108" spans="19:19" x14ac:dyDescent="0.2">
      <c r="S108" s="88"/>
    </row>
    <row r="109" spans="19:19" x14ac:dyDescent="0.2">
      <c r="S109" s="88"/>
    </row>
    <row r="110" spans="19:19" x14ac:dyDescent="0.2">
      <c r="S110" s="88"/>
    </row>
    <row r="111" spans="19:19" x14ac:dyDescent="0.2">
      <c r="S111" s="88"/>
    </row>
    <row r="112" spans="19:19" x14ac:dyDescent="0.2">
      <c r="S112" s="88"/>
    </row>
    <row r="113" spans="19:19" x14ac:dyDescent="0.2">
      <c r="S113" s="88"/>
    </row>
    <row r="114" spans="19:19" x14ac:dyDescent="0.2">
      <c r="S114" s="88"/>
    </row>
    <row r="115" spans="19:19" x14ac:dyDescent="0.2">
      <c r="S115" s="88"/>
    </row>
    <row r="116" spans="19:19" x14ac:dyDescent="0.2">
      <c r="S116" s="88"/>
    </row>
    <row r="117" spans="19:19" x14ac:dyDescent="0.2">
      <c r="S117" s="88"/>
    </row>
    <row r="118" spans="19:19" x14ac:dyDescent="0.2">
      <c r="S118" s="88"/>
    </row>
    <row r="119" spans="19:19" x14ac:dyDescent="0.2">
      <c r="S119" s="88"/>
    </row>
    <row r="120" spans="19:19" x14ac:dyDescent="0.2">
      <c r="S120" s="88"/>
    </row>
    <row r="121" spans="19:19" x14ac:dyDescent="0.2">
      <c r="S121" s="88"/>
    </row>
    <row r="122" spans="19:19" x14ac:dyDescent="0.2">
      <c r="S122" s="88"/>
    </row>
    <row r="123" spans="19:19" x14ac:dyDescent="0.2">
      <c r="S123" s="88"/>
    </row>
    <row r="124" spans="19:19" x14ac:dyDescent="0.2">
      <c r="S124" s="88"/>
    </row>
    <row r="125" spans="19:19" x14ac:dyDescent="0.2">
      <c r="S125" s="88"/>
    </row>
    <row r="126" spans="19:19" x14ac:dyDescent="0.2">
      <c r="S126" s="88"/>
    </row>
    <row r="127" spans="19:19" x14ac:dyDescent="0.2">
      <c r="S127" s="88"/>
    </row>
    <row r="128" spans="19:19" x14ac:dyDescent="0.2">
      <c r="S128" s="88"/>
    </row>
    <row r="129" spans="19:19" x14ac:dyDescent="0.2">
      <c r="S129" s="88"/>
    </row>
    <row r="130" spans="19:19" x14ac:dyDescent="0.2">
      <c r="S130" s="88"/>
    </row>
    <row r="131" spans="19:19" x14ac:dyDescent="0.2">
      <c r="S131" s="88"/>
    </row>
    <row r="132" spans="19:19" x14ac:dyDescent="0.2">
      <c r="S132" s="88"/>
    </row>
    <row r="133" spans="19:19" x14ac:dyDescent="0.2">
      <c r="S133" s="88"/>
    </row>
    <row r="134" spans="19:19" x14ac:dyDescent="0.2">
      <c r="S134" s="88"/>
    </row>
    <row r="135" spans="19:19" x14ac:dyDescent="0.2">
      <c r="S135" s="88"/>
    </row>
    <row r="136" spans="19:19" x14ac:dyDescent="0.2">
      <c r="S136" s="88"/>
    </row>
    <row r="137" spans="19:19" x14ac:dyDescent="0.2">
      <c r="S137" s="88"/>
    </row>
    <row r="138" spans="19:19" x14ac:dyDescent="0.2">
      <c r="S138" s="88"/>
    </row>
    <row r="139" spans="19:19" x14ac:dyDescent="0.2">
      <c r="S139" s="88"/>
    </row>
    <row r="140" spans="19:19" x14ac:dyDescent="0.2">
      <c r="S140" s="88"/>
    </row>
    <row r="141" spans="19:19" x14ac:dyDescent="0.2">
      <c r="S141" s="88"/>
    </row>
    <row r="142" spans="19:19" x14ac:dyDescent="0.2">
      <c r="S142" s="88"/>
    </row>
    <row r="143" spans="19:19" x14ac:dyDescent="0.2">
      <c r="S143" s="88"/>
    </row>
    <row r="144" spans="19:19" x14ac:dyDescent="0.2">
      <c r="S144" s="88"/>
    </row>
    <row r="145" spans="19:19" x14ac:dyDescent="0.2">
      <c r="S145" s="88"/>
    </row>
    <row r="146" spans="19:19" x14ac:dyDescent="0.2">
      <c r="S146" s="88"/>
    </row>
    <row r="147" spans="19:19" x14ac:dyDescent="0.2">
      <c r="S147" s="88"/>
    </row>
    <row r="148" spans="19:19" x14ac:dyDescent="0.2">
      <c r="S148" s="88"/>
    </row>
    <row r="149" spans="19:19" x14ac:dyDescent="0.2">
      <c r="S149" s="88"/>
    </row>
    <row r="150" spans="19:19" x14ac:dyDescent="0.2">
      <c r="S150" s="88"/>
    </row>
    <row r="151" spans="19:19" x14ac:dyDescent="0.2">
      <c r="S151" s="88"/>
    </row>
    <row r="152" spans="19:19" x14ac:dyDescent="0.2">
      <c r="S152" s="88"/>
    </row>
    <row r="153" spans="19:19" x14ac:dyDescent="0.2">
      <c r="S153" s="88"/>
    </row>
    <row r="154" spans="19:19" x14ac:dyDescent="0.2">
      <c r="S154" s="88"/>
    </row>
    <row r="155" spans="19:19" x14ac:dyDescent="0.2">
      <c r="S155" s="88"/>
    </row>
    <row r="156" spans="19:19" x14ac:dyDescent="0.2">
      <c r="S156" s="88"/>
    </row>
    <row r="157" spans="19:19" x14ac:dyDescent="0.2">
      <c r="S157" s="88"/>
    </row>
    <row r="158" spans="19:19" x14ac:dyDescent="0.2">
      <c r="S158" s="88"/>
    </row>
    <row r="159" spans="19:19" x14ac:dyDescent="0.2">
      <c r="S159" s="88"/>
    </row>
    <row r="160" spans="19:19" x14ac:dyDescent="0.2">
      <c r="S160" s="88"/>
    </row>
    <row r="161" spans="19:19" x14ac:dyDescent="0.2">
      <c r="S161" s="88"/>
    </row>
    <row r="162" spans="19:19" x14ac:dyDescent="0.2">
      <c r="S162" s="88"/>
    </row>
    <row r="163" spans="19:19" x14ac:dyDescent="0.2">
      <c r="S163" s="88"/>
    </row>
    <row r="164" spans="19:19" x14ac:dyDescent="0.2">
      <c r="S164" s="88"/>
    </row>
    <row r="165" spans="19:19" x14ac:dyDescent="0.2">
      <c r="S165" s="88"/>
    </row>
    <row r="166" spans="19:19" x14ac:dyDescent="0.2">
      <c r="S166" s="88"/>
    </row>
    <row r="167" spans="19:19" x14ac:dyDescent="0.2">
      <c r="S167" s="88"/>
    </row>
    <row r="168" spans="19:19" x14ac:dyDescent="0.2">
      <c r="S168" s="88"/>
    </row>
    <row r="169" spans="19:19" x14ac:dyDescent="0.2">
      <c r="S169" s="88"/>
    </row>
    <row r="170" spans="19:19" x14ac:dyDescent="0.2">
      <c r="S170" s="88"/>
    </row>
    <row r="171" spans="19:19" x14ac:dyDescent="0.2">
      <c r="S171" s="88"/>
    </row>
    <row r="172" spans="19:19" x14ac:dyDescent="0.2">
      <c r="S172" s="88"/>
    </row>
    <row r="173" spans="19:19" x14ac:dyDescent="0.2">
      <c r="S173" s="88"/>
    </row>
    <row r="174" spans="19:19" x14ac:dyDescent="0.2">
      <c r="S174" s="88"/>
    </row>
    <row r="175" spans="19:19" x14ac:dyDescent="0.2">
      <c r="S175" s="88"/>
    </row>
    <row r="176" spans="19:19" x14ac:dyDescent="0.2">
      <c r="S176" s="88"/>
    </row>
    <row r="177" spans="19:19" x14ac:dyDescent="0.2">
      <c r="S177" s="88"/>
    </row>
    <row r="178" spans="19:19" x14ac:dyDescent="0.2">
      <c r="S178" s="88"/>
    </row>
    <row r="179" spans="19:19" x14ac:dyDescent="0.2">
      <c r="S179" s="88"/>
    </row>
    <row r="180" spans="19:19" x14ac:dyDescent="0.2">
      <c r="S180" s="88"/>
    </row>
    <row r="181" spans="19:19" x14ac:dyDescent="0.2">
      <c r="S181" s="88"/>
    </row>
    <row r="182" spans="19:19" x14ac:dyDescent="0.2">
      <c r="S182" s="88"/>
    </row>
    <row r="183" spans="19:19" x14ac:dyDescent="0.2">
      <c r="S183" s="88"/>
    </row>
    <row r="184" spans="19:19" x14ac:dyDescent="0.2">
      <c r="S184" s="88"/>
    </row>
    <row r="185" spans="19:19" x14ac:dyDescent="0.2">
      <c r="S185" s="88"/>
    </row>
    <row r="186" spans="19:19" x14ac:dyDescent="0.2">
      <c r="S186" s="88"/>
    </row>
    <row r="187" spans="19:19" x14ac:dyDescent="0.2">
      <c r="S187" s="88"/>
    </row>
    <row r="188" spans="19:19" x14ac:dyDescent="0.2">
      <c r="S188" s="88"/>
    </row>
    <row r="189" spans="19:19" x14ac:dyDescent="0.2">
      <c r="S189" s="88"/>
    </row>
    <row r="190" spans="19:19" x14ac:dyDescent="0.2">
      <c r="S190" s="88"/>
    </row>
    <row r="191" spans="19:19" x14ac:dyDescent="0.2">
      <c r="S191" s="88"/>
    </row>
    <row r="192" spans="19:19" x14ac:dyDescent="0.2">
      <c r="S192" s="88"/>
    </row>
    <row r="193" spans="19:19" x14ac:dyDescent="0.2">
      <c r="S193" s="88"/>
    </row>
    <row r="194" spans="19:19" x14ac:dyDescent="0.2">
      <c r="S194" s="88"/>
    </row>
    <row r="195" spans="19:19" x14ac:dyDescent="0.2">
      <c r="S195" s="88"/>
    </row>
    <row r="196" spans="19:19" x14ac:dyDescent="0.2">
      <c r="S196" s="88"/>
    </row>
    <row r="197" spans="19:19" x14ac:dyDescent="0.2">
      <c r="S197" s="88"/>
    </row>
    <row r="198" spans="19:19" x14ac:dyDescent="0.2">
      <c r="S198" s="88"/>
    </row>
    <row r="199" spans="19:19" x14ac:dyDescent="0.2">
      <c r="S199" s="88"/>
    </row>
    <row r="200" spans="19:19" x14ac:dyDescent="0.2">
      <c r="S200" s="88"/>
    </row>
    <row r="201" spans="19:19" x14ac:dyDescent="0.2">
      <c r="S201" s="88"/>
    </row>
    <row r="202" spans="19:19" x14ac:dyDescent="0.2">
      <c r="S202" s="88"/>
    </row>
    <row r="203" spans="19:19" x14ac:dyDescent="0.2">
      <c r="S203" s="88"/>
    </row>
    <row r="204" spans="19:19" x14ac:dyDescent="0.2">
      <c r="S204" s="88"/>
    </row>
    <row r="205" spans="19:19" x14ac:dyDescent="0.2">
      <c r="S205" s="88"/>
    </row>
    <row r="206" spans="19:19" x14ac:dyDescent="0.2">
      <c r="S206" s="88"/>
    </row>
    <row r="207" spans="19:19" x14ac:dyDescent="0.2">
      <c r="S207" s="88"/>
    </row>
    <row r="208" spans="19:19" x14ac:dyDescent="0.2">
      <c r="S208" s="88"/>
    </row>
    <row r="209" spans="19:19" x14ac:dyDescent="0.2">
      <c r="S209" s="88"/>
    </row>
    <row r="210" spans="19:19" x14ac:dyDescent="0.2">
      <c r="S210" s="88"/>
    </row>
    <row r="211" spans="19:19" x14ac:dyDescent="0.2">
      <c r="S211" s="88"/>
    </row>
    <row r="212" spans="19:19" x14ac:dyDescent="0.2">
      <c r="S212" s="88"/>
    </row>
    <row r="213" spans="19:19" x14ac:dyDescent="0.2">
      <c r="S213" s="88"/>
    </row>
    <row r="214" spans="19:19" x14ac:dyDescent="0.2">
      <c r="S214" s="88"/>
    </row>
    <row r="215" spans="19:19" x14ac:dyDescent="0.2">
      <c r="S215" s="88"/>
    </row>
    <row r="216" spans="19:19" x14ac:dyDescent="0.2">
      <c r="S216" s="88"/>
    </row>
    <row r="217" spans="19:19" x14ac:dyDescent="0.2">
      <c r="S217" s="88"/>
    </row>
    <row r="218" spans="19:19" x14ac:dyDescent="0.2">
      <c r="S218" s="88"/>
    </row>
    <row r="219" spans="19:19" x14ac:dyDescent="0.2">
      <c r="S219" s="88"/>
    </row>
    <row r="220" spans="19:19" x14ac:dyDescent="0.2">
      <c r="S220" s="88"/>
    </row>
    <row r="221" spans="19:19" x14ac:dyDescent="0.2">
      <c r="S221" s="88"/>
    </row>
    <row r="222" spans="19:19" x14ac:dyDescent="0.2">
      <c r="S222" s="88"/>
    </row>
    <row r="223" spans="19:19" x14ac:dyDescent="0.2">
      <c r="S223" s="88"/>
    </row>
    <row r="224" spans="19:19" x14ac:dyDescent="0.2">
      <c r="S224" s="88"/>
    </row>
    <row r="225" spans="19:19" x14ac:dyDescent="0.2">
      <c r="S225" s="88"/>
    </row>
    <row r="226" spans="19:19" x14ac:dyDescent="0.2">
      <c r="S226" s="88"/>
    </row>
    <row r="227" spans="19:19" x14ac:dyDescent="0.2">
      <c r="S227" s="88"/>
    </row>
    <row r="228" spans="19:19" x14ac:dyDescent="0.2">
      <c r="S228" s="88"/>
    </row>
    <row r="229" spans="19:19" x14ac:dyDescent="0.2">
      <c r="S229" s="88"/>
    </row>
    <row r="230" spans="19:19" x14ac:dyDescent="0.2">
      <c r="S230" s="88"/>
    </row>
    <row r="231" spans="19:19" x14ac:dyDescent="0.2">
      <c r="S231" s="88"/>
    </row>
    <row r="232" spans="19:19" x14ac:dyDescent="0.2">
      <c r="S232" s="88"/>
    </row>
    <row r="233" spans="19:19" x14ac:dyDescent="0.2">
      <c r="S233" s="88"/>
    </row>
    <row r="234" spans="19:19" x14ac:dyDescent="0.2">
      <c r="S234" s="88"/>
    </row>
    <row r="235" spans="19:19" x14ac:dyDescent="0.2">
      <c r="S235" s="88"/>
    </row>
    <row r="236" spans="19:19" x14ac:dyDescent="0.2">
      <c r="S236" s="88"/>
    </row>
    <row r="237" spans="19:19" x14ac:dyDescent="0.2">
      <c r="S237" s="88"/>
    </row>
    <row r="238" spans="19:19" x14ac:dyDescent="0.2">
      <c r="S238" s="88"/>
    </row>
    <row r="239" spans="19:19" x14ac:dyDescent="0.2">
      <c r="S239" s="88"/>
    </row>
    <row r="240" spans="19:19" x14ac:dyDescent="0.2">
      <c r="S240" s="88"/>
    </row>
    <row r="241" spans="19:19" x14ac:dyDescent="0.2">
      <c r="S241" s="88"/>
    </row>
    <row r="242" spans="19:19" x14ac:dyDescent="0.2">
      <c r="S242" s="88"/>
    </row>
    <row r="243" spans="19:19" x14ac:dyDescent="0.2">
      <c r="S243" s="88"/>
    </row>
    <row r="244" spans="19:19" x14ac:dyDescent="0.2">
      <c r="S244" s="88"/>
    </row>
    <row r="245" spans="19:19" x14ac:dyDescent="0.2">
      <c r="S245" s="88"/>
    </row>
    <row r="246" spans="19:19" x14ac:dyDescent="0.2">
      <c r="S246" s="88"/>
    </row>
    <row r="247" spans="19:19" x14ac:dyDescent="0.2">
      <c r="S247" s="88"/>
    </row>
    <row r="248" spans="19:19" x14ac:dyDescent="0.2">
      <c r="S248" s="88"/>
    </row>
    <row r="249" spans="19:19" x14ac:dyDescent="0.2">
      <c r="S249" s="88"/>
    </row>
    <row r="250" spans="19:19" x14ac:dyDescent="0.2">
      <c r="S250" s="88"/>
    </row>
    <row r="251" spans="19:19" x14ac:dyDescent="0.2">
      <c r="S251" s="88"/>
    </row>
    <row r="252" spans="19:19" x14ac:dyDescent="0.2">
      <c r="S252" s="88"/>
    </row>
    <row r="253" spans="19:19" x14ac:dyDescent="0.2">
      <c r="S253" s="88"/>
    </row>
    <row r="254" spans="19:19" x14ac:dyDescent="0.2">
      <c r="S254" s="88"/>
    </row>
    <row r="255" spans="19:19" x14ac:dyDescent="0.2">
      <c r="S255" s="88"/>
    </row>
    <row r="256" spans="19:19" x14ac:dyDescent="0.2">
      <c r="S256" s="88"/>
    </row>
    <row r="257" spans="19:19" x14ac:dyDescent="0.2">
      <c r="S257" s="88"/>
    </row>
    <row r="258" spans="19:19" x14ac:dyDescent="0.2">
      <c r="S258" s="88"/>
    </row>
    <row r="259" spans="19:19" x14ac:dyDescent="0.2">
      <c r="S259" s="88"/>
    </row>
    <row r="260" spans="19:19" x14ac:dyDescent="0.2">
      <c r="S260" s="88"/>
    </row>
    <row r="261" spans="19:19" x14ac:dyDescent="0.2">
      <c r="S261" s="88"/>
    </row>
    <row r="262" spans="19:19" x14ac:dyDescent="0.2">
      <c r="S262" s="88"/>
    </row>
    <row r="263" spans="19:19" x14ac:dyDescent="0.2">
      <c r="S263" s="88"/>
    </row>
    <row r="264" spans="19:19" x14ac:dyDescent="0.2">
      <c r="S264" s="88"/>
    </row>
    <row r="265" spans="19:19" x14ac:dyDescent="0.2">
      <c r="S265" s="88"/>
    </row>
    <row r="266" spans="19:19" x14ac:dyDescent="0.2">
      <c r="S266" s="88"/>
    </row>
    <row r="267" spans="19:19" x14ac:dyDescent="0.2">
      <c r="S267" s="88"/>
    </row>
    <row r="268" spans="19:19" x14ac:dyDescent="0.2">
      <c r="S268" s="88"/>
    </row>
    <row r="269" spans="19:19" x14ac:dyDescent="0.2">
      <c r="S269" s="88"/>
    </row>
    <row r="270" spans="19:19" x14ac:dyDescent="0.2">
      <c r="S270" s="88"/>
    </row>
    <row r="271" spans="19:19" x14ac:dyDescent="0.2">
      <c r="S271" s="88"/>
    </row>
    <row r="272" spans="19:19" x14ac:dyDescent="0.2">
      <c r="S272" s="88"/>
    </row>
    <row r="273" spans="19:19" x14ac:dyDescent="0.2">
      <c r="S273" s="88"/>
    </row>
    <row r="274" spans="19:19" x14ac:dyDescent="0.2">
      <c r="S274" s="88"/>
    </row>
    <row r="275" spans="19:19" x14ac:dyDescent="0.2">
      <c r="S275" s="88"/>
    </row>
    <row r="276" spans="19:19" x14ac:dyDescent="0.2">
      <c r="S276" s="88"/>
    </row>
    <row r="277" spans="19:19" x14ac:dyDescent="0.2">
      <c r="S277" s="88"/>
    </row>
    <row r="278" spans="19:19" x14ac:dyDescent="0.2">
      <c r="S278" s="88"/>
    </row>
    <row r="279" spans="19:19" x14ac:dyDescent="0.2">
      <c r="S279" s="88"/>
    </row>
    <row r="280" spans="19:19" x14ac:dyDescent="0.2">
      <c r="S280" s="88"/>
    </row>
    <row r="281" spans="19:19" x14ac:dyDescent="0.2">
      <c r="S281" s="88"/>
    </row>
    <row r="282" spans="19:19" x14ac:dyDescent="0.2">
      <c r="S282" s="88"/>
    </row>
    <row r="283" spans="19:19" x14ac:dyDescent="0.2">
      <c r="S283" s="88"/>
    </row>
    <row r="284" spans="19:19" x14ac:dyDescent="0.2">
      <c r="S284" s="88"/>
    </row>
    <row r="285" spans="19:19" x14ac:dyDescent="0.2">
      <c r="S285" s="88"/>
    </row>
    <row r="286" spans="19:19" x14ac:dyDescent="0.2">
      <c r="S286" s="88"/>
    </row>
    <row r="287" spans="19:19" x14ac:dyDescent="0.2">
      <c r="S287" s="88"/>
    </row>
    <row r="288" spans="19:19" x14ac:dyDescent="0.2">
      <c r="S288" s="88"/>
    </row>
    <row r="289" spans="19:19" x14ac:dyDescent="0.2">
      <c r="S289" s="88"/>
    </row>
    <row r="290" spans="19:19" x14ac:dyDescent="0.2">
      <c r="S290" s="88"/>
    </row>
    <row r="291" spans="19:19" x14ac:dyDescent="0.2">
      <c r="S291" s="88"/>
    </row>
    <row r="292" spans="19:19" x14ac:dyDescent="0.2">
      <c r="S292" s="88"/>
    </row>
    <row r="293" spans="19:19" x14ac:dyDescent="0.2">
      <c r="S293" s="88"/>
    </row>
    <row r="294" spans="19:19" x14ac:dyDescent="0.2">
      <c r="S294" s="88"/>
    </row>
    <row r="295" spans="19:19" x14ac:dyDescent="0.2">
      <c r="S295" s="88"/>
    </row>
    <row r="296" spans="19:19" x14ac:dyDescent="0.2">
      <c r="S296" s="88"/>
    </row>
    <row r="297" spans="19:19" x14ac:dyDescent="0.2">
      <c r="S297" s="88"/>
    </row>
    <row r="298" spans="19:19" x14ac:dyDescent="0.2">
      <c r="S298" s="88"/>
    </row>
    <row r="299" spans="19:19" x14ac:dyDescent="0.2">
      <c r="S299" s="88"/>
    </row>
    <row r="300" spans="19:19" x14ac:dyDescent="0.2">
      <c r="S300" s="88"/>
    </row>
    <row r="301" spans="19:19" x14ac:dyDescent="0.2">
      <c r="S301" s="88"/>
    </row>
    <row r="302" spans="19:19" x14ac:dyDescent="0.2">
      <c r="S302" s="88"/>
    </row>
    <row r="303" spans="19:19" x14ac:dyDescent="0.2">
      <c r="S303" s="88"/>
    </row>
    <row r="304" spans="19:19" x14ac:dyDescent="0.2">
      <c r="S304" s="88"/>
    </row>
    <row r="305" spans="19:19" x14ac:dyDescent="0.2">
      <c r="S305" s="88"/>
    </row>
    <row r="306" spans="19:19" x14ac:dyDescent="0.2">
      <c r="S306" s="88"/>
    </row>
    <row r="307" spans="19:19" x14ac:dyDescent="0.2">
      <c r="S307" s="88"/>
    </row>
    <row r="308" spans="19:19" x14ac:dyDescent="0.2">
      <c r="S308" s="88"/>
    </row>
    <row r="309" spans="19:19" x14ac:dyDescent="0.2">
      <c r="S309" s="88"/>
    </row>
    <row r="310" spans="19:19" x14ac:dyDescent="0.2">
      <c r="S310" s="88"/>
    </row>
    <row r="311" spans="19:19" x14ac:dyDescent="0.2">
      <c r="S311" s="88"/>
    </row>
    <row r="312" spans="19:19" x14ac:dyDescent="0.2">
      <c r="S312" s="88"/>
    </row>
    <row r="313" spans="19:19" x14ac:dyDescent="0.2">
      <c r="S313" s="88"/>
    </row>
    <row r="314" spans="19:19" x14ac:dyDescent="0.2">
      <c r="S314" s="88"/>
    </row>
    <row r="315" spans="19:19" x14ac:dyDescent="0.2">
      <c r="S315" s="88"/>
    </row>
    <row r="316" spans="19:19" x14ac:dyDescent="0.2">
      <c r="S316" s="88"/>
    </row>
    <row r="317" spans="19:19" x14ac:dyDescent="0.2">
      <c r="S317" s="88"/>
    </row>
    <row r="318" spans="19:19" x14ac:dyDescent="0.2">
      <c r="S318" s="88"/>
    </row>
    <row r="319" spans="19:19" x14ac:dyDescent="0.2">
      <c r="S319" s="88"/>
    </row>
    <row r="320" spans="19:19" x14ac:dyDescent="0.2">
      <c r="S320" s="88"/>
    </row>
    <row r="321" spans="19:19" x14ac:dyDescent="0.2">
      <c r="S321" s="88"/>
    </row>
    <row r="322" spans="19:19" x14ac:dyDescent="0.2">
      <c r="S322" s="88"/>
    </row>
    <row r="323" spans="19:19" x14ac:dyDescent="0.2">
      <c r="S323" s="88"/>
    </row>
    <row r="324" spans="19:19" x14ac:dyDescent="0.2">
      <c r="S324" s="88"/>
    </row>
    <row r="325" spans="19:19" x14ac:dyDescent="0.2">
      <c r="S325" s="88"/>
    </row>
    <row r="326" spans="19:19" x14ac:dyDescent="0.2">
      <c r="S326" s="88"/>
    </row>
    <row r="327" spans="19:19" x14ac:dyDescent="0.2">
      <c r="S327" s="88"/>
    </row>
    <row r="328" spans="19:19" x14ac:dyDescent="0.2">
      <c r="S328" s="88"/>
    </row>
    <row r="329" spans="19:19" x14ac:dyDescent="0.2">
      <c r="S329" s="88"/>
    </row>
    <row r="330" spans="19:19" x14ac:dyDescent="0.2">
      <c r="S330" s="88"/>
    </row>
    <row r="331" spans="19:19" x14ac:dyDescent="0.2">
      <c r="S331" s="88"/>
    </row>
    <row r="332" spans="19:19" x14ac:dyDescent="0.2">
      <c r="S332" s="88"/>
    </row>
    <row r="333" spans="19:19" x14ac:dyDescent="0.2">
      <c r="S333" s="88"/>
    </row>
    <row r="334" spans="19:19" x14ac:dyDescent="0.2">
      <c r="S334" s="88"/>
    </row>
    <row r="335" spans="19:19" x14ac:dyDescent="0.2">
      <c r="S335" s="88"/>
    </row>
    <row r="336" spans="19:19" x14ac:dyDescent="0.2">
      <c r="S336" s="88"/>
    </row>
    <row r="337" spans="19:19" x14ac:dyDescent="0.2">
      <c r="S337" s="88"/>
    </row>
    <row r="338" spans="19:19" x14ac:dyDescent="0.2">
      <c r="S338" s="88"/>
    </row>
    <row r="339" spans="19:19" x14ac:dyDescent="0.2">
      <c r="S339" s="88"/>
    </row>
    <row r="340" spans="19:19" x14ac:dyDescent="0.2">
      <c r="S340" s="88"/>
    </row>
    <row r="341" spans="19:19" x14ac:dyDescent="0.2">
      <c r="S341" s="88"/>
    </row>
    <row r="342" spans="19:19" x14ac:dyDescent="0.2">
      <c r="S342" s="88"/>
    </row>
    <row r="343" spans="19:19" x14ac:dyDescent="0.2">
      <c r="S343" s="88"/>
    </row>
    <row r="344" spans="19:19" x14ac:dyDescent="0.2">
      <c r="S344" s="88"/>
    </row>
    <row r="345" spans="19:19" x14ac:dyDescent="0.2">
      <c r="S345" s="88"/>
    </row>
    <row r="346" spans="19:19" x14ac:dyDescent="0.2">
      <c r="S346" s="88"/>
    </row>
    <row r="347" spans="19:19" x14ac:dyDescent="0.2">
      <c r="S347" s="88"/>
    </row>
    <row r="348" spans="19:19" x14ac:dyDescent="0.2">
      <c r="S348" s="88"/>
    </row>
    <row r="349" spans="19:19" x14ac:dyDescent="0.2">
      <c r="S349" s="88"/>
    </row>
    <row r="350" spans="19:19" x14ac:dyDescent="0.2">
      <c r="S350" s="88"/>
    </row>
    <row r="351" spans="19:19" x14ac:dyDescent="0.2">
      <c r="S351" s="88"/>
    </row>
    <row r="352" spans="19:19" x14ac:dyDescent="0.2">
      <c r="S352" s="88"/>
    </row>
    <row r="353" spans="19:19" x14ac:dyDescent="0.2">
      <c r="S353" s="88"/>
    </row>
    <row r="354" spans="19:19" x14ac:dyDescent="0.2">
      <c r="S354" s="88"/>
    </row>
    <row r="355" spans="19:19" x14ac:dyDescent="0.2">
      <c r="S355" s="88"/>
    </row>
    <row r="356" spans="19:19" x14ac:dyDescent="0.2">
      <c r="S356" s="88"/>
    </row>
    <row r="357" spans="19:19" x14ac:dyDescent="0.2">
      <c r="S357" s="88"/>
    </row>
    <row r="358" spans="19:19" x14ac:dyDescent="0.2">
      <c r="S358" s="88"/>
    </row>
    <row r="359" spans="19:19" x14ac:dyDescent="0.2">
      <c r="S359" s="88"/>
    </row>
    <row r="360" spans="19:19" x14ac:dyDescent="0.2">
      <c r="S360" s="88"/>
    </row>
    <row r="361" spans="19:19" x14ac:dyDescent="0.2">
      <c r="S361" s="88"/>
    </row>
    <row r="362" spans="19:19" x14ac:dyDescent="0.2">
      <c r="S362" s="88"/>
    </row>
    <row r="363" spans="19:19" x14ac:dyDescent="0.2">
      <c r="S363" s="88"/>
    </row>
    <row r="364" spans="19:19" x14ac:dyDescent="0.2">
      <c r="S364" s="88"/>
    </row>
    <row r="365" spans="19:19" x14ac:dyDescent="0.2">
      <c r="S365" s="88"/>
    </row>
    <row r="366" spans="19:19" x14ac:dyDescent="0.2">
      <c r="S366" s="88"/>
    </row>
    <row r="367" spans="19:19" x14ac:dyDescent="0.2">
      <c r="S367" s="88"/>
    </row>
    <row r="368" spans="19:19" x14ac:dyDescent="0.2">
      <c r="S368" s="88"/>
    </row>
    <row r="369" spans="19:19" x14ac:dyDescent="0.2">
      <c r="S369" s="88"/>
    </row>
    <row r="370" spans="19:19" x14ac:dyDescent="0.2">
      <c r="S370" s="88"/>
    </row>
    <row r="371" spans="19:19" x14ac:dyDescent="0.2">
      <c r="S371" s="88"/>
    </row>
    <row r="372" spans="19:19" x14ac:dyDescent="0.2">
      <c r="S372" s="88"/>
    </row>
    <row r="373" spans="19:19" x14ac:dyDescent="0.2">
      <c r="S373" s="88"/>
    </row>
    <row r="374" spans="19:19" x14ac:dyDescent="0.2">
      <c r="S374" s="88"/>
    </row>
    <row r="375" spans="19:19" x14ac:dyDescent="0.2">
      <c r="S375" s="88"/>
    </row>
    <row r="376" spans="19:19" x14ac:dyDescent="0.2">
      <c r="S376" s="88"/>
    </row>
    <row r="377" spans="19:19" x14ac:dyDescent="0.2">
      <c r="S377" s="88"/>
    </row>
    <row r="378" spans="19:19" x14ac:dyDescent="0.2">
      <c r="S378" s="88"/>
    </row>
    <row r="379" spans="19:19" x14ac:dyDescent="0.2">
      <c r="S379" s="88"/>
    </row>
    <row r="380" spans="19:19" x14ac:dyDescent="0.2">
      <c r="S380" s="88"/>
    </row>
    <row r="381" spans="19:19" x14ac:dyDescent="0.2">
      <c r="S381" s="88"/>
    </row>
    <row r="382" spans="19:19" x14ac:dyDescent="0.2">
      <c r="S382" s="88"/>
    </row>
    <row r="383" spans="19:19" x14ac:dyDescent="0.2">
      <c r="S383" s="88"/>
    </row>
    <row r="384" spans="19:19" x14ac:dyDescent="0.2">
      <c r="S384" s="88"/>
    </row>
    <row r="385" spans="19:19" x14ac:dyDescent="0.2">
      <c r="S385" s="88"/>
    </row>
    <row r="386" spans="19:19" x14ac:dyDescent="0.2">
      <c r="S386" s="88"/>
    </row>
    <row r="387" spans="19:19" x14ac:dyDescent="0.2">
      <c r="S387" s="88"/>
    </row>
    <row r="388" spans="19:19" x14ac:dyDescent="0.2">
      <c r="S388" s="88"/>
    </row>
    <row r="389" spans="19:19" x14ac:dyDescent="0.2">
      <c r="S389" s="88"/>
    </row>
    <row r="390" spans="19:19" x14ac:dyDescent="0.2">
      <c r="S390" s="88"/>
    </row>
    <row r="391" spans="19:19" x14ac:dyDescent="0.2">
      <c r="S391" s="88"/>
    </row>
    <row r="392" spans="19:19" x14ac:dyDescent="0.2">
      <c r="S392" s="88"/>
    </row>
    <row r="393" spans="19:19" x14ac:dyDescent="0.2">
      <c r="S393" s="88"/>
    </row>
    <row r="394" spans="19:19" x14ac:dyDescent="0.2">
      <c r="S394" s="88"/>
    </row>
    <row r="395" spans="19:19" x14ac:dyDescent="0.2">
      <c r="S395" s="88"/>
    </row>
    <row r="396" spans="19:19" x14ac:dyDescent="0.2">
      <c r="S396" s="88"/>
    </row>
    <row r="397" spans="19:19" x14ac:dyDescent="0.2">
      <c r="S397" s="88"/>
    </row>
    <row r="398" spans="19:19" x14ac:dyDescent="0.2">
      <c r="S398" s="88"/>
    </row>
    <row r="399" spans="19:19" x14ac:dyDescent="0.2">
      <c r="S399" s="88"/>
    </row>
    <row r="400" spans="19:19" x14ac:dyDescent="0.2">
      <c r="S400" s="88"/>
    </row>
    <row r="401" spans="19:19" x14ac:dyDescent="0.2">
      <c r="S401" s="88"/>
    </row>
    <row r="402" spans="19:19" x14ac:dyDescent="0.2">
      <c r="S402" s="88"/>
    </row>
    <row r="403" spans="19:19" x14ac:dyDescent="0.2">
      <c r="S403" s="88"/>
    </row>
    <row r="404" spans="19:19" x14ac:dyDescent="0.2">
      <c r="S404" s="88"/>
    </row>
    <row r="405" spans="19:19" x14ac:dyDescent="0.2">
      <c r="S405" s="88"/>
    </row>
    <row r="406" spans="19:19" x14ac:dyDescent="0.2">
      <c r="S406" s="88"/>
    </row>
    <row r="407" spans="19:19" x14ac:dyDescent="0.2">
      <c r="S407" s="88"/>
    </row>
    <row r="408" spans="19:19" x14ac:dyDescent="0.2">
      <c r="S408" s="88"/>
    </row>
    <row r="409" spans="19:19" x14ac:dyDescent="0.2">
      <c r="S409" s="88"/>
    </row>
    <row r="410" spans="19:19" x14ac:dyDescent="0.2">
      <c r="S410" s="88"/>
    </row>
    <row r="411" spans="19:19" x14ac:dyDescent="0.2">
      <c r="S411" s="88"/>
    </row>
    <row r="412" spans="19:19" x14ac:dyDescent="0.2">
      <c r="S412" s="88"/>
    </row>
    <row r="413" spans="19:19" x14ac:dyDescent="0.2">
      <c r="S413" s="88"/>
    </row>
    <row r="414" spans="19:19" x14ac:dyDescent="0.2">
      <c r="S414" s="88"/>
    </row>
    <row r="415" spans="19:19" x14ac:dyDescent="0.2">
      <c r="S415" s="88"/>
    </row>
    <row r="416" spans="19:19" x14ac:dyDescent="0.2">
      <c r="S416" s="88"/>
    </row>
    <row r="417" spans="19:19" x14ac:dyDescent="0.2">
      <c r="S417" s="88"/>
    </row>
    <row r="418" spans="19:19" x14ac:dyDescent="0.2">
      <c r="S418" s="88"/>
    </row>
    <row r="419" spans="19:19" x14ac:dyDescent="0.2">
      <c r="S419" s="88"/>
    </row>
    <row r="420" spans="19:19" x14ac:dyDescent="0.2">
      <c r="S420" s="88"/>
    </row>
    <row r="421" spans="19:19" x14ac:dyDescent="0.2">
      <c r="S421" s="88"/>
    </row>
    <row r="422" spans="19:19" x14ac:dyDescent="0.2">
      <c r="S422" s="88"/>
    </row>
    <row r="423" spans="19:19" x14ac:dyDescent="0.2">
      <c r="S423" s="88"/>
    </row>
    <row r="424" spans="19:19" x14ac:dyDescent="0.2">
      <c r="S424" s="88"/>
    </row>
    <row r="425" spans="19:19" x14ac:dyDescent="0.2">
      <c r="S425" s="88"/>
    </row>
    <row r="426" spans="19:19" x14ac:dyDescent="0.2">
      <c r="S426" s="88"/>
    </row>
    <row r="427" spans="19:19" x14ac:dyDescent="0.2">
      <c r="S427" s="88"/>
    </row>
    <row r="428" spans="19:19" x14ac:dyDescent="0.2">
      <c r="S428" s="88"/>
    </row>
    <row r="429" spans="19:19" x14ac:dyDescent="0.2">
      <c r="S429" s="88"/>
    </row>
    <row r="430" spans="19:19" x14ac:dyDescent="0.2">
      <c r="S430" s="88"/>
    </row>
    <row r="431" spans="19:19" x14ac:dyDescent="0.2">
      <c r="S431" s="88"/>
    </row>
    <row r="432" spans="19:19" x14ac:dyDescent="0.2">
      <c r="S432" s="88"/>
    </row>
    <row r="433" spans="19:19" x14ac:dyDescent="0.2">
      <c r="S433" s="88"/>
    </row>
    <row r="434" spans="19:19" x14ac:dyDescent="0.2">
      <c r="S434" s="88"/>
    </row>
    <row r="435" spans="19:19" x14ac:dyDescent="0.2">
      <c r="S435" s="88"/>
    </row>
    <row r="436" spans="19:19" x14ac:dyDescent="0.2">
      <c r="S436" s="88"/>
    </row>
    <row r="437" spans="19:19" x14ac:dyDescent="0.2">
      <c r="S437" s="88"/>
    </row>
    <row r="438" spans="19:19" x14ac:dyDescent="0.2">
      <c r="S438" s="88"/>
    </row>
    <row r="439" spans="19:19" x14ac:dyDescent="0.2">
      <c r="S439" s="88"/>
    </row>
    <row r="440" spans="19:19" x14ac:dyDescent="0.2">
      <c r="S440" s="88"/>
    </row>
    <row r="441" spans="19:19" x14ac:dyDescent="0.2">
      <c r="S441" s="88"/>
    </row>
    <row r="442" spans="19:19" x14ac:dyDescent="0.2">
      <c r="S442" s="88"/>
    </row>
    <row r="443" spans="19:19" x14ac:dyDescent="0.2">
      <c r="S443" s="88"/>
    </row>
    <row r="444" spans="19:19" x14ac:dyDescent="0.2">
      <c r="S444" s="88"/>
    </row>
    <row r="445" spans="19:19" x14ac:dyDescent="0.2">
      <c r="S445" s="88"/>
    </row>
    <row r="446" spans="19:19" x14ac:dyDescent="0.2">
      <c r="S446" s="88"/>
    </row>
    <row r="447" spans="19:19" x14ac:dyDescent="0.2">
      <c r="S447" s="88"/>
    </row>
    <row r="448" spans="19:19" x14ac:dyDescent="0.2">
      <c r="S448" s="88"/>
    </row>
    <row r="449" spans="19:19" x14ac:dyDescent="0.2">
      <c r="S449" s="88"/>
    </row>
    <row r="450" spans="19:19" x14ac:dyDescent="0.2">
      <c r="S450" s="88"/>
    </row>
    <row r="451" spans="19:19" x14ac:dyDescent="0.2">
      <c r="S451" s="88"/>
    </row>
    <row r="452" spans="19:19" x14ac:dyDescent="0.2">
      <c r="S452" s="88"/>
    </row>
    <row r="453" spans="19:19" x14ac:dyDescent="0.2">
      <c r="S453" s="88"/>
    </row>
    <row r="454" spans="19:19" x14ac:dyDescent="0.2">
      <c r="S454" s="88"/>
    </row>
    <row r="455" spans="19:19" x14ac:dyDescent="0.2">
      <c r="S455" s="88"/>
    </row>
    <row r="456" spans="19:19" x14ac:dyDescent="0.2">
      <c r="S456" s="88"/>
    </row>
    <row r="457" spans="19:19" x14ac:dyDescent="0.2">
      <c r="S457" s="88"/>
    </row>
    <row r="458" spans="19:19" x14ac:dyDescent="0.2">
      <c r="S458" s="88"/>
    </row>
    <row r="459" spans="19:19" x14ac:dyDescent="0.2">
      <c r="S459" s="88"/>
    </row>
    <row r="460" spans="19:19" x14ac:dyDescent="0.2">
      <c r="S460" s="88"/>
    </row>
    <row r="461" spans="19:19" x14ac:dyDescent="0.2">
      <c r="S461" s="88"/>
    </row>
    <row r="462" spans="19:19" x14ac:dyDescent="0.2">
      <c r="S462" s="88"/>
    </row>
    <row r="463" spans="19:19" x14ac:dyDescent="0.2">
      <c r="S463" s="88"/>
    </row>
    <row r="464" spans="19:19" x14ac:dyDescent="0.2">
      <c r="S464" s="88"/>
    </row>
    <row r="465" spans="19:19" x14ac:dyDescent="0.2">
      <c r="S465" s="88"/>
    </row>
    <row r="466" spans="19:19" x14ac:dyDescent="0.2">
      <c r="S466" s="88"/>
    </row>
    <row r="467" spans="19:19" x14ac:dyDescent="0.2">
      <c r="S467" s="88"/>
    </row>
    <row r="468" spans="19:19" x14ac:dyDescent="0.2">
      <c r="S468" s="88"/>
    </row>
    <row r="469" spans="19:19" x14ac:dyDescent="0.2">
      <c r="S469" s="88"/>
    </row>
    <row r="470" spans="19:19" x14ac:dyDescent="0.2">
      <c r="S470" s="88"/>
    </row>
    <row r="471" spans="19:19" x14ac:dyDescent="0.2">
      <c r="S471" s="88"/>
    </row>
    <row r="472" spans="19:19" x14ac:dyDescent="0.2">
      <c r="S472" s="88"/>
    </row>
    <row r="473" spans="19:19" x14ac:dyDescent="0.2">
      <c r="S473" s="88"/>
    </row>
    <row r="474" spans="19:19" x14ac:dyDescent="0.2">
      <c r="S474" s="88"/>
    </row>
    <row r="475" spans="19:19" x14ac:dyDescent="0.2">
      <c r="S475" s="88"/>
    </row>
    <row r="476" spans="19:19" x14ac:dyDescent="0.2">
      <c r="S476" s="88"/>
    </row>
    <row r="477" spans="19:19" x14ac:dyDescent="0.2">
      <c r="S477" s="88"/>
    </row>
    <row r="478" spans="19:19" x14ac:dyDescent="0.2">
      <c r="S478" s="88"/>
    </row>
    <row r="479" spans="19:19" x14ac:dyDescent="0.2">
      <c r="S479" s="88"/>
    </row>
    <row r="480" spans="19:19" x14ac:dyDescent="0.2">
      <c r="S480" s="88"/>
    </row>
    <row r="481" spans="19:19" x14ac:dyDescent="0.2">
      <c r="S481" s="88"/>
    </row>
    <row r="482" spans="19:19" x14ac:dyDescent="0.2">
      <c r="S482" s="88"/>
    </row>
    <row r="483" spans="19:19" x14ac:dyDescent="0.2">
      <c r="S483" s="88"/>
    </row>
    <row r="484" spans="19:19" x14ac:dyDescent="0.2">
      <c r="S484" s="88"/>
    </row>
    <row r="485" spans="19:19" x14ac:dyDescent="0.2">
      <c r="S485" s="88"/>
    </row>
    <row r="486" spans="19:19" x14ac:dyDescent="0.2">
      <c r="S486" s="88"/>
    </row>
    <row r="487" spans="19:19" x14ac:dyDescent="0.2">
      <c r="S487" s="88"/>
    </row>
    <row r="488" spans="19:19" x14ac:dyDescent="0.2">
      <c r="S488" s="88"/>
    </row>
    <row r="489" spans="19:19" x14ac:dyDescent="0.2">
      <c r="S489" s="88"/>
    </row>
    <row r="490" spans="19:19" x14ac:dyDescent="0.2">
      <c r="S490" s="88"/>
    </row>
    <row r="491" spans="19:19" x14ac:dyDescent="0.2">
      <c r="S491" s="88"/>
    </row>
    <row r="492" spans="19:19" x14ac:dyDescent="0.2">
      <c r="S492" s="88"/>
    </row>
    <row r="493" spans="19:19" x14ac:dyDescent="0.2">
      <c r="S493" s="88"/>
    </row>
    <row r="494" spans="19:19" x14ac:dyDescent="0.2">
      <c r="S494" s="88"/>
    </row>
    <row r="495" spans="19:19" x14ac:dyDescent="0.2">
      <c r="S495" s="88"/>
    </row>
    <row r="496" spans="19:19" x14ac:dyDescent="0.2">
      <c r="S496" s="88"/>
    </row>
    <row r="497" spans="19:19" x14ac:dyDescent="0.2">
      <c r="S497" s="88"/>
    </row>
    <row r="498" spans="19:19" x14ac:dyDescent="0.2">
      <c r="S498" s="88"/>
    </row>
    <row r="499" spans="19:19" x14ac:dyDescent="0.2">
      <c r="S499" s="88"/>
    </row>
    <row r="500" spans="19:19" x14ac:dyDescent="0.2">
      <c r="S500" s="88"/>
    </row>
    <row r="501" spans="19:19" x14ac:dyDescent="0.2">
      <c r="S501" s="88"/>
    </row>
    <row r="502" spans="19:19" x14ac:dyDescent="0.2">
      <c r="S502" s="88"/>
    </row>
    <row r="503" spans="19:19" x14ac:dyDescent="0.2">
      <c r="S503" s="88"/>
    </row>
    <row r="504" spans="19:19" x14ac:dyDescent="0.2">
      <c r="S504" s="88"/>
    </row>
    <row r="505" spans="19:19" x14ac:dyDescent="0.2">
      <c r="S505" s="88"/>
    </row>
    <row r="506" spans="19:19" x14ac:dyDescent="0.2">
      <c r="S506" s="88"/>
    </row>
    <row r="507" spans="19:19" x14ac:dyDescent="0.2">
      <c r="S507" s="88"/>
    </row>
    <row r="508" spans="19:19" x14ac:dyDescent="0.2">
      <c r="S508" s="88"/>
    </row>
    <row r="509" spans="19:19" x14ac:dyDescent="0.2">
      <c r="S509" s="88"/>
    </row>
    <row r="510" spans="19:19" x14ac:dyDescent="0.2">
      <c r="S510" s="88"/>
    </row>
    <row r="511" spans="19:19" x14ac:dyDescent="0.2">
      <c r="S511" s="88"/>
    </row>
    <row r="512" spans="19:19" x14ac:dyDescent="0.2">
      <c r="S512" s="88"/>
    </row>
    <row r="513" spans="19:19" x14ac:dyDescent="0.2">
      <c r="S513" s="88"/>
    </row>
    <row r="514" spans="19:19" x14ac:dyDescent="0.2">
      <c r="S514" s="88"/>
    </row>
    <row r="515" spans="19:19" x14ac:dyDescent="0.2">
      <c r="S515" s="88"/>
    </row>
    <row r="516" spans="19:19" x14ac:dyDescent="0.2">
      <c r="S516" s="88"/>
    </row>
    <row r="517" spans="19:19" x14ac:dyDescent="0.2">
      <c r="S517" s="88"/>
    </row>
    <row r="518" spans="19:19" x14ac:dyDescent="0.2">
      <c r="S518" s="88"/>
    </row>
    <row r="519" spans="19:19" x14ac:dyDescent="0.2">
      <c r="S519" s="88"/>
    </row>
    <row r="520" spans="19:19" x14ac:dyDescent="0.2">
      <c r="S520" s="88"/>
    </row>
    <row r="521" spans="19:19" x14ac:dyDescent="0.2">
      <c r="S521" s="88"/>
    </row>
    <row r="522" spans="19:19" x14ac:dyDescent="0.2">
      <c r="S522" s="88"/>
    </row>
    <row r="523" spans="19:19" x14ac:dyDescent="0.2">
      <c r="S523" s="88"/>
    </row>
    <row r="524" spans="19:19" x14ac:dyDescent="0.2">
      <c r="S524" s="88"/>
    </row>
    <row r="525" spans="19:19" x14ac:dyDescent="0.2">
      <c r="S525" s="88"/>
    </row>
    <row r="526" spans="19:19" x14ac:dyDescent="0.2">
      <c r="S526" s="88"/>
    </row>
    <row r="527" spans="19:19" x14ac:dyDescent="0.2">
      <c r="S527" s="88"/>
    </row>
    <row r="528" spans="19:19" x14ac:dyDescent="0.2">
      <c r="S528" s="88"/>
    </row>
    <row r="529" spans="19:19" x14ac:dyDescent="0.2">
      <c r="S529" s="88"/>
    </row>
    <row r="530" spans="19:19" x14ac:dyDescent="0.2">
      <c r="S530" s="88"/>
    </row>
    <row r="531" spans="19:19" x14ac:dyDescent="0.2">
      <c r="S531" s="88"/>
    </row>
    <row r="532" spans="19:19" x14ac:dyDescent="0.2">
      <c r="S532" s="88"/>
    </row>
    <row r="533" spans="19:19" x14ac:dyDescent="0.2">
      <c r="S533" s="88"/>
    </row>
    <row r="534" spans="19:19" x14ac:dyDescent="0.2">
      <c r="S534" s="88"/>
    </row>
    <row r="535" spans="19:19" x14ac:dyDescent="0.2">
      <c r="S535" s="88"/>
    </row>
    <row r="536" spans="19:19" x14ac:dyDescent="0.2">
      <c r="S536" s="88"/>
    </row>
    <row r="537" spans="19:19" x14ac:dyDescent="0.2">
      <c r="S537" s="88"/>
    </row>
    <row r="538" spans="19:19" x14ac:dyDescent="0.2">
      <c r="S538" s="88"/>
    </row>
    <row r="539" spans="19:19" x14ac:dyDescent="0.2">
      <c r="S539" s="88"/>
    </row>
    <row r="540" spans="19:19" x14ac:dyDescent="0.2">
      <c r="S540" s="88"/>
    </row>
    <row r="541" spans="19:19" x14ac:dyDescent="0.2">
      <c r="S541" s="88"/>
    </row>
    <row r="542" spans="19:19" x14ac:dyDescent="0.2">
      <c r="S542" s="88"/>
    </row>
    <row r="543" spans="19:19" x14ac:dyDescent="0.2">
      <c r="S543" s="88"/>
    </row>
    <row r="544" spans="19:19" x14ac:dyDescent="0.2">
      <c r="S544" s="88"/>
    </row>
    <row r="545" spans="19:19" x14ac:dyDescent="0.2">
      <c r="S545" s="88"/>
    </row>
    <row r="546" spans="19:19" x14ac:dyDescent="0.2">
      <c r="S546" s="88"/>
    </row>
    <row r="547" spans="19:19" x14ac:dyDescent="0.2">
      <c r="S547" s="88"/>
    </row>
    <row r="548" spans="19:19" x14ac:dyDescent="0.2">
      <c r="S548" s="88"/>
    </row>
    <row r="549" spans="19:19" x14ac:dyDescent="0.2">
      <c r="S549" s="88"/>
    </row>
    <row r="550" spans="19:19" x14ac:dyDescent="0.2">
      <c r="S550" s="88"/>
    </row>
    <row r="551" spans="19:19" x14ac:dyDescent="0.2">
      <c r="S551" s="88"/>
    </row>
    <row r="552" spans="19:19" x14ac:dyDescent="0.2">
      <c r="S552" s="88"/>
    </row>
    <row r="553" spans="19:19" x14ac:dyDescent="0.2">
      <c r="S553" s="88"/>
    </row>
    <row r="554" spans="19:19" x14ac:dyDescent="0.2">
      <c r="S554" s="88"/>
    </row>
    <row r="555" spans="19:19" x14ac:dyDescent="0.2">
      <c r="S555" s="88"/>
    </row>
    <row r="556" spans="19:19" x14ac:dyDescent="0.2">
      <c r="S556" s="88"/>
    </row>
    <row r="557" spans="19:19" x14ac:dyDescent="0.2">
      <c r="S557" s="88"/>
    </row>
    <row r="558" spans="19:19" x14ac:dyDescent="0.2">
      <c r="S558" s="88"/>
    </row>
    <row r="559" spans="19:19" x14ac:dyDescent="0.2">
      <c r="S559" s="88"/>
    </row>
    <row r="560" spans="19:19" x14ac:dyDescent="0.2">
      <c r="S560" s="88"/>
    </row>
    <row r="561" spans="19:19" x14ac:dyDescent="0.2">
      <c r="S561" s="88"/>
    </row>
    <row r="562" spans="19:19" x14ac:dyDescent="0.2">
      <c r="S562" s="88"/>
    </row>
    <row r="563" spans="19:19" x14ac:dyDescent="0.2">
      <c r="S563" s="88"/>
    </row>
    <row r="564" spans="19:19" x14ac:dyDescent="0.2">
      <c r="S564" s="88"/>
    </row>
    <row r="565" spans="19:19" x14ac:dyDescent="0.2">
      <c r="S565" s="88"/>
    </row>
    <row r="566" spans="19:19" x14ac:dyDescent="0.2">
      <c r="S566" s="88"/>
    </row>
    <row r="567" spans="19:19" x14ac:dyDescent="0.2">
      <c r="S567" s="88"/>
    </row>
    <row r="568" spans="19:19" x14ac:dyDescent="0.2">
      <c r="S568" s="88"/>
    </row>
    <row r="569" spans="19:19" x14ac:dyDescent="0.2">
      <c r="S569" s="88"/>
    </row>
    <row r="570" spans="19:19" x14ac:dyDescent="0.2">
      <c r="S570" s="88"/>
    </row>
    <row r="571" spans="19:19" x14ac:dyDescent="0.2">
      <c r="S571" s="88"/>
    </row>
    <row r="572" spans="19:19" x14ac:dyDescent="0.2">
      <c r="S572" s="88"/>
    </row>
    <row r="573" spans="19:19" x14ac:dyDescent="0.2">
      <c r="S573" s="88"/>
    </row>
    <row r="574" spans="19:19" x14ac:dyDescent="0.2">
      <c r="S574" s="88"/>
    </row>
    <row r="575" spans="19:19" x14ac:dyDescent="0.2">
      <c r="S575" s="88"/>
    </row>
    <row r="576" spans="19:19" x14ac:dyDescent="0.2">
      <c r="S576" s="88"/>
    </row>
    <row r="577" spans="19:19" x14ac:dyDescent="0.2">
      <c r="S577" s="88"/>
    </row>
    <row r="578" spans="19:19" x14ac:dyDescent="0.2">
      <c r="S578" s="88"/>
    </row>
    <row r="579" spans="19:19" x14ac:dyDescent="0.2">
      <c r="S579" s="88"/>
    </row>
    <row r="580" spans="19:19" x14ac:dyDescent="0.2">
      <c r="S580" s="88"/>
    </row>
    <row r="581" spans="19:19" x14ac:dyDescent="0.2">
      <c r="S581" s="88"/>
    </row>
    <row r="582" spans="19:19" x14ac:dyDescent="0.2">
      <c r="S582" s="88"/>
    </row>
    <row r="583" spans="19:19" x14ac:dyDescent="0.2">
      <c r="S583" s="88"/>
    </row>
    <row r="584" spans="19:19" x14ac:dyDescent="0.2">
      <c r="S584" s="88"/>
    </row>
    <row r="585" spans="19:19" x14ac:dyDescent="0.2">
      <c r="S585" s="88"/>
    </row>
    <row r="586" spans="19:19" x14ac:dyDescent="0.2">
      <c r="S586" s="88"/>
    </row>
    <row r="587" spans="19:19" x14ac:dyDescent="0.2">
      <c r="S587" s="88"/>
    </row>
    <row r="588" spans="19:19" x14ac:dyDescent="0.2">
      <c r="S588" s="88"/>
    </row>
    <row r="589" spans="19:19" x14ac:dyDescent="0.2">
      <c r="S589" s="88"/>
    </row>
    <row r="590" spans="19:19" x14ac:dyDescent="0.2">
      <c r="S590" s="88"/>
    </row>
    <row r="591" spans="19:19" x14ac:dyDescent="0.2">
      <c r="S591" s="88"/>
    </row>
    <row r="592" spans="19:19" x14ac:dyDescent="0.2">
      <c r="S592" s="88"/>
    </row>
    <row r="593" spans="19:19" x14ac:dyDescent="0.2">
      <c r="S593" s="88"/>
    </row>
    <row r="594" spans="19:19" x14ac:dyDescent="0.2">
      <c r="S594" s="88"/>
    </row>
    <row r="595" spans="19:19" x14ac:dyDescent="0.2">
      <c r="S595" s="88"/>
    </row>
    <row r="596" spans="19:19" x14ac:dyDescent="0.2">
      <c r="S596" s="88"/>
    </row>
    <row r="597" spans="19:19" x14ac:dyDescent="0.2">
      <c r="S597" s="88"/>
    </row>
    <row r="598" spans="19:19" x14ac:dyDescent="0.2">
      <c r="S598" s="88"/>
    </row>
    <row r="599" spans="19:19" x14ac:dyDescent="0.2">
      <c r="S599" s="88"/>
    </row>
    <row r="600" spans="19:19" x14ac:dyDescent="0.2">
      <c r="S600" s="88"/>
    </row>
    <row r="601" spans="19:19" x14ac:dyDescent="0.2">
      <c r="S601" s="88"/>
    </row>
    <row r="602" spans="19:19" x14ac:dyDescent="0.2">
      <c r="S602" s="88"/>
    </row>
    <row r="603" spans="19:19" x14ac:dyDescent="0.2">
      <c r="S603" s="88"/>
    </row>
    <row r="604" spans="19:19" x14ac:dyDescent="0.2">
      <c r="S604" s="88"/>
    </row>
    <row r="605" spans="19:19" x14ac:dyDescent="0.2">
      <c r="S605" s="88"/>
    </row>
    <row r="606" spans="19:19" x14ac:dyDescent="0.2">
      <c r="S606" s="88"/>
    </row>
    <row r="607" spans="19:19" x14ac:dyDescent="0.2">
      <c r="S607" s="88"/>
    </row>
    <row r="608" spans="19:19" x14ac:dyDescent="0.2">
      <c r="S608" s="88"/>
    </row>
    <row r="609" spans="19:19" x14ac:dyDescent="0.2">
      <c r="S609" s="88"/>
    </row>
    <row r="610" spans="19:19" x14ac:dyDescent="0.2">
      <c r="S610" s="88"/>
    </row>
    <row r="611" spans="19:19" x14ac:dyDescent="0.2">
      <c r="S611" s="88"/>
    </row>
    <row r="612" spans="19:19" x14ac:dyDescent="0.2">
      <c r="S612" s="88"/>
    </row>
    <row r="613" spans="19:19" x14ac:dyDescent="0.2">
      <c r="S613" s="88"/>
    </row>
    <row r="614" spans="19:19" x14ac:dyDescent="0.2">
      <c r="S614" s="88"/>
    </row>
    <row r="615" spans="19:19" x14ac:dyDescent="0.2">
      <c r="S615" s="88"/>
    </row>
    <row r="616" spans="19:19" x14ac:dyDescent="0.2">
      <c r="S616" s="88"/>
    </row>
    <row r="617" spans="19:19" x14ac:dyDescent="0.2">
      <c r="S617" s="88"/>
    </row>
    <row r="618" spans="19:19" x14ac:dyDescent="0.2">
      <c r="S618" s="88"/>
    </row>
    <row r="619" spans="19:19" x14ac:dyDescent="0.2">
      <c r="S619" s="88"/>
    </row>
    <row r="620" spans="19:19" x14ac:dyDescent="0.2">
      <c r="S620" s="88"/>
    </row>
    <row r="621" spans="19:19" x14ac:dyDescent="0.2">
      <c r="S621" s="88"/>
    </row>
    <row r="622" spans="19:19" x14ac:dyDescent="0.2">
      <c r="S622" s="88"/>
    </row>
    <row r="623" spans="19:19" x14ac:dyDescent="0.2">
      <c r="S623" s="88"/>
    </row>
    <row r="624" spans="19:19" x14ac:dyDescent="0.2">
      <c r="S624" s="88"/>
    </row>
    <row r="625" spans="19:19" x14ac:dyDescent="0.2">
      <c r="S625" s="88"/>
    </row>
    <row r="626" spans="19:19" x14ac:dyDescent="0.2">
      <c r="S626" s="88"/>
    </row>
    <row r="627" spans="19:19" x14ac:dyDescent="0.2">
      <c r="S627" s="88"/>
    </row>
    <row r="628" spans="19:19" x14ac:dyDescent="0.2">
      <c r="S628" s="88"/>
    </row>
    <row r="629" spans="19:19" x14ac:dyDescent="0.2">
      <c r="S629" s="88"/>
    </row>
    <row r="630" spans="19:19" x14ac:dyDescent="0.2">
      <c r="S630" s="88"/>
    </row>
    <row r="631" spans="19:19" x14ac:dyDescent="0.2">
      <c r="S631" s="88"/>
    </row>
    <row r="632" spans="19:19" x14ac:dyDescent="0.2">
      <c r="S632" s="88"/>
    </row>
    <row r="633" spans="19:19" x14ac:dyDescent="0.2">
      <c r="S633" s="88"/>
    </row>
    <row r="634" spans="19:19" x14ac:dyDescent="0.2">
      <c r="S634" s="88"/>
    </row>
    <row r="635" spans="19:19" x14ac:dyDescent="0.2">
      <c r="S635" s="88"/>
    </row>
    <row r="636" spans="19:19" x14ac:dyDescent="0.2">
      <c r="S636" s="88"/>
    </row>
    <row r="637" spans="19:19" x14ac:dyDescent="0.2">
      <c r="S637" s="88"/>
    </row>
    <row r="638" spans="19:19" x14ac:dyDescent="0.2">
      <c r="S638" s="88"/>
    </row>
    <row r="639" spans="19:19" x14ac:dyDescent="0.2">
      <c r="S639" s="88"/>
    </row>
    <row r="640" spans="19:19" x14ac:dyDescent="0.2">
      <c r="S640" s="88"/>
    </row>
    <row r="641" spans="19:19" x14ac:dyDescent="0.2">
      <c r="S641" s="88"/>
    </row>
    <row r="642" spans="19:19" x14ac:dyDescent="0.2">
      <c r="S642" s="88"/>
    </row>
    <row r="643" spans="19:19" x14ac:dyDescent="0.2">
      <c r="S643" s="88"/>
    </row>
    <row r="644" spans="19:19" x14ac:dyDescent="0.2">
      <c r="S644" s="88"/>
    </row>
    <row r="645" spans="19:19" x14ac:dyDescent="0.2">
      <c r="S645" s="88"/>
    </row>
    <row r="646" spans="19:19" x14ac:dyDescent="0.2">
      <c r="S646" s="88"/>
    </row>
    <row r="647" spans="19:19" x14ac:dyDescent="0.2">
      <c r="S647" s="88"/>
    </row>
    <row r="648" spans="19:19" x14ac:dyDescent="0.2">
      <c r="S648" s="88"/>
    </row>
    <row r="649" spans="19:19" x14ac:dyDescent="0.2">
      <c r="S649" s="88"/>
    </row>
    <row r="650" spans="19:19" x14ac:dyDescent="0.2">
      <c r="S650" s="88"/>
    </row>
    <row r="651" spans="19:19" x14ac:dyDescent="0.2">
      <c r="S651" s="88"/>
    </row>
    <row r="652" spans="19:19" x14ac:dyDescent="0.2">
      <c r="S652" s="88"/>
    </row>
    <row r="653" spans="19:19" x14ac:dyDescent="0.2">
      <c r="S653" s="88"/>
    </row>
    <row r="654" spans="19:19" x14ac:dyDescent="0.2">
      <c r="S654" s="88"/>
    </row>
    <row r="655" spans="19:19" x14ac:dyDescent="0.2">
      <c r="S655" s="88"/>
    </row>
    <row r="656" spans="19:19" x14ac:dyDescent="0.2">
      <c r="S656" s="88"/>
    </row>
    <row r="657" spans="19:19" x14ac:dyDescent="0.2">
      <c r="S657" s="88"/>
    </row>
    <row r="658" spans="19:19" x14ac:dyDescent="0.2">
      <c r="S658" s="88"/>
    </row>
    <row r="659" spans="19:19" x14ac:dyDescent="0.2">
      <c r="S659" s="88"/>
    </row>
    <row r="660" spans="19:19" x14ac:dyDescent="0.2">
      <c r="S660" s="88"/>
    </row>
    <row r="661" spans="19:19" x14ac:dyDescent="0.2">
      <c r="S661" s="88"/>
    </row>
    <row r="662" spans="19:19" x14ac:dyDescent="0.2">
      <c r="S662" s="88"/>
    </row>
    <row r="663" spans="19:19" x14ac:dyDescent="0.2">
      <c r="S663" s="88"/>
    </row>
    <row r="664" spans="19:19" x14ac:dyDescent="0.2">
      <c r="S664" s="88"/>
    </row>
    <row r="665" spans="19:19" x14ac:dyDescent="0.2">
      <c r="S665" s="88"/>
    </row>
    <row r="666" spans="19:19" x14ac:dyDescent="0.2">
      <c r="S666" s="88"/>
    </row>
    <row r="667" spans="19:19" x14ac:dyDescent="0.2">
      <c r="S667" s="88"/>
    </row>
    <row r="668" spans="19:19" x14ac:dyDescent="0.2">
      <c r="S668" s="88"/>
    </row>
    <row r="669" spans="19:19" x14ac:dyDescent="0.2">
      <c r="S669" s="88"/>
    </row>
    <row r="670" spans="19:19" x14ac:dyDescent="0.2">
      <c r="S670" s="88"/>
    </row>
    <row r="671" spans="19:19" x14ac:dyDescent="0.2">
      <c r="S671" s="88"/>
    </row>
    <row r="672" spans="19:19" x14ac:dyDescent="0.2">
      <c r="S672" s="88"/>
    </row>
    <row r="673" spans="19:19" x14ac:dyDescent="0.2">
      <c r="S673" s="88"/>
    </row>
    <row r="674" spans="19:19" x14ac:dyDescent="0.2">
      <c r="S674" s="88"/>
    </row>
    <row r="675" spans="19:19" x14ac:dyDescent="0.2">
      <c r="S675" s="88"/>
    </row>
    <row r="676" spans="19:19" x14ac:dyDescent="0.2">
      <c r="S676" s="88"/>
    </row>
    <row r="677" spans="19:19" x14ac:dyDescent="0.2">
      <c r="S677" s="88"/>
    </row>
    <row r="678" spans="19:19" x14ac:dyDescent="0.2">
      <c r="S678" s="88"/>
    </row>
    <row r="679" spans="19:19" x14ac:dyDescent="0.2">
      <c r="S679" s="88"/>
    </row>
    <row r="680" spans="19:19" x14ac:dyDescent="0.2">
      <c r="S680" s="88"/>
    </row>
    <row r="681" spans="19:19" x14ac:dyDescent="0.2">
      <c r="S681" s="88"/>
    </row>
    <row r="682" spans="19:19" x14ac:dyDescent="0.2">
      <c r="S682" s="88"/>
    </row>
    <row r="683" spans="19:19" x14ac:dyDescent="0.2">
      <c r="S683" s="88"/>
    </row>
    <row r="684" spans="19:19" x14ac:dyDescent="0.2">
      <c r="S684" s="88"/>
    </row>
    <row r="685" spans="19:19" x14ac:dyDescent="0.2">
      <c r="S685" s="88"/>
    </row>
    <row r="686" spans="19:19" x14ac:dyDescent="0.2">
      <c r="S686" s="88"/>
    </row>
    <row r="687" spans="19:19" x14ac:dyDescent="0.2">
      <c r="S687" s="88"/>
    </row>
    <row r="688" spans="19:19" x14ac:dyDescent="0.2">
      <c r="S688" s="88"/>
    </row>
    <row r="689" spans="19:19" x14ac:dyDescent="0.2">
      <c r="S689" s="88"/>
    </row>
    <row r="690" spans="19:19" x14ac:dyDescent="0.2">
      <c r="S690" s="88"/>
    </row>
    <row r="691" spans="19:19" x14ac:dyDescent="0.2">
      <c r="S691" s="88"/>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BANDHAN OF</vt:lpstr>
      <vt:lpstr>BANDHAN CF</vt:lpstr>
      <vt:lpstr>BANDHAN LDF</vt:lpstr>
      <vt:lpstr>BANDHAN MMF</vt:lpstr>
      <vt:lpstr>BANDHAN USTF</vt:lpstr>
      <vt:lpstr>BANDHAN DBF</vt:lpstr>
      <vt:lpstr>BANDHAN BOND IP</vt:lpstr>
      <vt:lpstr>BANDHAN BOND MT</vt:lpstr>
      <vt:lpstr>BANDHAN BOND ST</vt:lpstr>
      <vt:lpstr>BANDHAN BPDF</vt:lpstr>
      <vt:lpstr>BANDHAN CBF</vt:lpstr>
      <vt:lpstr>BANDHAN FRF</vt:lpstr>
      <vt:lpstr>BANDHAN CRF</vt:lpstr>
      <vt:lpstr>BANDHAN Long Dur</vt:lpstr>
      <vt:lpstr>BANDHAN GSF-IP</vt:lpstr>
      <vt:lpstr>BANDHAN GSF - CMP</vt:lpstr>
      <vt:lpstr>BANDHAN GIF26</vt:lpstr>
      <vt:lpstr>BANDHAN GIF2027</vt:lpstr>
      <vt:lpstr>BANDHAN GIF32</vt:lpstr>
      <vt:lpstr>BANDHAN GIF2028</vt:lpstr>
      <vt:lpstr>BANDHAN SDLGIF26</vt:lpstr>
      <vt:lpstr>BANDHAN SDLGIF27</vt:lpstr>
      <vt:lpstr>BANDHAN SDLGIF32</vt:lpstr>
      <vt:lpstr>BANDHAN ASBF</vt:lpstr>
      <vt:lpstr>BANDHAN US TB 0-1yr FOF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BANDHANMF Products2</dc:creator>
  <cp:lastModifiedBy>BANDHANMF Products2</cp:lastModifiedBy>
  <dcterms:created xsi:type="dcterms:W3CDTF">2025-01-01T05:54:39Z</dcterms:created>
  <dcterms:modified xsi:type="dcterms:W3CDTF">2025-01-01T12:12:20Z</dcterms:modified>
</cp:coreProperties>
</file>