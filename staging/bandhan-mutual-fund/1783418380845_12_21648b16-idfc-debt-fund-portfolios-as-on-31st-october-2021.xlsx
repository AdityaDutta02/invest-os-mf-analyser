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Products Team\WEEKLY PORTFOLIOS\"/>
    </mc:Choice>
  </mc:AlternateContent>
  <bookViews>
    <workbookView xWindow="0" yWindow="0" windowWidth="14370" windowHeight="7440"/>
  </bookViews>
  <sheets>
    <sheet name="IDFC OF" sheetId="15" r:id="rId1"/>
    <sheet name="IDFC CF" sheetId="7" r:id="rId2"/>
    <sheet name="IDFC LDF" sheetId="13" r:id="rId3"/>
    <sheet name="IDFC MMF" sheetId="14" r:id="rId4"/>
    <sheet name="IDFC USTF" sheetId="16" r:id="rId5"/>
    <sheet name="IDFC DBF" sheetId="10" r:id="rId6"/>
    <sheet name="IDFC BOND IP" sheetId="4" r:id="rId7"/>
    <sheet name="IDFC BOND MT" sheetId="5" r:id="rId8"/>
    <sheet name="IDFC BOND ST" sheetId="6" r:id="rId9"/>
    <sheet name="IDFC BPDF" sheetId="3" r:id="rId10"/>
    <sheet name="IDFC-CBF" sheetId="8" r:id="rId11"/>
    <sheet name="IDFC FRF" sheetId="17" r:id="rId12"/>
    <sheet name="IDFC CRF" sheetId="9" r:id="rId13"/>
    <sheet name="IDFC GSF-IP" sheetId="11" r:id="rId14"/>
    <sheet name="IDFC GSF - CMP" sheetId="12" r:id="rId15"/>
    <sheet name="IDFC GIF 2027" sheetId="18" r:id="rId16"/>
    <sheet name="IDFC GIF 2028" sheetId="19" r:id="rId17"/>
    <sheet name="IDFC ASBF" sheetId="2" r:id="rId18"/>
    <sheet name="Disclaimer" sheetId="20" r:id="rId19"/>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8" i="17" l="1"/>
  <c r="K17" i="17" l="1"/>
  <c r="K15" i="17"/>
  <c r="K14" i="17"/>
  <c r="K13" i="17"/>
  <c r="K12" i="17"/>
  <c r="K11" i="17"/>
  <c r="K10" i="17"/>
  <c r="K9" i="17"/>
  <c r="K11" i="19"/>
  <c r="K10" i="19"/>
  <c r="K9" i="19"/>
  <c r="K11" i="18"/>
  <c r="K10" i="18"/>
  <c r="K9" i="18"/>
  <c r="H10" i="9" l="1"/>
  <c r="H8" i="9"/>
</calcChain>
</file>

<file path=xl/sharedStrings.xml><?xml version="1.0" encoding="utf-8"?>
<sst xmlns="http://schemas.openxmlformats.org/spreadsheetml/2006/main" count="1010" uniqueCount="207">
  <si>
    <t>IDFC ALL SEASONS BOND FUND (31 October, 2021 )</t>
  </si>
  <si>
    <t>Name</t>
  </si>
  <si>
    <t>Rating</t>
  </si>
  <si>
    <t>Total</t>
  </si>
  <si>
    <t>IDFC-IDFC Banking &amp; PSU Debt Fund - Direct Growth</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</si>
  <si>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</si>
  <si>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</si>
  <si>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</si>
  <si>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</si>
  <si>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</si>
  <si>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</si>
  <si>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</si>
  <si>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</si>
  <si>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</si>
  <si>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</si>
  <si>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</si>
  <si>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</si>
  <si>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Asset Allocation</t>
  </si>
  <si>
    <t>IDFC BANKING &amp; PSU DEBT FUND (31 October, 2021 )</t>
  </si>
  <si>
    <t>Axis Bank Limited</t>
  </si>
  <si>
    <t xml:space="preserve"> A1+</t>
  </si>
  <si>
    <t>Export Import Bank of India</t>
  </si>
  <si>
    <t>Certificate of Deposit Total</t>
  </si>
  <si>
    <t>Housing Development Finance Corporation Limited</t>
  </si>
  <si>
    <t>Commercial Paper Total</t>
  </si>
  <si>
    <t>National Bank For Agriculture and Rural Development</t>
  </si>
  <si>
    <t xml:space="preserve"> AAA</t>
  </si>
  <si>
    <t>Power Finance Corporation Limited</t>
  </si>
  <si>
    <t>REC Limited</t>
  </si>
  <si>
    <t>Indian Railway Finance Corporation Limited</t>
  </si>
  <si>
    <t>Hindustan Petroleum Corporation Limited</t>
  </si>
  <si>
    <t>National Highways Auth Of Ind</t>
  </si>
  <si>
    <t>National Housing Bank</t>
  </si>
  <si>
    <t>Small Industries Dev Bank of India</t>
  </si>
  <si>
    <t>ICICI Bank Limited</t>
  </si>
  <si>
    <t>Reliance Industries Limited</t>
  </si>
  <si>
    <t>Power Grid Corporation of India Limited</t>
  </si>
  <si>
    <t>Housing &amp; Urban Development Corporation Limited</t>
  </si>
  <si>
    <t>LIC Housing Finance Limited</t>
  </si>
  <si>
    <t>NTPC Limited</t>
  </si>
  <si>
    <t>Indian Oil Corporation Limited</t>
  </si>
  <si>
    <t>NHPC Limited</t>
  </si>
  <si>
    <t>Larsen &amp; Toubro Limited</t>
  </si>
  <si>
    <t>Oil &amp; Natural Gas Corporation Limited</t>
  </si>
  <si>
    <t>Bajaj Finance Limited</t>
  </si>
  <si>
    <t>Tata Sons Private Ltd</t>
  </si>
  <si>
    <t>Corporate Bond Total</t>
  </si>
  <si>
    <t>Kotak Mahindra Bank Limited</t>
  </si>
  <si>
    <t>Floating Rate Note Total</t>
  </si>
  <si>
    <t>7.32% GOI (MD 28/01/2024)</t>
  </si>
  <si>
    <t>SOV</t>
  </si>
  <si>
    <t>7.37% GOI (MD 16/04/2023)</t>
  </si>
  <si>
    <t>5.22% GOI (MD 15/06/2025)</t>
  </si>
  <si>
    <t>7.16% GOI (MD 20/05/2023)</t>
  </si>
  <si>
    <t>4.26% GOI (MD 17/05/2023)</t>
  </si>
  <si>
    <t>7.68% GOI (MD 15/12/2023)</t>
  </si>
  <si>
    <t>8.13% GOI (MD 21/09/2022)</t>
  </si>
  <si>
    <t>Government Bond Total</t>
  </si>
  <si>
    <t>State Government Bond Total</t>
  </si>
  <si>
    <t>Zero Coupon Bond Total</t>
  </si>
  <si>
    <t>Certificate of Deposit</t>
  </si>
  <si>
    <t>Corporate Bond</t>
  </si>
  <si>
    <t>Commercial Paper</t>
  </si>
  <si>
    <t>Floating Rate Note</t>
  </si>
  <si>
    <t>Government Bond</t>
  </si>
  <si>
    <t>State Government Bond</t>
  </si>
  <si>
    <t>Zero Coupon Bond</t>
  </si>
  <si>
    <t>IDFC BOND FUND - INCOME PLAN (31 October, 2021 )</t>
  </si>
  <si>
    <t>5.63% GOI (MD 12/04/2026)</t>
  </si>
  <si>
    <t>6.1% GOI (MD 12/07/2031)</t>
  </si>
  <si>
    <t>7.73% GOI (MD 19/12/2034)</t>
  </si>
  <si>
    <t>IDFC BOND FUND - MEDIUM TERM PLAN (31 October, 2021 )</t>
  </si>
  <si>
    <t>7.17% GOI (MD 08/01/2028)</t>
  </si>
  <si>
    <t>6.79% GOI (MD 15/05/2027)</t>
  </si>
  <si>
    <t>8.24% GOI (MD 15/02/2027)</t>
  </si>
  <si>
    <t xml:space="preserve"> AAA(SO)</t>
  </si>
  <si>
    <t>PTC Total</t>
  </si>
  <si>
    <t>182 Days Tbill (MD 12/11/2021)</t>
  </si>
  <si>
    <t>Treasury Bill Total</t>
  </si>
  <si>
    <t>PTC</t>
  </si>
  <si>
    <t>Treasury Bill</t>
  </si>
  <si>
    <t>IDFC BOND FUND - SHORT TERM PLAN (31 October, 2021 )</t>
  </si>
  <si>
    <t>Kotak Mahindra Prime Limited</t>
  </si>
  <si>
    <t>HDB Financial Services Limited</t>
  </si>
  <si>
    <t>8.28% GOI (M/D 21/09/2027)</t>
  </si>
  <si>
    <t>IDFC CASH FUND (31 October, 2021 )</t>
  </si>
  <si>
    <t>Reliance Retail Ventures Limited</t>
  </si>
  <si>
    <t>Reliance Jio Infocomm Limited</t>
  </si>
  <si>
    <t>HDFC Securities Limited</t>
  </si>
  <si>
    <t>ICICI Securities Limited</t>
  </si>
  <si>
    <t>91 Days Tbill (MD 23/12/2021)</t>
  </si>
  <si>
    <t>91 Days Tbill (MD 02/12/2021)</t>
  </si>
  <si>
    <t>182 Days Tbill (MD 09/12/2021)</t>
  </si>
  <si>
    <t>182 Days Tbill (MD 25/11/2021)</t>
  </si>
  <si>
    <t>91 Days Tbill (MD 16/12/2021)</t>
  </si>
  <si>
    <t>IDFC CORPORATE BOND FUND (31 October, 2021 )</t>
  </si>
  <si>
    <t>UltraTech Cement Limited</t>
  </si>
  <si>
    <t>Mahindra &amp; Mahindra Limited</t>
  </si>
  <si>
    <t>IDFC CREDIT RISK FUND (31 October, 2021 )</t>
  </si>
  <si>
    <t xml:space="preserve"> AA(CE)</t>
  </si>
  <si>
    <t>Bharti Hexacom Limited</t>
  </si>
  <si>
    <t xml:space="preserve"> AA+</t>
  </si>
  <si>
    <t>Summit Digitel Infrastructure Private Limited</t>
  </si>
  <si>
    <t>Tata Steel Limited</t>
  </si>
  <si>
    <t>Hindalco Industries Limited</t>
  </si>
  <si>
    <t xml:space="preserve"> AA</t>
  </si>
  <si>
    <t>Tata Power Company Limited</t>
  </si>
  <si>
    <t>AA+</t>
  </si>
  <si>
    <t>AA</t>
  </si>
  <si>
    <t>IDFC DYNAMIC BOND FUND (31 October, 2021 )</t>
  </si>
  <si>
    <t>8.20% GOI (MD 24/09/2025)</t>
  </si>
  <si>
    <t>IDFC GOVERNMENT SECURITIES FUND - INVESTMENT PLAN (31 October, 2021 )</t>
  </si>
  <si>
    <t>IDFC GOVERNMENT SECURITIES FUND-CONSTANT MATURITY (31 October, 2021 )</t>
  </si>
  <si>
    <t>IDFC LOW DURATION FUND (31 October, 2021 )</t>
  </si>
  <si>
    <t>Kotak Mahindra Investments Limited</t>
  </si>
  <si>
    <t>Grasim Industries Limited</t>
  </si>
  <si>
    <t>8.33% GOI 2026 (M/D 09/07/2026)</t>
  </si>
  <si>
    <t>6.84% GOI (MD 19/12/2022)</t>
  </si>
  <si>
    <t>8.79% GOI (MD 08/11/2021)</t>
  </si>
  <si>
    <t>Interest Rate Swaps</t>
  </si>
  <si>
    <t>182 Days Tbill (MD 23/12/2021)</t>
  </si>
  <si>
    <t>182 Days Tbill (MD 16/12/2021)</t>
  </si>
  <si>
    <t>Sundaram Finance Limited</t>
  </si>
  <si>
    <t>IDFC MONEY MANAGER FUND (31 October, 2021 )</t>
  </si>
  <si>
    <t>8.20% GOI (MD 15/02/2022)</t>
  </si>
  <si>
    <t>182 Days Tbill (MD 02/12/2021)</t>
  </si>
  <si>
    <t>IDFC OVERNIGHT FUND (31 October, 2021 )</t>
  </si>
  <si>
    <t>IDFC ULTRA SHORT TERM FUND (31 October, 2021 )</t>
  </si>
  <si>
    <t>9.22% Tamil Nadu SDL (MD 23/11/2021)</t>
  </si>
  <si>
    <t>8.05% Gujarat SDL (MD 25/02/2025)</t>
  </si>
  <si>
    <t>8.38% Haryana SDL (MD 27/01/2026)</t>
  </si>
  <si>
    <t>8.48% Karnataka SDL (MD 17/10/2022)</t>
  </si>
  <si>
    <t>4.75% Haryana SDL (MD 06/05/2022)</t>
  </si>
  <si>
    <t>9.23% Gujarat SDL (MD 23/11/2021)</t>
  </si>
  <si>
    <t>8.75% Tamilnadu SDL (MD 22/02/2022)</t>
  </si>
  <si>
    <t>8.95% Maharashtra SDL (MD 07/03/2022)</t>
  </si>
  <si>
    <t>8.92% Tamil Nadu SDL (MD 07/03/2022)</t>
  </si>
  <si>
    <t>8.99% Gujrat SDL (MD 14/03/2022)</t>
  </si>
  <si>
    <t>9.20% Andhra Pradesh SDL (MD 11/04/2022)</t>
  </si>
  <si>
    <t>8.84% Tamil Nadu SDL (MD 18/07/2022)</t>
  </si>
  <si>
    <t>8.85% Maharashtra SDL (MD 18/07/2022)</t>
  </si>
  <si>
    <t>8.92% Tamilnadu SDL (MD 08/08/2022)</t>
  </si>
  <si>
    <t>8.92%  TAMIL NADU SDL (MD 05/09/2022)</t>
  </si>
  <si>
    <t>8.90% TAMILNADU SDL(MD/20/09/2022)</t>
  </si>
  <si>
    <t>8.86% Tamil Nadu SDL (MD 03/10/2022)</t>
  </si>
  <si>
    <t>8.79% Gujrat SDL (MD 25/10/2022)</t>
  </si>
  <si>
    <t>8.85% Maharashtra SDL (MD 03/10/2022)</t>
  </si>
  <si>
    <t>8.90% RAJASTHAN SDL - (MD 20/09/2022)</t>
  </si>
  <si>
    <t>7.42% Maharashtra SDL (MD 11/05/2022)</t>
  </si>
  <si>
    <t>4.54% Maharashtra SDL (MD 03/06/2022)</t>
  </si>
  <si>
    <t>6.64% Rajasthan SDL (MD 25/09/2022)</t>
  </si>
  <si>
    <t>8.99% Madhya Pradesh SDL (MD 07/03/2022)</t>
  </si>
  <si>
    <t>7.9% CHHATISGARH SDL (MD 28/11/2021)</t>
  </si>
  <si>
    <t>8.79% Maharashtra SDL (MD 21/12/2021)</t>
  </si>
  <si>
    <t>8.90% Andhra pradesh SDL (MD 04/07/2022)</t>
  </si>
  <si>
    <t>8.84% Gujrat SDL (MD 17/10/2022)</t>
  </si>
  <si>
    <t>8.25% Andhra PradeshSDL (MD 25/04/2023)</t>
  </si>
  <si>
    <t>8.25% Maharastra SDL  ( MD 13/05/2025)</t>
  </si>
  <si>
    <t>8.2% Gujarat SDL (MD 24/06/2025)</t>
  </si>
  <si>
    <t>8.37% Tamil Nadu SDL (MD 05/12/2028)</t>
  </si>
  <si>
    <t>8.68% Gujarat SDL (MD 06/02/2023)</t>
  </si>
  <si>
    <t>8.10% TAMIL NADU SDL (MD 08/05/2023)</t>
  </si>
  <si>
    <t>7.62% Tamil Nadu SDL (MD 05/06/2023)</t>
  </si>
  <si>
    <t>8.62% Maharashtra SDL (MD 06/03/2023)</t>
  </si>
  <si>
    <t>7.77% Gujarat SDL (MD 19/06/2023)</t>
  </si>
  <si>
    <t>7.77% Tamil Nadu SDL (MD 19/06/2023)</t>
  </si>
  <si>
    <t>7.95% Tamil Nadu SDL (MD 03/07/2023)</t>
  </si>
  <si>
    <t>9.25% Haryana SDL (MD 09-Oct-2023)</t>
  </si>
  <si>
    <t>8.48% Tamilnadu SDL (MD 04/07/2023)</t>
  </si>
  <si>
    <t>7.93% Chattisgarh SDL (MD 13/02/2024)</t>
  </si>
  <si>
    <t>5.93% ODISHA SDL (MD 08/04/2022)</t>
  </si>
  <si>
    <t>5.41% Andhra Pradesh SDL (MD 12/08/2024)</t>
  </si>
  <si>
    <t>5.68% Maharashtra SDL (MD 23/09/2024)</t>
  </si>
  <si>
    <t>9.5% Gujrat SDL (MD 11/09/2023)</t>
  </si>
  <si>
    <t>9.22% Gujarat SDL (MD 09/10/2023)</t>
  </si>
  <si>
    <t>9.37% Gujarat SDL (MD 30/01/2024)</t>
  </si>
  <si>
    <t>9.55% Karnataka SDL (MD 12/02/2024)</t>
  </si>
  <si>
    <t>9.63% Andhra Pradesh SDL (MD 12/02/2024)</t>
  </si>
  <si>
    <t>9.80% Haryana SDL (MD 26/02/2024)</t>
  </si>
  <si>
    <t>9.71% Haryana SDL (MD 12/03/2024)</t>
  </si>
  <si>
    <t>9.47% Haryana SDL (MD 26/03/2024)</t>
  </si>
  <si>
    <t>9.11% Maharashtra SDL (MD 28/05/2024)</t>
  </si>
  <si>
    <t>9.24% Haryana SDL (MD 16/01/2024)</t>
  </si>
  <si>
    <t>8.96% Maharashtra SDL  (MD 09/07/2024)</t>
  </si>
  <si>
    <t>8.83% Tamilnadu SDL (MD 11/06/2024)</t>
  </si>
  <si>
    <t>9.48% Andhra Pradesh SDL (MD 26/03/2024)</t>
  </si>
  <si>
    <t>6.64% Rajasthan SDL (MD 05/02/2024)</t>
  </si>
  <si>
    <t>5.6% Haryana SDL (MD 20/05/2024)</t>
  </si>
  <si>
    <t>5.75% Tamilnadu SDL (MD 27/05/2025)</t>
  </si>
  <si>
    <t>5.6% Maharashtra SDL (MD 09/09/2024)</t>
  </si>
  <si>
    <t>5.46% Tamilnadu SDL (MD 03/06/2024)</t>
  </si>
  <si>
    <t>9.10% Tamil Nadu SDL(MD 09/05/2022)</t>
  </si>
  <si>
    <t>Sikka Ports and Terminals Limited</t>
  </si>
  <si>
    <t>Jamnagar Utilities &amp; Power Private Limited</t>
  </si>
  <si>
    <t>GOI FRB 2024 (MD 07/11/2024)</t>
  </si>
  <si>
    <t>^PTC originated by Reliance Industries Limited</t>
  </si>
  <si>
    <t>First Business Receivables Trust^</t>
  </si>
  <si>
    <t>* Corporate Guarantee from Tata Power</t>
  </si>
  <si>
    <t>^^AT1 Bonds under Basel III</t>
  </si>
  <si>
    <t>IDFC FLOATING RATE FUND (31 October, 2021 )</t>
  </si>
  <si>
    <t>IDFC GILT 2027 INDEX FUND (31 October, 2021 )</t>
  </si>
  <si>
    <t xml:space="preserve"> IDFC GILT 2028 INDEX FUND (31 October, 2021 )</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</si>
  <si>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</si>
  <si>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Tata Power Renewable Energy Limited*</t>
  </si>
  <si>
    <t>IndusInd Bank Limited^^</t>
  </si>
  <si>
    <t>Bank of Baroda^^</t>
  </si>
  <si>
    <t>Indian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</si>
</sst>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Black]\(0.00%\)"/>
    <numFmt numFmtId="165" formatCode="0.000%;[Black]\(0.000%\)"/>
    <numFmt numFmtId="166" formatCode="0.0000%;[Black]\(0.0000%\)"/>
  </numFmts>
  <fonts count="7"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s>
  <fills count="4">
    <fill>
      <patternFill patternType="none"/>
    </fill>
    <fill>
      <patternFill patternType="gray125"/>
    </fill>
    <fill>
      <patternFill patternType="solid">
        <fgColor rgb="FFD8D8D8"/>
        <bgColor indexed="64"/>
      </patternFill>
    </fill>
    <fill>
      <patternFill patternType="solid">
        <fgColor theme="0"/>
        <bgColor indexed="64"/>
      </patternFill>
    </fill>
  </fills>
  <borders count="27">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7">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10" fontId="6" fillId="0" borderId="0" xfId="0" applyNumberFormat="1" applyFont="1" applyBorder="1"/>
    <xf numFmtId="0" fontId="1" fillId="0" borderId="18" xfId="0" applyFont="1" applyBorder="1" applyAlignment="1">
      <alignment vertical="center"/>
    </xf>
    <xf numFmtId="164" fontId="1" fillId="0" borderId="18" xfId="0" applyNumberFormat="1" applyFont="1" applyBorder="1" applyAlignment="1">
      <alignment vertical="center"/>
    </xf>
    <xf numFmtId="165" fontId="1" fillId="0" borderId="2" xfId="0" applyNumberFormat="1" applyFont="1" applyBorder="1" applyAlignment="1">
      <alignment vertical="center"/>
    </xf>
    <xf numFmtId="166" fontId="1" fillId="0" borderId="2" xfId="0" applyNumberFormat="1" applyFont="1" applyBorder="1" applyAlignment="1">
      <alignment vertical="center"/>
    </xf>
    <xf numFmtId="0" fontId="0" fillId="0" borderId="0" xfId="0" applyFill="1" applyBorder="1"/>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0" xfId="0" applyBorder="1" applyAlignment="1">
      <alignment horizontal="left" vertical="top" wrapText="1"/>
    </xf>
    <xf numFmtId="0" fontId="0" fillId="0" borderId="23" xfId="0" applyBorder="1" applyAlignment="1">
      <alignment horizontal="left" vertical="top" wrapText="1"/>
    </xf>
    <xf numFmtId="0" fontId="0" fillId="3" borderId="0" xfId="0" applyFill="1"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7087035694414"/>
                  <c:y val="-3.0837004405286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A874-48C2-9851-A665789B2F7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A874-48C2-9851-A665789B2F7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E766-44A4-8C59-5E36C9F9EDBF}"/>
                </c:ext>
              </c:extLst>
            </c:dLbl>
            <c:dLbl>
              <c:idx val="1"/>
              <c:layout>
                <c:manualLayout>
                  <c:x val="0.2406309329106881"/>
                  <c:y val="-3.596850393700787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E766-44A4-8C59-5E36C9F9EDB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Net Current Asset</c:v>
                </c:pt>
                <c:pt idx="1">
                  <c:v>TRI Party Repo</c:v>
                </c:pt>
              </c:strCache>
            </c:strRef>
          </c:cat>
          <c:val>
            <c:numRef>
              <c:f>'IDFC OF'!$K$9:$K$10</c:f>
              <c:numCache>
                <c:formatCode>0.00%</c:formatCode>
                <c:ptCount val="2"/>
                <c:pt idx="0">
                  <c:v>-3.4200000000000002E-4</c:v>
                </c:pt>
                <c:pt idx="1">
                  <c:v>1.00034</c:v>
                </c:pt>
              </c:numCache>
            </c:numRef>
          </c:val>
          <c:extLst>
            <c:ext xmlns:c16="http://schemas.microsoft.com/office/drawing/2014/chart" uri="{C3380CC4-5D6E-409C-BE32-E72D297353CC}">
              <c16:uniqueId val="{0000000C-E766-44A4-8C59-5E36C9F9EDB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A36C-4BF8-AA95-5D13907DF17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A36C-4BF8-AA95-5D13907DF17B}"/>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3FC4-46C7-A968-C52AEF8479D2}"/>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3FC4-46C7-A968-C52AEF8479D2}"/>
                </c:ext>
              </c:extLst>
            </c:dLbl>
            <c:dLbl>
              <c:idx val="2"/>
              <c:layout>
                <c:manualLayout>
                  <c:x val="-7.4906337992547506E-2"/>
                  <c:y val="0.285131924298936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3FC4-46C7-A968-C52AEF8479D2}"/>
                </c:ext>
              </c:extLst>
            </c:dLbl>
            <c:dLbl>
              <c:idx val="3"/>
              <c:layout>
                <c:manualLayout>
                  <c:x val="8.0170800384427327E-3"/>
                  <c:y val="1.064718883823732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3FC4-46C7-A968-C52AEF8479D2}"/>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3FC4-46C7-A968-C52AEF8479D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CF'!$J$9:$J$13</c:f>
              <c:strCache>
                <c:ptCount val="5"/>
                <c:pt idx="0">
                  <c:v>Net Current Asset</c:v>
                </c:pt>
                <c:pt idx="1">
                  <c:v>TRI Party Repo</c:v>
                </c:pt>
                <c:pt idx="2">
                  <c:v>Corporate Bond</c:v>
                </c:pt>
                <c:pt idx="3">
                  <c:v>Commercial Paper</c:v>
                </c:pt>
                <c:pt idx="4">
                  <c:v>Treasury Bill</c:v>
                </c:pt>
              </c:strCache>
            </c:strRef>
          </c:cat>
          <c:val>
            <c:numRef>
              <c:f>'IDFC CF'!$K$9:$K$13</c:f>
              <c:numCache>
                <c:formatCode>0.00%</c:formatCode>
                <c:ptCount val="5"/>
                <c:pt idx="0">
                  <c:v>9.3700000000000001E-4</c:v>
                </c:pt>
                <c:pt idx="1">
                  <c:v>0.260378</c:v>
                </c:pt>
                <c:pt idx="2">
                  <c:v>4.7655000000000003E-2</c:v>
                </c:pt>
                <c:pt idx="3">
                  <c:v>0.39360800000000001</c:v>
                </c:pt>
                <c:pt idx="4">
                  <c:v>0.29742200000000002</c:v>
                </c:pt>
              </c:numCache>
            </c:numRef>
          </c:val>
          <c:extLst>
            <c:ext xmlns:c16="http://schemas.microsoft.com/office/drawing/2014/chart" uri="{C3380CC4-5D6E-409C-BE32-E72D297353CC}">
              <c16:uniqueId val="{0000000C-3FC4-46C7-A968-C52AEF8479D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3.96475770925110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92D9-4635-97F2-5294D569CF3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92D9-4635-97F2-5294D569CF3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layout>
                <c:manualLayout>
                  <c:x val="0.12018125410983156"/>
                  <c:y val="-1.784443428689705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AC3F-415A-98AB-8E416614391D}"/>
                </c:ext>
              </c:extLst>
            </c:dLbl>
            <c:dLbl>
              <c:idx val="1"/>
              <c:layout>
                <c:manualLayout>
                  <c:x val="6.0759749785024277E-2"/>
                  <c:y val="-0.1629136445567524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AC3F-415A-98AB-8E416614391D}"/>
                </c:ext>
              </c:extLst>
            </c:dLbl>
            <c:dLbl>
              <c:idx val="2"/>
              <c:layout>
                <c:manualLayout>
                  <c:x val="5.0697870474970069E-2"/>
                  <c:y val="-4.92456296194081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AC3F-415A-98AB-8E416614391D}"/>
                </c:ext>
              </c:extLst>
            </c:dLbl>
            <c:dLbl>
              <c:idx val="3"/>
              <c:layout>
                <c:manualLayout>
                  <c:x val="-2.5859228784838727E-2"/>
                  <c:y val="0.2581914774344334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AC3F-415A-98AB-8E416614391D}"/>
                </c:ext>
              </c:extLst>
            </c:dLbl>
            <c:dLbl>
              <c:idx val="4"/>
              <c:layout>
                <c:manualLayout>
                  <c:x val="0.1953829098450488"/>
                  <c:y val="0.1190713318556976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AC3F-415A-98AB-8E416614391D}"/>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AC3F-415A-98AB-8E416614391D}"/>
                </c:ext>
              </c:extLst>
            </c:dLbl>
            <c:dLbl>
              <c:idx val="6"/>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AC3F-415A-98AB-8E416614391D}"/>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AC3F-415A-98AB-8E416614391D}"/>
                </c:ext>
              </c:extLst>
            </c:dLbl>
            <c:dLbl>
              <c:idx val="8"/>
              <c:layout>
                <c:manualLayout>
                  <c:x val="-4.6332765684803318E-3"/>
                  <c:y val="-0.2426763029210614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5-AC3F-415A-98AB-8E416614391D}"/>
                </c:ext>
              </c:extLst>
            </c:dLbl>
            <c:dLbl>
              <c:idx val="9"/>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6-AC3F-415A-98AB-8E416614391D}"/>
                </c:ext>
              </c:extLst>
            </c:dLbl>
            <c:dLbl>
              <c:idx val="10"/>
              <c:layout>
                <c:manualLayout>
                  <c:x val="-2.1845756967745197E-2"/>
                  <c:y val="-3.60566101197919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7-AC3F-415A-98AB-8E416614391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LDF'!$J$9:$J$19</c:f>
              <c:strCache>
                <c:ptCount val="11"/>
                <c:pt idx="0">
                  <c:v>Net Current Asset</c:v>
                </c:pt>
                <c:pt idx="1">
                  <c:v>TRI Party Repo</c:v>
                </c:pt>
                <c:pt idx="2">
                  <c:v>Certificate of Deposit</c:v>
                </c:pt>
                <c:pt idx="3">
                  <c:v>Corporate Bond</c:v>
                </c:pt>
                <c:pt idx="4">
                  <c:v>Commercial Paper</c:v>
                </c:pt>
                <c:pt idx="5">
                  <c:v>Floating Rate Note</c:v>
                </c:pt>
                <c:pt idx="6">
                  <c:v>Government Bond</c:v>
                </c:pt>
                <c:pt idx="8">
                  <c:v>State Government Bond</c:v>
                </c:pt>
                <c:pt idx="9">
                  <c:v>Treasury Bill</c:v>
                </c:pt>
                <c:pt idx="10">
                  <c:v>Zero Coupon Bond</c:v>
                </c:pt>
              </c:strCache>
            </c:strRef>
          </c:cat>
          <c:val>
            <c:numRef>
              <c:f>'IDFC LDF'!$K$9:$K$19</c:f>
              <c:numCache>
                <c:formatCode>0.00%</c:formatCode>
                <c:ptCount val="11"/>
                <c:pt idx="0">
                  <c:v>-5.7200000000000003E-4</c:v>
                </c:pt>
                <c:pt idx="1">
                  <c:v>0.133793</c:v>
                </c:pt>
                <c:pt idx="2">
                  <c:v>2.9520000000000002E-3</c:v>
                </c:pt>
                <c:pt idx="3">
                  <c:v>0.38249899999999998</c:v>
                </c:pt>
                <c:pt idx="4">
                  <c:v>0.17055600000000001</c:v>
                </c:pt>
                <c:pt idx="5">
                  <c:v>1.1837E-2</c:v>
                </c:pt>
                <c:pt idx="6">
                  <c:v>8.9168999999999998E-2</c:v>
                </c:pt>
                <c:pt idx="8">
                  <c:v>1.4057E-2</c:v>
                </c:pt>
                <c:pt idx="9">
                  <c:v>0.182613</c:v>
                </c:pt>
                <c:pt idx="10">
                  <c:v>1.3101E-2</c:v>
                </c:pt>
              </c:numCache>
            </c:numRef>
          </c:val>
          <c:extLst>
            <c:ext xmlns:c16="http://schemas.microsoft.com/office/drawing/2014/chart" uri="{C3380CC4-5D6E-409C-BE32-E72D297353CC}">
              <c16:uniqueId val="{0000000C-AC3F-415A-98AB-8E416614391D}"/>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06990507342897"/>
                  <c:y val="-5.08849557522123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2389-47B1-8ED8-61B3EFE5EFA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2389-47B1-8ED8-61B3EFE5EFAB}"/>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3599-42BA-A222-A174B35D8140}"/>
                </c:ext>
              </c:extLst>
            </c:dLbl>
            <c:dLbl>
              <c:idx val="1"/>
              <c:layout>
                <c:manualLayout>
                  <c:x val="0.29992564366285052"/>
                  <c:y val="-3.21547728187948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3599-42BA-A222-A174B35D8140}"/>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3599-42BA-A222-A174B35D8140}"/>
                </c:ext>
              </c:extLst>
            </c:dLbl>
            <c:dLbl>
              <c:idx val="3"/>
              <c:layout>
                <c:manualLayout>
                  <c:x val="-2.6346760188167059E-3"/>
                  <c:y val="0.1239313529769605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3599-42BA-A222-A174B35D8140}"/>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3599-42BA-A222-A174B35D8140}"/>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3599-42BA-A222-A174B35D8140}"/>
                </c:ext>
              </c:extLst>
            </c:dLbl>
            <c:dLbl>
              <c:idx val="6"/>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3599-42BA-A222-A174B35D814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MMF'!$J$9:$J$15</c:f>
              <c:strCache>
                <c:ptCount val="7"/>
                <c:pt idx="0">
                  <c:v>Net Current Asset</c:v>
                </c:pt>
                <c:pt idx="1">
                  <c:v>TRI Party Repo</c:v>
                </c:pt>
                <c:pt idx="2">
                  <c:v>Certificate of Deposit</c:v>
                </c:pt>
                <c:pt idx="3">
                  <c:v>Commercial Paper</c:v>
                </c:pt>
                <c:pt idx="4">
                  <c:v>Government Bond</c:v>
                </c:pt>
                <c:pt idx="5">
                  <c:v>State Government Bond</c:v>
                </c:pt>
                <c:pt idx="6">
                  <c:v>Treasury Bill</c:v>
                </c:pt>
              </c:strCache>
            </c:strRef>
          </c:cat>
          <c:val>
            <c:numRef>
              <c:f>'IDFC MMF'!$K$9:$K$15</c:f>
              <c:numCache>
                <c:formatCode>0.00%</c:formatCode>
                <c:ptCount val="7"/>
                <c:pt idx="0">
                  <c:v>-1.4319999999999999E-3</c:v>
                </c:pt>
                <c:pt idx="1">
                  <c:v>2.3505999999999999E-2</c:v>
                </c:pt>
                <c:pt idx="2">
                  <c:v>0.13266600000000001</c:v>
                </c:pt>
                <c:pt idx="3">
                  <c:v>0.51390400000000003</c:v>
                </c:pt>
                <c:pt idx="4">
                  <c:v>1.526E-3</c:v>
                </c:pt>
                <c:pt idx="5">
                  <c:v>0.13007099999999999</c:v>
                </c:pt>
                <c:pt idx="6">
                  <c:v>0.19975899999999999</c:v>
                </c:pt>
              </c:numCache>
            </c:numRef>
          </c:val>
          <c:extLst>
            <c:ext xmlns:c16="http://schemas.microsoft.com/office/drawing/2014/chart" uri="{C3380CC4-5D6E-409C-BE32-E72D297353CC}">
              <c16:uniqueId val="{0000000C-3599-42BA-A222-A174B35D814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2BC2-4D9F-8DF9-27BF2E0646C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2BC2-4D9F-8DF9-27BF2E0646C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338F-4634-9E41-CFD47A162948}"/>
                </c:ext>
              </c:extLst>
            </c:dLbl>
            <c:dLbl>
              <c:idx val="1"/>
              <c:layout>
                <c:manualLayout>
                  <c:x val="-3.5207135510630767E-2"/>
                  <c:y val="-0.1257928186928963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338F-4634-9E41-CFD47A162948}"/>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338F-4634-9E41-CFD47A162948}"/>
                </c:ext>
              </c:extLst>
            </c:dLbl>
            <c:dLbl>
              <c:idx val="3"/>
              <c:layout>
                <c:manualLayout>
                  <c:x val="-3.7576084574010688E-3"/>
                  <c:y val="-3.755982289862737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338F-4634-9E41-CFD47A162948}"/>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338F-4634-9E41-CFD47A162948}"/>
                </c:ext>
              </c:extLst>
            </c:dLbl>
            <c:dLbl>
              <c:idx val="5"/>
              <c:layout>
                <c:manualLayout>
                  <c:x val="-1.0033553086378121E-2"/>
                  <c:y val="1.095708106909171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338F-4634-9E41-CFD47A162948}"/>
                </c:ext>
              </c:extLst>
            </c:dLbl>
            <c:dLbl>
              <c:idx val="6"/>
              <c:layout>
                <c:manualLayout>
                  <c:x val="-2.7298049199952788E-2"/>
                  <c:y val="-0.2025050119005980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338F-4634-9E41-CFD47A162948}"/>
                </c:ext>
              </c:extLst>
            </c:dLbl>
            <c:dLbl>
              <c:idx val="7"/>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4-338F-4634-9E41-CFD47A162948}"/>
                </c:ext>
              </c:extLst>
            </c:dLbl>
            <c:dLbl>
              <c:idx val="8"/>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5-338F-4634-9E41-CFD47A162948}"/>
                </c:ext>
              </c:extLst>
            </c:dLbl>
            <c:dLbl>
              <c:idx val="9"/>
              <c:layout>
                <c:manualLayout>
                  <c:x val="-0.13921698224552767"/>
                  <c:y val="-0.1451002806664334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6-338F-4634-9E41-CFD47A16294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USTF'!$J$9:$J$18</c:f>
              <c:strCache>
                <c:ptCount val="10"/>
                <c:pt idx="0">
                  <c:v>Net Current Asset</c:v>
                </c:pt>
                <c:pt idx="1">
                  <c:v>TRI Party Repo</c:v>
                </c:pt>
                <c:pt idx="2">
                  <c:v>Certificate of Deposit</c:v>
                </c:pt>
                <c:pt idx="3">
                  <c:v>Corporate Bond</c:v>
                </c:pt>
                <c:pt idx="4">
                  <c:v>Commercial Paper</c:v>
                </c:pt>
                <c:pt idx="5">
                  <c:v>Floating Rate Note</c:v>
                </c:pt>
                <c:pt idx="6">
                  <c:v>Government Bond</c:v>
                </c:pt>
                <c:pt idx="7">
                  <c:v>State Government Bond</c:v>
                </c:pt>
                <c:pt idx="8">
                  <c:v>Treasury Bill</c:v>
                </c:pt>
                <c:pt idx="9">
                  <c:v>Zero Coupon Bond</c:v>
                </c:pt>
              </c:strCache>
            </c:strRef>
          </c:cat>
          <c:val>
            <c:numRef>
              <c:f>'IDFC USTF'!$K$9:$K$18</c:f>
              <c:numCache>
                <c:formatCode>0.00%</c:formatCode>
                <c:ptCount val="10"/>
                <c:pt idx="0">
                  <c:v>4.8799999999999998E-3</c:v>
                </c:pt>
                <c:pt idx="1">
                  <c:v>0.28575</c:v>
                </c:pt>
                <c:pt idx="2">
                  <c:v>2.1349E-2</c:v>
                </c:pt>
                <c:pt idx="3">
                  <c:v>0.33666000000000001</c:v>
                </c:pt>
                <c:pt idx="4">
                  <c:v>0.14562700000000001</c:v>
                </c:pt>
                <c:pt idx="5">
                  <c:v>2.0929E-2</c:v>
                </c:pt>
                <c:pt idx="6">
                  <c:v>2.0944000000000001E-2</c:v>
                </c:pt>
                <c:pt idx="7">
                  <c:v>4.3614E-2</c:v>
                </c:pt>
                <c:pt idx="8">
                  <c:v>7.3988999999999999E-2</c:v>
                </c:pt>
                <c:pt idx="9">
                  <c:v>4.6258000000000001E-2</c:v>
                </c:pt>
              </c:numCache>
            </c:numRef>
          </c:val>
          <c:extLst>
            <c:ext xmlns:c16="http://schemas.microsoft.com/office/drawing/2014/chart" uri="{C3380CC4-5D6E-409C-BE32-E72D297353CC}">
              <c16:uniqueId val="{0000000C-338F-4634-9E41-CFD47A16294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ABF8-4D9B-867C-BE6F4871E53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ABF8-4D9B-867C-BE6F4871E53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FEC6-4404-9909-1D84CCB2C69F}"/>
                </c:ext>
              </c:extLst>
            </c:dLbl>
            <c:dLbl>
              <c:idx val="1"/>
              <c:layout>
                <c:manualLayout>
                  <c:x val="0.1853393245544521"/>
                  <c:y val="-4.92248468941382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FEC6-4404-9909-1D84CCB2C69F}"/>
                </c:ext>
              </c:extLst>
            </c:dLbl>
            <c:dLbl>
              <c:idx val="2"/>
              <c:layout>
                <c:manualLayout>
                  <c:x val="-0.2261785732350908"/>
                  <c:y val="-1.69301837270341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FEC6-4404-9909-1D84CCB2C69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Net Current Asset</c:v>
                </c:pt>
                <c:pt idx="1">
                  <c:v>TRI Party Repo</c:v>
                </c:pt>
                <c:pt idx="2">
                  <c:v>Government Bond</c:v>
                </c:pt>
              </c:strCache>
            </c:strRef>
          </c:cat>
          <c:val>
            <c:numRef>
              <c:f>'IDFC DBF'!$K$9:$K$11</c:f>
              <c:numCache>
                <c:formatCode>0.00%</c:formatCode>
                <c:ptCount val="3"/>
                <c:pt idx="0">
                  <c:v>2.0939999999999999E-3</c:v>
                </c:pt>
                <c:pt idx="1">
                  <c:v>9.1399999999999999E-4</c:v>
                </c:pt>
                <c:pt idx="2">
                  <c:v>0.99699199999999999</c:v>
                </c:pt>
              </c:numCache>
            </c:numRef>
          </c:val>
          <c:extLst>
            <c:ext xmlns:c16="http://schemas.microsoft.com/office/drawing/2014/chart" uri="{C3380CC4-5D6E-409C-BE32-E72D297353CC}">
              <c16:uniqueId val="{0000000C-FEC6-4404-9909-1D84CCB2C69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16E0-4EB5-A2BF-ABE1E9473FC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16E0-4EB5-A2BF-ABE1E9473FCB}"/>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110E-4F67-B5D2-2408F6123DC0}"/>
                </c:ext>
              </c:extLst>
            </c:dLbl>
            <c:dLbl>
              <c:idx val="1"/>
              <c:layout>
                <c:manualLayout>
                  <c:x val="0.21617857323509079"/>
                  <c:y val="-1.0478040244969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110E-4F67-B5D2-2408F6123DC0}"/>
                </c:ext>
              </c:extLst>
            </c:dLbl>
            <c:dLbl>
              <c:idx val="2"/>
              <c:layout>
                <c:manualLayout>
                  <c:x val="0.24177502571279233"/>
                  <c:y val="-2.6351706036745404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110E-4F67-B5D2-2408F6123DC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Net Current Asset</c:v>
                </c:pt>
                <c:pt idx="1">
                  <c:v>TRI Party Repo</c:v>
                </c:pt>
                <c:pt idx="2">
                  <c:v>Government Bond</c:v>
                </c:pt>
              </c:strCache>
            </c:strRef>
          </c:cat>
          <c:val>
            <c:numRef>
              <c:f>'IDFC BOND IP'!$K$9:$K$11</c:f>
              <c:numCache>
                <c:formatCode>0.00%</c:formatCode>
                <c:ptCount val="3"/>
                <c:pt idx="0">
                  <c:v>2.4399999999999999E-3</c:v>
                </c:pt>
                <c:pt idx="1">
                  <c:v>2.4510000000000001E-3</c:v>
                </c:pt>
                <c:pt idx="2">
                  <c:v>0.99510900000000002</c:v>
                </c:pt>
              </c:numCache>
            </c:numRef>
          </c:val>
          <c:extLst>
            <c:ext xmlns:c16="http://schemas.microsoft.com/office/drawing/2014/chart" uri="{C3380CC4-5D6E-409C-BE32-E72D297353CC}">
              <c16:uniqueId val="{0000000C-110E-4F67-B5D2-2408F6123DC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066305282503499"/>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B3F3-486A-9A5A-82B277C0100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B3F3-486A-9A5A-82B277C0100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9C92-4F08-B3AE-C971969CF9AD}"/>
                </c:ext>
              </c:extLst>
            </c:dLbl>
            <c:dLbl>
              <c:idx val="1"/>
              <c:layout>
                <c:manualLayout>
                  <c:x val="5.1137348463133676E-2"/>
                  <c:y val="-0.1012678030630786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9C92-4F08-B3AE-C971969CF9AD}"/>
                </c:ext>
              </c:extLst>
            </c:dLbl>
            <c:dLbl>
              <c:idx val="2"/>
              <c:layout>
                <c:manualLayout>
                  <c:x val="0.14145003287865249"/>
                  <c:y val="-4.81647486371895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9C92-4F08-B3AE-C971969CF9AD}"/>
                </c:ext>
              </c:extLst>
            </c:dLbl>
            <c:dLbl>
              <c:idx val="3"/>
              <c:layout>
                <c:manualLayout>
                  <c:x val="-7.0150820280227288E-2"/>
                  <c:y val="3.675071385307605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9C92-4F08-B3AE-C971969CF9AD}"/>
                </c:ext>
              </c:extLst>
            </c:dLbl>
            <c:dLbl>
              <c:idx val="4"/>
              <c:layout>
                <c:manualLayout>
                  <c:x val="-7.5925070394038008E-2"/>
                  <c:y val="-7.60065761010642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9C92-4F08-B3AE-C971969CF9AD}"/>
                </c:ext>
              </c:extLst>
            </c:dLbl>
            <c:dLbl>
              <c:idx val="5"/>
              <c:layout>
                <c:manualLayout>
                  <c:x val="-0.35033317034514155"/>
                  <c:y val="-0.1408417409362291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9C92-4F08-B3AE-C971969CF9AD}"/>
                </c:ext>
              </c:extLst>
            </c:dLbl>
            <c:dLbl>
              <c:idx val="6"/>
              <c:layout>
                <c:manualLayout>
                  <c:x val="-0.34743116559038256"/>
                  <c:y val="-1.6665916760404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9C92-4F08-B3AE-C971969CF9A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MT'!$J$9:$J$15</c:f>
              <c:strCache>
                <c:ptCount val="7"/>
                <c:pt idx="0">
                  <c:v>Net Current Asset</c:v>
                </c:pt>
                <c:pt idx="1">
                  <c:v>TRI Party Repo</c:v>
                </c:pt>
                <c:pt idx="2">
                  <c:v>Corporate Bond</c:v>
                </c:pt>
                <c:pt idx="3">
                  <c:v>Government Bond</c:v>
                </c:pt>
                <c:pt idx="4">
                  <c:v>PTC</c:v>
                </c:pt>
                <c:pt idx="5">
                  <c:v>State Government Bond</c:v>
                </c:pt>
                <c:pt idx="6">
                  <c:v>Treasury Bill</c:v>
                </c:pt>
              </c:strCache>
            </c:strRef>
          </c:cat>
          <c:val>
            <c:numRef>
              <c:f>'IDFC BOND MT'!$K$9:$K$15</c:f>
              <c:numCache>
                <c:formatCode>0.00%</c:formatCode>
                <c:ptCount val="7"/>
                <c:pt idx="0">
                  <c:v>-7.404E-3</c:v>
                </c:pt>
                <c:pt idx="1">
                  <c:v>5.3280000000000001E-2</c:v>
                </c:pt>
                <c:pt idx="2">
                  <c:v>5.7779999999999998E-2</c:v>
                </c:pt>
                <c:pt idx="3">
                  <c:v>0.87970400000000004</c:v>
                </c:pt>
                <c:pt idx="4">
                  <c:v>7.9139999999999992E-3</c:v>
                </c:pt>
                <c:pt idx="5">
                  <c:v>8.6990000000000001E-3</c:v>
                </c:pt>
                <c:pt idx="6">
                  <c:v>2.6999999999999999E-5</c:v>
                </c:pt>
              </c:numCache>
            </c:numRef>
          </c:val>
          <c:extLst>
            <c:ext xmlns:c16="http://schemas.microsoft.com/office/drawing/2014/chart" uri="{C3380CC4-5D6E-409C-BE32-E72D297353CC}">
              <c16:uniqueId val="{0000000C-9C92-4F08-B3AE-C971969CF9AD}"/>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9201-40AC-AB6D-E91F98B6AF0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9201-40AC-AB6D-E91F98B6AF0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layout>
                <c:manualLayout>
                  <c:x val="-0.30836846009880459"/>
                  <c:y val="-2.49212598425196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47D0-4DE9-BC15-50AA8E61CD73}"/>
                </c:ext>
              </c:extLst>
            </c:dLbl>
            <c:dLbl>
              <c:idx val="1"/>
              <c:layout>
                <c:manualLayout>
                  <c:x val="0.17667765431890606"/>
                  <c:y val="2.18377268058883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47D0-4DE9-BC15-50AA8E61CD73}"/>
                </c:ext>
              </c:extLst>
            </c:dLbl>
            <c:dLbl>
              <c:idx val="2"/>
              <c:layout>
                <c:manualLayout>
                  <c:x val="-0.10027036368847898"/>
                  <c:y val="0.2232879150975693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47D0-4DE9-BC15-50AA8E61CD73}"/>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47D0-4DE9-BC15-50AA8E61CD73}"/>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47D0-4DE9-BC15-50AA8E61CD73}"/>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47D0-4DE9-BC15-50AA8E61CD73}"/>
                </c:ext>
              </c:extLst>
            </c:dLbl>
            <c:dLbl>
              <c:idx val="6"/>
              <c:layout>
                <c:manualLayout>
                  <c:x val="0.19646605068370737"/>
                  <c:y val="-4.01386511468674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47D0-4DE9-BC15-50AA8E61CD7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ST'!$J$9:$J$15</c:f>
              <c:strCache>
                <c:ptCount val="7"/>
                <c:pt idx="0">
                  <c:v>Net Current Asset</c:v>
                </c:pt>
                <c:pt idx="1">
                  <c:v>TRI Party Repo</c:v>
                </c:pt>
                <c:pt idx="2">
                  <c:v>Corporate Bond</c:v>
                </c:pt>
                <c:pt idx="3">
                  <c:v>Commercial Paper</c:v>
                </c:pt>
                <c:pt idx="4">
                  <c:v>Government Bond</c:v>
                </c:pt>
                <c:pt idx="5">
                  <c:v>PTC</c:v>
                </c:pt>
                <c:pt idx="6">
                  <c:v>Treasury Bill</c:v>
                </c:pt>
              </c:strCache>
            </c:strRef>
          </c:cat>
          <c:val>
            <c:numRef>
              <c:f>'IDFC BOND ST'!$K$9:$K$15</c:f>
              <c:numCache>
                <c:formatCode>0.00%</c:formatCode>
                <c:ptCount val="7"/>
                <c:pt idx="0">
                  <c:v>2.1201000000000001E-2</c:v>
                </c:pt>
                <c:pt idx="1">
                  <c:v>7.1330000000000005E-2</c:v>
                </c:pt>
                <c:pt idx="2">
                  <c:v>0.49644300000000002</c:v>
                </c:pt>
                <c:pt idx="3">
                  <c:v>3.8790000000000001E-3</c:v>
                </c:pt>
                <c:pt idx="4">
                  <c:v>0.40176200000000001</c:v>
                </c:pt>
                <c:pt idx="5">
                  <c:v>5.2810000000000001E-3</c:v>
                </c:pt>
                <c:pt idx="6">
                  <c:v>1.0399999999999999E-4</c:v>
                </c:pt>
              </c:numCache>
            </c:numRef>
          </c:val>
          <c:extLst>
            <c:ext xmlns:c16="http://schemas.microsoft.com/office/drawing/2014/chart" uri="{C3380CC4-5D6E-409C-BE32-E72D297353CC}">
              <c16:uniqueId val="{0000000C-47D0-4DE9-BC15-50AA8E61CD7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494570807128764"/>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09E6-4D69-B752-9917C0BCAE8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09E6-4D69-B752-9917C0BCAE8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3FD9-4A39-AE90-427E1589E882}"/>
                </c:ext>
              </c:extLst>
            </c:dLbl>
            <c:dLbl>
              <c:idx val="1"/>
              <c:layout>
                <c:manualLayout>
                  <c:x val="0.10302888263164099"/>
                  <c:y val="-4.821855831556967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3FD9-4A39-AE90-427E1589E882}"/>
                </c:ext>
              </c:extLst>
            </c:dLbl>
            <c:dLbl>
              <c:idx val="2"/>
              <c:layout>
                <c:manualLayout>
                  <c:x val="0.20874007317607782"/>
                  <c:y val="7.80246226127811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3FD9-4A39-AE90-427E1589E882}"/>
                </c:ext>
              </c:extLst>
            </c:dLbl>
            <c:dLbl>
              <c:idx val="3"/>
              <c:layout>
                <c:manualLayout>
                  <c:x val="7.7974759311402991E-2"/>
                  <c:y val="2.847835733240527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3FD9-4A39-AE90-427E1589E882}"/>
                </c:ext>
              </c:extLst>
            </c:dLbl>
            <c:dLbl>
              <c:idx val="4"/>
              <c:layout>
                <c:manualLayout>
                  <c:x val="-0.1116921546476926"/>
                  <c:y val="0.6531253317092269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3FD9-4A39-AE90-427E1589E882}"/>
                </c:ext>
              </c:extLst>
            </c:dLbl>
            <c:dLbl>
              <c:idx val="5"/>
              <c:layout>
                <c:manualLayout>
                  <c:x val="-0.12507722268121196"/>
                  <c:y val="-6.54474268064558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3FD9-4A39-AE90-427E1589E882}"/>
                </c:ext>
              </c:extLst>
            </c:dLbl>
            <c:dLbl>
              <c:idx val="6"/>
              <c:layout>
                <c:manualLayout>
                  <c:x val="-8.1225952216358394E-2"/>
                  <c:y val="-0.1821850611215034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3FD9-4A39-AE90-427E1589E882}"/>
                </c:ext>
              </c:extLst>
            </c:dLbl>
            <c:dLbl>
              <c:idx val="7"/>
              <c:layout>
                <c:manualLayout>
                  <c:x val="-0.14904635046957462"/>
                  <c:y val="-1.57953625962500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4-3FD9-4A39-AE90-427E1589E882}"/>
                </c:ext>
              </c:extLst>
            </c:dLbl>
            <c:dLbl>
              <c:idx val="8"/>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5-3FD9-4A39-AE90-427E1589E88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BPDF'!$J$9:$J$17</c:f>
              <c:strCache>
                <c:ptCount val="9"/>
                <c:pt idx="0">
                  <c:v>Net Current Asset</c:v>
                </c:pt>
                <c:pt idx="1">
                  <c:v>TRI Party Repo</c:v>
                </c:pt>
                <c:pt idx="2">
                  <c:v>Certificate of Deposit</c:v>
                </c:pt>
                <c:pt idx="3">
                  <c:v>Corporate Bond</c:v>
                </c:pt>
                <c:pt idx="4">
                  <c:v>Commercial Paper</c:v>
                </c:pt>
                <c:pt idx="5">
                  <c:v>Floating Rate Note</c:v>
                </c:pt>
                <c:pt idx="6">
                  <c:v>Government Bond</c:v>
                </c:pt>
                <c:pt idx="7">
                  <c:v>State Government Bond</c:v>
                </c:pt>
                <c:pt idx="8">
                  <c:v>Zero Coupon Bond</c:v>
                </c:pt>
              </c:strCache>
            </c:strRef>
          </c:cat>
          <c:val>
            <c:numRef>
              <c:f>'IDFC BPDF'!$K$9:$K$17</c:f>
              <c:numCache>
                <c:formatCode>0.00%</c:formatCode>
                <c:ptCount val="9"/>
                <c:pt idx="0">
                  <c:v>2.6280999999999999E-2</c:v>
                </c:pt>
                <c:pt idx="1">
                  <c:v>5.0000000000000001E-3</c:v>
                </c:pt>
                <c:pt idx="2">
                  <c:v>4.9138000000000001E-2</c:v>
                </c:pt>
                <c:pt idx="3">
                  <c:v>0.79727499999999996</c:v>
                </c:pt>
                <c:pt idx="4">
                  <c:v>1.1988E-2</c:v>
                </c:pt>
                <c:pt idx="5">
                  <c:v>1.591E-3</c:v>
                </c:pt>
                <c:pt idx="6">
                  <c:v>9.8258999999999999E-2</c:v>
                </c:pt>
                <c:pt idx="7">
                  <c:v>1.0312E-2</c:v>
                </c:pt>
                <c:pt idx="8">
                  <c:v>1.56E-4</c:v>
                </c:pt>
              </c:numCache>
            </c:numRef>
          </c:val>
          <c:extLst>
            <c:ext xmlns:c16="http://schemas.microsoft.com/office/drawing/2014/chart" uri="{C3380CC4-5D6E-409C-BE32-E72D297353CC}">
              <c16:uniqueId val="{0000000C-3FD9-4A39-AE90-427E1589E88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3A89-4DE7-8730-07C6CBD2840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3A89-4DE7-8730-07C6CBD2840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layout>
                <c:manualLayout>
                  <c:x val="0.28161451044529501"/>
                  <c:y val="-6.27513346154841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4AB8-4BA1-A11B-D2F9C76BF292}"/>
                </c:ext>
              </c:extLst>
            </c:dLbl>
            <c:dLbl>
              <c:idx val="1"/>
              <c:layout>
                <c:manualLayout>
                  <c:x val="4.7307575578748588E-2"/>
                  <c:y val="-1.885348121189122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4AB8-4BA1-A11B-D2F9C76BF292}"/>
                </c:ext>
              </c:extLst>
            </c:dLbl>
            <c:dLbl>
              <c:idx val="2"/>
              <c:layout>
                <c:manualLayout>
                  <c:x val="-8.2352931258325046E-2"/>
                  <c:y val="0.1556450569637174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4AB8-4BA1-A11B-D2F9C76BF292}"/>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4AB8-4BA1-A11B-D2F9C76BF292}"/>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4AB8-4BA1-A11B-D2F9C76BF292}"/>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4AB8-4BA1-A11B-D2F9C76BF292}"/>
                </c:ext>
              </c:extLst>
            </c:dLbl>
            <c:dLbl>
              <c:idx val="6"/>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4AB8-4BA1-A11B-D2F9C76BF29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'IDFC-CBF'!$J$9:$J$15</c:f>
              <c:strCache>
                <c:ptCount val="7"/>
                <c:pt idx="0">
                  <c:v>Net Current Asset</c:v>
                </c:pt>
                <c:pt idx="1">
                  <c:v>TRI Party Repo</c:v>
                </c:pt>
                <c:pt idx="2">
                  <c:v>Corporate Bond</c:v>
                </c:pt>
                <c:pt idx="3">
                  <c:v>Commercial Paper</c:v>
                </c:pt>
                <c:pt idx="4">
                  <c:v>Government Bond</c:v>
                </c:pt>
                <c:pt idx="5">
                  <c:v>State Government Bond</c:v>
                </c:pt>
                <c:pt idx="6">
                  <c:v>Zero Coupon Bond</c:v>
                </c:pt>
              </c:strCache>
            </c:strRef>
          </c:cat>
          <c:val>
            <c:numRef>
              <c:f>'IDFC-CBF'!$K$9:$K$15</c:f>
              <c:numCache>
                <c:formatCode>0.00%</c:formatCode>
                <c:ptCount val="7"/>
                <c:pt idx="0">
                  <c:v>3.0759999999999999E-2</c:v>
                </c:pt>
                <c:pt idx="1">
                  <c:v>4.7039999999999998E-3</c:v>
                </c:pt>
                <c:pt idx="2">
                  <c:v>0.71221800000000002</c:v>
                </c:pt>
                <c:pt idx="3">
                  <c:v>2.3440000000000002E-3</c:v>
                </c:pt>
                <c:pt idx="4">
                  <c:v>0.21319099999999999</c:v>
                </c:pt>
                <c:pt idx="5">
                  <c:v>3.6691000000000001E-2</c:v>
                </c:pt>
                <c:pt idx="6">
                  <c:v>9.2E-5</c:v>
                </c:pt>
              </c:numCache>
            </c:numRef>
          </c:val>
          <c:extLst>
            <c:ext xmlns:c16="http://schemas.microsoft.com/office/drawing/2014/chart" uri="{C3380CC4-5D6E-409C-BE32-E72D297353CC}">
              <c16:uniqueId val="{0000000C-4AB8-4BA1-A11B-D2F9C76BF29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8605397157261125"/>
                  <c:y val="-3.30396475770925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0-F107-4CD5-A8F6-9D2D00A53A8E}"/>
                </c:ext>
              </c:extLst>
            </c:dLbl>
            <c:dLbl>
              <c:idx val="1"/>
              <c:layout>
                <c:manualLayout>
                  <c:x val="6.9261579186969943E-2"/>
                  <c:y val="-5.55253390682992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1-F107-4CD5-A8F6-9D2D00A53A8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FRF'!$G$8:$G$9</c:f>
              <c:strCache>
                <c:ptCount val="2"/>
                <c:pt idx="0">
                  <c:v>AAA EQUIVALENT</c:v>
                </c:pt>
                <c:pt idx="1">
                  <c:v>AA+</c:v>
                </c:pt>
              </c:strCache>
            </c:strRef>
          </c:cat>
          <c:val>
            <c:numRef>
              <c:f>'IDFC FRF'!$H$8:$H$9</c:f>
              <c:numCache>
                <c:formatCode>0.00%;[Black]\(0.00%\)</c:formatCode>
                <c:ptCount val="2"/>
                <c:pt idx="0">
                  <c:v>0.97256299999999996</c:v>
                </c:pt>
                <c:pt idx="1">
                  <c:v>2.7437000000000003E-2</c:v>
                </c:pt>
              </c:numCache>
            </c:numRef>
          </c:val>
          <c:extLst>
            <c:ext xmlns:c16="http://schemas.microsoft.com/office/drawing/2014/chart" uri="{C3380CC4-5D6E-409C-BE32-E72D297353CC}">
              <c16:uniqueId val="{00000002-F107-4CD5-A8F6-9D2D00A53A8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0-7DF7-4F70-9797-902F624596D5}"/>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1-7DF7-4F70-9797-902F624596D5}"/>
                </c:ext>
              </c:extLst>
            </c:dLbl>
            <c:dLbl>
              <c:idx val="2"/>
              <c:layout>
                <c:manualLayout>
                  <c:x val="-0.18486351144008506"/>
                  <c:y val="-0.4741447351583760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2-7DF7-4F70-9797-902F624596D5}"/>
                </c:ext>
              </c:extLst>
            </c:dLbl>
            <c:dLbl>
              <c:idx val="3"/>
              <c:layout>
                <c:manualLayout>
                  <c:x val="-2.0480955672832115E-2"/>
                  <c:y val="7.46538589501881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3-7DF7-4F70-9797-902F624596D5}"/>
                </c:ext>
              </c:extLst>
            </c:dLbl>
            <c:dLbl>
              <c:idx val="4"/>
              <c:layout>
                <c:manualLayout>
                  <c:x val="6.5120470754860132E-2"/>
                  <c:y val="0.1178021003062591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4-7DF7-4F70-9797-902F624596D5}"/>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5-7DF7-4F70-9797-902F624596D5}"/>
                </c:ext>
              </c:extLst>
            </c:dLbl>
            <c:dLbl>
              <c:idx val="6"/>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6-7DF7-4F70-9797-902F624596D5}"/>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7-7DF7-4F70-9797-902F624596D5}"/>
                </c:ext>
              </c:extLst>
            </c:dLbl>
            <c:dLbl>
              <c:idx val="8"/>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8-7DF7-4F70-9797-902F624596D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FRF'!$J$9:$J$17</c:f>
              <c:strCache>
                <c:ptCount val="9"/>
                <c:pt idx="0">
                  <c:v>Net Current Asset</c:v>
                </c:pt>
                <c:pt idx="1">
                  <c:v>TRI Party Repo</c:v>
                </c:pt>
                <c:pt idx="2">
                  <c:v>Certificate of Deposit</c:v>
                </c:pt>
                <c:pt idx="3">
                  <c:v>Corporate Bond</c:v>
                </c:pt>
                <c:pt idx="4">
                  <c:v>Commercial Paper</c:v>
                </c:pt>
                <c:pt idx="5">
                  <c:v>Floating Rate Note</c:v>
                </c:pt>
                <c:pt idx="6">
                  <c:v>Government Bond</c:v>
                </c:pt>
                <c:pt idx="8">
                  <c:v>Treasury Bill</c:v>
                </c:pt>
              </c:strCache>
            </c:strRef>
          </c:cat>
          <c:val>
            <c:numRef>
              <c:f>'IDFC FRF'!$K$9:$K$17</c:f>
              <c:numCache>
                <c:formatCode>0.00%</c:formatCode>
                <c:ptCount val="9"/>
                <c:pt idx="0">
                  <c:v>7.1260000000000004E-3</c:v>
                </c:pt>
                <c:pt idx="1">
                  <c:v>0.22672600000000001</c:v>
                </c:pt>
                <c:pt idx="2">
                  <c:v>1.1423000000000001E-2</c:v>
                </c:pt>
                <c:pt idx="3">
                  <c:v>0.27986499999999997</c:v>
                </c:pt>
                <c:pt idx="4">
                  <c:v>0.17293700000000001</c:v>
                </c:pt>
                <c:pt idx="5">
                  <c:v>0.12032100000000001</c:v>
                </c:pt>
                <c:pt idx="6">
                  <c:v>0.14280200000000001</c:v>
                </c:pt>
                <c:pt idx="8">
                  <c:v>3.866E-2</c:v>
                </c:pt>
              </c:numCache>
            </c:numRef>
          </c:val>
          <c:extLst>
            <c:ext xmlns:c16="http://schemas.microsoft.com/office/drawing/2014/chart" uri="{C3380CC4-5D6E-409C-BE32-E72D297353CC}">
              <c16:uniqueId val="{00000009-7DF7-4F70-9797-902F624596D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5.3375288742012174E-2"/>
                  <c:y val="0.1509898264929273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1D61-4ADB-A24D-F21B68B079C4}"/>
                </c:ext>
              </c:extLst>
            </c:dLbl>
            <c:dLbl>
              <c:idx val="1"/>
              <c:layout>
                <c:manualLayout>
                  <c:x val="6.0894383651722332E-2"/>
                  <c:y val="-5.319664134903490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1D61-4ADB-A24D-F21B68B079C4}"/>
                </c:ext>
              </c:extLst>
            </c:dLbl>
            <c:dLbl>
              <c:idx val="2"/>
              <c:layout>
                <c:manualLayout>
                  <c:x val="5.3520797855300208E-2"/>
                  <c:y val="-2.85049822312034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1D61-4ADB-A24D-F21B68B079C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CRF'!$G$8:$G$10</c:f>
              <c:strCache>
                <c:ptCount val="3"/>
                <c:pt idx="0">
                  <c:v>AAA EQUIVALENT</c:v>
                </c:pt>
                <c:pt idx="1">
                  <c:v>AA+</c:v>
                </c:pt>
                <c:pt idx="2">
                  <c:v>AA</c:v>
                </c:pt>
              </c:strCache>
            </c:strRef>
          </c:cat>
          <c:val>
            <c:numRef>
              <c:f>'IDFC CRF'!$H$8:$H$10</c:f>
              <c:numCache>
                <c:formatCode>0.00%</c:formatCode>
                <c:ptCount val="3"/>
                <c:pt idx="0">
                  <c:v>0.67101599999999995</c:v>
                </c:pt>
                <c:pt idx="1">
                  <c:v>0.21888299999999999</c:v>
                </c:pt>
                <c:pt idx="2">
                  <c:v>0.110101</c:v>
                </c:pt>
              </c:numCache>
            </c:numRef>
          </c:val>
          <c:extLst>
            <c:ext xmlns:c16="http://schemas.microsoft.com/office/drawing/2014/chart" uri="{C3380CC4-5D6E-409C-BE32-E72D297353CC}">
              <c16:uniqueId val="{0000000C-1D61-4ADB-A24D-F21B68B079C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4699-4FF3-A465-9A9D817C287F}"/>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4699-4FF3-A465-9A9D817C287F}"/>
                </c:ext>
              </c:extLst>
            </c:dLbl>
            <c:dLbl>
              <c:idx val="2"/>
              <c:layout>
                <c:manualLayout>
                  <c:x val="-6.6008362980323393E-2"/>
                  <c:y val="2.0829097675700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4699-4FF3-A465-9A9D817C287F}"/>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4699-4FF3-A465-9A9D817C287F}"/>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4699-4FF3-A465-9A9D817C287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CRF'!$J$9:$J$13</c:f>
              <c:strCache>
                <c:ptCount val="5"/>
                <c:pt idx="0">
                  <c:v>Net Current Asset</c:v>
                </c:pt>
                <c:pt idx="1">
                  <c:v>TRI Party Repo</c:v>
                </c:pt>
                <c:pt idx="2">
                  <c:v>Corporate Bond</c:v>
                </c:pt>
                <c:pt idx="3">
                  <c:v>Government Bond</c:v>
                </c:pt>
                <c:pt idx="4">
                  <c:v>PTC</c:v>
                </c:pt>
              </c:strCache>
            </c:strRef>
          </c:cat>
          <c:val>
            <c:numRef>
              <c:f>'IDFC CRF'!$K$9:$K$13</c:f>
              <c:numCache>
                <c:formatCode>0.00%</c:formatCode>
                <c:ptCount val="5"/>
                <c:pt idx="0">
                  <c:v>2.3236E-2</c:v>
                </c:pt>
                <c:pt idx="1">
                  <c:v>0.23849699999999999</c:v>
                </c:pt>
                <c:pt idx="2">
                  <c:v>0.52644599999999997</c:v>
                </c:pt>
                <c:pt idx="3">
                  <c:v>0.136793</c:v>
                </c:pt>
                <c:pt idx="4">
                  <c:v>7.5027999999999997E-2</c:v>
                </c:pt>
              </c:numCache>
            </c:numRef>
          </c:val>
          <c:extLst>
            <c:ext xmlns:c16="http://schemas.microsoft.com/office/drawing/2014/chart" uri="{C3380CC4-5D6E-409C-BE32-E72D297353CC}">
              <c16:uniqueId val="{0000000C-4699-4FF3-A465-9A9D817C287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7DE2-4240-8794-09B532F1EBD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7DE2-4240-8794-09B532F1EBD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layout>
                <c:manualLayout>
                  <c:x val="0.19726896423814261"/>
                  <c:y val="-7.144706911636045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86CC-44EF-946B-25EFF74F6CEC}"/>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86CC-44EF-946B-25EFF74F6CEC}"/>
                </c:ext>
              </c:extLst>
            </c:dLbl>
            <c:dLbl>
              <c:idx val="2"/>
              <c:layout>
                <c:manualLayout>
                  <c:x val="-0.12607150685393448"/>
                  <c:y val="-8.04129483814523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86CC-44EF-946B-25EFF74F6CE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Net Current Asset</c:v>
                </c:pt>
                <c:pt idx="1">
                  <c:v>TRI Party Repo</c:v>
                </c:pt>
                <c:pt idx="2">
                  <c:v>Government Bond</c:v>
                </c:pt>
              </c:strCache>
            </c:strRef>
          </c:cat>
          <c:val>
            <c:numRef>
              <c:f>'IDFC GSF-IP'!$K$9:$K$11</c:f>
              <c:numCache>
                <c:formatCode>0.00%</c:formatCode>
                <c:ptCount val="3"/>
                <c:pt idx="0">
                  <c:v>9.6199999999999996E-4</c:v>
                </c:pt>
                <c:pt idx="1">
                  <c:v>1.364E-3</c:v>
                </c:pt>
                <c:pt idx="2">
                  <c:v>0.99767399999999995</c:v>
                </c:pt>
              </c:numCache>
            </c:numRef>
          </c:val>
          <c:extLst>
            <c:ext xmlns:c16="http://schemas.microsoft.com/office/drawing/2014/chart" uri="{C3380CC4-5D6E-409C-BE32-E72D297353CC}">
              <c16:uniqueId val="{0000000C-86CC-44EF-946B-25EFF74F6CEC}"/>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852172520190863"/>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FF58-4EBA-A1E1-786C7D7FFDA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FF58-4EBA-A1E1-786C7D7FFDA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layout>
                <c:manualLayout>
                  <c:x val="0.11976209344281635"/>
                  <c:y val="-1.1589151356080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775C-43C1-BA80-5A29AE8363E8}"/>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775C-43C1-BA80-5A29AE8363E8}"/>
                </c:ext>
              </c:extLst>
            </c:dLbl>
            <c:dLbl>
              <c:idx val="2"/>
              <c:layout>
                <c:manualLayout>
                  <c:x val="-0.20643013707868957"/>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775C-43C1-BA80-5A29AE8363E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Net Current Asset</c:v>
                </c:pt>
                <c:pt idx="1">
                  <c:v>TRI Party Repo</c:v>
                </c:pt>
                <c:pt idx="2">
                  <c:v>Government Bond</c:v>
                </c:pt>
              </c:strCache>
            </c:strRef>
          </c:cat>
          <c:val>
            <c:numRef>
              <c:f>'IDFC GSF - CMP'!$K$9:$K$11</c:f>
              <c:numCache>
                <c:formatCode>0.00%</c:formatCode>
                <c:ptCount val="3"/>
                <c:pt idx="0">
                  <c:v>1.6868000000000001E-2</c:v>
                </c:pt>
                <c:pt idx="1">
                  <c:v>4.4860000000000004E-3</c:v>
                </c:pt>
                <c:pt idx="2">
                  <c:v>0.97864600000000002</c:v>
                </c:pt>
              </c:numCache>
            </c:numRef>
          </c:val>
          <c:extLst>
            <c:ext xmlns:c16="http://schemas.microsoft.com/office/drawing/2014/chart" uri="{C3380CC4-5D6E-409C-BE32-E72D297353CC}">
              <c16:uniqueId val="{0000000C-775C-43C1-BA80-5A29AE8363E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244035475222972"/>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025156384359876"/>
                      <c:h val="0.16447368421052633"/>
                    </c:manualLayout>
                  </c15:layout>
                </c:ext>
                <c:ext xmlns:c16="http://schemas.microsoft.com/office/drawing/2014/chart" uri="{C3380CC4-5D6E-409C-BE32-E72D297353CC}">
                  <c16:uniqueId val="{00000000-C101-4717-A6CE-DFC90915A7C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2027'!$G$8</c:f>
              <c:strCache>
                <c:ptCount val="1"/>
                <c:pt idx="0">
                  <c:v>AAA EQUIVALENT</c:v>
                </c:pt>
              </c:strCache>
            </c:strRef>
          </c:cat>
          <c:val>
            <c:numRef>
              <c:f>'IDFC GIF 2027'!$H$8</c:f>
              <c:numCache>
                <c:formatCode>0%</c:formatCode>
                <c:ptCount val="1"/>
                <c:pt idx="0">
                  <c:v>1</c:v>
                </c:pt>
              </c:numCache>
            </c:numRef>
          </c:val>
          <c:extLst>
            <c:ext xmlns:c16="http://schemas.microsoft.com/office/drawing/2014/chart" uri="{C3380CC4-5D6E-409C-BE32-E72D297353CC}">
              <c16:uniqueId val="{00000001-C101-4717-A6CE-DFC90915A7CC}"/>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GIF 2027'!$K$8</c:f>
              <c:strCache>
                <c:ptCount val="1"/>
                <c:pt idx="0">
                  <c:v>Total</c:v>
                </c:pt>
              </c:strCache>
            </c:strRef>
          </c:tx>
          <c:dLbls>
            <c:dLbl>
              <c:idx val="0"/>
              <c:layout>
                <c:manualLayout>
                  <c:x val="4.6385371528772958E-2"/>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0-C8A3-46CB-BCEA-BE5CCAAF5165}"/>
                </c:ext>
              </c:extLst>
            </c:dLbl>
            <c:dLbl>
              <c:idx val="1"/>
              <c:layout>
                <c:manualLayout>
                  <c:x val="0.22885354667925609"/>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1-C8A3-46CB-BCEA-BE5CCAAF5165}"/>
                </c:ext>
              </c:extLst>
            </c:dLbl>
            <c:dLbl>
              <c:idx val="2"/>
              <c:layout>
                <c:manualLayout>
                  <c:x val="4.7047581311436729E-2"/>
                  <c:y val="2.1744356955380576E-2"/>
                </c:manualLayout>
              </c:layout>
              <c:spPr>
                <a:noFill/>
                <a:ln>
                  <a:noFill/>
                </a:ln>
                <a:effectLst/>
              </c:spPr>
              <c:txPr>
                <a:bodyPr wrap="square" lIns="38100" tIns="19050" rIns="38100" bIns="19050" anchor="ctr">
                  <a:no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2055674518201285"/>
                      <c:h val="0.15777777777777777"/>
                    </c:manualLayout>
                  </c15:layout>
                </c:ext>
                <c:ext xmlns:c16="http://schemas.microsoft.com/office/drawing/2014/chart" uri="{C3380CC4-5D6E-409C-BE32-E72D297353CC}">
                  <c16:uniqueId val="{00000002-C8A3-46CB-BCEA-BE5CCAAF516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2027'!$J$9:$J$11</c:f>
              <c:strCache>
                <c:ptCount val="3"/>
                <c:pt idx="0">
                  <c:v>TRI Party Repo</c:v>
                </c:pt>
                <c:pt idx="1">
                  <c:v>Government Bond</c:v>
                </c:pt>
                <c:pt idx="2">
                  <c:v>Net Current Asset</c:v>
                </c:pt>
              </c:strCache>
            </c:strRef>
          </c:cat>
          <c:val>
            <c:numRef>
              <c:f>'IDFC GIF 2027'!$K$9:$K$11</c:f>
              <c:numCache>
                <c:formatCode>0.00%</c:formatCode>
                <c:ptCount val="3"/>
                <c:pt idx="0">
                  <c:v>3.0747E-2</c:v>
                </c:pt>
                <c:pt idx="1">
                  <c:v>0.94698499999999997</c:v>
                </c:pt>
                <c:pt idx="2">
                  <c:v>2.2268E-2</c:v>
                </c:pt>
              </c:numCache>
            </c:numRef>
          </c:val>
          <c:extLst>
            <c:ext xmlns:c16="http://schemas.microsoft.com/office/drawing/2014/chart" uri="{C3380CC4-5D6E-409C-BE32-E72D297353CC}">
              <c16:uniqueId val="{00000003-C8A3-46CB-BCEA-BE5CCAAF516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815778381021415"/>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59689085973461"/>
                      <c:h val="0.16447368421052633"/>
                    </c:manualLayout>
                  </c15:layout>
                </c:ext>
                <c:ext xmlns:c16="http://schemas.microsoft.com/office/drawing/2014/chart" uri="{C3380CC4-5D6E-409C-BE32-E72D297353CC}">
                  <c16:uniqueId val="{00000000-C930-438A-9D9E-B2635857FCA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2028'!$G$8</c:f>
              <c:strCache>
                <c:ptCount val="1"/>
                <c:pt idx="0">
                  <c:v>AAA EQUIVALENT</c:v>
                </c:pt>
              </c:strCache>
            </c:strRef>
          </c:cat>
          <c:val>
            <c:numRef>
              <c:f>'IDFC GIF 2028'!$H$8</c:f>
              <c:numCache>
                <c:formatCode>0%</c:formatCode>
                <c:ptCount val="1"/>
                <c:pt idx="0">
                  <c:v>1</c:v>
                </c:pt>
              </c:numCache>
            </c:numRef>
          </c:val>
          <c:extLst>
            <c:ext xmlns:c16="http://schemas.microsoft.com/office/drawing/2014/chart" uri="{C3380CC4-5D6E-409C-BE32-E72D297353CC}">
              <c16:uniqueId val="{00000001-C930-438A-9D9E-B2635857FCA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GIF 2028'!$K$8</c:f>
              <c:strCache>
                <c:ptCount val="1"/>
                <c:pt idx="0">
                  <c:v>Total</c:v>
                </c:pt>
              </c:strCache>
            </c:strRef>
          </c:tx>
          <c:dLbls>
            <c:dLbl>
              <c:idx val="0"/>
              <c:layout>
                <c:manualLayout>
                  <c:x val="0.11276644354145239"/>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0-4CE9-4613-A81F-99D78DE77736}"/>
                </c:ext>
              </c:extLst>
            </c:dLbl>
            <c:dLbl>
              <c:idx val="1"/>
              <c:layout>
                <c:manualLayout>
                  <c:x val="0.22885354667925609"/>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1-4CE9-4613-A81F-99D78DE77736}"/>
                </c:ext>
              </c:extLst>
            </c:dLbl>
            <c:dLbl>
              <c:idx val="2"/>
              <c:layout>
                <c:manualLayout>
                  <c:x val="5.6683639919742367E-2"/>
                  <c:y val="-2.700262467191601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18361884368308351"/>
                      <c:h val="0.11666666666666667"/>
                    </c:manualLayout>
                  </c15:layout>
                </c:ext>
                <c:ext xmlns:c16="http://schemas.microsoft.com/office/drawing/2014/chart" uri="{C3380CC4-5D6E-409C-BE32-E72D297353CC}">
                  <c16:uniqueId val="{00000002-4CE9-4613-A81F-99D78DE7773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2028'!$J$9:$J$11</c:f>
              <c:strCache>
                <c:ptCount val="3"/>
                <c:pt idx="0">
                  <c:v>TRI Party Repo</c:v>
                </c:pt>
                <c:pt idx="1">
                  <c:v>Government Bond</c:v>
                </c:pt>
                <c:pt idx="2">
                  <c:v>Net Current Asset</c:v>
                </c:pt>
              </c:strCache>
            </c:strRef>
          </c:cat>
          <c:val>
            <c:numRef>
              <c:f>'IDFC GIF 2028'!$K$9:$K$11</c:f>
              <c:numCache>
                <c:formatCode>0.00%</c:formatCode>
                <c:ptCount val="3"/>
                <c:pt idx="0">
                  <c:v>2.6936000000000002E-2</c:v>
                </c:pt>
                <c:pt idx="1">
                  <c:v>0.95766499999999999</c:v>
                </c:pt>
                <c:pt idx="2">
                  <c:v>1.5398999999999999E-2</c:v>
                </c:pt>
              </c:numCache>
            </c:numRef>
          </c:val>
          <c:extLst>
            <c:ext xmlns:c16="http://schemas.microsoft.com/office/drawing/2014/chart" uri="{C3380CC4-5D6E-409C-BE32-E72D297353CC}">
              <c16:uniqueId val="{00000003-4CE9-4613-A81F-99D78DE7773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565234618691936"/>
                  <c:y val="-1.09649122807017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0E55-459D-9BDA-ACA269ABC98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0E55-459D-9BDA-ACA269ABC98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6C84-46E6-9164-C49988A43520}"/>
                </c:ext>
              </c:extLst>
            </c:dLbl>
            <c:dLbl>
              <c:idx val="1"/>
              <c:layout>
                <c:manualLayout>
                  <c:x val="0.1457546072265592"/>
                  <c:y val="-2.52528433945756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6C84-46E6-9164-C49988A43520}"/>
                </c:ext>
              </c:extLst>
            </c:dLbl>
            <c:dLbl>
              <c:idx val="2"/>
              <c:layout>
                <c:manualLayout>
                  <c:x val="-9.5837899812844587E-2"/>
                  <c:y val="-1.4635170603674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6C84-46E6-9164-C49988A4352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Net Current Asset</c:v>
                </c:pt>
                <c:pt idx="1">
                  <c:v>TRI Party Repo</c:v>
                </c:pt>
                <c:pt idx="2">
                  <c:v>Mutual Fund Units</c:v>
                </c:pt>
              </c:strCache>
            </c:strRef>
          </c:cat>
          <c:val>
            <c:numRef>
              <c:f>'IDFC ASBF'!$K$9:$K$11</c:f>
              <c:numCache>
                <c:formatCode>0.00%</c:formatCode>
                <c:ptCount val="3"/>
                <c:pt idx="0">
                  <c:v>-6.5539999999999999E-3</c:v>
                </c:pt>
                <c:pt idx="1">
                  <c:v>4.7833000000000001E-2</c:v>
                </c:pt>
                <c:pt idx="2">
                  <c:v>0.95872100000000005</c:v>
                </c:pt>
              </c:numCache>
            </c:numRef>
          </c:val>
          <c:extLst>
            <c:ext xmlns:c16="http://schemas.microsoft.com/office/drawing/2014/chart" uri="{C3380CC4-5D6E-409C-BE32-E72D297353CC}">
              <c16:uniqueId val="{0000000C-6C84-46E6-9164-C49988A4352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12700</xdr:rowOff>
    </xdr:from>
    <xdr:to>
      <xdr:col>13</xdr:col>
      <xdr:colOff>546100</xdr:colOff>
      <xdr:row>22</xdr:row>
      <xdr:rowOff>12700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40</xdr:row>
      <xdr:rowOff>28576</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596900</xdr:colOff>
      <xdr:row>7</xdr:row>
      <xdr:rowOff>12700</xdr:rowOff>
    </xdr:from>
    <xdr:to>
      <xdr:col>13</xdr:col>
      <xdr:colOff>533400</xdr:colOff>
      <xdr:row>22</xdr:row>
      <xdr:rowOff>12700</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25400</xdr:colOff>
      <xdr:row>7</xdr:row>
      <xdr:rowOff>25401</xdr:rowOff>
    </xdr:from>
    <xdr:to>
      <xdr:col>13</xdr:col>
      <xdr:colOff>571500</xdr:colOff>
      <xdr:row>22</xdr:row>
      <xdr:rowOff>25401</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12700</xdr:colOff>
      <xdr:row>7</xdr:row>
      <xdr:rowOff>1</xdr:rowOff>
    </xdr:from>
    <xdr:to>
      <xdr:col>13</xdr:col>
      <xdr:colOff>558800</xdr:colOff>
      <xdr:row>22</xdr:row>
      <xdr:rowOff>1</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1</xdr:rowOff>
    </xdr:from>
    <xdr:to>
      <xdr:col>13</xdr:col>
      <xdr:colOff>546100</xdr:colOff>
      <xdr:row>22</xdr:row>
      <xdr:rowOff>1</xdr:rowOff>
    </xdr:to>
    <xdr:graphicFrame macro="">
      <xdr:nvGraphicFramePr>
        <xdr:cNvPr id="2" name="Chart 1">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1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3"/>
  <sheetViews>
    <sheetView showGridLines="0" tabSelected="1" zoomScale="75" zoomScaleNormal="75" workbookViewId="0"/>
  </sheetViews>
  <sheetFormatPr defaultRowHeight="15" x14ac:dyDescent="0.25"/>
  <cols>
    <col min="1" max="1" width="2.85546875" customWidth="1"/>
    <col min="2" max="2" width="3.85546875" customWidth="1"/>
    <col min="3" max="3" width="52.57031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126</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8</v>
      </c>
      <c r="D8" s="6"/>
      <c r="E8" s="11">
        <v>1.00034</v>
      </c>
      <c r="F8" s="1"/>
      <c r="G8" s="23" t="s">
        <v>15</v>
      </c>
      <c r="H8" s="24">
        <v>1</v>
      </c>
      <c r="I8" s="1"/>
      <c r="J8" s="23" t="s">
        <v>12</v>
      </c>
      <c r="K8" s="23" t="s">
        <v>3</v>
      </c>
      <c r="L8" s="1"/>
      <c r="M8" s="1"/>
      <c r="N8" s="17"/>
    </row>
    <row r="9" spans="2:14" ht="15.75" customHeight="1" x14ac:dyDescent="0.25">
      <c r="B9" s="19"/>
      <c r="C9" s="7" t="s">
        <v>9</v>
      </c>
      <c r="D9" s="8"/>
      <c r="E9" s="12">
        <v>1.00034</v>
      </c>
      <c r="F9" s="1"/>
      <c r="G9" s="1"/>
      <c r="H9" s="1"/>
      <c r="I9" s="1"/>
      <c r="J9" s="23" t="s">
        <v>10</v>
      </c>
      <c r="K9" s="25">
        <v>-3.4200000000000002E-4</v>
      </c>
      <c r="L9" s="1"/>
      <c r="M9" s="1"/>
      <c r="N9" s="17"/>
    </row>
    <row r="10" spans="2:14" ht="15" customHeight="1" x14ac:dyDescent="0.25">
      <c r="B10" s="19"/>
      <c r="C10" s="5"/>
      <c r="D10" s="6"/>
      <c r="E10" s="11"/>
      <c r="F10" s="1"/>
      <c r="G10" s="1"/>
      <c r="H10" s="1"/>
      <c r="I10" s="1"/>
      <c r="J10" s="23" t="s">
        <v>13</v>
      </c>
      <c r="K10" s="25">
        <v>1.00034</v>
      </c>
      <c r="L10" s="1"/>
      <c r="M10" s="1"/>
      <c r="N10" s="17"/>
    </row>
    <row r="11" spans="2:14" ht="15.75" customHeight="1" x14ac:dyDescent="0.25">
      <c r="B11" s="19"/>
      <c r="C11" s="7" t="s">
        <v>10</v>
      </c>
      <c r="D11" s="8"/>
      <c r="E11" s="12">
        <v>-3.4200000000000002E-4</v>
      </c>
      <c r="F11" s="1"/>
      <c r="G11" s="1"/>
      <c r="H11" s="1"/>
      <c r="I11" s="1"/>
      <c r="J11" s="1"/>
      <c r="K11" s="1"/>
      <c r="L11" s="1"/>
      <c r="M11" s="1"/>
      <c r="N11" s="17"/>
    </row>
    <row r="12" spans="2:14" ht="15" customHeight="1" x14ac:dyDescent="0.25">
      <c r="B12" s="19"/>
      <c r="C12" s="5"/>
      <c r="D12" s="6"/>
      <c r="E12" s="11"/>
      <c r="F12" s="1"/>
      <c r="G12" s="1"/>
      <c r="H12" s="1"/>
      <c r="I12" s="1"/>
      <c r="J12" s="1"/>
      <c r="K12" s="1"/>
      <c r="L12" s="1"/>
      <c r="M12" s="1"/>
      <c r="N12" s="17"/>
    </row>
    <row r="13" spans="2:14" ht="15" customHeight="1" x14ac:dyDescent="0.25">
      <c r="B13" s="19"/>
      <c r="C13" s="9" t="s">
        <v>11</v>
      </c>
      <c r="D13" s="10"/>
      <c r="E13" s="13">
        <v>1</v>
      </c>
      <c r="F13" s="1"/>
      <c r="G13" s="1"/>
      <c r="H13" s="1"/>
      <c r="I13" s="1"/>
      <c r="J13" s="1"/>
      <c r="K13" s="1"/>
      <c r="L13" s="1"/>
      <c r="M13" s="1"/>
      <c r="N13" s="17"/>
    </row>
    <row r="14" spans="2:14" ht="15" customHeight="1" x14ac:dyDescent="0.25">
      <c r="B14" s="19"/>
      <c r="C14" s="1"/>
      <c r="D14" s="1"/>
      <c r="E14" s="1"/>
      <c r="F14" s="1"/>
      <c r="G14" s="1"/>
      <c r="H14" s="1"/>
      <c r="I14" s="1"/>
      <c r="J14" s="1"/>
      <c r="K14" s="1"/>
      <c r="L14" s="1"/>
      <c r="M14" s="1"/>
      <c r="N14" s="17"/>
    </row>
    <row r="15" spans="2:14" ht="15" customHeight="1" x14ac:dyDescent="0.25">
      <c r="B15" s="19"/>
      <c r="C15" s="1"/>
      <c r="D15" s="1"/>
      <c r="E15" s="1"/>
      <c r="F15" s="1"/>
      <c r="G15" s="1"/>
      <c r="H15" s="1"/>
      <c r="I15" s="1"/>
      <c r="J15" s="1"/>
      <c r="K15" s="1"/>
      <c r="L15" s="1"/>
      <c r="M15" s="1"/>
      <c r="N15" s="17"/>
    </row>
    <row r="16" spans="2:14" ht="15" customHeight="1" x14ac:dyDescent="0.25">
      <c r="B16" s="19"/>
      <c r="C16" s="1"/>
      <c r="D16" s="1"/>
      <c r="E16" s="1"/>
      <c r="F16" s="1"/>
      <c r="G16" s="1"/>
      <c r="H16" s="1"/>
      <c r="I16" s="1"/>
      <c r="J16" s="1"/>
      <c r="K16" s="1"/>
      <c r="L16" s="1"/>
      <c r="M16" s="1"/>
      <c r="N16" s="17"/>
    </row>
    <row r="17" spans="2:14" ht="15" customHeight="1" x14ac:dyDescent="0.25">
      <c r="B17" s="19"/>
      <c r="C17" s="1"/>
      <c r="D17" s="1"/>
      <c r="E17" s="1"/>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4" t="s">
        <v>17</v>
      </c>
      <c r="H26" s="35"/>
      <c r="I26" s="35"/>
      <c r="J26" s="35"/>
      <c r="K26" s="35"/>
      <c r="L26" s="35"/>
      <c r="M26" s="35"/>
      <c r="N26" s="3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sheetData>
  <mergeCells count="3">
    <mergeCell ref="C3:N3"/>
    <mergeCell ref="G7:N7"/>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4"/>
  <sheetViews>
    <sheetView showGridLines="0" zoomScale="75" zoomScaleNormal="75" workbookViewId="0"/>
  </sheetViews>
  <sheetFormatPr defaultRowHeight="15" x14ac:dyDescent="0.25"/>
  <cols>
    <col min="1" max="1" width="2.85546875" customWidth="1"/>
    <col min="2" max="2" width="3.85546875" customWidth="1"/>
    <col min="3" max="3" width="52.57031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85</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35</v>
      </c>
      <c r="D8" s="6" t="s">
        <v>20</v>
      </c>
      <c r="E8" s="11">
        <v>0.119936</v>
      </c>
      <c r="F8" s="1"/>
      <c r="G8" s="23" t="s">
        <v>15</v>
      </c>
      <c r="H8" s="24">
        <v>1</v>
      </c>
      <c r="I8" s="1"/>
      <c r="J8" s="23" t="s">
        <v>12</v>
      </c>
      <c r="K8" s="23" t="s">
        <v>3</v>
      </c>
      <c r="L8" s="1"/>
      <c r="M8" s="1"/>
      <c r="N8" s="17"/>
    </row>
    <row r="9" spans="2:14" ht="15" customHeight="1" x14ac:dyDescent="0.25">
      <c r="B9" s="19"/>
      <c r="C9" s="5" t="s">
        <v>86</v>
      </c>
      <c r="D9" s="6" t="s">
        <v>20</v>
      </c>
      <c r="E9" s="11">
        <v>8.6831000000000005E-2</v>
      </c>
      <c r="F9" s="1"/>
      <c r="G9" s="1"/>
      <c r="H9" s="1"/>
      <c r="I9" s="1"/>
      <c r="J9" s="23" t="s">
        <v>10</v>
      </c>
      <c r="K9" s="25">
        <v>9.3700000000000001E-4</v>
      </c>
      <c r="L9" s="1"/>
      <c r="M9" s="1"/>
      <c r="N9" s="17"/>
    </row>
    <row r="10" spans="2:14" ht="15" customHeight="1" x14ac:dyDescent="0.25">
      <c r="B10" s="19"/>
      <c r="C10" s="5" t="s">
        <v>33</v>
      </c>
      <c r="D10" s="6" t="s">
        <v>20</v>
      </c>
      <c r="E10" s="11">
        <v>5.3246000000000002E-2</v>
      </c>
      <c r="F10" s="1"/>
      <c r="G10" s="1"/>
      <c r="H10" s="1"/>
      <c r="I10" s="1"/>
      <c r="J10" s="23" t="s">
        <v>13</v>
      </c>
      <c r="K10" s="25">
        <v>0.260378</v>
      </c>
      <c r="L10" s="1"/>
      <c r="M10" s="1"/>
      <c r="N10" s="17"/>
    </row>
    <row r="11" spans="2:14" ht="15" customHeight="1" x14ac:dyDescent="0.25">
      <c r="B11" s="19"/>
      <c r="C11" s="5" t="s">
        <v>87</v>
      </c>
      <c r="D11" s="6" t="s">
        <v>20</v>
      </c>
      <c r="E11" s="11">
        <v>3.3354000000000002E-2</v>
      </c>
      <c r="F11" s="1"/>
      <c r="G11" s="1"/>
      <c r="H11" s="1"/>
      <c r="I11" s="1"/>
      <c r="J11" s="23" t="s">
        <v>61</v>
      </c>
      <c r="K11" s="25">
        <v>4.7655000000000003E-2</v>
      </c>
      <c r="L11" s="1"/>
      <c r="M11" s="1"/>
      <c r="N11" s="17"/>
    </row>
    <row r="12" spans="2:14" ht="15" customHeight="1" x14ac:dyDescent="0.25">
      <c r="B12" s="19"/>
      <c r="C12" s="5" t="s">
        <v>88</v>
      </c>
      <c r="D12" s="6" t="s">
        <v>20</v>
      </c>
      <c r="E12" s="11">
        <v>2.6771E-2</v>
      </c>
      <c r="F12" s="1"/>
      <c r="G12" s="1"/>
      <c r="H12" s="1"/>
      <c r="I12" s="1"/>
      <c r="J12" s="23" t="s">
        <v>62</v>
      </c>
      <c r="K12" s="25">
        <v>0.39360800000000001</v>
      </c>
      <c r="L12" s="1"/>
      <c r="M12" s="1"/>
      <c r="N12" s="17"/>
    </row>
    <row r="13" spans="2:14" ht="15" customHeight="1" x14ac:dyDescent="0.25">
      <c r="B13" s="19"/>
      <c r="C13" s="5" t="s">
        <v>83</v>
      </c>
      <c r="D13" s="6" t="s">
        <v>20</v>
      </c>
      <c r="E13" s="11">
        <v>2.6717999999999999E-2</v>
      </c>
      <c r="F13" s="1"/>
      <c r="G13" s="1"/>
      <c r="H13" s="1"/>
      <c r="I13" s="1"/>
      <c r="J13" s="23" t="s">
        <v>80</v>
      </c>
      <c r="K13" s="25">
        <v>0.29742200000000002</v>
      </c>
      <c r="L13" s="1"/>
      <c r="M13" s="1"/>
      <c r="N13" s="17"/>
    </row>
    <row r="14" spans="2:14" ht="15" customHeight="1" x14ac:dyDescent="0.25">
      <c r="B14" s="19"/>
      <c r="C14" s="5" t="s">
        <v>44</v>
      </c>
      <c r="D14" s="6" t="s">
        <v>20</v>
      </c>
      <c r="E14" s="11">
        <v>2.3380999999999999E-2</v>
      </c>
      <c r="F14" s="1"/>
      <c r="G14" s="1"/>
      <c r="H14" s="1"/>
      <c r="I14" s="1"/>
      <c r="J14" s="1"/>
      <c r="K14" s="1"/>
      <c r="L14" s="1"/>
      <c r="M14" s="1"/>
      <c r="N14" s="17"/>
    </row>
    <row r="15" spans="2:14" ht="15" customHeight="1" x14ac:dyDescent="0.25">
      <c r="B15" s="19"/>
      <c r="C15" s="5" t="s">
        <v>89</v>
      </c>
      <c r="D15" s="6" t="s">
        <v>20</v>
      </c>
      <c r="E15" s="11">
        <v>2.3370999999999999E-2</v>
      </c>
      <c r="F15" s="1"/>
      <c r="G15" s="1"/>
      <c r="H15" s="1"/>
      <c r="I15" s="1"/>
      <c r="J15" s="1"/>
      <c r="K15" s="1"/>
      <c r="L15" s="1"/>
      <c r="M15" s="1"/>
      <c r="N15" s="17"/>
    </row>
    <row r="16" spans="2:14" ht="15.75" customHeight="1" x14ac:dyDescent="0.25">
      <c r="B16" s="19"/>
      <c r="C16" s="7" t="s">
        <v>24</v>
      </c>
      <c r="D16" s="8"/>
      <c r="E16" s="12">
        <v>0.39360800000000001</v>
      </c>
      <c r="F16" s="1"/>
      <c r="G16" s="1"/>
      <c r="H16" s="1"/>
      <c r="I16" s="1"/>
      <c r="J16" s="1"/>
      <c r="K16" s="1"/>
      <c r="L16" s="1"/>
      <c r="M16" s="1"/>
      <c r="N16" s="17"/>
    </row>
    <row r="17" spans="2:14" ht="15" customHeight="1" x14ac:dyDescent="0.25">
      <c r="B17" s="19"/>
      <c r="C17" s="5" t="s">
        <v>28</v>
      </c>
      <c r="D17" s="6" t="s">
        <v>26</v>
      </c>
      <c r="E17" s="11">
        <v>1.8155000000000001E-2</v>
      </c>
      <c r="F17" s="1"/>
      <c r="G17" s="1"/>
      <c r="H17" s="1"/>
      <c r="I17" s="1"/>
      <c r="J17" s="1"/>
      <c r="K17" s="1"/>
      <c r="L17" s="1"/>
      <c r="M17" s="1"/>
      <c r="N17" s="17"/>
    </row>
    <row r="18" spans="2:14" ht="15" customHeight="1" x14ac:dyDescent="0.25">
      <c r="B18" s="19"/>
      <c r="C18" s="5" t="s">
        <v>29</v>
      </c>
      <c r="D18" s="6" t="s">
        <v>26</v>
      </c>
      <c r="E18" s="11">
        <v>1.14E-2</v>
      </c>
      <c r="F18" s="1"/>
      <c r="G18" s="1"/>
      <c r="H18" s="1"/>
      <c r="I18" s="1"/>
      <c r="J18" s="1"/>
      <c r="K18" s="1"/>
      <c r="L18" s="1"/>
      <c r="M18" s="1"/>
      <c r="N18" s="17"/>
    </row>
    <row r="19" spans="2:14" ht="15" customHeight="1" x14ac:dyDescent="0.25">
      <c r="B19" s="19"/>
      <c r="C19" s="5" t="s">
        <v>38</v>
      </c>
      <c r="D19" s="6" t="s">
        <v>26</v>
      </c>
      <c r="E19" s="11">
        <v>1.1396E-2</v>
      </c>
      <c r="F19" s="1"/>
      <c r="G19" s="1"/>
      <c r="H19" s="1"/>
      <c r="I19" s="1"/>
      <c r="J19" s="1"/>
      <c r="K19" s="1"/>
      <c r="L19" s="1"/>
      <c r="M19" s="1"/>
      <c r="N19" s="17"/>
    </row>
    <row r="20" spans="2:14" ht="15" customHeight="1" x14ac:dyDescent="0.25">
      <c r="B20" s="19"/>
      <c r="C20" s="5" t="s">
        <v>39</v>
      </c>
      <c r="D20" s="6" t="s">
        <v>26</v>
      </c>
      <c r="E20" s="11">
        <v>3.3530000000000001E-3</v>
      </c>
      <c r="F20" s="1"/>
      <c r="G20" s="1"/>
      <c r="H20" s="1"/>
      <c r="I20" s="1"/>
      <c r="J20" s="1"/>
      <c r="K20" s="1"/>
      <c r="L20" s="1"/>
      <c r="M20" s="1"/>
      <c r="N20" s="17"/>
    </row>
    <row r="21" spans="2:14" ht="15" customHeight="1" x14ac:dyDescent="0.25">
      <c r="B21" s="19"/>
      <c r="C21" s="5" t="s">
        <v>83</v>
      </c>
      <c r="D21" s="6" t="s">
        <v>26</v>
      </c>
      <c r="E21" s="11">
        <v>3.3509999999999998E-3</v>
      </c>
      <c r="F21" s="1"/>
      <c r="G21" s="1"/>
      <c r="H21" s="1"/>
      <c r="I21" s="1"/>
      <c r="J21" s="1"/>
      <c r="K21" s="1"/>
      <c r="L21" s="1"/>
      <c r="M21" s="1"/>
      <c r="N21" s="17"/>
    </row>
    <row r="22" spans="2:14" ht="15.75" customHeight="1" x14ac:dyDescent="0.25">
      <c r="B22" s="19"/>
      <c r="C22" s="7" t="s">
        <v>46</v>
      </c>
      <c r="D22" s="8"/>
      <c r="E22" s="12">
        <v>4.7655000000000003E-2</v>
      </c>
      <c r="F22" s="1"/>
      <c r="G22" s="1"/>
      <c r="H22" s="1"/>
      <c r="I22" s="1"/>
      <c r="J22" s="1"/>
      <c r="K22" s="1"/>
      <c r="L22" s="1"/>
      <c r="M22" s="1"/>
      <c r="N22" s="17"/>
    </row>
    <row r="23" spans="2:14" ht="15" customHeight="1" x14ac:dyDescent="0.25">
      <c r="B23" s="19"/>
      <c r="C23" s="5" t="s">
        <v>90</v>
      </c>
      <c r="D23" s="6" t="s">
        <v>50</v>
      </c>
      <c r="E23" s="11">
        <v>7.0596000000000006E-2</v>
      </c>
      <c r="F23" s="1"/>
      <c r="G23" s="1"/>
      <c r="H23" s="1"/>
      <c r="I23" s="1"/>
      <c r="J23" s="1"/>
      <c r="K23" s="1"/>
      <c r="L23" s="1"/>
      <c r="M23" s="1"/>
      <c r="N23" s="17"/>
    </row>
    <row r="24" spans="2:14" ht="15" customHeight="1" x14ac:dyDescent="0.25">
      <c r="B24" s="19"/>
      <c r="C24" s="5" t="s">
        <v>91</v>
      </c>
      <c r="D24" s="6" t="s">
        <v>50</v>
      </c>
      <c r="E24" s="11">
        <v>6.6728999999999997E-2</v>
      </c>
      <c r="F24" s="1"/>
      <c r="G24" s="1"/>
      <c r="H24" s="1"/>
      <c r="I24" s="1"/>
      <c r="J24" s="1"/>
      <c r="K24" s="1"/>
      <c r="L24" s="1"/>
      <c r="M24" s="1"/>
      <c r="N24" s="17"/>
    </row>
    <row r="25" spans="2:14" ht="15" customHeight="1" x14ac:dyDescent="0.25">
      <c r="B25" s="19"/>
      <c r="C25" s="5" t="s">
        <v>92</v>
      </c>
      <c r="D25" s="6" t="s">
        <v>50</v>
      </c>
      <c r="E25" s="11">
        <v>6.6689999999999999E-2</v>
      </c>
      <c r="F25" s="1"/>
      <c r="G25" s="1"/>
      <c r="H25" s="1"/>
      <c r="I25" s="1"/>
      <c r="J25" s="1"/>
      <c r="K25" s="1"/>
      <c r="L25" s="1"/>
      <c r="M25" s="1"/>
      <c r="N25" s="17"/>
    </row>
    <row r="26" spans="2:14" ht="15" customHeight="1" x14ac:dyDescent="0.25">
      <c r="B26" s="19"/>
      <c r="C26" s="5" t="s">
        <v>93</v>
      </c>
      <c r="D26" s="6" t="s">
        <v>50</v>
      </c>
      <c r="E26" s="11">
        <v>5.3421000000000003E-2</v>
      </c>
      <c r="F26" s="1"/>
      <c r="G26" s="34" t="s">
        <v>17</v>
      </c>
      <c r="H26" s="35"/>
      <c r="I26" s="35"/>
      <c r="J26" s="35"/>
      <c r="K26" s="35"/>
      <c r="L26" s="35"/>
      <c r="M26" s="35"/>
      <c r="N26" s="36"/>
    </row>
    <row r="27" spans="2:14" ht="15" customHeight="1" x14ac:dyDescent="0.25">
      <c r="B27" s="19"/>
      <c r="C27" s="5" t="s">
        <v>94</v>
      </c>
      <c r="D27" s="6" t="s">
        <v>50</v>
      </c>
      <c r="E27" s="11">
        <v>3.9986000000000001E-2</v>
      </c>
      <c r="F27" s="1"/>
      <c r="G27" s="1"/>
      <c r="H27" s="1"/>
      <c r="I27" s="1"/>
      <c r="J27" s="1"/>
      <c r="K27" s="1"/>
      <c r="L27" s="1"/>
      <c r="M27" s="1"/>
      <c r="N27" s="17"/>
    </row>
    <row r="28" spans="2:14" ht="15.75" customHeight="1" x14ac:dyDescent="0.25">
      <c r="B28" s="19"/>
      <c r="C28" s="7" t="s">
        <v>78</v>
      </c>
      <c r="D28" s="8"/>
      <c r="E28" s="12">
        <v>0.29742200000000002</v>
      </c>
      <c r="F28" s="1"/>
      <c r="G28" s="1"/>
      <c r="H28" s="1"/>
      <c r="I28" s="1"/>
      <c r="J28" s="1"/>
      <c r="K28" s="1"/>
      <c r="L28" s="1"/>
      <c r="M28" s="1"/>
      <c r="N28" s="17"/>
    </row>
    <row r="29" spans="2:14" ht="15" customHeight="1" x14ac:dyDescent="0.25">
      <c r="B29" s="19"/>
      <c r="C29" s="5" t="s">
        <v>8</v>
      </c>
      <c r="D29" s="6"/>
      <c r="E29" s="11">
        <v>0.260378</v>
      </c>
      <c r="F29" s="1"/>
      <c r="G29" s="1"/>
      <c r="H29" s="1"/>
      <c r="I29" s="1"/>
      <c r="J29" s="1"/>
      <c r="K29" s="1"/>
      <c r="L29" s="1"/>
      <c r="M29" s="1"/>
      <c r="N29" s="17"/>
    </row>
    <row r="30" spans="2:14" ht="15.75" customHeight="1" x14ac:dyDescent="0.25">
      <c r="B30" s="19"/>
      <c r="C30" s="7" t="s">
        <v>9</v>
      </c>
      <c r="D30" s="8"/>
      <c r="E30" s="12">
        <v>0.260378</v>
      </c>
      <c r="F30" s="1"/>
      <c r="G30" s="1"/>
      <c r="H30" s="1"/>
      <c r="I30" s="1"/>
      <c r="J30" s="1"/>
      <c r="K30" s="1"/>
      <c r="L30" s="1"/>
      <c r="M30" s="1"/>
      <c r="N30" s="17"/>
    </row>
    <row r="31" spans="2:14" ht="15" customHeight="1" x14ac:dyDescent="0.25">
      <c r="B31" s="19"/>
      <c r="C31" s="5"/>
      <c r="D31" s="6"/>
      <c r="E31" s="11"/>
      <c r="F31" s="1"/>
      <c r="G31" s="1"/>
      <c r="H31" s="1"/>
      <c r="I31" s="1"/>
      <c r="J31" s="1"/>
      <c r="K31" s="1"/>
      <c r="L31" s="1"/>
      <c r="M31" s="1"/>
      <c r="N31" s="17"/>
    </row>
    <row r="32" spans="2:14" ht="15.75" customHeight="1" x14ac:dyDescent="0.25">
      <c r="B32" s="19"/>
      <c r="C32" s="7" t="s">
        <v>10</v>
      </c>
      <c r="D32" s="8"/>
      <c r="E32" s="12">
        <v>9.3700000000000001E-4</v>
      </c>
      <c r="F32" s="1"/>
      <c r="G32" s="1"/>
      <c r="H32" s="1"/>
      <c r="I32" s="1"/>
      <c r="J32" s="1"/>
      <c r="K32" s="1"/>
      <c r="L32" s="1"/>
      <c r="M32" s="1"/>
      <c r="N32" s="17"/>
    </row>
    <row r="33" spans="2:14" ht="15" customHeight="1" x14ac:dyDescent="0.25">
      <c r="B33" s="19"/>
      <c r="C33" s="5"/>
      <c r="D33" s="6"/>
      <c r="E33" s="11"/>
      <c r="F33" s="1"/>
      <c r="G33" s="1"/>
      <c r="H33" s="1"/>
      <c r="I33" s="1"/>
      <c r="J33" s="1"/>
      <c r="K33" s="1"/>
      <c r="L33" s="1"/>
      <c r="M33" s="1"/>
      <c r="N33" s="17"/>
    </row>
    <row r="34" spans="2:14" ht="15" customHeight="1" x14ac:dyDescent="0.25">
      <c r="B34" s="19"/>
      <c r="C34" s="9" t="s">
        <v>11</v>
      </c>
      <c r="D34" s="10"/>
      <c r="E34" s="13">
        <v>1</v>
      </c>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x14ac:dyDescent="0.25"/>
    <row r="45" spans="2:14" ht="15" customHeight="1" x14ac:dyDescent="0.25"/>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sheetData>
  <mergeCells count="3">
    <mergeCell ref="C3:N3"/>
    <mergeCell ref="G7:N7"/>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00"/>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113</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19</v>
      </c>
      <c r="D8" s="6" t="s">
        <v>20</v>
      </c>
      <c r="E8" s="11">
        <v>2.9520000000000002E-3</v>
      </c>
      <c r="F8" s="1"/>
      <c r="G8" s="23" t="s">
        <v>15</v>
      </c>
      <c r="H8" s="24">
        <v>1</v>
      </c>
      <c r="I8" s="1"/>
      <c r="J8" s="23" t="s">
        <v>12</v>
      </c>
      <c r="K8" s="23" t="s">
        <v>3</v>
      </c>
      <c r="L8" s="1"/>
      <c r="M8" s="1"/>
      <c r="N8" s="17"/>
    </row>
    <row r="9" spans="2:14" ht="15.75" customHeight="1" x14ac:dyDescent="0.25">
      <c r="B9" s="19"/>
      <c r="C9" s="7" t="s">
        <v>22</v>
      </c>
      <c r="D9" s="8"/>
      <c r="E9" s="12">
        <v>2.9520000000000002E-3</v>
      </c>
      <c r="F9" s="1"/>
      <c r="G9" s="1"/>
      <c r="H9" s="1"/>
      <c r="I9" s="1"/>
      <c r="J9" s="23" t="s">
        <v>10</v>
      </c>
      <c r="K9" s="25">
        <v>-5.7200000000000003E-4</v>
      </c>
      <c r="L9" s="1"/>
      <c r="M9" s="1"/>
      <c r="N9" s="17"/>
    </row>
    <row r="10" spans="2:14" ht="15" customHeight="1" x14ac:dyDescent="0.25">
      <c r="B10" s="19"/>
      <c r="C10" s="5" t="s">
        <v>35</v>
      </c>
      <c r="D10" s="6" t="s">
        <v>20</v>
      </c>
      <c r="E10" s="11">
        <v>7.0793999999999996E-2</v>
      </c>
      <c r="F10" s="1"/>
      <c r="G10" s="1"/>
      <c r="H10" s="1"/>
      <c r="I10" s="1"/>
      <c r="J10" s="23" t="s">
        <v>13</v>
      </c>
      <c r="K10" s="25">
        <v>0.133793</v>
      </c>
      <c r="L10" s="1"/>
      <c r="M10" s="1"/>
      <c r="N10" s="17"/>
    </row>
    <row r="11" spans="2:14" ht="15" customHeight="1" x14ac:dyDescent="0.25">
      <c r="B11" s="19"/>
      <c r="C11" s="5" t="s">
        <v>114</v>
      </c>
      <c r="D11" s="6" t="s">
        <v>20</v>
      </c>
      <c r="E11" s="11">
        <v>4.8004999999999999E-2</v>
      </c>
      <c r="F11" s="1"/>
      <c r="G11" s="1"/>
      <c r="H11" s="1"/>
      <c r="I11" s="1"/>
      <c r="J11" s="23" t="s">
        <v>60</v>
      </c>
      <c r="K11" s="25">
        <v>2.9520000000000002E-3</v>
      </c>
      <c r="L11" s="1"/>
      <c r="M11" s="1"/>
      <c r="N11" s="17"/>
    </row>
    <row r="12" spans="2:14" ht="15" customHeight="1" x14ac:dyDescent="0.25">
      <c r="B12" s="19"/>
      <c r="C12" s="5" t="s">
        <v>21</v>
      </c>
      <c r="D12" s="6" t="s">
        <v>20</v>
      </c>
      <c r="E12" s="11">
        <v>3.1188E-2</v>
      </c>
      <c r="F12" s="1"/>
      <c r="G12" s="1"/>
      <c r="H12" s="1"/>
      <c r="I12" s="1"/>
      <c r="J12" s="23" t="s">
        <v>61</v>
      </c>
      <c r="K12" s="25">
        <v>0.38249899999999998</v>
      </c>
      <c r="L12" s="1"/>
      <c r="M12" s="1"/>
      <c r="N12" s="17"/>
    </row>
    <row r="13" spans="2:14" ht="15" customHeight="1" x14ac:dyDescent="0.25">
      <c r="B13" s="19"/>
      <c r="C13" s="5" t="s">
        <v>82</v>
      </c>
      <c r="D13" s="6" t="s">
        <v>20</v>
      </c>
      <c r="E13" s="11">
        <v>7.6670000000000002E-3</v>
      </c>
      <c r="F13" s="1"/>
      <c r="G13" s="1"/>
      <c r="H13" s="1"/>
      <c r="I13" s="1"/>
      <c r="J13" s="23" t="s">
        <v>62</v>
      </c>
      <c r="K13" s="25">
        <v>0.17055600000000001</v>
      </c>
      <c r="L13" s="1"/>
      <c r="M13" s="1"/>
      <c r="N13" s="17"/>
    </row>
    <row r="14" spans="2:14" ht="15" customHeight="1" x14ac:dyDescent="0.25">
      <c r="B14" s="19"/>
      <c r="C14" s="5" t="s">
        <v>87</v>
      </c>
      <c r="D14" s="6" t="s">
        <v>20</v>
      </c>
      <c r="E14" s="11">
        <v>5.9119999999999997E-3</v>
      </c>
      <c r="F14" s="1"/>
      <c r="G14" s="1"/>
      <c r="H14" s="1"/>
      <c r="I14" s="1"/>
      <c r="J14" s="23" t="s">
        <v>63</v>
      </c>
      <c r="K14" s="25">
        <v>1.1837E-2</v>
      </c>
      <c r="L14" s="1"/>
      <c r="M14" s="1"/>
      <c r="N14" s="17"/>
    </row>
    <row r="15" spans="2:14" ht="15" customHeight="1" x14ac:dyDescent="0.25">
      <c r="B15" s="19"/>
      <c r="C15" s="5" t="s">
        <v>44</v>
      </c>
      <c r="D15" s="6" t="s">
        <v>20</v>
      </c>
      <c r="E15" s="11">
        <v>5.842E-3</v>
      </c>
      <c r="F15" s="1"/>
      <c r="G15" s="1"/>
      <c r="H15" s="1"/>
      <c r="I15" s="1"/>
      <c r="J15" s="23" t="s">
        <v>64</v>
      </c>
      <c r="K15" s="25">
        <v>8.9168999999999998E-2</v>
      </c>
      <c r="L15" s="1"/>
      <c r="M15" s="1"/>
      <c r="N15" s="17"/>
    </row>
    <row r="16" spans="2:14" ht="15" customHeight="1" x14ac:dyDescent="0.25">
      <c r="B16" s="19"/>
      <c r="C16" s="5" t="s">
        <v>38</v>
      </c>
      <c r="D16" s="6" t="s">
        <v>20</v>
      </c>
      <c r="E16" s="11">
        <v>1.1479999999999999E-3</v>
      </c>
      <c r="F16" s="1"/>
      <c r="G16" s="1"/>
      <c r="H16" s="1"/>
      <c r="I16" s="1"/>
      <c r="J16" s="23"/>
      <c r="K16" s="25"/>
      <c r="L16" s="1"/>
      <c r="M16" s="1"/>
      <c r="N16" s="17"/>
    </row>
    <row r="17" spans="2:14" ht="15.75" customHeight="1" x14ac:dyDescent="0.25">
      <c r="B17" s="19"/>
      <c r="C17" s="7" t="s">
        <v>24</v>
      </c>
      <c r="D17" s="8"/>
      <c r="E17" s="12">
        <v>0.17055600000000001</v>
      </c>
      <c r="F17" s="1"/>
      <c r="G17" s="1"/>
      <c r="H17" s="1"/>
      <c r="I17" s="1"/>
      <c r="J17" s="23" t="s">
        <v>65</v>
      </c>
      <c r="K17" s="25">
        <v>1.4057E-2</v>
      </c>
      <c r="L17" s="1"/>
      <c r="M17" s="1"/>
      <c r="N17" s="17"/>
    </row>
    <row r="18" spans="2:14" ht="15" customHeight="1" x14ac:dyDescent="0.25">
      <c r="B18" s="19"/>
      <c r="C18" s="5" t="s">
        <v>23</v>
      </c>
      <c r="D18" s="6" t="s">
        <v>26</v>
      </c>
      <c r="E18" s="11">
        <v>0.10290100000000001</v>
      </c>
      <c r="F18" s="1"/>
      <c r="G18" s="1"/>
      <c r="H18" s="1"/>
      <c r="I18" s="1"/>
      <c r="J18" s="23" t="s">
        <v>80</v>
      </c>
      <c r="K18" s="25">
        <v>0.182613</v>
      </c>
      <c r="L18" s="1"/>
      <c r="M18" s="1"/>
      <c r="N18" s="17"/>
    </row>
    <row r="19" spans="2:14" ht="15" customHeight="1" x14ac:dyDescent="0.25">
      <c r="B19" s="19"/>
      <c r="C19" s="5" t="s">
        <v>25</v>
      </c>
      <c r="D19" s="6" t="s">
        <v>26</v>
      </c>
      <c r="E19" s="11">
        <v>8.7344000000000005E-2</v>
      </c>
      <c r="F19" s="1"/>
      <c r="G19" s="1"/>
      <c r="H19" s="1"/>
      <c r="I19" s="1"/>
      <c r="J19" s="23" t="s">
        <v>66</v>
      </c>
      <c r="K19" s="25">
        <v>1.3101E-2</v>
      </c>
      <c r="L19" s="1"/>
      <c r="M19" s="1"/>
      <c r="N19" s="17"/>
    </row>
    <row r="20" spans="2:14" ht="15" customHeight="1" x14ac:dyDescent="0.25">
      <c r="B20" s="19"/>
      <c r="C20" s="5" t="s">
        <v>38</v>
      </c>
      <c r="D20" s="6" t="s">
        <v>26</v>
      </c>
      <c r="E20" s="11">
        <v>6.1184000000000002E-2</v>
      </c>
      <c r="F20" s="1"/>
      <c r="G20" s="1"/>
      <c r="H20" s="1"/>
      <c r="I20" s="1"/>
      <c r="J20" s="1"/>
      <c r="K20" s="1"/>
      <c r="L20" s="1"/>
      <c r="M20" s="1"/>
      <c r="N20" s="17"/>
    </row>
    <row r="21" spans="2:14" ht="15" customHeight="1" x14ac:dyDescent="0.25">
      <c r="B21" s="19"/>
      <c r="C21" s="5" t="s">
        <v>35</v>
      </c>
      <c r="D21" s="6" t="s">
        <v>26</v>
      </c>
      <c r="E21" s="11">
        <v>3.1294000000000002E-2</v>
      </c>
      <c r="F21" s="1"/>
      <c r="G21" s="1"/>
      <c r="H21" s="1"/>
      <c r="I21" s="1"/>
      <c r="J21" s="1"/>
      <c r="K21" s="1"/>
      <c r="L21" s="1"/>
      <c r="M21" s="1"/>
      <c r="N21" s="17"/>
    </row>
    <row r="22" spans="2:14" ht="15" customHeight="1" x14ac:dyDescent="0.25">
      <c r="B22" s="19"/>
      <c r="C22" s="5" t="s">
        <v>28</v>
      </c>
      <c r="D22" s="6" t="s">
        <v>26</v>
      </c>
      <c r="E22" s="11">
        <v>2.6505999999999998E-2</v>
      </c>
      <c r="F22" s="1"/>
      <c r="G22" s="1"/>
      <c r="H22" s="1"/>
      <c r="I22" s="1"/>
      <c r="J22" s="1"/>
      <c r="K22" s="1"/>
      <c r="L22" s="1"/>
      <c r="M22" s="1"/>
      <c r="N22" s="17"/>
    </row>
    <row r="23" spans="2:14" ht="15" customHeight="1" x14ac:dyDescent="0.25">
      <c r="B23" s="19"/>
      <c r="C23" s="5" t="s">
        <v>83</v>
      </c>
      <c r="D23" s="6" t="s">
        <v>26</v>
      </c>
      <c r="E23" s="11">
        <v>2.4718E-2</v>
      </c>
      <c r="F23" s="1"/>
      <c r="G23" s="1"/>
      <c r="H23" s="1"/>
      <c r="I23" s="1"/>
      <c r="J23" s="1"/>
      <c r="K23" s="1"/>
      <c r="L23" s="1"/>
      <c r="M23" s="1"/>
      <c r="N23" s="17"/>
    </row>
    <row r="24" spans="2:14" ht="15" customHeight="1" x14ac:dyDescent="0.25">
      <c r="B24" s="19"/>
      <c r="C24" s="5" t="s">
        <v>96</v>
      </c>
      <c r="D24" s="6" t="s">
        <v>26</v>
      </c>
      <c r="E24" s="11">
        <v>1.4676E-2</v>
      </c>
      <c r="F24" s="1"/>
      <c r="G24" s="1"/>
      <c r="H24" s="1"/>
      <c r="I24" s="1"/>
      <c r="J24" s="1"/>
      <c r="K24" s="1"/>
      <c r="L24" s="1"/>
      <c r="M24" s="1"/>
      <c r="N24" s="17"/>
    </row>
    <row r="25" spans="2:14" ht="15" customHeight="1" x14ac:dyDescent="0.25">
      <c r="B25" s="19"/>
      <c r="C25" s="5" t="s">
        <v>27</v>
      </c>
      <c r="D25" s="6" t="s">
        <v>26</v>
      </c>
      <c r="E25" s="11">
        <v>1.2621E-2</v>
      </c>
      <c r="F25" s="1"/>
      <c r="G25" s="1"/>
      <c r="H25" s="1"/>
      <c r="I25" s="1"/>
      <c r="J25" s="1"/>
      <c r="K25" s="1"/>
      <c r="L25" s="1"/>
      <c r="M25" s="1"/>
      <c r="N25" s="17"/>
    </row>
    <row r="26" spans="2:14" ht="15" customHeight="1" x14ac:dyDescent="0.25">
      <c r="B26" s="19"/>
      <c r="C26" s="5" t="s">
        <v>42</v>
      </c>
      <c r="D26" s="6" t="s">
        <v>26</v>
      </c>
      <c r="E26" s="11">
        <v>7.9410000000000001E-3</v>
      </c>
      <c r="F26" s="1"/>
      <c r="G26" s="34" t="s">
        <v>17</v>
      </c>
      <c r="H26" s="35"/>
      <c r="I26" s="35"/>
      <c r="J26" s="35"/>
      <c r="K26" s="35"/>
      <c r="L26" s="35"/>
      <c r="M26" s="35"/>
      <c r="N26" s="36"/>
    </row>
    <row r="27" spans="2:14" ht="15" customHeight="1" x14ac:dyDescent="0.25">
      <c r="B27" s="19"/>
      <c r="C27" s="5" t="s">
        <v>115</v>
      </c>
      <c r="D27" s="6" t="s">
        <v>26</v>
      </c>
      <c r="E27" s="11">
        <v>5.9959999999999996E-3</v>
      </c>
      <c r="F27" s="1"/>
      <c r="G27" s="1"/>
      <c r="H27" s="1"/>
      <c r="I27" s="1"/>
      <c r="J27" s="1"/>
      <c r="K27" s="1"/>
      <c r="L27" s="1"/>
      <c r="M27" s="1"/>
      <c r="N27" s="17"/>
    </row>
    <row r="28" spans="2:14" ht="15" customHeight="1" x14ac:dyDescent="0.25">
      <c r="B28" s="19"/>
      <c r="C28" s="5" t="s">
        <v>29</v>
      </c>
      <c r="D28" s="6" t="s">
        <v>26</v>
      </c>
      <c r="E28" s="11">
        <v>5.398E-3</v>
      </c>
      <c r="F28" s="1"/>
      <c r="G28" s="1"/>
      <c r="H28" s="1"/>
      <c r="I28" s="1"/>
      <c r="J28" s="1"/>
      <c r="K28" s="1"/>
      <c r="L28" s="1"/>
      <c r="M28" s="1"/>
      <c r="N28" s="17"/>
    </row>
    <row r="29" spans="2:14" ht="15" customHeight="1" x14ac:dyDescent="0.25">
      <c r="B29" s="19"/>
      <c r="C29" s="5" t="s">
        <v>44</v>
      </c>
      <c r="D29" s="6" t="s">
        <v>26</v>
      </c>
      <c r="E29" s="11">
        <v>1.812E-3</v>
      </c>
      <c r="F29" s="1"/>
      <c r="G29" s="1"/>
      <c r="H29" s="1"/>
      <c r="I29" s="1"/>
      <c r="J29" s="1"/>
      <c r="K29" s="1"/>
      <c r="L29" s="1"/>
      <c r="M29" s="1"/>
      <c r="N29" s="17"/>
    </row>
    <row r="30" spans="2:14" ht="15" customHeight="1" x14ac:dyDescent="0.25">
      <c r="B30" s="19"/>
      <c r="C30" s="5" t="s">
        <v>33</v>
      </c>
      <c r="D30" s="6" t="s">
        <v>26</v>
      </c>
      <c r="E30" s="11">
        <v>1.08E-4</v>
      </c>
      <c r="F30" s="1"/>
      <c r="G30" s="1"/>
      <c r="H30" s="1"/>
      <c r="I30" s="1"/>
      <c r="J30" s="1"/>
      <c r="K30" s="1"/>
      <c r="L30" s="1"/>
      <c r="M30" s="1"/>
      <c r="N30" s="17"/>
    </row>
    <row r="31" spans="2:14" ht="15.75" customHeight="1" x14ac:dyDescent="0.25">
      <c r="B31" s="19"/>
      <c r="C31" s="7" t="s">
        <v>46</v>
      </c>
      <c r="D31" s="8"/>
      <c r="E31" s="12">
        <v>0.38249899999999998</v>
      </c>
      <c r="F31" s="1"/>
      <c r="G31" s="1"/>
      <c r="H31" s="1"/>
      <c r="I31" s="1"/>
      <c r="J31" s="1"/>
      <c r="K31" s="1"/>
      <c r="L31" s="1"/>
      <c r="M31" s="1"/>
      <c r="N31" s="17"/>
    </row>
    <row r="32" spans="2:14" ht="15" customHeight="1" x14ac:dyDescent="0.25">
      <c r="B32" s="19"/>
      <c r="C32" s="5" t="s">
        <v>19</v>
      </c>
      <c r="D32" s="6" t="s">
        <v>20</v>
      </c>
      <c r="E32" s="11">
        <v>1.1837E-2</v>
      </c>
      <c r="F32" s="1"/>
      <c r="G32" s="1"/>
      <c r="H32" s="1"/>
      <c r="I32" s="1"/>
      <c r="J32" s="1"/>
      <c r="K32" s="1"/>
      <c r="L32" s="1"/>
      <c r="M32" s="1"/>
      <c r="N32" s="17"/>
    </row>
    <row r="33" spans="2:14" ht="15.75" customHeight="1" x14ac:dyDescent="0.25">
      <c r="B33" s="19"/>
      <c r="C33" s="7" t="s">
        <v>48</v>
      </c>
      <c r="D33" s="8"/>
      <c r="E33" s="12">
        <v>1.1837E-2</v>
      </c>
      <c r="F33" s="1"/>
      <c r="G33" s="1"/>
      <c r="H33" s="1"/>
      <c r="I33" s="1"/>
      <c r="J33" s="1"/>
      <c r="K33" s="1"/>
      <c r="L33" s="1"/>
      <c r="M33" s="1"/>
      <c r="N33" s="17"/>
    </row>
    <row r="34" spans="2:14" ht="15" customHeight="1" x14ac:dyDescent="0.25">
      <c r="B34" s="19"/>
      <c r="C34" s="5" t="s">
        <v>68</v>
      </c>
      <c r="D34" s="6" t="s">
        <v>50</v>
      </c>
      <c r="E34" s="11">
        <v>8.8305999999999996E-2</v>
      </c>
      <c r="F34" s="1"/>
      <c r="G34" s="1"/>
      <c r="H34" s="1"/>
      <c r="I34" s="1"/>
      <c r="J34" s="1"/>
      <c r="K34" s="1"/>
      <c r="L34" s="1"/>
      <c r="M34" s="1"/>
      <c r="N34" s="17"/>
    </row>
    <row r="35" spans="2:14" ht="15" customHeight="1" x14ac:dyDescent="0.25">
      <c r="B35" s="19"/>
      <c r="C35" s="5" t="s">
        <v>116</v>
      </c>
      <c r="D35" s="6" t="s">
        <v>50</v>
      </c>
      <c r="E35" s="11">
        <v>6.4999999999999997E-4</v>
      </c>
      <c r="F35" s="1"/>
      <c r="G35" s="1"/>
      <c r="H35" s="1"/>
      <c r="I35" s="1"/>
      <c r="J35" s="1"/>
      <c r="K35" s="1"/>
      <c r="L35" s="1"/>
      <c r="M35" s="1"/>
      <c r="N35" s="17"/>
    </row>
    <row r="36" spans="2:14" ht="15" customHeight="1" x14ac:dyDescent="0.25">
      <c r="B36" s="19"/>
      <c r="C36" s="5" t="s">
        <v>117</v>
      </c>
      <c r="D36" s="6" t="s">
        <v>50</v>
      </c>
      <c r="E36" s="11">
        <v>1.22E-4</v>
      </c>
      <c r="F36" s="1"/>
      <c r="G36" s="1"/>
      <c r="H36" s="1"/>
      <c r="I36" s="1"/>
      <c r="J36" s="1"/>
      <c r="K36" s="1"/>
      <c r="L36" s="1"/>
      <c r="M36" s="1"/>
      <c r="N36" s="17"/>
    </row>
    <row r="37" spans="2:14" ht="15" customHeight="1" x14ac:dyDescent="0.25">
      <c r="B37" s="19"/>
      <c r="C37" s="5" t="s">
        <v>118</v>
      </c>
      <c r="D37" s="6" t="s">
        <v>50</v>
      </c>
      <c r="E37" s="11">
        <v>9.1000000000000003E-5</v>
      </c>
      <c r="F37" s="1"/>
      <c r="G37" s="1"/>
      <c r="H37" s="1"/>
      <c r="I37" s="1"/>
      <c r="J37" s="1"/>
      <c r="K37" s="1"/>
      <c r="L37" s="1"/>
      <c r="M37" s="1"/>
      <c r="N37" s="17"/>
    </row>
    <row r="38" spans="2:14" ht="15.75" customHeight="1" x14ac:dyDescent="0.25">
      <c r="B38" s="19"/>
      <c r="C38" s="7" t="s">
        <v>57</v>
      </c>
      <c r="D38" s="8"/>
      <c r="E38" s="12">
        <v>8.9168999999999998E-2</v>
      </c>
      <c r="F38" s="1"/>
      <c r="G38" s="1"/>
      <c r="H38" s="1"/>
      <c r="I38" s="1"/>
      <c r="J38" s="1"/>
      <c r="K38" s="1"/>
      <c r="L38" s="1"/>
      <c r="M38" s="1"/>
      <c r="N38" s="17"/>
    </row>
    <row r="39" spans="2:14" ht="15.75" customHeight="1" x14ac:dyDescent="0.25">
      <c r="B39" s="19"/>
      <c r="C39" s="5" t="s">
        <v>143</v>
      </c>
      <c r="D39" s="6" t="s">
        <v>50</v>
      </c>
      <c r="E39" s="11">
        <v>3.6930000000000001E-3</v>
      </c>
      <c r="F39" s="1"/>
      <c r="G39" s="1"/>
      <c r="H39" s="1"/>
      <c r="I39" s="1"/>
      <c r="J39" s="1"/>
      <c r="K39" s="1"/>
      <c r="L39" s="1"/>
      <c r="M39" s="1"/>
      <c r="N39" s="17"/>
    </row>
    <row r="40" spans="2:14" ht="15" customHeight="1" x14ac:dyDescent="0.25">
      <c r="B40" s="19"/>
      <c r="C40" s="5" t="s">
        <v>131</v>
      </c>
      <c r="D40" s="6" t="s">
        <v>50</v>
      </c>
      <c r="E40" s="11">
        <v>3.6879999999999999E-3</v>
      </c>
      <c r="F40" s="1"/>
      <c r="G40" s="1"/>
      <c r="H40" s="1"/>
      <c r="I40" s="1"/>
      <c r="J40" s="1"/>
      <c r="K40" s="1"/>
      <c r="L40" s="1"/>
      <c r="M40" s="1"/>
      <c r="N40" s="17"/>
    </row>
    <row r="41" spans="2:14" ht="15.75" customHeight="1" x14ac:dyDescent="0.25">
      <c r="B41" s="19"/>
      <c r="C41" s="5" t="s">
        <v>130</v>
      </c>
      <c r="D41" s="6" t="s">
        <v>50</v>
      </c>
      <c r="E41" s="11">
        <v>1.9239999999999999E-3</v>
      </c>
      <c r="F41" s="1"/>
      <c r="G41" s="1"/>
      <c r="H41" s="1"/>
      <c r="I41" s="1"/>
      <c r="J41" s="1"/>
      <c r="K41" s="1"/>
      <c r="L41" s="1"/>
      <c r="M41" s="1"/>
      <c r="N41" s="17"/>
    </row>
    <row r="42" spans="2:14" ht="15" customHeight="1" x14ac:dyDescent="0.25">
      <c r="B42" s="19"/>
      <c r="C42" s="5" t="s">
        <v>145</v>
      </c>
      <c r="D42" s="6" t="s">
        <v>50</v>
      </c>
      <c r="E42" s="11">
        <v>1.851E-3</v>
      </c>
      <c r="F42" s="1"/>
      <c r="G42" s="1"/>
      <c r="H42" s="1"/>
      <c r="I42" s="1"/>
      <c r="J42" s="1"/>
      <c r="K42" s="1"/>
      <c r="L42" s="1"/>
      <c r="M42" s="1"/>
      <c r="N42" s="17"/>
    </row>
    <row r="43" spans="2:14" ht="15" customHeight="1" x14ac:dyDescent="0.25">
      <c r="B43" s="19"/>
      <c r="C43" s="5" t="s">
        <v>129</v>
      </c>
      <c r="D43" s="6" t="s">
        <v>50</v>
      </c>
      <c r="E43" s="11">
        <v>6.3599999999999996E-4</v>
      </c>
      <c r="F43" s="1"/>
      <c r="G43" s="1"/>
      <c r="H43" s="1"/>
      <c r="I43" s="1"/>
      <c r="J43" s="1"/>
      <c r="K43" s="1"/>
      <c r="L43" s="1"/>
      <c r="M43" s="1"/>
      <c r="N43" s="17"/>
    </row>
    <row r="44" spans="2:14" ht="15" customHeight="1" x14ac:dyDescent="0.25">
      <c r="B44" s="19"/>
      <c r="C44" s="5" t="s">
        <v>137</v>
      </c>
      <c r="D44" s="6" t="s">
        <v>50</v>
      </c>
      <c r="E44" s="11">
        <v>5.5599999999999996E-4</v>
      </c>
      <c r="F44" s="1"/>
      <c r="G44" s="1"/>
      <c r="H44" s="1"/>
      <c r="I44" s="1"/>
      <c r="J44" s="1"/>
      <c r="K44" s="1"/>
      <c r="L44" s="1"/>
      <c r="M44" s="1"/>
      <c r="N44" s="17"/>
    </row>
    <row r="45" spans="2:14" ht="15" customHeight="1" x14ac:dyDescent="0.25">
      <c r="B45" s="19"/>
      <c r="C45" s="5" t="s">
        <v>138</v>
      </c>
      <c r="D45" s="6" t="s">
        <v>50</v>
      </c>
      <c r="E45" s="11">
        <v>3.28E-4</v>
      </c>
      <c r="F45" s="1"/>
      <c r="G45" s="1"/>
      <c r="H45" s="1"/>
      <c r="I45" s="1"/>
      <c r="J45" s="1"/>
      <c r="K45" s="1"/>
      <c r="L45" s="1"/>
      <c r="M45" s="1"/>
      <c r="N45" s="17"/>
    </row>
    <row r="46" spans="2:14" ht="15" customHeight="1" x14ac:dyDescent="0.25">
      <c r="B46" s="19"/>
      <c r="C46" s="5" t="s">
        <v>132</v>
      </c>
      <c r="D46" s="6" t="s">
        <v>50</v>
      </c>
      <c r="E46" s="11">
        <v>2.8200000000000002E-4</v>
      </c>
      <c r="F46" s="1"/>
      <c r="G46" s="1"/>
      <c r="H46" s="1"/>
      <c r="I46" s="1"/>
      <c r="J46" s="1"/>
      <c r="K46" s="1"/>
      <c r="L46" s="1"/>
      <c r="M46" s="1"/>
      <c r="N46" s="17"/>
    </row>
    <row r="47" spans="2:14" ht="15" customHeight="1" x14ac:dyDescent="0.25">
      <c r="B47" s="19"/>
      <c r="C47" s="5" t="s">
        <v>144</v>
      </c>
      <c r="D47" s="6" t="s">
        <v>50</v>
      </c>
      <c r="E47" s="11">
        <v>2.0699999999999999E-4</v>
      </c>
      <c r="F47" s="1"/>
      <c r="G47" s="1"/>
      <c r="H47" s="1"/>
      <c r="I47" s="1"/>
      <c r="J47" s="1"/>
      <c r="K47" s="1"/>
      <c r="L47" s="1"/>
      <c r="M47" s="1"/>
      <c r="N47" s="17"/>
    </row>
    <row r="48" spans="2:14" ht="15" customHeight="1" x14ac:dyDescent="0.25">
      <c r="B48" s="19"/>
      <c r="C48" s="5" t="s">
        <v>146</v>
      </c>
      <c r="D48" s="6" t="s">
        <v>50</v>
      </c>
      <c r="E48" s="11">
        <v>1.8900000000000001E-4</v>
      </c>
      <c r="F48" s="1"/>
      <c r="G48" s="1"/>
      <c r="H48" s="1"/>
      <c r="I48" s="1"/>
      <c r="J48" s="1"/>
      <c r="K48" s="1"/>
      <c r="L48" s="1"/>
      <c r="M48" s="1"/>
      <c r="N48" s="17"/>
    </row>
    <row r="49" spans="2:14" ht="15" customHeight="1" x14ac:dyDescent="0.25">
      <c r="B49" s="19"/>
      <c r="C49" s="5" t="s">
        <v>141</v>
      </c>
      <c r="D49" s="6" t="s">
        <v>50</v>
      </c>
      <c r="E49" s="11">
        <v>1.74E-4</v>
      </c>
      <c r="F49" s="1"/>
      <c r="G49" s="1"/>
      <c r="H49" s="1"/>
      <c r="I49" s="1"/>
      <c r="J49" s="1"/>
      <c r="K49" s="1"/>
      <c r="L49" s="1"/>
      <c r="M49" s="1"/>
      <c r="N49" s="17"/>
    </row>
    <row r="50" spans="2:14" ht="15" customHeight="1" x14ac:dyDescent="0.25">
      <c r="B50" s="19"/>
      <c r="C50" s="5" t="s">
        <v>133</v>
      </c>
      <c r="D50" s="6" t="s">
        <v>50</v>
      </c>
      <c r="E50" s="11">
        <v>1.1900000000000001E-4</v>
      </c>
      <c r="F50" s="1"/>
      <c r="G50" s="1"/>
      <c r="H50" s="1"/>
      <c r="I50" s="1"/>
      <c r="J50" s="1"/>
      <c r="K50" s="1"/>
      <c r="L50" s="1"/>
      <c r="M50" s="1"/>
      <c r="N50" s="17"/>
    </row>
    <row r="51" spans="2:14" ht="15" customHeight="1" x14ac:dyDescent="0.25">
      <c r="B51" s="19"/>
      <c r="C51" s="5" t="s">
        <v>142</v>
      </c>
      <c r="D51" s="6" t="s">
        <v>50</v>
      </c>
      <c r="E51" s="11">
        <v>7.3999999999999996E-5</v>
      </c>
      <c r="F51" s="1"/>
      <c r="G51" s="1"/>
      <c r="H51" s="1"/>
      <c r="I51" s="1"/>
      <c r="J51" s="1"/>
      <c r="K51" s="1"/>
      <c r="L51" s="1"/>
      <c r="M51" s="1"/>
      <c r="N51" s="17"/>
    </row>
    <row r="52" spans="2:14" ht="15" customHeight="1" x14ac:dyDescent="0.25">
      <c r="B52" s="19"/>
      <c r="C52" s="5" t="s">
        <v>134</v>
      </c>
      <c r="D52" s="6" t="s">
        <v>50</v>
      </c>
      <c r="E52" s="11">
        <v>7.2000000000000002E-5</v>
      </c>
      <c r="F52" s="1"/>
      <c r="G52" s="1"/>
      <c r="H52" s="1"/>
      <c r="I52" s="1"/>
      <c r="J52" s="1"/>
      <c r="K52" s="1"/>
      <c r="L52" s="1"/>
      <c r="M52" s="1"/>
      <c r="N52" s="17"/>
    </row>
    <row r="53" spans="2:14" ht="15" customHeight="1" x14ac:dyDescent="0.25">
      <c r="B53" s="19"/>
      <c r="C53" s="5" t="s">
        <v>136</v>
      </c>
      <c r="D53" s="6" t="s">
        <v>50</v>
      </c>
      <c r="E53" s="11">
        <v>6.4999999999999994E-5</v>
      </c>
      <c r="F53" s="1"/>
      <c r="G53" s="1"/>
      <c r="H53" s="1"/>
      <c r="I53" s="1"/>
      <c r="J53" s="1"/>
      <c r="K53" s="1"/>
      <c r="L53" s="1"/>
      <c r="M53" s="1"/>
      <c r="N53" s="17"/>
    </row>
    <row r="54" spans="2:14" ht="15" customHeight="1" x14ac:dyDescent="0.25">
      <c r="B54" s="19"/>
      <c r="C54" s="5" t="s">
        <v>135</v>
      </c>
      <c r="D54" s="6" t="s">
        <v>50</v>
      </c>
      <c r="E54" s="11">
        <v>6.0000000000000002E-5</v>
      </c>
      <c r="F54" s="1"/>
      <c r="G54" s="1"/>
      <c r="H54" s="1"/>
      <c r="I54" s="1"/>
      <c r="J54" s="1"/>
      <c r="K54" s="1"/>
      <c r="L54" s="1"/>
      <c r="M54" s="1"/>
      <c r="N54" s="17"/>
    </row>
    <row r="55" spans="2:14" ht="15" customHeight="1" x14ac:dyDescent="0.25">
      <c r="B55" s="19"/>
      <c r="C55" s="5" t="s">
        <v>128</v>
      </c>
      <c r="D55" s="6" t="s">
        <v>50</v>
      </c>
      <c r="E55" s="11">
        <v>5.8999999999999998E-5</v>
      </c>
      <c r="F55" s="1"/>
      <c r="G55" s="1"/>
      <c r="H55" s="1"/>
      <c r="I55" s="1"/>
      <c r="J55" s="1"/>
      <c r="K55" s="1"/>
      <c r="L55" s="1"/>
      <c r="M55" s="1"/>
      <c r="N55" s="17"/>
    </row>
    <row r="56" spans="2:14" ht="15" customHeight="1" x14ac:dyDescent="0.25">
      <c r="B56" s="19"/>
      <c r="C56" s="5" t="s">
        <v>140</v>
      </c>
      <c r="D56" s="6" t="s">
        <v>50</v>
      </c>
      <c r="E56" s="28">
        <v>4.8999999999999998E-5</v>
      </c>
      <c r="F56" s="1"/>
      <c r="G56" s="1"/>
      <c r="H56" s="1"/>
      <c r="I56" s="1"/>
      <c r="J56" s="1"/>
      <c r="K56" s="1"/>
      <c r="L56" s="1"/>
      <c r="M56" s="1"/>
      <c r="N56" s="17"/>
    </row>
    <row r="57" spans="2:14" ht="15" customHeight="1" x14ac:dyDescent="0.25">
      <c r="B57" s="19"/>
      <c r="C57" s="5" t="s">
        <v>139</v>
      </c>
      <c r="D57" s="6" t="s">
        <v>50</v>
      </c>
      <c r="E57" s="28">
        <v>3.1000000000000001E-5</v>
      </c>
      <c r="F57" s="1"/>
      <c r="G57" s="1"/>
      <c r="H57" s="1"/>
      <c r="I57" s="1"/>
      <c r="J57" s="1"/>
      <c r="K57" s="1"/>
      <c r="L57" s="1"/>
      <c r="M57" s="1"/>
      <c r="N57" s="17"/>
    </row>
    <row r="58" spans="2:14" ht="15" customHeight="1" x14ac:dyDescent="0.25">
      <c r="B58" s="19"/>
      <c r="C58" s="7" t="s">
        <v>58</v>
      </c>
      <c r="D58" s="8"/>
      <c r="E58" s="12">
        <v>1.4057E-2</v>
      </c>
      <c r="F58" s="1"/>
      <c r="G58" s="1"/>
      <c r="H58" s="1"/>
      <c r="I58" s="1"/>
      <c r="J58" s="1"/>
      <c r="K58" s="1"/>
      <c r="L58" s="1"/>
      <c r="M58" s="1"/>
      <c r="N58" s="17"/>
    </row>
    <row r="59" spans="2:14" ht="15" customHeight="1" x14ac:dyDescent="0.25">
      <c r="B59" s="19"/>
      <c r="C59" s="5" t="s">
        <v>120</v>
      </c>
      <c r="D59" s="6" t="s">
        <v>50</v>
      </c>
      <c r="E59" s="11">
        <v>7.6547000000000004E-2</v>
      </c>
      <c r="F59" s="1"/>
      <c r="G59" s="1"/>
      <c r="H59" s="1"/>
      <c r="I59" s="1"/>
      <c r="J59" s="1"/>
      <c r="K59" s="1"/>
      <c r="L59" s="1"/>
      <c r="M59" s="1"/>
      <c r="N59" s="17"/>
    </row>
    <row r="60" spans="2:14" ht="15" customHeight="1" x14ac:dyDescent="0.25">
      <c r="B60" s="19"/>
      <c r="C60" s="5" t="s">
        <v>92</v>
      </c>
      <c r="D60" s="6" t="s">
        <v>50</v>
      </c>
      <c r="E60" s="11">
        <v>4.7169000000000003E-2</v>
      </c>
      <c r="F60" s="1"/>
      <c r="G60" s="1"/>
      <c r="H60" s="1"/>
      <c r="I60" s="1"/>
      <c r="J60" s="1"/>
      <c r="K60" s="1"/>
      <c r="L60" s="1"/>
      <c r="M60" s="1"/>
      <c r="N60" s="17"/>
    </row>
    <row r="61" spans="2:14" ht="15.75" customHeight="1" x14ac:dyDescent="0.25">
      <c r="B61" s="19"/>
      <c r="C61" s="5" t="s">
        <v>90</v>
      </c>
      <c r="D61" s="6" t="s">
        <v>50</v>
      </c>
      <c r="E61" s="11">
        <v>3.5328999999999999E-2</v>
      </c>
      <c r="F61" s="1"/>
      <c r="G61" s="1"/>
      <c r="H61" s="1"/>
      <c r="I61" s="1"/>
      <c r="J61" s="1"/>
      <c r="K61" s="1"/>
      <c r="L61" s="1"/>
      <c r="M61" s="1"/>
      <c r="N61" s="17"/>
    </row>
    <row r="62" spans="2:14" ht="15" customHeight="1" x14ac:dyDescent="0.25">
      <c r="B62" s="19"/>
      <c r="C62" s="5" t="s">
        <v>121</v>
      </c>
      <c r="D62" s="6" t="s">
        <v>50</v>
      </c>
      <c r="E62" s="11">
        <v>2.3567999999999999E-2</v>
      </c>
      <c r="F62" s="1"/>
      <c r="G62" s="1"/>
      <c r="H62" s="1"/>
      <c r="I62" s="1"/>
      <c r="J62" s="1"/>
      <c r="K62" s="1"/>
      <c r="L62" s="1"/>
      <c r="M62" s="1"/>
      <c r="N62" s="17"/>
    </row>
    <row r="63" spans="2:14" ht="15.75" customHeight="1" x14ac:dyDescent="0.25">
      <c r="B63" s="19"/>
      <c r="C63" s="7" t="s">
        <v>78</v>
      </c>
      <c r="D63" s="8"/>
      <c r="E63" s="12">
        <v>0.182613</v>
      </c>
      <c r="F63" s="1"/>
      <c r="G63" s="1"/>
      <c r="H63" s="1"/>
      <c r="I63" s="1"/>
      <c r="J63" s="1"/>
      <c r="K63" s="1"/>
      <c r="L63" s="1"/>
      <c r="M63" s="1"/>
      <c r="N63" s="17"/>
    </row>
    <row r="64" spans="2:14" ht="15" customHeight="1" x14ac:dyDescent="0.25">
      <c r="B64" s="19"/>
      <c r="C64" s="5" t="s">
        <v>8</v>
      </c>
      <c r="D64" s="6"/>
      <c r="E64" s="11">
        <v>0.133793</v>
      </c>
      <c r="F64" s="1"/>
      <c r="G64" s="1"/>
      <c r="H64" s="1"/>
      <c r="I64" s="1"/>
      <c r="J64" s="1"/>
      <c r="K64" s="1"/>
      <c r="L64" s="1"/>
      <c r="M64" s="1"/>
      <c r="N64" s="17"/>
    </row>
    <row r="65" spans="2:14" ht="15" customHeight="1" x14ac:dyDescent="0.25">
      <c r="B65" s="19"/>
      <c r="C65" s="7" t="s">
        <v>9</v>
      </c>
      <c r="D65" s="8"/>
      <c r="E65" s="12">
        <v>0.133793</v>
      </c>
      <c r="F65" s="1"/>
      <c r="G65" s="1"/>
      <c r="H65" s="1"/>
      <c r="I65" s="1"/>
      <c r="J65" s="1"/>
      <c r="K65" s="1"/>
      <c r="L65" s="1"/>
      <c r="M65" s="1"/>
      <c r="N65" s="17"/>
    </row>
    <row r="66" spans="2:14" ht="15.75" customHeight="1" x14ac:dyDescent="0.25">
      <c r="B66" s="19"/>
      <c r="C66" s="5" t="s">
        <v>38</v>
      </c>
      <c r="D66" s="6" t="s">
        <v>26</v>
      </c>
      <c r="E66" s="11">
        <v>1.2519000000000001E-2</v>
      </c>
      <c r="F66" s="1"/>
      <c r="G66" s="1"/>
      <c r="H66" s="1"/>
      <c r="I66" s="1"/>
      <c r="J66" s="1"/>
      <c r="K66" s="1"/>
      <c r="L66" s="1"/>
      <c r="M66" s="1"/>
      <c r="N66" s="17"/>
    </row>
    <row r="67" spans="2:14" ht="15" customHeight="1" x14ac:dyDescent="0.25">
      <c r="B67" s="19"/>
      <c r="C67" s="5" t="s">
        <v>122</v>
      </c>
      <c r="D67" s="6" t="s">
        <v>26</v>
      </c>
      <c r="E67" s="11">
        <v>5.8200000000000005E-4</v>
      </c>
      <c r="F67" s="1"/>
      <c r="G67" s="1"/>
      <c r="H67" s="1"/>
      <c r="I67" s="1"/>
      <c r="J67" s="1"/>
      <c r="K67" s="1"/>
      <c r="L67" s="1"/>
      <c r="M67" s="1"/>
      <c r="N67" s="17"/>
    </row>
    <row r="68" spans="2:14" ht="15.75" customHeight="1" x14ac:dyDescent="0.25">
      <c r="B68" s="19"/>
      <c r="C68" s="7" t="s">
        <v>59</v>
      </c>
      <c r="D68" s="8"/>
      <c r="E68" s="12">
        <v>1.3101E-2</v>
      </c>
      <c r="F68" s="1"/>
      <c r="G68" s="1"/>
      <c r="H68" s="1"/>
      <c r="I68" s="1"/>
      <c r="J68" s="1"/>
      <c r="K68" s="1"/>
      <c r="L68" s="1"/>
      <c r="M68" s="1"/>
      <c r="N68" s="17"/>
    </row>
    <row r="69" spans="2:14" ht="15" customHeight="1" x14ac:dyDescent="0.25">
      <c r="B69" s="19"/>
      <c r="C69" s="5"/>
      <c r="D69" s="6"/>
      <c r="E69" s="11"/>
      <c r="F69" s="1"/>
      <c r="G69" s="1"/>
      <c r="H69" s="1"/>
      <c r="I69" s="1"/>
      <c r="J69" s="1"/>
      <c r="K69" s="1"/>
      <c r="L69" s="1"/>
      <c r="M69" s="1"/>
      <c r="N69" s="17"/>
    </row>
    <row r="70" spans="2:14" ht="15" customHeight="1" x14ac:dyDescent="0.25">
      <c r="B70" s="19"/>
      <c r="C70" s="7" t="s">
        <v>10</v>
      </c>
      <c r="D70" s="8"/>
      <c r="E70" s="12">
        <v>-5.7200000000000003E-4</v>
      </c>
      <c r="F70" s="1"/>
      <c r="G70" s="1"/>
      <c r="H70" s="1"/>
      <c r="I70" s="1"/>
      <c r="J70" s="1"/>
      <c r="K70" s="1"/>
      <c r="L70" s="1"/>
      <c r="M70" s="1"/>
      <c r="N70" s="17"/>
    </row>
    <row r="71" spans="2:14" ht="15" customHeight="1" x14ac:dyDescent="0.25">
      <c r="B71" s="19"/>
      <c r="C71" s="5"/>
      <c r="D71" s="6"/>
      <c r="E71" s="11"/>
      <c r="F71" s="1"/>
      <c r="G71" s="1"/>
      <c r="H71" s="1"/>
      <c r="I71" s="1"/>
      <c r="J71" s="1"/>
      <c r="K71" s="1"/>
      <c r="L71" s="1"/>
      <c r="M71" s="1"/>
      <c r="N71" s="17"/>
    </row>
    <row r="72" spans="2:14" ht="15" customHeight="1" x14ac:dyDescent="0.25">
      <c r="B72" s="19"/>
      <c r="C72" s="9" t="s">
        <v>11</v>
      </c>
      <c r="D72" s="10"/>
      <c r="E72" s="13">
        <v>1</v>
      </c>
      <c r="F72" s="1"/>
      <c r="G72" s="1"/>
      <c r="H72" s="1"/>
      <c r="I72" s="1"/>
      <c r="J72" s="1"/>
      <c r="K72" s="1"/>
      <c r="L72" s="1"/>
      <c r="M72" s="1"/>
      <c r="N72" s="17"/>
    </row>
    <row r="73" spans="2:14" ht="15" customHeight="1" x14ac:dyDescent="0.25">
      <c r="B73" s="19"/>
      <c r="C73" s="1"/>
      <c r="D73" s="1"/>
      <c r="E73" s="1"/>
      <c r="F73" s="1"/>
      <c r="G73" s="1"/>
      <c r="H73" s="1"/>
      <c r="I73" s="1"/>
      <c r="J73" s="1"/>
      <c r="K73" s="1"/>
      <c r="L73" s="1"/>
      <c r="M73" s="1"/>
      <c r="N73" s="17"/>
    </row>
    <row r="74" spans="2:14" ht="15" customHeight="1" x14ac:dyDescent="0.25">
      <c r="B74" s="19"/>
      <c r="C74" s="26" t="s">
        <v>119</v>
      </c>
      <c r="D74" s="26"/>
      <c r="E74" s="27">
        <v>1.1238E-2</v>
      </c>
      <c r="F74" s="1"/>
      <c r="G74" s="1"/>
      <c r="H74" s="1"/>
      <c r="I74" s="1"/>
      <c r="J74" s="1"/>
      <c r="K74" s="1"/>
      <c r="L74" s="1"/>
      <c r="M74" s="1"/>
      <c r="N74" s="17"/>
    </row>
    <row r="75" spans="2:14" ht="15" customHeight="1" x14ac:dyDescent="0.25">
      <c r="B75" s="19"/>
      <c r="F75" s="1"/>
      <c r="G75" s="1"/>
      <c r="H75" s="1"/>
      <c r="I75" s="1"/>
      <c r="J75" s="1"/>
      <c r="K75" s="1"/>
      <c r="L75" s="1"/>
      <c r="M75" s="1"/>
      <c r="N75" s="17"/>
    </row>
    <row r="76" spans="2:14" ht="15" customHeight="1" x14ac:dyDescent="0.25">
      <c r="B76" s="19"/>
      <c r="C76" s="1"/>
      <c r="D76" s="1"/>
      <c r="E76" s="1"/>
      <c r="F76" s="1"/>
      <c r="G76" s="1"/>
      <c r="H76" s="1"/>
      <c r="I76" s="1"/>
      <c r="J76" s="1"/>
      <c r="K76" s="1"/>
      <c r="L76" s="1"/>
      <c r="M76" s="1"/>
      <c r="N76" s="17"/>
    </row>
    <row r="77" spans="2:14" ht="15" customHeight="1" x14ac:dyDescent="0.25">
      <c r="B77" s="19"/>
      <c r="C77" s="1"/>
      <c r="D77" s="1"/>
      <c r="E77" s="1"/>
      <c r="F77" s="1"/>
      <c r="G77" s="1"/>
      <c r="H77" s="1"/>
      <c r="I77" s="1"/>
      <c r="J77" s="1"/>
      <c r="K77" s="1"/>
      <c r="L77" s="1"/>
      <c r="M77" s="1"/>
      <c r="N77" s="17"/>
    </row>
    <row r="78" spans="2:14" ht="15" customHeight="1" thickBot="1" x14ac:dyDescent="0.3">
      <c r="B78" s="20"/>
      <c r="C78" s="21"/>
      <c r="D78" s="21"/>
      <c r="E78" s="21"/>
      <c r="F78" s="21"/>
      <c r="G78" s="21"/>
      <c r="H78" s="21"/>
      <c r="I78" s="21"/>
      <c r="J78" s="21"/>
      <c r="K78" s="21"/>
      <c r="L78" s="21"/>
      <c r="M78" s="21"/>
      <c r="N78" s="22"/>
    </row>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sheetData>
  <sortState ref="C39:E57">
    <sortCondition descending="1" ref="E40"/>
  </sortState>
  <mergeCells count="3">
    <mergeCell ref="C3:N3"/>
    <mergeCell ref="G7:N7"/>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1"/>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123</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19</v>
      </c>
      <c r="D8" s="6" t="s">
        <v>20</v>
      </c>
      <c r="E8" s="11">
        <v>8.9588000000000001E-2</v>
      </c>
      <c r="F8" s="1"/>
      <c r="G8" s="23" t="s">
        <v>15</v>
      </c>
      <c r="H8" s="24">
        <v>1</v>
      </c>
      <c r="I8" s="1"/>
      <c r="J8" s="23" t="s">
        <v>12</v>
      </c>
      <c r="K8" s="23" t="s">
        <v>3</v>
      </c>
      <c r="L8" s="1"/>
      <c r="M8" s="1"/>
      <c r="N8" s="17"/>
    </row>
    <row r="9" spans="2:14" ht="15" customHeight="1" x14ac:dyDescent="0.25">
      <c r="B9" s="19"/>
      <c r="C9" s="5" t="s">
        <v>21</v>
      </c>
      <c r="D9" s="6" t="s">
        <v>20</v>
      </c>
      <c r="E9" s="11">
        <v>4.3077999999999998E-2</v>
      </c>
      <c r="F9" s="1"/>
      <c r="G9" s="1"/>
      <c r="H9" s="1"/>
      <c r="I9" s="1"/>
      <c r="J9" s="23" t="s">
        <v>10</v>
      </c>
      <c r="K9" s="25">
        <v>-1.4319999999999999E-3</v>
      </c>
      <c r="L9" s="1"/>
      <c r="M9" s="1"/>
      <c r="N9" s="17"/>
    </row>
    <row r="10" spans="2:14" ht="15.75" customHeight="1" x14ac:dyDescent="0.25">
      <c r="B10" s="19"/>
      <c r="C10" s="7" t="s">
        <v>22</v>
      </c>
      <c r="D10" s="8"/>
      <c r="E10" s="12">
        <v>0.13266600000000001</v>
      </c>
      <c r="F10" s="1"/>
      <c r="G10" s="1"/>
      <c r="H10" s="1"/>
      <c r="I10" s="1"/>
      <c r="J10" s="23" t="s">
        <v>13</v>
      </c>
      <c r="K10" s="25">
        <v>2.3505999999999999E-2</v>
      </c>
      <c r="L10" s="1"/>
      <c r="M10" s="1"/>
      <c r="N10" s="17"/>
    </row>
    <row r="11" spans="2:14" ht="15" customHeight="1" x14ac:dyDescent="0.25">
      <c r="B11" s="19"/>
      <c r="C11" s="5" t="s">
        <v>35</v>
      </c>
      <c r="D11" s="6" t="s">
        <v>20</v>
      </c>
      <c r="E11" s="11">
        <v>0.108678</v>
      </c>
      <c r="F11" s="1"/>
      <c r="G11" s="1"/>
      <c r="H11" s="1"/>
      <c r="I11" s="1"/>
      <c r="J11" s="23" t="s">
        <v>60</v>
      </c>
      <c r="K11" s="25">
        <v>0.13266600000000001</v>
      </c>
      <c r="L11" s="1"/>
      <c r="M11" s="1"/>
      <c r="N11" s="17"/>
    </row>
    <row r="12" spans="2:14" ht="15" customHeight="1" x14ac:dyDescent="0.25">
      <c r="B12" s="19"/>
      <c r="C12" s="5" t="s">
        <v>82</v>
      </c>
      <c r="D12" s="6" t="s">
        <v>20</v>
      </c>
      <c r="E12" s="11">
        <v>9.7507999999999997E-2</v>
      </c>
      <c r="F12" s="1"/>
      <c r="G12" s="1"/>
      <c r="H12" s="1"/>
      <c r="I12" s="1"/>
      <c r="J12" s="23" t="s">
        <v>62</v>
      </c>
      <c r="K12" s="25">
        <v>0.51390400000000003</v>
      </c>
      <c r="L12" s="1"/>
      <c r="M12" s="1"/>
      <c r="N12" s="17"/>
    </row>
    <row r="13" spans="2:14" ht="15" customHeight="1" x14ac:dyDescent="0.25">
      <c r="B13" s="19"/>
      <c r="C13" s="5" t="s">
        <v>87</v>
      </c>
      <c r="D13" s="6" t="s">
        <v>20</v>
      </c>
      <c r="E13" s="11">
        <v>6.9062999999999999E-2</v>
      </c>
      <c r="F13" s="1"/>
      <c r="G13" s="1"/>
      <c r="H13" s="1"/>
      <c r="I13" s="1"/>
      <c r="J13" s="23" t="s">
        <v>64</v>
      </c>
      <c r="K13" s="25">
        <v>1.526E-3</v>
      </c>
      <c r="L13" s="1"/>
      <c r="M13" s="1"/>
      <c r="N13" s="17"/>
    </row>
    <row r="14" spans="2:14" ht="15" customHeight="1" x14ac:dyDescent="0.25">
      <c r="B14" s="19"/>
      <c r="C14" s="5" t="s">
        <v>114</v>
      </c>
      <c r="D14" s="6" t="s">
        <v>20</v>
      </c>
      <c r="E14" s="11">
        <v>4.5995000000000001E-2</v>
      </c>
      <c r="F14" s="1"/>
      <c r="G14" s="1"/>
      <c r="H14" s="1"/>
      <c r="I14" s="1"/>
      <c r="J14" s="23" t="s">
        <v>65</v>
      </c>
      <c r="K14" s="25">
        <v>0.13007099999999999</v>
      </c>
      <c r="L14" s="1"/>
      <c r="M14" s="1"/>
      <c r="N14" s="17"/>
    </row>
    <row r="15" spans="2:14" ht="15" customHeight="1" x14ac:dyDescent="0.25">
      <c r="B15" s="19"/>
      <c r="C15" s="5" t="s">
        <v>86</v>
      </c>
      <c r="D15" s="6" t="s">
        <v>20</v>
      </c>
      <c r="E15" s="11">
        <v>3.4463000000000001E-2</v>
      </c>
      <c r="F15" s="1"/>
      <c r="G15" s="1"/>
      <c r="H15" s="1"/>
      <c r="I15" s="1"/>
      <c r="J15" s="23" t="s">
        <v>80</v>
      </c>
      <c r="K15" s="25">
        <v>0.19975899999999999</v>
      </c>
      <c r="L15" s="1"/>
      <c r="M15" s="1"/>
      <c r="N15" s="17"/>
    </row>
    <row r="16" spans="2:14" ht="15" customHeight="1" x14ac:dyDescent="0.25">
      <c r="B16" s="19"/>
      <c r="C16" s="5" t="s">
        <v>96</v>
      </c>
      <c r="D16" s="6" t="s">
        <v>20</v>
      </c>
      <c r="E16" s="11">
        <v>3.4070999999999997E-2</v>
      </c>
      <c r="F16" s="1"/>
      <c r="G16" s="1"/>
      <c r="H16" s="1"/>
      <c r="I16" s="1"/>
      <c r="J16" s="1"/>
      <c r="K16" s="1"/>
      <c r="L16" s="1"/>
      <c r="M16" s="1"/>
      <c r="N16" s="17"/>
    </row>
    <row r="17" spans="2:14" ht="15" customHeight="1" x14ac:dyDescent="0.25">
      <c r="B17" s="19"/>
      <c r="C17" s="5" t="s">
        <v>122</v>
      </c>
      <c r="D17" s="6" t="s">
        <v>20</v>
      </c>
      <c r="E17" s="11">
        <v>3.4015999999999998E-2</v>
      </c>
      <c r="F17" s="1"/>
      <c r="G17" s="1"/>
      <c r="H17" s="1"/>
      <c r="I17" s="1"/>
      <c r="J17" s="1"/>
      <c r="K17" s="1"/>
      <c r="L17" s="1"/>
      <c r="M17" s="1"/>
      <c r="N17" s="17"/>
    </row>
    <row r="18" spans="2:14" ht="15" customHeight="1" x14ac:dyDescent="0.25">
      <c r="B18" s="19"/>
      <c r="C18" s="5" t="s">
        <v>23</v>
      </c>
      <c r="D18" s="6" t="s">
        <v>20</v>
      </c>
      <c r="E18" s="11">
        <v>3.3922000000000001E-2</v>
      </c>
      <c r="F18" s="1"/>
      <c r="G18" s="1"/>
      <c r="H18" s="1"/>
      <c r="I18" s="1"/>
      <c r="J18" s="1"/>
      <c r="K18" s="1"/>
      <c r="L18" s="1"/>
      <c r="M18" s="1"/>
      <c r="N18" s="17"/>
    </row>
    <row r="19" spans="2:14" ht="15" customHeight="1" x14ac:dyDescent="0.25">
      <c r="B19" s="19"/>
      <c r="C19" s="5" t="s">
        <v>38</v>
      </c>
      <c r="D19" s="6" t="s">
        <v>20</v>
      </c>
      <c r="E19" s="11">
        <v>2.5311E-2</v>
      </c>
      <c r="F19" s="1"/>
      <c r="G19" s="1"/>
      <c r="H19" s="1"/>
      <c r="I19" s="1"/>
      <c r="J19" s="1"/>
      <c r="K19" s="1"/>
      <c r="L19" s="1"/>
      <c r="M19" s="1"/>
      <c r="N19" s="17"/>
    </row>
    <row r="20" spans="2:14" ht="15" customHeight="1" x14ac:dyDescent="0.25">
      <c r="B20" s="19"/>
      <c r="C20" s="5" t="s">
        <v>25</v>
      </c>
      <c r="D20" s="6" t="s">
        <v>20</v>
      </c>
      <c r="E20" s="11">
        <v>1.7121000000000001E-2</v>
      </c>
      <c r="F20" s="1"/>
      <c r="G20" s="1"/>
      <c r="H20" s="1"/>
      <c r="I20" s="1"/>
      <c r="J20" s="1"/>
      <c r="K20" s="1"/>
      <c r="L20" s="1"/>
      <c r="M20" s="1"/>
      <c r="N20" s="17"/>
    </row>
    <row r="21" spans="2:14" ht="15" customHeight="1" x14ac:dyDescent="0.25">
      <c r="B21" s="19"/>
      <c r="C21" s="5" t="s">
        <v>89</v>
      </c>
      <c r="D21" s="6" t="s">
        <v>20</v>
      </c>
      <c r="E21" s="11">
        <v>8.6009999999999993E-3</v>
      </c>
      <c r="F21" s="1"/>
      <c r="G21" s="1"/>
      <c r="H21" s="1"/>
      <c r="I21" s="1"/>
      <c r="J21" s="1"/>
      <c r="K21" s="1"/>
      <c r="L21" s="1"/>
      <c r="M21" s="1"/>
      <c r="N21" s="17"/>
    </row>
    <row r="22" spans="2:14" ht="15" customHeight="1" x14ac:dyDescent="0.25">
      <c r="B22" s="19"/>
      <c r="C22" s="5" t="s">
        <v>21</v>
      </c>
      <c r="D22" s="6" t="s">
        <v>20</v>
      </c>
      <c r="E22" s="11">
        <v>5.1549999999999999E-3</v>
      </c>
      <c r="F22" s="1"/>
      <c r="G22" s="1"/>
      <c r="H22" s="1"/>
      <c r="I22" s="1"/>
      <c r="J22" s="1"/>
      <c r="K22" s="1"/>
      <c r="L22" s="1"/>
      <c r="M22" s="1"/>
      <c r="N22" s="17"/>
    </row>
    <row r="23" spans="2:14" ht="15.75" customHeight="1" x14ac:dyDescent="0.25">
      <c r="B23" s="19"/>
      <c r="C23" s="7" t="s">
        <v>24</v>
      </c>
      <c r="D23" s="8"/>
      <c r="E23" s="12">
        <v>0.51390400000000003</v>
      </c>
      <c r="F23" s="1"/>
      <c r="G23" s="1"/>
      <c r="H23" s="1"/>
      <c r="I23" s="1"/>
      <c r="J23" s="1"/>
      <c r="K23" s="1"/>
      <c r="L23" s="1"/>
      <c r="M23" s="1"/>
      <c r="N23" s="17"/>
    </row>
    <row r="24" spans="2:14" ht="15" customHeight="1" x14ac:dyDescent="0.25">
      <c r="B24" s="19"/>
      <c r="C24" s="5" t="s">
        <v>124</v>
      </c>
      <c r="D24" s="6" t="s">
        <v>50</v>
      </c>
      <c r="E24" s="11">
        <v>1.2600000000000001E-3</v>
      </c>
      <c r="F24" s="1"/>
      <c r="G24" s="1"/>
      <c r="H24" s="1"/>
      <c r="I24" s="1"/>
      <c r="J24" s="1"/>
      <c r="K24" s="1"/>
      <c r="L24" s="1"/>
      <c r="M24" s="1"/>
      <c r="N24" s="17"/>
    </row>
    <row r="25" spans="2:14" ht="15" customHeight="1" x14ac:dyDescent="0.25">
      <c r="B25" s="19"/>
      <c r="C25" s="5" t="s">
        <v>118</v>
      </c>
      <c r="D25" s="6" t="s">
        <v>50</v>
      </c>
      <c r="E25" s="11">
        <v>2.6600000000000001E-4</v>
      </c>
      <c r="F25" s="1"/>
      <c r="G25" s="1"/>
      <c r="H25" s="1"/>
      <c r="I25" s="1"/>
      <c r="J25" s="1"/>
      <c r="K25" s="1"/>
      <c r="L25" s="1"/>
      <c r="M25" s="1"/>
      <c r="N25" s="17"/>
    </row>
    <row r="26" spans="2:14" ht="15.75" customHeight="1" x14ac:dyDescent="0.25">
      <c r="B26" s="19"/>
      <c r="C26" s="7" t="s">
        <v>57</v>
      </c>
      <c r="D26" s="8"/>
      <c r="E26" s="12">
        <v>1.526E-3</v>
      </c>
      <c r="F26" s="1"/>
      <c r="G26" s="34" t="s">
        <v>17</v>
      </c>
      <c r="H26" s="35"/>
      <c r="I26" s="35"/>
      <c r="J26" s="35"/>
      <c r="K26" s="35"/>
      <c r="L26" s="35"/>
      <c r="M26" s="35"/>
      <c r="N26" s="36"/>
    </row>
    <row r="27" spans="2:14" ht="15" customHeight="1" x14ac:dyDescent="0.25">
      <c r="B27" s="19"/>
      <c r="C27" s="5" t="s">
        <v>147</v>
      </c>
      <c r="D27" s="6" t="s">
        <v>50</v>
      </c>
      <c r="E27" s="11">
        <v>5.0323E-2</v>
      </c>
      <c r="F27" s="1"/>
      <c r="G27" s="1"/>
      <c r="H27" s="1"/>
      <c r="I27" s="1"/>
      <c r="J27" s="1"/>
      <c r="K27" s="1"/>
      <c r="L27" s="1"/>
      <c r="M27" s="1"/>
      <c r="N27" s="17"/>
    </row>
    <row r="28" spans="2:14" ht="15.75" customHeight="1" x14ac:dyDescent="0.25">
      <c r="B28" s="19"/>
      <c r="C28" s="5" t="s">
        <v>148</v>
      </c>
      <c r="D28" s="6" t="s">
        <v>50</v>
      </c>
      <c r="E28" s="11">
        <v>6.5021999999999996E-2</v>
      </c>
      <c r="F28" s="1"/>
      <c r="G28" s="1"/>
      <c r="H28" s="1"/>
      <c r="I28" s="1"/>
      <c r="J28" s="1"/>
      <c r="K28" s="1"/>
      <c r="L28" s="1"/>
      <c r="M28" s="1"/>
      <c r="N28" s="17"/>
    </row>
    <row r="29" spans="2:14" ht="15" customHeight="1" x14ac:dyDescent="0.25">
      <c r="B29" s="19"/>
      <c r="C29" s="5" t="s">
        <v>149</v>
      </c>
      <c r="D29" s="6" t="s">
        <v>50</v>
      </c>
      <c r="E29" s="11">
        <v>8.6639999999999998E-3</v>
      </c>
      <c r="F29" s="1"/>
      <c r="G29" s="1"/>
      <c r="H29" s="1"/>
      <c r="I29" s="1"/>
      <c r="J29" s="1"/>
      <c r="K29" s="1"/>
      <c r="L29" s="1"/>
      <c r="M29" s="1"/>
      <c r="N29" s="17"/>
    </row>
    <row r="30" spans="2:14" ht="15" customHeight="1" x14ac:dyDescent="0.25">
      <c r="B30" s="19"/>
      <c r="C30" s="5" t="s">
        <v>132</v>
      </c>
      <c r="D30" s="6" t="s">
        <v>50</v>
      </c>
      <c r="E30" s="11">
        <v>3.4680000000000002E-3</v>
      </c>
      <c r="F30" s="1"/>
      <c r="G30" s="1"/>
      <c r="H30" s="1"/>
      <c r="I30" s="1"/>
      <c r="J30" s="1"/>
      <c r="K30" s="1"/>
      <c r="L30" s="1"/>
      <c r="M30" s="1"/>
      <c r="N30" s="17"/>
    </row>
    <row r="31" spans="2:14" ht="15" customHeight="1" x14ac:dyDescent="0.25">
      <c r="B31" s="19"/>
      <c r="C31" s="5" t="s">
        <v>150</v>
      </c>
      <c r="D31" s="6" t="s">
        <v>50</v>
      </c>
      <c r="E31" s="11">
        <v>1.7639999999999999E-3</v>
      </c>
      <c r="F31" s="1"/>
      <c r="G31" s="1"/>
      <c r="H31" s="1"/>
      <c r="I31" s="1"/>
      <c r="J31" s="1"/>
      <c r="K31" s="1"/>
      <c r="L31" s="1"/>
      <c r="M31" s="1"/>
      <c r="N31" s="17"/>
    </row>
    <row r="32" spans="2:14" ht="15.75" customHeight="1" x14ac:dyDescent="0.25">
      <c r="B32" s="19"/>
      <c r="C32" s="5" t="s">
        <v>151</v>
      </c>
      <c r="D32" s="6" t="s">
        <v>50</v>
      </c>
      <c r="E32" s="11">
        <v>8.3000000000000001E-4</v>
      </c>
      <c r="F32" s="1"/>
      <c r="G32" s="1"/>
      <c r="H32" s="1"/>
      <c r="I32" s="1"/>
      <c r="J32" s="1"/>
      <c r="K32" s="1"/>
      <c r="L32" s="1"/>
      <c r="M32" s="1"/>
      <c r="N32" s="17"/>
    </row>
    <row r="33" spans="2:14" ht="15" customHeight="1" x14ac:dyDescent="0.25">
      <c r="B33" s="19"/>
      <c r="C33" s="7" t="s">
        <v>58</v>
      </c>
      <c r="D33" s="8"/>
      <c r="E33" s="12">
        <v>0.13007099999999999</v>
      </c>
      <c r="F33" s="1"/>
      <c r="G33" s="1"/>
      <c r="H33" s="1"/>
      <c r="I33" s="1"/>
      <c r="J33" s="1"/>
      <c r="K33" s="1"/>
      <c r="L33" s="1"/>
      <c r="M33" s="1"/>
      <c r="N33" s="17"/>
    </row>
    <row r="34" spans="2:14" ht="15.75" customHeight="1" x14ac:dyDescent="0.25">
      <c r="B34" s="19"/>
      <c r="C34" s="5" t="s">
        <v>125</v>
      </c>
      <c r="D34" s="6" t="s">
        <v>50</v>
      </c>
      <c r="E34" s="11">
        <v>9.6487000000000003E-2</v>
      </c>
      <c r="F34" s="1"/>
      <c r="G34" s="1"/>
      <c r="H34" s="1"/>
      <c r="I34" s="1"/>
      <c r="J34" s="1"/>
      <c r="K34" s="1"/>
      <c r="L34" s="1"/>
      <c r="M34" s="1"/>
      <c r="N34" s="17"/>
    </row>
    <row r="35" spans="2:14" ht="15" customHeight="1" x14ac:dyDescent="0.25">
      <c r="B35" s="19"/>
      <c r="C35" s="5" t="s">
        <v>92</v>
      </c>
      <c r="D35" s="6" t="s">
        <v>50</v>
      </c>
      <c r="E35" s="11">
        <v>6.8878999999999996E-2</v>
      </c>
      <c r="F35" s="1"/>
      <c r="G35" s="1"/>
      <c r="H35" s="1"/>
      <c r="I35" s="1"/>
      <c r="J35" s="1"/>
      <c r="K35" s="1"/>
      <c r="L35" s="1"/>
      <c r="M35" s="1"/>
      <c r="N35" s="17"/>
    </row>
    <row r="36" spans="2:14" ht="15.75" customHeight="1" x14ac:dyDescent="0.25">
      <c r="B36" s="19"/>
      <c r="C36" s="5" t="s">
        <v>120</v>
      </c>
      <c r="D36" s="6" t="s">
        <v>50</v>
      </c>
      <c r="E36" s="11">
        <v>3.4393E-2</v>
      </c>
      <c r="F36" s="1"/>
      <c r="G36" s="1"/>
      <c r="H36" s="1"/>
      <c r="I36" s="1"/>
      <c r="J36" s="1"/>
      <c r="K36" s="1"/>
      <c r="L36" s="1"/>
      <c r="M36" s="1"/>
      <c r="N36" s="17"/>
    </row>
    <row r="37" spans="2:14" ht="15" customHeight="1" x14ac:dyDescent="0.25">
      <c r="B37" s="19"/>
      <c r="C37" s="7" t="s">
        <v>78</v>
      </c>
      <c r="D37" s="8"/>
      <c r="E37" s="12">
        <v>0.19975899999999999</v>
      </c>
      <c r="F37" s="1"/>
      <c r="G37" s="1"/>
      <c r="H37" s="1"/>
      <c r="I37" s="1"/>
      <c r="J37" s="1"/>
      <c r="K37" s="1"/>
      <c r="L37" s="1"/>
      <c r="M37" s="1"/>
      <c r="N37" s="17"/>
    </row>
    <row r="38" spans="2:14" ht="15" customHeight="1" x14ac:dyDescent="0.25">
      <c r="B38" s="19"/>
      <c r="C38" s="5" t="s">
        <v>8</v>
      </c>
      <c r="D38" s="6"/>
      <c r="E38" s="11">
        <v>2.3505999999999999E-2</v>
      </c>
      <c r="F38" s="1"/>
      <c r="G38" s="1"/>
      <c r="H38" s="1"/>
      <c r="I38" s="1"/>
      <c r="J38" s="1"/>
      <c r="K38" s="1"/>
      <c r="L38" s="1"/>
      <c r="M38" s="1"/>
      <c r="N38" s="17"/>
    </row>
    <row r="39" spans="2:14" ht="15" customHeight="1" x14ac:dyDescent="0.25">
      <c r="B39" s="19"/>
      <c r="C39" s="7" t="s">
        <v>9</v>
      </c>
      <c r="D39" s="8"/>
      <c r="E39" s="12">
        <v>2.3505999999999999E-2</v>
      </c>
      <c r="F39" s="1"/>
      <c r="G39" s="1"/>
      <c r="H39" s="1"/>
      <c r="I39" s="1"/>
      <c r="J39" s="1"/>
      <c r="K39" s="1"/>
      <c r="L39" s="1"/>
      <c r="M39" s="1"/>
      <c r="N39" s="17"/>
    </row>
    <row r="40" spans="2:14" ht="15" customHeight="1" x14ac:dyDescent="0.25">
      <c r="B40" s="19"/>
      <c r="C40" s="5"/>
      <c r="D40" s="6"/>
      <c r="E40" s="11"/>
      <c r="F40" s="1"/>
      <c r="G40" s="1"/>
      <c r="H40" s="1"/>
      <c r="I40" s="1"/>
      <c r="J40" s="1"/>
      <c r="K40" s="1"/>
      <c r="L40" s="1"/>
      <c r="M40" s="1"/>
      <c r="N40" s="17"/>
    </row>
    <row r="41" spans="2:14" ht="15" customHeight="1" x14ac:dyDescent="0.25">
      <c r="B41" s="19"/>
      <c r="C41" s="7" t="s">
        <v>10</v>
      </c>
      <c r="D41" s="8"/>
      <c r="E41" s="12">
        <v>-1.4319999999999999E-3</v>
      </c>
      <c r="F41" s="1"/>
      <c r="G41" s="1"/>
      <c r="H41" s="1"/>
      <c r="I41" s="1"/>
      <c r="J41" s="1"/>
      <c r="K41" s="1"/>
      <c r="L41" s="1"/>
      <c r="M41" s="1"/>
      <c r="N41" s="17"/>
    </row>
    <row r="42" spans="2:14" ht="15" customHeight="1" x14ac:dyDescent="0.25">
      <c r="B42" s="19"/>
      <c r="C42" s="5"/>
      <c r="D42" s="6"/>
      <c r="E42" s="11"/>
      <c r="F42" s="1"/>
      <c r="G42" s="1"/>
      <c r="H42" s="1"/>
      <c r="I42" s="1"/>
      <c r="J42" s="1"/>
      <c r="K42" s="1"/>
      <c r="L42" s="1"/>
      <c r="M42" s="1"/>
      <c r="N42" s="17"/>
    </row>
    <row r="43" spans="2:14" ht="15" customHeight="1" x14ac:dyDescent="0.25">
      <c r="B43" s="19"/>
      <c r="C43" s="9" t="s">
        <v>11</v>
      </c>
      <c r="D43" s="10"/>
      <c r="E43" s="13">
        <v>1</v>
      </c>
      <c r="F43" s="1"/>
      <c r="G43" s="1"/>
      <c r="H43" s="1"/>
      <c r="I43" s="1"/>
      <c r="J43" s="1"/>
      <c r="K43" s="1"/>
      <c r="L43" s="1"/>
      <c r="M43" s="1"/>
      <c r="N43" s="17"/>
    </row>
    <row r="44" spans="2:14" ht="15" customHeight="1" x14ac:dyDescent="0.25">
      <c r="B44" s="19"/>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thickBot="1" x14ac:dyDescent="0.3">
      <c r="B46" s="20"/>
      <c r="C46" s="21"/>
      <c r="D46" s="21"/>
      <c r="E46" s="21"/>
      <c r="F46" s="21"/>
      <c r="G46" s="21"/>
      <c r="H46" s="21"/>
      <c r="I46" s="21"/>
      <c r="J46" s="21"/>
      <c r="K46" s="21"/>
      <c r="L46" s="21"/>
      <c r="M46" s="21"/>
      <c r="N46" s="22"/>
    </row>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sheetData>
  <sortState ref="C28:E32">
    <sortCondition descending="1" ref="E27"/>
  </sortState>
  <mergeCells count="3">
    <mergeCell ref="C3:N3"/>
    <mergeCell ref="G7:N7"/>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3"/>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127</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19</v>
      </c>
      <c r="D8" s="6" t="s">
        <v>20</v>
      </c>
      <c r="E8" s="11">
        <v>2.1349E-2</v>
      </c>
      <c r="F8" s="1"/>
      <c r="G8" s="23" t="s">
        <v>15</v>
      </c>
      <c r="H8" s="24">
        <v>1</v>
      </c>
      <c r="I8" s="1"/>
      <c r="J8" s="23" t="s">
        <v>12</v>
      </c>
      <c r="K8" s="23" t="s">
        <v>3</v>
      </c>
      <c r="L8" s="1"/>
      <c r="M8" s="1"/>
      <c r="N8" s="17"/>
    </row>
    <row r="9" spans="2:14" ht="15.75" customHeight="1" x14ac:dyDescent="0.25">
      <c r="B9" s="19"/>
      <c r="C9" s="7" t="s">
        <v>22</v>
      </c>
      <c r="D9" s="8"/>
      <c r="E9" s="12">
        <v>2.1349E-2</v>
      </c>
      <c r="F9" s="1"/>
      <c r="G9" s="1"/>
      <c r="H9" s="1"/>
      <c r="I9" s="1"/>
      <c r="J9" s="23" t="s">
        <v>10</v>
      </c>
      <c r="K9" s="25">
        <v>4.8799999999999998E-3</v>
      </c>
      <c r="L9" s="1"/>
      <c r="M9" s="1"/>
      <c r="N9" s="17"/>
    </row>
    <row r="10" spans="2:14" ht="15" customHeight="1" x14ac:dyDescent="0.25">
      <c r="B10" s="19"/>
      <c r="C10" s="5" t="s">
        <v>35</v>
      </c>
      <c r="D10" s="6" t="s">
        <v>20</v>
      </c>
      <c r="E10" s="11">
        <v>8.3208000000000004E-2</v>
      </c>
      <c r="F10" s="1"/>
      <c r="G10" s="1"/>
      <c r="H10" s="1"/>
      <c r="I10" s="1"/>
      <c r="J10" s="23" t="s">
        <v>13</v>
      </c>
      <c r="K10" s="25">
        <v>0.28575</v>
      </c>
      <c r="L10" s="1"/>
      <c r="M10" s="1"/>
      <c r="N10" s="17"/>
    </row>
    <row r="11" spans="2:14" ht="15" customHeight="1" x14ac:dyDescent="0.25">
      <c r="B11" s="19"/>
      <c r="C11" s="5" t="s">
        <v>87</v>
      </c>
      <c r="D11" s="6" t="s">
        <v>20</v>
      </c>
      <c r="E11" s="11">
        <v>5.2137000000000003E-2</v>
      </c>
      <c r="F11" s="1"/>
      <c r="G11" s="1"/>
      <c r="H11" s="1"/>
      <c r="I11" s="1"/>
      <c r="J11" s="23" t="s">
        <v>60</v>
      </c>
      <c r="K11" s="25">
        <v>2.1349E-2</v>
      </c>
      <c r="L11" s="1"/>
      <c r="M11" s="1"/>
      <c r="N11" s="17"/>
    </row>
    <row r="12" spans="2:14" ht="15" customHeight="1" x14ac:dyDescent="0.25">
      <c r="B12" s="19"/>
      <c r="C12" s="5" t="s">
        <v>114</v>
      </c>
      <c r="D12" s="6" t="s">
        <v>20</v>
      </c>
      <c r="E12" s="11">
        <v>7.1609999999999998E-3</v>
      </c>
      <c r="F12" s="1"/>
      <c r="G12" s="1"/>
      <c r="H12" s="1"/>
      <c r="I12" s="1"/>
      <c r="J12" s="23" t="s">
        <v>61</v>
      </c>
      <c r="K12" s="25">
        <v>0.33666000000000001</v>
      </c>
      <c r="L12" s="1"/>
      <c r="M12" s="1"/>
      <c r="N12" s="17"/>
    </row>
    <row r="13" spans="2:14" ht="15" customHeight="1" x14ac:dyDescent="0.25">
      <c r="B13" s="19"/>
      <c r="C13" s="5" t="s">
        <v>21</v>
      </c>
      <c r="D13" s="6" t="s">
        <v>20</v>
      </c>
      <c r="E13" s="11">
        <v>3.1210000000000001E-3</v>
      </c>
      <c r="F13" s="1"/>
      <c r="G13" s="1"/>
      <c r="H13" s="1"/>
      <c r="I13" s="1"/>
      <c r="J13" s="23" t="s">
        <v>62</v>
      </c>
      <c r="K13" s="25">
        <v>0.14562700000000001</v>
      </c>
      <c r="L13" s="1"/>
      <c r="M13" s="1"/>
      <c r="N13" s="17"/>
    </row>
    <row r="14" spans="2:14" ht="15.75" customHeight="1" x14ac:dyDescent="0.25">
      <c r="B14" s="19"/>
      <c r="C14" s="7" t="s">
        <v>24</v>
      </c>
      <c r="D14" s="8"/>
      <c r="E14" s="12">
        <v>0.14562700000000001</v>
      </c>
      <c r="F14" s="1"/>
      <c r="G14" s="1"/>
      <c r="H14" s="1"/>
      <c r="I14" s="1"/>
      <c r="J14" s="23" t="s">
        <v>63</v>
      </c>
      <c r="K14" s="25">
        <v>2.0929E-2</v>
      </c>
      <c r="L14" s="1"/>
      <c r="M14" s="1"/>
      <c r="N14" s="17"/>
    </row>
    <row r="15" spans="2:14" ht="15" customHeight="1" x14ac:dyDescent="0.25">
      <c r="B15" s="19"/>
      <c r="C15" s="5" t="s">
        <v>25</v>
      </c>
      <c r="D15" s="6" t="s">
        <v>26</v>
      </c>
      <c r="E15" s="11">
        <v>0.117379</v>
      </c>
      <c r="F15" s="1"/>
      <c r="G15" s="1"/>
      <c r="H15" s="1"/>
      <c r="I15" s="1"/>
      <c r="J15" s="23" t="s">
        <v>64</v>
      </c>
      <c r="K15" s="25">
        <v>2.0944000000000001E-2</v>
      </c>
      <c r="L15" s="1"/>
      <c r="M15" s="1"/>
      <c r="N15" s="17"/>
    </row>
    <row r="16" spans="2:14" ht="15" customHeight="1" x14ac:dyDescent="0.25">
      <c r="B16" s="19"/>
      <c r="C16" s="5" t="s">
        <v>23</v>
      </c>
      <c r="D16" s="6" t="s">
        <v>26</v>
      </c>
      <c r="E16" s="11">
        <v>6.6003999999999993E-2</v>
      </c>
      <c r="F16" s="1"/>
      <c r="G16" s="1"/>
      <c r="H16" s="1"/>
      <c r="I16" s="1"/>
      <c r="J16" s="23" t="s">
        <v>65</v>
      </c>
      <c r="K16" s="25">
        <v>4.3614E-2</v>
      </c>
      <c r="L16" s="1"/>
      <c r="M16" s="1"/>
      <c r="N16" s="17"/>
    </row>
    <row r="17" spans="2:14" ht="15" customHeight="1" x14ac:dyDescent="0.25">
      <c r="B17" s="19"/>
      <c r="C17" s="5" t="s">
        <v>28</v>
      </c>
      <c r="D17" s="6" t="s">
        <v>26</v>
      </c>
      <c r="E17" s="11">
        <v>5.9163E-2</v>
      </c>
      <c r="F17" s="1"/>
      <c r="G17" s="1"/>
      <c r="H17" s="1"/>
      <c r="I17" s="1"/>
      <c r="J17" s="23" t="s">
        <v>80</v>
      </c>
      <c r="K17" s="25">
        <v>7.3988999999999999E-2</v>
      </c>
      <c r="L17" s="1"/>
      <c r="M17" s="1"/>
      <c r="N17" s="17"/>
    </row>
    <row r="18" spans="2:14" ht="15" customHeight="1" x14ac:dyDescent="0.25">
      <c r="B18" s="19"/>
      <c r="C18" s="5" t="s">
        <v>38</v>
      </c>
      <c r="D18" s="6" t="s">
        <v>26</v>
      </c>
      <c r="E18" s="11">
        <v>4.6098E-2</v>
      </c>
      <c r="F18" s="1"/>
      <c r="G18" s="1"/>
      <c r="H18" s="1"/>
      <c r="I18" s="1"/>
      <c r="J18" s="23" t="s">
        <v>66</v>
      </c>
      <c r="K18" s="25">
        <v>4.6258000000000001E-2</v>
      </c>
      <c r="L18" s="1"/>
      <c r="M18" s="1"/>
      <c r="N18" s="17"/>
    </row>
    <row r="19" spans="2:14" ht="15" customHeight="1" x14ac:dyDescent="0.25">
      <c r="B19" s="19"/>
      <c r="C19" s="5" t="s">
        <v>27</v>
      </c>
      <c r="D19" s="6" t="s">
        <v>26</v>
      </c>
      <c r="E19" s="11">
        <v>3.2301999999999997E-2</v>
      </c>
      <c r="F19" s="1"/>
      <c r="G19" s="1"/>
      <c r="H19" s="1"/>
      <c r="I19" s="1"/>
      <c r="J19" s="1"/>
      <c r="K19" s="1"/>
      <c r="L19" s="1"/>
      <c r="M19" s="1"/>
      <c r="N19" s="17"/>
    </row>
    <row r="20" spans="2:14" ht="15" customHeight="1" x14ac:dyDescent="0.25">
      <c r="B20" s="19"/>
      <c r="C20" s="5" t="s">
        <v>83</v>
      </c>
      <c r="D20" s="6" t="s">
        <v>26</v>
      </c>
      <c r="E20" s="11">
        <v>1.5713999999999999E-2</v>
      </c>
      <c r="F20" s="1"/>
      <c r="G20" s="1"/>
      <c r="H20" s="1"/>
      <c r="I20" s="1"/>
      <c r="J20" s="1"/>
      <c r="K20" s="1"/>
      <c r="L20" s="1"/>
      <c r="M20" s="1"/>
      <c r="N20" s="17"/>
    </row>
    <row r="21" spans="2:14" ht="15.75" customHeight="1" x14ac:dyDescent="0.25">
      <c r="B21" s="19"/>
      <c r="C21" s="7" t="s">
        <v>46</v>
      </c>
      <c r="D21" s="8"/>
      <c r="E21" s="12">
        <v>0.33666000000000001</v>
      </c>
      <c r="F21" s="1"/>
      <c r="G21" s="1"/>
      <c r="H21" s="1"/>
      <c r="I21" s="1"/>
      <c r="J21" s="1"/>
      <c r="K21" s="1"/>
      <c r="L21" s="1"/>
      <c r="M21" s="1"/>
      <c r="N21" s="17"/>
    </row>
    <row r="22" spans="2:14" ht="15" customHeight="1" x14ac:dyDescent="0.25">
      <c r="B22" s="19"/>
      <c r="C22" s="5" t="s">
        <v>19</v>
      </c>
      <c r="D22" s="6" t="s">
        <v>20</v>
      </c>
      <c r="E22" s="11">
        <v>2.0929E-2</v>
      </c>
      <c r="F22" s="1"/>
      <c r="G22" s="1"/>
      <c r="H22" s="1"/>
      <c r="I22" s="1"/>
      <c r="J22" s="1"/>
      <c r="K22" s="1"/>
      <c r="L22" s="1"/>
      <c r="M22" s="1"/>
      <c r="N22" s="17"/>
    </row>
    <row r="23" spans="2:14" ht="15.75" customHeight="1" x14ac:dyDescent="0.25">
      <c r="B23" s="19"/>
      <c r="C23" s="7" t="s">
        <v>48</v>
      </c>
      <c r="D23" s="8"/>
      <c r="E23" s="12">
        <v>2.0929E-2</v>
      </c>
      <c r="F23" s="1"/>
      <c r="G23" s="1"/>
      <c r="H23" s="1"/>
      <c r="I23" s="1"/>
      <c r="J23" s="1"/>
      <c r="K23" s="1"/>
      <c r="L23" s="1"/>
      <c r="M23" s="1"/>
      <c r="N23" s="17"/>
    </row>
    <row r="24" spans="2:14" ht="15" customHeight="1" x14ac:dyDescent="0.25">
      <c r="B24" s="19"/>
      <c r="C24" s="5" t="s">
        <v>118</v>
      </c>
      <c r="D24" s="6" t="s">
        <v>50</v>
      </c>
      <c r="E24" s="11">
        <v>2.0944000000000001E-2</v>
      </c>
      <c r="F24" s="1"/>
      <c r="G24" s="1"/>
      <c r="H24" s="1"/>
      <c r="I24" s="1"/>
      <c r="J24" s="1"/>
      <c r="K24" s="1"/>
      <c r="L24" s="1"/>
      <c r="M24" s="1"/>
      <c r="N24" s="17"/>
    </row>
    <row r="25" spans="2:14" ht="15.75" customHeight="1" x14ac:dyDescent="0.25">
      <c r="B25" s="19"/>
      <c r="C25" s="7" t="s">
        <v>57</v>
      </c>
      <c r="D25" s="8"/>
      <c r="E25" s="12">
        <v>2.0944000000000001E-2</v>
      </c>
      <c r="F25" s="1"/>
      <c r="G25" s="1"/>
      <c r="H25" s="1"/>
      <c r="I25" s="1"/>
      <c r="J25" s="1"/>
      <c r="K25" s="1"/>
      <c r="L25" s="1"/>
      <c r="M25" s="1"/>
      <c r="N25" s="17"/>
    </row>
    <row r="26" spans="2:14" ht="15" customHeight="1" x14ac:dyDescent="0.25">
      <c r="B26" s="19"/>
      <c r="C26" s="5" t="s">
        <v>148</v>
      </c>
      <c r="D26" s="6" t="s">
        <v>50</v>
      </c>
      <c r="E26" s="11">
        <v>3.7243999999999999E-2</v>
      </c>
      <c r="F26" s="1"/>
      <c r="G26" s="34" t="s">
        <v>17</v>
      </c>
      <c r="H26" s="35"/>
      <c r="I26" s="35"/>
      <c r="J26" s="35"/>
      <c r="K26" s="35"/>
      <c r="L26" s="35"/>
      <c r="M26" s="35"/>
      <c r="N26" s="36"/>
    </row>
    <row r="27" spans="2:14" ht="15.75" customHeight="1" x14ac:dyDescent="0.25">
      <c r="B27" s="19"/>
      <c r="C27" s="5" t="s">
        <v>152</v>
      </c>
      <c r="D27" s="6" t="s">
        <v>50</v>
      </c>
      <c r="E27" s="11">
        <v>3.1480000000000002E-3</v>
      </c>
      <c r="F27" s="1"/>
      <c r="G27" s="1"/>
      <c r="H27" s="1"/>
      <c r="I27" s="1"/>
      <c r="J27" s="1"/>
      <c r="K27" s="1"/>
      <c r="L27" s="1"/>
      <c r="M27" s="1"/>
      <c r="N27" s="17"/>
    </row>
    <row r="28" spans="2:14" ht="15" customHeight="1" x14ac:dyDescent="0.25">
      <c r="B28" s="19"/>
      <c r="C28" s="5" t="s">
        <v>153</v>
      </c>
      <c r="D28" s="6" t="s">
        <v>50</v>
      </c>
      <c r="E28" s="11">
        <v>1.054E-3</v>
      </c>
      <c r="F28" s="1"/>
      <c r="G28" s="1"/>
      <c r="H28" s="1"/>
      <c r="I28" s="1"/>
      <c r="J28" s="1"/>
      <c r="K28" s="1"/>
      <c r="L28" s="1"/>
      <c r="M28" s="1"/>
      <c r="N28" s="17"/>
    </row>
    <row r="29" spans="2:14" ht="15" customHeight="1" x14ac:dyDescent="0.25">
      <c r="B29" s="19"/>
      <c r="C29" s="5" t="s">
        <v>154</v>
      </c>
      <c r="D29" s="6" t="s">
        <v>50</v>
      </c>
      <c r="E29" s="11">
        <v>1.078E-3</v>
      </c>
      <c r="F29" s="1"/>
      <c r="G29" s="1"/>
      <c r="H29" s="1"/>
      <c r="I29" s="1"/>
      <c r="J29" s="1"/>
      <c r="K29" s="1"/>
      <c r="L29" s="1"/>
      <c r="M29" s="1"/>
      <c r="N29" s="17"/>
    </row>
    <row r="30" spans="2:14" ht="15.75" customHeight="1" x14ac:dyDescent="0.25">
      <c r="B30" s="19"/>
      <c r="C30" s="5" t="s">
        <v>155</v>
      </c>
      <c r="D30" s="6" t="s">
        <v>50</v>
      </c>
      <c r="E30" s="11">
        <v>1.09E-3</v>
      </c>
      <c r="F30" s="1"/>
      <c r="G30" s="1"/>
      <c r="H30" s="1"/>
      <c r="I30" s="1"/>
      <c r="J30" s="1"/>
      <c r="K30" s="1"/>
      <c r="L30" s="1"/>
      <c r="M30" s="1"/>
      <c r="N30" s="17"/>
    </row>
    <row r="31" spans="2:14" ht="15" customHeight="1" x14ac:dyDescent="0.25">
      <c r="B31" s="19"/>
      <c r="C31" s="7" t="s">
        <v>58</v>
      </c>
      <c r="D31" s="8"/>
      <c r="E31" s="12">
        <v>4.3614E-2</v>
      </c>
      <c r="F31" s="1"/>
      <c r="G31" s="1"/>
      <c r="H31" s="1"/>
      <c r="I31" s="1"/>
      <c r="J31" s="1"/>
      <c r="K31" s="1"/>
      <c r="L31" s="1"/>
      <c r="M31" s="1"/>
      <c r="N31" s="17"/>
    </row>
    <row r="32" spans="2:14" ht="15.75" customHeight="1" x14ac:dyDescent="0.25">
      <c r="B32" s="19"/>
      <c r="C32" s="5" t="s">
        <v>92</v>
      </c>
      <c r="D32" s="6" t="s">
        <v>50</v>
      </c>
      <c r="E32" s="11">
        <v>5.4209E-2</v>
      </c>
      <c r="F32" s="1"/>
      <c r="G32" s="1"/>
      <c r="H32" s="1"/>
      <c r="I32" s="1"/>
      <c r="J32" s="1"/>
      <c r="K32" s="1"/>
      <c r="L32" s="1"/>
      <c r="M32" s="1"/>
      <c r="N32" s="17"/>
    </row>
    <row r="33" spans="2:14" ht="15" customHeight="1" x14ac:dyDescent="0.25">
      <c r="B33" s="19"/>
      <c r="C33" s="5" t="s">
        <v>90</v>
      </c>
      <c r="D33" s="6" t="s">
        <v>50</v>
      </c>
      <c r="E33" s="11">
        <v>1.9779999999999999E-2</v>
      </c>
      <c r="F33" s="1"/>
      <c r="G33" s="1"/>
      <c r="H33" s="1"/>
      <c r="I33" s="1"/>
      <c r="J33" s="1"/>
      <c r="K33" s="1"/>
      <c r="L33" s="1"/>
      <c r="M33" s="1"/>
      <c r="N33" s="17"/>
    </row>
    <row r="34" spans="2:14" ht="15" customHeight="1" x14ac:dyDescent="0.25">
      <c r="B34" s="19"/>
      <c r="C34" s="7" t="s">
        <v>78</v>
      </c>
      <c r="D34" s="8"/>
      <c r="E34" s="12">
        <v>7.3988999999999999E-2</v>
      </c>
      <c r="F34" s="1"/>
      <c r="G34" s="1"/>
      <c r="H34" s="1"/>
      <c r="I34" s="1"/>
      <c r="J34" s="1"/>
      <c r="K34" s="1"/>
      <c r="L34" s="1"/>
      <c r="M34" s="1"/>
      <c r="N34" s="17"/>
    </row>
    <row r="35" spans="2:14" ht="15.75" customHeight="1" x14ac:dyDescent="0.25">
      <c r="B35" s="19"/>
      <c r="C35" s="5" t="s">
        <v>8</v>
      </c>
      <c r="D35" s="6"/>
      <c r="E35" s="11">
        <v>0.28575</v>
      </c>
      <c r="F35" s="1"/>
      <c r="G35" s="1"/>
      <c r="H35" s="1"/>
      <c r="I35" s="1"/>
      <c r="J35" s="1"/>
      <c r="K35" s="1"/>
      <c r="L35" s="1"/>
      <c r="M35" s="1"/>
      <c r="N35" s="17"/>
    </row>
    <row r="36" spans="2:14" ht="15" customHeight="1" x14ac:dyDescent="0.25">
      <c r="B36" s="19"/>
      <c r="C36" s="7" t="s">
        <v>9</v>
      </c>
      <c r="D36" s="8"/>
      <c r="E36" s="12">
        <v>0.28575</v>
      </c>
      <c r="F36" s="1"/>
      <c r="G36" s="1"/>
      <c r="H36" s="1"/>
      <c r="I36" s="1"/>
      <c r="J36" s="1"/>
      <c r="K36" s="1"/>
      <c r="L36" s="1"/>
      <c r="M36" s="1"/>
      <c r="N36" s="17"/>
    </row>
    <row r="37" spans="2:14" ht="15.75" customHeight="1" x14ac:dyDescent="0.25">
      <c r="B37" s="19"/>
      <c r="C37" s="5" t="s">
        <v>82</v>
      </c>
      <c r="D37" s="6" t="s">
        <v>26</v>
      </c>
      <c r="E37" s="11">
        <v>2.5694000000000002E-2</v>
      </c>
      <c r="F37" s="1"/>
      <c r="G37" s="1"/>
      <c r="H37" s="1"/>
      <c r="I37" s="1"/>
      <c r="J37" s="1"/>
      <c r="K37" s="1"/>
      <c r="L37" s="1"/>
      <c r="M37" s="1"/>
      <c r="N37" s="17"/>
    </row>
    <row r="38" spans="2:14" ht="15" customHeight="1" x14ac:dyDescent="0.25">
      <c r="B38" s="19"/>
      <c r="C38" s="5" t="s">
        <v>38</v>
      </c>
      <c r="D38" s="6" t="s">
        <v>26</v>
      </c>
      <c r="E38" s="11">
        <v>2.0563999999999999E-2</v>
      </c>
      <c r="F38" s="1"/>
      <c r="G38" s="1"/>
      <c r="H38" s="1"/>
      <c r="I38" s="1"/>
      <c r="J38" s="1"/>
      <c r="K38" s="1"/>
      <c r="L38" s="1"/>
      <c r="M38" s="1"/>
      <c r="N38" s="17"/>
    </row>
    <row r="39" spans="2:14" ht="15" customHeight="1" x14ac:dyDescent="0.25">
      <c r="B39" s="19"/>
      <c r="C39" s="7" t="s">
        <v>59</v>
      </c>
      <c r="D39" s="8"/>
      <c r="E39" s="12">
        <v>4.6258000000000001E-2</v>
      </c>
      <c r="F39" s="1"/>
      <c r="G39" s="1"/>
      <c r="H39" s="1"/>
      <c r="I39" s="1"/>
      <c r="J39" s="1"/>
      <c r="K39" s="1"/>
      <c r="L39" s="1"/>
      <c r="M39" s="1"/>
      <c r="N39" s="17"/>
    </row>
    <row r="40" spans="2:14" ht="15" customHeight="1" x14ac:dyDescent="0.25">
      <c r="B40" s="19"/>
      <c r="C40" s="5"/>
      <c r="D40" s="6"/>
      <c r="E40" s="11"/>
      <c r="F40" s="1"/>
      <c r="G40" s="1"/>
      <c r="H40" s="1"/>
      <c r="I40" s="1"/>
      <c r="J40" s="1"/>
      <c r="K40" s="1"/>
      <c r="L40" s="1"/>
      <c r="M40" s="1"/>
      <c r="N40" s="17"/>
    </row>
    <row r="41" spans="2:14" ht="15" customHeight="1" x14ac:dyDescent="0.25">
      <c r="B41" s="19"/>
      <c r="C41" s="7" t="s">
        <v>10</v>
      </c>
      <c r="D41" s="8"/>
      <c r="E41" s="12">
        <v>4.8799999999999998E-3</v>
      </c>
      <c r="F41" s="1"/>
      <c r="G41" s="1"/>
      <c r="H41" s="1"/>
      <c r="I41" s="1"/>
      <c r="J41" s="1"/>
      <c r="K41" s="1"/>
      <c r="L41" s="1"/>
      <c r="M41" s="1"/>
      <c r="N41" s="17"/>
    </row>
    <row r="42" spans="2:14" ht="15" customHeight="1" x14ac:dyDescent="0.25">
      <c r="B42" s="19"/>
      <c r="C42" s="5"/>
      <c r="D42" s="6"/>
      <c r="E42" s="11"/>
      <c r="F42" s="1"/>
      <c r="G42" s="1"/>
      <c r="H42" s="1"/>
      <c r="I42" s="1"/>
      <c r="J42" s="1"/>
      <c r="K42" s="1"/>
      <c r="L42" s="1"/>
      <c r="M42" s="1"/>
      <c r="N42" s="17"/>
    </row>
    <row r="43" spans="2:14" ht="15" customHeight="1" x14ac:dyDescent="0.25">
      <c r="B43" s="19"/>
      <c r="C43" s="9" t="s">
        <v>11</v>
      </c>
      <c r="D43" s="10"/>
      <c r="E43" s="13">
        <v>1</v>
      </c>
      <c r="F43" s="1"/>
      <c r="G43" s="1"/>
      <c r="H43" s="1"/>
      <c r="I43" s="1"/>
      <c r="J43" s="1"/>
      <c r="K43" s="1"/>
      <c r="L43" s="1"/>
      <c r="M43" s="1"/>
      <c r="N43" s="17"/>
    </row>
    <row r="44" spans="2:14" ht="15" customHeight="1" x14ac:dyDescent="0.25">
      <c r="B44" s="19"/>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thickBot="1" x14ac:dyDescent="0.3">
      <c r="B47" s="20"/>
      <c r="C47" s="21"/>
      <c r="D47" s="21"/>
      <c r="E47" s="21"/>
      <c r="F47" s="21"/>
      <c r="G47" s="21"/>
      <c r="H47" s="21"/>
      <c r="I47" s="21"/>
      <c r="J47" s="21"/>
      <c r="K47" s="21"/>
      <c r="L47" s="21"/>
      <c r="M47" s="21"/>
      <c r="N47" s="22"/>
    </row>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mergeCells count="3">
    <mergeCell ref="C3:N3"/>
    <mergeCell ref="G7:N7"/>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3"/>
  <sheetViews>
    <sheetView showGridLines="0" zoomScale="75" zoomScaleNormal="75" workbookViewId="0"/>
  </sheetViews>
  <sheetFormatPr defaultRowHeight="15" x14ac:dyDescent="0.25"/>
  <cols>
    <col min="1" max="1" width="2.85546875" customWidth="1"/>
    <col min="2" max="2" width="3.85546875" customWidth="1"/>
    <col min="3" max="3" width="52.57031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109</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68</v>
      </c>
      <c r="D8" s="6" t="s">
        <v>50</v>
      </c>
      <c r="E8" s="11">
        <v>0.99693900000000002</v>
      </c>
      <c r="F8" s="1"/>
      <c r="G8" s="23" t="s">
        <v>15</v>
      </c>
      <c r="H8" s="24">
        <v>1</v>
      </c>
      <c r="I8" s="1"/>
      <c r="J8" s="23" t="s">
        <v>12</v>
      </c>
      <c r="K8" s="23" t="s">
        <v>3</v>
      </c>
      <c r="L8" s="1"/>
      <c r="M8" s="1"/>
      <c r="N8" s="17"/>
    </row>
    <row r="9" spans="2:14" ht="15" customHeight="1" x14ac:dyDescent="0.25">
      <c r="B9" s="19"/>
      <c r="C9" s="5" t="s">
        <v>110</v>
      </c>
      <c r="D9" s="6" t="s">
        <v>50</v>
      </c>
      <c r="E9" s="11">
        <v>2.6999999999999999E-5</v>
      </c>
      <c r="F9" s="1"/>
      <c r="G9" s="1"/>
      <c r="H9" s="1"/>
      <c r="I9" s="1"/>
      <c r="J9" s="23" t="s">
        <v>10</v>
      </c>
      <c r="K9" s="25">
        <v>2.0939999999999999E-3</v>
      </c>
      <c r="L9" s="1"/>
      <c r="M9" s="1"/>
      <c r="N9" s="17"/>
    </row>
    <row r="10" spans="2:14" ht="15" customHeight="1" x14ac:dyDescent="0.25">
      <c r="B10" s="19"/>
      <c r="C10" s="5" t="s">
        <v>72</v>
      </c>
      <c r="D10" s="6" t="s">
        <v>50</v>
      </c>
      <c r="E10" s="11">
        <v>2.5999999999999998E-5</v>
      </c>
      <c r="F10" s="1"/>
      <c r="G10" s="1"/>
      <c r="H10" s="1"/>
      <c r="I10" s="1"/>
      <c r="J10" s="23" t="s">
        <v>13</v>
      </c>
      <c r="K10" s="25">
        <v>9.1399999999999999E-4</v>
      </c>
      <c r="L10" s="1"/>
      <c r="M10" s="1"/>
      <c r="N10" s="17"/>
    </row>
    <row r="11" spans="2:14" ht="15.75" customHeight="1" x14ac:dyDescent="0.25">
      <c r="B11" s="19"/>
      <c r="C11" s="7" t="s">
        <v>57</v>
      </c>
      <c r="D11" s="8"/>
      <c r="E11" s="12">
        <v>0.99699199999999999</v>
      </c>
      <c r="F11" s="1"/>
      <c r="G11" s="1"/>
      <c r="H11" s="1"/>
      <c r="I11" s="1"/>
      <c r="J11" s="23" t="s">
        <v>64</v>
      </c>
      <c r="K11" s="25">
        <v>0.99699199999999999</v>
      </c>
      <c r="L11" s="1"/>
      <c r="M11" s="1"/>
      <c r="N11" s="17"/>
    </row>
    <row r="12" spans="2:14" ht="15" customHeight="1" x14ac:dyDescent="0.25">
      <c r="B12" s="19"/>
      <c r="C12" s="5" t="s">
        <v>8</v>
      </c>
      <c r="D12" s="6"/>
      <c r="E12" s="11">
        <v>9.1399999999999999E-4</v>
      </c>
      <c r="F12" s="1"/>
      <c r="G12" s="1"/>
      <c r="H12" s="1"/>
      <c r="I12" s="1"/>
      <c r="J12" s="1"/>
      <c r="K12" s="1"/>
      <c r="L12" s="1"/>
      <c r="M12" s="1"/>
      <c r="N12" s="17"/>
    </row>
    <row r="13" spans="2:14" ht="15.75" customHeight="1" x14ac:dyDescent="0.25">
      <c r="B13" s="19"/>
      <c r="C13" s="7" t="s">
        <v>9</v>
      </c>
      <c r="D13" s="8"/>
      <c r="E13" s="12">
        <v>9.1399999999999999E-4</v>
      </c>
      <c r="F13" s="1"/>
      <c r="G13" s="1"/>
      <c r="H13" s="1"/>
      <c r="I13" s="1"/>
      <c r="J13" s="1"/>
      <c r="K13" s="1"/>
      <c r="L13" s="1"/>
      <c r="M13" s="1"/>
      <c r="N13" s="17"/>
    </row>
    <row r="14" spans="2:14" ht="15" customHeight="1" x14ac:dyDescent="0.25">
      <c r="B14" s="19"/>
      <c r="C14" s="5"/>
      <c r="D14" s="6"/>
      <c r="E14" s="11"/>
      <c r="F14" s="1"/>
      <c r="G14" s="1"/>
      <c r="H14" s="1"/>
      <c r="I14" s="1"/>
      <c r="J14" s="1"/>
      <c r="K14" s="1"/>
      <c r="L14" s="1"/>
      <c r="M14" s="1"/>
      <c r="N14" s="17"/>
    </row>
    <row r="15" spans="2:14" ht="15.75" customHeight="1" x14ac:dyDescent="0.25">
      <c r="B15" s="19"/>
      <c r="C15" s="7" t="s">
        <v>10</v>
      </c>
      <c r="D15" s="8"/>
      <c r="E15" s="12">
        <v>2.0939999999999999E-3</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 customHeight="1" x14ac:dyDescent="0.25">
      <c r="B17" s="19"/>
      <c r="C17" s="9" t="s">
        <v>11</v>
      </c>
      <c r="D17" s="10"/>
      <c r="E17" s="13">
        <v>1</v>
      </c>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4" t="s">
        <v>17</v>
      </c>
      <c r="H26" s="35"/>
      <c r="I26" s="35"/>
      <c r="J26" s="35"/>
      <c r="K26" s="35"/>
      <c r="L26" s="35"/>
      <c r="M26" s="35"/>
      <c r="N26" s="3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sheetData>
  <mergeCells count="3">
    <mergeCell ref="C3:N3"/>
    <mergeCell ref="G7:N7"/>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3"/>
  <sheetViews>
    <sheetView showGridLines="0" zoomScale="75" zoomScaleNormal="75" workbookViewId="0"/>
  </sheetViews>
  <sheetFormatPr defaultRowHeight="15" x14ac:dyDescent="0.25"/>
  <cols>
    <col min="1" max="1" width="2.85546875" customWidth="1"/>
    <col min="2" max="2" width="3.85546875" customWidth="1"/>
    <col min="3" max="3" width="52.57031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67</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68</v>
      </c>
      <c r="D8" s="6" t="s">
        <v>50</v>
      </c>
      <c r="E8" s="11">
        <v>0.964727</v>
      </c>
      <c r="F8" s="1"/>
      <c r="G8" s="23" t="s">
        <v>15</v>
      </c>
      <c r="H8" s="24">
        <v>1</v>
      </c>
      <c r="I8" s="1"/>
      <c r="J8" s="23" t="s">
        <v>12</v>
      </c>
      <c r="K8" s="23" t="s">
        <v>3</v>
      </c>
      <c r="L8" s="1"/>
      <c r="M8" s="1"/>
      <c r="N8" s="17"/>
    </row>
    <row r="9" spans="2:14" ht="15" customHeight="1" x14ac:dyDescent="0.25">
      <c r="B9" s="19"/>
      <c r="C9" s="5" t="s">
        <v>69</v>
      </c>
      <c r="D9" s="6" t="s">
        <v>50</v>
      </c>
      <c r="E9" s="11">
        <v>2.9770000000000001E-2</v>
      </c>
      <c r="F9" s="1"/>
      <c r="G9" s="1"/>
      <c r="H9" s="1"/>
      <c r="I9" s="1"/>
      <c r="J9" s="23" t="s">
        <v>10</v>
      </c>
      <c r="K9" s="25">
        <v>2.4399999999999999E-3</v>
      </c>
      <c r="L9" s="1"/>
      <c r="M9" s="1"/>
      <c r="N9" s="17"/>
    </row>
    <row r="10" spans="2:14" ht="15" customHeight="1" x14ac:dyDescent="0.25">
      <c r="B10" s="19"/>
      <c r="C10" s="5" t="s">
        <v>70</v>
      </c>
      <c r="D10" s="6" t="s">
        <v>50</v>
      </c>
      <c r="E10" s="11">
        <v>6.1200000000000002E-4</v>
      </c>
      <c r="F10" s="1"/>
      <c r="G10" s="1"/>
      <c r="H10" s="1"/>
      <c r="I10" s="1"/>
      <c r="J10" s="23" t="s">
        <v>13</v>
      </c>
      <c r="K10" s="25">
        <v>2.4510000000000001E-3</v>
      </c>
      <c r="L10" s="1"/>
      <c r="M10" s="1"/>
      <c r="N10" s="17"/>
    </row>
    <row r="11" spans="2:14" ht="15.75" customHeight="1" x14ac:dyDescent="0.25">
      <c r="B11" s="19"/>
      <c r="C11" s="7" t="s">
        <v>57</v>
      </c>
      <c r="D11" s="8"/>
      <c r="E11" s="12">
        <v>0.99510900000000002</v>
      </c>
      <c r="F11" s="1"/>
      <c r="G11" s="1"/>
      <c r="H11" s="1"/>
      <c r="I11" s="1"/>
      <c r="J11" s="23" t="s">
        <v>64</v>
      </c>
      <c r="K11" s="25">
        <v>0.99510900000000002</v>
      </c>
      <c r="L11" s="1"/>
      <c r="M11" s="1"/>
      <c r="N11" s="17"/>
    </row>
    <row r="12" spans="2:14" ht="15" customHeight="1" x14ac:dyDescent="0.25">
      <c r="B12" s="19"/>
      <c r="C12" s="5" t="s">
        <v>8</v>
      </c>
      <c r="D12" s="6"/>
      <c r="E12" s="11">
        <v>2.4510000000000001E-3</v>
      </c>
      <c r="F12" s="1"/>
      <c r="G12" s="1"/>
      <c r="H12" s="1"/>
      <c r="I12" s="1"/>
      <c r="J12" s="1"/>
      <c r="K12" s="1"/>
      <c r="L12" s="1"/>
      <c r="M12" s="1"/>
      <c r="N12" s="17"/>
    </row>
    <row r="13" spans="2:14" ht="15.75" customHeight="1" x14ac:dyDescent="0.25">
      <c r="B13" s="19"/>
      <c r="C13" s="7" t="s">
        <v>9</v>
      </c>
      <c r="D13" s="8"/>
      <c r="E13" s="12">
        <v>2.4510000000000001E-3</v>
      </c>
      <c r="F13" s="1"/>
      <c r="G13" s="1"/>
      <c r="H13" s="1"/>
      <c r="I13" s="1"/>
      <c r="J13" s="1"/>
      <c r="K13" s="1"/>
      <c r="L13" s="1"/>
      <c r="M13" s="1"/>
      <c r="N13" s="17"/>
    </row>
    <row r="14" spans="2:14" ht="15" customHeight="1" x14ac:dyDescent="0.25">
      <c r="B14" s="19"/>
      <c r="C14" s="5"/>
      <c r="D14" s="6"/>
      <c r="E14" s="11"/>
      <c r="F14" s="1"/>
      <c r="G14" s="1"/>
      <c r="H14" s="1"/>
      <c r="I14" s="1"/>
      <c r="J14" s="1"/>
      <c r="K14" s="1"/>
      <c r="L14" s="1"/>
      <c r="M14" s="1"/>
      <c r="N14" s="17"/>
    </row>
    <row r="15" spans="2:14" ht="15.75" customHeight="1" x14ac:dyDescent="0.25">
      <c r="B15" s="19"/>
      <c r="C15" s="7" t="s">
        <v>10</v>
      </c>
      <c r="D15" s="8"/>
      <c r="E15" s="12">
        <v>2.4399999999999999E-3</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 customHeight="1" x14ac:dyDescent="0.25">
      <c r="B17" s="19"/>
      <c r="C17" s="9" t="s">
        <v>11</v>
      </c>
      <c r="D17" s="10"/>
      <c r="E17" s="13">
        <v>1</v>
      </c>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4" t="s">
        <v>17</v>
      </c>
      <c r="H26" s="35"/>
      <c r="I26" s="35"/>
      <c r="J26" s="35"/>
      <c r="K26" s="35"/>
      <c r="L26" s="35"/>
      <c r="M26" s="35"/>
      <c r="N26" s="3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sheetData>
  <mergeCells count="3">
    <mergeCell ref="C3:N3"/>
    <mergeCell ref="G7:N7"/>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0"/>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71</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28</v>
      </c>
      <c r="D8" s="6" t="s">
        <v>26</v>
      </c>
      <c r="E8" s="11">
        <v>3.0698E-2</v>
      </c>
      <c r="F8" s="1"/>
      <c r="G8" s="23" t="s">
        <v>15</v>
      </c>
      <c r="H8" s="24">
        <v>1</v>
      </c>
      <c r="I8" s="1"/>
      <c r="J8" s="23" t="s">
        <v>12</v>
      </c>
      <c r="K8" s="23" t="s">
        <v>3</v>
      </c>
      <c r="L8" s="1"/>
      <c r="M8" s="1"/>
      <c r="N8" s="17"/>
    </row>
    <row r="9" spans="2:14" ht="15" customHeight="1" x14ac:dyDescent="0.25">
      <c r="B9" s="19"/>
      <c r="C9" s="5" t="s">
        <v>23</v>
      </c>
      <c r="D9" s="6" t="s">
        <v>26</v>
      </c>
      <c r="E9" s="11">
        <v>2.0157000000000001E-2</v>
      </c>
      <c r="F9" s="1"/>
      <c r="G9" s="1"/>
      <c r="H9" s="1"/>
      <c r="I9" s="1"/>
      <c r="J9" s="23" t="s">
        <v>10</v>
      </c>
      <c r="K9" s="25">
        <v>-7.404E-3</v>
      </c>
      <c r="L9" s="1"/>
      <c r="M9" s="1"/>
      <c r="N9" s="17"/>
    </row>
    <row r="10" spans="2:14" ht="15" customHeight="1" x14ac:dyDescent="0.25">
      <c r="B10" s="19"/>
      <c r="C10" s="5" t="s">
        <v>29</v>
      </c>
      <c r="D10" s="6" t="s">
        <v>26</v>
      </c>
      <c r="E10" s="11">
        <v>6.4050000000000001E-3</v>
      </c>
      <c r="F10" s="1"/>
      <c r="G10" s="1"/>
      <c r="H10" s="1"/>
      <c r="I10" s="1"/>
      <c r="J10" s="23" t="s">
        <v>13</v>
      </c>
      <c r="K10" s="25">
        <v>5.3280000000000001E-2</v>
      </c>
      <c r="L10" s="1"/>
      <c r="M10" s="1"/>
      <c r="N10" s="17"/>
    </row>
    <row r="11" spans="2:14" ht="15" customHeight="1" x14ac:dyDescent="0.25">
      <c r="B11" s="19"/>
      <c r="C11" s="5" t="s">
        <v>25</v>
      </c>
      <c r="D11" s="6" t="s">
        <v>26</v>
      </c>
      <c r="E11" s="11">
        <v>2.6200000000000003E-4</v>
      </c>
      <c r="F11" s="1"/>
      <c r="G11" s="1"/>
      <c r="H11" s="1"/>
      <c r="I11" s="1"/>
      <c r="J11" s="23" t="s">
        <v>61</v>
      </c>
      <c r="K11" s="25">
        <v>5.7779999999999998E-2</v>
      </c>
      <c r="L11" s="1"/>
      <c r="M11" s="1"/>
      <c r="N11" s="17"/>
    </row>
    <row r="12" spans="2:14" ht="15" customHeight="1" x14ac:dyDescent="0.25">
      <c r="B12" s="19"/>
      <c r="C12" s="5" t="s">
        <v>35</v>
      </c>
      <c r="D12" s="6" t="s">
        <v>26</v>
      </c>
      <c r="E12" s="11">
        <v>2.5799999999999998E-4</v>
      </c>
      <c r="F12" s="1"/>
      <c r="G12" s="1"/>
      <c r="H12" s="1"/>
      <c r="I12" s="1"/>
      <c r="J12" s="23" t="s">
        <v>64</v>
      </c>
      <c r="K12" s="25">
        <v>0.87970400000000004</v>
      </c>
      <c r="L12" s="1"/>
      <c r="M12" s="1"/>
      <c r="N12" s="17"/>
    </row>
    <row r="13" spans="2:14" ht="15.75" customHeight="1" x14ac:dyDescent="0.25">
      <c r="B13" s="19"/>
      <c r="C13" s="7" t="s">
        <v>46</v>
      </c>
      <c r="D13" s="8"/>
      <c r="E13" s="12">
        <v>5.7779999999999998E-2</v>
      </c>
      <c r="F13" s="1"/>
      <c r="G13" s="1"/>
      <c r="H13" s="1"/>
      <c r="I13" s="1"/>
      <c r="J13" s="23" t="s">
        <v>79</v>
      </c>
      <c r="K13" s="25">
        <v>7.9139999999999992E-3</v>
      </c>
      <c r="L13" s="1"/>
      <c r="M13" s="1"/>
      <c r="N13" s="17"/>
    </row>
    <row r="14" spans="2:14" ht="15" customHeight="1" x14ac:dyDescent="0.25">
      <c r="B14" s="19"/>
      <c r="C14" s="5" t="s">
        <v>68</v>
      </c>
      <c r="D14" s="6" t="s">
        <v>50</v>
      </c>
      <c r="E14" s="11">
        <v>0.87858099999999995</v>
      </c>
      <c r="F14" s="1"/>
      <c r="G14" s="1"/>
      <c r="H14" s="1"/>
      <c r="I14" s="1"/>
      <c r="J14" s="23" t="s">
        <v>65</v>
      </c>
      <c r="K14" s="25">
        <v>8.6990000000000001E-3</v>
      </c>
      <c r="L14" s="1"/>
      <c r="M14" s="1"/>
      <c r="N14" s="17"/>
    </row>
    <row r="15" spans="2:14" ht="15" customHeight="1" x14ac:dyDescent="0.25">
      <c r="B15" s="19"/>
      <c r="C15" s="5" t="s">
        <v>72</v>
      </c>
      <c r="D15" s="6" t="s">
        <v>50</v>
      </c>
      <c r="E15" s="11">
        <v>1.041E-3</v>
      </c>
      <c r="F15" s="1"/>
      <c r="G15" s="1"/>
      <c r="H15" s="1"/>
      <c r="I15" s="1"/>
      <c r="J15" s="23" t="s">
        <v>80</v>
      </c>
      <c r="K15" s="25">
        <v>2.6999999999999999E-5</v>
      </c>
      <c r="L15" s="1"/>
      <c r="M15" s="1"/>
      <c r="N15" s="17"/>
    </row>
    <row r="16" spans="2:14" ht="15" customHeight="1" x14ac:dyDescent="0.25">
      <c r="B16" s="19"/>
      <c r="C16" s="5" t="s">
        <v>73</v>
      </c>
      <c r="D16" s="6" t="s">
        <v>50</v>
      </c>
      <c r="E16" s="11">
        <v>5.1999999999999997E-5</v>
      </c>
      <c r="F16" s="1"/>
      <c r="G16" s="1"/>
      <c r="H16" s="1"/>
      <c r="I16" s="1"/>
      <c r="J16" s="1"/>
      <c r="K16" s="1"/>
      <c r="L16" s="1"/>
      <c r="M16" s="1"/>
      <c r="N16" s="17"/>
    </row>
    <row r="17" spans="2:14" ht="15" customHeight="1" x14ac:dyDescent="0.25">
      <c r="B17" s="19"/>
      <c r="C17" s="5" t="s">
        <v>74</v>
      </c>
      <c r="D17" s="6" t="s">
        <v>50</v>
      </c>
      <c r="E17" s="28">
        <v>3.0000000000000001E-5</v>
      </c>
      <c r="F17" s="1"/>
      <c r="G17" s="1"/>
      <c r="H17" s="1"/>
      <c r="I17" s="1"/>
      <c r="J17" s="1"/>
      <c r="K17" s="1"/>
      <c r="L17" s="1"/>
      <c r="M17" s="1"/>
      <c r="N17" s="17"/>
    </row>
    <row r="18" spans="2:14" ht="15.75" customHeight="1" x14ac:dyDescent="0.25">
      <c r="B18" s="19"/>
      <c r="C18" s="7" t="s">
        <v>57</v>
      </c>
      <c r="D18" s="8"/>
      <c r="E18" s="12">
        <v>0.87970400000000004</v>
      </c>
      <c r="F18" s="1"/>
      <c r="G18" s="1"/>
      <c r="H18" s="1"/>
      <c r="I18" s="1"/>
      <c r="J18" s="1"/>
      <c r="K18" s="1"/>
      <c r="L18" s="1"/>
      <c r="M18" s="1"/>
      <c r="N18" s="17"/>
    </row>
    <row r="19" spans="2:14" ht="15" customHeight="1" x14ac:dyDescent="0.25">
      <c r="B19" s="19"/>
      <c r="C19" s="5" t="s">
        <v>196</v>
      </c>
      <c r="D19" s="6" t="s">
        <v>75</v>
      </c>
      <c r="E19" s="11">
        <v>7.9139999999999992E-3</v>
      </c>
      <c r="F19" s="1"/>
      <c r="G19" s="1"/>
      <c r="H19" s="1"/>
      <c r="I19" s="1"/>
      <c r="J19" s="1"/>
      <c r="K19" s="1"/>
      <c r="L19" s="1"/>
      <c r="M19" s="1"/>
      <c r="N19" s="17"/>
    </row>
    <row r="20" spans="2:14" ht="15.75" customHeight="1" x14ac:dyDescent="0.25">
      <c r="B20" s="19"/>
      <c r="C20" s="7" t="s">
        <v>76</v>
      </c>
      <c r="D20" s="8"/>
      <c r="E20" s="12">
        <v>7.9139999999999992E-3</v>
      </c>
      <c r="F20" s="1"/>
      <c r="G20" s="1"/>
      <c r="H20" s="1"/>
      <c r="I20" s="1"/>
      <c r="J20" s="1"/>
      <c r="K20" s="1"/>
      <c r="L20" s="1"/>
      <c r="M20" s="1"/>
      <c r="N20" s="17"/>
    </row>
    <row r="21" spans="2:14" ht="15" customHeight="1" x14ac:dyDescent="0.25">
      <c r="B21" s="19"/>
      <c r="C21" s="5" t="s">
        <v>158</v>
      </c>
      <c r="D21" s="6" t="s">
        <v>50</v>
      </c>
      <c r="E21" s="11">
        <v>4.078E-3</v>
      </c>
      <c r="F21" s="1"/>
      <c r="G21" s="1"/>
      <c r="H21" s="1"/>
      <c r="I21" s="1"/>
      <c r="J21" s="1"/>
      <c r="K21" s="1"/>
      <c r="L21" s="1"/>
      <c r="M21" s="1"/>
      <c r="N21" s="17"/>
    </row>
    <row r="22" spans="2:14" ht="15.75" customHeight="1" x14ac:dyDescent="0.25">
      <c r="B22" s="19"/>
      <c r="C22" s="5" t="s">
        <v>157</v>
      </c>
      <c r="D22" s="6" t="s">
        <v>50</v>
      </c>
      <c r="E22" s="11">
        <v>4.0769999999999999E-3</v>
      </c>
      <c r="F22" s="1"/>
      <c r="G22" s="1"/>
      <c r="H22" s="1"/>
      <c r="I22" s="1"/>
      <c r="J22" s="1"/>
      <c r="K22" s="1"/>
      <c r="L22" s="1"/>
      <c r="M22" s="1"/>
      <c r="N22" s="17"/>
    </row>
    <row r="23" spans="2:14" ht="15" customHeight="1" x14ac:dyDescent="0.25">
      <c r="B23" s="19"/>
      <c r="C23" s="5" t="s">
        <v>159</v>
      </c>
      <c r="D23" s="6" t="s">
        <v>50</v>
      </c>
      <c r="E23" s="11">
        <v>5.3700000000000004E-4</v>
      </c>
      <c r="F23" s="1"/>
      <c r="G23" s="1"/>
      <c r="H23" s="1"/>
      <c r="I23" s="1"/>
      <c r="J23" s="1"/>
      <c r="K23" s="1"/>
      <c r="L23" s="1"/>
      <c r="M23" s="1"/>
      <c r="N23" s="17"/>
    </row>
    <row r="24" spans="2:14" ht="15.75" customHeight="1" x14ac:dyDescent="0.25">
      <c r="B24" s="19"/>
      <c r="C24" s="5" t="s">
        <v>156</v>
      </c>
      <c r="D24" s="6" t="s">
        <v>50</v>
      </c>
      <c r="E24" s="28">
        <v>6.0000000000000002E-6</v>
      </c>
      <c r="F24" s="1"/>
      <c r="G24" s="1"/>
      <c r="H24" s="1"/>
      <c r="I24" s="1"/>
      <c r="J24" s="1"/>
      <c r="K24" s="1"/>
      <c r="L24" s="1"/>
      <c r="M24" s="1"/>
      <c r="N24" s="17"/>
    </row>
    <row r="25" spans="2:14" ht="15" customHeight="1" x14ac:dyDescent="0.25">
      <c r="B25" s="19"/>
      <c r="C25" s="5" t="s">
        <v>160</v>
      </c>
      <c r="D25" s="6" t="s">
        <v>50</v>
      </c>
      <c r="E25" s="29">
        <v>9.9999999999999995E-7</v>
      </c>
      <c r="F25" s="1"/>
      <c r="G25" s="1"/>
      <c r="H25" s="1"/>
      <c r="I25" s="1"/>
      <c r="J25" s="1"/>
      <c r="K25" s="1"/>
      <c r="L25" s="1"/>
      <c r="M25" s="1"/>
      <c r="N25" s="17"/>
    </row>
    <row r="26" spans="2:14" ht="15.75" customHeight="1" x14ac:dyDescent="0.25">
      <c r="B26" s="19"/>
      <c r="C26" s="7" t="s">
        <v>58</v>
      </c>
      <c r="D26" s="8"/>
      <c r="E26" s="12">
        <v>8.6990000000000001E-3</v>
      </c>
      <c r="F26" s="1"/>
      <c r="G26" s="34" t="s">
        <v>17</v>
      </c>
      <c r="H26" s="35"/>
      <c r="I26" s="35"/>
      <c r="J26" s="35"/>
      <c r="K26" s="35"/>
      <c r="L26" s="35"/>
      <c r="M26" s="35"/>
      <c r="N26" s="36"/>
    </row>
    <row r="27" spans="2:14" ht="15" customHeight="1" x14ac:dyDescent="0.25">
      <c r="B27" s="19"/>
      <c r="C27" s="5" t="s">
        <v>77</v>
      </c>
      <c r="D27" s="6" t="s">
        <v>50</v>
      </c>
      <c r="E27" s="11">
        <v>2.6999999999999999E-5</v>
      </c>
      <c r="F27" s="1"/>
      <c r="G27" s="1"/>
      <c r="H27" s="1"/>
      <c r="I27" s="1"/>
      <c r="J27" s="1"/>
      <c r="K27" s="1"/>
      <c r="L27" s="1"/>
      <c r="M27" s="1"/>
      <c r="N27" s="17"/>
    </row>
    <row r="28" spans="2:14" ht="15.75" customHeight="1" x14ac:dyDescent="0.25">
      <c r="B28" s="19"/>
      <c r="C28" s="7" t="s">
        <v>78</v>
      </c>
      <c r="D28" s="8"/>
      <c r="E28" s="12">
        <v>2.6999999999999999E-5</v>
      </c>
      <c r="F28" s="1"/>
      <c r="G28" s="1"/>
      <c r="H28" s="1"/>
      <c r="I28" s="1"/>
      <c r="J28" s="1"/>
      <c r="K28" s="1"/>
      <c r="L28" s="1"/>
      <c r="M28" s="1"/>
      <c r="N28" s="17"/>
    </row>
    <row r="29" spans="2:14" ht="15" customHeight="1" x14ac:dyDescent="0.25">
      <c r="B29" s="19"/>
      <c r="C29" s="5" t="s">
        <v>8</v>
      </c>
      <c r="D29" s="6"/>
      <c r="E29" s="11">
        <v>5.3280000000000001E-2</v>
      </c>
      <c r="F29" s="1"/>
      <c r="G29" s="1"/>
      <c r="H29" s="1"/>
      <c r="I29" s="1"/>
      <c r="J29" s="1"/>
      <c r="K29" s="1"/>
      <c r="L29" s="1"/>
      <c r="M29" s="1"/>
      <c r="N29" s="17"/>
    </row>
    <row r="30" spans="2:14" ht="15" customHeight="1" x14ac:dyDescent="0.25">
      <c r="B30" s="19"/>
      <c r="C30" s="7" t="s">
        <v>9</v>
      </c>
      <c r="D30" s="8"/>
      <c r="E30" s="12">
        <v>5.3280000000000001E-2</v>
      </c>
      <c r="F30" s="1"/>
      <c r="G30" s="1"/>
      <c r="H30" s="1"/>
      <c r="I30" s="1"/>
      <c r="J30" s="1"/>
      <c r="K30" s="1"/>
      <c r="L30" s="1"/>
      <c r="M30" s="1"/>
      <c r="N30" s="17"/>
    </row>
    <row r="31" spans="2:14" ht="15" customHeight="1" x14ac:dyDescent="0.25">
      <c r="B31" s="19"/>
      <c r="C31" s="5"/>
      <c r="D31" s="6"/>
      <c r="E31" s="11"/>
      <c r="F31" s="1"/>
      <c r="G31" s="1"/>
      <c r="H31" s="1"/>
      <c r="I31" s="1"/>
      <c r="J31" s="1"/>
      <c r="K31" s="1"/>
      <c r="L31" s="1"/>
      <c r="M31" s="1"/>
      <c r="N31" s="17"/>
    </row>
    <row r="32" spans="2:14" ht="15" customHeight="1" x14ac:dyDescent="0.25">
      <c r="B32" s="19"/>
      <c r="C32" s="7" t="s">
        <v>10</v>
      </c>
      <c r="D32" s="8"/>
      <c r="E32" s="12">
        <v>-7.404E-3</v>
      </c>
      <c r="F32" s="1"/>
      <c r="G32" s="1"/>
      <c r="H32" s="1"/>
      <c r="I32" s="1"/>
      <c r="J32" s="1"/>
      <c r="K32" s="1"/>
      <c r="L32" s="1"/>
      <c r="M32" s="1"/>
      <c r="N32" s="17"/>
    </row>
    <row r="33" spans="2:14" ht="15" customHeight="1" x14ac:dyDescent="0.25">
      <c r="B33" s="19"/>
      <c r="C33" s="5"/>
      <c r="D33" s="6"/>
      <c r="E33" s="11"/>
      <c r="F33" s="1"/>
      <c r="G33" s="1"/>
      <c r="H33" s="1"/>
      <c r="I33" s="1"/>
      <c r="J33" s="1"/>
      <c r="K33" s="1"/>
      <c r="L33" s="1"/>
      <c r="M33" s="1"/>
      <c r="N33" s="17"/>
    </row>
    <row r="34" spans="2:14" ht="15" customHeight="1" x14ac:dyDescent="0.25">
      <c r="B34" s="19"/>
      <c r="C34" s="9" t="s">
        <v>11</v>
      </c>
      <c r="D34" s="10"/>
      <c r="E34" s="13">
        <v>1</v>
      </c>
      <c r="F34" s="1"/>
      <c r="G34" s="1"/>
      <c r="H34" s="1"/>
      <c r="I34" s="1"/>
      <c r="J34" s="1"/>
      <c r="K34" s="1"/>
      <c r="L34" s="1"/>
      <c r="M34" s="1"/>
      <c r="N34" s="17"/>
    </row>
    <row r="35" spans="2:14" ht="15" customHeight="1" x14ac:dyDescent="0.25">
      <c r="B35" s="19"/>
      <c r="F35" s="1"/>
      <c r="G35" s="1"/>
      <c r="H35" s="1"/>
      <c r="I35" s="1"/>
      <c r="J35" s="1"/>
      <c r="K35" s="1"/>
      <c r="L35" s="1"/>
      <c r="M35" s="1"/>
      <c r="N35" s="17"/>
    </row>
    <row r="36" spans="2:14" ht="15" customHeight="1" x14ac:dyDescent="0.25">
      <c r="B36" s="19"/>
      <c r="C36" s="1" t="s">
        <v>195</v>
      </c>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x14ac:dyDescent="0.25"/>
    <row r="45" spans="2:14" ht="15" customHeight="1" x14ac:dyDescent="0.25"/>
    <row r="46" spans="2:14" ht="15" customHeight="1" x14ac:dyDescent="0.25"/>
    <row r="47" spans="2:14" ht="15" customHeight="1" x14ac:dyDescent="0.25"/>
    <row r="48" spans="2:14" ht="15" customHeight="1" x14ac:dyDescent="0.25"/>
    <row r="49" ht="15" customHeight="1" x14ac:dyDescent="0.25"/>
    <row r="50" ht="15" customHeight="1" x14ac:dyDescent="0.25"/>
  </sheetData>
  <sortState ref="C21:E25">
    <sortCondition descending="1" ref="E21"/>
  </sortState>
  <mergeCells count="3">
    <mergeCell ref="C3:N3"/>
    <mergeCell ref="G7:N7"/>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4"/>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81</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82</v>
      </c>
      <c r="D8" s="6" t="s">
        <v>20</v>
      </c>
      <c r="E8" s="11">
        <v>3.8790000000000001E-3</v>
      </c>
      <c r="F8" s="1"/>
      <c r="G8" s="23" t="s">
        <v>15</v>
      </c>
      <c r="H8" s="24">
        <v>1</v>
      </c>
      <c r="I8" s="1"/>
      <c r="J8" s="23" t="s">
        <v>12</v>
      </c>
      <c r="K8" s="23" t="s">
        <v>3</v>
      </c>
      <c r="L8" s="1"/>
      <c r="M8" s="1"/>
      <c r="N8" s="17"/>
    </row>
    <row r="9" spans="2:14" ht="15.75" customHeight="1" x14ac:dyDescent="0.25">
      <c r="B9" s="19"/>
      <c r="C9" s="7" t="s">
        <v>24</v>
      </c>
      <c r="D9" s="8"/>
      <c r="E9" s="12">
        <v>3.8790000000000001E-3</v>
      </c>
      <c r="F9" s="1"/>
      <c r="G9" s="1"/>
      <c r="H9" s="1"/>
      <c r="I9" s="1"/>
      <c r="J9" s="23" t="s">
        <v>10</v>
      </c>
      <c r="K9" s="25">
        <v>2.1201000000000001E-2</v>
      </c>
      <c r="L9" s="1"/>
      <c r="M9" s="1"/>
      <c r="N9" s="17"/>
    </row>
    <row r="10" spans="2:14" ht="15" customHeight="1" x14ac:dyDescent="0.25">
      <c r="B10" s="19"/>
      <c r="C10" s="5" t="s">
        <v>23</v>
      </c>
      <c r="D10" s="6" t="s">
        <v>26</v>
      </c>
      <c r="E10" s="11">
        <v>9.5487000000000002E-2</v>
      </c>
      <c r="F10" s="1"/>
      <c r="G10" s="1"/>
      <c r="H10" s="1"/>
      <c r="I10" s="1"/>
      <c r="J10" s="23" t="s">
        <v>13</v>
      </c>
      <c r="K10" s="25">
        <v>7.1330000000000005E-2</v>
      </c>
      <c r="L10" s="1"/>
      <c r="M10" s="1"/>
      <c r="N10" s="17"/>
    </row>
    <row r="11" spans="2:14" ht="15" customHeight="1" x14ac:dyDescent="0.25">
      <c r="B11" s="19"/>
      <c r="C11" s="5" t="s">
        <v>25</v>
      </c>
      <c r="D11" s="6" t="s">
        <v>26</v>
      </c>
      <c r="E11" s="11">
        <v>8.8546E-2</v>
      </c>
      <c r="F11" s="1"/>
      <c r="G11" s="1"/>
      <c r="H11" s="1"/>
      <c r="I11" s="1"/>
      <c r="J11" s="23" t="s">
        <v>61</v>
      </c>
      <c r="K11" s="25">
        <v>0.49644300000000002</v>
      </c>
      <c r="L11" s="1"/>
      <c r="M11" s="1"/>
      <c r="N11" s="17"/>
    </row>
    <row r="12" spans="2:14" ht="15" customHeight="1" x14ac:dyDescent="0.25">
      <c r="B12" s="19"/>
      <c r="C12" s="5" t="s">
        <v>35</v>
      </c>
      <c r="D12" s="6" t="s">
        <v>26</v>
      </c>
      <c r="E12" s="11">
        <v>5.9910999999999999E-2</v>
      </c>
      <c r="F12" s="1"/>
      <c r="G12" s="1"/>
      <c r="H12" s="1"/>
      <c r="I12" s="1"/>
      <c r="J12" s="23" t="s">
        <v>62</v>
      </c>
      <c r="K12" s="25">
        <v>3.8790000000000001E-3</v>
      </c>
      <c r="L12" s="1"/>
      <c r="M12" s="1"/>
      <c r="N12" s="17"/>
    </row>
    <row r="13" spans="2:14" ht="15" customHeight="1" x14ac:dyDescent="0.25">
      <c r="B13" s="19"/>
      <c r="C13" s="5" t="s">
        <v>28</v>
      </c>
      <c r="D13" s="6" t="s">
        <v>26</v>
      </c>
      <c r="E13" s="11">
        <v>4.2931999999999998E-2</v>
      </c>
      <c r="F13" s="1"/>
      <c r="G13" s="1"/>
      <c r="H13" s="1"/>
      <c r="I13" s="1"/>
      <c r="J13" s="23" t="s">
        <v>64</v>
      </c>
      <c r="K13" s="25">
        <v>0.40176200000000001</v>
      </c>
      <c r="L13" s="1"/>
      <c r="M13" s="1"/>
      <c r="N13" s="17"/>
    </row>
    <row r="14" spans="2:14" ht="15" customHeight="1" x14ac:dyDescent="0.25">
      <c r="B14" s="19"/>
      <c r="C14" s="5" t="s">
        <v>33</v>
      </c>
      <c r="D14" s="6" t="s">
        <v>26</v>
      </c>
      <c r="E14" s="11">
        <v>3.5897999999999999E-2</v>
      </c>
      <c r="F14" s="1"/>
      <c r="G14" s="1"/>
      <c r="H14" s="1"/>
      <c r="I14" s="1"/>
      <c r="J14" s="23" t="s">
        <v>79</v>
      </c>
      <c r="K14" s="25">
        <v>5.2810000000000001E-3</v>
      </c>
      <c r="L14" s="1"/>
      <c r="M14" s="1"/>
      <c r="N14" s="17"/>
    </row>
    <row r="15" spans="2:14" ht="15" customHeight="1" x14ac:dyDescent="0.25">
      <c r="B15" s="19"/>
      <c r="C15" s="5" t="s">
        <v>38</v>
      </c>
      <c r="D15" s="6" t="s">
        <v>26</v>
      </c>
      <c r="E15" s="11">
        <v>3.3146000000000002E-2</v>
      </c>
      <c r="F15" s="1"/>
      <c r="G15" s="1"/>
      <c r="H15" s="1"/>
      <c r="I15" s="1"/>
      <c r="J15" s="23" t="s">
        <v>80</v>
      </c>
      <c r="K15" s="25">
        <v>1.0399999999999999E-4</v>
      </c>
      <c r="L15" s="1"/>
      <c r="M15" s="1"/>
      <c r="N15" s="17"/>
    </row>
    <row r="16" spans="2:14" ht="15" customHeight="1" x14ac:dyDescent="0.25">
      <c r="B16" s="19"/>
      <c r="C16" s="5" t="s">
        <v>27</v>
      </c>
      <c r="D16" s="6" t="s">
        <v>26</v>
      </c>
      <c r="E16" s="11">
        <v>2.4395E-2</v>
      </c>
      <c r="F16" s="1"/>
      <c r="G16" s="1"/>
      <c r="H16" s="1"/>
      <c r="I16" s="1"/>
      <c r="J16" s="1"/>
      <c r="K16" s="1"/>
      <c r="L16" s="1"/>
      <c r="M16" s="1"/>
      <c r="N16" s="17"/>
    </row>
    <row r="17" spans="2:14" ht="15" customHeight="1" x14ac:dyDescent="0.25">
      <c r="B17" s="19"/>
      <c r="C17" s="5" t="s">
        <v>42</v>
      </c>
      <c r="D17" s="6" t="s">
        <v>26</v>
      </c>
      <c r="E17" s="11">
        <v>2.2915999999999999E-2</v>
      </c>
      <c r="F17" s="1"/>
      <c r="G17" s="1"/>
      <c r="H17" s="1"/>
      <c r="I17" s="1"/>
      <c r="J17" s="1"/>
      <c r="K17" s="1"/>
      <c r="L17" s="1"/>
      <c r="M17" s="1"/>
      <c r="N17" s="17"/>
    </row>
    <row r="18" spans="2:14" ht="15" customHeight="1" x14ac:dyDescent="0.25">
      <c r="B18" s="19"/>
      <c r="C18" s="5" t="s">
        <v>36</v>
      </c>
      <c r="D18" s="6" t="s">
        <v>26</v>
      </c>
      <c r="E18" s="11">
        <v>2.2391999999999999E-2</v>
      </c>
      <c r="F18" s="1"/>
      <c r="G18" s="1"/>
      <c r="H18" s="1"/>
      <c r="I18" s="1"/>
      <c r="J18" s="1"/>
      <c r="K18" s="1"/>
      <c r="L18" s="1"/>
      <c r="M18" s="1"/>
      <c r="N18" s="17"/>
    </row>
    <row r="19" spans="2:14" ht="15" customHeight="1" x14ac:dyDescent="0.25">
      <c r="B19" s="19"/>
      <c r="C19" s="5" t="s">
        <v>29</v>
      </c>
      <c r="D19" s="6" t="s">
        <v>26</v>
      </c>
      <c r="E19" s="11">
        <v>2.0115999999999998E-2</v>
      </c>
      <c r="F19" s="1"/>
      <c r="G19" s="1"/>
      <c r="H19" s="1"/>
      <c r="I19" s="1"/>
      <c r="J19" s="1"/>
      <c r="K19" s="1"/>
      <c r="L19" s="1"/>
      <c r="M19" s="1"/>
      <c r="N19" s="17"/>
    </row>
    <row r="20" spans="2:14" ht="15" customHeight="1" x14ac:dyDescent="0.25">
      <c r="B20" s="19"/>
      <c r="C20" s="5" t="s">
        <v>39</v>
      </c>
      <c r="D20" s="6" t="s">
        <v>26</v>
      </c>
      <c r="E20" s="11">
        <v>1.8953999999999999E-2</v>
      </c>
      <c r="F20" s="1"/>
      <c r="G20" s="1"/>
      <c r="H20" s="1"/>
      <c r="I20" s="1"/>
      <c r="J20" s="1"/>
      <c r="K20" s="1"/>
      <c r="L20" s="1"/>
      <c r="M20" s="1"/>
      <c r="N20" s="17"/>
    </row>
    <row r="21" spans="2:14" ht="15" customHeight="1" x14ac:dyDescent="0.25">
      <c r="B21" s="19"/>
      <c r="C21" s="5" t="s">
        <v>32</v>
      </c>
      <c r="D21" s="6" t="s">
        <v>26</v>
      </c>
      <c r="E21" s="11">
        <v>1.1986999999999999E-2</v>
      </c>
      <c r="F21" s="1"/>
      <c r="G21" s="1"/>
      <c r="H21" s="1"/>
      <c r="I21" s="1"/>
      <c r="J21" s="1"/>
      <c r="K21" s="1"/>
      <c r="L21" s="1"/>
      <c r="M21" s="1"/>
      <c r="N21" s="17"/>
    </row>
    <row r="22" spans="2:14" ht="15" customHeight="1" x14ac:dyDescent="0.25">
      <c r="B22" s="19"/>
      <c r="C22" s="5" t="s">
        <v>31</v>
      </c>
      <c r="D22" s="6" t="s">
        <v>26</v>
      </c>
      <c r="E22" s="11">
        <v>8.5550000000000001E-3</v>
      </c>
      <c r="F22" s="1"/>
      <c r="G22" s="1"/>
      <c r="H22" s="1"/>
      <c r="I22" s="1"/>
      <c r="J22" s="1"/>
      <c r="K22" s="1"/>
      <c r="L22" s="1"/>
      <c r="M22" s="1"/>
      <c r="N22" s="17"/>
    </row>
    <row r="23" spans="2:14" ht="15" customHeight="1" x14ac:dyDescent="0.25">
      <c r="B23" s="19"/>
      <c r="C23" s="5" t="s">
        <v>40</v>
      </c>
      <c r="D23" s="6" t="s">
        <v>26</v>
      </c>
      <c r="E23" s="11">
        <v>6.8519999999999996E-3</v>
      </c>
      <c r="F23" s="1"/>
      <c r="G23" s="1"/>
      <c r="H23" s="1"/>
      <c r="I23" s="1"/>
      <c r="J23" s="1"/>
      <c r="K23" s="1"/>
      <c r="L23" s="1"/>
      <c r="M23" s="1"/>
      <c r="N23" s="17"/>
    </row>
    <row r="24" spans="2:14" ht="15" customHeight="1" x14ac:dyDescent="0.25">
      <c r="B24" s="19"/>
      <c r="C24" s="5" t="s">
        <v>83</v>
      </c>
      <c r="D24" s="6" t="s">
        <v>26</v>
      </c>
      <c r="E24" s="11">
        <v>3.9459999999999999E-3</v>
      </c>
      <c r="F24" s="1"/>
      <c r="G24" s="1"/>
      <c r="H24" s="1"/>
      <c r="I24" s="1"/>
      <c r="J24" s="1"/>
      <c r="K24" s="1"/>
      <c r="L24" s="1"/>
      <c r="M24" s="1"/>
      <c r="N24" s="17"/>
    </row>
    <row r="25" spans="2:14" ht="15" customHeight="1" x14ac:dyDescent="0.25">
      <c r="B25" s="19"/>
      <c r="C25" s="5" t="s">
        <v>21</v>
      </c>
      <c r="D25" s="6" t="s">
        <v>26</v>
      </c>
      <c r="E25" s="11">
        <v>4.0999999999999999E-4</v>
      </c>
      <c r="F25" s="1"/>
      <c r="G25" s="1"/>
      <c r="H25" s="1"/>
      <c r="I25" s="1"/>
      <c r="J25" s="1"/>
      <c r="K25" s="1"/>
      <c r="L25" s="1"/>
      <c r="M25" s="1"/>
      <c r="N25" s="17"/>
    </row>
    <row r="26" spans="2:14" ht="15.75" customHeight="1" x14ac:dyDescent="0.25">
      <c r="B26" s="19"/>
      <c r="C26" s="7" t="s">
        <v>46</v>
      </c>
      <c r="D26" s="8"/>
      <c r="E26" s="12">
        <v>0.49644300000000002</v>
      </c>
      <c r="F26" s="1"/>
      <c r="G26" s="34" t="s">
        <v>17</v>
      </c>
      <c r="H26" s="35"/>
      <c r="I26" s="35"/>
      <c r="J26" s="35"/>
      <c r="K26" s="35"/>
      <c r="L26" s="35"/>
      <c r="M26" s="35"/>
      <c r="N26" s="36"/>
    </row>
    <row r="27" spans="2:14" ht="15" customHeight="1" x14ac:dyDescent="0.25">
      <c r="B27" s="19"/>
      <c r="C27" s="5" t="s">
        <v>68</v>
      </c>
      <c r="D27" s="6" t="s">
        <v>50</v>
      </c>
      <c r="E27" s="11">
        <v>0.40131600000000001</v>
      </c>
      <c r="F27" s="1"/>
      <c r="G27" s="1"/>
      <c r="H27" s="1"/>
      <c r="I27" s="1"/>
      <c r="J27" s="1"/>
      <c r="K27" s="1"/>
      <c r="L27" s="1"/>
      <c r="M27" s="1"/>
      <c r="N27" s="17"/>
    </row>
    <row r="28" spans="2:14" ht="15" customHeight="1" x14ac:dyDescent="0.25">
      <c r="B28" s="19"/>
      <c r="C28" s="5" t="s">
        <v>84</v>
      </c>
      <c r="D28" s="6" t="s">
        <v>50</v>
      </c>
      <c r="E28" s="11">
        <v>2.0799999999999999E-4</v>
      </c>
      <c r="F28" s="1"/>
      <c r="G28" s="1"/>
      <c r="H28" s="1"/>
      <c r="I28" s="1"/>
      <c r="J28" s="1"/>
      <c r="K28" s="1"/>
      <c r="L28" s="1"/>
      <c r="M28" s="1"/>
      <c r="N28" s="17"/>
    </row>
    <row r="29" spans="2:14" ht="15" customHeight="1" x14ac:dyDescent="0.25">
      <c r="B29" s="19"/>
      <c r="C29" s="5" t="s">
        <v>73</v>
      </c>
      <c r="D29" s="6" t="s">
        <v>50</v>
      </c>
      <c r="E29" s="11">
        <v>1.5100000000000001E-4</v>
      </c>
      <c r="F29" s="1"/>
      <c r="G29" s="1"/>
      <c r="H29" s="1"/>
      <c r="I29" s="1"/>
      <c r="J29" s="1"/>
      <c r="K29" s="1"/>
      <c r="L29" s="1"/>
      <c r="M29" s="1"/>
      <c r="N29" s="17"/>
    </row>
    <row r="30" spans="2:14" ht="15" customHeight="1" x14ac:dyDescent="0.25">
      <c r="B30" s="19"/>
      <c r="C30" s="5" t="s">
        <v>74</v>
      </c>
      <c r="D30" s="6" t="s">
        <v>50</v>
      </c>
      <c r="E30" s="11">
        <v>8.7000000000000001E-5</v>
      </c>
      <c r="F30" s="1"/>
      <c r="G30" s="1"/>
      <c r="H30" s="1"/>
      <c r="I30" s="1"/>
      <c r="J30" s="1"/>
      <c r="K30" s="1"/>
      <c r="L30" s="1"/>
      <c r="M30" s="1"/>
      <c r="N30" s="17"/>
    </row>
    <row r="31" spans="2:14" ht="15.75" customHeight="1" x14ac:dyDescent="0.25">
      <c r="B31" s="19"/>
      <c r="C31" s="7" t="s">
        <v>57</v>
      </c>
      <c r="D31" s="8"/>
      <c r="E31" s="12">
        <v>0.40176200000000001</v>
      </c>
      <c r="F31" s="1"/>
      <c r="G31" s="1"/>
      <c r="H31" s="1"/>
      <c r="I31" s="1"/>
      <c r="J31" s="1"/>
      <c r="K31" s="1"/>
      <c r="L31" s="1"/>
      <c r="M31" s="1"/>
      <c r="N31" s="17"/>
    </row>
    <row r="32" spans="2:14" ht="15" customHeight="1" x14ac:dyDescent="0.25">
      <c r="B32" s="19"/>
      <c r="C32" s="5" t="s">
        <v>196</v>
      </c>
      <c r="D32" s="6" t="s">
        <v>75</v>
      </c>
      <c r="E32" s="11">
        <v>5.2810000000000001E-3</v>
      </c>
      <c r="F32" s="1"/>
      <c r="G32" s="1"/>
      <c r="H32" s="1"/>
      <c r="I32" s="1"/>
      <c r="J32" s="1"/>
      <c r="K32" s="1"/>
      <c r="L32" s="1"/>
      <c r="M32" s="1"/>
      <c r="N32" s="17"/>
    </row>
    <row r="33" spans="2:14" ht="15.75" customHeight="1" x14ac:dyDescent="0.25">
      <c r="B33" s="19"/>
      <c r="C33" s="7" t="s">
        <v>76</v>
      </c>
      <c r="D33" s="8"/>
      <c r="E33" s="12">
        <v>5.2810000000000001E-3</v>
      </c>
      <c r="F33" s="1"/>
      <c r="G33" s="1"/>
      <c r="H33" s="1"/>
      <c r="I33" s="1"/>
      <c r="J33" s="1"/>
      <c r="K33" s="1"/>
      <c r="L33" s="1"/>
      <c r="M33" s="1"/>
      <c r="N33" s="17"/>
    </row>
    <row r="34" spans="2:14" ht="15" customHeight="1" x14ac:dyDescent="0.25">
      <c r="B34" s="19"/>
      <c r="C34" s="5" t="s">
        <v>77</v>
      </c>
      <c r="D34" s="6" t="s">
        <v>50</v>
      </c>
      <c r="E34" s="11">
        <v>1.0399999999999999E-4</v>
      </c>
      <c r="F34" s="1"/>
      <c r="G34" s="1"/>
      <c r="H34" s="1"/>
      <c r="I34" s="1"/>
      <c r="J34" s="1"/>
      <c r="K34" s="1"/>
      <c r="L34" s="1"/>
      <c r="M34" s="1"/>
      <c r="N34" s="17"/>
    </row>
    <row r="35" spans="2:14" ht="15.75" customHeight="1" x14ac:dyDescent="0.25">
      <c r="B35" s="19"/>
      <c r="C35" s="7" t="s">
        <v>78</v>
      </c>
      <c r="D35" s="8"/>
      <c r="E35" s="12">
        <v>1.0399999999999999E-4</v>
      </c>
      <c r="F35" s="1"/>
      <c r="G35" s="1"/>
      <c r="H35" s="1"/>
      <c r="I35" s="1"/>
      <c r="J35" s="1"/>
      <c r="K35" s="1"/>
      <c r="L35" s="1"/>
      <c r="M35" s="1"/>
      <c r="N35" s="17"/>
    </row>
    <row r="36" spans="2:14" ht="15" customHeight="1" x14ac:dyDescent="0.25">
      <c r="B36" s="19"/>
      <c r="C36" s="5" t="s">
        <v>8</v>
      </c>
      <c r="D36" s="6"/>
      <c r="E36" s="11">
        <v>7.1330000000000005E-2</v>
      </c>
      <c r="F36" s="1"/>
      <c r="G36" s="1"/>
      <c r="H36" s="1"/>
      <c r="I36" s="1"/>
      <c r="J36" s="1"/>
      <c r="K36" s="1"/>
      <c r="L36" s="1"/>
      <c r="M36" s="1"/>
      <c r="N36" s="17"/>
    </row>
    <row r="37" spans="2:14" ht="15.75" customHeight="1" x14ac:dyDescent="0.25">
      <c r="B37" s="19"/>
      <c r="C37" s="7" t="s">
        <v>9</v>
      </c>
      <c r="D37" s="8"/>
      <c r="E37" s="12">
        <v>7.1330000000000005E-2</v>
      </c>
      <c r="F37" s="1"/>
      <c r="G37" s="1"/>
      <c r="H37" s="1"/>
      <c r="I37" s="1"/>
      <c r="J37" s="1"/>
      <c r="K37" s="1"/>
      <c r="L37" s="1"/>
      <c r="M37" s="1"/>
      <c r="N37" s="17"/>
    </row>
    <row r="38" spans="2:14" ht="15" customHeight="1" x14ac:dyDescent="0.25">
      <c r="B38" s="19"/>
      <c r="C38" s="5"/>
      <c r="D38" s="6"/>
      <c r="E38" s="11"/>
      <c r="F38" s="1"/>
      <c r="G38" s="1"/>
      <c r="H38" s="1"/>
      <c r="I38" s="1"/>
      <c r="J38" s="1"/>
      <c r="K38" s="1"/>
      <c r="L38" s="1"/>
      <c r="M38" s="1"/>
      <c r="N38" s="17"/>
    </row>
    <row r="39" spans="2:14" ht="15.75" customHeight="1" x14ac:dyDescent="0.25">
      <c r="B39" s="19"/>
      <c r="C39" s="7" t="s">
        <v>10</v>
      </c>
      <c r="D39" s="8"/>
      <c r="E39" s="12">
        <v>2.1201000000000001E-2</v>
      </c>
      <c r="F39" s="1"/>
      <c r="G39" s="1"/>
      <c r="H39" s="1"/>
      <c r="I39" s="1"/>
      <c r="J39" s="1"/>
      <c r="K39" s="1"/>
      <c r="L39" s="1"/>
      <c r="M39" s="1"/>
      <c r="N39" s="17"/>
    </row>
    <row r="40" spans="2:14" ht="15" customHeight="1" x14ac:dyDescent="0.25">
      <c r="B40" s="19"/>
      <c r="C40" s="5"/>
      <c r="D40" s="6"/>
      <c r="E40" s="11"/>
      <c r="F40" s="1"/>
      <c r="G40" s="1"/>
      <c r="H40" s="1"/>
      <c r="I40" s="1"/>
      <c r="J40" s="1"/>
      <c r="K40" s="1"/>
      <c r="L40" s="1"/>
      <c r="M40" s="1"/>
      <c r="N40" s="17"/>
    </row>
    <row r="41" spans="2:14" ht="15" customHeight="1" x14ac:dyDescent="0.25">
      <c r="B41" s="19"/>
      <c r="C41" s="9" t="s">
        <v>11</v>
      </c>
      <c r="D41" s="10"/>
      <c r="E41" s="13">
        <v>1</v>
      </c>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t="s">
        <v>195</v>
      </c>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thickBot="1" x14ac:dyDescent="0.3">
      <c r="B46" s="20"/>
      <c r="C46" s="21"/>
      <c r="D46" s="21"/>
      <c r="E46" s="21"/>
      <c r="F46" s="21"/>
      <c r="G46" s="21"/>
      <c r="H46" s="21"/>
      <c r="I46" s="21"/>
      <c r="J46" s="21"/>
      <c r="K46" s="21"/>
      <c r="L46" s="21"/>
      <c r="M46" s="21"/>
      <c r="N46" s="22"/>
    </row>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3">
    <mergeCell ref="C3:N3"/>
    <mergeCell ref="G7:N7"/>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93"/>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18</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19</v>
      </c>
      <c r="D8" s="6" t="s">
        <v>20</v>
      </c>
      <c r="E8" s="11">
        <v>3.6587000000000001E-2</v>
      </c>
      <c r="F8" s="1"/>
      <c r="G8" s="23" t="s">
        <v>15</v>
      </c>
      <c r="H8" s="24">
        <v>1</v>
      </c>
      <c r="I8" s="1"/>
      <c r="J8" s="23" t="s">
        <v>12</v>
      </c>
      <c r="K8" s="23" t="s">
        <v>3</v>
      </c>
      <c r="L8" s="1"/>
      <c r="M8" s="1"/>
      <c r="N8" s="17"/>
    </row>
    <row r="9" spans="2:14" ht="15" customHeight="1" x14ac:dyDescent="0.25">
      <c r="B9" s="19"/>
      <c r="C9" s="5" t="s">
        <v>21</v>
      </c>
      <c r="D9" s="6" t="s">
        <v>20</v>
      </c>
      <c r="E9" s="11">
        <v>1.2551E-2</v>
      </c>
      <c r="F9" s="1"/>
      <c r="G9" s="1"/>
      <c r="H9" s="1"/>
      <c r="I9" s="1"/>
      <c r="J9" s="23" t="s">
        <v>10</v>
      </c>
      <c r="K9" s="25">
        <v>2.6280999999999999E-2</v>
      </c>
      <c r="L9" s="1"/>
      <c r="M9" s="1"/>
      <c r="N9" s="17"/>
    </row>
    <row r="10" spans="2:14" ht="15.75" customHeight="1" x14ac:dyDescent="0.25">
      <c r="B10" s="19"/>
      <c r="C10" s="7" t="s">
        <v>22</v>
      </c>
      <c r="D10" s="8"/>
      <c r="E10" s="12">
        <v>4.9138000000000001E-2</v>
      </c>
      <c r="F10" s="1"/>
      <c r="G10" s="1"/>
      <c r="H10" s="1"/>
      <c r="I10" s="1"/>
      <c r="J10" s="23" t="s">
        <v>13</v>
      </c>
      <c r="K10" s="25">
        <v>5.0000000000000001E-3</v>
      </c>
      <c r="L10" s="1"/>
      <c r="M10" s="1"/>
      <c r="N10" s="17"/>
    </row>
    <row r="11" spans="2:14" ht="15" customHeight="1" x14ac:dyDescent="0.25">
      <c r="B11" s="19"/>
      <c r="C11" s="5" t="s">
        <v>21</v>
      </c>
      <c r="D11" s="6" t="s">
        <v>20</v>
      </c>
      <c r="E11" s="11">
        <v>6.8609999999999999E-3</v>
      </c>
      <c r="F11" s="1"/>
      <c r="G11" s="1"/>
      <c r="H11" s="1"/>
      <c r="I11" s="1"/>
      <c r="J11" s="23" t="s">
        <v>60</v>
      </c>
      <c r="K11" s="25">
        <v>4.9138000000000001E-2</v>
      </c>
      <c r="L11" s="1"/>
      <c r="M11" s="1"/>
      <c r="N11" s="17"/>
    </row>
    <row r="12" spans="2:14" ht="15" customHeight="1" x14ac:dyDescent="0.25">
      <c r="B12" s="19"/>
      <c r="C12" s="5" t="s">
        <v>23</v>
      </c>
      <c r="D12" s="6" t="s">
        <v>20</v>
      </c>
      <c r="E12" s="11">
        <v>5.1269999999999996E-3</v>
      </c>
      <c r="F12" s="1"/>
      <c r="G12" s="1"/>
      <c r="H12" s="1"/>
      <c r="I12" s="1"/>
      <c r="J12" s="23" t="s">
        <v>61</v>
      </c>
      <c r="K12" s="25">
        <v>0.79727499999999996</v>
      </c>
      <c r="L12" s="1"/>
      <c r="M12" s="1"/>
      <c r="N12" s="17"/>
    </row>
    <row r="13" spans="2:14" ht="15.75" customHeight="1" x14ac:dyDescent="0.25">
      <c r="B13" s="19"/>
      <c r="C13" s="7" t="s">
        <v>24</v>
      </c>
      <c r="D13" s="8"/>
      <c r="E13" s="12">
        <v>1.1988E-2</v>
      </c>
      <c r="F13" s="1"/>
      <c r="G13" s="1"/>
      <c r="H13" s="1"/>
      <c r="I13" s="1"/>
      <c r="J13" s="23" t="s">
        <v>62</v>
      </c>
      <c r="K13" s="25">
        <v>1.1988E-2</v>
      </c>
      <c r="L13" s="1"/>
      <c r="M13" s="1"/>
      <c r="N13" s="17"/>
    </row>
    <row r="14" spans="2:14" ht="15" customHeight="1" x14ac:dyDescent="0.25">
      <c r="B14" s="19"/>
      <c r="C14" s="5" t="s">
        <v>25</v>
      </c>
      <c r="D14" s="6" t="s">
        <v>26</v>
      </c>
      <c r="E14" s="11">
        <v>0.114413</v>
      </c>
      <c r="F14" s="1"/>
      <c r="G14" s="1"/>
      <c r="H14" s="1"/>
      <c r="I14" s="1"/>
      <c r="J14" s="23" t="s">
        <v>63</v>
      </c>
      <c r="K14" s="25">
        <v>1.591E-3</v>
      </c>
      <c r="L14" s="1"/>
      <c r="M14" s="1"/>
      <c r="N14" s="17"/>
    </row>
    <row r="15" spans="2:14" ht="15" customHeight="1" x14ac:dyDescent="0.25">
      <c r="B15" s="19"/>
      <c r="C15" s="5" t="s">
        <v>27</v>
      </c>
      <c r="D15" s="6" t="s">
        <v>26</v>
      </c>
      <c r="E15" s="11">
        <v>7.6241000000000003E-2</v>
      </c>
      <c r="F15" s="1"/>
      <c r="G15" s="1"/>
      <c r="H15" s="1"/>
      <c r="I15" s="1"/>
      <c r="J15" s="23" t="s">
        <v>64</v>
      </c>
      <c r="K15" s="25">
        <v>9.8258999999999999E-2</v>
      </c>
      <c r="L15" s="1"/>
      <c r="M15" s="1"/>
      <c r="N15" s="17"/>
    </row>
    <row r="16" spans="2:14" ht="15" customHeight="1" x14ac:dyDescent="0.25">
      <c r="B16" s="19"/>
      <c r="C16" s="5" t="s">
        <v>23</v>
      </c>
      <c r="D16" s="6" t="s">
        <v>26</v>
      </c>
      <c r="E16" s="11">
        <v>7.2369000000000003E-2</v>
      </c>
      <c r="F16" s="1"/>
      <c r="G16" s="1"/>
      <c r="H16" s="1"/>
      <c r="I16" s="1"/>
      <c r="J16" s="23" t="s">
        <v>65</v>
      </c>
      <c r="K16" s="25">
        <v>1.0312E-2</v>
      </c>
      <c r="L16" s="1"/>
      <c r="M16" s="1"/>
      <c r="N16" s="17"/>
    </row>
    <row r="17" spans="2:14" ht="15" customHeight="1" x14ac:dyDescent="0.25">
      <c r="B17" s="19"/>
      <c r="C17" s="5" t="s">
        <v>28</v>
      </c>
      <c r="D17" s="6" t="s">
        <v>26</v>
      </c>
      <c r="E17" s="11">
        <v>6.6161999999999999E-2</v>
      </c>
      <c r="F17" s="1"/>
      <c r="G17" s="1"/>
      <c r="H17" s="1"/>
      <c r="I17" s="1"/>
      <c r="J17" s="23" t="s">
        <v>66</v>
      </c>
      <c r="K17" s="25">
        <v>1.56E-4</v>
      </c>
      <c r="L17" s="1"/>
      <c r="M17" s="1"/>
      <c r="N17" s="17"/>
    </row>
    <row r="18" spans="2:14" ht="15" customHeight="1" x14ac:dyDescent="0.25">
      <c r="B18" s="19"/>
      <c r="C18" s="5" t="s">
        <v>29</v>
      </c>
      <c r="D18" s="6" t="s">
        <v>26</v>
      </c>
      <c r="E18" s="11">
        <v>6.4767000000000005E-2</v>
      </c>
      <c r="F18" s="1"/>
      <c r="G18" s="1"/>
      <c r="H18" s="1"/>
      <c r="I18" s="1"/>
      <c r="J18" s="1"/>
      <c r="K18" s="1"/>
      <c r="L18" s="1"/>
      <c r="M18" s="1"/>
      <c r="N18" s="17"/>
    </row>
    <row r="19" spans="2:14" ht="15" customHeight="1" x14ac:dyDescent="0.25">
      <c r="B19" s="19"/>
      <c r="C19" s="5" t="s">
        <v>19</v>
      </c>
      <c r="D19" s="6" t="s">
        <v>26</v>
      </c>
      <c r="E19" s="11">
        <v>5.3775000000000003E-2</v>
      </c>
      <c r="F19" s="1"/>
      <c r="G19" s="1"/>
      <c r="H19" s="1"/>
      <c r="I19" s="1"/>
      <c r="J19" s="1"/>
      <c r="K19" s="1"/>
      <c r="L19" s="1"/>
      <c r="M19" s="1"/>
      <c r="N19" s="17"/>
    </row>
    <row r="20" spans="2:14" ht="15" customHeight="1" x14ac:dyDescent="0.25">
      <c r="B20" s="19"/>
      <c r="C20" s="5" t="s">
        <v>30</v>
      </c>
      <c r="D20" s="6" t="s">
        <v>26</v>
      </c>
      <c r="E20" s="11">
        <v>5.0437000000000003E-2</v>
      </c>
      <c r="F20" s="1"/>
      <c r="G20" s="1"/>
      <c r="H20" s="1"/>
      <c r="I20" s="1"/>
      <c r="J20" s="1"/>
      <c r="K20" s="1"/>
      <c r="L20" s="1"/>
      <c r="M20" s="1"/>
      <c r="N20" s="17"/>
    </row>
    <row r="21" spans="2:14" ht="15" customHeight="1" x14ac:dyDescent="0.25">
      <c r="B21" s="19"/>
      <c r="C21" s="5" t="s">
        <v>31</v>
      </c>
      <c r="D21" s="6" t="s">
        <v>26</v>
      </c>
      <c r="E21" s="11">
        <v>4.8198999999999999E-2</v>
      </c>
      <c r="F21" s="1"/>
      <c r="G21" s="1"/>
      <c r="H21" s="1"/>
      <c r="I21" s="1"/>
      <c r="J21" s="1"/>
      <c r="K21" s="1"/>
      <c r="L21" s="1"/>
      <c r="M21" s="1"/>
      <c r="N21" s="17"/>
    </row>
    <row r="22" spans="2:14" ht="15" customHeight="1" x14ac:dyDescent="0.25">
      <c r="B22" s="19"/>
      <c r="C22" s="5" t="s">
        <v>32</v>
      </c>
      <c r="D22" s="6" t="s">
        <v>26</v>
      </c>
      <c r="E22" s="11">
        <v>3.7766000000000001E-2</v>
      </c>
      <c r="F22" s="1"/>
      <c r="G22" s="1"/>
      <c r="H22" s="1"/>
      <c r="I22" s="1"/>
      <c r="J22" s="1"/>
      <c r="K22" s="1"/>
      <c r="L22" s="1"/>
      <c r="M22" s="1"/>
      <c r="N22" s="17"/>
    </row>
    <row r="23" spans="2:14" ht="15" customHeight="1" x14ac:dyDescent="0.25">
      <c r="B23" s="19"/>
      <c r="C23" s="5" t="s">
        <v>33</v>
      </c>
      <c r="D23" s="6" t="s">
        <v>26</v>
      </c>
      <c r="E23" s="11">
        <v>3.6901999999999997E-2</v>
      </c>
      <c r="F23" s="1"/>
      <c r="G23" s="1"/>
      <c r="H23" s="1"/>
      <c r="I23" s="1"/>
      <c r="J23" s="1"/>
      <c r="K23" s="1"/>
      <c r="L23" s="1"/>
      <c r="M23" s="1"/>
      <c r="N23" s="17"/>
    </row>
    <row r="24" spans="2:14" ht="15" customHeight="1" x14ac:dyDescent="0.25">
      <c r="B24" s="19"/>
      <c r="C24" s="5" t="s">
        <v>34</v>
      </c>
      <c r="D24" s="6" t="s">
        <v>26</v>
      </c>
      <c r="E24" s="11">
        <v>2.7834999999999999E-2</v>
      </c>
      <c r="F24" s="1"/>
      <c r="G24" s="1"/>
      <c r="H24" s="1"/>
      <c r="I24" s="1"/>
      <c r="J24" s="1"/>
      <c r="K24" s="1"/>
      <c r="L24" s="1"/>
      <c r="M24" s="1"/>
      <c r="N24" s="17"/>
    </row>
    <row r="25" spans="2:14" ht="15" customHeight="1" x14ac:dyDescent="0.25">
      <c r="B25" s="19"/>
      <c r="C25" s="5" t="s">
        <v>21</v>
      </c>
      <c r="D25" s="6" t="s">
        <v>26</v>
      </c>
      <c r="E25" s="11">
        <v>2.6617999999999999E-2</v>
      </c>
      <c r="F25" s="1"/>
      <c r="G25" s="1"/>
      <c r="H25" s="1"/>
      <c r="I25" s="1"/>
      <c r="J25" s="1"/>
      <c r="K25" s="1"/>
      <c r="L25" s="1"/>
      <c r="M25" s="1"/>
      <c r="N25" s="17"/>
    </row>
    <row r="26" spans="2:14" ht="15" customHeight="1" x14ac:dyDescent="0.25">
      <c r="B26" s="19"/>
      <c r="C26" s="5" t="s">
        <v>35</v>
      </c>
      <c r="D26" s="6" t="s">
        <v>26</v>
      </c>
      <c r="E26" s="11">
        <v>2.5024000000000001E-2</v>
      </c>
      <c r="F26" s="1"/>
      <c r="G26" s="34" t="s">
        <v>17</v>
      </c>
      <c r="H26" s="35"/>
      <c r="I26" s="35"/>
      <c r="J26" s="35"/>
      <c r="K26" s="35"/>
      <c r="L26" s="35"/>
      <c r="M26" s="35"/>
      <c r="N26" s="36"/>
    </row>
    <row r="27" spans="2:14" ht="15" customHeight="1" x14ac:dyDescent="0.25">
      <c r="B27" s="19"/>
      <c r="C27" s="5" t="s">
        <v>36</v>
      </c>
      <c r="D27" s="6" t="s">
        <v>26</v>
      </c>
      <c r="E27" s="11">
        <v>0.02</v>
      </c>
      <c r="F27" s="1"/>
      <c r="G27" s="1"/>
      <c r="H27" s="1"/>
      <c r="I27" s="1"/>
      <c r="J27" s="1"/>
      <c r="K27" s="1"/>
      <c r="L27" s="1"/>
      <c r="M27" s="1"/>
      <c r="N27" s="17"/>
    </row>
    <row r="28" spans="2:14" ht="15" customHeight="1" x14ac:dyDescent="0.25">
      <c r="B28" s="19"/>
      <c r="C28" s="5" t="s">
        <v>37</v>
      </c>
      <c r="D28" s="6" t="s">
        <v>26</v>
      </c>
      <c r="E28" s="11">
        <v>1.627E-2</v>
      </c>
      <c r="F28" s="1"/>
      <c r="G28" s="1"/>
      <c r="H28" s="1"/>
      <c r="I28" s="1"/>
      <c r="J28" s="1"/>
      <c r="K28" s="1"/>
      <c r="L28" s="1"/>
      <c r="M28" s="1"/>
      <c r="N28" s="17"/>
    </row>
    <row r="29" spans="2:14" ht="15" customHeight="1" x14ac:dyDescent="0.25">
      <c r="B29" s="19"/>
      <c r="C29" s="5" t="s">
        <v>38</v>
      </c>
      <c r="D29" s="6" t="s">
        <v>26</v>
      </c>
      <c r="E29" s="11">
        <v>1.54E-2</v>
      </c>
      <c r="F29" s="1"/>
      <c r="G29" s="1"/>
      <c r="H29" s="1"/>
      <c r="I29" s="1"/>
      <c r="J29" s="1"/>
      <c r="K29" s="1"/>
      <c r="L29" s="1"/>
      <c r="M29" s="1"/>
      <c r="N29" s="17"/>
    </row>
    <row r="30" spans="2:14" ht="15" customHeight="1" x14ac:dyDescent="0.25">
      <c r="B30" s="19"/>
      <c r="C30" s="5" t="s">
        <v>39</v>
      </c>
      <c r="D30" s="6" t="s">
        <v>26</v>
      </c>
      <c r="E30" s="11">
        <v>1.1635E-2</v>
      </c>
      <c r="F30" s="1"/>
      <c r="G30" s="1"/>
      <c r="H30" s="1"/>
      <c r="I30" s="1"/>
      <c r="J30" s="1"/>
      <c r="K30" s="1"/>
      <c r="L30" s="1"/>
      <c r="M30" s="1"/>
      <c r="N30" s="17"/>
    </row>
    <row r="31" spans="2:14" ht="15" customHeight="1" x14ac:dyDescent="0.25">
      <c r="B31" s="19"/>
      <c r="C31" s="5" t="s">
        <v>40</v>
      </c>
      <c r="D31" s="6" t="s">
        <v>26</v>
      </c>
      <c r="E31" s="11">
        <v>9.3609999999999995E-3</v>
      </c>
      <c r="F31" s="1"/>
      <c r="G31" s="1"/>
      <c r="H31" s="1"/>
      <c r="I31" s="1"/>
      <c r="J31" s="1"/>
      <c r="K31" s="1"/>
      <c r="L31" s="1"/>
      <c r="M31" s="1"/>
      <c r="N31" s="17"/>
    </row>
    <row r="32" spans="2:14" ht="15" customHeight="1" x14ac:dyDescent="0.25">
      <c r="B32" s="19"/>
      <c r="C32" s="5" t="s">
        <v>41</v>
      </c>
      <c r="D32" s="6" t="s">
        <v>26</v>
      </c>
      <c r="E32" s="11">
        <v>9.1219999999999999E-3</v>
      </c>
      <c r="F32" s="1"/>
      <c r="G32" s="1"/>
      <c r="H32" s="1"/>
      <c r="I32" s="1"/>
      <c r="J32" s="1"/>
      <c r="K32" s="1"/>
      <c r="L32" s="1"/>
      <c r="M32" s="1"/>
      <c r="N32" s="17"/>
    </row>
    <row r="33" spans="2:14" ht="15" customHeight="1" x14ac:dyDescent="0.25">
      <c r="B33" s="19"/>
      <c r="C33" s="5" t="s">
        <v>42</v>
      </c>
      <c r="D33" s="6" t="s">
        <v>26</v>
      </c>
      <c r="E33" s="11">
        <v>8.2179999999999996E-3</v>
      </c>
      <c r="F33" s="1"/>
      <c r="G33" s="1"/>
      <c r="H33" s="1"/>
      <c r="I33" s="1"/>
      <c r="J33" s="1"/>
      <c r="K33" s="1"/>
      <c r="L33" s="1"/>
      <c r="M33" s="1"/>
      <c r="N33" s="17"/>
    </row>
    <row r="34" spans="2:14" ht="15" customHeight="1" x14ac:dyDescent="0.25">
      <c r="B34" s="19"/>
      <c r="C34" s="5" t="s">
        <v>43</v>
      </c>
      <c r="D34" s="6" t="s">
        <v>26</v>
      </c>
      <c r="E34" s="11">
        <v>3.9350000000000001E-3</v>
      </c>
      <c r="F34" s="1"/>
      <c r="G34" s="1"/>
      <c r="H34" s="1"/>
      <c r="I34" s="1"/>
      <c r="J34" s="1"/>
      <c r="K34" s="1"/>
      <c r="L34" s="1"/>
      <c r="M34" s="1"/>
      <c r="N34" s="17"/>
    </row>
    <row r="35" spans="2:14" ht="15" customHeight="1" x14ac:dyDescent="0.25">
      <c r="B35" s="19"/>
      <c r="C35" s="5" t="s">
        <v>44</v>
      </c>
      <c r="D35" s="6" t="s">
        <v>26</v>
      </c>
      <c r="E35" s="11">
        <v>2.7179999999999999E-3</v>
      </c>
      <c r="F35" s="1"/>
      <c r="G35" s="1"/>
      <c r="H35" s="1"/>
      <c r="I35" s="1"/>
      <c r="J35" s="1"/>
      <c r="K35" s="1"/>
      <c r="L35" s="1"/>
      <c r="M35" s="1"/>
      <c r="N35" s="17"/>
    </row>
    <row r="36" spans="2:14" ht="15" customHeight="1" x14ac:dyDescent="0.25">
      <c r="B36" s="19"/>
      <c r="C36" s="5" t="s">
        <v>45</v>
      </c>
      <c r="D36" s="6" t="s">
        <v>26</v>
      </c>
      <c r="E36" s="11">
        <v>1.08E-4</v>
      </c>
      <c r="F36" s="1"/>
      <c r="G36" s="1"/>
      <c r="H36" s="1"/>
      <c r="I36" s="1"/>
      <c r="J36" s="1"/>
      <c r="K36" s="1"/>
      <c r="L36" s="1"/>
      <c r="M36" s="1"/>
      <c r="N36" s="17"/>
    </row>
    <row r="37" spans="2:14" ht="15.75" customHeight="1" x14ac:dyDescent="0.25">
      <c r="B37" s="19"/>
      <c r="C37" s="7" t="s">
        <v>46</v>
      </c>
      <c r="D37" s="8"/>
      <c r="E37" s="12">
        <v>0.79727499999999996</v>
      </c>
      <c r="F37" s="1"/>
      <c r="G37" s="1"/>
      <c r="H37" s="1"/>
      <c r="I37" s="1"/>
      <c r="J37" s="1"/>
      <c r="K37" s="1"/>
      <c r="L37" s="1"/>
      <c r="M37" s="1"/>
      <c r="N37" s="17"/>
    </row>
    <row r="38" spans="2:14" ht="15" customHeight="1" x14ac:dyDescent="0.25">
      <c r="B38" s="19"/>
      <c r="C38" s="5" t="s">
        <v>47</v>
      </c>
      <c r="D38" s="6" t="s">
        <v>20</v>
      </c>
      <c r="E38" s="11">
        <v>1.591E-3</v>
      </c>
      <c r="F38" s="1"/>
      <c r="G38" s="1"/>
      <c r="H38" s="1"/>
      <c r="I38" s="1"/>
      <c r="J38" s="1"/>
      <c r="K38" s="1"/>
      <c r="L38" s="1"/>
      <c r="M38" s="1"/>
      <c r="N38" s="17"/>
    </row>
    <row r="39" spans="2:14" ht="15.75" customHeight="1" x14ac:dyDescent="0.25">
      <c r="B39" s="19"/>
      <c r="C39" s="7" t="s">
        <v>48</v>
      </c>
      <c r="D39" s="8"/>
      <c r="E39" s="12">
        <v>1.591E-3</v>
      </c>
      <c r="F39" s="1"/>
      <c r="G39" s="1"/>
      <c r="H39" s="1"/>
      <c r="I39" s="1"/>
      <c r="J39" s="1"/>
      <c r="K39" s="1"/>
      <c r="L39" s="1"/>
      <c r="M39" s="1"/>
      <c r="N39" s="17"/>
    </row>
    <row r="40" spans="2:14" ht="15" customHeight="1" x14ac:dyDescent="0.25">
      <c r="B40" s="19"/>
      <c r="C40" s="5" t="s">
        <v>49</v>
      </c>
      <c r="D40" s="6" t="s">
        <v>50</v>
      </c>
      <c r="E40" s="11">
        <v>3.6829000000000001E-2</v>
      </c>
      <c r="F40" s="1"/>
      <c r="G40" s="1"/>
      <c r="H40" s="1"/>
      <c r="I40" s="1"/>
      <c r="J40" s="1"/>
      <c r="K40" s="1"/>
      <c r="L40" s="1"/>
      <c r="M40" s="1"/>
      <c r="N40" s="17"/>
    </row>
    <row r="41" spans="2:14" ht="15" customHeight="1" x14ac:dyDescent="0.25">
      <c r="B41" s="19"/>
      <c r="C41" s="5" t="s">
        <v>51</v>
      </c>
      <c r="D41" s="6" t="s">
        <v>50</v>
      </c>
      <c r="E41" s="11">
        <v>3.2511999999999999E-2</v>
      </c>
      <c r="F41" s="1"/>
      <c r="G41" s="1"/>
      <c r="H41" s="1"/>
      <c r="I41" s="1"/>
      <c r="J41" s="1"/>
      <c r="K41" s="1"/>
      <c r="L41" s="1"/>
      <c r="M41" s="1"/>
      <c r="N41" s="17"/>
    </row>
    <row r="42" spans="2:14" ht="15" customHeight="1" x14ac:dyDescent="0.25">
      <c r="B42" s="19"/>
      <c r="C42" s="5" t="s">
        <v>52</v>
      </c>
      <c r="D42" s="6" t="s">
        <v>50</v>
      </c>
      <c r="E42" s="11">
        <v>8.6999999999999994E-3</v>
      </c>
      <c r="F42" s="1"/>
      <c r="G42" s="1"/>
      <c r="H42" s="1"/>
      <c r="I42" s="1"/>
      <c r="J42" s="1"/>
      <c r="K42" s="1"/>
      <c r="L42" s="1"/>
      <c r="M42" s="1"/>
      <c r="N42" s="17"/>
    </row>
    <row r="43" spans="2:14" ht="15" customHeight="1" x14ac:dyDescent="0.25">
      <c r="B43" s="19"/>
      <c r="C43" s="5" t="s">
        <v>53</v>
      </c>
      <c r="D43" s="6" t="s">
        <v>50</v>
      </c>
      <c r="E43" s="11">
        <v>6.881E-3</v>
      </c>
      <c r="F43" s="1"/>
      <c r="G43" s="1"/>
      <c r="H43" s="1"/>
      <c r="I43" s="1"/>
      <c r="J43" s="1"/>
      <c r="K43" s="1"/>
      <c r="L43" s="1"/>
      <c r="M43" s="1"/>
      <c r="N43" s="17"/>
    </row>
    <row r="44" spans="2:14" ht="15" customHeight="1" x14ac:dyDescent="0.25">
      <c r="B44" s="19"/>
      <c r="C44" s="5" t="s">
        <v>54</v>
      </c>
      <c r="D44" s="6" t="s">
        <v>50</v>
      </c>
      <c r="E44" s="11">
        <v>6.3480000000000003E-3</v>
      </c>
      <c r="F44" s="1"/>
      <c r="G44" s="1"/>
      <c r="H44" s="1"/>
      <c r="I44" s="1"/>
      <c r="J44" s="1"/>
      <c r="K44" s="1"/>
      <c r="L44" s="1"/>
      <c r="M44" s="1"/>
      <c r="N44" s="17"/>
    </row>
    <row r="45" spans="2:14" ht="15" customHeight="1" x14ac:dyDescent="0.25">
      <c r="B45" s="19"/>
      <c r="C45" s="5" t="s">
        <v>55</v>
      </c>
      <c r="D45" s="6" t="s">
        <v>50</v>
      </c>
      <c r="E45" s="11">
        <v>5.8910000000000004E-3</v>
      </c>
      <c r="F45" s="1"/>
      <c r="G45" s="1"/>
      <c r="H45" s="1"/>
      <c r="I45" s="1"/>
      <c r="J45" s="1"/>
      <c r="K45" s="1"/>
      <c r="L45" s="1"/>
      <c r="M45" s="1"/>
      <c r="N45" s="17"/>
    </row>
    <row r="46" spans="2:14" ht="15" customHeight="1" x14ac:dyDescent="0.25">
      <c r="B46" s="19"/>
      <c r="C46" s="5" t="s">
        <v>56</v>
      </c>
      <c r="D46" s="6" t="s">
        <v>50</v>
      </c>
      <c r="E46" s="11">
        <v>1.098E-3</v>
      </c>
      <c r="F46" s="1"/>
      <c r="G46" s="1"/>
      <c r="H46" s="1"/>
      <c r="I46" s="1"/>
      <c r="J46" s="1"/>
      <c r="K46" s="1"/>
      <c r="L46" s="1"/>
      <c r="M46" s="1"/>
      <c r="N46" s="17"/>
    </row>
    <row r="47" spans="2:14" ht="15.75" customHeight="1" x14ac:dyDescent="0.25">
      <c r="B47" s="19"/>
      <c r="C47" s="7" t="s">
        <v>57</v>
      </c>
      <c r="D47" s="8"/>
      <c r="E47" s="12">
        <v>9.8258999999999999E-2</v>
      </c>
      <c r="F47" s="1"/>
      <c r="G47" s="1"/>
      <c r="H47" s="1"/>
      <c r="I47" s="1"/>
      <c r="J47" s="1"/>
      <c r="K47" s="1"/>
      <c r="L47" s="1"/>
      <c r="M47" s="1"/>
      <c r="N47" s="17"/>
    </row>
    <row r="48" spans="2:14" ht="15" customHeight="1" x14ac:dyDescent="0.25">
      <c r="B48" s="19"/>
      <c r="C48" s="5" t="s">
        <v>161</v>
      </c>
      <c r="D48" s="6" t="s">
        <v>50</v>
      </c>
      <c r="E48" s="11">
        <v>2.8089999999999999E-3</v>
      </c>
      <c r="F48" s="1"/>
      <c r="G48" s="1"/>
      <c r="H48" s="1"/>
      <c r="I48" s="1"/>
      <c r="J48" s="1"/>
      <c r="K48" s="1"/>
      <c r="L48" s="1"/>
      <c r="M48" s="1"/>
      <c r="N48" s="17"/>
    </row>
    <row r="49" spans="2:14" ht="15.75" customHeight="1" x14ac:dyDescent="0.25">
      <c r="B49" s="19"/>
      <c r="C49" s="5" t="s">
        <v>167</v>
      </c>
      <c r="D49" s="6" t="s">
        <v>50</v>
      </c>
      <c r="E49" s="11">
        <v>2.859E-3</v>
      </c>
      <c r="F49" s="1"/>
      <c r="G49" s="1"/>
      <c r="H49" s="1"/>
      <c r="I49" s="1"/>
      <c r="J49" s="1"/>
      <c r="K49" s="1"/>
      <c r="L49" s="1"/>
      <c r="M49" s="1"/>
      <c r="N49" s="17"/>
    </row>
    <row r="50" spans="2:14" ht="15" customHeight="1" x14ac:dyDescent="0.25">
      <c r="B50" s="19"/>
      <c r="C50" s="5" t="s">
        <v>171</v>
      </c>
      <c r="D50" s="6" t="s">
        <v>50</v>
      </c>
      <c r="E50" s="11">
        <v>1.3270000000000001E-3</v>
      </c>
      <c r="F50" s="1"/>
      <c r="G50" s="1"/>
      <c r="H50" s="1"/>
      <c r="I50" s="1"/>
      <c r="J50" s="1"/>
      <c r="K50" s="1"/>
      <c r="L50" s="1"/>
      <c r="M50" s="1"/>
      <c r="N50" s="17"/>
    </row>
    <row r="51" spans="2:14" ht="15.75" customHeight="1" x14ac:dyDescent="0.25">
      <c r="B51" s="19"/>
      <c r="C51" s="5" t="s">
        <v>172</v>
      </c>
      <c r="D51" s="6" t="s">
        <v>50</v>
      </c>
      <c r="E51" s="11">
        <v>8.03E-4</v>
      </c>
      <c r="F51" s="1"/>
      <c r="G51" s="1"/>
      <c r="H51" s="1"/>
      <c r="I51" s="1"/>
      <c r="J51" s="1"/>
      <c r="K51" s="1"/>
      <c r="L51" s="1"/>
      <c r="M51" s="1"/>
      <c r="N51" s="17"/>
    </row>
    <row r="52" spans="2:14" ht="15" customHeight="1" x14ac:dyDescent="0.25">
      <c r="B52" s="19"/>
      <c r="C52" s="5" t="s">
        <v>169</v>
      </c>
      <c r="D52" s="6" t="s">
        <v>50</v>
      </c>
      <c r="E52" s="11">
        <v>5.62E-4</v>
      </c>
      <c r="F52" s="1"/>
      <c r="G52" s="1"/>
      <c r="H52" s="1"/>
      <c r="I52" s="1"/>
      <c r="J52" s="1"/>
      <c r="K52" s="1"/>
      <c r="L52" s="1"/>
      <c r="M52" s="1"/>
      <c r="N52" s="17"/>
    </row>
    <row r="53" spans="2:14" ht="15.75" customHeight="1" x14ac:dyDescent="0.25">
      <c r="B53" s="19"/>
      <c r="C53" s="5" t="s">
        <v>163</v>
      </c>
      <c r="D53" s="6" t="s">
        <v>50</v>
      </c>
      <c r="E53" s="11">
        <v>5.5800000000000001E-4</v>
      </c>
      <c r="F53" s="1"/>
      <c r="G53" s="1"/>
      <c r="H53" s="1"/>
      <c r="I53" s="1"/>
      <c r="J53" s="1"/>
      <c r="K53" s="1"/>
      <c r="L53" s="1"/>
      <c r="M53" s="1"/>
      <c r="N53" s="17"/>
    </row>
    <row r="54" spans="2:14" ht="15" customHeight="1" x14ac:dyDescent="0.25">
      <c r="B54" s="19"/>
      <c r="C54" s="5" t="s">
        <v>164</v>
      </c>
      <c r="D54" s="6" t="s">
        <v>50</v>
      </c>
      <c r="E54" s="11">
        <v>2.7799999999999998E-4</v>
      </c>
      <c r="F54" s="1"/>
      <c r="G54" s="1"/>
      <c r="H54" s="1"/>
      <c r="I54" s="1"/>
      <c r="J54" s="1"/>
      <c r="K54" s="1"/>
      <c r="L54" s="1"/>
      <c r="M54" s="1"/>
      <c r="N54" s="17"/>
    </row>
    <row r="55" spans="2:14" ht="15.75" customHeight="1" x14ac:dyDescent="0.25">
      <c r="B55" s="19"/>
      <c r="C55" s="5" t="s">
        <v>165</v>
      </c>
      <c r="D55" s="6" t="s">
        <v>50</v>
      </c>
      <c r="E55" s="11">
        <v>2.7799999999999998E-4</v>
      </c>
      <c r="F55" s="1"/>
      <c r="G55" s="1"/>
      <c r="H55" s="1"/>
      <c r="I55" s="1"/>
      <c r="J55" s="1"/>
      <c r="K55" s="1"/>
      <c r="L55" s="1"/>
      <c r="M55" s="1"/>
      <c r="N55" s="17"/>
    </row>
    <row r="56" spans="2:14" ht="15" customHeight="1" x14ac:dyDescent="0.25">
      <c r="B56" s="19"/>
      <c r="C56" s="5" t="s">
        <v>166</v>
      </c>
      <c r="D56" s="6" t="s">
        <v>50</v>
      </c>
      <c r="E56" s="11">
        <v>2.7799999999999998E-4</v>
      </c>
      <c r="F56" s="1"/>
      <c r="G56" s="1"/>
      <c r="H56" s="1"/>
      <c r="I56" s="1"/>
      <c r="J56" s="1"/>
      <c r="K56" s="1"/>
      <c r="L56" s="1"/>
      <c r="M56" s="1"/>
      <c r="N56" s="17"/>
    </row>
    <row r="57" spans="2:14" ht="15" customHeight="1" x14ac:dyDescent="0.25">
      <c r="B57" s="19"/>
      <c r="C57" s="5" t="s">
        <v>162</v>
      </c>
      <c r="D57" s="6" t="s">
        <v>50</v>
      </c>
      <c r="E57" s="11">
        <v>2.7700000000000001E-4</v>
      </c>
      <c r="F57" s="1"/>
      <c r="G57" s="1"/>
      <c r="H57" s="1"/>
      <c r="I57" s="1"/>
      <c r="J57" s="1"/>
      <c r="K57" s="1"/>
      <c r="L57" s="1"/>
      <c r="M57" s="1"/>
      <c r="N57" s="17"/>
    </row>
    <row r="58" spans="2:14" ht="15" customHeight="1" x14ac:dyDescent="0.25">
      <c r="B58" s="19"/>
      <c r="C58" s="5" t="s">
        <v>170</v>
      </c>
      <c r="D58" s="6" t="s">
        <v>50</v>
      </c>
      <c r="E58" s="11">
        <v>1.6000000000000001E-4</v>
      </c>
      <c r="F58" s="1"/>
      <c r="G58" s="1"/>
      <c r="H58" s="1"/>
      <c r="I58" s="1"/>
      <c r="J58" s="1"/>
      <c r="K58" s="1"/>
      <c r="L58" s="1"/>
      <c r="M58" s="1"/>
      <c r="N58" s="17"/>
    </row>
    <row r="59" spans="2:14" ht="15" customHeight="1" x14ac:dyDescent="0.25">
      <c r="B59" s="19"/>
      <c r="C59" s="5" t="s">
        <v>168</v>
      </c>
      <c r="D59" s="6" t="s">
        <v>50</v>
      </c>
      <c r="E59" s="11">
        <v>1.2300000000000001E-4</v>
      </c>
      <c r="F59" s="1"/>
      <c r="G59" s="1"/>
      <c r="H59" s="1"/>
      <c r="I59" s="1"/>
      <c r="J59" s="1"/>
      <c r="K59" s="1"/>
      <c r="L59" s="1"/>
      <c r="M59" s="1"/>
      <c r="N59" s="17"/>
    </row>
    <row r="60" spans="2:14" ht="15" customHeight="1" x14ac:dyDescent="0.25">
      <c r="B60" s="19"/>
      <c r="C60" s="7" t="s">
        <v>58</v>
      </c>
      <c r="D60" s="8"/>
      <c r="E60" s="12">
        <v>1.0312E-2</v>
      </c>
      <c r="F60" s="1"/>
      <c r="G60" s="1"/>
      <c r="H60" s="1"/>
      <c r="I60" s="1"/>
      <c r="J60" s="1"/>
      <c r="K60" s="1"/>
      <c r="L60" s="1"/>
      <c r="M60" s="1"/>
      <c r="N60" s="17"/>
    </row>
    <row r="61" spans="2:14" ht="15" customHeight="1" x14ac:dyDescent="0.25">
      <c r="B61" s="19"/>
      <c r="C61" s="5" t="s">
        <v>8</v>
      </c>
      <c r="D61" s="6"/>
      <c r="E61" s="11">
        <v>5.0000000000000001E-3</v>
      </c>
      <c r="F61" s="1"/>
      <c r="G61" s="1"/>
      <c r="H61" s="1"/>
      <c r="I61" s="1"/>
      <c r="J61" s="1"/>
      <c r="K61" s="1"/>
      <c r="L61" s="1"/>
      <c r="M61" s="1"/>
      <c r="N61" s="17"/>
    </row>
    <row r="62" spans="2:14" ht="15" customHeight="1" x14ac:dyDescent="0.25">
      <c r="B62" s="19"/>
      <c r="C62" s="7" t="s">
        <v>9</v>
      </c>
      <c r="D62" s="8"/>
      <c r="E62" s="12">
        <v>5.0000000000000001E-3</v>
      </c>
      <c r="F62" s="1"/>
      <c r="G62" s="1"/>
      <c r="H62" s="1"/>
      <c r="I62" s="1"/>
      <c r="J62" s="1"/>
      <c r="K62" s="1"/>
      <c r="L62" s="1"/>
      <c r="M62" s="1"/>
      <c r="N62" s="17"/>
    </row>
    <row r="63" spans="2:14" ht="15" customHeight="1" x14ac:dyDescent="0.25">
      <c r="B63" s="19"/>
      <c r="C63" s="5" t="s">
        <v>38</v>
      </c>
      <c r="D63" s="6" t="s">
        <v>26</v>
      </c>
      <c r="E63" s="11">
        <v>1.56E-4</v>
      </c>
      <c r="F63" s="1"/>
      <c r="G63" s="1"/>
      <c r="H63" s="1"/>
      <c r="I63" s="1"/>
      <c r="J63" s="1"/>
      <c r="K63" s="1"/>
      <c r="L63" s="1"/>
      <c r="M63" s="1"/>
      <c r="N63" s="17"/>
    </row>
    <row r="64" spans="2:14" ht="15" customHeight="1" x14ac:dyDescent="0.25">
      <c r="B64" s="19"/>
      <c r="C64" s="7" t="s">
        <v>59</v>
      </c>
      <c r="D64" s="8"/>
      <c r="E64" s="12">
        <v>1.56E-4</v>
      </c>
      <c r="F64" s="1"/>
      <c r="G64" s="1"/>
      <c r="H64" s="1"/>
      <c r="I64" s="1"/>
      <c r="J64" s="1"/>
      <c r="K64" s="1"/>
      <c r="L64" s="1"/>
      <c r="M64" s="1"/>
      <c r="N64" s="17"/>
    </row>
    <row r="65" spans="2:14" ht="15" customHeight="1" x14ac:dyDescent="0.25">
      <c r="B65" s="19"/>
      <c r="C65" s="5"/>
      <c r="D65" s="6"/>
      <c r="E65" s="11"/>
      <c r="F65" s="1"/>
      <c r="G65" s="1"/>
      <c r="H65" s="1"/>
      <c r="I65" s="1"/>
      <c r="J65" s="1"/>
      <c r="K65" s="1"/>
      <c r="L65" s="1"/>
      <c r="M65" s="1"/>
      <c r="N65" s="17"/>
    </row>
    <row r="66" spans="2:14" ht="15" customHeight="1" x14ac:dyDescent="0.25">
      <c r="B66" s="19"/>
      <c r="C66" s="7" t="s">
        <v>10</v>
      </c>
      <c r="D66" s="8"/>
      <c r="E66" s="12">
        <v>2.6280999999999999E-2</v>
      </c>
      <c r="F66" s="1"/>
      <c r="G66" s="1"/>
      <c r="H66" s="1"/>
      <c r="I66" s="1"/>
      <c r="J66" s="1"/>
      <c r="K66" s="1"/>
      <c r="L66" s="1"/>
      <c r="M66" s="1"/>
      <c r="N66" s="17"/>
    </row>
    <row r="67" spans="2:14" ht="15" customHeight="1" x14ac:dyDescent="0.25">
      <c r="B67" s="19"/>
      <c r="C67" s="5"/>
      <c r="D67" s="6"/>
      <c r="E67" s="11"/>
      <c r="F67" s="1"/>
      <c r="G67" s="1"/>
      <c r="H67" s="1"/>
      <c r="I67" s="1"/>
      <c r="J67" s="1"/>
      <c r="K67" s="1"/>
      <c r="L67" s="1"/>
      <c r="M67" s="1"/>
      <c r="N67" s="17"/>
    </row>
    <row r="68" spans="2:14" ht="15" customHeight="1" x14ac:dyDescent="0.25">
      <c r="B68" s="19"/>
      <c r="C68" s="9" t="s">
        <v>11</v>
      </c>
      <c r="D68" s="10"/>
      <c r="E68" s="13">
        <v>1</v>
      </c>
      <c r="F68" s="1"/>
      <c r="G68" s="1"/>
      <c r="H68" s="1"/>
      <c r="I68" s="1"/>
      <c r="J68" s="1"/>
      <c r="K68" s="1"/>
      <c r="L68" s="1"/>
      <c r="M68" s="1"/>
      <c r="N68" s="17"/>
    </row>
    <row r="69" spans="2:14" ht="15" customHeight="1" x14ac:dyDescent="0.25">
      <c r="B69" s="19"/>
      <c r="F69" s="1"/>
      <c r="G69" s="1"/>
      <c r="H69" s="1"/>
      <c r="I69" s="1"/>
      <c r="J69" s="1"/>
      <c r="K69" s="1"/>
      <c r="L69" s="1"/>
      <c r="M69" s="1"/>
      <c r="N69" s="17"/>
    </row>
    <row r="70" spans="2:14" ht="15" customHeight="1" x14ac:dyDescent="0.25">
      <c r="B70" s="19"/>
      <c r="F70" s="1"/>
      <c r="G70" s="1"/>
      <c r="H70" s="1"/>
      <c r="I70" s="1"/>
      <c r="J70" s="1"/>
      <c r="K70" s="1"/>
      <c r="L70" s="1"/>
      <c r="M70" s="1"/>
      <c r="N70" s="17"/>
    </row>
    <row r="71" spans="2:14" ht="15" customHeight="1" thickBot="1" x14ac:dyDescent="0.3">
      <c r="B71" s="20"/>
      <c r="C71" s="21"/>
      <c r="D71" s="21"/>
      <c r="E71" s="21"/>
      <c r="F71" s="21"/>
      <c r="G71" s="21"/>
      <c r="H71" s="21"/>
      <c r="I71" s="21"/>
      <c r="J71" s="21"/>
      <c r="K71" s="21"/>
      <c r="L71" s="21"/>
      <c r="M71" s="21"/>
      <c r="N71" s="22"/>
    </row>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sheetData>
  <sortState ref="C49:E59">
    <sortCondition descending="1" ref="E48"/>
  </sortState>
  <mergeCells count="3">
    <mergeCell ref="C3:N3"/>
    <mergeCell ref="G7:N7"/>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90"/>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95</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23</v>
      </c>
      <c r="D8" s="6" t="s">
        <v>20</v>
      </c>
      <c r="E8" s="11">
        <v>2.3440000000000002E-3</v>
      </c>
      <c r="F8" s="1"/>
      <c r="G8" s="23" t="s">
        <v>15</v>
      </c>
      <c r="H8" s="24">
        <v>1</v>
      </c>
      <c r="I8" s="1"/>
      <c r="J8" s="23" t="s">
        <v>12</v>
      </c>
      <c r="K8" s="23" t="s">
        <v>3</v>
      </c>
      <c r="L8" s="1"/>
      <c r="M8" s="1"/>
      <c r="N8" s="17"/>
    </row>
    <row r="9" spans="2:14" ht="15.75" customHeight="1" x14ac:dyDescent="0.25">
      <c r="B9" s="19"/>
      <c r="C9" s="7" t="s">
        <v>24</v>
      </c>
      <c r="D9" s="8"/>
      <c r="E9" s="12">
        <v>2.3440000000000002E-3</v>
      </c>
      <c r="F9" s="1"/>
      <c r="G9" s="1"/>
      <c r="H9" s="1"/>
      <c r="I9" s="1"/>
      <c r="J9" s="23" t="s">
        <v>10</v>
      </c>
      <c r="K9" s="25">
        <v>3.0759999999999999E-2</v>
      </c>
      <c r="L9" s="1"/>
      <c r="M9" s="1"/>
      <c r="N9" s="17"/>
    </row>
    <row r="10" spans="2:14" ht="15" customHeight="1" x14ac:dyDescent="0.25">
      <c r="B10" s="19"/>
      <c r="C10" s="5" t="s">
        <v>25</v>
      </c>
      <c r="D10" s="6" t="s">
        <v>26</v>
      </c>
      <c r="E10" s="11">
        <v>0.11252</v>
      </c>
      <c r="F10" s="1"/>
      <c r="G10" s="1"/>
      <c r="H10" s="1"/>
      <c r="I10" s="1"/>
      <c r="J10" s="23" t="s">
        <v>13</v>
      </c>
      <c r="K10" s="25">
        <v>4.7039999999999998E-3</v>
      </c>
      <c r="L10" s="1"/>
      <c r="M10" s="1"/>
      <c r="N10" s="17"/>
    </row>
    <row r="11" spans="2:14" ht="15" customHeight="1" x14ac:dyDescent="0.25">
      <c r="B11" s="19"/>
      <c r="C11" s="5" t="s">
        <v>28</v>
      </c>
      <c r="D11" s="6" t="s">
        <v>26</v>
      </c>
      <c r="E11" s="11">
        <v>0.109236</v>
      </c>
      <c r="F11" s="1"/>
      <c r="G11" s="1"/>
      <c r="H11" s="1"/>
      <c r="I11" s="1"/>
      <c r="J11" s="23" t="s">
        <v>61</v>
      </c>
      <c r="K11" s="25">
        <v>0.71221800000000002</v>
      </c>
      <c r="L11" s="1"/>
      <c r="M11" s="1"/>
      <c r="N11" s="17"/>
    </row>
    <row r="12" spans="2:14" ht="15" customHeight="1" x14ac:dyDescent="0.25">
      <c r="B12" s="19"/>
      <c r="C12" s="5" t="s">
        <v>35</v>
      </c>
      <c r="D12" s="6" t="s">
        <v>26</v>
      </c>
      <c r="E12" s="11">
        <v>8.9996000000000007E-2</v>
      </c>
      <c r="F12" s="1"/>
      <c r="G12" s="1"/>
      <c r="H12" s="1"/>
      <c r="I12" s="1"/>
      <c r="J12" s="23" t="s">
        <v>62</v>
      </c>
      <c r="K12" s="25">
        <v>2.3440000000000002E-3</v>
      </c>
      <c r="L12" s="1"/>
      <c r="M12" s="1"/>
      <c r="N12" s="17"/>
    </row>
    <row r="13" spans="2:14" ht="15" customHeight="1" x14ac:dyDescent="0.25">
      <c r="B13" s="19"/>
      <c r="C13" s="5" t="s">
        <v>23</v>
      </c>
      <c r="D13" s="6" t="s">
        <v>26</v>
      </c>
      <c r="E13" s="11">
        <v>7.6604000000000005E-2</v>
      </c>
      <c r="F13" s="1"/>
      <c r="G13" s="1"/>
      <c r="H13" s="1"/>
      <c r="I13" s="1"/>
      <c r="J13" s="23" t="s">
        <v>64</v>
      </c>
      <c r="K13" s="25">
        <v>0.21319099999999999</v>
      </c>
      <c r="L13" s="1"/>
      <c r="M13" s="1"/>
      <c r="N13" s="17"/>
    </row>
    <row r="14" spans="2:14" ht="15" customHeight="1" x14ac:dyDescent="0.25">
      <c r="B14" s="19"/>
      <c r="C14" s="5" t="s">
        <v>32</v>
      </c>
      <c r="D14" s="6" t="s">
        <v>26</v>
      </c>
      <c r="E14" s="11">
        <v>5.8583999999999997E-2</v>
      </c>
      <c r="F14" s="1"/>
      <c r="G14" s="1"/>
      <c r="H14" s="1"/>
      <c r="I14" s="1"/>
      <c r="J14" s="23" t="s">
        <v>65</v>
      </c>
      <c r="K14" s="25">
        <v>3.6691000000000001E-2</v>
      </c>
      <c r="L14" s="1"/>
      <c r="M14" s="1"/>
      <c r="N14" s="17"/>
    </row>
    <row r="15" spans="2:14" ht="15" customHeight="1" x14ac:dyDescent="0.25">
      <c r="B15" s="19"/>
      <c r="C15" s="5" t="s">
        <v>42</v>
      </c>
      <c r="D15" s="6" t="s">
        <v>26</v>
      </c>
      <c r="E15" s="11">
        <v>5.8050999999999998E-2</v>
      </c>
      <c r="F15" s="1"/>
      <c r="G15" s="1"/>
      <c r="H15" s="1"/>
      <c r="I15" s="1"/>
      <c r="J15" s="23" t="s">
        <v>66</v>
      </c>
      <c r="K15" s="25">
        <v>9.2E-5</v>
      </c>
      <c r="L15" s="1"/>
      <c r="M15" s="1"/>
      <c r="N15" s="17"/>
    </row>
    <row r="16" spans="2:14" ht="15" customHeight="1" x14ac:dyDescent="0.25">
      <c r="B16" s="19"/>
      <c r="C16" s="5" t="s">
        <v>27</v>
      </c>
      <c r="D16" s="6" t="s">
        <v>26</v>
      </c>
      <c r="E16" s="11">
        <v>4.0065000000000003E-2</v>
      </c>
      <c r="F16" s="1"/>
      <c r="G16" s="1"/>
      <c r="H16" s="1"/>
      <c r="I16" s="1"/>
      <c r="J16" s="1"/>
      <c r="K16" s="1"/>
      <c r="L16" s="1"/>
      <c r="M16" s="1"/>
      <c r="N16" s="17"/>
    </row>
    <row r="17" spans="2:14" ht="15" customHeight="1" x14ac:dyDescent="0.25">
      <c r="B17" s="19"/>
      <c r="C17" s="5" t="s">
        <v>29</v>
      </c>
      <c r="D17" s="6" t="s">
        <v>26</v>
      </c>
      <c r="E17" s="11">
        <v>3.3237000000000003E-2</v>
      </c>
      <c r="F17" s="1"/>
      <c r="G17" s="1"/>
      <c r="H17" s="1"/>
      <c r="I17" s="1"/>
      <c r="J17" s="1"/>
      <c r="K17" s="1"/>
      <c r="L17" s="1"/>
      <c r="M17" s="1"/>
      <c r="N17" s="17"/>
    </row>
    <row r="18" spans="2:14" ht="15" customHeight="1" x14ac:dyDescent="0.25">
      <c r="B18" s="19"/>
      <c r="C18" s="5" t="s">
        <v>30</v>
      </c>
      <c r="D18" s="6" t="s">
        <v>26</v>
      </c>
      <c r="E18" s="11">
        <v>2.5364999999999999E-2</v>
      </c>
      <c r="F18" s="1"/>
      <c r="G18" s="1"/>
      <c r="H18" s="1"/>
      <c r="I18" s="1"/>
      <c r="J18" s="1"/>
      <c r="K18" s="1"/>
      <c r="L18" s="1"/>
      <c r="M18" s="1"/>
      <c r="N18" s="17"/>
    </row>
    <row r="19" spans="2:14" ht="15" customHeight="1" x14ac:dyDescent="0.25">
      <c r="B19" s="19"/>
      <c r="C19" s="5" t="s">
        <v>38</v>
      </c>
      <c r="D19" s="6" t="s">
        <v>26</v>
      </c>
      <c r="E19" s="11">
        <v>1.9210000000000001E-2</v>
      </c>
      <c r="F19" s="1"/>
      <c r="G19" s="1"/>
      <c r="H19" s="1"/>
      <c r="I19" s="1"/>
      <c r="J19" s="1"/>
      <c r="K19" s="1"/>
      <c r="L19" s="1"/>
      <c r="M19" s="1"/>
      <c r="N19" s="17"/>
    </row>
    <row r="20" spans="2:14" ht="15" customHeight="1" x14ac:dyDescent="0.25">
      <c r="B20" s="19"/>
      <c r="C20" s="5" t="s">
        <v>19</v>
      </c>
      <c r="D20" s="6" t="s">
        <v>26</v>
      </c>
      <c r="E20" s="11">
        <v>1.4373E-2</v>
      </c>
      <c r="F20" s="1"/>
      <c r="G20" s="1"/>
      <c r="H20" s="1"/>
      <c r="I20" s="1"/>
      <c r="J20" s="1"/>
      <c r="K20" s="1"/>
      <c r="L20" s="1"/>
      <c r="M20" s="1"/>
      <c r="N20" s="17"/>
    </row>
    <row r="21" spans="2:14" ht="15" customHeight="1" x14ac:dyDescent="0.25">
      <c r="B21" s="19"/>
      <c r="C21" s="5" t="s">
        <v>96</v>
      </c>
      <c r="D21" s="6" t="s">
        <v>26</v>
      </c>
      <c r="E21" s="11">
        <v>1.4021E-2</v>
      </c>
      <c r="F21" s="1"/>
      <c r="G21" s="1"/>
      <c r="H21" s="1"/>
      <c r="I21" s="1"/>
      <c r="J21" s="1"/>
      <c r="K21" s="1"/>
      <c r="L21" s="1"/>
      <c r="M21" s="1"/>
      <c r="N21" s="17"/>
    </row>
    <row r="22" spans="2:14" ht="15" customHeight="1" x14ac:dyDescent="0.25">
      <c r="B22" s="19"/>
      <c r="C22" s="5" t="s">
        <v>34</v>
      </c>
      <c r="D22" s="6" t="s">
        <v>26</v>
      </c>
      <c r="E22" s="11">
        <v>1.2208999999999999E-2</v>
      </c>
      <c r="F22" s="1"/>
      <c r="G22" s="1"/>
      <c r="H22" s="1"/>
      <c r="I22" s="1"/>
      <c r="J22" s="1"/>
      <c r="K22" s="1"/>
      <c r="L22" s="1"/>
      <c r="M22" s="1"/>
      <c r="N22" s="17"/>
    </row>
    <row r="23" spans="2:14" ht="15" customHeight="1" x14ac:dyDescent="0.25">
      <c r="B23" s="19"/>
      <c r="C23" s="5" t="s">
        <v>40</v>
      </c>
      <c r="D23" s="6" t="s">
        <v>26</v>
      </c>
      <c r="E23" s="11">
        <v>1.1655E-2</v>
      </c>
      <c r="F23" s="1"/>
      <c r="G23" s="1"/>
      <c r="H23" s="1"/>
      <c r="I23" s="1"/>
      <c r="J23" s="1"/>
      <c r="K23" s="1"/>
      <c r="L23" s="1"/>
      <c r="M23" s="1"/>
      <c r="N23" s="17"/>
    </row>
    <row r="24" spans="2:14" ht="15" customHeight="1" x14ac:dyDescent="0.25">
      <c r="B24" s="19"/>
      <c r="C24" s="5" t="s">
        <v>97</v>
      </c>
      <c r="D24" s="6" t="s">
        <v>26</v>
      </c>
      <c r="E24" s="11">
        <v>9.9590000000000008E-3</v>
      </c>
      <c r="F24" s="1"/>
      <c r="G24" s="1"/>
      <c r="H24" s="1"/>
      <c r="I24" s="1"/>
      <c r="J24" s="1"/>
      <c r="K24" s="1"/>
      <c r="L24" s="1"/>
      <c r="M24" s="1"/>
      <c r="N24" s="17"/>
    </row>
    <row r="25" spans="2:14" ht="15" customHeight="1" x14ac:dyDescent="0.25">
      <c r="B25" s="19"/>
      <c r="C25" s="5" t="s">
        <v>21</v>
      </c>
      <c r="D25" s="6" t="s">
        <v>26</v>
      </c>
      <c r="E25" s="11">
        <v>8.3490000000000005E-3</v>
      </c>
      <c r="F25" s="1"/>
      <c r="G25" s="1"/>
      <c r="H25" s="1"/>
      <c r="I25" s="1"/>
      <c r="J25" s="1"/>
      <c r="K25" s="1"/>
      <c r="L25" s="1"/>
      <c r="M25" s="1"/>
      <c r="N25" s="17"/>
    </row>
    <row r="26" spans="2:14" ht="15" customHeight="1" x14ac:dyDescent="0.25">
      <c r="B26" s="19"/>
      <c r="C26" s="5" t="s">
        <v>33</v>
      </c>
      <c r="D26" s="6" t="s">
        <v>26</v>
      </c>
      <c r="E26" s="11">
        <v>6.267E-3</v>
      </c>
      <c r="F26" s="1"/>
      <c r="G26" s="34" t="s">
        <v>17</v>
      </c>
      <c r="H26" s="35"/>
      <c r="I26" s="35"/>
      <c r="J26" s="35"/>
      <c r="K26" s="35"/>
      <c r="L26" s="35"/>
      <c r="M26" s="35"/>
      <c r="N26" s="36"/>
    </row>
    <row r="27" spans="2:14" ht="15" customHeight="1" x14ac:dyDescent="0.25">
      <c r="B27" s="19"/>
      <c r="C27" s="5" t="s">
        <v>43</v>
      </c>
      <c r="D27" s="6" t="s">
        <v>26</v>
      </c>
      <c r="E27" s="11">
        <v>4.7959999999999999E-3</v>
      </c>
      <c r="F27" s="1"/>
      <c r="G27" s="1"/>
      <c r="H27" s="1"/>
      <c r="I27" s="1"/>
      <c r="J27" s="1"/>
      <c r="K27" s="1"/>
      <c r="L27" s="1"/>
      <c r="M27" s="1"/>
      <c r="N27" s="17"/>
    </row>
    <row r="28" spans="2:14" ht="15" customHeight="1" x14ac:dyDescent="0.25">
      <c r="B28" s="19"/>
      <c r="C28" s="5" t="s">
        <v>36</v>
      </c>
      <c r="D28" s="6" t="s">
        <v>26</v>
      </c>
      <c r="E28" s="11">
        <v>4.2770000000000004E-3</v>
      </c>
      <c r="F28" s="1"/>
      <c r="G28" s="1"/>
      <c r="H28" s="1"/>
      <c r="I28" s="1"/>
      <c r="J28" s="1"/>
      <c r="K28" s="1"/>
      <c r="L28" s="1"/>
      <c r="M28" s="1"/>
      <c r="N28" s="17"/>
    </row>
    <row r="29" spans="2:14" ht="15" customHeight="1" x14ac:dyDescent="0.25">
      <c r="B29" s="19"/>
      <c r="C29" s="5" t="s">
        <v>39</v>
      </c>
      <c r="D29" s="6" t="s">
        <v>26</v>
      </c>
      <c r="E29" s="11">
        <v>1.4909999999999999E-3</v>
      </c>
      <c r="F29" s="1"/>
      <c r="G29" s="1"/>
      <c r="H29" s="1"/>
      <c r="I29" s="1"/>
      <c r="J29" s="1"/>
      <c r="K29" s="1"/>
      <c r="L29" s="1"/>
      <c r="M29" s="1"/>
      <c r="N29" s="17"/>
    </row>
    <row r="30" spans="2:14" ht="15" customHeight="1" x14ac:dyDescent="0.25">
      <c r="B30" s="19"/>
      <c r="C30" s="5" t="s">
        <v>83</v>
      </c>
      <c r="D30" s="6" t="s">
        <v>26</v>
      </c>
      <c r="E30" s="11">
        <v>1.2160000000000001E-3</v>
      </c>
      <c r="F30" s="1"/>
      <c r="G30" s="1"/>
      <c r="H30" s="1"/>
      <c r="I30" s="1"/>
      <c r="J30" s="1"/>
      <c r="K30" s="1"/>
      <c r="L30" s="1"/>
      <c r="M30" s="1"/>
      <c r="N30" s="17"/>
    </row>
    <row r="31" spans="2:14" ht="15" customHeight="1" x14ac:dyDescent="0.25">
      <c r="B31" s="19"/>
      <c r="C31" s="5" t="s">
        <v>31</v>
      </c>
      <c r="D31" s="6" t="s">
        <v>26</v>
      </c>
      <c r="E31" s="11">
        <v>7.3700000000000002E-4</v>
      </c>
      <c r="F31" s="1"/>
      <c r="G31" s="1"/>
      <c r="H31" s="1"/>
      <c r="I31" s="1"/>
      <c r="J31" s="1"/>
      <c r="K31" s="1"/>
      <c r="L31" s="1"/>
      <c r="M31" s="1"/>
      <c r="N31" s="17"/>
    </row>
    <row r="32" spans="2:14" ht="15.75" customHeight="1" x14ac:dyDescent="0.25">
      <c r="B32" s="19"/>
      <c r="C32" s="7" t="s">
        <v>46</v>
      </c>
      <c r="D32" s="8"/>
      <c r="E32" s="12">
        <v>0.71221800000000002</v>
      </c>
      <c r="F32" s="1"/>
      <c r="G32" s="1"/>
      <c r="H32" s="1"/>
      <c r="I32" s="1"/>
      <c r="J32" s="1"/>
      <c r="K32" s="1"/>
      <c r="L32" s="1"/>
      <c r="M32" s="1"/>
      <c r="N32" s="17"/>
    </row>
    <row r="33" spans="2:14" ht="15" customHeight="1" x14ac:dyDescent="0.25">
      <c r="B33" s="19"/>
      <c r="C33" s="5" t="s">
        <v>52</v>
      </c>
      <c r="D33" s="6" t="s">
        <v>50</v>
      </c>
      <c r="E33" s="11">
        <v>0.18462200000000001</v>
      </c>
      <c r="F33" s="1"/>
      <c r="G33" s="1"/>
      <c r="H33" s="1"/>
      <c r="I33" s="1"/>
      <c r="J33" s="1"/>
      <c r="K33" s="1"/>
      <c r="L33" s="1"/>
      <c r="M33" s="1"/>
      <c r="N33" s="17"/>
    </row>
    <row r="34" spans="2:14" ht="15" customHeight="1" x14ac:dyDescent="0.25">
      <c r="B34" s="19"/>
      <c r="C34" s="5" t="s">
        <v>49</v>
      </c>
      <c r="D34" s="6" t="s">
        <v>50</v>
      </c>
      <c r="E34" s="11">
        <v>2.8313000000000001E-2</v>
      </c>
      <c r="F34" s="1"/>
      <c r="G34" s="1"/>
      <c r="H34" s="1"/>
      <c r="I34" s="1"/>
      <c r="J34" s="1"/>
      <c r="K34" s="1"/>
      <c r="L34" s="1"/>
      <c r="M34" s="1"/>
      <c r="N34" s="17"/>
    </row>
    <row r="35" spans="2:14" ht="15" customHeight="1" x14ac:dyDescent="0.25">
      <c r="B35" s="19"/>
      <c r="C35" s="5" t="s">
        <v>55</v>
      </c>
      <c r="D35" s="6" t="s">
        <v>50</v>
      </c>
      <c r="E35" s="11">
        <v>2.5599999999999999E-4</v>
      </c>
      <c r="F35" s="1"/>
      <c r="G35" s="1"/>
      <c r="H35" s="1"/>
      <c r="I35" s="1"/>
      <c r="J35" s="1"/>
      <c r="K35" s="1"/>
      <c r="L35" s="1"/>
      <c r="M35" s="1"/>
      <c r="N35" s="17"/>
    </row>
    <row r="36" spans="2:14" ht="15.75" customHeight="1" x14ac:dyDescent="0.25">
      <c r="B36" s="19"/>
      <c r="C36" s="7" t="s">
        <v>57</v>
      </c>
      <c r="D36" s="8"/>
      <c r="E36" s="12">
        <v>0.21319099999999999</v>
      </c>
      <c r="F36" s="1"/>
      <c r="G36" s="1"/>
      <c r="H36" s="1"/>
      <c r="I36" s="1"/>
      <c r="J36" s="1"/>
      <c r="K36" s="1"/>
      <c r="L36" s="1"/>
      <c r="M36" s="1"/>
      <c r="N36" s="17"/>
    </row>
    <row r="37" spans="2:14" ht="15" customHeight="1" x14ac:dyDescent="0.25">
      <c r="B37" s="19"/>
      <c r="C37" s="5" t="s">
        <v>161</v>
      </c>
      <c r="D37" s="6" t="s">
        <v>50</v>
      </c>
      <c r="E37" s="11">
        <v>3.3059999999999999E-3</v>
      </c>
      <c r="F37" s="1"/>
      <c r="G37" s="1"/>
      <c r="H37" s="1"/>
      <c r="I37" s="1"/>
      <c r="J37" s="1"/>
      <c r="K37" s="1"/>
      <c r="L37" s="1"/>
      <c r="M37" s="1"/>
      <c r="N37" s="17"/>
    </row>
    <row r="38" spans="2:14" ht="15.75" customHeight="1" x14ac:dyDescent="0.25">
      <c r="B38" s="19"/>
      <c r="C38" s="5" t="s">
        <v>173</v>
      </c>
      <c r="D38" s="6" t="s">
        <v>50</v>
      </c>
      <c r="E38" s="11">
        <v>7.8600000000000002E-4</v>
      </c>
      <c r="F38" s="1"/>
      <c r="G38" s="1"/>
      <c r="H38" s="1"/>
      <c r="I38" s="1"/>
      <c r="J38" s="1"/>
      <c r="K38" s="1"/>
      <c r="L38" s="1"/>
      <c r="M38" s="1"/>
      <c r="N38" s="17"/>
    </row>
    <row r="39" spans="2:14" ht="15" customHeight="1" x14ac:dyDescent="0.25">
      <c r="B39" s="19"/>
      <c r="C39" s="5" t="s">
        <v>167</v>
      </c>
      <c r="D39" s="6" t="s">
        <v>50</v>
      </c>
      <c r="E39" s="11">
        <v>2.614E-3</v>
      </c>
      <c r="F39" s="1"/>
      <c r="G39" s="1"/>
      <c r="H39" s="1"/>
      <c r="I39" s="1"/>
      <c r="J39" s="1"/>
      <c r="K39" s="1"/>
      <c r="L39" s="1"/>
      <c r="M39" s="1"/>
      <c r="N39" s="17"/>
    </row>
    <row r="40" spans="2:14" ht="15.75" customHeight="1" x14ac:dyDescent="0.25">
      <c r="B40" s="19"/>
      <c r="C40" s="5" t="s">
        <v>174</v>
      </c>
      <c r="D40" s="6" t="s">
        <v>50</v>
      </c>
      <c r="E40" s="11">
        <v>7.3210000000000003E-3</v>
      </c>
      <c r="F40" s="1"/>
      <c r="G40" s="1"/>
      <c r="H40" s="1"/>
      <c r="I40" s="1"/>
      <c r="J40" s="1"/>
      <c r="K40" s="1"/>
      <c r="L40" s="1"/>
      <c r="M40" s="1"/>
      <c r="N40" s="17"/>
    </row>
    <row r="41" spans="2:14" ht="15" customHeight="1" x14ac:dyDescent="0.25">
      <c r="B41" s="19"/>
      <c r="C41" s="5" t="s">
        <v>175</v>
      </c>
      <c r="D41" s="6" t="s">
        <v>50</v>
      </c>
      <c r="E41" s="11">
        <v>2.6400000000000002E-4</v>
      </c>
      <c r="F41" s="1"/>
      <c r="G41" s="1"/>
      <c r="H41" s="1"/>
      <c r="I41" s="1"/>
      <c r="J41" s="1"/>
      <c r="K41" s="1"/>
      <c r="L41" s="1"/>
      <c r="M41" s="1"/>
      <c r="N41" s="17"/>
    </row>
    <row r="42" spans="2:14" ht="15.75" customHeight="1" x14ac:dyDescent="0.25">
      <c r="B42" s="19"/>
      <c r="C42" s="5" t="s">
        <v>176</v>
      </c>
      <c r="D42" s="6" t="s">
        <v>50</v>
      </c>
      <c r="E42" s="11">
        <v>1.856E-3</v>
      </c>
      <c r="F42" s="1"/>
      <c r="G42" s="1"/>
      <c r="H42" s="1"/>
      <c r="I42" s="1"/>
      <c r="J42" s="1"/>
      <c r="K42" s="1"/>
      <c r="L42" s="1"/>
      <c r="M42" s="1"/>
      <c r="N42" s="17"/>
    </row>
    <row r="43" spans="2:14" ht="15" customHeight="1" x14ac:dyDescent="0.25">
      <c r="B43" s="19"/>
      <c r="C43" s="5" t="s">
        <v>177</v>
      </c>
      <c r="D43" s="6" t="s">
        <v>50</v>
      </c>
      <c r="E43" s="11">
        <v>1.5920000000000001E-3</v>
      </c>
      <c r="F43" s="1"/>
      <c r="G43" s="1"/>
      <c r="H43" s="1"/>
      <c r="I43" s="1"/>
      <c r="J43" s="1"/>
      <c r="K43" s="1"/>
      <c r="L43" s="1"/>
      <c r="M43" s="1"/>
      <c r="N43" s="17"/>
    </row>
    <row r="44" spans="2:14" ht="15.75" customHeight="1" x14ac:dyDescent="0.25">
      <c r="B44" s="19"/>
      <c r="C44" s="5" t="s">
        <v>178</v>
      </c>
      <c r="D44" s="6" t="s">
        <v>50</v>
      </c>
      <c r="E44" s="11">
        <v>1.333E-3</v>
      </c>
      <c r="F44" s="1"/>
      <c r="G44" s="1"/>
      <c r="H44" s="1"/>
      <c r="I44" s="1"/>
      <c r="J44" s="1"/>
      <c r="K44" s="1"/>
      <c r="L44" s="1"/>
      <c r="M44" s="1"/>
      <c r="N44" s="17"/>
    </row>
    <row r="45" spans="2:14" ht="15" customHeight="1" x14ac:dyDescent="0.25">
      <c r="B45" s="19"/>
      <c r="C45" s="5" t="s">
        <v>179</v>
      </c>
      <c r="D45" s="6" t="s">
        <v>50</v>
      </c>
      <c r="E45" s="11">
        <v>5.3300000000000005E-4</v>
      </c>
      <c r="F45" s="1"/>
      <c r="G45" s="1"/>
      <c r="H45" s="1"/>
      <c r="I45" s="1"/>
      <c r="J45" s="1"/>
      <c r="K45" s="1"/>
      <c r="L45" s="1"/>
      <c r="M45" s="1"/>
      <c r="N45" s="17"/>
    </row>
    <row r="46" spans="2:14" ht="15" customHeight="1" x14ac:dyDescent="0.25">
      <c r="B46" s="19"/>
      <c r="C46" s="5" t="s">
        <v>180</v>
      </c>
      <c r="D46" s="6" t="s">
        <v>50</v>
      </c>
      <c r="E46" s="11">
        <v>1.859E-3</v>
      </c>
      <c r="F46" s="1"/>
      <c r="G46" s="1"/>
      <c r="H46" s="1"/>
      <c r="I46" s="1"/>
      <c r="J46" s="1"/>
      <c r="K46" s="1"/>
      <c r="L46" s="1"/>
      <c r="M46" s="1"/>
      <c r="N46" s="17"/>
    </row>
    <row r="47" spans="2:14" ht="15" customHeight="1" x14ac:dyDescent="0.25">
      <c r="B47" s="19"/>
      <c r="C47" s="5" t="s">
        <v>181</v>
      </c>
      <c r="D47" s="6" t="s">
        <v>50</v>
      </c>
      <c r="E47" s="11">
        <v>2.6499999999999999E-4</v>
      </c>
      <c r="F47" s="1"/>
      <c r="G47" s="1"/>
      <c r="H47" s="1"/>
      <c r="I47" s="1"/>
      <c r="J47" s="1"/>
      <c r="K47" s="1"/>
      <c r="L47" s="1"/>
      <c r="M47" s="1"/>
      <c r="N47" s="17"/>
    </row>
    <row r="48" spans="2:14" ht="15" customHeight="1" x14ac:dyDescent="0.25">
      <c r="B48" s="19"/>
      <c r="C48" s="5" t="s">
        <v>182</v>
      </c>
      <c r="D48" s="6" t="s">
        <v>50</v>
      </c>
      <c r="E48" s="11">
        <v>5.2499999999999997E-4</v>
      </c>
      <c r="F48" s="1"/>
      <c r="G48" s="1"/>
      <c r="H48" s="1"/>
      <c r="I48" s="1"/>
      <c r="J48" s="1"/>
      <c r="K48" s="1"/>
      <c r="L48" s="1"/>
      <c r="M48" s="1"/>
      <c r="N48" s="17"/>
    </row>
    <row r="49" spans="2:14" ht="15" customHeight="1" x14ac:dyDescent="0.25">
      <c r="B49" s="19"/>
      <c r="C49" s="5" t="s">
        <v>183</v>
      </c>
      <c r="D49" s="6" t="s">
        <v>50</v>
      </c>
      <c r="E49" s="11">
        <v>1.3190000000000001E-3</v>
      </c>
      <c r="F49" s="1"/>
      <c r="G49" s="1"/>
      <c r="H49" s="1"/>
      <c r="I49" s="1"/>
      <c r="J49" s="1"/>
      <c r="K49" s="1"/>
      <c r="L49" s="1"/>
      <c r="M49" s="1"/>
      <c r="N49" s="17"/>
    </row>
    <row r="50" spans="2:14" ht="15" customHeight="1" x14ac:dyDescent="0.25">
      <c r="B50" s="19"/>
      <c r="C50" s="5" t="s">
        <v>184</v>
      </c>
      <c r="D50" s="6" t="s">
        <v>50</v>
      </c>
      <c r="E50" s="11">
        <v>2.6350000000000002E-3</v>
      </c>
      <c r="F50" s="1"/>
      <c r="G50" s="1"/>
      <c r="H50" s="1"/>
      <c r="I50" s="1"/>
      <c r="J50" s="1"/>
      <c r="K50" s="1"/>
      <c r="L50" s="1"/>
      <c r="M50" s="1"/>
      <c r="N50" s="17"/>
    </row>
    <row r="51" spans="2:14" ht="15" customHeight="1" x14ac:dyDescent="0.25">
      <c r="B51" s="19"/>
      <c r="C51" s="5" t="s">
        <v>185</v>
      </c>
      <c r="D51" s="6" t="s">
        <v>50</v>
      </c>
      <c r="E51" s="11">
        <v>1.0629999999999999E-3</v>
      </c>
      <c r="F51" s="1"/>
      <c r="G51" s="1"/>
      <c r="H51" s="1"/>
      <c r="I51" s="1"/>
      <c r="J51" s="1"/>
      <c r="K51" s="1"/>
      <c r="L51" s="1"/>
      <c r="M51" s="1"/>
      <c r="N51" s="17"/>
    </row>
    <row r="52" spans="2:14" ht="15" customHeight="1" x14ac:dyDescent="0.25">
      <c r="B52" s="19"/>
      <c r="C52" s="5" t="s">
        <v>186</v>
      </c>
      <c r="D52" s="6" t="s">
        <v>50</v>
      </c>
      <c r="E52" s="11">
        <v>3.503E-3</v>
      </c>
      <c r="F52" s="1"/>
      <c r="G52" s="1"/>
      <c r="H52" s="1"/>
      <c r="I52" s="1"/>
      <c r="J52" s="1"/>
      <c r="K52" s="1"/>
      <c r="L52" s="1"/>
      <c r="M52" s="1"/>
      <c r="N52" s="17"/>
    </row>
    <row r="53" spans="2:14" ht="15" customHeight="1" x14ac:dyDescent="0.25">
      <c r="B53" s="19"/>
      <c r="C53" s="5" t="s">
        <v>187</v>
      </c>
      <c r="D53" s="6" t="s">
        <v>50</v>
      </c>
      <c r="E53" s="11">
        <v>2.091E-3</v>
      </c>
      <c r="F53" s="1"/>
      <c r="G53" s="1"/>
      <c r="H53" s="1"/>
      <c r="I53" s="1"/>
      <c r="J53" s="1"/>
      <c r="K53" s="1"/>
      <c r="L53" s="1"/>
      <c r="M53" s="1"/>
      <c r="N53" s="17"/>
    </row>
    <row r="54" spans="2:14" ht="15" customHeight="1" x14ac:dyDescent="0.25">
      <c r="B54" s="19"/>
      <c r="C54" s="5" t="s">
        <v>188</v>
      </c>
      <c r="D54" s="6" t="s">
        <v>50</v>
      </c>
      <c r="E54" s="11">
        <v>1.22E-4</v>
      </c>
      <c r="F54" s="1"/>
      <c r="G54" s="1"/>
      <c r="H54" s="1"/>
      <c r="I54" s="1"/>
      <c r="J54" s="1"/>
      <c r="K54" s="1"/>
      <c r="L54" s="1"/>
      <c r="M54" s="1"/>
      <c r="N54" s="17"/>
    </row>
    <row r="55" spans="2:14" ht="15" customHeight="1" x14ac:dyDescent="0.25">
      <c r="B55" s="19"/>
      <c r="C55" s="5" t="s">
        <v>189</v>
      </c>
      <c r="D55" s="6" t="s">
        <v>50</v>
      </c>
      <c r="E55" s="11">
        <v>1.2210000000000001E-3</v>
      </c>
      <c r="F55" s="1"/>
      <c r="G55" s="1"/>
      <c r="H55" s="1"/>
      <c r="I55" s="1"/>
      <c r="J55" s="1"/>
      <c r="K55" s="1"/>
      <c r="L55" s="1"/>
      <c r="M55" s="1"/>
      <c r="N55" s="17"/>
    </row>
    <row r="56" spans="2:14" ht="15" customHeight="1" x14ac:dyDescent="0.25">
      <c r="B56" s="19"/>
      <c r="C56" s="5" t="s">
        <v>190</v>
      </c>
      <c r="D56" s="6" t="s">
        <v>50</v>
      </c>
      <c r="E56" s="11">
        <v>2.4399999999999999E-3</v>
      </c>
      <c r="F56" s="1"/>
      <c r="G56" s="1"/>
      <c r="H56" s="1"/>
      <c r="I56" s="1"/>
      <c r="J56" s="1"/>
      <c r="K56" s="1"/>
      <c r="L56" s="1"/>
      <c r="M56" s="1"/>
      <c r="N56" s="17"/>
    </row>
    <row r="57" spans="2:14" ht="15" customHeight="1" x14ac:dyDescent="0.25">
      <c r="B57" s="19"/>
      <c r="C57" s="5" t="s">
        <v>191</v>
      </c>
      <c r="D57" s="6" t="s">
        <v>50</v>
      </c>
      <c r="E57" s="11">
        <v>4.3000000000000002E-5</v>
      </c>
      <c r="F57" s="1"/>
      <c r="G57" s="1"/>
      <c r="H57" s="1"/>
      <c r="I57" s="1"/>
      <c r="J57" s="1"/>
      <c r="K57" s="1"/>
      <c r="L57" s="1"/>
      <c r="M57" s="1"/>
      <c r="N57" s="17"/>
    </row>
    <row r="58" spans="2:14" ht="15" customHeight="1" x14ac:dyDescent="0.25">
      <c r="B58" s="19"/>
      <c r="C58" s="7" t="s">
        <v>58</v>
      </c>
      <c r="D58" s="8"/>
      <c r="E58" s="12">
        <v>3.6691000000000001E-2</v>
      </c>
      <c r="F58" s="1"/>
      <c r="G58" s="1"/>
      <c r="H58" s="1"/>
      <c r="I58" s="1"/>
      <c r="J58" s="1"/>
      <c r="K58" s="1"/>
      <c r="L58" s="1"/>
      <c r="M58" s="1"/>
      <c r="N58" s="17"/>
    </row>
    <row r="59" spans="2:14" ht="15" customHeight="1" x14ac:dyDescent="0.25">
      <c r="B59" s="19"/>
      <c r="C59" s="5" t="s">
        <v>8</v>
      </c>
      <c r="D59" s="6"/>
      <c r="E59" s="11">
        <v>4.7039999999999998E-3</v>
      </c>
      <c r="F59" s="1"/>
      <c r="G59" s="1"/>
      <c r="H59" s="1"/>
      <c r="I59" s="1"/>
      <c r="J59" s="1"/>
      <c r="K59" s="1"/>
      <c r="L59" s="1"/>
      <c r="M59" s="1"/>
      <c r="N59" s="17"/>
    </row>
    <row r="60" spans="2:14" ht="15" customHeight="1" x14ac:dyDescent="0.25">
      <c r="B60" s="19"/>
      <c r="C60" s="7" t="s">
        <v>9</v>
      </c>
      <c r="D60" s="8"/>
      <c r="E60" s="12">
        <v>4.7039999999999998E-3</v>
      </c>
      <c r="F60" s="1"/>
      <c r="G60" s="1"/>
      <c r="H60" s="1"/>
      <c r="I60" s="1"/>
      <c r="J60" s="1"/>
      <c r="K60" s="1"/>
      <c r="L60" s="1"/>
      <c r="M60" s="1"/>
      <c r="N60" s="17"/>
    </row>
    <row r="61" spans="2:14" ht="15" customHeight="1" x14ac:dyDescent="0.25">
      <c r="B61" s="19"/>
      <c r="C61" s="5" t="s">
        <v>27</v>
      </c>
      <c r="D61" s="6" t="s">
        <v>26</v>
      </c>
      <c r="E61" s="11">
        <v>9.2E-5</v>
      </c>
      <c r="F61" s="1"/>
      <c r="G61" s="1"/>
      <c r="H61" s="1"/>
      <c r="I61" s="1"/>
      <c r="J61" s="1"/>
      <c r="K61" s="1"/>
      <c r="L61" s="1"/>
      <c r="M61" s="1"/>
      <c r="N61" s="17"/>
    </row>
    <row r="62" spans="2:14" ht="15" customHeight="1" x14ac:dyDescent="0.25">
      <c r="B62" s="19"/>
      <c r="C62" s="7" t="s">
        <v>59</v>
      </c>
      <c r="D62" s="8"/>
      <c r="E62" s="12">
        <v>9.2E-5</v>
      </c>
      <c r="F62" s="1"/>
      <c r="G62" s="1"/>
      <c r="H62" s="1"/>
      <c r="I62" s="1"/>
      <c r="J62" s="1"/>
      <c r="K62" s="1"/>
      <c r="L62" s="1"/>
      <c r="M62" s="1"/>
      <c r="N62" s="17"/>
    </row>
    <row r="63" spans="2:14" ht="15" customHeight="1" x14ac:dyDescent="0.25">
      <c r="B63" s="19"/>
      <c r="C63" s="5"/>
      <c r="D63" s="6"/>
      <c r="E63" s="11"/>
      <c r="F63" s="1"/>
      <c r="G63" s="1"/>
      <c r="H63" s="1"/>
      <c r="I63" s="1"/>
      <c r="J63" s="1"/>
      <c r="K63" s="1"/>
      <c r="L63" s="1"/>
      <c r="M63" s="1"/>
      <c r="N63" s="17"/>
    </row>
    <row r="64" spans="2:14" ht="15" customHeight="1" x14ac:dyDescent="0.25">
      <c r="B64" s="19"/>
      <c r="C64" s="7" t="s">
        <v>10</v>
      </c>
      <c r="D64" s="8"/>
      <c r="E64" s="12">
        <v>3.0759999999999999E-2</v>
      </c>
      <c r="F64" s="1"/>
      <c r="G64" s="1"/>
      <c r="H64" s="1"/>
      <c r="I64" s="1"/>
      <c r="J64" s="1"/>
      <c r="K64" s="1"/>
      <c r="L64" s="1"/>
      <c r="M64" s="1"/>
      <c r="N64" s="17"/>
    </row>
    <row r="65" spans="2:14" ht="15" customHeight="1" x14ac:dyDescent="0.25">
      <c r="B65" s="19"/>
      <c r="C65" s="5"/>
      <c r="D65" s="6"/>
      <c r="E65" s="11"/>
      <c r="F65" s="1"/>
      <c r="G65" s="1"/>
      <c r="H65" s="1"/>
      <c r="I65" s="1"/>
      <c r="J65" s="1"/>
      <c r="K65" s="1"/>
      <c r="L65" s="1"/>
      <c r="M65" s="1"/>
      <c r="N65" s="17"/>
    </row>
    <row r="66" spans="2:14" ht="15" customHeight="1" x14ac:dyDescent="0.25">
      <c r="B66" s="19"/>
      <c r="C66" s="9" t="s">
        <v>11</v>
      </c>
      <c r="D66" s="10"/>
      <c r="E66" s="13">
        <v>1</v>
      </c>
      <c r="F66" s="1"/>
      <c r="G66" s="1"/>
      <c r="H66" s="1"/>
      <c r="I66" s="1"/>
      <c r="J66" s="1"/>
      <c r="K66" s="1"/>
      <c r="L66" s="1"/>
      <c r="M66" s="1"/>
      <c r="N66" s="17"/>
    </row>
    <row r="67" spans="2:14" ht="15" customHeight="1" x14ac:dyDescent="0.25">
      <c r="B67" s="19"/>
      <c r="C67" s="1"/>
      <c r="D67" s="1"/>
      <c r="E67" s="1"/>
      <c r="F67" s="1"/>
      <c r="G67" s="1"/>
      <c r="H67" s="1"/>
      <c r="I67" s="1"/>
      <c r="J67" s="1"/>
      <c r="K67" s="1"/>
      <c r="L67" s="1"/>
      <c r="M67" s="1"/>
      <c r="N67" s="17"/>
    </row>
    <row r="68" spans="2:14" ht="15" customHeight="1" thickBot="1" x14ac:dyDescent="0.3">
      <c r="B68" s="20"/>
      <c r="C68" s="21"/>
      <c r="D68" s="21"/>
      <c r="E68" s="21"/>
      <c r="F68" s="21"/>
      <c r="G68" s="21"/>
      <c r="H68" s="21"/>
      <c r="I68" s="21"/>
      <c r="J68" s="21"/>
      <c r="K68" s="21"/>
      <c r="L68" s="21"/>
      <c r="M68" s="21"/>
      <c r="N68" s="22"/>
    </row>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sheetData>
  <mergeCells count="3">
    <mergeCell ref="C3:N3"/>
    <mergeCell ref="G7:N7"/>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9"/>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199</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19</v>
      </c>
      <c r="D8" s="6" t="s">
        <v>20</v>
      </c>
      <c r="E8" s="11">
        <v>1.1423000000000001E-2</v>
      </c>
      <c r="F8" s="1"/>
      <c r="G8" s="23" t="s">
        <v>15</v>
      </c>
      <c r="H8" s="11">
        <f>100%-H9</f>
        <v>0.97256299999999996</v>
      </c>
      <c r="I8" s="1"/>
      <c r="J8" s="23" t="s">
        <v>12</v>
      </c>
      <c r="K8" s="23" t="s">
        <v>3</v>
      </c>
      <c r="L8" s="1"/>
      <c r="M8" s="1"/>
      <c r="N8" s="17"/>
    </row>
    <row r="9" spans="2:14" ht="15.75" customHeight="1" x14ac:dyDescent="0.25">
      <c r="B9" s="19"/>
      <c r="C9" s="7" t="s">
        <v>22</v>
      </c>
      <c r="D9" s="8"/>
      <c r="E9" s="12">
        <v>1.1423000000000001E-2</v>
      </c>
      <c r="F9" s="1"/>
      <c r="G9" s="23" t="s">
        <v>107</v>
      </c>
      <c r="H9" s="11">
        <v>2.7437000000000003E-2</v>
      </c>
      <c r="I9" s="1"/>
      <c r="J9" s="23" t="s">
        <v>10</v>
      </c>
      <c r="K9" s="25">
        <f>E35</f>
        <v>7.1260000000000004E-3</v>
      </c>
      <c r="L9" s="1"/>
      <c r="M9" s="1"/>
      <c r="N9" s="17"/>
    </row>
    <row r="10" spans="2:14" ht="15" customHeight="1" x14ac:dyDescent="0.25">
      <c r="B10" s="19"/>
      <c r="C10" s="5" t="s">
        <v>35</v>
      </c>
      <c r="D10" s="6" t="s">
        <v>20</v>
      </c>
      <c r="E10" s="11">
        <v>7.7438000000000007E-2</v>
      </c>
      <c r="F10" s="1"/>
      <c r="G10" s="1"/>
      <c r="H10" s="11"/>
      <c r="I10" s="1"/>
      <c r="J10" s="23" t="s">
        <v>13</v>
      </c>
      <c r="K10" s="25">
        <f>E33</f>
        <v>0.22672600000000001</v>
      </c>
      <c r="L10" s="1"/>
      <c r="M10" s="1"/>
      <c r="N10" s="17"/>
    </row>
    <row r="11" spans="2:14" ht="15" customHeight="1" x14ac:dyDescent="0.25">
      <c r="B11" s="19"/>
      <c r="C11" s="5" t="s">
        <v>82</v>
      </c>
      <c r="D11" s="6" t="s">
        <v>20</v>
      </c>
      <c r="E11" s="11">
        <v>5.7322999999999999E-2</v>
      </c>
      <c r="F11" s="1"/>
      <c r="G11" s="1"/>
      <c r="H11" s="1"/>
      <c r="I11" s="1"/>
      <c r="J11" s="23" t="s">
        <v>60</v>
      </c>
      <c r="K11" s="25">
        <f>E9</f>
        <v>1.1423000000000001E-2</v>
      </c>
      <c r="L11" s="1"/>
      <c r="M11" s="1"/>
      <c r="N11" s="17"/>
    </row>
    <row r="12" spans="2:14" ht="15" customHeight="1" x14ac:dyDescent="0.25">
      <c r="B12" s="19"/>
      <c r="C12" s="5" t="s">
        <v>114</v>
      </c>
      <c r="D12" s="6" t="s">
        <v>20</v>
      </c>
      <c r="E12" s="11">
        <v>3.8176000000000002E-2</v>
      </c>
      <c r="F12" s="1"/>
      <c r="G12" s="1"/>
      <c r="H12" s="1"/>
      <c r="I12" s="1"/>
      <c r="J12" s="23" t="s">
        <v>61</v>
      </c>
      <c r="K12" s="25">
        <f>E23</f>
        <v>0.27986499999999997</v>
      </c>
      <c r="L12" s="1"/>
      <c r="M12" s="1"/>
      <c r="N12" s="17"/>
    </row>
    <row r="13" spans="2:14" ht="15.75" customHeight="1" x14ac:dyDescent="0.25">
      <c r="B13" s="19"/>
      <c r="C13" s="7" t="s">
        <v>24</v>
      </c>
      <c r="D13" s="8"/>
      <c r="E13" s="12">
        <v>0.17293700000000001</v>
      </c>
      <c r="F13" s="1"/>
      <c r="G13" s="1"/>
      <c r="H13" s="1"/>
      <c r="I13" s="1"/>
      <c r="J13" s="23" t="s">
        <v>62</v>
      </c>
      <c r="K13" s="25">
        <f>E13</f>
        <v>0.17293700000000001</v>
      </c>
      <c r="L13" s="1"/>
      <c r="M13" s="1"/>
      <c r="N13" s="17"/>
    </row>
    <row r="14" spans="2:14" ht="15" customHeight="1" x14ac:dyDescent="0.25">
      <c r="B14" s="19"/>
      <c r="C14" s="5" t="s">
        <v>28</v>
      </c>
      <c r="D14" s="6" t="s">
        <v>26</v>
      </c>
      <c r="E14" s="11">
        <v>8.6865999999999999E-2</v>
      </c>
      <c r="F14" s="1"/>
      <c r="G14" s="1"/>
      <c r="H14" s="1"/>
      <c r="I14" s="1"/>
      <c r="J14" s="23" t="s">
        <v>63</v>
      </c>
      <c r="K14" s="25">
        <f>E26</f>
        <v>0.12032100000000001</v>
      </c>
      <c r="L14" s="1"/>
      <c r="M14" s="1"/>
      <c r="N14" s="17"/>
    </row>
    <row r="15" spans="2:14" ht="15" customHeight="1" x14ac:dyDescent="0.25">
      <c r="B15" s="19"/>
      <c r="C15" s="5" t="s">
        <v>23</v>
      </c>
      <c r="D15" s="6" t="s">
        <v>26</v>
      </c>
      <c r="E15" s="11">
        <v>6.6956000000000002E-2</v>
      </c>
      <c r="F15" s="1"/>
      <c r="G15" s="1"/>
      <c r="H15" s="1"/>
      <c r="I15" s="1"/>
      <c r="J15" s="23" t="s">
        <v>64</v>
      </c>
      <c r="K15" s="25">
        <f>E29</f>
        <v>0.14280200000000001</v>
      </c>
      <c r="L15" s="1"/>
      <c r="M15" s="1"/>
      <c r="N15" s="17"/>
    </row>
    <row r="16" spans="2:14" ht="15" customHeight="1" x14ac:dyDescent="0.25">
      <c r="B16" s="19"/>
      <c r="C16" s="5" t="s">
        <v>102</v>
      </c>
      <c r="D16" s="6" t="s">
        <v>26</v>
      </c>
      <c r="E16" s="11">
        <v>3.8259000000000001E-2</v>
      </c>
      <c r="F16" s="1"/>
      <c r="G16" s="1"/>
      <c r="H16" s="1"/>
      <c r="I16" s="1"/>
      <c r="J16" s="23"/>
      <c r="K16" s="25"/>
      <c r="L16" s="1"/>
      <c r="M16" s="1"/>
      <c r="N16" s="17"/>
    </row>
    <row r="17" spans="2:14" ht="15" customHeight="1" x14ac:dyDescent="0.25">
      <c r="B17" s="19"/>
      <c r="C17" s="5" t="s">
        <v>192</v>
      </c>
      <c r="D17" s="6" t="s">
        <v>26</v>
      </c>
      <c r="E17" s="11">
        <v>2.4275999999999999E-2</v>
      </c>
      <c r="F17" s="1"/>
      <c r="G17" s="1"/>
      <c r="H17" s="1"/>
      <c r="I17" s="1"/>
      <c r="J17" s="23" t="s">
        <v>80</v>
      </c>
      <c r="K17" s="25">
        <f>E31</f>
        <v>3.866E-2</v>
      </c>
      <c r="L17" s="1"/>
      <c r="M17" s="1"/>
      <c r="N17" s="17"/>
    </row>
    <row r="18" spans="2:14" ht="15" customHeight="1" x14ac:dyDescent="0.25">
      <c r="B18" s="19"/>
      <c r="C18" s="5" t="s">
        <v>100</v>
      </c>
      <c r="D18" s="6" t="s">
        <v>101</v>
      </c>
      <c r="E18" s="11">
        <v>1.9435000000000001E-2</v>
      </c>
      <c r="F18" s="1"/>
      <c r="G18" s="1"/>
      <c r="H18" s="1"/>
      <c r="I18" s="1"/>
      <c r="J18" s="1"/>
      <c r="K18" s="1"/>
      <c r="L18" s="1"/>
      <c r="M18" s="1"/>
      <c r="N18" s="17"/>
    </row>
    <row r="19" spans="2:14" ht="15" customHeight="1" x14ac:dyDescent="0.25">
      <c r="B19" s="19"/>
      <c r="C19" s="5" t="s">
        <v>193</v>
      </c>
      <c r="D19" s="6" t="s">
        <v>26</v>
      </c>
      <c r="E19" s="11">
        <v>1.6372999999999999E-2</v>
      </c>
      <c r="F19" s="1"/>
      <c r="G19" s="1"/>
      <c r="H19" s="1"/>
      <c r="I19" s="1"/>
      <c r="J19" s="1"/>
      <c r="K19" s="1"/>
      <c r="L19" s="1"/>
      <c r="M19" s="1"/>
      <c r="N19" s="17"/>
    </row>
    <row r="20" spans="2:14" ht="15" customHeight="1" x14ac:dyDescent="0.25">
      <c r="B20" s="19"/>
      <c r="C20" s="5" t="s">
        <v>25</v>
      </c>
      <c r="D20" s="6" t="s">
        <v>26</v>
      </c>
      <c r="E20" s="11">
        <v>1.1681E-2</v>
      </c>
      <c r="F20" s="1"/>
      <c r="G20" s="1"/>
      <c r="H20" s="1"/>
      <c r="I20" s="1"/>
      <c r="J20" s="1"/>
      <c r="K20" s="1"/>
      <c r="L20" s="1"/>
      <c r="M20" s="1"/>
      <c r="N20" s="17"/>
    </row>
    <row r="21" spans="2:14" ht="15" customHeight="1" x14ac:dyDescent="0.25">
      <c r="B21" s="19"/>
      <c r="C21" s="5" t="s">
        <v>42</v>
      </c>
      <c r="D21" s="6" t="s">
        <v>26</v>
      </c>
      <c r="E21" s="11">
        <v>8.0169999999999998E-3</v>
      </c>
      <c r="F21" s="1"/>
      <c r="G21" s="1"/>
      <c r="H21" s="1"/>
      <c r="I21" s="1"/>
      <c r="J21" s="1"/>
      <c r="K21" s="1"/>
      <c r="L21" s="1"/>
      <c r="M21" s="1"/>
      <c r="N21" s="17"/>
    </row>
    <row r="22" spans="2:14" ht="15" customHeight="1" x14ac:dyDescent="0.25">
      <c r="B22" s="19"/>
      <c r="C22" s="5" t="s">
        <v>104</v>
      </c>
      <c r="D22" s="6" t="s">
        <v>101</v>
      </c>
      <c r="E22" s="11">
        <v>8.0020000000000004E-3</v>
      </c>
      <c r="F22" s="1"/>
      <c r="G22" s="1"/>
      <c r="H22" s="1"/>
      <c r="I22" s="1"/>
      <c r="J22" s="1"/>
      <c r="K22" s="1"/>
      <c r="L22" s="1"/>
      <c r="M22" s="1"/>
      <c r="N22" s="17"/>
    </row>
    <row r="23" spans="2:14" ht="15.75" customHeight="1" x14ac:dyDescent="0.25">
      <c r="B23" s="19"/>
      <c r="C23" s="7" t="s">
        <v>46</v>
      </c>
      <c r="D23" s="8"/>
      <c r="E23" s="12">
        <v>0.27986499999999997</v>
      </c>
      <c r="F23" s="1"/>
      <c r="G23" s="1"/>
      <c r="H23" s="1"/>
      <c r="I23" s="1"/>
      <c r="J23" s="1"/>
      <c r="K23" s="1"/>
      <c r="L23" s="1"/>
      <c r="M23" s="1"/>
      <c r="N23" s="17"/>
    </row>
    <row r="24" spans="2:14" ht="15" customHeight="1" x14ac:dyDescent="0.25">
      <c r="B24" s="19"/>
      <c r="C24" s="5" t="s">
        <v>19</v>
      </c>
      <c r="D24" s="6" t="s">
        <v>20</v>
      </c>
      <c r="E24" s="11">
        <v>6.6012000000000001E-2</v>
      </c>
      <c r="F24" s="1"/>
      <c r="G24" s="1"/>
      <c r="H24" s="1"/>
      <c r="I24" s="1"/>
      <c r="J24" s="1"/>
      <c r="K24" s="1"/>
      <c r="L24" s="1"/>
      <c r="M24" s="1"/>
      <c r="N24" s="17"/>
    </row>
    <row r="25" spans="2:14" ht="15" customHeight="1" x14ac:dyDescent="0.25">
      <c r="B25" s="19"/>
      <c r="C25" s="5" t="s">
        <v>47</v>
      </c>
      <c r="D25" s="6" t="s">
        <v>20</v>
      </c>
      <c r="E25" s="11">
        <v>5.4309000000000003E-2</v>
      </c>
      <c r="F25" s="1"/>
      <c r="G25" s="1"/>
      <c r="H25" s="1"/>
      <c r="I25" s="1"/>
      <c r="J25" s="1"/>
      <c r="K25" s="1"/>
      <c r="L25" s="1"/>
      <c r="M25" s="1"/>
      <c r="N25" s="17"/>
    </row>
    <row r="26" spans="2:14" ht="15.75" customHeight="1" x14ac:dyDescent="0.25">
      <c r="B26" s="19"/>
      <c r="C26" s="7" t="s">
        <v>48</v>
      </c>
      <c r="D26" s="8"/>
      <c r="E26" s="12">
        <v>0.12032100000000001</v>
      </c>
      <c r="F26" s="1"/>
      <c r="G26" s="34" t="s">
        <v>17</v>
      </c>
      <c r="H26" s="35"/>
      <c r="I26" s="35"/>
      <c r="J26" s="35"/>
      <c r="K26" s="35"/>
      <c r="L26" s="35"/>
      <c r="M26" s="35"/>
      <c r="N26" s="36"/>
    </row>
    <row r="27" spans="2:14" ht="15" customHeight="1" x14ac:dyDescent="0.25">
      <c r="B27" s="19"/>
      <c r="C27" s="5" t="s">
        <v>68</v>
      </c>
      <c r="D27" s="6" t="s">
        <v>50</v>
      </c>
      <c r="E27" s="11">
        <v>0.11201899999999999</v>
      </c>
      <c r="F27" s="11"/>
      <c r="G27" s="1"/>
      <c r="H27" s="1"/>
      <c r="I27" s="1"/>
      <c r="J27" s="1"/>
      <c r="K27" s="1"/>
      <c r="L27" s="1"/>
      <c r="M27" s="1"/>
      <c r="N27" s="17"/>
    </row>
    <row r="28" spans="2:14" ht="15" customHeight="1" x14ac:dyDescent="0.25">
      <c r="B28" s="19"/>
      <c r="C28" s="5" t="s">
        <v>194</v>
      </c>
      <c r="D28" s="6" t="s">
        <v>50</v>
      </c>
      <c r="E28" s="11">
        <v>3.0783000000000001E-2</v>
      </c>
      <c r="F28" s="1"/>
      <c r="G28" s="1"/>
      <c r="H28" s="1"/>
      <c r="I28" s="1"/>
      <c r="J28" s="1"/>
      <c r="K28" s="1"/>
      <c r="L28" s="1"/>
      <c r="M28" s="1"/>
      <c r="N28" s="17"/>
    </row>
    <row r="29" spans="2:14" ht="15.75" customHeight="1" x14ac:dyDescent="0.25">
      <c r="B29" s="19"/>
      <c r="C29" s="7" t="s">
        <v>57</v>
      </c>
      <c r="D29" s="8"/>
      <c r="E29" s="12">
        <v>0.14280200000000001</v>
      </c>
      <c r="F29" s="1"/>
      <c r="G29" s="1"/>
      <c r="H29" s="1"/>
      <c r="I29" s="1"/>
      <c r="J29" s="1"/>
      <c r="K29" s="1"/>
      <c r="L29" s="1"/>
      <c r="M29" s="1"/>
      <c r="N29" s="17"/>
    </row>
    <row r="30" spans="2:14" ht="15" customHeight="1" x14ac:dyDescent="0.25">
      <c r="B30" s="19"/>
      <c r="C30" s="5" t="s">
        <v>121</v>
      </c>
      <c r="D30" s="6" t="s">
        <v>50</v>
      </c>
      <c r="E30" s="11">
        <v>3.866E-2</v>
      </c>
      <c r="F30" s="1"/>
      <c r="G30" s="1"/>
      <c r="H30" s="1"/>
      <c r="I30" s="1"/>
      <c r="J30" s="1"/>
      <c r="K30" s="1"/>
      <c r="L30" s="1"/>
      <c r="M30" s="1"/>
      <c r="N30" s="17"/>
    </row>
    <row r="31" spans="2:14" ht="15.75" customHeight="1" x14ac:dyDescent="0.25">
      <c r="B31" s="19"/>
      <c r="C31" s="7" t="s">
        <v>78</v>
      </c>
      <c r="D31" s="8"/>
      <c r="E31" s="12">
        <v>3.866E-2</v>
      </c>
      <c r="F31" s="1"/>
      <c r="G31" s="1"/>
      <c r="H31" s="1"/>
      <c r="I31" s="1"/>
      <c r="J31" s="1"/>
      <c r="K31" s="1"/>
      <c r="L31" s="1"/>
      <c r="M31" s="1"/>
      <c r="N31" s="17"/>
    </row>
    <row r="32" spans="2:14" ht="15" customHeight="1" x14ac:dyDescent="0.25">
      <c r="B32" s="19"/>
      <c r="C32" s="5" t="s">
        <v>8</v>
      </c>
      <c r="D32" s="6"/>
      <c r="E32" s="11">
        <v>0.22672600000000001</v>
      </c>
      <c r="F32" s="1"/>
      <c r="G32" s="1"/>
      <c r="H32" s="1"/>
      <c r="I32" s="1"/>
      <c r="J32" s="1"/>
      <c r="K32" s="1"/>
      <c r="L32" s="1"/>
      <c r="M32" s="1"/>
      <c r="N32" s="17"/>
    </row>
    <row r="33" spans="2:14" ht="15.75" customHeight="1" x14ac:dyDescent="0.25">
      <c r="B33" s="19"/>
      <c r="C33" s="7" t="s">
        <v>9</v>
      </c>
      <c r="D33" s="8"/>
      <c r="E33" s="12">
        <v>0.22672600000000001</v>
      </c>
      <c r="F33" s="1"/>
      <c r="G33" s="1"/>
      <c r="H33" s="1"/>
      <c r="I33" s="1"/>
      <c r="J33" s="1"/>
      <c r="K33" s="1"/>
      <c r="L33" s="1"/>
      <c r="M33" s="1"/>
      <c r="N33" s="17"/>
    </row>
    <row r="34" spans="2:14" ht="15" customHeight="1" x14ac:dyDescent="0.25">
      <c r="B34" s="19"/>
      <c r="C34" s="5"/>
      <c r="D34" s="6"/>
      <c r="E34" s="11"/>
      <c r="F34" s="1"/>
      <c r="G34" s="1"/>
      <c r="H34" s="1"/>
      <c r="I34" s="1"/>
      <c r="J34" s="1"/>
      <c r="K34" s="1"/>
      <c r="L34" s="1"/>
      <c r="M34" s="1"/>
      <c r="N34" s="17"/>
    </row>
    <row r="35" spans="2:14" ht="15.75" customHeight="1" x14ac:dyDescent="0.25">
      <c r="B35" s="19"/>
      <c r="C35" s="7" t="s">
        <v>10</v>
      </c>
      <c r="D35" s="8"/>
      <c r="E35" s="12">
        <v>7.1260000000000004E-3</v>
      </c>
      <c r="F35" s="1"/>
      <c r="G35" s="1"/>
      <c r="H35" s="1"/>
      <c r="I35" s="1"/>
      <c r="J35" s="1"/>
      <c r="K35" s="1"/>
      <c r="L35" s="1"/>
      <c r="M35" s="1"/>
      <c r="N35" s="17"/>
    </row>
    <row r="36" spans="2:14" ht="15" customHeight="1" x14ac:dyDescent="0.25">
      <c r="B36" s="19"/>
      <c r="C36" s="5"/>
      <c r="D36" s="6"/>
      <c r="E36" s="11"/>
      <c r="F36" s="1"/>
      <c r="G36" s="1"/>
      <c r="H36" s="1"/>
      <c r="I36" s="1"/>
      <c r="J36" s="1"/>
      <c r="K36" s="1"/>
      <c r="L36" s="1"/>
      <c r="M36" s="1"/>
      <c r="N36" s="17"/>
    </row>
    <row r="37" spans="2:14" ht="15.75" customHeight="1" x14ac:dyDescent="0.25">
      <c r="B37" s="19"/>
      <c r="C37" s="9" t="s">
        <v>11</v>
      </c>
      <c r="D37" s="10"/>
      <c r="E37" s="13">
        <v>1</v>
      </c>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26" t="s">
        <v>119</v>
      </c>
      <c r="D39" s="26"/>
      <c r="E39" s="27">
        <v>0.368834</v>
      </c>
      <c r="F39" s="1"/>
      <c r="G39" s="1"/>
      <c r="H39" s="1"/>
      <c r="I39" s="1"/>
      <c r="J39" s="1"/>
      <c r="K39" s="1"/>
      <c r="L39" s="1"/>
      <c r="M39" s="1"/>
      <c r="N39" s="17"/>
    </row>
    <row r="40" spans="2:14" ht="15" customHeight="1" x14ac:dyDescent="0.25">
      <c r="B40" s="19"/>
      <c r="F40" s="1"/>
      <c r="G40" s="1"/>
      <c r="H40" s="1"/>
      <c r="I40" s="1"/>
      <c r="J40" s="1"/>
      <c r="K40" s="1"/>
      <c r="L40" s="1"/>
      <c r="M40" s="1"/>
      <c r="N40" s="17"/>
    </row>
    <row r="41" spans="2:14" ht="15" customHeight="1" x14ac:dyDescent="0.25">
      <c r="B41" s="19"/>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x14ac:dyDescent="0.25"/>
    <row r="45" spans="2:14" ht="15" customHeight="1" x14ac:dyDescent="0.25"/>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C10:E12">
    <sortCondition descending="1" ref="E10"/>
  </sortState>
  <mergeCells count="3">
    <mergeCell ref="C3:N3"/>
    <mergeCell ref="G7:N7"/>
    <mergeCell ref="G26:N26"/>
  </mergeCells>
  <pageMargins left="0.7" right="0.7" top="0.75" bottom="0.75" header="0.3" footer="0.3"/>
  <pageSetup paperSize="9" orientation="portrait"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2"/>
  <sheetViews>
    <sheetView showGridLines="0" zoomScale="75" zoomScaleNormal="75" workbookViewId="0"/>
  </sheetViews>
  <sheetFormatPr defaultRowHeight="15" x14ac:dyDescent="0.25"/>
  <cols>
    <col min="1" max="1" width="2.85546875" customWidth="1"/>
    <col min="2" max="2" width="3.85546875" customWidth="1"/>
    <col min="3" max="3" width="56.71093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98</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203</v>
      </c>
      <c r="D8" s="6" t="s">
        <v>99</v>
      </c>
      <c r="E8" s="11">
        <v>6.1265E-2</v>
      </c>
      <c r="F8" s="1"/>
      <c r="G8" s="23" t="s">
        <v>15</v>
      </c>
      <c r="H8" s="25">
        <f>73.2281%-E8</f>
        <v>0.67101599999999995</v>
      </c>
      <c r="I8" s="1"/>
      <c r="J8" s="23" t="s">
        <v>12</v>
      </c>
      <c r="K8" s="23" t="s">
        <v>3</v>
      </c>
      <c r="L8" s="1"/>
      <c r="M8" s="1"/>
      <c r="N8" s="17"/>
    </row>
    <row r="9" spans="2:14" ht="15" customHeight="1" x14ac:dyDescent="0.25">
      <c r="B9" s="19"/>
      <c r="C9" s="5" t="s">
        <v>35</v>
      </c>
      <c r="D9" s="6" t="s">
        <v>26</v>
      </c>
      <c r="E9" s="11">
        <v>6.0649000000000002E-2</v>
      </c>
      <c r="F9" s="1"/>
      <c r="G9" s="23" t="s">
        <v>107</v>
      </c>
      <c r="H9" s="25">
        <v>0.21888299999999999</v>
      </c>
      <c r="I9" s="1"/>
      <c r="J9" s="23" t="s">
        <v>10</v>
      </c>
      <c r="K9" s="25">
        <v>2.3236E-2</v>
      </c>
      <c r="L9" s="1"/>
      <c r="M9" s="1"/>
      <c r="N9" s="17"/>
    </row>
    <row r="10" spans="2:14" ht="15" customHeight="1" x14ac:dyDescent="0.25">
      <c r="B10" s="19"/>
      <c r="C10" s="5" t="s">
        <v>100</v>
      </c>
      <c r="D10" s="6" t="s">
        <v>101</v>
      </c>
      <c r="E10" s="11">
        <v>6.0185000000000002E-2</v>
      </c>
      <c r="F10" s="1"/>
      <c r="G10" s="23" t="s">
        <v>108</v>
      </c>
      <c r="H10" s="25">
        <f>4.8836%+E8</f>
        <v>0.110101</v>
      </c>
      <c r="I10" s="1"/>
      <c r="J10" s="23" t="s">
        <v>13</v>
      </c>
      <c r="K10" s="25">
        <v>0.23849699999999999</v>
      </c>
      <c r="L10" s="1"/>
      <c r="M10" s="1"/>
      <c r="N10" s="17"/>
    </row>
    <row r="11" spans="2:14" ht="15" customHeight="1" x14ac:dyDescent="0.25">
      <c r="B11" s="19"/>
      <c r="C11" s="5" t="s">
        <v>102</v>
      </c>
      <c r="D11" s="6" t="s">
        <v>26</v>
      </c>
      <c r="E11" s="11">
        <v>5.9236999999999998E-2</v>
      </c>
      <c r="F11" s="1"/>
      <c r="G11" s="1"/>
      <c r="H11" s="1"/>
      <c r="I11" s="1"/>
      <c r="J11" s="23" t="s">
        <v>61</v>
      </c>
      <c r="K11" s="25">
        <v>0.52644599999999997</v>
      </c>
      <c r="L11" s="1"/>
      <c r="M11" s="1"/>
      <c r="N11" s="17"/>
    </row>
    <row r="12" spans="2:14" ht="15" customHeight="1" x14ac:dyDescent="0.25">
      <c r="B12" s="19"/>
      <c r="C12" s="5" t="s">
        <v>31</v>
      </c>
      <c r="D12" s="6" t="s">
        <v>26</v>
      </c>
      <c r="E12" s="11">
        <v>5.8077999999999998E-2</v>
      </c>
      <c r="F12" s="1"/>
      <c r="G12" s="1"/>
      <c r="H12" s="1"/>
      <c r="I12" s="1"/>
      <c r="J12" s="23" t="s">
        <v>64</v>
      </c>
      <c r="K12" s="25">
        <v>0.136793</v>
      </c>
      <c r="L12" s="1"/>
      <c r="M12" s="1"/>
      <c r="N12" s="17"/>
    </row>
    <row r="13" spans="2:14" ht="15" customHeight="1" x14ac:dyDescent="0.25">
      <c r="B13" s="19"/>
      <c r="C13" s="5" t="s">
        <v>103</v>
      </c>
      <c r="D13" s="6" t="s">
        <v>101</v>
      </c>
      <c r="E13" s="11">
        <v>5.4702000000000001E-2</v>
      </c>
      <c r="F13" s="1"/>
      <c r="G13" s="1"/>
      <c r="H13" s="1"/>
      <c r="I13" s="1"/>
      <c r="J13" s="23" t="s">
        <v>79</v>
      </c>
      <c r="K13" s="25">
        <v>7.5027999999999997E-2</v>
      </c>
      <c r="L13" s="1"/>
      <c r="M13" s="1"/>
      <c r="N13" s="17"/>
    </row>
    <row r="14" spans="2:14" ht="15" customHeight="1" x14ac:dyDescent="0.25">
      <c r="B14" s="19"/>
      <c r="C14" s="5" t="s">
        <v>104</v>
      </c>
      <c r="D14" s="6" t="s">
        <v>101</v>
      </c>
      <c r="E14" s="11">
        <v>4.9558999999999999E-2</v>
      </c>
      <c r="F14" s="1"/>
      <c r="G14" s="1"/>
      <c r="H14" s="1"/>
      <c r="I14" s="1"/>
      <c r="J14" s="1"/>
      <c r="K14" s="1"/>
      <c r="L14" s="1"/>
      <c r="M14" s="1"/>
      <c r="N14" s="17"/>
    </row>
    <row r="15" spans="2:14" ht="15" customHeight="1" x14ac:dyDescent="0.25">
      <c r="B15" s="19"/>
      <c r="C15" s="5" t="s">
        <v>204</v>
      </c>
      <c r="D15" s="6" t="s">
        <v>105</v>
      </c>
      <c r="E15" s="11">
        <v>4.2540000000000001E-2</v>
      </c>
      <c r="F15" s="1"/>
      <c r="G15" s="1"/>
      <c r="H15" s="1"/>
      <c r="I15" s="1"/>
      <c r="J15" s="1"/>
      <c r="K15" s="1"/>
      <c r="L15" s="1"/>
      <c r="M15" s="1"/>
      <c r="N15" s="17"/>
    </row>
    <row r="16" spans="2:14" ht="15" customHeight="1" x14ac:dyDescent="0.25">
      <c r="B16" s="19"/>
      <c r="C16" s="5" t="s">
        <v>205</v>
      </c>
      <c r="D16" s="6" t="s">
        <v>101</v>
      </c>
      <c r="E16" s="11">
        <v>3.0148999999999999E-2</v>
      </c>
      <c r="F16" s="1"/>
      <c r="G16" s="1"/>
      <c r="H16" s="1"/>
      <c r="I16" s="1"/>
      <c r="J16" s="1"/>
      <c r="K16" s="1"/>
      <c r="L16" s="1"/>
      <c r="M16" s="1"/>
      <c r="N16" s="17"/>
    </row>
    <row r="17" spans="2:14" ht="15" customHeight="1" x14ac:dyDescent="0.25">
      <c r="B17" s="19"/>
      <c r="C17" s="5" t="s">
        <v>206</v>
      </c>
      <c r="D17" s="6" t="s">
        <v>101</v>
      </c>
      <c r="E17" s="11">
        <v>2.4288000000000001E-2</v>
      </c>
      <c r="F17" s="1"/>
      <c r="G17" s="1"/>
      <c r="H17" s="1"/>
      <c r="I17" s="1"/>
      <c r="J17" s="1"/>
      <c r="K17" s="1"/>
      <c r="L17" s="1"/>
      <c r="M17" s="1"/>
      <c r="N17" s="17"/>
    </row>
    <row r="18" spans="2:14" ht="15" customHeight="1" x14ac:dyDescent="0.25">
      <c r="B18" s="19"/>
      <c r="C18" s="5" t="s">
        <v>29</v>
      </c>
      <c r="D18" s="6" t="s">
        <v>26</v>
      </c>
      <c r="E18" s="11">
        <v>1.3051999999999999E-2</v>
      </c>
      <c r="F18" s="1"/>
      <c r="G18" s="1"/>
      <c r="H18" s="1"/>
      <c r="I18" s="1"/>
      <c r="J18" s="1"/>
      <c r="K18" s="1"/>
      <c r="L18" s="1"/>
      <c r="M18" s="1"/>
      <c r="N18" s="17"/>
    </row>
    <row r="19" spans="2:14" ht="15" customHeight="1" x14ac:dyDescent="0.25">
      <c r="B19" s="19"/>
      <c r="C19" s="5" t="s">
        <v>23</v>
      </c>
      <c r="D19" s="6" t="s">
        <v>26</v>
      </c>
      <c r="E19" s="11">
        <v>6.4460000000000003E-3</v>
      </c>
      <c r="F19" s="1"/>
      <c r="G19" s="1"/>
      <c r="H19" s="1"/>
      <c r="I19" s="1"/>
      <c r="J19" s="1"/>
      <c r="K19" s="1"/>
      <c r="L19" s="1"/>
      <c r="M19" s="1"/>
      <c r="N19" s="17"/>
    </row>
    <row r="20" spans="2:14" ht="15" customHeight="1" x14ac:dyDescent="0.25">
      <c r="B20" s="19"/>
      <c r="C20" s="5" t="s">
        <v>106</v>
      </c>
      <c r="D20" s="6" t="s">
        <v>105</v>
      </c>
      <c r="E20" s="11">
        <v>6.2960000000000004E-3</v>
      </c>
      <c r="F20" s="1"/>
      <c r="G20" s="1"/>
      <c r="H20" s="1"/>
      <c r="I20" s="1"/>
      <c r="J20" s="1"/>
      <c r="K20" s="1"/>
      <c r="L20" s="1"/>
      <c r="M20" s="1"/>
      <c r="N20" s="17"/>
    </row>
    <row r="21" spans="2:14" ht="15.75" customHeight="1" x14ac:dyDescent="0.25">
      <c r="B21" s="19"/>
      <c r="C21" s="7" t="s">
        <v>46</v>
      </c>
      <c r="D21" s="8"/>
      <c r="E21" s="12">
        <v>0.52644599999999997</v>
      </c>
      <c r="F21" s="1"/>
      <c r="G21" s="1"/>
      <c r="H21" s="1"/>
      <c r="I21" s="1"/>
      <c r="J21" s="1"/>
      <c r="K21" s="1"/>
      <c r="L21" s="1"/>
      <c r="M21" s="1"/>
      <c r="N21" s="17"/>
    </row>
    <row r="22" spans="2:14" ht="15" customHeight="1" x14ac:dyDescent="0.25">
      <c r="B22" s="19"/>
      <c r="C22" s="5" t="s">
        <v>72</v>
      </c>
      <c r="D22" s="6" t="s">
        <v>50</v>
      </c>
      <c r="E22" s="11">
        <v>0.124847</v>
      </c>
      <c r="F22" s="1"/>
      <c r="G22" s="1"/>
      <c r="H22" s="1"/>
      <c r="I22" s="1"/>
      <c r="J22" s="1"/>
      <c r="K22" s="1"/>
      <c r="L22" s="1"/>
      <c r="M22" s="1"/>
      <c r="N22" s="17"/>
    </row>
    <row r="23" spans="2:14" ht="15" customHeight="1" x14ac:dyDescent="0.25">
      <c r="B23" s="19"/>
      <c r="C23" s="5" t="s">
        <v>52</v>
      </c>
      <c r="D23" s="6" t="s">
        <v>50</v>
      </c>
      <c r="E23" s="11">
        <v>1.1946E-2</v>
      </c>
      <c r="F23" s="1"/>
      <c r="G23" s="1"/>
      <c r="H23" s="1"/>
      <c r="I23" s="1"/>
      <c r="J23" s="1"/>
      <c r="K23" s="1"/>
      <c r="L23" s="1"/>
      <c r="M23" s="1"/>
      <c r="N23" s="17"/>
    </row>
    <row r="24" spans="2:14" ht="15.75" customHeight="1" x14ac:dyDescent="0.25">
      <c r="B24" s="19"/>
      <c r="C24" s="7" t="s">
        <v>57</v>
      </c>
      <c r="D24" s="8"/>
      <c r="E24" s="12">
        <v>0.136793</v>
      </c>
      <c r="F24" s="1"/>
      <c r="G24" s="1"/>
      <c r="H24" s="1"/>
      <c r="I24" s="1"/>
      <c r="J24" s="1"/>
      <c r="K24" s="1"/>
      <c r="L24" s="1"/>
      <c r="M24" s="1"/>
      <c r="N24" s="17"/>
    </row>
    <row r="25" spans="2:14" ht="15" customHeight="1" x14ac:dyDescent="0.25">
      <c r="B25" s="19"/>
      <c r="C25" s="5" t="s">
        <v>196</v>
      </c>
      <c r="D25" s="6" t="s">
        <v>75</v>
      </c>
      <c r="E25" s="11">
        <v>7.5027999999999997E-2</v>
      </c>
      <c r="F25" s="1"/>
      <c r="G25" s="1"/>
      <c r="H25" s="1"/>
      <c r="I25" s="1"/>
      <c r="J25" s="1"/>
      <c r="K25" s="1"/>
      <c r="L25" s="1"/>
      <c r="M25" s="1"/>
      <c r="N25" s="17"/>
    </row>
    <row r="26" spans="2:14" ht="15.75" customHeight="1" x14ac:dyDescent="0.25">
      <c r="B26" s="19"/>
      <c r="C26" s="7" t="s">
        <v>76</v>
      </c>
      <c r="D26" s="8"/>
      <c r="E26" s="12">
        <v>7.5027999999999997E-2</v>
      </c>
      <c r="F26" s="1"/>
      <c r="G26" s="34" t="s">
        <v>17</v>
      </c>
      <c r="H26" s="35"/>
      <c r="I26" s="35"/>
      <c r="J26" s="35"/>
      <c r="K26" s="35"/>
      <c r="L26" s="35"/>
      <c r="M26" s="35"/>
      <c r="N26" s="36"/>
    </row>
    <row r="27" spans="2:14" ht="15" customHeight="1" x14ac:dyDescent="0.25">
      <c r="B27" s="19"/>
      <c r="C27" s="5" t="s">
        <v>8</v>
      </c>
      <c r="D27" s="6"/>
      <c r="E27" s="11">
        <v>0.23849699999999999</v>
      </c>
      <c r="F27" s="1"/>
      <c r="G27" s="1"/>
      <c r="H27" s="1"/>
      <c r="I27" s="1"/>
      <c r="J27" s="1"/>
      <c r="K27" s="1"/>
      <c r="L27" s="1"/>
      <c r="M27" s="1"/>
      <c r="N27" s="17"/>
    </row>
    <row r="28" spans="2:14" ht="15.75" customHeight="1" x14ac:dyDescent="0.25">
      <c r="B28" s="19"/>
      <c r="C28" s="7" t="s">
        <v>9</v>
      </c>
      <c r="D28" s="8"/>
      <c r="E28" s="12">
        <v>0.23849699999999999</v>
      </c>
      <c r="F28" s="1"/>
      <c r="G28" s="1"/>
      <c r="H28" s="1"/>
      <c r="I28" s="1"/>
      <c r="J28" s="1"/>
      <c r="K28" s="1"/>
      <c r="L28" s="1"/>
      <c r="M28" s="1"/>
      <c r="N28" s="17"/>
    </row>
    <row r="29" spans="2:14" ht="15" customHeight="1" x14ac:dyDescent="0.25">
      <c r="B29" s="19"/>
      <c r="C29" s="5"/>
      <c r="D29" s="6"/>
      <c r="E29" s="11"/>
      <c r="F29" s="1"/>
      <c r="G29" s="1"/>
      <c r="H29" s="1"/>
      <c r="I29" s="1"/>
      <c r="J29" s="1"/>
      <c r="K29" s="1"/>
      <c r="L29" s="1"/>
      <c r="M29" s="1"/>
      <c r="N29" s="17"/>
    </row>
    <row r="30" spans="2:14" ht="15.75" customHeight="1" x14ac:dyDescent="0.25">
      <c r="B30" s="19"/>
      <c r="C30" s="7" t="s">
        <v>10</v>
      </c>
      <c r="D30" s="8"/>
      <c r="E30" s="12">
        <v>2.3236E-2</v>
      </c>
      <c r="F30" s="1"/>
      <c r="G30" s="1"/>
      <c r="H30" s="1"/>
      <c r="I30" s="1"/>
      <c r="J30" s="1"/>
      <c r="K30" s="1"/>
      <c r="L30" s="1"/>
      <c r="M30" s="1"/>
      <c r="N30" s="17"/>
    </row>
    <row r="31" spans="2:14" ht="15" customHeight="1" x14ac:dyDescent="0.25">
      <c r="B31" s="19"/>
      <c r="C31" s="5"/>
      <c r="D31" s="6"/>
      <c r="E31" s="11"/>
      <c r="F31" s="1"/>
      <c r="G31" s="1"/>
      <c r="H31" s="1"/>
      <c r="I31" s="1"/>
      <c r="J31" s="1"/>
      <c r="K31" s="1"/>
      <c r="L31" s="1"/>
      <c r="M31" s="1"/>
      <c r="N31" s="17"/>
    </row>
    <row r="32" spans="2:14" ht="15" customHeight="1" x14ac:dyDescent="0.25">
      <c r="B32" s="19"/>
      <c r="C32" s="9" t="s">
        <v>11</v>
      </c>
      <c r="D32" s="10"/>
      <c r="E32" s="13">
        <v>1</v>
      </c>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t="s">
        <v>197</v>
      </c>
      <c r="D34" s="1"/>
      <c r="E34" s="1"/>
      <c r="F34" s="1"/>
      <c r="G34" s="1"/>
      <c r="H34" s="1"/>
      <c r="I34" s="1"/>
      <c r="J34" s="1"/>
      <c r="K34" s="1"/>
      <c r="L34" s="1"/>
      <c r="M34" s="1"/>
      <c r="N34" s="17"/>
    </row>
    <row r="35" spans="2:14" ht="15" customHeight="1" x14ac:dyDescent="0.25">
      <c r="B35" s="19"/>
      <c r="C35" s="1" t="s">
        <v>195</v>
      </c>
      <c r="D35" s="1"/>
      <c r="E35" s="1"/>
      <c r="F35" s="1"/>
      <c r="G35" s="1"/>
      <c r="H35" s="1"/>
      <c r="I35" s="1"/>
      <c r="J35" s="1"/>
      <c r="K35" s="1"/>
      <c r="L35" s="1"/>
      <c r="M35" s="1"/>
      <c r="N35" s="17"/>
    </row>
    <row r="36" spans="2:14" ht="15" customHeight="1" x14ac:dyDescent="0.25">
      <c r="B36" s="19"/>
      <c r="C36" s="30" t="s">
        <v>198</v>
      </c>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x14ac:dyDescent="0.25"/>
    <row r="45" spans="2:14" ht="15" customHeight="1" x14ac:dyDescent="0.25"/>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sheetData>
  <mergeCells count="3">
    <mergeCell ref="C3:N3"/>
    <mergeCell ref="G7:N7"/>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3"/>
  <sheetViews>
    <sheetView showGridLines="0" zoomScale="75" zoomScaleNormal="75" workbookViewId="0"/>
  </sheetViews>
  <sheetFormatPr defaultRowHeight="15" x14ac:dyDescent="0.25"/>
  <cols>
    <col min="1" max="1" width="2.85546875" customWidth="1"/>
    <col min="2" max="2" width="3.85546875" customWidth="1"/>
    <col min="3" max="3" width="52.57031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111</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68</v>
      </c>
      <c r="D8" s="6" t="s">
        <v>50</v>
      </c>
      <c r="E8" s="11">
        <v>0.99764200000000003</v>
      </c>
      <c r="F8" s="1"/>
      <c r="G8" s="23" t="s">
        <v>15</v>
      </c>
      <c r="H8" s="24">
        <v>1</v>
      </c>
      <c r="I8" s="1"/>
      <c r="J8" s="23" t="s">
        <v>12</v>
      </c>
      <c r="K8" s="23" t="s">
        <v>3</v>
      </c>
      <c r="L8" s="1"/>
      <c r="M8" s="1"/>
      <c r="N8" s="17"/>
    </row>
    <row r="9" spans="2:14" ht="15" customHeight="1" x14ac:dyDescent="0.25">
      <c r="B9" s="19"/>
      <c r="C9" s="5" t="s">
        <v>72</v>
      </c>
      <c r="D9" s="6" t="s">
        <v>50</v>
      </c>
      <c r="E9" s="11">
        <v>3.1999999999999999E-5</v>
      </c>
      <c r="F9" s="1"/>
      <c r="G9" s="1"/>
      <c r="H9" s="1"/>
      <c r="I9" s="1"/>
      <c r="J9" s="23" t="s">
        <v>10</v>
      </c>
      <c r="K9" s="25">
        <v>9.6199999999999996E-4</v>
      </c>
      <c r="L9" s="1"/>
      <c r="M9" s="1"/>
      <c r="N9" s="17"/>
    </row>
    <row r="10" spans="2:14" ht="15.75" customHeight="1" x14ac:dyDescent="0.25">
      <c r="B10" s="19"/>
      <c r="C10" s="7" t="s">
        <v>57</v>
      </c>
      <c r="D10" s="8"/>
      <c r="E10" s="12">
        <v>0.99767399999999995</v>
      </c>
      <c r="F10" s="1"/>
      <c r="G10" s="1"/>
      <c r="H10" s="1"/>
      <c r="I10" s="1"/>
      <c r="J10" s="23" t="s">
        <v>13</v>
      </c>
      <c r="K10" s="25">
        <v>1.364E-3</v>
      </c>
      <c r="L10" s="1"/>
      <c r="M10" s="1"/>
      <c r="N10" s="17"/>
    </row>
    <row r="11" spans="2:14" ht="15" customHeight="1" x14ac:dyDescent="0.25">
      <c r="B11" s="19"/>
      <c r="C11" s="5" t="s">
        <v>8</v>
      </c>
      <c r="D11" s="6"/>
      <c r="E11" s="11">
        <v>1.364E-3</v>
      </c>
      <c r="F11" s="1"/>
      <c r="G11" s="1"/>
      <c r="H11" s="1"/>
      <c r="I11" s="1"/>
      <c r="J11" s="23" t="s">
        <v>64</v>
      </c>
      <c r="K11" s="25">
        <v>0.99767399999999995</v>
      </c>
      <c r="L11" s="1"/>
      <c r="M11" s="1"/>
      <c r="N11" s="17"/>
    </row>
    <row r="12" spans="2:14" ht="15.75" customHeight="1" x14ac:dyDescent="0.25">
      <c r="B12" s="19"/>
      <c r="C12" s="7" t="s">
        <v>9</v>
      </c>
      <c r="D12" s="8"/>
      <c r="E12" s="12">
        <v>1.364E-3</v>
      </c>
      <c r="F12" s="1"/>
      <c r="G12" s="1"/>
      <c r="H12" s="1"/>
      <c r="I12" s="1"/>
      <c r="J12" s="1"/>
      <c r="K12" s="1"/>
      <c r="L12" s="1"/>
      <c r="M12" s="1"/>
      <c r="N12" s="17"/>
    </row>
    <row r="13" spans="2:14" ht="15" customHeight="1" x14ac:dyDescent="0.25">
      <c r="B13" s="19"/>
      <c r="C13" s="5"/>
      <c r="D13" s="6"/>
      <c r="E13" s="11"/>
      <c r="F13" s="1"/>
      <c r="G13" s="1"/>
      <c r="H13" s="1"/>
      <c r="I13" s="1"/>
      <c r="J13" s="1"/>
      <c r="K13" s="1"/>
      <c r="L13" s="1"/>
      <c r="M13" s="1"/>
      <c r="N13" s="17"/>
    </row>
    <row r="14" spans="2:14" ht="15.75" customHeight="1" x14ac:dyDescent="0.25">
      <c r="B14" s="19"/>
      <c r="C14" s="7" t="s">
        <v>10</v>
      </c>
      <c r="D14" s="8"/>
      <c r="E14" s="12">
        <v>9.6199999999999996E-4</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 customHeight="1" x14ac:dyDescent="0.25">
      <c r="B16" s="19"/>
      <c r="C16" s="9" t="s">
        <v>11</v>
      </c>
      <c r="D16" s="10"/>
      <c r="E16" s="13">
        <v>1</v>
      </c>
      <c r="F16" s="1"/>
      <c r="G16" s="1"/>
      <c r="H16" s="1"/>
      <c r="I16" s="1"/>
      <c r="J16" s="1"/>
      <c r="K16" s="1"/>
      <c r="L16" s="1"/>
      <c r="M16" s="1"/>
      <c r="N16" s="17"/>
    </row>
    <row r="17" spans="2:14" ht="15" customHeight="1" x14ac:dyDescent="0.25">
      <c r="B17" s="19"/>
      <c r="C17" s="1"/>
      <c r="D17" s="1"/>
      <c r="E17" s="1"/>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4" t="s">
        <v>17</v>
      </c>
      <c r="H26" s="35"/>
      <c r="I26" s="35"/>
      <c r="J26" s="35"/>
      <c r="K26" s="35"/>
      <c r="L26" s="35"/>
      <c r="M26" s="35"/>
      <c r="N26" s="3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sheetData>
  <mergeCells count="3">
    <mergeCell ref="C3:N3"/>
    <mergeCell ref="G7:N7"/>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3"/>
  <sheetViews>
    <sheetView showGridLines="0" zoomScale="75" zoomScaleNormal="75" workbookViewId="0"/>
  </sheetViews>
  <sheetFormatPr defaultRowHeight="15" x14ac:dyDescent="0.25"/>
  <cols>
    <col min="1" max="1" width="2.85546875" customWidth="1"/>
    <col min="2" max="2" width="3.85546875" customWidth="1"/>
    <col min="3" max="3" width="52.57031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112</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69</v>
      </c>
      <c r="D8" s="6" t="s">
        <v>50</v>
      </c>
      <c r="E8" s="11">
        <v>0.85621700000000001</v>
      </c>
      <c r="F8" s="1"/>
      <c r="G8" s="23" t="s">
        <v>15</v>
      </c>
      <c r="H8" s="24">
        <v>1</v>
      </c>
      <c r="I8" s="1"/>
      <c r="J8" s="23" t="s">
        <v>12</v>
      </c>
      <c r="K8" s="23" t="s">
        <v>3</v>
      </c>
      <c r="L8" s="1"/>
      <c r="M8" s="1"/>
      <c r="N8" s="17"/>
    </row>
    <row r="9" spans="2:14" ht="15" customHeight="1" x14ac:dyDescent="0.25">
      <c r="B9" s="19"/>
      <c r="C9" s="5" t="s">
        <v>72</v>
      </c>
      <c r="D9" s="6" t="s">
        <v>50</v>
      </c>
      <c r="E9" s="11">
        <v>6.6821000000000005E-2</v>
      </c>
      <c r="F9" s="1"/>
      <c r="G9" s="1"/>
      <c r="H9" s="1"/>
      <c r="I9" s="1"/>
      <c r="J9" s="23" t="s">
        <v>10</v>
      </c>
      <c r="K9" s="25">
        <v>1.6868000000000001E-2</v>
      </c>
      <c r="L9" s="1"/>
      <c r="M9" s="1"/>
      <c r="N9" s="17"/>
    </row>
    <row r="10" spans="2:14" ht="15" customHeight="1" x14ac:dyDescent="0.25">
      <c r="B10" s="19"/>
      <c r="C10" s="5" t="s">
        <v>74</v>
      </c>
      <c r="D10" s="6" t="s">
        <v>50</v>
      </c>
      <c r="E10" s="11">
        <v>2.9981000000000001E-2</v>
      </c>
      <c r="F10" s="1"/>
      <c r="G10" s="1"/>
      <c r="H10" s="1"/>
      <c r="I10" s="1"/>
      <c r="J10" s="23" t="s">
        <v>13</v>
      </c>
      <c r="K10" s="25">
        <v>4.4860000000000004E-3</v>
      </c>
      <c r="L10" s="1"/>
      <c r="M10" s="1"/>
      <c r="N10" s="17"/>
    </row>
    <row r="11" spans="2:14" ht="15" customHeight="1" x14ac:dyDescent="0.25">
      <c r="B11" s="19"/>
      <c r="C11" s="5" t="s">
        <v>73</v>
      </c>
      <c r="D11" s="6" t="s">
        <v>50</v>
      </c>
      <c r="E11" s="11">
        <v>2.5627E-2</v>
      </c>
      <c r="F11" s="1"/>
      <c r="G11" s="1"/>
      <c r="H11" s="1"/>
      <c r="I11" s="1"/>
      <c r="J11" s="23" t="s">
        <v>64</v>
      </c>
      <c r="K11" s="25">
        <v>0.97864600000000002</v>
      </c>
      <c r="L11" s="1"/>
      <c r="M11" s="1"/>
      <c r="N11" s="17"/>
    </row>
    <row r="12" spans="2:14" ht="15.75" customHeight="1" x14ac:dyDescent="0.25">
      <c r="B12" s="19"/>
      <c r="C12" s="7" t="s">
        <v>57</v>
      </c>
      <c r="D12" s="8"/>
      <c r="E12" s="12">
        <v>0.97864600000000002</v>
      </c>
      <c r="F12" s="1"/>
      <c r="G12" s="1"/>
      <c r="H12" s="1"/>
      <c r="I12" s="1"/>
      <c r="J12" s="1"/>
      <c r="K12" s="1"/>
      <c r="L12" s="1"/>
      <c r="M12" s="1"/>
      <c r="N12" s="17"/>
    </row>
    <row r="13" spans="2:14" ht="15" customHeight="1" x14ac:dyDescent="0.25">
      <c r="B13" s="19"/>
      <c r="C13" s="5" t="s">
        <v>8</v>
      </c>
      <c r="D13" s="6"/>
      <c r="E13" s="11">
        <v>4.4860000000000004E-3</v>
      </c>
      <c r="F13" s="1"/>
      <c r="G13" s="1"/>
      <c r="H13" s="1"/>
      <c r="I13" s="1"/>
      <c r="J13" s="1"/>
      <c r="K13" s="1"/>
      <c r="L13" s="1"/>
      <c r="M13" s="1"/>
      <c r="N13" s="17"/>
    </row>
    <row r="14" spans="2:14" ht="15.75" customHeight="1" x14ac:dyDescent="0.25">
      <c r="B14" s="19"/>
      <c r="C14" s="7" t="s">
        <v>9</v>
      </c>
      <c r="D14" s="8"/>
      <c r="E14" s="12">
        <v>4.4860000000000004E-3</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75" customHeight="1" x14ac:dyDescent="0.25">
      <c r="B16" s="19"/>
      <c r="C16" s="7" t="s">
        <v>10</v>
      </c>
      <c r="D16" s="8"/>
      <c r="E16" s="12">
        <v>1.6868000000000001E-2</v>
      </c>
      <c r="F16" s="1"/>
      <c r="G16" s="1"/>
      <c r="H16" s="1"/>
      <c r="I16" s="1"/>
      <c r="J16" s="1"/>
      <c r="K16" s="1"/>
      <c r="L16" s="1"/>
      <c r="M16" s="1"/>
      <c r="N16" s="17"/>
    </row>
    <row r="17" spans="2:14" ht="15" customHeight="1" x14ac:dyDescent="0.25">
      <c r="B17" s="19"/>
      <c r="C17" s="5"/>
      <c r="D17" s="6"/>
      <c r="E17" s="11"/>
      <c r="F17" s="1"/>
      <c r="G17" s="1"/>
      <c r="H17" s="1"/>
      <c r="I17" s="1"/>
      <c r="J17" s="1"/>
      <c r="K17" s="1"/>
      <c r="L17" s="1"/>
      <c r="M17" s="1"/>
      <c r="N17" s="17"/>
    </row>
    <row r="18" spans="2:14" ht="15" customHeight="1" x14ac:dyDescent="0.25">
      <c r="B18" s="19"/>
      <c r="C18" s="9" t="s">
        <v>11</v>
      </c>
      <c r="D18" s="10"/>
      <c r="E18" s="13">
        <v>1</v>
      </c>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4" t="s">
        <v>17</v>
      </c>
      <c r="H26" s="35"/>
      <c r="I26" s="35"/>
      <c r="J26" s="35"/>
      <c r="K26" s="35"/>
      <c r="L26" s="35"/>
      <c r="M26" s="35"/>
      <c r="N26" s="3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sheetData>
  <mergeCells count="3">
    <mergeCell ref="C3:N3"/>
    <mergeCell ref="G7:N7"/>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3"/>
  <sheetViews>
    <sheetView showGridLines="0" zoomScale="75" zoomScaleNormal="75" workbookViewId="0"/>
  </sheetViews>
  <sheetFormatPr defaultRowHeight="15" x14ac:dyDescent="0.25"/>
  <cols>
    <col min="1" max="1" width="2.85546875" customWidth="1"/>
    <col min="2" max="2" width="3.85546875" customWidth="1"/>
    <col min="3" max="3" width="49.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200</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73</v>
      </c>
      <c r="D8" s="6" t="s">
        <v>50</v>
      </c>
      <c r="E8" s="11">
        <v>0.51522599999999996</v>
      </c>
      <c r="F8" s="1"/>
      <c r="G8" s="23" t="s">
        <v>15</v>
      </c>
      <c r="H8" s="24">
        <v>1</v>
      </c>
      <c r="I8" s="1"/>
      <c r="J8" s="23" t="s">
        <v>12</v>
      </c>
      <c r="K8" s="23" t="s">
        <v>3</v>
      </c>
      <c r="L8" s="1"/>
      <c r="M8" s="1"/>
      <c r="N8" s="17"/>
    </row>
    <row r="9" spans="2:14" ht="15" customHeight="1" x14ac:dyDescent="0.25">
      <c r="B9" s="19"/>
      <c r="C9" s="5" t="s">
        <v>74</v>
      </c>
      <c r="D9" s="6" t="s">
        <v>50</v>
      </c>
      <c r="E9" s="11">
        <v>0.431759</v>
      </c>
      <c r="F9" s="1"/>
      <c r="G9" s="1"/>
      <c r="H9" s="1"/>
      <c r="I9" s="1"/>
      <c r="J9" s="23" t="s">
        <v>13</v>
      </c>
      <c r="K9" s="25">
        <f>E12</f>
        <v>3.0747E-2</v>
      </c>
      <c r="L9" s="1"/>
      <c r="M9" s="1"/>
      <c r="N9" s="17"/>
    </row>
    <row r="10" spans="2:14" ht="15" customHeight="1" x14ac:dyDescent="0.25">
      <c r="B10" s="19"/>
      <c r="C10" s="7" t="s">
        <v>57</v>
      </c>
      <c r="D10" s="8"/>
      <c r="E10" s="12">
        <v>0.94698499999999997</v>
      </c>
      <c r="F10" s="1"/>
      <c r="G10" s="1"/>
      <c r="H10" s="1"/>
      <c r="I10" s="1"/>
      <c r="J10" s="23" t="s">
        <v>64</v>
      </c>
      <c r="K10" s="25">
        <f>E10</f>
        <v>0.94698499999999997</v>
      </c>
      <c r="L10" s="1"/>
      <c r="M10" s="1"/>
      <c r="N10" s="17"/>
    </row>
    <row r="11" spans="2:14" ht="15" customHeight="1" x14ac:dyDescent="0.25">
      <c r="B11" s="19"/>
      <c r="C11" s="5" t="s">
        <v>8</v>
      </c>
      <c r="D11" s="6"/>
      <c r="E11" s="11">
        <v>3.0747E-2</v>
      </c>
      <c r="F11" s="1"/>
      <c r="G11" s="1"/>
      <c r="H11" s="1"/>
      <c r="I11" s="1"/>
      <c r="J11" s="23" t="s">
        <v>10</v>
      </c>
      <c r="K11" s="25">
        <f>E14</f>
        <v>2.2268E-2</v>
      </c>
      <c r="L11" s="1"/>
      <c r="M11" s="1"/>
      <c r="N11" s="17"/>
    </row>
    <row r="12" spans="2:14" ht="15" customHeight="1" x14ac:dyDescent="0.25">
      <c r="B12" s="19"/>
      <c r="C12" s="7" t="s">
        <v>9</v>
      </c>
      <c r="D12" s="8"/>
      <c r="E12" s="12">
        <v>3.0747E-2</v>
      </c>
      <c r="F12" s="1"/>
      <c r="G12" s="1"/>
      <c r="H12" s="1"/>
      <c r="I12" s="1"/>
      <c r="J12" s="1"/>
      <c r="K12" s="1"/>
      <c r="L12" s="1"/>
      <c r="M12" s="1"/>
      <c r="N12" s="17"/>
    </row>
    <row r="13" spans="2:14" ht="15" customHeight="1" x14ac:dyDescent="0.25">
      <c r="B13" s="19"/>
      <c r="C13" s="5"/>
      <c r="D13" s="6"/>
      <c r="E13" s="11"/>
      <c r="F13" s="1"/>
      <c r="G13" s="1"/>
      <c r="H13" s="1"/>
      <c r="I13" s="1"/>
      <c r="J13" s="1"/>
      <c r="K13" s="1"/>
      <c r="L13" s="1"/>
      <c r="M13" s="1"/>
      <c r="N13" s="17"/>
    </row>
    <row r="14" spans="2:14" ht="15.75" customHeight="1" x14ac:dyDescent="0.25">
      <c r="B14" s="19"/>
      <c r="C14" s="7" t="s">
        <v>10</v>
      </c>
      <c r="D14" s="8"/>
      <c r="E14" s="12">
        <v>2.2268E-2</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75" customHeight="1" x14ac:dyDescent="0.25">
      <c r="B16" s="19"/>
      <c r="C16" s="9" t="s">
        <v>11</v>
      </c>
      <c r="D16" s="10"/>
      <c r="E16" s="13">
        <v>1</v>
      </c>
      <c r="F16" s="1"/>
      <c r="G16" s="1"/>
      <c r="H16" s="1"/>
      <c r="I16" s="1"/>
      <c r="J16" s="1"/>
      <c r="K16" s="1"/>
      <c r="L16" s="1"/>
      <c r="M16" s="1"/>
      <c r="N16" s="17"/>
    </row>
    <row r="17" spans="2:14" ht="15" customHeight="1" x14ac:dyDescent="0.25">
      <c r="B17" s="19"/>
      <c r="F17" s="1"/>
      <c r="G17" s="1"/>
      <c r="H17" s="1"/>
      <c r="I17" s="1"/>
      <c r="J17" s="1"/>
      <c r="K17" s="1"/>
      <c r="L17" s="1"/>
      <c r="M17" s="1"/>
      <c r="N17" s="17"/>
    </row>
    <row r="18" spans="2:14" ht="15.75" customHeight="1" x14ac:dyDescent="0.25">
      <c r="B18" s="19"/>
      <c r="F18" s="1"/>
      <c r="G18" s="1"/>
      <c r="H18" s="1"/>
      <c r="I18" s="1"/>
      <c r="J18" s="1"/>
      <c r="K18" s="1"/>
      <c r="L18" s="1"/>
      <c r="M18" s="1"/>
      <c r="N18" s="17"/>
    </row>
    <row r="19" spans="2:14" ht="15" customHeight="1" x14ac:dyDescent="0.25">
      <c r="B19" s="19"/>
      <c r="F19" s="1"/>
      <c r="G19" s="1"/>
      <c r="H19" s="1"/>
      <c r="I19" s="1"/>
      <c r="J19" s="1"/>
      <c r="K19" s="1"/>
      <c r="L19" s="1"/>
      <c r="M19" s="1"/>
      <c r="N19" s="17"/>
    </row>
    <row r="20" spans="2:14" ht="15" customHeight="1" x14ac:dyDescent="0.25">
      <c r="B20" s="19"/>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4" t="s">
        <v>17</v>
      </c>
      <c r="H26" s="35"/>
      <c r="I26" s="35"/>
      <c r="J26" s="35"/>
      <c r="K26" s="35"/>
      <c r="L26" s="35"/>
      <c r="M26" s="35"/>
      <c r="N26" s="3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sheetData>
  <mergeCells count="3">
    <mergeCell ref="C3:N3"/>
    <mergeCell ref="G7:N7"/>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3"/>
  <sheetViews>
    <sheetView showGridLines="0" zoomScale="75" zoomScaleNormal="75" workbookViewId="0"/>
  </sheetViews>
  <sheetFormatPr defaultRowHeight="15" x14ac:dyDescent="0.25"/>
  <cols>
    <col min="1" max="1" width="2.85546875" customWidth="1"/>
    <col min="2" max="2" width="3.85546875" customWidth="1"/>
    <col min="3" max="3" width="49.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201</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72</v>
      </c>
      <c r="D8" s="6" t="s">
        <v>50</v>
      </c>
      <c r="E8" s="11">
        <v>0.58600600000000003</v>
      </c>
      <c r="F8" s="1"/>
      <c r="G8" s="23" t="s">
        <v>15</v>
      </c>
      <c r="H8" s="24">
        <v>1</v>
      </c>
      <c r="I8" s="1"/>
      <c r="J8" s="23" t="s">
        <v>12</v>
      </c>
      <c r="K8" s="23" t="s">
        <v>3</v>
      </c>
      <c r="L8" s="1"/>
      <c r="M8" s="1"/>
      <c r="N8" s="17"/>
    </row>
    <row r="9" spans="2:14" ht="15" customHeight="1" x14ac:dyDescent="0.25">
      <c r="B9" s="19"/>
      <c r="C9" s="5" t="s">
        <v>84</v>
      </c>
      <c r="D9" s="6" t="s">
        <v>50</v>
      </c>
      <c r="E9" s="11">
        <v>0.37165900000000002</v>
      </c>
      <c r="F9" s="1"/>
      <c r="G9" s="1"/>
      <c r="H9" s="1"/>
      <c r="I9" s="1"/>
      <c r="J9" s="23" t="s">
        <v>13</v>
      </c>
      <c r="K9" s="25">
        <f>E12</f>
        <v>2.6936000000000002E-2</v>
      </c>
      <c r="L9" s="1"/>
      <c r="M9" s="1"/>
      <c r="N9" s="17"/>
    </row>
    <row r="10" spans="2:14" ht="15" customHeight="1" x14ac:dyDescent="0.25">
      <c r="B10" s="19"/>
      <c r="C10" s="7" t="s">
        <v>57</v>
      </c>
      <c r="D10" s="8"/>
      <c r="E10" s="12">
        <v>0.95766499999999999</v>
      </c>
      <c r="F10" s="1"/>
      <c r="G10" s="1"/>
      <c r="H10" s="1"/>
      <c r="I10" s="1"/>
      <c r="J10" s="23" t="s">
        <v>64</v>
      </c>
      <c r="K10" s="25">
        <f>E10</f>
        <v>0.95766499999999999</v>
      </c>
      <c r="L10" s="1"/>
      <c r="M10" s="1"/>
      <c r="N10" s="17"/>
    </row>
    <row r="11" spans="2:14" ht="15" customHeight="1" x14ac:dyDescent="0.25">
      <c r="B11" s="19"/>
      <c r="C11" s="5" t="s">
        <v>8</v>
      </c>
      <c r="D11" s="6"/>
      <c r="E11" s="11">
        <v>2.6936000000000002E-2</v>
      </c>
      <c r="F11" s="1"/>
      <c r="G11" s="1"/>
      <c r="H11" s="1"/>
      <c r="I11" s="1"/>
      <c r="J11" s="23" t="s">
        <v>10</v>
      </c>
      <c r="K11" s="25">
        <f>E14</f>
        <v>1.5398999999999999E-2</v>
      </c>
      <c r="L11" s="1"/>
      <c r="M11" s="1"/>
      <c r="N11" s="17"/>
    </row>
    <row r="12" spans="2:14" ht="15" customHeight="1" x14ac:dyDescent="0.25">
      <c r="B12" s="19"/>
      <c r="C12" s="7" t="s">
        <v>9</v>
      </c>
      <c r="D12" s="8"/>
      <c r="E12" s="12">
        <v>2.6936000000000002E-2</v>
      </c>
      <c r="F12" s="1"/>
      <c r="G12" s="1"/>
      <c r="H12" s="1"/>
      <c r="I12" s="1"/>
      <c r="J12" s="1"/>
      <c r="K12" s="1"/>
      <c r="L12" s="1"/>
      <c r="M12" s="1"/>
      <c r="N12" s="17"/>
    </row>
    <row r="13" spans="2:14" ht="15" customHeight="1" x14ac:dyDescent="0.25">
      <c r="B13" s="19"/>
      <c r="C13" s="5"/>
      <c r="D13" s="6"/>
      <c r="E13" s="11"/>
      <c r="F13" s="1"/>
      <c r="G13" s="1"/>
      <c r="H13" s="1"/>
      <c r="I13" s="1"/>
      <c r="J13" s="1"/>
      <c r="K13" s="1"/>
      <c r="L13" s="1"/>
      <c r="M13" s="1"/>
      <c r="N13" s="17"/>
    </row>
    <row r="14" spans="2:14" ht="15.75" customHeight="1" x14ac:dyDescent="0.25">
      <c r="B14" s="19"/>
      <c r="C14" s="7" t="s">
        <v>10</v>
      </c>
      <c r="D14" s="8"/>
      <c r="E14" s="12">
        <v>1.5398999999999999E-2</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75" customHeight="1" x14ac:dyDescent="0.25">
      <c r="B16" s="19"/>
      <c r="C16" s="9" t="s">
        <v>11</v>
      </c>
      <c r="D16" s="10"/>
      <c r="E16" s="13">
        <v>1</v>
      </c>
      <c r="F16" s="1"/>
      <c r="G16" s="1"/>
      <c r="H16" s="1"/>
      <c r="I16" s="1"/>
      <c r="J16" s="1"/>
      <c r="K16" s="1"/>
      <c r="L16" s="1"/>
      <c r="M16" s="1"/>
      <c r="N16" s="17"/>
    </row>
    <row r="17" spans="2:14" ht="15" customHeight="1" x14ac:dyDescent="0.25">
      <c r="B17" s="19"/>
      <c r="F17" s="1"/>
      <c r="G17" s="1"/>
      <c r="H17" s="1"/>
      <c r="I17" s="1"/>
      <c r="J17" s="1"/>
      <c r="K17" s="1"/>
      <c r="L17" s="1"/>
      <c r="M17" s="1"/>
      <c r="N17" s="17"/>
    </row>
    <row r="18" spans="2:14" ht="15.75" customHeight="1" x14ac:dyDescent="0.25">
      <c r="B18" s="19"/>
      <c r="F18" s="1"/>
      <c r="G18" s="1"/>
      <c r="H18" s="1"/>
      <c r="I18" s="1"/>
      <c r="J18" s="1"/>
      <c r="K18" s="1"/>
      <c r="L18" s="1"/>
      <c r="M18" s="1"/>
      <c r="N18" s="17"/>
    </row>
    <row r="19" spans="2:14" ht="15" customHeight="1" x14ac:dyDescent="0.25">
      <c r="B19" s="19"/>
      <c r="F19" s="1"/>
      <c r="G19" s="1"/>
      <c r="H19" s="1"/>
      <c r="I19" s="1"/>
      <c r="J19" s="1"/>
      <c r="K19" s="1"/>
      <c r="L19" s="1"/>
      <c r="M19" s="1"/>
      <c r="N19" s="17"/>
    </row>
    <row r="20" spans="2:14" ht="15" customHeight="1" x14ac:dyDescent="0.25">
      <c r="B20" s="19"/>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4" t="s">
        <v>17</v>
      </c>
      <c r="H26" s="35"/>
      <c r="I26" s="35"/>
      <c r="J26" s="35"/>
      <c r="K26" s="35"/>
      <c r="L26" s="35"/>
      <c r="M26" s="35"/>
      <c r="N26" s="3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sheetData>
  <mergeCells count="3">
    <mergeCell ref="C3:N3"/>
    <mergeCell ref="G7:N7"/>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3"/>
  <sheetViews>
    <sheetView showGridLines="0" zoomScale="75" zoomScaleNormal="75" workbookViewId="0"/>
  </sheetViews>
  <sheetFormatPr defaultRowHeight="15" x14ac:dyDescent="0.25"/>
  <cols>
    <col min="1" max="1" width="2.85546875" customWidth="1"/>
    <col min="2" max="2" width="3.85546875" customWidth="1"/>
    <col min="3" max="3" width="59"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0</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4</v>
      </c>
      <c r="D8" s="6"/>
      <c r="E8" s="11">
        <v>0.59784499999999996</v>
      </c>
      <c r="F8" s="1"/>
      <c r="G8" s="23" t="s">
        <v>15</v>
      </c>
      <c r="H8" s="24">
        <v>1</v>
      </c>
      <c r="I8" s="1"/>
      <c r="J8" s="23" t="s">
        <v>12</v>
      </c>
      <c r="K8" s="23" t="s">
        <v>3</v>
      </c>
      <c r="L8" s="1"/>
      <c r="M8" s="1"/>
      <c r="N8" s="17"/>
    </row>
    <row r="9" spans="2:14" ht="15" customHeight="1" x14ac:dyDescent="0.25">
      <c r="B9" s="19"/>
      <c r="C9" s="5" t="s">
        <v>5</v>
      </c>
      <c r="D9" s="6"/>
      <c r="E9" s="11">
        <v>0.297018</v>
      </c>
      <c r="F9" s="1"/>
      <c r="G9" s="1"/>
      <c r="H9" s="1"/>
      <c r="I9" s="1"/>
      <c r="J9" s="23" t="s">
        <v>10</v>
      </c>
      <c r="K9" s="25">
        <v>-6.5539999999999999E-3</v>
      </c>
      <c r="L9" s="1"/>
      <c r="M9" s="1"/>
      <c r="N9" s="17"/>
    </row>
    <row r="10" spans="2:14" ht="15" customHeight="1" x14ac:dyDescent="0.25">
      <c r="B10" s="19"/>
      <c r="C10" s="5" t="s">
        <v>6</v>
      </c>
      <c r="D10" s="6"/>
      <c r="E10" s="11">
        <v>6.3857999999999998E-2</v>
      </c>
      <c r="F10" s="1"/>
      <c r="G10" s="1"/>
      <c r="H10" s="1"/>
      <c r="I10" s="1"/>
      <c r="J10" s="23" t="s">
        <v>13</v>
      </c>
      <c r="K10" s="25">
        <v>4.7833000000000001E-2</v>
      </c>
      <c r="L10" s="1"/>
      <c r="M10" s="1"/>
      <c r="N10" s="17"/>
    </row>
    <row r="11" spans="2:14" ht="15.75" customHeight="1" x14ac:dyDescent="0.25">
      <c r="B11" s="19"/>
      <c r="C11" s="7" t="s">
        <v>7</v>
      </c>
      <c r="D11" s="8"/>
      <c r="E11" s="12">
        <v>0.95872100000000005</v>
      </c>
      <c r="F11" s="1"/>
      <c r="G11" s="1"/>
      <c r="H11" s="1"/>
      <c r="I11" s="1"/>
      <c r="J11" s="23" t="s">
        <v>14</v>
      </c>
      <c r="K11" s="25">
        <v>0.95872100000000005</v>
      </c>
      <c r="L11" s="1"/>
      <c r="M11" s="1"/>
      <c r="N11" s="17"/>
    </row>
    <row r="12" spans="2:14" ht="15" customHeight="1" x14ac:dyDescent="0.25">
      <c r="B12" s="19"/>
      <c r="C12" s="5" t="s">
        <v>8</v>
      </c>
      <c r="D12" s="6"/>
      <c r="E12" s="11">
        <v>4.7833000000000001E-2</v>
      </c>
      <c r="F12" s="1"/>
      <c r="G12" s="1"/>
      <c r="H12" s="1"/>
      <c r="I12" s="1"/>
      <c r="J12" s="1"/>
      <c r="K12" s="1"/>
      <c r="L12" s="1"/>
      <c r="M12" s="1"/>
      <c r="N12" s="17"/>
    </row>
    <row r="13" spans="2:14" ht="15.75" customHeight="1" x14ac:dyDescent="0.25">
      <c r="B13" s="19"/>
      <c r="C13" s="7" t="s">
        <v>9</v>
      </c>
      <c r="D13" s="8"/>
      <c r="E13" s="12">
        <v>4.7833000000000001E-2</v>
      </c>
      <c r="F13" s="1"/>
      <c r="G13" s="1"/>
      <c r="H13" s="1"/>
      <c r="I13" s="1"/>
      <c r="J13" s="1"/>
      <c r="K13" s="1"/>
      <c r="L13" s="1"/>
      <c r="M13" s="1"/>
      <c r="N13" s="17"/>
    </row>
    <row r="14" spans="2:14" ht="15" customHeight="1" x14ac:dyDescent="0.25">
      <c r="B14" s="19"/>
      <c r="C14" s="5"/>
      <c r="D14" s="6"/>
      <c r="E14" s="11"/>
      <c r="F14" s="1"/>
      <c r="G14" s="1"/>
      <c r="H14" s="1"/>
      <c r="I14" s="1"/>
      <c r="J14" s="1"/>
      <c r="K14" s="1"/>
      <c r="L14" s="1"/>
      <c r="M14" s="1"/>
      <c r="N14" s="17"/>
    </row>
    <row r="15" spans="2:14" ht="15.75" customHeight="1" x14ac:dyDescent="0.25">
      <c r="B15" s="19"/>
      <c r="C15" s="7" t="s">
        <v>10</v>
      </c>
      <c r="D15" s="8"/>
      <c r="E15" s="12">
        <v>-6.5539999999999999E-3</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 customHeight="1" x14ac:dyDescent="0.25">
      <c r="B17" s="19"/>
      <c r="C17" s="9" t="s">
        <v>11</v>
      </c>
      <c r="D17" s="10"/>
      <c r="E17" s="13">
        <v>1</v>
      </c>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4" t="s">
        <v>17</v>
      </c>
      <c r="H26" s="35"/>
      <c r="I26" s="35"/>
      <c r="J26" s="35"/>
      <c r="K26" s="35"/>
      <c r="L26" s="35"/>
      <c r="M26" s="35"/>
      <c r="N26" s="3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sheetData>
  <mergeCells count="3">
    <mergeCell ref="C3:N3"/>
    <mergeCell ref="G7:N7"/>
    <mergeCell ref="G26:N26"/>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showGridLines="0" workbookViewId="0"/>
  </sheetViews>
  <sheetFormatPr defaultRowHeight="15" x14ac:dyDescent="0.25"/>
  <sheetData>
    <row r="1" spans="1:12" ht="15.75" thickBot="1" x14ac:dyDescent="0.3"/>
    <row r="2" spans="1:12" x14ac:dyDescent="0.25">
      <c r="A2" s="37" t="s">
        <v>202</v>
      </c>
      <c r="B2" s="38"/>
      <c r="C2" s="38"/>
      <c r="D2" s="38"/>
      <c r="E2" s="38"/>
      <c r="F2" s="38"/>
      <c r="G2" s="38"/>
      <c r="H2" s="38"/>
      <c r="I2" s="38"/>
      <c r="J2" s="38"/>
      <c r="K2" s="38"/>
      <c r="L2" s="39"/>
    </row>
    <row r="3" spans="1:12" x14ac:dyDescent="0.25">
      <c r="A3" s="40"/>
      <c r="B3" s="41"/>
      <c r="C3" s="41"/>
      <c r="D3" s="41"/>
      <c r="E3" s="41"/>
      <c r="F3" s="41"/>
      <c r="G3" s="41"/>
      <c r="H3" s="41"/>
      <c r="I3" s="41"/>
      <c r="J3" s="41"/>
      <c r="K3" s="41"/>
      <c r="L3" s="42"/>
    </row>
    <row r="4" spans="1:12" x14ac:dyDescent="0.25">
      <c r="A4" s="40"/>
      <c r="B4" s="41"/>
      <c r="C4" s="41"/>
      <c r="D4" s="41"/>
      <c r="E4" s="41"/>
      <c r="F4" s="41"/>
      <c r="G4" s="41"/>
      <c r="H4" s="41"/>
      <c r="I4" s="41"/>
      <c r="J4" s="41"/>
      <c r="K4" s="41"/>
      <c r="L4" s="42"/>
    </row>
    <row r="5" spans="1:12" x14ac:dyDescent="0.25">
      <c r="A5" s="40"/>
      <c r="B5" s="41"/>
      <c r="C5" s="43"/>
      <c r="D5" s="43"/>
      <c r="E5" s="43"/>
      <c r="F5" s="41"/>
      <c r="G5" s="41"/>
      <c r="H5" s="41"/>
      <c r="I5" s="41"/>
      <c r="J5" s="41"/>
      <c r="K5" s="41"/>
      <c r="L5" s="42"/>
    </row>
    <row r="6" spans="1:12" x14ac:dyDescent="0.25">
      <c r="A6" s="40"/>
      <c r="B6" s="41"/>
      <c r="C6" s="41"/>
      <c r="D6" s="41"/>
      <c r="E6" s="41"/>
      <c r="F6" s="41"/>
      <c r="G6" s="41"/>
      <c r="H6" s="41"/>
      <c r="I6" s="41"/>
      <c r="J6" s="41"/>
      <c r="K6" s="41"/>
      <c r="L6" s="42"/>
    </row>
    <row r="7" spans="1:12" x14ac:dyDescent="0.25">
      <c r="A7" s="40"/>
      <c r="B7" s="41"/>
      <c r="C7" s="41"/>
      <c r="D7" s="41"/>
      <c r="E7" s="41"/>
      <c r="F7" s="41"/>
      <c r="G7" s="41"/>
      <c r="H7" s="41"/>
      <c r="I7" s="41"/>
      <c r="J7" s="41"/>
      <c r="K7" s="41"/>
      <c r="L7" s="42"/>
    </row>
    <row r="8" spans="1:12" x14ac:dyDescent="0.25">
      <c r="A8" s="40"/>
      <c r="B8" s="41"/>
      <c r="C8" s="41"/>
      <c r="D8" s="41"/>
      <c r="E8" s="41"/>
      <c r="F8" s="41"/>
      <c r="G8" s="41"/>
      <c r="H8" s="41"/>
      <c r="I8" s="41"/>
      <c r="J8" s="41"/>
      <c r="K8" s="41"/>
      <c r="L8" s="42"/>
    </row>
    <row r="9" spans="1:12" x14ac:dyDescent="0.25">
      <c r="A9" s="40"/>
      <c r="B9" s="41"/>
      <c r="C9" s="41"/>
      <c r="D9" s="41"/>
      <c r="E9" s="41"/>
      <c r="F9" s="41"/>
      <c r="G9" s="41"/>
      <c r="H9" s="41"/>
      <c r="I9" s="41"/>
      <c r="J9" s="41"/>
      <c r="K9" s="41"/>
      <c r="L9" s="42"/>
    </row>
    <row r="10" spans="1:12" x14ac:dyDescent="0.25">
      <c r="A10" s="40"/>
      <c r="B10" s="41"/>
      <c r="C10" s="41"/>
      <c r="D10" s="41"/>
      <c r="E10" s="41"/>
      <c r="F10" s="41"/>
      <c r="G10" s="41"/>
      <c r="H10" s="41"/>
      <c r="I10" s="41"/>
      <c r="J10" s="41"/>
      <c r="K10" s="41"/>
      <c r="L10" s="42"/>
    </row>
    <row r="11" spans="1:12" x14ac:dyDescent="0.25">
      <c r="A11" s="40"/>
      <c r="B11" s="41"/>
      <c r="C11" s="41"/>
      <c r="D11" s="41"/>
      <c r="E11" s="41"/>
      <c r="F11" s="41"/>
      <c r="G11" s="41"/>
      <c r="H11" s="41"/>
      <c r="I11" s="41"/>
      <c r="J11" s="41"/>
      <c r="K11" s="41"/>
      <c r="L11" s="42"/>
    </row>
    <row r="12" spans="1:12" x14ac:dyDescent="0.25">
      <c r="A12" s="40"/>
      <c r="B12" s="41"/>
      <c r="C12" s="41"/>
      <c r="D12" s="41"/>
      <c r="E12" s="41"/>
      <c r="F12" s="41"/>
      <c r="G12" s="41"/>
      <c r="H12" s="41"/>
      <c r="I12" s="41"/>
      <c r="J12" s="41"/>
      <c r="K12" s="41"/>
      <c r="L12" s="42"/>
    </row>
    <row r="13" spans="1:12" x14ac:dyDescent="0.25">
      <c r="A13" s="40"/>
      <c r="B13" s="41"/>
      <c r="C13" s="41"/>
      <c r="D13" s="41"/>
      <c r="E13" s="41"/>
      <c r="F13" s="41"/>
      <c r="G13" s="41"/>
      <c r="H13" s="41"/>
      <c r="I13" s="41"/>
      <c r="J13" s="41"/>
      <c r="K13" s="41"/>
      <c r="L13" s="42"/>
    </row>
    <row r="14" spans="1:12" x14ac:dyDescent="0.25">
      <c r="A14" s="40"/>
      <c r="B14" s="41"/>
      <c r="C14" s="41"/>
      <c r="D14" s="41"/>
      <c r="E14" s="41"/>
      <c r="F14" s="41"/>
      <c r="G14" s="41"/>
      <c r="H14" s="41"/>
      <c r="I14" s="41"/>
      <c r="J14" s="41"/>
      <c r="K14" s="41"/>
      <c r="L14" s="42"/>
    </row>
    <row r="15" spans="1:12" ht="15.75" thickBot="1" x14ac:dyDescent="0.3">
      <c r="A15" s="44"/>
      <c r="B15" s="45"/>
      <c r="C15" s="45"/>
      <c r="D15" s="45"/>
      <c r="E15" s="45"/>
      <c r="F15" s="45"/>
      <c r="G15" s="45"/>
      <c r="H15" s="45"/>
      <c r="I15" s="45"/>
      <c r="J15" s="45"/>
      <c r="K15" s="45"/>
      <c r="L15" s="46"/>
    </row>
  </sheetData>
  <mergeCells count="1">
    <mergeCell ref="A2:L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FRF</vt:lpstr>
      <vt:lpstr>IDFC CRF</vt:lpstr>
      <vt:lpstr>IDFC GSF-IP</vt:lpstr>
      <vt:lpstr>IDFC GSF - CMP</vt:lpstr>
      <vt:lpstr>IDFC GIF 2027</vt:lpstr>
      <vt:lpstr>IDFC GIF 2028</vt:lpstr>
      <vt:lpstr>IDFC ASBF</vt:lpstr>
      <vt:lpstr>Disclaimer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IDFCMF Products2</cp:lastModifiedBy>
  <dcterms:created xsi:type="dcterms:W3CDTF">2021-11-01T04:54:08Z</dcterms:created>
  <dcterms:modified xsi:type="dcterms:W3CDTF">2021-11-01T06:22:13Z</dcterms:modified>
</cp:coreProperties>
</file>