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27.xml" ContentType="application/vnd.openxmlformats-officedocument.drawing+xml"/>
  <Override PartName="/xl/charts/chart34.xml" ContentType="application/vnd.openxmlformats-officedocument.drawingml.chart+xml"/>
  <Override PartName="/xl/drawings/drawing28.xml" ContentType="application/vnd.openxmlformats-officedocument.drawing+xml"/>
  <Override PartName="/xl/charts/chart35.xml" ContentType="application/vnd.openxmlformats-officedocument.drawingml.chart+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1.xml" ContentType="application/vnd.openxmlformats-officedocument.drawing+xml"/>
  <Override PartName="/xl/charts/chart38.xml" ContentType="application/vnd.openxmlformats-officedocument.drawingml.chart+xml"/>
  <Override PartName="/xl/drawings/drawing32.xml" ContentType="application/vnd.openxmlformats-officedocument.drawing+xml"/>
  <Override PartName="/xl/charts/chart39.xml" ContentType="application/vnd.openxmlformats-officedocument.drawingml.chart+xml"/>
  <Override PartName="/xl/drawings/drawing33.xml" ContentType="application/vnd.openxmlformats-officedocument.drawing+xml"/>
  <Override PartName="/xl/charts/chart40.xml" ContentType="application/vnd.openxmlformats-officedocument.drawingml.chart+xml"/>
  <Override PartName="/xl/drawings/drawing34.xml" ContentType="application/vnd.openxmlformats-officedocument.drawing+xml"/>
  <Override PartName="/xl/charts/chart41.xml" ContentType="application/vnd.openxmlformats-officedocument.drawingml.chart+xml"/>
  <Override PartName="/xl/drawings/drawing35.xml" ContentType="application/vnd.openxmlformats-officedocument.drawing+xml"/>
  <Override PartName="/xl/charts/chart42.xml" ContentType="application/vnd.openxmlformats-officedocument.drawingml.chart+xml"/>
  <Override PartName="/xl/drawings/drawing36.xml" ContentType="application/vnd.openxmlformats-officedocument.drawing+xml"/>
  <Override PartName="/xl/charts/chart43.xml" ContentType="application/vnd.openxmlformats-officedocument.drawingml.chart+xml"/>
  <Override PartName="/xl/drawings/drawing37.xml" ContentType="application/vnd.openxmlformats-officedocument.drawing+xml"/>
  <Override PartName="/xl/charts/chart44.xml" ContentType="application/vnd.openxmlformats-officedocument.drawingml.chart+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xml"/>
  <Override PartName="/xl/charts/chart46.xml" ContentType="application/vnd.openxmlformats-officedocument.drawingml.chart+xml"/>
  <Override PartName="/xl/drawings/drawing40.xml" ContentType="application/vnd.openxmlformats-officedocument.drawing+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5\Feb 2025\"/>
    </mc:Choice>
  </mc:AlternateContent>
  <xr:revisionPtr revIDLastSave="0" documentId="13_ncr:1_{C822B4FD-FD34-4F99-A25C-C06439A247DC}" xr6:coauthVersionLast="36" xr6:coauthVersionMax="47" xr10:uidLastSave="{00000000-0000-0000-0000-000000000000}"/>
  <bookViews>
    <workbookView xWindow="0" yWindow="0" windowWidth="20490" windowHeight="7545" tabRatio="875"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 IPAFOFs" sheetId="59" r:id="rId26"/>
    <sheet name="BANDHAN-NIFTY 50 Index" sheetId="10" r:id="rId27"/>
    <sheet name="BANDHAN BSE SENSEX ETF" sheetId="16" r:id="rId28"/>
    <sheet name="BANDHAN- Nifty 50 ETF" sheetId="17" r:id="rId29"/>
    <sheet name="BANDHAN-Nifty 100 Index" sheetId="31" r:id="rId30"/>
    <sheet name="BANDHAN-Nifty200 Mom30 Index" sheetId="34" r:id="rId31"/>
    <sheet name="BANDHAN NIF100LV30" sheetId="35" r:id="rId32"/>
    <sheet name="BANDHAN NIFTY IT INDEX" sheetId="40" r:id="rId33"/>
    <sheet name="Bandhan Nifty Alpha 50 Index" sheetId="42" r:id="rId34"/>
    <sheet name="Bandhan Nifty Smallcap 250 " sheetId="44" r:id="rId35"/>
    <sheet name="Bandhan Nifty Total Market " sheetId="47" r:id="rId36"/>
    <sheet name="Bandhan Nifty Bank Index Fund" sheetId="49" r:id="rId37"/>
    <sheet name="Bandhan BSE Healthcare Index " sheetId="52" r:id="rId38"/>
    <sheet name="Bandhan Nifty Midcap 150 Index " sheetId="53" r:id="rId39"/>
    <sheet name="Bandhan Nifty 500 Value 50 " sheetId="56" r:id="rId40"/>
    <sheet name="Bandhan Nifty 500 Momentum 50 " sheetId="57" r:id="rId41"/>
    <sheet name="Bandhan Nifty 200 Quality 30 " sheetId="58" r:id="rId42"/>
    <sheet name="BANDHAN US TB 0-1yr FOF" sheetId="60" r:id="rId43"/>
  </sheets>
  <definedNames>
    <definedName name="_xlnm._FilterDatabase" localSheetId="22" hidden="1">'BANDHAN AAF-AP'!$C$12:$D$15</definedName>
    <definedName name="_xlnm._FilterDatabase" localSheetId="16" hidden="1">'BANDHAN BAF'!$I$51:$J$56</definedName>
    <definedName name="JR_PAGE_ANCHOR_0_24" localSheetId="42">#REF!</definedName>
    <definedName name="JR_PAGE_ANCHOR_0_24">#REF!</definedName>
    <definedName name="JR_PAGE_ANCHOR_0_25" localSheetId="42">#REF!</definedName>
    <definedName name="JR_PAGE_ANCHOR_0_25">#REF!</definedName>
    <definedName name="JR_PAGE_ANCHOR_0_26">#REF!</definedName>
    <definedName name="JR_PAGE_ANCHOR_0_27">#REF!</definedName>
    <definedName name="JR_PAGE_ANCHOR_0_28">#REF!</definedName>
    <definedName name="_xlnm.Print_Area" localSheetId="15">'BANDHAN-AF'!$C$5:$E$15</definedName>
  </definedNames>
  <calcPr calcId="191029"/>
</workbook>
</file>

<file path=xl/calcChain.xml><?xml version="1.0" encoding="utf-8"?>
<calcChain xmlns="http://schemas.openxmlformats.org/spreadsheetml/2006/main">
  <c r="D15" i="60" l="1"/>
  <c r="J10" i="60"/>
  <c r="J9" i="60"/>
  <c r="J8" i="60"/>
  <c r="E49" i="26" l="1"/>
  <c r="K13" i="26"/>
  <c r="K14" i="26"/>
  <c r="K12" i="26"/>
  <c r="H10" i="26"/>
  <c r="H9" i="26"/>
  <c r="H10" i="18"/>
  <c r="H9" i="18"/>
  <c r="E49" i="25"/>
  <c r="E26" i="27" l="1"/>
  <c r="E20" i="49" l="1"/>
  <c r="E24" i="58"/>
  <c r="E23" i="5" l="1"/>
  <c r="E52" i="5" s="1"/>
  <c r="K18" i="25" l="1"/>
  <c r="E24" i="57" l="1"/>
  <c r="E24" i="56"/>
  <c r="K17" i="25"/>
  <c r="E24" i="54" l="1"/>
  <c r="E24" i="53" l="1"/>
  <c r="E24" i="52"/>
  <c r="K16" i="25" l="1"/>
  <c r="K15" i="25"/>
  <c r="K14" i="25"/>
  <c r="K12" i="25"/>
  <c r="K10" i="25"/>
  <c r="H8" i="26" l="1"/>
  <c r="E24" i="47" l="1"/>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7" i="18" l="1"/>
  <c r="K10" i="18" l="1"/>
  <c r="E24" i="26"/>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<sst xmlns="http://schemas.openxmlformats.org/spreadsheetml/2006/main" count="2672" uniqueCount="434">
  <si>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</si>
  <si>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</si>
  <si>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</si>
  <si>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</si>
  <si>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</si>
  <si>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</si>
  <si>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</si>
  <si>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</si>
  <si>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</si>
  <si>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</si>
  <si>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</si>
  <si>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</si>
  <si>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</si>
  <si>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</si>
  <si>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</si>
  <si>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</si>
  <si>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</si>
  <si>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</si>
  <si>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</si>
  <si>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</si>
  <si>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</si>
  <si>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</si>
  <si>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</si>
  <si>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</si>
  <si>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</si>
  <si>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</si>
  <si>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</si>
  <si>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</si>
  <si>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</si>
  <si>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</si>
  <si>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</si>
  <si>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</si>
  <si>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</si>
  <si>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</si>
  <si>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</si>
  <si>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</si>
  <si>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</si>
  <si>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</si>
  <si>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</si>
  <si>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</si>
  <si>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</si>
  <si>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</si>
  <si>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</si>
  <si>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</si>
  <si>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</si>
  <si>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</si>
  <si>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</si>
  <si>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</si>
  <si>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</si>
  <si>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</si>
  <si>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</si>
  <si>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</si>
  <si>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</si>
  <si>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</si>
  <si>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</si>
  <si>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</si>
  <si>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</si>
  <si>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</si>
  <si>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</si>
  <si>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</si>
  <si>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</si>
  <si>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</si>
  <si>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</si>
  <si>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</si>
  <si>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</si>
  <si>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</si>
  <si>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</si>
  <si>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</si>
  <si>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</si>
  <si>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</si>
  <si>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</si>
  <si>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</si>
  <si>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</si>
  <si>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</si>
  <si>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</si>
  <si>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</si>
  <si>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</si>
  <si>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</si>
  <si>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</si>
  <si>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</si>
  <si>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</si>
  <si>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</si>
  <si>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</si>
  <si>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</si>
  <si>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</si>
  <si>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</si>
  <si>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</si>
  <si>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</si>
  <si>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</si>
  <si>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</si>
  <si>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</si>
  <si>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</si>
  <si>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</si>
  <si>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</si>
  <si>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</si>
  <si>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</si>
  <si>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</si>
  <si>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</si>
  <si>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</si>
  <si>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</si>
  <si>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</si>
  <si>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</si>
  <si>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</si>
  <si>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</si>
  <si>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</si>
  <si>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</si>
  <si>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</si>
  <si>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</si>
  <si>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</si>
  <si>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</si>
  <si>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</si>
  <si>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</si>
  <si>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</si>
  <si>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</si>
  <si>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</si>
  <si>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</si>
  <si>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</si>
  <si>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</si>
  <si>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</si>
  <si>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</si>
  <si>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</si>
  <si>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</si>
  <si>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</si>
  <si>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</si>
  <si>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</si>
  <si>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</si>
  <si>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</si>
  <si>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</si>
  <si>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</si>
  <si>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</si>
  <si>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</si>
  <si>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</si>
  <si>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</si>
  <si>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</si>
  <si>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</si>
  <si>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</si>
  <si>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</si>
  <si>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</si>
  <si>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</si>
  <si>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</si>
  <si>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</si>
  <si>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</si>
  <si>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</si>
  <si>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</si>
  <si>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</si>
  <si>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</si>
  <si>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</si>
  <si>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</si>
  <si>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</si>
  <si>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</si>
  <si>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</si>
  <si>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</si>
  <si>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</si>
  <si>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</si>
  <si>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</si>
  <si>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</si>
  <si>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</si>
  <si>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</si>
  <si>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</si>
  <si>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</si>
  <si>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</si>
  <si>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</si>
  <si>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</si>
  <si>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</si>
  <si>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</si>
  <si>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</si>
  <si>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</si>
  <si>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</si>
  <si>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</si>
  <si>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</si>
  <si>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</si>
  <si>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</si>
  <si>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</si>
  <si>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</si>
  <si>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</si>
  <si>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</si>
  <si>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</si>
  <si>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</si>
  <si>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</si>
  <si>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</si>
  <si>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</si>
  <si>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</si>
  <si>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</si>
  <si>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</si>
  <si>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</si>
  <si>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</si>
  <si>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</si>
  <si>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</si>
  <si>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</si>
  <si>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</si>
  <si>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</si>
  <si>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</si>
  <si>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</si>
  <si>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</si>
  <si>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</si>
  <si>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</si>
  <si>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</si>
  <si>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</si>
  <si>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</si>
  <si>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</si>
  <si>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</si>
  <si>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</si>
  <si>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</si>
  <si>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</si>
  <si>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</si>
  <si>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</si>
  <si>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</si>
  <si>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</si>
  <si>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</si>
  <si>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</si>
  <si>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</si>
  <si>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</si>
  <si>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</si>
  <si>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</si>
  <si>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</si>
  <si>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</si>
  <si>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</si>
  <si>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</si>
  <si>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</si>
  <si>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</si>
  <si>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</si>
  <si>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</si>
  <si>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</si>
  <si>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</si>
  <si>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</si>
  <si>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</si>
  <si>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</si>
  <si>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</si>
  <si>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</si>
  <si>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</si>
  <si>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</si>
  <si>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</si>
  <si>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</si>
  <si>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</si>
  <si>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National Aluminium Company Limited</t>
  </si>
  <si>
    <t>Dixon Technologies (India) Limited</t>
  </si>
  <si>
    <t>6.54% GOI (MD 17/01/2032)</t>
  </si>
  <si>
    <t>V-Mart Retail Limited</t>
  </si>
  <si>
    <t>Siemens Limited</t>
  </si>
  <si>
    <t>Asian Paints Limited</t>
  </si>
  <si>
    <t>Glenmark Pharmaceuticals Limited</t>
  </si>
  <si>
    <t>Crompton Greaves Consumer Electricals Limited</t>
  </si>
  <si>
    <t>BSE Limited</t>
  </si>
  <si>
    <t>Suzlon Energy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</si>
  <si>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</si>
  <si>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</si>
  <si>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</si>
  <si>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</si>
  <si>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</si>
  <si>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</si>
  <si>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</si>
  <si>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</si>
  <si>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</si>
  <si>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</si>
  <si>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Prudent Corporate Advisory Services Limited</t>
  </si>
  <si>
    <t>Aster DM Healthcare Limited</t>
  </si>
  <si>
    <t>Sun Pharmaceutical Industries Limited</t>
  </si>
  <si>
    <t>Titan Company Limited</t>
  </si>
  <si>
    <t>KEC International Limited</t>
  </si>
  <si>
    <t>LT Foods Limited</t>
  </si>
  <si>
    <t>The South Indian Bank Limited</t>
  </si>
  <si>
    <t>Alkem Laboratories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</si>
  <si>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</si>
  <si>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</si>
  <si>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</si>
  <si>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</si>
  <si>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</si>
  <si>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</si>
  <si>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</si>
  <si>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</si>
  <si>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</si>
  <si>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</si>
  <si>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</si>
  <si>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</si>
  <si>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Mphasis Limited</t>
  </si>
  <si>
    <t>Other Utilities</t>
  </si>
  <si>
    <t>Other Consumer Services</t>
  </si>
  <si>
    <t>AA</t>
  </si>
  <si>
    <t>One 97 Communications Limited</t>
  </si>
  <si>
    <t>Punjab National Bank</t>
  </si>
  <si>
    <t>Torrent Pharmaceuticals Limited</t>
  </si>
  <si>
    <t>Bajaj Housing Finance Limited</t>
  </si>
  <si>
    <t>Oil India Limited</t>
  </si>
  <si>
    <t>Inox Green Energy Services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</si>
  <si>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</si>
  <si>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</si>
  <si>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</si>
  <si>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</si>
  <si>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</si>
  <si>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</si>
  <si>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</si>
  <si>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</si>
  <si>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</si>
  <si>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</si>
  <si>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</si>
  <si>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</si>
  <si>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Spicejet Limited</t>
  </si>
  <si>
    <t>MRF Limited</t>
  </si>
  <si>
    <t>SBI Cards and Payment Services Limited</t>
  </si>
  <si>
    <t>Jubilant Ingrevia Limited</t>
  </si>
  <si>
    <t>Apollo Hospitals Enterprise Limited</t>
  </si>
  <si>
    <t>Cochin Shipyard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</si>
  <si>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</si>
  <si>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</si>
  <si>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</si>
  <si>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</si>
  <si>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</si>
  <si>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</si>
  <si>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</si>
  <si>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</si>
  <si>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</si>
  <si>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</si>
  <si>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</si>
  <si>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</si>
  <si>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</si>
  <si>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</si>
  <si>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</si>
  <si>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</si>
  <si>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</si>
  <si>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Avenue Supermarts Limited</t>
  </si>
  <si>
    <t>Nitin Spinners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</si>
  <si>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</si>
  <si>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</si>
  <si>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</si>
  <si>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</si>
  <si>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</si>
  <si>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</si>
  <si>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</si>
  <si>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</si>
  <si>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</si>
  <si>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</si>
  <si>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</si>
  <si>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</si>
  <si>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</si>
  <si>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CRISIL AA</t>
  </si>
  <si>
    <t>CRISIL AA+</t>
  </si>
  <si>
    <t>CRISIL AAA</t>
  </si>
  <si>
    <t>8.23% Gujarat SDL (MD 21/02/2028)</t>
  </si>
  <si>
    <t>NMDC Limited</t>
  </si>
  <si>
    <t>Wockhardt Limited</t>
  </si>
  <si>
    <t>360 One WAM Limited</t>
  </si>
  <si>
    <t>Brigade Enterprises Limited</t>
  </si>
  <si>
    <t>Indus Towers Limited</t>
  </si>
  <si>
    <t>Certificate of Deposit Total</t>
  </si>
  <si>
    <t>A1+</t>
  </si>
  <si>
    <t>7.1% GOI (MD 08/04/2034)</t>
  </si>
  <si>
    <t>7.7% Karnataka SDL (MD 15/11/2027)</t>
  </si>
  <si>
    <t>7.75% Gujarat SDL (MD 13/12/2027)</t>
  </si>
  <si>
    <t>Amber Enterprises India Limited</t>
  </si>
  <si>
    <t>Telecom - Equipment &amp; Accessories</t>
  </si>
  <si>
    <t>Bandhan Nifty 200 Quality 30 Index Fund</t>
  </si>
  <si>
    <t>ICICI Lombard General Insurance Company Limited</t>
  </si>
  <si>
    <t>KEI Industries Limited</t>
  </si>
  <si>
    <t>Hyundai Motor India Ltd</t>
  </si>
  <si>
    <t>United Spirits Limited</t>
  </si>
  <si>
    <t>Indian Renewable Energy Development Agency Limited</t>
  </si>
  <si>
    <t>Piramal Pharma Limited</t>
  </si>
  <si>
    <t>GE Vernova T&amp;D India Limited</t>
  </si>
  <si>
    <t>Godrej Properties Limited</t>
  </si>
  <si>
    <t>Colgate Palmolive (India) Limited</t>
  </si>
  <si>
    <t>Certificate of Deposit</t>
  </si>
  <si>
    <t>Indian Bank</t>
  </si>
  <si>
    <t>ICRA AA+</t>
  </si>
  <si>
    <t>Net Assets as on 31 December, 2024</t>
  </si>
  <si>
    <t>Rating</t>
  </si>
  <si>
    <t>AAA EQUIVALENT</t>
  </si>
  <si>
    <t>Bandhan Corporate Bond Fund - Direct Growth</t>
  </si>
  <si>
    <t>TRI Party Repo</t>
  </si>
  <si>
    <t>Mutual Fund Units Total</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</si>
  <si>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</si>
  <si>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JPMorgan ETFs BetaBuilders US Tre Bond0-1 yr UCITS</t>
  </si>
  <si>
    <t>Bank of India</t>
  </si>
  <si>
    <t>HDFC Life Insurance Company Limited</t>
  </si>
  <si>
    <t>Index</t>
  </si>
  <si>
    <t>PCBL Chemical Limited</t>
  </si>
  <si>
    <t>Yatharth Hospital And Trauma Care Services Limited</t>
  </si>
  <si>
    <t>PTC Industries Limited</t>
  </si>
  <si>
    <t>PNC Infratech Limited</t>
  </si>
  <si>
    <t>Escorts Kubota Limited</t>
  </si>
  <si>
    <t>VRL Logistics Limited</t>
  </si>
  <si>
    <t>Max Financial Services Limited</t>
  </si>
  <si>
    <t>Mazagon Dock Shipbuilders Limited</t>
  </si>
  <si>
    <t>Karur Vysya Bank Limited</t>
  </si>
  <si>
    <t>Krishna Institute Of Medical Sciences Limited</t>
  </si>
  <si>
    <t>SRF Limited</t>
  </si>
  <si>
    <t>Marico Limited</t>
  </si>
  <si>
    <t>Net Assets as on 31st January, 2025</t>
  </si>
  <si>
    <t>Portfolio as on - (31st January 2025)</t>
  </si>
  <si>
    <t>362.04 crs</t>
  </si>
  <si>
    <t>7574.37 Cr</t>
  </si>
  <si>
    <t>1726.24 crs</t>
  </si>
  <si>
    <t xml:space="preserve"> 1717.34 crs</t>
  </si>
  <si>
    <t>9587.46 crs</t>
  </si>
  <si>
    <t>1490.55 crs</t>
  </si>
  <si>
    <t>2365.16 crs</t>
  </si>
  <si>
    <t>6990.76 crs</t>
  </si>
  <si>
    <t>9236.21 crs</t>
  </si>
  <si>
    <t>1640.82 crs</t>
  </si>
  <si>
    <t>524.52 rs</t>
  </si>
  <si>
    <t>923.94 crs</t>
  </si>
  <si>
    <t>1354.53 crs</t>
  </si>
  <si>
    <t>1623.28 crs</t>
  </si>
  <si>
    <t>6220.13 crs</t>
  </si>
  <si>
    <t>7508.63 crs</t>
  </si>
  <si>
    <t>2193.01 crs</t>
  </si>
  <si>
    <t>265.26 crs</t>
  </si>
  <si>
    <t>114.73 crs</t>
  </si>
  <si>
    <t>786.07 crs</t>
  </si>
  <si>
    <t>170.96 crs</t>
  </si>
  <si>
    <t>1833.99 crs</t>
  </si>
  <si>
    <t>18.81 crs</t>
  </si>
  <si>
    <t>19.54 crs</t>
  </si>
  <si>
    <t>5.93 crs</t>
  </si>
  <si>
    <t>110.60 crs</t>
  </si>
  <si>
    <t>Net Assets as on 31 January, 2025</t>
  </si>
  <si>
    <t>1666.32 crs</t>
  </si>
  <si>
    <t>1.17 crs</t>
  </si>
  <si>
    <t>26.61 crs</t>
  </si>
  <si>
    <t>153.46 crs</t>
  </si>
  <si>
    <t>124.01 crs</t>
  </si>
  <si>
    <t>1413.00 crs</t>
  </si>
  <si>
    <t>29.35 crs</t>
  </si>
  <si>
    <t>336.34 crs</t>
  </si>
  <si>
    <t>44.13 crs</t>
  </si>
  <si>
    <t>35.66 crs</t>
  </si>
  <si>
    <t>14.30 crs</t>
  </si>
  <si>
    <t>17.29 crs</t>
  </si>
  <si>
    <t>20.80 crs</t>
  </si>
  <si>
    <t>9.94 crs</t>
  </si>
  <si>
    <t>16.91 crs</t>
  </si>
  <si>
    <t>9.60 crs</t>
  </si>
  <si>
    <t>142.64 crs</t>
  </si>
  <si>
    <t xml:space="preserve">BANDHAN US TREASURY BOND 0-1 YEAR FUND OF FUND </t>
  </si>
  <si>
    <t xml:space="preserve">Bandhan Income Plus Arbitrage Fund of Funds (previously known as Bandhan All Seasons Bond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</si>
</sst>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20"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
      <b/>
      <sz val="12"/>
      <color theme="1"/>
      <name val="Arial"/>
      <family val="2"/>
    </font>
    <font>
      <b/>
      <sz val="11"/>
      <color theme="1"/>
      <name val="Arial"/>
      <family val="2"/>
    </font>
    <font>
      <sz val="12"/>
      <color theme="1"/>
      <name val="Arial"/>
      <family val="2"/>
    </font>
    <font>
      <sz val="11"/>
      <color indexed="9"/>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4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35">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14" fillId="0" borderId="0" xfId="0" applyNumberFormat="1" applyFont="1" applyBorder="1"/>
    <xf numFmtId="10" fontId="2" fillId="0" borderId="10" xfId="1" applyNumberFormat="1" applyFont="1" applyBorder="1" applyAlignment="1">
      <alignment horizontal="right"/>
    </xf>
    <xf numFmtId="167" fontId="2" fillId="0" borderId="10" xfId="1" applyNumberFormat="1" applyFont="1" applyBorder="1" applyAlignment="1">
      <alignment horizontal="right"/>
    </xf>
    <xf numFmtId="0" fontId="0" fillId="0" borderId="4" xfId="0" applyBorder="1"/>
    <xf numFmtId="0" fontId="0" fillId="0" borderId="1" xfId="0" applyBorder="1"/>
    <xf numFmtId="0" fontId="0" fillId="0" borderId="2" xfId="0" applyBorder="1"/>
    <xf numFmtId="0" fontId="0" fillId="0" borderId="5" xfId="0" applyBorder="1"/>
    <xf numFmtId="0" fontId="0" fillId="0" borderId="0" xfId="0" applyBorder="1"/>
    <xf numFmtId="0" fontId="0" fillId="0" borderId="3" xfId="0" applyBorder="1"/>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wrapText="1"/>
    </xf>
    <xf numFmtId="0" fontId="16" fillId="2" borderId="36" xfId="0" applyFont="1" applyFill="1" applyBorder="1" applyAlignment="1">
      <alignment horizontal="center" vertical="center"/>
    </xf>
    <xf numFmtId="0" fontId="18" fillId="0" borderId="27" xfId="0" applyFont="1" applyBorder="1" applyAlignment="1">
      <alignment vertical="center"/>
    </xf>
    <xf numFmtId="0" fontId="18" fillId="0" borderId="37" xfId="0" applyFont="1" applyBorder="1" applyAlignment="1">
      <alignment vertical="center"/>
    </xf>
    <xf numFmtId="164" fontId="18" fillId="0" borderId="38" xfId="0" applyNumberFormat="1" applyFont="1" applyBorder="1" applyAlignment="1">
      <alignment vertical="center"/>
    </xf>
    <xf numFmtId="0" fontId="19" fillId="0" borderId="0" xfId="0" applyFont="1" applyBorder="1"/>
    <xf numFmtId="9" fontId="19" fillId="0" borderId="0" xfId="0" applyNumberFormat="1" applyFont="1" applyBorder="1"/>
    <xf numFmtId="10" fontId="19" fillId="0" borderId="0" xfId="0" applyNumberFormat="1" applyFont="1" applyBorder="1"/>
    <xf numFmtId="0" fontId="16" fillId="2" borderId="27" xfId="0" applyFont="1" applyFill="1" applyBorder="1" applyAlignment="1">
      <alignment horizontal="left" vertical="center"/>
    </xf>
    <xf numFmtId="0" fontId="16" fillId="2" borderId="37" xfId="0" applyFont="1" applyFill="1" applyBorder="1" applyAlignment="1">
      <alignment horizontal="right" vertical="center"/>
    </xf>
    <xf numFmtId="164" fontId="16" fillId="2" borderId="38" xfId="0" applyNumberFormat="1" applyFont="1" applyFill="1" applyBorder="1" applyAlignment="1">
      <alignment horizontal="right" vertical="center"/>
    </xf>
    <xf numFmtId="0" fontId="16" fillId="2" borderId="28" xfId="0" applyFont="1" applyFill="1" applyBorder="1" applyAlignment="1">
      <alignment horizontal="left" vertical="center"/>
    </xf>
    <xf numFmtId="0" fontId="16" fillId="2" borderId="39" xfId="0" applyFont="1" applyFill="1" applyBorder="1" applyAlignment="1">
      <alignment horizontal="right" vertical="center"/>
    </xf>
    <xf numFmtId="164" fontId="16" fillId="2" borderId="40" xfId="0" applyNumberFormat="1" applyFont="1" applyFill="1" applyBorder="1" applyAlignment="1">
      <alignment horizontal="right" vertical="center"/>
    </xf>
    <xf numFmtId="2" fontId="17"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0" fillId="0" borderId="6" xfId="0" applyBorder="1"/>
    <xf numFmtId="0" fontId="0" fillId="0" borderId="7" xfId="0" applyBorder="1"/>
    <xf numFmtId="0" fontId="0" fillId="0" borderId="8" xfId="0" applyBorder="1"/>
    <xf numFmtId="0" fontId="3" fillId="0" borderId="24" xfId="0" applyFont="1" applyBorder="1" applyAlignment="1">
      <alignment horizontal="left" vertical="center" wrapText="1"/>
    </xf>
    <xf numFmtId="2" fontId="4" fillId="2" borderId="0" xfId="1" applyNumberFormat="1" applyFont="1" applyFill="1" applyBorder="1" applyAlignment="1">
      <alignment horizontal="center"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13" fillId="2" borderId="0" xfId="0" applyFont="1" applyFill="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13" fillId="2" borderId="0" xfId="0" applyFont="1" applyFill="1" applyBorder="1" applyAlignment="1">
      <alignment horizontal="right" vertical="center"/>
    </xf>
    <xf numFmtId="0" fontId="0" fillId="0" borderId="0" xfId="0" applyBorder="1" applyAlignment="1">
      <alignment horizontal="right"/>
    </xf>
    <xf numFmtId="0" fontId="17" fillId="2" borderId="0" xfId="0" applyFont="1" applyFill="1" applyBorder="1" applyAlignment="1">
      <alignment vertical="center"/>
    </xf>
    <xf numFmtId="0" fontId="0" fillId="0" borderId="0" xfId="0" applyBorder="1" applyAlignment="1">
      <alignment vertical="center"/>
    </xf>
    <xf numFmtId="0" fontId="0" fillId="0" borderId="3" xfId="0" applyBorder="1" applyAlignment="1">
      <alignment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0.99668100000000004</c:v>
                </c:pt>
                <c:pt idx="1">
                  <c:v>-5.4479999999999997E-3</c:v>
                </c:pt>
                <c:pt idx="2">
                  <c:v>8.7670000000000005E-3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CEF'!$W$8:$W$48</c:f>
              <c:strCache>
                <c:ptCount val="41"/>
                <c:pt idx="0">
                  <c:v>Banks</c:v>
                </c:pt>
                <c:pt idx="1">
                  <c:v>IT - Software</c:v>
                </c:pt>
                <c:pt idx="2">
                  <c:v>Pharmaceuticals &amp; Biotechnology</c:v>
                </c:pt>
                <c:pt idx="3">
                  <c:v>Finance</c:v>
                </c:pt>
                <c:pt idx="4">
                  <c:v>Retailing</c:v>
                </c:pt>
                <c:pt idx="5">
                  <c:v>Realty</c:v>
                </c:pt>
                <c:pt idx="6">
                  <c:v>Financial Technology (Fintech)</c:v>
                </c:pt>
                <c:pt idx="7">
                  <c:v>Healthcare Services</c:v>
                </c:pt>
                <c:pt idx="8">
                  <c:v>Telecom - Services</c:v>
                </c:pt>
                <c:pt idx="9">
                  <c:v>Petroleum Products</c:v>
                </c:pt>
                <c:pt idx="10">
                  <c:v>Transport Services</c:v>
                </c:pt>
                <c:pt idx="11">
                  <c:v>Beverages</c:v>
                </c:pt>
                <c:pt idx="12">
                  <c:v>Auto Components</c:v>
                </c:pt>
                <c:pt idx="13">
                  <c:v>Consumer Durables</c:v>
                </c:pt>
                <c:pt idx="14">
                  <c:v>Construction</c:v>
                </c:pt>
                <c:pt idx="15">
                  <c:v>Diversified FMCG</c:v>
                </c:pt>
                <c:pt idx="16">
                  <c:v>Industrial Products</c:v>
                </c:pt>
                <c:pt idx="17">
                  <c:v>Cement &amp; Cement Products</c:v>
                </c:pt>
                <c:pt idx="18">
                  <c:v>Automobiles</c:v>
                </c:pt>
                <c:pt idx="19">
                  <c:v>Minerals &amp; Mining</c:v>
                </c:pt>
                <c:pt idx="20">
                  <c:v>Non - Ferrous Metals</c:v>
                </c:pt>
                <c:pt idx="21">
                  <c:v>Power</c:v>
                </c:pt>
                <c:pt idx="22">
                  <c:v>Textiles &amp; Apparels</c:v>
                </c:pt>
                <c:pt idx="23">
                  <c:v>Insurance</c:v>
                </c:pt>
                <c:pt idx="24">
                  <c:v>Aerospace &amp; Defense</c:v>
                </c:pt>
                <c:pt idx="25">
                  <c:v>Diversified Metals</c:v>
                </c:pt>
                <c:pt idx="26">
                  <c:v>Fertilizers &amp; Agrochemicals</c:v>
                </c:pt>
                <c:pt idx="27">
                  <c:v>Oil</c:v>
                </c:pt>
                <c:pt idx="28">
                  <c:v>Diversified</c:v>
                </c:pt>
                <c:pt idx="29">
                  <c:v>Chemicals &amp; Petrochemicals</c:v>
                </c:pt>
                <c:pt idx="30">
                  <c:v>Electrical Equipment</c:v>
                </c:pt>
                <c:pt idx="31">
                  <c:v>Capital Markets</c:v>
                </c:pt>
                <c:pt idx="32">
                  <c:v>Food Products</c:v>
                </c:pt>
                <c:pt idx="33">
                  <c:v>Leisure Services</c:v>
                </c:pt>
                <c:pt idx="34">
                  <c:v>Consumable Fuels</c:v>
                </c:pt>
                <c:pt idx="35">
                  <c:v>Agricultural Food &amp; other Products</c:v>
                </c:pt>
                <c:pt idx="36">
                  <c:v>Entertainment</c:v>
                </c:pt>
                <c:pt idx="37">
                  <c:v>Ferrous Metals</c:v>
                </c:pt>
                <c:pt idx="38">
                  <c:v>IT - Services</c:v>
                </c:pt>
                <c:pt idx="39">
                  <c:v>Personal Products</c:v>
                </c:pt>
                <c:pt idx="40">
                  <c:v>Commercial Services &amp; Supplies</c:v>
                </c:pt>
              </c:strCache>
            </c:strRef>
          </c:cat>
          <c:val>
            <c:numRef>
              <c:f>'BANDHAN CEF'!$X$8:$X$48</c:f>
              <c:numCache>
                <c:formatCode>0.00%</c:formatCode>
                <c:ptCount val="41"/>
                <c:pt idx="0">
                  <c:v>0.14995900000000001</c:v>
                </c:pt>
                <c:pt idx="1">
                  <c:v>8.8455000000000006E-2</c:v>
                </c:pt>
                <c:pt idx="2">
                  <c:v>8.7473999999999996E-2</c:v>
                </c:pt>
                <c:pt idx="3">
                  <c:v>6.0677999999999989E-2</c:v>
                </c:pt>
                <c:pt idx="4">
                  <c:v>4.0535000000000002E-2</c:v>
                </c:pt>
                <c:pt idx="5">
                  <c:v>3.1199999999999999E-2</c:v>
                </c:pt>
                <c:pt idx="6">
                  <c:v>2.9177000000000002E-2</c:v>
                </c:pt>
                <c:pt idx="7">
                  <c:v>2.6726E-2</c:v>
                </c:pt>
                <c:pt idx="8">
                  <c:v>2.6703999999999999E-2</c:v>
                </c:pt>
                <c:pt idx="9">
                  <c:v>2.6653E-2</c:v>
                </c:pt>
                <c:pt idx="10">
                  <c:v>2.3383000000000001E-2</c:v>
                </c:pt>
                <c:pt idx="11">
                  <c:v>2.3348000000000001E-2</c:v>
                </c:pt>
                <c:pt idx="12">
                  <c:v>2.2782999999999998E-2</c:v>
                </c:pt>
                <c:pt idx="13">
                  <c:v>2.1756000000000001E-2</c:v>
                </c:pt>
                <c:pt idx="14">
                  <c:v>2.0199000000000002E-2</c:v>
                </c:pt>
                <c:pt idx="15">
                  <c:v>1.8391000000000001E-2</c:v>
                </c:pt>
                <c:pt idx="16">
                  <c:v>1.7077000000000002E-2</c:v>
                </c:pt>
                <c:pt idx="17">
                  <c:v>1.6494999999999999E-2</c:v>
                </c:pt>
                <c:pt idx="18">
                  <c:v>1.5833E-2</c:v>
                </c:pt>
                <c:pt idx="19">
                  <c:v>1.5571E-2</c:v>
                </c:pt>
                <c:pt idx="20">
                  <c:v>1.4907999999999999E-2</c:v>
                </c:pt>
                <c:pt idx="21">
                  <c:v>1.4596E-2</c:v>
                </c:pt>
                <c:pt idx="22">
                  <c:v>1.3649000000000001E-2</c:v>
                </c:pt>
                <c:pt idx="23">
                  <c:v>1.3454000000000001E-2</c:v>
                </c:pt>
                <c:pt idx="24">
                  <c:v>1.2854000000000001E-2</c:v>
                </c:pt>
                <c:pt idx="25">
                  <c:v>1.2649000000000001E-2</c:v>
                </c:pt>
                <c:pt idx="26">
                  <c:v>1.0874E-2</c:v>
                </c:pt>
                <c:pt idx="27">
                  <c:v>1.0522999999999999E-2</c:v>
                </c:pt>
                <c:pt idx="28">
                  <c:v>9.8429999999999993E-3</c:v>
                </c:pt>
                <c:pt idx="29">
                  <c:v>9.7630000000000008E-3</c:v>
                </c:pt>
                <c:pt idx="30">
                  <c:v>9.3749999999999997E-3</c:v>
                </c:pt>
                <c:pt idx="31">
                  <c:v>7.783E-3</c:v>
                </c:pt>
                <c:pt idx="32">
                  <c:v>6.6600000000000001E-3</c:v>
                </c:pt>
                <c:pt idx="33">
                  <c:v>5.8770000000000003E-3</c:v>
                </c:pt>
                <c:pt idx="34">
                  <c:v>5.2269999999999999E-3</c:v>
                </c:pt>
                <c:pt idx="35">
                  <c:v>4.6810000000000003E-3</c:v>
                </c:pt>
                <c:pt idx="36">
                  <c:v>4.529E-3</c:v>
                </c:pt>
                <c:pt idx="37">
                  <c:v>4.4510000000000001E-3</c:v>
                </c:pt>
                <c:pt idx="38">
                  <c:v>4.3169999999999997E-3</c:v>
                </c:pt>
                <c:pt idx="39">
                  <c:v>3.4380000000000001E-3</c:v>
                </c:pt>
                <c:pt idx="40">
                  <c:v>2.4859999999999999E-3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LCF'!$W$8:$W$36</c:f>
              <c:strCache>
                <c:ptCount val="29"/>
                <c:pt idx="0">
                  <c:v>Banks</c:v>
                </c:pt>
                <c:pt idx="1">
                  <c:v>IT - Software</c:v>
                </c:pt>
                <c:pt idx="2">
                  <c:v>Petroleum Products</c:v>
                </c:pt>
                <c:pt idx="3">
                  <c:v>Automobiles</c:v>
                </c:pt>
                <c:pt idx="4">
                  <c:v>Pharmaceuticals &amp; Biotechnology</c:v>
                </c:pt>
                <c:pt idx="5">
                  <c:v>Retailing</c:v>
                </c:pt>
                <c:pt idx="6">
                  <c:v>Finance</c:v>
                </c:pt>
                <c:pt idx="7">
                  <c:v>Telecom - Services</c:v>
                </c:pt>
                <c:pt idx="8">
                  <c:v>Beverages</c:v>
                </c:pt>
                <c:pt idx="9">
                  <c:v>Diversified FMCG</c:v>
                </c:pt>
                <c:pt idx="10">
                  <c:v>Cement &amp; Cement Products</c:v>
                </c:pt>
                <c:pt idx="11">
                  <c:v>Financial Technology (Fintech)</c:v>
                </c:pt>
                <c:pt idx="12">
                  <c:v>Construction</c:v>
                </c:pt>
                <c:pt idx="13">
                  <c:v>Power</c:v>
                </c:pt>
                <c:pt idx="14">
                  <c:v>Realty</c:v>
                </c:pt>
                <c:pt idx="15">
                  <c:v>Other Utilities</c:v>
                </c:pt>
                <c:pt idx="16">
                  <c:v>Leisure Services</c:v>
                </c:pt>
                <c:pt idx="17">
                  <c:v>Electrical Equipment</c:v>
                </c:pt>
                <c:pt idx="18">
                  <c:v>Transport Services</c:v>
                </c:pt>
                <c:pt idx="19">
                  <c:v>Diversified Metals</c:v>
                </c:pt>
                <c:pt idx="20">
                  <c:v>Ferrous Metals</c:v>
                </c:pt>
                <c:pt idx="21">
                  <c:v>Healthcare Services</c:v>
                </c:pt>
                <c:pt idx="22">
                  <c:v>Aerospace &amp; Defense</c:v>
                </c:pt>
                <c:pt idx="23">
                  <c:v>Consumer Durables</c:v>
                </c:pt>
                <c:pt idx="24">
                  <c:v>Insurance</c:v>
                </c:pt>
                <c:pt idx="25">
                  <c:v>Non - Ferrous Metals</c:v>
                </c:pt>
                <c:pt idx="26">
                  <c:v>Commercial Services &amp; Supplies</c:v>
                </c:pt>
                <c:pt idx="27">
                  <c:v>IT - Services</c:v>
                </c:pt>
                <c:pt idx="28">
                  <c:v>Engineering Services</c:v>
                </c:pt>
              </c:strCache>
            </c:strRef>
          </c:cat>
          <c:val>
            <c:numRef>
              <c:f>'BANDHAN LCF'!$X$8:$X$36</c:f>
              <c:numCache>
                <c:formatCode>0.00%</c:formatCode>
                <c:ptCount val="29"/>
                <c:pt idx="0">
                  <c:v>0.23519800000000002</c:v>
                </c:pt>
                <c:pt idx="1">
                  <c:v>0.13194499999999998</c:v>
                </c:pt>
                <c:pt idx="2">
                  <c:v>7.3282E-2</c:v>
                </c:pt>
                <c:pt idx="3">
                  <c:v>6.4449000000000006E-2</c:v>
                </c:pt>
                <c:pt idx="4">
                  <c:v>6.0759999999999995E-2</c:v>
                </c:pt>
                <c:pt idx="5">
                  <c:v>5.1132999999999998E-2</c:v>
                </c:pt>
                <c:pt idx="6">
                  <c:v>4.4431999999999999E-2</c:v>
                </c:pt>
                <c:pt idx="7">
                  <c:v>3.4414E-2</c:v>
                </c:pt>
                <c:pt idx="8">
                  <c:v>3.3936000000000001E-2</c:v>
                </c:pt>
                <c:pt idx="9">
                  <c:v>2.8375000000000001E-2</c:v>
                </c:pt>
                <c:pt idx="10">
                  <c:v>2.7141999999999999E-2</c:v>
                </c:pt>
                <c:pt idx="11">
                  <c:v>2.3052E-2</c:v>
                </c:pt>
                <c:pt idx="12">
                  <c:v>1.8429000000000001E-2</c:v>
                </c:pt>
                <c:pt idx="13">
                  <c:v>1.7853000000000001E-2</c:v>
                </c:pt>
                <c:pt idx="14">
                  <c:v>1.7676000000000001E-2</c:v>
                </c:pt>
                <c:pt idx="15">
                  <c:v>1.6816999999999999E-2</c:v>
                </c:pt>
                <c:pt idx="16">
                  <c:v>1.6074000000000001E-2</c:v>
                </c:pt>
                <c:pt idx="17">
                  <c:v>1.1380000000000001E-2</c:v>
                </c:pt>
                <c:pt idx="18">
                  <c:v>1.1016E-2</c:v>
                </c:pt>
                <c:pt idx="19">
                  <c:v>1.0755000000000001E-2</c:v>
                </c:pt>
                <c:pt idx="20">
                  <c:v>9.8200000000000006E-3</c:v>
                </c:pt>
                <c:pt idx="21">
                  <c:v>9.7399999999999987E-3</c:v>
                </c:pt>
                <c:pt idx="22">
                  <c:v>8.8669999999999999E-3</c:v>
                </c:pt>
                <c:pt idx="23">
                  <c:v>7.3099999999999997E-3</c:v>
                </c:pt>
                <c:pt idx="24">
                  <c:v>6.0000000000000001E-3</c:v>
                </c:pt>
                <c:pt idx="25">
                  <c:v>3.5130000000000001E-3</c:v>
                </c:pt>
                <c:pt idx="26">
                  <c:v>3.4350000000000001E-3</c:v>
                </c:pt>
                <c:pt idx="27">
                  <c:v>2.124E-3</c:v>
                </c:pt>
                <c:pt idx="28">
                  <c:v>1.75E-3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FEF'!$W$8:$W$25</c:f>
              <c:strCache>
                <c:ptCount val="18"/>
                <c:pt idx="0">
                  <c:v>Banks</c:v>
                </c:pt>
                <c:pt idx="1">
                  <c:v>IT - Software</c:v>
                </c:pt>
                <c:pt idx="2">
                  <c:v>Retailing</c:v>
                </c:pt>
                <c:pt idx="3">
                  <c:v>Realty</c:v>
                </c:pt>
                <c:pt idx="4">
                  <c:v>Pharmaceuticals &amp; Biotechnology</c:v>
                </c:pt>
                <c:pt idx="5">
                  <c:v>Financial Technology (Fintech)</c:v>
                </c:pt>
                <c:pt idx="6">
                  <c:v>Petroleum Products</c:v>
                </c:pt>
                <c:pt idx="7">
                  <c:v>Telecom - Services</c:v>
                </c:pt>
                <c:pt idx="8">
                  <c:v>Construction</c:v>
                </c:pt>
                <c:pt idx="9">
                  <c:v>Other Utilities</c:v>
                </c:pt>
                <c:pt idx="10">
                  <c:v>Beverages</c:v>
                </c:pt>
                <c:pt idx="11">
                  <c:v>Finance</c:v>
                </c:pt>
                <c:pt idx="12">
                  <c:v>Automobiles</c:v>
                </c:pt>
                <c:pt idx="13">
                  <c:v>Capital Markets</c:v>
                </c:pt>
                <c:pt idx="14">
                  <c:v>Power</c:v>
                </c:pt>
                <c:pt idx="15">
                  <c:v>Engineering Services</c:v>
                </c:pt>
                <c:pt idx="16">
                  <c:v>Healthcare Services</c:v>
                </c:pt>
                <c:pt idx="17">
                  <c:v>IT - Services</c:v>
                </c:pt>
              </c:strCache>
            </c:strRef>
          </c:cat>
          <c:val>
            <c:numRef>
              <c:f>'BANDHAN FEF'!$X$8:$X$25</c:f>
              <c:numCache>
                <c:formatCode>0.00%</c:formatCode>
                <c:ptCount val="18"/>
                <c:pt idx="0">
                  <c:v>0.156501</c:v>
                </c:pt>
                <c:pt idx="1">
                  <c:v>0.115228</c:v>
                </c:pt>
                <c:pt idx="2">
                  <c:v>9.1041999999999998E-2</c:v>
                </c:pt>
                <c:pt idx="3">
                  <c:v>7.9487000000000002E-2</c:v>
                </c:pt>
                <c:pt idx="4">
                  <c:v>6.7480999999999999E-2</c:v>
                </c:pt>
                <c:pt idx="5">
                  <c:v>6.0956999999999997E-2</c:v>
                </c:pt>
                <c:pt idx="6">
                  <c:v>4.1758000000000003E-2</c:v>
                </c:pt>
                <c:pt idx="7">
                  <c:v>3.5985999999999997E-2</c:v>
                </c:pt>
                <c:pt idx="8">
                  <c:v>3.3832000000000001E-2</c:v>
                </c:pt>
                <c:pt idx="9">
                  <c:v>3.3808999999999999E-2</c:v>
                </c:pt>
                <c:pt idx="10">
                  <c:v>3.2607999999999998E-2</c:v>
                </c:pt>
                <c:pt idx="11">
                  <c:v>3.0086000000000002E-2</c:v>
                </c:pt>
                <c:pt idx="12">
                  <c:v>2.9669999999999998E-2</c:v>
                </c:pt>
                <c:pt idx="13">
                  <c:v>2.9374999999999998E-2</c:v>
                </c:pt>
                <c:pt idx="14">
                  <c:v>2.9149000000000001E-2</c:v>
                </c:pt>
                <c:pt idx="15">
                  <c:v>2.1763999999999999E-2</c:v>
                </c:pt>
                <c:pt idx="16">
                  <c:v>1.4500000000000001E-2</c:v>
                </c:pt>
                <c:pt idx="17">
                  <c:v>6.3489999999999996E-3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SVF'!$W$8:$W$36</c:f>
              <c:strCache>
                <c:ptCount val="29"/>
                <c:pt idx="0">
                  <c:v>Banks</c:v>
                </c:pt>
                <c:pt idx="1">
                  <c:v>IT - Software</c:v>
                </c:pt>
                <c:pt idx="2">
                  <c:v>Petroleum Products</c:v>
                </c:pt>
                <c:pt idx="3">
                  <c:v>Pharmaceuticals &amp; Biotechnology</c:v>
                </c:pt>
                <c:pt idx="4">
                  <c:v>Insurance</c:v>
                </c:pt>
                <c:pt idx="5">
                  <c:v>Automobiles</c:v>
                </c:pt>
                <c:pt idx="6">
                  <c:v>Construction</c:v>
                </c:pt>
                <c:pt idx="7">
                  <c:v>Consumer Durables</c:v>
                </c:pt>
                <c:pt idx="8">
                  <c:v>Finance</c:v>
                </c:pt>
                <c:pt idx="9">
                  <c:v>Ferrous Metals</c:v>
                </c:pt>
                <c:pt idx="10">
                  <c:v>Power</c:v>
                </c:pt>
                <c:pt idx="11">
                  <c:v>Auto Components</c:v>
                </c:pt>
                <c:pt idx="12">
                  <c:v>Beverages</c:v>
                </c:pt>
                <c:pt idx="13">
                  <c:v>Diversified FMCG</c:v>
                </c:pt>
                <c:pt idx="14">
                  <c:v>Electrical Equipment</c:v>
                </c:pt>
                <c:pt idx="15">
                  <c:v>Index</c:v>
                </c:pt>
                <c:pt idx="16">
                  <c:v>Food Products</c:v>
                </c:pt>
                <c:pt idx="17">
                  <c:v>Realty</c:v>
                </c:pt>
                <c:pt idx="18">
                  <c:v>Retailing</c:v>
                </c:pt>
                <c:pt idx="19">
                  <c:v>Oil</c:v>
                </c:pt>
                <c:pt idx="20">
                  <c:v>Diversified Metals</c:v>
                </c:pt>
                <c:pt idx="21">
                  <c:v>Leisure Services</c:v>
                </c:pt>
                <c:pt idx="22">
                  <c:v>Personal Products</c:v>
                </c:pt>
                <c:pt idx="23">
                  <c:v>Commercial Services &amp; Supplies</c:v>
                </c:pt>
                <c:pt idx="24">
                  <c:v>Cement &amp; Cement Products</c:v>
                </c:pt>
                <c:pt idx="25">
                  <c:v>Transport Services</c:v>
                </c:pt>
                <c:pt idx="26">
                  <c:v>Fertilizers &amp; Agrochemicals</c:v>
                </c:pt>
                <c:pt idx="27">
                  <c:v>Chemicals &amp; Petrochemicals</c:v>
                </c:pt>
                <c:pt idx="28">
                  <c:v>Minerals &amp; Mining</c:v>
                </c:pt>
              </c:strCache>
            </c:strRef>
          </c:cat>
          <c:val>
            <c:numRef>
              <c:f>'BANDHAN SVF'!$X$8:$X$36</c:f>
              <c:numCache>
                <c:formatCode>0.00%</c:formatCode>
                <c:ptCount val="29"/>
                <c:pt idx="0">
                  <c:v>0.21145800000000003</c:v>
                </c:pt>
                <c:pt idx="1">
                  <c:v>7.9776E-2</c:v>
                </c:pt>
                <c:pt idx="2">
                  <c:v>6.5976999999999994E-2</c:v>
                </c:pt>
                <c:pt idx="3">
                  <c:v>5.8571000000000005E-2</c:v>
                </c:pt>
                <c:pt idx="4">
                  <c:v>4.7517999999999998E-2</c:v>
                </c:pt>
                <c:pt idx="5">
                  <c:v>4.6657000000000004E-2</c:v>
                </c:pt>
                <c:pt idx="6">
                  <c:v>3.8426999999999996E-2</c:v>
                </c:pt>
                <c:pt idx="7">
                  <c:v>3.6061999999999997E-2</c:v>
                </c:pt>
                <c:pt idx="8">
                  <c:v>3.0537999999999999E-2</c:v>
                </c:pt>
                <c:pt idx="9">
                  <c:v>2.8296999999999999E-2</c:v>
                </c:pt>
                <c:pt idx="10">
                  <c:v>2.6218999999999999E-2</c:v>
                </c:pt>
                <c:pt idx="11">
                  <c:v>2.2978999999999999E-2</c:v>
                </c:pt>
                <c:pt idx="12">
                  <c:v>2.2491999999999998E-2</c:v>
                </c:pt>
                <c:pt idx="13">
                  <c:v>2.1003999999999998E-2</c:v>
                </c:pt>
                <c:pt idx="14">
                  <c:v>1.9865000000000001E-2</c:v>
                </c:pt>
                <c:pt idx="15">
                  <c:v>1.9592999999999999E-2</c:v>
                </c:pt>
                <c:pt idx="16">
                  <c:v>1.8457999999999999E-2</c:v>
                </c:pt>
                <c:pt idx="17">
                  <c:v>1.7811E-2</c:v>
                </c:pt>
                <c:pt idx="18">
                  <c:v>1.6071999999999999E-2</c:v>
                </c:pt>
                <c:pt idx="19">
                  <c:v>1.5065E-2</c:v>
                </c:pt>
                <c:pt idx="20">
                  <c:v>1.3351E-2</c:v>
                </c:pt>
                <c:pt idx="21">
                  <c:v>1.1956999999999999E-2</c:v>
                </c:pt>
                <c:pt idx="22">
                  <c:v>1.1695000000000001E-2</c:v>
                </c:pt>
                <c:pt idx="23">
                  <c:v>1.0374E-2</c:v>
                </c:pt>
                <c:pt idx="24">
                  <c:v>9.3949999999999988E-3</c:v>
                </c:pt>
                <c:pt idx="25">
                  <c:v>9.3460000000000001E-3</c:v>
                </c:pt>
                <c:pt idx="26">
                  <c:v>7.0409999999999995E-3</c:v>
                </c:pt>
                <c:pt idx="27">
                  <c:v>5.5789999999999998E-3</c:v>
                </c:pt>
                <c:pt idx="28">
                  <c:v>5.1710000000000002E-3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January 2025)</c:v>
                </c:pt>
              </c:strCache>
            </c:strRef>
          </c:tx>
          <c:invertIfNegative val="0"/>
          <c:cat>
            <c:strRef>
              <c:f>'BANDHAN SVF'!$W$8:$W$36</c:f>
              <c:strCache>
                <c:ptCount val="29"/>
                <c:pt idx="0">
                  <c:v>Banks</c:v>
                </c:pt>
                <c:pt idx="1">
                  <c:v>IT - Software</c:v>
                </c:pt>
                <c:pt idx="2">
                  <c:v>Petroleum Products</c:v>
                </c:pt>
                <c:pt idx="3">
                  <c:v>Pharmaceuticals &amp; Biotechnology</c:v>
                </c:pt>
                <c:pt idx="4">
                  <c:v>Insurance</c:v>
                </c:pt>
                <c:pt idx="5">
                  <c:v>Automobiles</c:v>
                </c:pt>
                <c:pt idx="6">
                  <c:v>Construction</c:v>
                </c:pt>
                <c:pt idx="7">
                  <c:v>Consumer Durables</c:v>
                </c:pt>
                <c:pt idx="8">
                  <c:v>Finance</c:v>
                </c:pt>
                <c:pt idx="9">
                  <c:v>Ferrous Metals</c:v>
                </c:pt>
                <c:pt idx="10">
                  <c:v>Power</c:v>
                </c:pt>
                <c:pt idx="11">
                  <c:v>Auto Components</c:v>
                </c:pt>
                <c:pt idx="12">
                  <c:v>Beverages</c:v>
                </c:pt>
                <c:pt idx="13">
                  <c:v>Diversified FMCG</c:v>
                </c:pt>
                <c:pt idx="14">
                  <c:v>Electrical Equipment</c:v>
                </c:pt>
                <c:pt idx="15">
                  <c:v>Index</c:v>
                </c:pt>
                <c:pt idx="16">
                  <c:v>Food Products</c:v>
                </c:pt>
                <c:pt idx="17">
                  <c:v>Realty</c:v>
                </c:pt>
                <c:pt idx="18">
                  <c:v>Retailing</c:v>
                </c:pt>
                <c:pt idx="19">
                  <c:v>Oil</c:v>
                </c:pt>
                <c:pt idx="20">
                  <c:v>Diversified Metals</c:v>
                </c:pt>
                <c:pt idx="21">
                  <c:v>Leisure Services</c:v>
                </c:pt>
                <c:pt idx="22">
                  <c:v>Personal Products</c:v>
                </c:pt>
                <c:pt idx="23">
                  <c:v>Commercial Services &amp; Supplies</c:v>
                </c:pt>
                <c:pt idx="24">
                  <c:v>Cement &amp; Cement Products</c:v>
                </c:pt>
                <c:pt idx="25">
                  <c:v>Transport Services</c:v>
                </c:pt>
                <c:pt idx="26">
                  <c:v>Fertilizers &amp; Agrochemicals</c:v>
                </c:pt>
                <c:pt idx="27">
                  <c:v>Chemicals &amp; Petrochemicals</c:v>
                </c:pt>
                <c:pt idx="28">
                  <c:v>Minerals &amp; Mining</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Petroleum Products</c:v>
                </c:pt>
                <c:pt idx="3">
                  <c:v>Pharmaceuticals &amp; Biotechnology</c:v>
                </c:pt>
                <c:pt idx="4">
                  <c:v>Insurance</c:v>
                </c:pt>
                <c:pt idx="5">
                  <c:v>Automobiles</c:v>
                </c:pt>
                <c:pt idx="6">
                  <c:v>Construction</c:v>
                </c:pt>
                <c:pt idx="7">
                  <c:v>Consumer Durables</c:v>
                </c:pt>
                <c:pt idx="8">
                  <c:v>Finance</c:v>
                </c:pt>
                <c:pt idx="9">
                  <c:v>Ferrous Metals</c:v>
                </c:pt>
                <c:pt idx="10">
                  <c:v>Power</c:v>
                </c:pt>
                <c:pt idx="11">
                  <c:v>Auto Components</c:v>
                </c:pt>
                <c:pt idx="12">
                  <c:v>Beverages</c:v>
                </c:pt>
                <c:pt idx="13">
                  <c:v>Diversified FMCG</c:v>
                </c:pt>
                <c:pt idx="14">
                  <c:v>Electrical Equipment</c:v>
                </c:pt>
                <c:pt idx="15">
                  <c:v>Index</c:v>
                </c:pt>
                <c:pt idx="16">
                  <c:v>Food Products</c:v>
                </c:pt>
                <c:pt idx="17">
                  <c:v>Realty</c:v>
                </c:pt>
                <c:pt idx="18">
                  <c:v>Retailing</c:v>
                </c:pt>
                <c:pt idx="19">
                  <c:v>Oil</c:v>
                </c:pt>
                <c:pt idx="20">
                  <c:v>Diversified Metals</c:v>
                </c:pt>
                <c:pt idx="21">
                  <c:v>Leisure Services</c:v>
                </c:pt>
                <c:pt idx="22">
                  <c:v>Personal Products</c:v>
                </c:pt>
                <c:pt idx="23">
                  <c:v>Commercial Services &amp; Supplies</c:v>
                </c:pt>
                <c:pt idx="24">
                  <c:v>Cement &amp; Cement Products</c:v>
                </c:pt>
                <c:pt idx="25">
                  <c:v>Transport Services</c:v>
                </c:pt>
                <c:pt idx="26">
                  <c:v>Fertilizers &amp; Agrochemicals</c:v>
                </c:pt>
                <c:pt idx="27">
                  <c:v>Chemicals &amp; Petrochemicals</c:v>
                </c:pt>
              </c:strCache>
            </c:strRef>
          </c:cat>
          <c:val>
            <c:numRef>
              <c:f>'BANDHAN SVF'!$X$8:$X$35</c:f>
              <c:numCache>
                <c:formatCode>0.00%</c:formatCode>
                <c:ptCount val="28"/>
                <c:pt idx="0">
                  <c:v>0.21145800000000003</c:v>
                </c:pt>
                <c:pt idx="1">
                  <c:v>7.9776E-2</c:v>
                </c:pt>
                <c:pt idx="2">
                  <c:v>6.5976999999999994E-2</c:v>
                </c:pt>
                <c:pt idx="3">
                  <c:v>5.8571000000000005E-2</c:v>
                </c:pt>
                <c:pt idx="4">
                  <c:v>4.7517999999999998E-2</c:v>
                </c:pt>
                <c:pt idx="5">
                  <c:v>4.6657000000000004E-2</c:v>
                </c:pt>
                <c:pt idx="6">
                  <c:v>3.8426999999999996E-2</c:v>
                </c:pt>
                <c:pt idx="7">
                  <c:v>3.6061999999999997E-2</c:v>
                </c:pt>
                <c:pt idx="8">
                  <c:v>3.0537999999999999E-2</c:v>
                </c:pt>
                <c:pt idx="9">
                  <c:v>2.8296999999999999E-2</c:v>
                </c:pt>
                <c:pt idx="10">
                  <c:v>2.6218999999999999E-2</c:v>
                </c:pt>
                <c:pt idx="11">
                  <c:v>2.2978999999999999E-2</c:v>
                </c:pt>
                <c:pt idx="12">
                  <c:v>2.2491999999999998E-2</c:v>
                </c:pt>
                <c:pt idx="13">
                  <c:v>2.1003999999999998E-2</c:v>
                </c:pt>
                <c:pt idx="14">
                  <c:v>1.9865000000000001E-2</c:v>
                </c:pt>
                <c:pt idx="15">
                  <c:v>1.9592999999999999E-2</c:v>
                </c:pt>
                <c:pt idx="16">
                  <c:v>1.8457999999999999E-2</c:v>
                </c:pt>
                <c:pt idx="17">
                  <c:v>1.7811E-2</c:v>
                </c:pt>
                <c:pt idx="18">
                  <c:v>1.6071999999999999E-2</c:v>
                </c:pt>
                <c:pt idx="19">
                  <c:v>1.5065E-2</c:v>
                </c:pt>
                <c:pt idx="20">
                  <c:v>1.3351E-2</c:v>
                </c:pt>
                <c:pt idx="21">
                  <c:v>1.1956999999999999E-2</c:v>
                </c:pt>
                <c:pt idx="22">
                  <c:v>1.1695000000000001E-2</c:v>
                </c:pt>
                <c:pt idx="23">
                  <c:v>1.0374E-2</c:v>
                </c:pt>
                <c:pt idx="24">
                  <c:v>9.3949999999999988E-3</c:v>
                </c:pt>
                <c:pt idx="25">
                  <c:v>9.3460000000000001E-3</c:v>
                </c:pt>
                <c:pt idx="26">
                  <c:v>7.0409999999999995E-3</c:v>
                </c:pt>
                <c:pt idx="27">
                  <c:v>5.5789999999999998E-3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'BANDHAN-MCAP'!$W$8:$W$37</c:f>
              <c:strCache>
                <c:ptCount val="30"/>
                <c:pt idx="0">
                  <c:v>Industrial Products</c:v>
                </c:pt>
                <c:pt idx="1">
                  <c:v>Pharmaceuticals &amp; Biotechnology</c:v>
                </c:pt>
                <c:pt idx="2">
                  <c:v>Electrical Equipment</c:v>
                </c:pt>
                <c:pt idx="3">
                  <c:v>Consumer Durables</c:v>
                </c:pt>
                <c:pt idx="4">
                  <c:v>IT - Software</c:v>
                </c:pt>
                <c:pt idx="5">
                  <c:v>Auto Components</c:v>
                </c:pt>
                <c:pt idx="6">
                  <c:v>Retailing</c:v>
                </c:pt>
                <c:pt idx="7">
                  <c:v>Leisure Services</c:v>
                </c:pt>
                <c:pt idx="8">
                  <c:v>Realty</c:v>
                </c:pt>
                <c:pt idx="9">
                  <c:v>Banks</c:v>
                </c:pt>
                <c:pt idx="10">
                  <c:v>Healthcare Services</c:v>
                </c:pt>
                <c:pt idx="11">
                  <c:v>Chemicals &amp; Petrochemicals</c:v>
                </c:pt>
                <c:pt idx="12">
                  <c:v>Financial Technology (Fintech)</c:v>
                </c:pt>
                <c:pt idx="13">
                  <c:v>Telecom - Services</c:v>
                </c:pt>
                <c:pt idx="14">
                  <c:v>Finance</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Aerospace &amp; Defense</c:v>
                </c:pt>
                <c:pt idx="24">
                  <c:v>Commercial Services &amp; Supplies</c:v>
                </c:pt>
                <c:pt idx="25">
                  <c:v>Diversified</c:v>
                </c:pt>
                <c:pt idx="26">
                  <c:v>Ferrous Metals</c:v>
                </c:pt>
                <c:pt idx="27">
                  <c:v>Household Products</c:v>
                </c:pt>
                <c:pt idx="28">
                  <c:v>Personal Products</c:v>
                </c:pt>
                <c:pt idx="29">
                  <c:v>Food Products</c:v>
                </c:pt>
              </c:strCache>
            </c:strRef>
          </c:cat>
          <c:val>
            <c:numRef>
              <c:f>'BANDHAN-MCAP'!$X$8:$X$37</c:f>
              <c:numCache>
                <c:formatCode>0.00%</c:formatCode>
                <c:ptCount val="30"/>
                <c:pt idx="0">
                  <c:v>9.4395000000000007E-2</c:v>
                </c:pt>
                <c:pt idx="1">
                  <c:v>8.7723000000000009E-2</c:v>
                </c:pt>
                <c:pt idx="2">
                  <c:v>8.7289000000000005E-2</c:v>
                </c:pt>
                <c:pt idx="3">
                  <c:v>8.0106000000000011E-2</c:v>
                </c:pt>
                <c:pt idx="4">
                  <c:v>6.8385000000000001E-2</c:v>
                </c:pt>
                <c:pt idx="5">
                  <c:v>6.6089000000000009E-2</c:v>
                </c:pt>
                <c:pt idx="6">
                  <c:v>5.731E-2</c:v>
                </c:pt>
                <c:pt idx="7">
                  <c:v>4.4519000000000003E-2</c:v>
                </c:pt>
                <c:pt idx="8">
                  <c:v>4.2515999999999998E-2</c:v>
                </c:pt>
                <c:pt idx="9">
                  <c:v>4.1277000000000001E-2</c:v>
                </c:pt>
                <c:pt idx="10">
                  <c:v>3.3742000000000001E-2</c:v>
                </c:pt>
                <c:pt idx="11">
                  <c:v>2.7666E-2</c:v>
                </c:pt>
                <c:pt idx="12">
                  <c:v>2.2328000000000001E-2</c:v>
                </c:pt>
                <c:pt idx="13">
                  <c:v>2.1233999999999999E-2</c:v>
                </c:pt>
                <c:pt idx="14">
                  <c:v>1.9974000000000002E-2</c:v>
                </c:pt>
                <c:pt idx="15">
                  <c:v>1.9089999999999999E-2</c:v>
                </c:pt>
                <c:pt idx="16">
                  <c:v>1.8756999999999999E-2</c:v>
                </c:pt>
                <c:pt idx="17">
                  <c:v>1.7954000000000001E-2</c:v>
                </c:pt>
                <c:pt idx="18">
                  <c:v>1.5844E-2</c:v>
                </c:pt>
                <c:pt idx="19">
                  <c:v>1.5205E-2</c:v>
                </c:pt>
                <c:pt idx="20">
                  <c:v>1.4670000000000001E-2</c:v>
                </c:pt>
                <c:pt idx="21">
                  <c:v>1.4454E-2</c:v>
                </c:pt>
                <c:pt idx="22">
                  <c:v>1.1199000000000001E-2</c:v>
                </c:pt>
                <c:pt idx="23">
                  <c:v>1.0807000000000001E-2</c:v>
                </c:pt>
                <c:pt idx="24">
                  <c:v>8.2839999999999997E-3</c:v>
                </c:pt>
                <c:pt idx="25">
                  <c:v>8.2100000000000003E-3</c:v>
                </c:pt>
                <c:pt idx="26">
                  <c:v>7.6800000000000002E-3</c:v>
                </c:pt>
                <c:pt idx="27">
                  <c:v>5.1789999999999996E-3</c:v>
                </c:pt>
                <c:pt idx="28">
                  <c:v>4.3059999999999999E-3</c:v>
                </c:pt>
                <c:pt idx="29">
                  <c:v>5.5500000000000005E-4</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January 2025)</c:v>
                </c:pt>
              </c:strCache>
            </c:strRef>
          </c:tx>
          <c:invertIfNegative val="0"/>
          <c:cat>
            <c:strRef>
              <c:f>'BANDHAN-MCAP'!$W$8:$W$37</c:f>
              <c:strCache>
                <c:ptCount val="30"/>
                <c:pt idx="0">
                  <c:v>Industrial Products</c:v>
                </c:pt>
                <c:pt idx="1">
                  <c:v>Pharmaceuticals &amp; Biotechnology</c:v>
                </c:pt>
                <c:pt idx="2">
                  <c:v>Electrical Equipment</c:v>
                </c:pt>
                <c:pt idx="3">
                  <c:v>Consumer Durables</c:v>
                </c:pt>
                <c:pt idx="4">
                  <c:v>IT - Software</c:v>
                </c:pt>
                <c:pt idx="5">
                  <c:v>Auto Components</c:v>
                </c:pt>
                <c:pt idx="6">
                  <c:v>Retailing</c:v>
                </c:pt>
                <c:pt idx="7">
                  <c:v>Leisure Services</c:v>
                </c:pt>
                <c:pt idx="8">
                  <c:v>Realty</c:v>
                </c:pt>
                <c:pt idx="9">
                  <c:v>Banks</c:v>
                </c:pt>
                <c:pt idx="10">
                  <c:v>Healthcare Services</c:v>
                </c:pt>
                <c:pt idx="11">
                  <c:v>Chemicals &amp; Petrochemicals</c:v>
                </c:pt>
                <c:pt idx="12">
                  <c:v>Financial Technology (Fintech)</c:v>
                </c:pt>
                <c:pt idx="13">
                  <c:v>Telecom - Services</c:v>
                </c:pt>
                <c:pt idx="14">
                  <c:v>Finance</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Aerospace &amp; Defense</c:v>
                </c:pt>
                <c:pt idx="24">
                  <c:v>Commercial Services &amp; Supplies</c:v>
                </c:pt>
                <c:pt idx="25">
                  <c:v>Diversified</c:v>
                </c:pt>
                <c:pt idx="26">
                  <c:v>Ferrous Metals</c:v>
                </c:pt>
                <c:pt idx="27">
                  <c:v>Household Products</c:v>
                </c:pt>
                <c:pt idx="28">
                  <c:v>Personal Products</c:v>
                </c:pt>
                <c:pt idx="29">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January 2025)</c:v>
                </c:pt>
              </c:strCache>
            </c:strRef>
          </c:tx>
          <c:invertIfNegative val="0"/>
          <c:cat>
            <c:strRef>
              <c:f>'BANDHAN-MCAP'!$W$8:$W$37</c:f>
              <c:strCache>
                <c:ptCount val="30"/>
                <c:pt idx="0">
                  <c:v>Industrial Products</c:v>
                </c:pt>
                <c:pt idx="1">
                  <c:v>Pharmaceuticals &amp; Biotechnology</c:v>
                </c:pt>
                <c:pt idx="2">
                  <c:v>Electrical Equipment</c:v>
                </c:pt>
                <c:pt idx="3">
                  <c:v>Consumer Durables</c:v>
                </c:pt>
                <c:pt idx="4">
                  <c:v>IT - Software</c:v>
                </c:pt>
                <c:pt idx="5">
                  <c:v>Auto Components</c:v>
                </c:pt>
                <c:pt idx="6">
                  <c:v>Retailing</c:v>
                </c:pt>
                <c:pt idx="7">
                  <c:v>Leisure Services</c:v>
                </c:pt>
                <c:pt idx="8">
                  <c:v>Realty</c:v>
                </c:pt>
                <c:pt idx="9">
                  <c:v>Banks</c:v>
                </c:pt>
                <c:pt idx="10">
                  <c:v>Healthcare Services</c:v>
                </c:pt>
                <c:pt idx="11">
                  <c:v>Chemicals &amp; Petrochemicals</c:v>
                </c:pt>
                <c:pt idx="12">
                  <c:v>Financial Technology (Fintech)</c:v>
                </c:pt>
                <c:pt idx="13">
                  <c:v>Telecom - Services</c:v>
                </c:pt>
                <c:pt idx="14">
                  <c:v>Finance</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Aerospace &amp; Defense</c:v>
                </c:pt>
                <c:pt idx="24">
                  <c:v>Commercial Services &amp; Supplies</c:v>
                </c:pt>
                <c:pt idx="25">
                  <c:v>Diversified</c:v>
                </c:pt>
                <c:pt idx="26">
                  <c:v>Ferrous Metals</c:v>
                </c:pt>
                <c:pt idx="27">
                  <c:v>Household Products</c:v>
                </c:pt>
                <c:pt idx="28">
                  <c:v>Personal Products</c:v>
                </c:pt>
                <c:pt idx="29">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MCF'!$W$8:$W$45</c:f>
              <c:strCache>
                <c:ptCount val="38"/>
                <c:pt idx="0">
                  <c:v>Banks</c:v>
                </c:pt>
                <c:pt idx="1">
                  <c:v>Pharmaceuticals &amp; Biotechnology</c:v>
                </c:pt>
                <c:pt idx="2">
                  <c:v>IT - Software</c:v>
                </c:pt>
                <c:pt idx="3">
                  <c:v>Finance</c:v>
                </c:pt>
                <c:pt idx="4">
                  <c:v>Petroleum Products</c:v>
                </c:pt>
                <c:pt idx="5">
                  <c:v>Insurance</c:v>
                </c:pt>
                <c:pt idx="6">
                  <c:v>Retailing</c:v>
                </c:pt>
                <c:pt idx="7">
                  <c:v>Consumer Durables</c:v>
                </c:pt>
                <c:pt idx="8">
                  <c:v>Construction</c:v>
                </c:pt>
                <c:pt idx="9">
                  <c:v>Fertilizers &amp; Agrochemicals</c:v>
                </c:pt>
                <c:pt idx="10">
                  <c:v>Food Products</c:v>
                </c:pt>
                <c:pt idx="11">
                  <c:v>Realty</c:v>
                </c:pt>
                <c:pt idx="12">
                  <c:v>Automobiles</c:v>
                </c:pt>
                <c:pt idx="13">
                  <c:v>Auto Components</c:v>
                </c:pt>
                <c:pt idx="14">
                  <c:v>Cement &amp; Cement Products</c:v>
                </c:pt>
                <c:pt idx="15">
                  <c:v>Industrial Manufacturing</c:v>
                </c:pt>
                <c:pt idx="16">
                  <c:v>Personal Products</c:v>
                </c:pt>
                <c:pt idx="17">
                  <c:v>Industrial Products</c:v>
                </c:pt>
                <c:pt idx="18">
                  <c:v>Beverages</c:v>
                </c:pt>
                <c:pt idx="19">
                  <c:v>Leisure Services</c:v>
                </c:pt>
                <c:pt idx="20">
                  <c:v>Oil</c:v>
                </c:pt>
                <c:pt idx="21">
                  <c:v>Diversified FMCG</c:v>
                </c:pt>
                <c:pt idx="22">
                  <c:v>Commercial Services &amp; Supplies</c:v>
                </c:pt>
                <c:pt idx="23">
                  <c:v>Telecom - Services</c:v>
                </c:pt>
                <c:pt idx="24">
                  <c:v>Telecom - Equipment &amp; Accessories</c:v>
                </c:pt>
                <c:pt idx="25">
                  <c:v>Electrical Equipment</c:v>
                </c:pt>
                <c:pt idx="26">
                  <c:v>Ferrous Metals</c:v>
                </c:pt>
                <c:pt idx="27">
                  <c:v>Diversified Metals</c:v>
                </c:pt>
                <c:pt idx="28">
                  <c:v>IT - Services</c:v>
                </c:pt>
                <c:pt idx="29">
                  <c:v>Minerals &amp; Mining</c:v>
                </c:pt>
                <c:pt idx="30">
                  <c:v>Chemicals &amp; Petrochemicals</c:v>
                </c:pt>
                <c:pt idx="31">
                  <c:v>Non - Ferrous Metals</c:v>
                </c:pt>
                <c:pt idx="32">
                  <c:v>Power</c:v>
                </c:pt>
                <c:pt idx="33">
                  <c:v>Agricultural Food &amp; other Products</c:v>
                </c:pt>
                <c:pt idx="34">
                  <c:v>Healthcare Services</c:v>
                </c:pt>
                <c:pt idx="35">
                  <c:v>Gas</c:v>
                </c:pt>
                <c:pt idx="36">
                  <c:v>Diversified</c:v>
                </c:pt>
                <c:pt idx="37">
                  <c:v>Capital Markets</c:v>
                </c:pt>
              </c:strCache>
            </c:strRef>
          </c:cat>
          <c:val>
            <c:numRef>
              <c:f>'BANDHAN MCF'!$X$8:$X$45</c:f>
              <c:numCache>
                <c:formatCode>0.00%</c:formatCode>
                <c:ptCount val="38"/>
                <c:pt idx="0">
                  <c:v>0.15959100000000001</c:v>
                </c:pt>
                <c:pt idx="1">
                  <c:v>9.1113999999999987E-2</c:v>
                </c:pt>
                <c:pt idx="2">
                  <c:v>5.8889999999999998E-2</c:v>
                </c:pt>
                <c:pt idx="3">
                  <c:v>5.1564000000000006E-2</c:v>
                </c:pt>
                <c:pt idx="4">
                  <c:v>4.5997999999999997E-2</c:v>
                </c:pt>
                <c:pt idx="5">
                  <c:v>3.8470999999999998E-2</c:v>
                </c:pt>
                <c:pt idx="6">
                  <c:v>3.8015000000000007E-2</c:v>
                </c:pt>
                <c:pt idx="7">
                  <c:v>3.2855000000000002E-2</c:v>
                </c:pt>
                <c:pt idx="8">
                  <c:v>2.9942000000000003E-2</c:v>
                </c:pt>
                <c:pt idx="9">
                  <c:v>2.8801E-2</c:v>
                </c:pt>
                <c:pt idx="10">
                  <c:v>2.8715000000000001E-2</c:v>
                </c:pt>
                <c:pt idx="11">
                  <c:v>2.7446999999999999E-2</c:v>
                </c:pt>
                <c:pt idx="12">
                  <c:v>2.4938000000000002E-2</c:v>
                </c:pt>
                <c:pt idx="13">
                  <c:v>2.4787E-2</c:v>
                </c:pt>
                <c:pt idx="14">
                  <c:v>2.453E-2</c:v>
                </c:pt>
                <c:pt idx="15">
                  <c:v>2.1539000000000003E-2</c:v>
                </c:pt>
                <c:pt idx="16">
                  <c:v>1.9211000000000002E-2</c:v>
                </c:pt>
                <c:pt idx="17">
                  <c:v>1.8264000000000002E-2</c:v>
                </c:pt>
                <c:pt idx="18">
                  <c:v>1.8147E-2</c:v>
                </c:pt>
                <c:pt idx="19">
                  <c:v>1.7489000000000001E-2</c:v>
                </c:pt>
                <c:pt idx="20">
                  <c:v>1.6105000000000001E-2</c:v>
                </c:pt>
                <c:pt idx="21">
                  <c:v>1.5625E-2</c:v>
                </c:pt>
                <c:pt idx="22">
                  <c:v>1.4688E-2</c:v>
                </c:pt>
                <c:pt idx="23">
                  <c:v>1.3752E-2</c:v>
                </c:pt>
                <c:pt idx="24">
                  <c:v>1.0567E-2</c:v>
                </c:pt>
                <c:pt idx="25">
                  <c:v>1.0066E-2</c:v>
                </c:pt>
                <c:pt idx="26">
                  <c:v>1.004E-2</c:v>
                </c:pt>
                <c:pt idx="27">
                  <c:v>9.3310000000000008E-3</c:v>
                </c:pt>
                <c:pt idx="28">
                  <c:v>7.3790000000000001E-3</c:v>
                </c:pt>
                <c:pt idx="29">
                  <c:v>6.9870000000000002E-3</c:v>
                </c:pt>
                <c:pt idx="30">
                  <c:v>6.8139999999999997E-3</c:v>
                </c:pt>
                <c:pt idx="31">
                  <c:v>5.986E-3</c:v>
                </c:pt>
                <c:pt idx="32">
                  <c:v>5.4799999999999996E-3</c:v>
                </c:pt>
                <c:pt idx="33">
                  <c:v>4.8199999999999996E-3</c:v>
                </c:pt>
                <c:pt idx="34">
                  <c:v>4.3189999999999999E-3</c:v>
                </c:pt>
                <c:pt idx="35">
                  <c:v>2.65E-3</c:v>
                </c:pt>
                <c:pt idx="36">
                  <c:v>2.5279999999999999E-3</c:v>
                </c:pt>
                <c:pt idx="37">
                  <c:v>8.7799999999999998E-4</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January 2025)</c:v>
                </c:pt>
              </c:strCache>
            </c:strRef>
          </c:tx>
          <c:invertIfNegative val="0"/>
          <c:cat>
            <c:strRef>
              <c:f>'BANDHAN MCF'!$W$8:$W$45</c:f>
              <c:strCache>
                <c:ptCount val="38"/>
                <c:pt idx="0">
                  <c:v>Banks</c:v>
                </c:pt>
                <c:pt idx="1">
                  <c:v>Pharmaceuticals &amp; Biotechnology</c:v>
                </c:pt>
                <c:pt idx="2">
                  <c:v>IT - Software</c:v>
                </c:pt>
                <c:pt idx="3">
                  <c:v>Finance</c:v>
                </c:pt>
                <c:pt idx="4">
                  <c:v>Petroleum Products</c:v>
                </c:pt>
                <c:pt idx="5">
                  <c:v>Insurance</c:v>
                </c:pt>
                <c:pt idx="6">
                  <c:v>Retailing</c:v>
                </c:pt>
                <c:pt idx="7">
                  <c:v>Consumer Durables</c:v>
                </c:pt>
                <c:pt idx="8">
                  <c:v>Construction</c:v>
                </c:pt>
                <c:pt idx="9">
                  <c:v>Fertilizers &amp; Agrochemicals</c:v>
                </c:pt>
                <c:pt idx="10">
                  <c:v>Food Products</c:v>
                </c:pt>
                <c:pt idx="11">
                  <c:v>Realty</c:v>
                </c:pt>
                <c:pt idx="12">
                  <c:v>Automobiles</c:v>
                </c:pt>
                <c:pt idx="13">
                  <c:v>Auto Components</c:v>
                </c:pt>
                <c:pt idx="14">
                  <c:v>Cement &amp; Cement Products</c:v>
                </c:pt>
                <c:pt idx="15">
                  <c:v>Industrial Manufacturing</c:v>
                </c:pt>
                <c:pt idx="16">
                  <c:v>Personal Products</c:v>
                </c:pt>
                <c:pt idx="17">
                  <c:v>Industrial Products</c:v>
                </c:pt>
                <c:pt idx="18">
                  <c:v>Beverages</c:v>
                </c:pt>
                <c:pt idx="19">
                  <c:v>Leisure Services</c:v>
                </c:pt>
                <c:pt idx="20">
                  <c:v>Oil</c:v>
                </c:pt>
                <c:pt idx="21">
                  <c:v>Diversified FMCG</c:v>
                </c:pt>
                <c:pt idx="22">
                  <c:v>Commercial Services &amp; Supplies</c:v>
                </c:pt>
                <c:pt idx="23">
                  <c:v>Telecom - Services</c:v>
                </c:pt>
                <c:pt idx="24">
                  <c:v>Telecom - Equipment &amp; Accessories</c:v>
                </c:pt>
                <c:pt idx="25">
                  <c:v>Electrical Equipment</c:v>
                </c:pt>
                <c:pt idx="26">
                  <c:v>Ferrous Metals</c:v>
                </c:pt>
                <c:pt idx="27">
                  <c:v>Diversified Metals</c:v>
                </c:pt>
                <c:pt idx="28">
                  <c:v>IT - Services</c:v>
                </c:pt>
                <c:pt idx="29">
                  <c:v>Minerals &amp; Mining</c:v>
                </c:pt>
                <c:pt idx="30">
                  <c:v>Chemicals &amp; Petrochemicals</c:v>
                </c:pt>
                <c:pt idx="31">
                  <c:v>Non - Ferrous Metals</c:v>
                </c:pt>
                <c:pt idx="32">
                  <c:v>Power</c:v>
                </c:pt>
                <c:pt idx="33">
                  <c:v>Agricultural Food &amp; other Products</c:v>
                </c:pt>
                <c:pt idx="34">
                  <c:v>Healthcare Services</c:v>
                </c:pt>
                <c:pt idx="35">
                  <c:v>Gas</c:v>
                </c:pt>
                <c:pt idx="36">
                  <c:v>Diversified</c:v>
                </c:pt>
                <c:pt idx="37">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FCF'!$W$8:$W$36</c:f>
              <c:strCache>
                <c:ptCount val="29"/>
                <c:pt idx="0">
                  <c:v>Banks</c:v>
                </c:pt>
                <c:pt idx="1">
                  <c:v>IT - Software</c:v>
                </c:pt>
                <c:pt idx="2">
                  <c:v>Automobiles</c:v>
                </c:pt>
                <c:pt idx="3">
                  <c:v>Petroleum Products</c:v>
                </c:pt>
                <c:pt idx="4">
                  <c:v>Retailing</c:v>
                </c:pt>
                <c:pt idx="5">
                  <c:v>Pharmaceuticals &amp; Biotechnology</c:v>
                </c:pt>
                <c:pt idx="6">
                  <c:v>Finance</c:v>
                </c:pt>
                <c:pt idx="7">
                  <c:v>Diversified FMCG</c:v>
                </c:pt>
                <c:pt idx="8">
                  <c:v>Insurance</c:v>
                </c:pt>
                <c:pt idx="9">
                  <c:v>Construction</c:v>
                </c:pt>
                <c:pt idx="10">
                  <c:v>Telecom - Services</c:v>
                </c:pt>
                <c:pt idx="11">
                  <c:v>Cement &amp; Cement Products</c:v>
                </c:pt>
                <c:pt idx="12">
                  <c:v>Realty</c:v>
                </c:pt>
                <c:pt idx="13">
                  <c:v>Industrial Products</c:v>
                </c:pt>
                <c:pt idx="14">
                  <c:v>Food Products</c:v>
                </c:pt>
                <c:pt idx="15">
                  <c:v>Oil</c:v>
                </c:pt>
                <c:pt idx="16">
                  <c:v>Ferrous Metals</c:v>
                </c:pt>
                <c:pt idx="17">
                  <c:v>Leisure Services</c:v>
                </c:pt>
                <c:pt idx="18">
                  <c:v>Electrical Equipment</c:v>
                </c:pt>
                <c:pt idx="19">
                  <c:v>Beverages</c:v>
                </c:pt>
                <c:pt idx="20">
                  <c:v>Telecom - Equipment &amp; Accessories</c:v>
                </c:pt>
                <c:pt idx="21">
                  <c:v>Diversified Metals</c:v>
                </c:pt>
                <c:pt idx="22">
                  <c:v>Consumer Durables</c:v>
                </c:pt>
                <c:pt idx="23">
                  <c:v>Minerals &amp; Mining</c:v>
                </c:pt>
                <c:pt idx="24">
                  <c:v>Non - Ferrous Metals</c:v>
                </c:pt>
                <c:pt idx="25">
                  <c:v>Healthcare Services</c:v>
                </c:pt>
                <c:pt idx="26">
                  <c:v>Commercial Services &amp; Supplies</c:v>
                </c:pt>
                <c:pt idx="27">
                  <c:v>Power</c:v>
                </c:pt>
                <c:pt idx="28">
                  <c:v>Diversified</c:v>
                </c:pt>
              </c:strCache>
            </c:strRef>
          </c:cat>
          <c:val>
            <c:numRef>
              <c:f>'BANDHAN FCF'!$X$8:$X$36</c:f>
              <c:numCache>
                <c:formatCode>0.0%</c:formatCode>
                <c:ptCount val="29"/>
                <c:pt idx="0">
                  <c:v>0.23173700000000003</c:v>
                </c:pt>
                <c:pt idx="1">
                  <c:v>8.9218999999999993E-2</c:v>
                </c:pt>
                <c:pt idx="2">
                  <c:v>7.4260999999999994E-2</c:v>
                </c:pt>
                <c:pt idx="3">
                  <c:v>7.1349999999999997E-2</c:v>
                </c:pt>
                <c:pt idx="4">
                  <c:v>5.6075999999999994E-2</c:v>
                </c:pt>
                <c:pt idx="5">
                  <c:v>5.6040999999999994E-2</c:v>
                </c:pt>
                <c:pt idx="6">
                  <c:v>5.0512000000000001E-2</c:v>
                </c:pt>
                <c:pt idx="7">
                  <c:v>4.2398000000000005E-2</c:v>
                </c:pt>
                <c:pt idx="8">
                  <c:v>4.1744999999999997E-2</c:v>
                </c:pt>
                <c:pt idx="9">
                  <c:v>2.9475000000000001E-2</c:v>
                </c:pt>
                <c:pt idx="10">
                  <c:v>2.8733999999999999E-2</c:v>
                </c:pt>
                <c:pt idx="11">
                  <c:v>2.1245E-2</c:v>
                </c:pt>
                <c:pt idx="12">
                  <c:v>2.0485E-2</c:v>
                </c:pt>
                <c:pt idx="13">
                  <c:v>2.0221000000000003E-2</c:v>
                </c:pt>
                <c:pt idx="14">
                  <c:v>1.7000999999999999E-2</c:v>
                </c:pt>
                <c:pt idx="15">
                  <c:v>1.465E-2</c:v>
                </c:pt>
                <c:pt idx="16">
                  <c:v>1.4493000000000001E-2</c:v>
                </c:pt>
                <c:pt idx="17">
                  <c:v>1.2677000000000001E-2</c:v>
                </c:pt>
                <c:pt idx="18">
                  <c:v>1.1329000000000001E-2</c:v>
                </c:pt>
                <c:pt idx="19">
                  <c:v>1.128E-2</c:v>
                </c:pt>
                <c:pt idx="20">
                  <c:v>8.1620000000000009E-3</c:v>
                </c:pt>
                <c:pt idx="21">
                  <c:v>7.5770000000000004E-3</c:v>
                </c:pt>
                <c:pt idx="22">
                  <c:v>7.4610000000000006E-3</c:v>
                </c:pt>
                <c:pt idx="23">
                  <c:v>6.6239999999999997E-3</c:v>
                </c:pt>
                <c:pt idx="24">
                  <c:v>6.4790000000000004E-3</c:v>
                </c:pt>
                <c:pt idx="25">
                  <c:v>6.2129999999999998E-3</c:v>
                </c:pt>
                <c:pt idx="26">
                  <c:v>5.4599999999999996E-3</c:v>
                </c:pt>
                <c:pt idx="27">
                  <c:v>4.4029999999999998E-3</c:v>
                </c:pt>
                <c:pt idx="28">
                  <c:v>4.202E-3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IT - Hardware</c:v>
                </c:pt>
                <c:pt idx="19">
                  <c:v>Leisure Services</c:v>
                </c:pt>
                <c:pt idx="20">
                  <c:v>IT - Services</c:v>
                </c:pt>
                <c:pt idx="21">
                  <c:v>Power</c:v>
                </c:pt>
                <c:pt idx="22">
                  <c:v>IT - Software</c:v>
                </c:pt>
                <c:pt idx="23">
                  <c:v>Beverages</c:v>
                </c:pt>
                <c:pt idx="24">
                  <c:v>Ferrous Metals</c:v>
                </c:pt>
                <c:pt idx="25">
                  <c:v>Diversified Metals</c:v>
                </c:pt>
                <c:pt idx="26">
                  <c:v>Petroleum Products</c:v>
                </c:pt>
                <c:pt idx="27">
                  <c:v>Food Products</c:v>
                </c:pt>
                <c:pt idx="28">
                  <c:v>Other Utilities</c:v>
                </c:pt>
                <c:pt idx="29">
                  <c:v>Paper, Forest &amp; Jute Products</c:v>
                </c:pt>
                <c:pt idx="30">
                  <c:v>Fertilizers &amp; Agrochemicals</c:v>
                </c:pt>
                <c:pt idx="31">
                  <c:v>Aerospace &amp; Defense</c:v>
                </c:pt>
                <c:pt idx="32">
                  <c:v>Non - Ferrous Metals</c:v>
                </c:pt>
                <c:pt idx="33">
                  <c:v>Diversified</c:v>
                </c:pt>
                <c:pt idx="34">
                  <c:v>Household Products</c:v>
                </c:pt>
                <c:pt idx="35">
                  <c:v>Cement &amp; Cement Products</c:v>
                </c:pt>
                <c:pt idx="36">
                  <c:v>Telecom - Equipment &amp; Accessories</c:v>
                </c:pt>
                <c:pt idx="37">
                  <c:v>Telecom - Services</c:v>
                </c:pt>
                <c:pt idx="38">
                  <c:v>Gas</c:v>
                </c:pt>
                <c:pt idx="39">
                  <c:v>Personal Products</c:v>
                </c:pt>
                <c:pt idx="40">
                  <c:v>Entertainment</c:v>
                </c:pt>
                <c:pt idx="41">
                  <c:v>Healthcare Equipment &amp; Supplies</c:v>
                </c:pt>
                <c:pt idx="42">
                  <c:v>Insurance</c:v>
                </c:pt>
                <c:pt idx="43">
                  <c:v>Automobiles</c:v>
                </c:pt>
                <c:pt idx="44">
                  <c:v>Minerals &amp; Mining</c:v>
                </c:pt>
                <c:pt idx="45">
                  <c:v>Diversified FMCG</c:v>
                </c:pt>
              </c:strCache>
            </c:strRef>
          </c:cat>
          <c:val>
            <c:numRef>
              <c:f>'BANDHAN SCF'!$X$8:$X$53</c:f>
              <c:numCache>
                <c:formatCode>0.00%</c:formatCode>
                <c:ptCount val="46"/>
                <c:pt idx="0">
                  <c:v>9.3455999999999997E-2</c:v>
                </c:pt>
                <c:pt idx="1">
                  <c:v>9.2586000000000002E-2</c:v>
                </c:pt>
                <c:pt idx="2">
                  <c:v>7.3957000000000009E-2</c:v>
                </c:pt>
                <c:pt idx="3">
                  <c:v>7.1235999999999994E-2</c:v>
                </c:pt>
                <c:pt idx="4">
                  <c:v>5.0119999999999998E-2</c:v>
                </c:pt>
                <c:pt idx="5">
                  <c:v>4.7062999999999994E-2</c:v>
                </c:pt>
                <c:pt idx="6">
                  <c:v>4.3390999999999999E-2</c:v>
                </c:pt>
                <c:pt idx="7">
                  <c:v>4.2452999999999998E-2</c:v>
                </c:pt>
                <c:pt idx="8">
                  <c:v>4.1803E-2</c:v>
                </c:pt>
                <c:pt idx="9">
                  <c:v>3.918E-2</c:v>
                </c:pt>
                <c:pt idx="10">
                  <c:v>3.2639000000000001E-2</c:v>
                </c:pt>
                <c:pt idx="11">
                  <c:v>3.1288000000000003E-2</c:v>
                </c:pt>
                <c:pt idx="12">
                  <c:v>2.9307E-2</c:v>
                </c:pt>
                <c:pt idx="13">
                  <c:v>2.2017999999999999E-2</c:v>
                </c:pt>
                <c:pt idx="14">
                  <c:v>1.8776000000000001E-2</c:v>
                </c:pt>
                <c:pt idx="15">
                  <c:v>1.7451999999999999E-2</c:v>
                </c:pt>
                <c:pt idx="16">
                  <c:v>1.6122000000000001E-2</c:v>
                </c:pt>
                <c:pt idx="17">
                  <c:v>1.5057999999999998E-2</c:v>
                </c:pt>
                <c:pt idx="18">
                  <c:v>1.2924E-2</c:v>
                </c:pt>
                <c:pt idx="19">
                  <c:v>1.218E-2</c:v>
                </c:pt>
                <c:pt idx="20">
                  <c:v>1.0662E-2</c:v>
                </c:pt>
                <c:pt idx="21">
                  <c:v>1.0273999999999998E-2</c:v>
                </c:pt>
                <c:pt idx="22">
                  <c:v>9.6559999999999997E-3</c:v>
                </c:pt>
                <c:pt idx="23">
                  <c:v>9.3849999999999992E-3</c:v>
                </c:pt>
                <c:pt idx="24">
                  <c:v>8.1910000000000004E-3</c:v>
                </c:pt>
                <c:pt idx="25">
                  <c:v>7.6730000000000001E-3</c:v>
                </c:pt>
                <c:pt idx="26">
                  <c:v>6.1880000000000008E-3</c:v>
                </c:pt>
                <c:pt idx="27">
                  <c:v>6.0680000000000005E-3</c:v>
                </c:pt>
                <c:pt idx="28">
                  <c:v>5.2589999999999998E-3</c:v>
                </c:pt>
                <c:pt idx="29">
                  <c:v>4.7710000000000001E-3</c:v>
                </c:pt>
                <c:pt idx="30">
                  <c:v>4.4979999999999994E-3</c:v>
                </c:pt>
                <c:pt idx="31">
                  <c:v>4.287E-3</c:v>
                </c:pt>
                <c:pt idx="32">
                  <c:v>3.7000000000000002E-3</c:v>
                </c:pt>
                <c:pt idx="33">
                  <c:v>3.663E-3</c:v>
                </c:pt>
                <c:pt idx="34">
                  <c:v>3.4780000000000002E-3</c:v>
                </c:pt>
                <c:pt idx="35">
                  <c:v>3.4269999999999999E-3</c:v>
                </c:pt>
                <c:pt idx="36">
                  <c:v>2.7759999999999998E-3</c:v>
                </c:pt>
                <c:pt idx="37">
                  <c:v>2.63E-3</c:v>
                </c:pt>
                <c:pt idx="38">
                  <c:v>2.3220000000000003E-3</c:v>
                </c:pt>
                <c:pt idx="39">
                  <c:v>2.2430000000000002E-3</c:v>
                </c:pt>
                <c:pt idx="40">
                  <c:v>1.815E-3</c:v>
                </c:pt>
                <c:pt idx="41">
                  <c:v>1.5E-3</c:v>
                </c:pt>
                <c:pt idx="42">
                  <c:v>1.4350000000000001E-3</c:v>
                </c:pt>
                <c:pt idx="43">
                  <c:v>1.175E-3</c:v>
                </c:pt>
                <c:pt idx="44">
                  <c:v>9.2199999999999997E-4</c:v>
                </c:pt>
                <c:pt idx="45">
                  <c:v>8.7699999999999996E-4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January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IT - Hardware</c:v>
                </c:pt>
                <c:pt idx="19">
                  <c:v>Leisure Services</c:v>
                </c:pt>
                <c:pt idx="20">
                  <c:v>IT - Services</c:v>
                </c:pt>
                <c:pt idx="21">
                  <c:v>Power</c:v>
                </c:pt>
                <c:pt idx="22">
                  <c:v>IT - Software</c:v>
                </c:pt>
                <c:pt idx="23">
                  <c:v>Beverages</c:v>
                </c:pt>
                <c:pt idx="24">
                  <c:v>Ferrous Metals</c:v>
                </c:pt>
                <c:pt idx="25">
                  <c:v>Diversified Metals</c:v>
                </c:pt>
                <c:pt idx="26">
                  <c:v>Petroleum Products</c:v>
                </c:pt>
                <c:pt idx="27">
                  <c:v>Food Products</c:v>
                </c:pt>
                <c:pt idx="28">
                  <c:v>Other Utilities</c:v>
                </c:pt>
                <c:pt idx="29">
                  <c:v>Paper, Forest &amp; Jute Products</c:v>
                </c:pt>
                <c:pt idx="30">
                  <c:v>Fertilizers &amp; Agrochemicals</c:v>
                </c:pt>
                <c:pt idx="31">
                  <c:v>Aerospace &amp; Defense</c:v>
                </c:pt>
                <c:pt idx="32">
                  <c:v>Non - Ferrous Metals</c:v>
                </c:pt>
                <c:pt idx="33">
                  <c:v>Diversified</c:v>
                </c:pt>
                <c:pt idx="34">
                  <c:v>Household Products</c:v>
                </c:pt>
                <c:pt idx="35">
                  <c:v>Cement &amp; Cement Products</c:v>
                </c:pt>
                <c:pt idx="36">
                  <c:v>Telecom - Equipment &amp; Accessories</c:v>
                </c:pt>
                <c:pt idx="37">
                  <c:v>Telecom - Services</c:v>
                </c:pt>
                <c:pt idx="38">
                  <c:v>Gas</c:v>
                </c:pt>
                <c:pt idx="39">
                  <c:v>Personal Products</c:v>
                </c:pt>
                <c:pt idx="40">
                  <c:v>Entertainment</c:v>
                </c:pt>
                <c:pt idx="41">
                  <c:v>Healthcare Equipment &amp; Supplies</c:v>
                </c:pt>
                <c:pt idx="42">
                  <c:v>Insurance</c:v>
                </c:pt>
                <c:pt idx="43">
                  <c:v>Automobiles</c:v>
                </c:pt>
                <c:pt idx="44">
                  <c:v>Minerals &amp; Mining</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January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IT - Hardware</c:v>
                </c:pt>
                <c:pt idx="19">
                  <c:v>Leisure Services</c:v>
                </c:pt>
                <c:pt idx="20">
                  <c:v>IT - Services</c:v>
                </c:pt>
                <c:pt idx="21">
                  <c:v>Power</c:v>
                </c:pt>
                <c:pt idx="22">
                  <c:v>IT - Software</c:v>
                </c:pt>
                <c:pt idx="23">
                  <c:v>Beverages</c:v>
                </c:pt>
                <c:pt idx="24">
                  <c:v>Ferrous Metals</c:v>
                </c:pt>
                <c:pt idx="25">
                  <c:v>Diversified Metals</c:v>
                </c:pt>
                <c:pt idx="26">
                  <c:v>Petroleum Products</c:v>
                </c:pt>
                <c:pt idx="27">
                  <c:v>Food Products</c:v>
                </c:pt>
                <c:pt idx="28">
                  <c:v>Other Utilities</c:v>
                </c:pt>
                <c:pt idx="29">
                  <c:v>Paper, Forest &amp; Jute Products</c:v>
                </c:pt>
                <c:pt idx="30">
                  <c:v>Fertilizers &amp; Agrochemicals</c:v>
                </c:pt>
                <c:pt idx="31">
                  <c:v>Aerospace &amp; Defense</c:v>
                </c:pt>
                <c:pt idx="32">
                  <c:v>Non - Ferrous Metals</c:v>
                </c:pt>
                <c:pt idx="33">
                  <c:v>Diversified</c:v>
                </c:pt>
                <c:pt idx="34">
                  <c:v>Household Products</c:v>
                </c:pt>
                <c:pt idx="35">
                  <c:v>Cement &amp; Cement Products</c:v>
                </c:pt>
                <c:pt idx="36">
                  <c:v>Telecom - Equipment &amp; Accessories</c:v>
                </c:pt>
                <c:pt idx="37">
                  <c:v>Telecom - Services</c:v>
                </c:pt>
                <c:pt idx="38">
                  <c:v>Gas</c:v>
                </c:pt>
                <c:pt idx="39">
                  <c:v>Personal Products</c:v>
                </c:pt>
                <c:pt idx="40">
                  <c:v>Entertainment</c:v>
                </c:pt>
                <c:pt idx="41">
                  <c:v>Healthcare Equipment &amp; Supplies</c:v>
                </c:pt>
                <c:pt idx="42">
                  <c:v>Insurance</c:v>
                </c:pt>
                <c:pt idx="43">
                  <c:v>Automobiles</c:v>
                </c:pt>
                <c:pt idx="44">
                  <c:v>Minerals &amp; Mining</c:v>
                </c:pt>
                <c:pt idx="45">
                  <c:v>Diversified FMCG</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January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Agricultural Food &amp; other Products</c:v>
                </c:pt>
                <c:pt idx="12">
                  <c:v>Auto Components</c:v>
                </c:pt>
                <c:pt idx="13">
                  <c:v>Commercial Services &amp; Supplies</c:v>
                </c:pt>
                <c:pt idx="14">
                  <c:v>Retailing</c:v>
                </c:pt>
                <c:pt idx="15">
                  <c:v>Transport Services</c:v>
                </c:pt>
                <c:pt idx="16">
                  <c:v>Industrial Manufacturing</c:v>
                </c:pt>
                <c:pt idx="17">
                  <c:v>Construction</c:v>
                </c:pt>
                <c:pt idx="18">
                  <c:v>IT - Hardware</c:v>
                </c:pt>
                <c:pt idx="19">
                  <c:v>Leisure Services</c:v>
                </c:pt>
                <c:pt idx="20">
                  <c:v>IT - Services</c:v>
                </c:pt>
                <c:pt idx="21">
                  <c:v>Power</c:v>
                </c:pt>
                <c:pt idx="22">
                  <c:v>IT - Software</c:v>
                </c:pt>
                <c:pt idx="23">
                  <c:v>Beverages</c:v>
                </c:pt>
                <c:pt idx="24">
                  <c:v>Ferrous Metals</c:v>
                </c:pt>
                <c:pt idx="25">
                  <c:v>Diversified Metals</c:v>
                </c:pt>
                <c:pt idx="26">
                  <c:v>Petroleum Products</c:v>
                </c:pt>
                <c:pt idx="27">
                  <c:v>Food Products</c:v>
                </c:pt>
                <c:pt idx="28">
                  <c:v>Other Utilities</c:v>
                </c:pt>
                <c:pt idx="29">
                  <c:v>Paper, Forest &amp; Jute Products</c:v>
                </c:pt>
                <c:pt idx="30">
                  <c:v>Fertilizers &amp; Agrochemicals</c:v>
                </c:pt>
                <c:pt idx="31">
                  <c:v>Aerospace &amp; Defense</c:v>
                </c:pt>
                <c:pt idx="32">
                  <c:v>Non - Ferrous Metals</c:v>
                </c:pt>
                <c:pt idx="33">
                  <c:v>Diversified</c:v>
                </c:pt>
                <c:pt idx="34">
                  <c:v>Household Products</c:v>
                </c:pt>
                <c:pt idx="35">
                  <c:v>Cement &amp; Cement Products</c:v>
                </c:pt>
                <c:pt idx="36">
                  <c:v>Telecom - Equipment &amp; Accessories</c:v>
                </c:pt>
                <c:pt idx="37">
                  <c:v>Telecom - Services</c:v>
                </c:pt>
                <c:pt idx="38">
                  <c:v>Gas</c:v>
                </c:pt>
                <c:pt idx="39">
                  <c:v>Personal Products</c:v>
                </c:pt>
                <c:pt idx="40">
                  <c:v>Entertainment</c:v>
                </c:pt>
                <c:pt idx="41">
                  <c:v>Healthcare Equipment &amp; Supplies</c:v>
                </c:pt>
                <c:pt idx="42">
                  <c:v>Insurance</c:v>
                </c:pt>
                <c:pt idx="43">
                  <c:v>Automobiles</c:v>
                </c:pt>
                <c:pt idx="44">
                  <c:v>Minerals &amp; Mining</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IF'!$W$8:$W$28</c:f>
              <c:strCache>
                <c:ptCount val="21"/>
                <c:pt idx="0">
                  <c:v>Construction</c:v>
                </c:pt>
                <c:pt idx="1">
                  <c:v>Industrial Products</c:v>
                </c:pt>
                <c:pt idx="2">
                  <c:v>Power</c:v>
                </c:pt>
                <c:pt idx="3">
                  <c:v>Electrical Equipment</c:v>
                </c:pt>
                <c:pt idx="4">
                  <c:v>Transport Services</c:v>
                </c:pt>
                <c:pt idx="5">
                  <c:v>Industrial Manufacturing</c:v>
                </c:pt>
                <c:pt idx="6">
                  <c:v>Auto Components</c:v>
                </c:pt>
                <c:pt idx="7">
                  <c:v>Telecom - Services</c:v>
                </c:pt>
                <c:pt idx="8">
                  <c:v>Finance</c:v>
                </c:pt>
                <c:pt idx="9">
                  <c:v>Gas</c:v>
                </c:pt>
                <c:pt idx="10">
                  <c:v>Aerospace &amp; Defense</c:v>
                </c:pt>
                <c:pt idx="11">
                  <c:v>Petroleum Products</c:v>
                </c:pt>
                <c:pt idx="12">
                  <c:v>Transport Infrastructure</c:v>
                </c:pt>
                <c:pt idx="13">
                  <c:v>Cement &amp; Cement Products</c:v>
                </c:pt>
                <c:pt idx="14">
                  <c:v>Healthcare Services</c:v>
                </c:pt>
                <c:pt idx="15">
                  <c:v>Diversified</c:v>
                </c:pt>
                <c:pt idx="16">
                  <c:v>Ferrous Metals</c:v>
                </c:pt>
                <c:pt idx="17">
                  <c:v>Chemicals &amp; Petrochemicals</c:v>
                </c:pt>
                <c:pt idx="18">
                  <c:v>Non - Ferrous Metals</c:v>
                </c:pt>
                <c:pt idx="19">
                  <c:v>Diversified Metals</c:v>
                </c:pt>
                <c:pt idx="20">
                  <c:v>Leisure Services</c:v>
                </c:pt>
              </c:strCache>
            </c:strRef>
          </c:cat>
          <c:val>
            <c:numRef>
              <c:f>'BANDHAN IF'!$X$8:$X$28</c:f>
              <c:numCache>
                <c:formatCode>0.00%</c:formatCode>
                <c:ptCount val="21"/>
                <c:pt idx="0">
                  <c:v>0.22513900000000001</c:v>
                </c:pt>
                <c:pt idx="1">
                  <c:v>8.7313000000000002E-2</c:v>
                </c:pt>
                <c:pt idx="2">
                  <c:v>8.3220999999999989E-2</c:v>
                </c:pt>
                <c:pt idx="3">
                  <c:v>7.6483000000000009E-2</c:v>
                </c:pt>
                <c:pt idx="4">
                  <c:v>5.4239999999999997E-2</c:v>
                </c:pt>
                <c:pt idx="5">
                  <c:v>5.0491999999999995E-2</c:v>
                </c:pt>
                <c:pt idx="6">
                  <c:v>4.7780999999999997E-2</c:v>
                </c:pt>
                <c:pt idx="7">
                  <c:v>4.6314000000000001E-2</c:v>
                </c:pt>
                <c:pt idx="8">
                  <c:v>3.7807999999999994E-2</c:v>
                </c:pt>
                <c:pt idx="9">
                  <c:v>3.7457999999999998E-2</c:v>
                </c:pt>
                <c:pt idx="10">
                  <c:v>3.5075999999999996E-2</c:v>
                </c:pt>
                <c:pt idx="11">
                  <c:v>3.4903999999999998E-2</c:v>
                </c:pt>
                <c:pt idx="12">
                  <c:v>3.3778000000000002E-2</c:v>
                </c:pt>
                <c:pt idx="13">
                  <c:v>3.2888000000000001E-2</c:v>
                </c:pt>
                <c:pt idx="14">
                  <c:v>1.8278000000000003E-2</c:v>
                </c:pt>
                <c:pt idx="15">
                  <c:v>1.7694000000000001E-2</c:v>
                </c:pt>
                <c:pt idx="16">
                  <c:v>1.7687999999999999E-2</c:v>
                </c:pt>
                <c:pt idx="17">
                  <c:v>1.3998999999999999E-2</c:v>
                </c:pt>
                <c:pt idx="18">
                  <c:v>6.2599999999999999E-3</c:v>
                </c:pt>
                <c:pt idx="19">
                  <c:v>5.7840000000000001E-3</c:v>
                </c:pt>
                <c:pt idx="20">
                  <c:v>2.4030000000000002E-3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Retailing</c:v>
                </c:pt>
                <c:pt idx="4">
                  <c:v>Agricultural, Commercial &amp; Construction Vehicles</c:v>
                </c:pt>
                <c:pt idx="5">
                  <c:v>Finance</c:v>
                </c:pt>
                <c:pt idx="6">
                  <c:v>Consumer Durables</c:v>
                </c:pt>
                <c:pt idx="7">
                  <c:v>Leisure Services</c:v>
                </c:pt>
                <c:pt idx="8">
                  <c:v>Industrial Products</c:v>
                </c:pt>
              </c:strCache>
            </c:strRef>
          </c:cat>
          <c:val>
            <c:numRef>
              <c:f>'BANDHAN TLF'!$X$8:$X$16</c:f>
              <c:numCache>
                <c:formatCode>0.00%</c:formatCode>
                <c:ptCount val="9"/>
                <c:pt idx="0">
                  <c:v>0.46068399999999998</c:v>
                </c:pt>
                <c:pt idx="1">
                  <c:v>0.24663599999999999</c:v>
                </c:pt>
                <c:pt idx="2">
                  <c:v>0.103128</c:v>
                </c:pt>
                <c:pt idx="3">
                  <c:v>2.8937999999999998E-2</c:v>
                </c:pt>
                <c:pt idx="4">
                  <c:v>2.6924999999999998E-2</c:v>
                </c:pt>
                <c:pt idx="5">
                  <c:v>1.9337E-2</c:v>
                </c:pt>
                <c:pt idx="6">
                  <c:v>1.3658E-2</c:v>
                </c:pt>
                <c:pt idx="7">
                  <c:v>1.3573999999999999E-2</c:v>
                </c:pt>
                <c:pt idx="8">
                  <c:v>1.0794E-2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0.47360599999999997</c:v>
                </c:pt>
                <c:pt idx="1">
                  <c:v>0.24108399999999999</c:v>
                </c:pt>
                <c:pt idx="2">
                  <c:v>8.6752999999999997E-2</c:v>
                </c:pt>
                <c:pt idx="3">
                  <c:v>7.3089000000000001E-2</c:v>
                </c:pt>
                <c:pt idx="4">
                  <c:v>5.0514000000000003E-2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January 2025)</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INNOV'!$W$8:$W$42</c:f>
              <c:strCache>
                <c:ptCount val="35"/>
                <c:pt idx="0">
                  <c:v>Pharmaceuticals &amp; Biotechnology</c:v>
                </c:pt>
                <c:pt idx="1">
                  <c:v>Retailing</c:v>
                </c:pt>
                <c:pt idx="2">
                  <c:v>Healthcare Services</c:v>
                </c:pt>
                <c:pt idx="3">
                  <c:v>Finance</c:v>
                </c:pt>
                <c:pt idx="4">
                  <c:v>IT - Software</c:v>
                </c:pt>
                <c:pt idx="5">
                  <c:v>Consumer Durables</c:v>
                </c:pt>
                <c:pt idx="6">
                  <c:v>IT - Services</c:v>
                </c:pt>
                <c:pt idx="7">
                  <c:v>Beverages</c:v>
                </c:pt>
                <c:pt idx="8">
                  <c:v>Automobiles</c:v>
                </c:pt>
                <c:pt idx="9">
                  <c:v>Financial Technology (Fintech)</c:v>
                </c:pt>
                <c:pt idx="10">
                  <c:v>Transport Services</c:v>
                </c:pt>
                <c:pt idx="11">
                  <c:v>Telecom - Services</c:v>
                </c:pt>
                <c:pt idx="12">
                  <c:v>Industrial Products</c:v>
                </c:pt>
                <c:pt idx="13">
                  <c:v>Chemicals &amp; Petrochemicals</c:v>
                </c:pt>
                <c:pt idx="14">
                  <c:v>Banks</c:v>
                </c:pt>
                <c:pt idx="15">
                  <c:v>Industrial Manufacturing</c:v>
                </c:pt>
                <c:pt idx="16">
                  <c:v>Electrical Equipment</c:v>
                </c:pt>
                <c:pt idx="17">
                  <c:v>Aerospace &amp; Defense</c:v>
                </c:pt>
                <c:pt idx="18">
                  <c:v>Cement &amp; Cement Products</c:v>
                </c:pt>
                <c:pt idx="19">
                  <c:v>Insurance</c:v>
                </c:pt>
                <c:pt idx="20">
                  <c:v>Capital Markets</c:v>
                </c:pt>
                <c:pt idx="21">
                  <c:v>Diversified</c:v>
                </c:pt>
                <c:pt idx="22">
                  <c:v>Leisure Services</c:v>
                </c:pt>
                <c:pt idx="23">
                  <c:v>Paper, Forest &amp; Jute Products</c:v>
                </c:pt>
                <c:pt idx="24">
                  <c:v>Realty</c:v>
                </c:pt>
                <c:pt idx="25">
                  <c:v>Auto Components</c:v>
                </c:pt>
                <c:pt idx="26">
                  <c:v>Power</c:v>
                </c:pt>
                <c:pt idx="27">
                  <c:v>Entertainment</c:v>
                </c:pt>
                <c:pt idx="28">
                  <c:v>Diversified Metals</c:v>
                </c:pt>
                <c:pt idx="29">
                  <c:v>IT - Hardware</c:v>
                </c:pt>
                <c:pt idx="30">
                  <c:v>Commercial Services &amp; Supplies</c:v>
                </c:pt>
                <c:pt idx="31">
                  <c:v>Construction</c:v>
                </c:pt>
                <c:pt idx="32">
                  <c:v>Fertilizers &amp; Agrochemicals</c:v>
                </c:pt>
                <c:pt idx="33">
                  <c:v>Textiles &amp; Apparels</c:v>
                </c:pt>
                <c:pt idx="34">
                  <c:v>Telecom - Equipment &amp; Accessories</c:v>
                </c:pt>
              </c:strCache>
            </c:strRef>
          </c:cat>
          <c:val>
            <c:numRef>
              <c:f>'BANDHAN INNOV'!$X$8:$X$42</c:f>
              <c:numCache>
                <c:formatCode>0.00%</c:formatCode>
                <c:ptCount val="35"/>
                <c:pt idx="0">
                  <c:v>0.11288399999999998</c:v>
                </c:pt>
                <c:pt idx="1">
                  <c:v>8.7229000000000001E-2</c:v>
                </c:pt>
                <c:pt idx="2">
                  <c:v>6.1992999999999993E-2</c:v>
                </c:pt>
                <c:pt idx="3">
                  <c:v>5.9010999999999994E-2</c:v>
                </c:pt>
                <c:pt idx="4">
                  <c:v>5.8417999999999998E-2</c:v>
                </c:pt>
                <c:pt idx="5">
                  <c:v>5.7692999999999994E-2</c:v>
                </c:pt>
                <c:pt idx="6">
                  <c:v>5.2012000000000003E-2</c:v>
                </c:pt>
                <c:pt idx="7">
                  <c:v>4.3566000000000001E-2</c:v>
                </c:pt>
                <c:pt idx="8">
                  <c:v>3.7969000000000003E-2</c:v>
                </c:pt>
                <c:pt idx="9">
                  <c:v>3.3432999999999997E-2</c:v>
                </c:pt>
                <c:pt idx="10">
                  <c:v>3.0225000000000002E-2</c:v>
                </c:pt>
                <c:pt idx="11">
                  <c:v>2.9184000000000002E-2</c:v>
                </c:pt>
                <c:pt idx="12">
                  <c:v>2.8336E-2</c:v>
                </c:pt>
                <c:pt idx="13">
                  <c:v>2.7619000000000001E-2</c:v>
                </c:pt>
                <c:pt idx="14">
                  <c:v>2.6187999999999999E-2</c:v>
                </c:pt>
                <c:pt idx="15">
                  <c:v>2.4941999999999999E-2</c:v>
                </c:pt>
                <c:pt idx="16">
                  <c:v>1.9252999999999999E-2</c:v>
                </c:pt>
                <c:pt idx="17">
                  <c:v>1.7079999999999998E-2</c:v>
                </c:pt>
                <c:pt idx="18">
                  <c:v>1.6572999999999997E-2</c:v>
                </c:pt>
                <c:pt idx="19">
                  <c:v>1.5261E-2</c:v>
                </c:pt>
                <c:pt idx="20">
                  <c:v>1.1589E-2</c:v>
                </c:pt>
                <c:pt idx="21">
                  <c:v>1.154E-2</c:v>
                </c:pt>
                <c:pt idx="22">
                  <c:v>1.1394E-2</c:v>
                </c:pt>
                <c:pt idx="23">
                  <c:v>1.0586E-2</c:v>
                </c:pt>
                <c:pt idx="24">
                  <c:v>1.0215E-2</c:v>
                </c:pt>
                <c:pt idx="25">
                  <c:v>9.8649999999999988E-3</c:v>
                </c:pt>
                <c:pt idx="26">
                  <c:v>9.6670000000000002E-3</c:v>
                </c:pt>
                <c:pt idx="27">
                  <c:v>9.2270000000000008E-3</c:v>
                </c:pt>
                <c:pt idx="28">
                  <c:v>8.9940000000000003E-3</c:v>
                </c:pt>
                <c:pt idx="29">
                  <c:v>8.9210000000000001E-3</c:v>
                </c:pt>
                <c:pt idx="30">
                  <c:v>8.7670000000000005E-3</c:v>
                </c:pt>
                <c:pt idx="31">
                  <c:v>7.9729999999999992E-3</c:v>
                </c:pt>
                <c:pt idx="32">
                  <c:v>4.0769999999999999E-3</c:v>
                </c:pt>
                <c:pt idx="33">
                  <c:v>1.789E-3</c:v>
                </c:pt>
                <c:pt idx="34">
                  <c:v>2.1000000000000001E-4</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CYCLE'!$W$8:$W$41</c:f>
              <c:strCache>
                <c:ptCount val="34"/>
                <c:pt idx="0">
                  <c:v>Banks</c:v>
                </c:pt>
                <c:pt idx="1">
                  <c:v>Finance</c:v>
                </c:pt>
                <c:pt idx="2">
                  <c:v>IT - Software</c:v>
                </c:pt>
                <c:pt idx="3">
                  <c:v>Construction</c:v>
                </c:pt>
                <c:pt idx="4">
                  <c:v>Pharmaceuticals &amp; Biotechnology</c:v>
                </c:pt>
                <c:pt idx="5">
                  <c:v>Power</c:v>
                </c:pt>
                <c:pt idx="6">
                  <c:v>Fertilizers &amp; Agrochemicals</c:v>
                </c:pt>
                <c:pt idx="7">
                  <c:v>Retailing</c:v>
                </c:pt>
                <c:pt idx="8">
                  <c:v>Automobiles</c:v>
                </c:pt>
                <c:pt idx="9">
                  <c:v>Auto Components</c:v>
                </c:pt>
                <c:pt idx="10">
                  <c:v>Transport Infrastructure</c:v>
                </c:pt>
                <c:pt idx="11">
                  <c:v>Realty</c:v>
                </c:pt>
                <c:pt idx="12">
                  <c:v>Petroleum Products</c:v>
                </c:pt>
                <c:pt idx="13">
                  <c:v>Industrial Products</c:v>
                </c:pt>
                <c:pt idx="14">
                  <c:v>Healthcare Services</c:v>
                </c:pt>
                <c:pt idx="15">
                  <c:v>Chemicals &amp; Petrochemicals</c:v>
                </c:pt>
                <c:pt idx="16">
                  <c:v>Capital Markets</c:v>
                </c:pt>
                <c:pt idx="17">
                  <c:v>Cement &amp; Cement Products</c:v>
                </c:pt>
                <c:pt idx="18">
                  <c:v>Industrial Manufacturing</c:v>
                </c:pt>
                <c:pt idx="19">
                  <c:v>Transport Services</c:v>
                </c:pt>
                <c:pt idx="20">
                  <c:v>Ferrous Metals</c:v>
                </c:pt>
                <c:pt idx="21">
                  <c:v>Gas</c:v>
                </c:pt>
                <c:pt idx="22">
                  <c:v>Insurance</c:v>
                </c:pt>
                <c:pt idx="23">
                  <c:v>Aerospace &amp; Defense</c:v>
                </c:pt>
                <c:pt idx="24">
                  <c:v>Personal Products</c:v>
                </c:pt>
                <c:pt idx="25">
                  <c:v>Agricultural, Commercial &amp; Construction Vehicles</c:v>
                </c:pt>
                <c:pt idx="26">
                  <c:v>IT - Services</c:v>
                </c:pt>
                <c:pt idx="27">
                  <c:v>Financial Technology (Fintech)</c:v>
                </c:pt>
                <c:pt idx="28">
                  <c:v>Textiles &amp; Apparels</c:v>
                </c:pt>
                <c:pt idx="29">
                  <c:v>Beverages</c:v>
                </c:pt>
                <c:pt idx="30">
                  <c:v>Food Products</c:v>
                </c:pt>
                <c:pt idx="31">
                  <c:v>Electrical Equipment</c:v>
                </c:pt>
                <c:pt idx="32">
                  <c:v>Commercial Services &amp; Supplies</c:v>
                </c:pt>
                <c:pt idx="33">
                  <c:v>Consumer Durables</c:v>
                </c:pt>
              </c:strCache>
            </c:strRef>
          </c:cat>
          <c:val>
            <c:numRef>
              <c:f>'BANDHAN BUSINESS CYCLE'!$X$9:$X$41</c:f>
              <c:numCache>
                <c:formatCode>0.00%</c:formatCode>
                <c:ptCount val="33"/>
                <c:pt idx="0">
                  <c:v>0.10493000000000001</c:v>
                </c:pt>
                <c:pt idx="1">
                  <c:v>6.5225000000000005E-2</c:v>
                </c:pt>
                <c:pt idx="2">
                  <c:v>6.2684999999999991E-2</c:v>
                </c:pt>
                <c:pt idx="3">
                  <c:v>6.1686999999999992E-2</c:v>
                </c:pt>
                <c:pt idx="4">
                  <c:v>4.5286E-2</c:v>
                </c:pt>
                <c:pt idx="5">
                  <c:v>4.4976999999999996E-2</c:v>
                </c:pt>
                <c:pt idx="6">
                  <c:v>3.5191E-2</c:v>
                </c:pt>
                <c:pt idx="7">
                  <c:v>2.9574E-2</c:v>
                </c:pt>
                <c:pt idx="8">
                  <c:v>2.9194999999999999E-2</c:v>
                </c:pt>
                <c:pt idx="9">
                  <c:v>2.6610000000000002E-2</c:v>
                </c:pt>
                <c:pt idx="10">
                  <c:v>2.3420000000000003E-2</c:v>
                </c:pt>
                <c:pt idx="11">
                  <c:v>2.1515000000000003E-2</c:v>
                </c:pt>
                <c:pt idx="12">
                  <c:v>1.695E-2</c:v>
                </c:pt>
                <c:pt idx="13">
                  <c:v>1.6084999999999999E-2</c:v>
                </c:pt>
                <c:pt idx="14">
                  <c:v>1.5302E-2</c:v>
                </c:pt>
                <c:pt idx="15">
                  <c:v>1.4765E-2</c:v>
                </c:pt>
                <c:pt idx="16">
                  <c:v>1.2957E-2</c:v>
                </c:pt>
                <c:pt idx="17">
                  <c:v>1.2676E-2</c:v>
                </c:pt>
                <c:pt idx="18">
                  <c:v>1.2331E-2</c:v>
                </c:pt>
                <c:pt idx="19">
                  <c:v>1.1722E-2</c:v>
                </c:pt>
                <c:pt idx="20">
                  <c:v>1.1019999999999999E-2</c:v>
                </c:pt>
                <c:pt idx="21">
                  <c:v>1.0009000000000001E-2</c:v>
                </c:pt>
                <c:pt idx="22">
                  <c:v>9.9869999999999994E-3</c:v>
                </c:pt>
                <c:pt idx="23">
                  <c:v>8.4849999999999995E-3</c:v>
                </c:pt>
                <c:pt idx="24">
                  <c:v>6.5409999999999999E-3</c:v>
                </c:pt>
                <c:pt idx="25">
                  <c:v>6.4229999999999999E-3</c:v>
                </c:pt>
                <c:pt idx="26">
                  <c:v>5.9919999999999999E-3</c:v>
                </c:pt>
                <c:pt idx="27">
                  <c:v>4.9560000000000003E-3</c:v>
                </c:pt>
                <c:pt idx="28">
                  <c:v>4.6309999999999997E-3</c:v>
                </c:pt>
                <c:pt idx="29">
                  <c:v>4.4149999999999997E-3</c:v>
                </c:pt>
                <c:pt idx="30">
                  <c:v>3.8479999999999999E-3</c:v>
                </c:pt>
                <c:pt idx="31">
                  <c:v>3.7699999999999999E-3</c:v>
                </c:pt>
                <c:pt idx="32">
                  <c:v>1.549E-3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'BANDHAN-ELSS'!$W$8:$W$36</c:f>
              <c:strCache>
                <c:ptCount val="29"/>
                <c:pt idx="0">
                  <c:v>Banks</c:v>
                </c:pt>
                <c:pt idx="1">
                  <c:v>IT - Software</c:v>
                </c:pt>
                <c:pt idx="2">
                  <c:v>Pharmaceuticals &amp; Biotechnology</c:v>
                </c:pt>
                <c:pt idx="3">
                  <c:v>Petroleum Products</c:v>
                </c:pt>
                <c:pt idx="4">
                  <c:v>Finance</c:v>
                </c:pt>
                <c:pt idx="5">
                  <c:v>Construction</c:v>
                </c:pt>
                <c:pt idx="6">
                  <c:v>Insurance</c:v>
                </c:pt>
                <c:pt idx="7">
                  <c:v>Automobiles</c:v>
                </c:pt>
                <c:pt idx="8">
                  <c:v>Auto Components</c:v>
                </c:pt>
                <c:pt idx="9">
                  <c:v>Beverages</c:v>
                </c:pt>
                <c:pt idx="10">
                  <c:v>Consumer Durables</c:v>
                </c:pt>
                <c:pt idx="11">
                  <c:v>Telecom - Services</c:v>
                </c:pt>
                <c:pt idx="12">
                  <c:v>Ferrous Metals</c:v>
                </c:pt>
                <c:pt idx="13">
                  <c:v>Food Products</c:v>
                </c:pt>
                <c:pt idx="14">
                  <c:v>Retailing</c:v>
                </c:pt>
                <c:pt idx="15">
                  <c:v>Power</c:v>
                </c:pt>
                <c:pt idx="16">
                  <c:v>Cement &amp; Cement Products</c:v>
                </c:pt>
                <c:pt idx="17">
                  <c:v>Electrical Equipment</c:v>
                </c:pt>
                <c:pt idx="18">
                  <c:v>Diversified FMCG</c:v>
                </c:pt>
                <c:pt idx="19">
                  <c:v>Realty</c:v>
                </c:pt>
                <c:pt idx="20">
                  <c:v>Leisure Services</c:v>
                </c:pt>
                <c:pt idx="21">
                  <c:v>Diversified Metals</c:v>
                </c:pt>
                <c:pt idx="22">
                  <c:v>Fertilizers &amp; Agrochemicals</c:v>
                </c:pt>
                <c:pt idx="23">
                  <c:v>Personal Products</c:v>
                </c:pt>
                <c:pt idx="24">
                  <c:v>Oil</c:v>
                </c:pt>
                <c:pt idx="25">
                  <c:v>Transport Services</c:v>
                </c:pt>
                <c:pt idx="26">
                  <c:v>Telecom - Equipment &amp; Accessories</c:v>
                </c:pt>
                <c:pt idx="27">
                  <c:v>Chemicals &amp; Petrochemicals</c:v>
                </c:pt>
                <c:pt idx="28">
                  <c:v>Industrial Products</c:v>
                </c:pt>
              </c:strCache>
            </c:strRef>
          </c:cat>
          <c:val>
            <c:numRef>
              <c:f>'BANDHAN-ELSS'!$X$8:$X$36</c:f>
              <c:numCache>
                <c:formatCode>0.00%</c:formatCode>
                <c:ptCount val="29"/>
                <c:pt idx="0">
                  <c:v>0.21413500000000002</c:v>
                </c:pt>
                <c:pt idx="1">
                  <c:v>8.8599999999999998E-2</c:v>
                </c:pt>
                <c:pt idx="2">
                  <c:v>7.1307000000000009E-2</c:v>
                </c:pt>
                <c:pt idx="3">
                  <c:v>5.5419000000000003E-2</c:v>
                </c:pt>
                <c:pt idx="4">
                  <c:v>4.7746999999999998E-2</c:v>
                </c:pt>
                <c:pt idx="5">
                  <c:v>4.0423000000000008E-2</c:v>
                </c:pt>
                <c:pt idx="6">
                  <c:v>3.7698999999999996E-2</c:v>
                </c:pt>
                <c:pt idx="7">
                  <c:v>3.4981999999999999E-2</c:v>
                </c:pt>
                <c:pt idx="8">
                  <c:v>2.802E-2</c:v>
                </c:pt>
                <c:pt idx="9">
                  <c:v>2.6402999999999999E-2</c:v>
                </c:pt>
                <c:pt idx="10">
                  <c:v>2.6172999999999998E-2</c:v>
                </c:pt>
                <c:pt idx="11">
                  <c:v>2.4566000000000001E-2</c:v>
                </c:pt>
                <c:pt idx="12">
                  <c:v>2.4468E-2</c:v>
                </c:pt>
                <c:pt idx="13">
                  <c:v>2.1852999999999997E-2</c:v>
                </c:pt>
                <c:pt idx="14">
                  <c:v>2.1055999999999998E-2</c:v>
                </c:pt>
                <c:pt idx="15">
                  <c:v>2.0493999999999998E-2</c:v>
                </c:pt>
                <c:pt idx="16">
                  <c:v>1.9790000000000002E-2</c:v>
                </c:pt>
                <c:pt idx="17">
                  <c:v>1.822E-2</c:v>
                </c:pt>
                <c:pt idx="18">
                  <c:v>1.6899000000000001E-2</c:v>
                </c:pt>
                <c:pt idx="19">
                  <c:v>1.5613E-2</c:v>
                </c:pt>
                <c:pt idx="20">
                  <c:v>1.4577E-2</c:v>
                </c:pt>
                <c:pt idx="21">
                  <c:v>1.1995E-2</c:v>
                </c:pt>
                <c:pt idx="22">
                  <c:v>1.136E-2</c:v>
                </c:pt>
                <c:pt idx="23">
                  <c:v>1.1205E-2</c:v>
                </c:pt>
                <c:pt idx="24">
                  <c:v>9.9170000000000005E-3</c:v>
                </c:pt>
                <c:pt idx="25">
                  <c:v>8.7620000000000007E-3</c:v>
                </c:pt>
                <c:pt idx="26">
                  <c:v>8.2070000000000008E-3</c:v>
                </c:pt>
                <c:pt idx="27">
                  <c:v>4.9179999999999996E-3</c:v>
                </c:pt>
                <c:pt idx="28">
                  <c:v>3.2810000000000001E-3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0.66741499999999998</c:v>
                </c:pt>
                <c:pt idx="1">
                  <c:v>0.33258500000000002</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Pharmaceuticals &amp; Biotechnology</c:v>
                </c:pt>
                <c:pt idx="3">
                  <c:v>Retailing</c:v>
                </c:pt>
                <c:pt idx="4">
                  <c:v>Beverages</c:v>
                </c:pt>
                <c:pt idx="5">
                  <c:v>Healthcare Services</c:v>
                </c:pt>
                <c:pt idx="6">
                  <c:v>Finance</c:v>
                </c:pt>
                <c:pt idx="7">
                  <c:v>Construction</c:v>
                </c:pt>
                <c:pt idx="8">
                  <c:v>Petroleum Products</c:v>
                </c:pt>
                <c:pt idx="9">
                  <c:v>Fertilizers &amp; Agrochemicals</c:v>
                </c:pt>
                <c:pt idx="10">
                  <c:v>Financial Technology (Fintech)</c:v>
                </c:pt>
                <c:pt idx="11">
                  <c:v>Telecom - Services</c:v>
                </c:pt>
                <c:pt idx="12">
                  <c:v>Transport Services</c:v>
                </c:pt>
                <c:pt idx="13">
                  <c:v>Automobiles</c:v>
                </c:pt>
                <c:pt idx="14">
                  <c:v>Realty</c:v>
                </c:pt>
                <c:pt idx="15">
                  <c:v>Diversified Metals</c:v>
                </c:pt>
              </c:strCache>
            </c:strRef>
          </c:cat>
          <c:val>
            <c:numRef>
              <c:f>'BANDHAN BAF'!$X$8:$X$23</c:f>
              <c:numCache>
                <c:formatCode>0.00%</c:formatCode>
                <c:ptCount val="16"/>
                <c:pt idx="0">
                  <c:v>9.4796999999999992E-2</c:v>
                </c:pt>
                <c:pt idx="1">
                  <c:v>5.0029999999999991E-2</c:v>
                </c:pt>
                <c:pt idx="2">
                  <c:v>3.8762000000000005E-2</c:v>
                </c:pt>
                <c:pt idx="3">
                  <c:v>3.3153000000000002E-2</c:v>
                </c:pt>
                <c:pt idx="4">
                  <c:v>2.5824999999999994E-2</c:v>
                </c:pt>
                <c:pt idx="5">
                  <c:v>2.5124E-2</c:v>
                </c:pt>
                <c:pt idx="6">
                  <c:v>2.4810999999999982E-2</c:v>
                </c:pt>
                <c:pt idx="7">
                  <c:v>2.2324E-2</c:v>
                </c:pt>
                <c:pt idx="8">
                  <c:v>2.1075999999999998E-2</c:v>
                </c:pt>
                <c:pt idx="9">
                  <c:v>1.6955000000000001E-2</c:v>
                </c:pt>
                <c:pt idx="10">
                  <c:v>1.5261E-2</c:v>
                </c:pt>
                <c:pt idx="11">
                  <c:v>1.4881999999999996E-2</c:v>
                </c:pt>
                <c:pt idx="12">
                  <c:v>1.3583999999999999E-2</c:v>
                </c:pt>
                <c:pt idx="13">
                  <c:v>1.3028999999999999E-2</c:v>
                </c:pt>
                <c:pt idx="14">
                  <c:v>1.2592000000000001E-2</c:v>
                </c:pt>
                <c:pt idx="15">
                  <c:v>1.1753E-2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BAF'!$W$8:$W$40</c:f>
              <c:strCache>
                <c:ptCount val="33"/>
                <c:pt idx="0">
                  <c:v>Banks</c:v>
                </c:pt>
                <c:pt idx="1">
                  <c:v>IT - Software</c:v>
                </c:pt>
                <c:pt idx="2">
                  <c:v>Pharmaceuticals &amp; Biotechnology</c:v>
                </c:pt>
                <c:pt idx="3">
                  <c:v>Retailing</c:v>
                </c:pt>
                <c:pt idx="4">
                  <c:v>Beverages</c:v>
                </c:pt>
                <c:pt idx="5">
                  <c:v>Healthcare Services</c:v>
                </c:pt>
                <c:pt idx="6">
                  <c:v>Finance</c:v>
                </c:pt>
                <c:pt idx="7">
                  <c:v>Construction</c:v>
                </c:pt>
                <c:pt idx="8">
                  <c:v>Petroleum Products</c:v>
                </c:pt>
                <c:pt idx="9">
                  <c:v>Fertilizers &amp; Agrochemicals</c:v>
                </c:pt>
                <c:pt idx="10">
                  <c:v>Financial Technology (Fintech)</c:v>
                </c:pt>
                <c:pt idx="11">
                  <c:v>Telecom - Services</c:v>
                </c:pt>
                <c:pt idx="12">
                  <c:v>Transport Services</c:v>
                </c:pt>
                <c:pt idx="13">
                  <c:v>Automobiles</c:v>
                </c:pt>
                <c:pt idx="14">
                  <c:v>Realty</c:v>
                </c:pt>
                <c:pt idx="15">
                  <c:v>Diversified Metals</c:v>
                </c:pt>
                <c:pt idx="16">
                  <c:v>Cement &amp; Cement Products</c:v>
                </c:pt>
                <c:pt idx="17">
                  <c:v>Auto Components</c:v>
                </c:pt>
                <c:pt idx="18">
                  <c:v>Capital Markets</c:v>
                </c:pt>
                <c:pt idx="19">
                  <c:v>Power</c:v>
                </c:pt>
                <c:pt idx="20">
                  <c:v>Aerospace &amp; Defense</c:v>
                </c:pt>
                <c:pt idx="21">
                  <c:v>Insurance</c:v>
                </c:pt>
                <c:pt idx="22">
                  <c:v>Gas</c:v>
                </c:pt>
                <c:pt idx="23">
                  <c:v>Leisure Services</c:v>
                </c:pt>
                <c:pt idx="24">
                  <c:v>Minerals &amp; Mining</c:v>
                </c:pt>
                <c:pt idx="25">
                  <c:v>Industrial Manufacturing</c:v>
                </c:pt>
                <c:pt idx="26">
                  <c:v>Diversified FMCG</c:v>
                </c:pt>
                <c:pt idx="27">
                  <c:v>Electrical Equipment</c:v>
                </c:pt>
                <c:pt idx="28">
                  <c:v>Chemicals &amp; Petrochemicals</c:v>
                </c:pt>
                <c:pt idx="29">
                  <c:v>Textiles &amp; Apparels</c:v>
                </c:pt>
                <c:pt idx="30">
                  <c:v>Entertainment</c:v>
                </c:pt>
                <c:pt idx="31">
                  <c:v>Personal Products</c:v>
                </c:pt>
                <c:pt idx="32">
                  <c:v>Ferrous Metals</c:v>
                </c:pt>
              </c:strCache>
            </c:strRef>
          </c:cat>
          <c:val>
            <c:numRef>
              <c:f>'BANDHAN BAF'!$X$8:$X$40</c:f>
              <c:numCache>
                <c:formatCode>0.00%</c:formatCode>
                <c:ptCount val="33"/>
                <c:pt idx="0">
                  <c:v>9.4796999999999992E-2</c:v>
                </c:pt>
                <c:pt idx="1">
                  <c:v>5.0029999999999991E-2</c:v>
                </c:pt>
                <c:pt idx="2">
                  <c:v>3.8762000000000005E-2</c:v>
                </c:pt>
                <c:pt idx="3">
                  <c:v>3.3153000000000002E-2</c:v>
                </c:pt>
                <c:pt idx="4">
                  <c:v>2.5824999999999994E-2</c:v>
                </c:pt>
                <c:pt idx="5">
                  <c:v>2.5124E-2</c:v>
                </c:pt>
                <c:pt idx="6">
                  <c:v>2.4810999999999982E-2</c:v>
                </c:pt>
                <c:pt idx="7">
                  <c:v>2.2324E-2</c:v>
                </c:pt>
                <c:pt idx="8">
                  <c:v>2.1075999999999998E-2</c:v>
                </c:pt>
                <c:pt idx="9">
                  <c:v>1.6955000000000001E-2</c:v>
                </c:pt>
                <c:pt idx="10">
                  <c:v>1.5261E-2</c:v>
                </c:pt>
                <c:pt idx="11">
                  <c:v>1.4881999999999996E-2</c:v>
                </c:pt>
                <c:pt idx="12">
                  <c:v>1.3583999999999999E-2</c:v>
                </c:pt>
                <c:pt idx="13">
                  <c:v>1.3028999999999999E-2</c:v>
                </c:pt>
                <c:pt idx="14">
                  <c:v>1.2592000000000001E-2</c:v>
                </c:pt>
                <c:pt idx="15">
                  <c:v>1.1753E-2</c:v>
                </c:pt>
                <c:pt idx="16">
                  <c:v>1.0968E-2</c:v>
                </c:pt>
                <c:pt idx="17">
                  <c:v>7.3340000000000002E-3</c:v>
                </c:pt>
                <c:pt idx="18">
                  <c:v>6.8710000000000004E-3</c:v>
                </c:pt>
                <c:pt idx="19">
                  <c:v>6.6639999999999998E-3</c:v>
                </c:pt>
                <c:pt idx="20">
                  <c:v>6.234E-3</c:v>
                </c:pt>
                <c:pt idx="21">
                  <c:v>5.904000000000003E-3</c:v>
                </c:pt>
                <c:pt idx="22">
                  <c:v>4.8459999999999996E-3</c:v>
                </c:pt>
                <c:pt idx="23">
                  <c:v>4.0629999999999998E-3</c:v>
                </c:pt>
                <c:pt idx="24">
                  <c:v>3.4420000000000002E-3</c:v>
                </c:pt>
                <c:pt idx="25">
                  <c:v>3.4420000000000002E-3</c:v>
                </c:pt>
                <c:pt idx="26">
                  <c:v>2.7289999999999988E-3</c:v>
                </c:pt>
                <c:pt idx="27">
                  <c:v>2.6779999999999998E-3</c:v>
                </c:pt>
                <c:pt idx="28">
                  <c:v>1.4230000000000002E-3</c:v>
                </c:pt>
                <c:pt idx="29">
                  <c:v>1.2700000000000001E-3</c:v>
                </c:pt>
                <c:pt idx="30">
                  <c:v>9.3700000000000001E-4</c:v>
                </c:pt>
                <c:pt idx="31">
                  <c:v>-8.9999999999985925E-6</c:v>
                </c:pt>
                <c:pt idx="32">
                  <c:v>-4.4000000000000636E-5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19179120823843213"/>
                  <c:y val="-2.60284736105761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0.10695600000000001</c:v>
                </c:pt>
                <c:pt idx="1">
                  <c:v>2.3408000000000026E-2</c:v>
                </c:pt>
                <c:pt idx="3">
                  <c:v>7.8964000000000006E-2</c:v>
                </c:pt>
                <c:pt idx="5">
                  <c:v>9.6237000000000003E-2</c:v>
                </c:pt>
                <c:pt idx="6">
                  <c:v>5.6658E-2</c:v>
                </c:pt>
                <c:pt idx="7">
                  <c:v>0.57888200000000001</c:v>
                </c:pt>
                <c:pt idx="8">
                  <c:v>8.6499999999999999E-4</c:v>
                </c:pt>
                <c:pt idx="9" formatCode="#0.00%;\(#0.00%\)">
                  <c:v>5.8029999999999998E-2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9.090975612006387E-2"/>
                  <c:y val="0.17133211586574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0.15757691060811072"/>
                  <c:y val="4.28761342160119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0.27946100000000001</c:v>
                </c:pt>
                <c:pt idx="1">
                  <c:v>0.22473899999999999</c:v>
                </c:pt>
                <c:pt idx="2">
                  <c:v>3.4159000000000002E-2</c:v>
                </c:pt>
                <c:pt idx="3">
                  <c:v>0.45819799999999999</c:v>
                </c:pt>
                <c:pt idx="5">
                  <c:v>3.4429999999999999E-3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0.81618100000000005</c:v>
                </c:pt>
                <c:pt idx="1">
                  <c:v>0.14876400000000001</c:v>
                </c:pt>
                <c:pt idx="2">
                  <c:v>3.5055000000000003E-2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832326532959887"/>
          <c:y val="0.18140857356445786"/>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0.95656400000000008</c:v>
                </c:pt>
                <c:pt idx="1">
                  <c:v>3.5761999999999995E-2</c:v>
                </c:pt>
                <c:pt idx="2">
                  <c:v>7.6740000000000003E-3</c:v>
                </c:pt>
              </c:numCache>
            </c:numRef>
          </c:val>
          <c:extLst>
            <c:ext xmlns:c15="http://schemas.microsoft.com/office/drawing/2012/chart" uri="{02D57815-91ED-43cb-92C2-25804820EDAC}">
              <c15:datalabelsRange>
                <c15:f>('BANDHAN-HEF'!$G$10,'BANDHAN-HEF'!$I$10)</c15:f>
                <c15:dlblRangeCache>
                  <c:ptCount val="2"/>
                  <c:pt idx="0">
                    <c:v>AA Equivalent</c:v>
                  </c:pt>
                  <c:pt idx="1">
                    <c:v>0.77%</c:v>
                  </c:pt>
                </c15:dlblRangeCache>
              </c15:datalabelsRange>
            </c:ext>
            <c:ext xmlns:c16="http://schemas.microsoft.com/office/drawing/2014/chart" uri="{C3380CC4-5D6E-409C-BE32-E72D297353CC}">
              <c16:uniqueId val="{00000003-C3CC-4BC3-8596-62760DD930D0}"/>
            </c:ext>
          </c:extLst>
        </c:ser>
        <c:ser>
          <c:idx val="1"/>
          <c:order val="1"/>
          <c:cat>
            <c:strRef>
              <c:f>'BANDHAN-HEF'!$G$8:$G$10</c:f>
              <c:strCache>
                <c:ptCount val="3"/>
                <c:pt idx="0">
                  <c:v>AAA Equivalent</c:v>
                </c:pt>
                <c:pt idx="1">
                  <c:v>AA+ Equivalent</c:v>
                </c:pt>
                <c:pt idx="2">
                  <c:v>AA Equivalent</c:v>
                </c:pt>
              </c:strCache>
            </c:strRef>
          </c:cat>
          <c:val>
            <c:numRef>
              <c:f>'BANDHAN-MCAP'!$C$4</c:f>
              <c:numCache>
                <c:formatCode>General</c:formatCode>
                <c:ptCount val="1"/>
                <c:pt idx="0">
                  <c:v>0</c:v>
                </c:pt>
              </c:numCache>
            </c:numRef>
          </c:val>
          <c:extLst>
            <c:ext xmlns:c16="http://schemas.microsoft.com/office/drawing/2014/chart" uri="{C3380CC4-5D6E-409C-BE32-E72D297353CC}">
              <c16:uniqueId val="{00000000-9F85-46EC-A9F3-E41E9EB19A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72107495966311497"/>
                  <c:y val="0.106351088466882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'BANDHAN-HEF'!$J$9:$J$14</c:f>
              <c:strCache>
                <c:ptCount val="6"/>
                <c:pt idx="0">
                  <c:v>Corporate Bond</c:v>
                </c:pt>
                <c:pt idx="1">
                  <c:v>Net Equity</c:v>
                </c:pt>
                <c:pt idx="3">
                  <c:v>Net Current Asset</c:v>
                </c:pt>
                <c:pt idx="4">
                  <c:v>Government Bond</c:v>
                </c:pt>
                <c:pt idx="5">
                  <c:v>State Government Bond</c:v>
                </c:pt>
              </c:strCache>
            </c:strRef>
          </c:cat>
          <c:val>
            <c:numRef>
              <c:f>'BANDHAN-HEF'!$K$9:$K$14</c:f>
              <c:numCache>
                <c:formatCode>0.00%</c:formatCode>
                <c:ptCount val="6"/>
                <c:pt idx="0">
                  <c:v>0.10434300000000001</c:v>
                </c:pt>
                <c:pt idx="1">
                  <c:v>0.75950000000000017</c:v>
                </c:pt>
                <c:pt idx="3">
                  <c:v>1.6793000000000002E-2</c:v>
                </c:pt>
                <c:pt idx="4">
                  <c:v>0.101087</c:v>
                </c:pt>
                <c:pt idx="5">
                  <c:v>1.8277000000000002E-2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Telecom - Services</c:v>
                </c:pt>
                <c:pt idx="2">
                  <c:v>Automobiles</c:v>
                </c:pt>
                <c:pt idx="3">
                  <c:v>IT - Software</c:v>
                </c:pt>
                <c:pt idx="4">
                  <c:v>Retailing</c:v>
                </c:pt>
                <c:pt idx="5">
                  <c:v>Finance</c:v>
                </c:pt>
                <c:pt idx="6">
                  <c:v>Petroleum Products</c:v>
                </c:pt>
                <c:pt idx="7">
                  <c:v>Pharmaceuticals &amp; Biotechnology</c:v>
                </c:pt>
                <c:pt idx="8">
                  <c:v>Diversified FMCG</c:v>
                </c:pt>
                <c:pt idx="9">
                  <c:v>Ferrous Metals</c:v>
                </c:pt>
                <c:pt idx="10">
                  <c:v>Electrical Equipment</c:v>
                </c:pt>
                <c:pt idx="11">
                  <c:v>Insurance</c:v>
                </c:pt>
                <c:pt idx="12">
                  <c:v>Beverages</c:v>
                </c:pt>
                <c:pt idx="13">
                  <c:v>Construction</c:v>
                </c:pt>
                <c:pt idx="14">
                  <c:v>Auto Components</c:v>
                </c:pt>
                <c:pt idx="15">
                  <c:v>Transport Services</c:v>
                </c:pt>
                <c:pt idx="16">
                  <c:v>Chemicals &amp; Petrochemicals</c:v>
                </c:pt>
                <c:pt idx="17">
                  <c:v>Power</c:v>
                </c:pt>
                <c:pt idx="18">
                  <c:v>Consumable Fuels</c:v>
                </c:pt>
                <c:pt idx="19">
                  <c:v>Non - Ferrous Metals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8.5029999999999994E-2</c:v>
                </c:pt>
                <c:pt idx="1">
                  <c:v>5.2019000000000003E-2</c:v>
                </c:pt>
                <c:pt idx="2">
                  <c:v>4.0396999999999995E-2</c:v>
                </c:pt>
                <c:pt idx="3">
                  <c:v>3.7356999999999987E-2</c:v>
                </c:pt>
                <c:pt idx="4">
                  <c:v>3.6574000000000002E-2</c:v>
                </c:pt>
                <c:pt idx="5">
                  <c:v>3.3800999999999998E-2</c:v>
                </c:pt>
                <c:pt idx="6">
                  <c:v>3.0105999999999997E-2</c:v>
                </c:pt>
                <c:pt idx="7">
                  <c:v>2.069E-2</c:v>
                </c:pt>
                <c:pt idx="8">
                  <c:v>1.9671000000000001E-2</c:v>
                </c:pt>
                <c:pt idx="9">
                  <c:v>1.9585999999999999E-2</c:v>
                </c:pt>
                <c:pt idx="10">
                  <c:v>1.7101000000000002E-2</c:v>
                </c:pt>
                <c:pt idx="11">
                  <c:v>1.4382000000000001E-2</c:v>
                </c:pt>
                <c:pt idx="12">
                  <c:v>1.4082000000000001E-2</c:v>
                </c:pt>
                <c:pt idx="13">
                  <c:v>1.3770000000000001E-2</c:v>
                </c:pt>
                <c:pt idx="14">
                  <c:v>1.3603000000000001E-2</c:v>
                </c:pt>
                <c:pt idx="15">
                  <c:v>1.353E-2</c:v>
                </c:pt>
                <c:pt idx="16">
                  <c:v>1.2438999999999999E-2</c:v>
                </c:pt>
                <c:pt idx="17">
                  <c:v>1.2174000000000001E-2</c:v>
                </c:pt>
                <c:pt idx="18">
                  <c:v>9.9860000000000001E-3</c:v>
                </c:pt>
                <c:pt idx="19">
                  <c:v>9.7979999999999994E-3</c:v>
                </c:pt>
                <c:pt idx="20">
                  <c:v>8.4340000000000005E-3</c:v>
                </c:pt>
                <c:pt idx="21">
                  <c:v>8.3100000000000014E-3</c:v>
                </c:pt>
                <c:pt idx="22">
                  <c:v>6.0010000000000003E-3</c:v>
                </c:pt>
                <c:pt idx="23">
                  <c:v>4.5009999999999998E-3</c:v>
                </c:pt>
                <c:pt idx="24">
                  <c:v>3.8300000000000001E-3</c:v>
                </c:pt>
                <c:pt idx="25">
                  <c:v>3.0409999999999999E-3</c:v>
                </c:pt>
                <c:pt idx="26">
                  <c:v>1.6019999999999999E-3</c:v>
                </c:pt>
                <c:pt idx="27">
                  <c:v>8.9700000000000001E-4</c:v>
                </c:pt>
                <c:pt idx="28">
                  <c:v>6.3400000000000001E-4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Pharmaceuticals &amp; Biotechnology</c:v>
                </c:pt>
                <c:pt idx="2">
                  <c:v>Petroleum Products</c:v>
                </c:pt>
                <c:pt idx="3">
                  <c:v>Finance</c:v>
                </c:pt>
                <c:pt idx="4">
                  <c:v>IT - Software</c:v>
                </c:pt>
                <c:pt idx="5">
                  <c:v>Retailing</c:v>
                </c:pt>
                <c:pt idx="6">
                  <c:v>Insurance</c:v>
                </c:pt>
                <c:pt idx="7">
                  <c:v>Automobiles</c:v>
                </c:pt>
                <c:pt idx="8">
                  <c:v>Consumer Durables</c:v>
                </c:pt>
                <c:pt idx="9">
                  <c:v>Diversified FMCG</c:v>
                </c:pt>
                <c:pt idx="10">
                  <c:v>Construction</c:v>
                </c:pt>
                <c:pt idx="11">
                  <c:v>Realty</c:v>
                </c:pt>
                <c:pt idx="12">
                  <c:v>Industrial Products</c:v>
                </c:pt>
                <c:pt idx="13">
                  <c:v>Commercial Services &amp; Supplies</c:v>
                </c:pt>
                <c:pt idx="14">
                  <c:v>Oil</c:v>
                </c:pt>
                <c:pt idx="15">
                  <c:v>Fertilizers &amp; Agrochemicals</c:v>
                </c:pt>
                <c:pt idx="16">
                  <c:v>Food Products</c:v>
                </c:pt>
                <c:pt idx="17">
                  <c:v>Cement &amp; Cement Products</c:v>
                </c:pt>
                <c:pt idx="18">
                  <c:v>Healthcare Services</c:v>
                </c:pt>
                <c:pt idx="19">
                  <c:v>Leisure Services</c:v>
                </c:pt>
                <c:pt idx="20">
                  <c:v>Ferrous Metals</c:v>
                </c:pt>
                <c:pt idx="21">
                  <c:v>Personal Products</c:v>
                </c:pt>
                <c:pt idx="22">
                  <c:v>Electrical Equipment</c:v>
                </c:pt>
                <c:pt idx="23">
                  <c:v>Telecom - Services</c:v>
                </c:pt>
                <c:pt idx="24">
                  <c:v>Minerals &amp; Mining</c:v>
                </c:pt>
                <c:pt idx="25">
                  <c:v>Transport Services</c:v>
                </c:pt>
                <c:pt idx="26">
                  <c:v>Agricultural, Commercial &amp; Construction Vehicles</c:v>
                </c:pt>
                <c:pt idx="27">
                  <c:v>Telecom - Equipment &amp; Accessories</c:v>
                </c:pt>
                <c:pt idx="28">
                  <c:v>Industrial Manufacturing</c:v>
                </c:pt>
                <c:pt idx="29">
                  <c:v>Auto Components</c:v>
                </c:pt>
                <c:pt idx="30">
                  <c:v>Gas</c:v>
                </c:pt>
                <c:pt idx="31">
                  <c:v>Textiles &amp; Apparels</c:v>
                </c:pt>
                <c:pt idx="32">
                  <c:v>Non - Ferrous Metals</c:v>
                </c:pt>
                <c:pt idx="33">
                  <c:v>Diversified Metals</c:v>
                </c:pt>
                <c:pt idx="34">
                  <c:v>Beverages</c:v>
                </c:pt>
                <c:pt idx="35">
                  <c:v>IT - Services</c:v>
                </c:pt>
                <c:pt idx="36">
                  <c:v>Diversified</c:v>
                </c:pt>
                <c:pt idx="37">
                  <c:v>Agricultural Food &amp; other Products</c:v>
                </c:pt>
                <c:pt idx="38">
                  <c:v>IT - Hardware</c:v>
                </c:pt>
                <c:pt idx="39">
                  <c:v>Power</c:v>
                </c:pt>
              </c:strCache>
            </c:strRef>
          </c:cat>
          <c:val>
            <c:numRef>
              <c:f>'BANDHAN MAF'!$Q$7:$Q$46</c:f>
              <c:numCache>
                <c:formatCode>0.00%</c:formatCode>
                <c:ptCount val="40"/>
                <c:pt idx="0">
                  <c:v>9.0909000000000031E-2</c:v>
                </c:pt>
                <c:pt idx="1">
                  <c:v>3.7840000000000006E-2</c:v>
                </c:pt>
                <c:pt idx="2">
                  <c:v>3.2035999999999995E-2</c:v>
                </c:pt>
                <c:pt idx="3">
                  <c:v>3.1865999999999998E-2</c:v>
                </c:pt>
                <c:pt idx="4">
                  <c:v>3.1695999999999995E-2</c:v>
                </c:pt>
                <c:pt idx="5">
                  <c:v>2.5901E-2</c:v>
                </c:pt>
                <c:pt idx="6">
                  <c:v>2.0816999999999999E-2</c:v>
                </c:pt>
                <c:pt idx="7">
                  <c:v>2.0449000000000005E-2</c:v>
                </c:pt>
                <c:pt idx="8">
                  <c:v>1.5351E-2</c:v>
                </c:pt>
                <c:pt idx="9">
                  <c:v>1.5014E-2</c:v>
                </c:pt>
                <c:pt idx="10">
                  <c:v>1.4759000000000001E-2</c:v>
                </c:pt>
                <c:pt idx="11">
                  <c:v>1.3517000000000001E-2</c:v>
                </c:pt>
                <c:pt idx="12">
                  <c:v>1.1077E-2</c:v>
                </c:pt>
                <c:pt idx="13">
                  <c:v>9.9399999999999992E-3</c:v>
                </c:pt>
                <c:pt idx="14">
                  <c:v>9.4450000000000003E-3</c:v>
                </c:pt>
                <c:pt idx="15">
                  <c:v>9.3939999999999996E-3</c:v>
                </c:pt>
                <c:pt idx="16">
                  <c:v>9.299E-3</c:v>
                </c:pt>
                <c:pt idx="17">
                  <c:v>9.025E-3</c:v>
                </c:pt>
                <c:pt idx="18">
                  <c:v>8.3920000000000002E-3</c:v>
                </c:pt>
                <c:pt idx="19">
                  <c:v>8.071E-3</c:v>
                </c:pt>
                <c:pt idx="20">
                  <c:v>7.7340000000000013E-3</c:v>
                </c:pt>
                <c:pt idx="21">
                  <c:v>7.4349999999999998E-3</c:v>
                </c:pt>
                <c:pt idx="22">
                  <c:v>6.1330000000000004E-3</c:v>
                </c:pt>
                <c:pt idx="23">
                  <c:v>6.1119999999999994E-3</c:v>
                </c:pt>
                <c:pt idx="24">
                  <c:v>5.0460000000000001E-3</c:v>
                </c:pt>
                <c:pt idx="25">
                  <c:v>4.8859999999999997E-3</c:v>
                </c:pt>
                <c:pt idx="26">
                  <c:v>4.7289999999999997E-3</c:v>
                </c:pt>
                <c:pt idx="27">
                  <c:v>4.6210000000000001E-3</c:v>
                </c:pt>
                <c:pt idx="28">
                  <c:v>4.4140000000000004E-3</c:v>
                </c:pt>
                <c:pt idx="29">
                  <c:v>4.0270000000000002E-3</c:v>
                </c:pt>
                <c:pt idx="30">
                  <c:v>3.6700000000000001E-3</c:v>
                </c:pt>
                <c:pt idx="31">
                  <c:v>3.3370000000000001E-3</c:v>
                </c:pt>
                <c:pt idx="32">
                  <c:v>2.4199999999999994E-3</c:v>
                </c:pt>
                <c:pt idx="33">
                  <c:v>2.4069999999999999E-3</c:v>
                </c:pt>
                <c:pt idx="34">
                  <c:v>2.3400000000000001E-3</c:v>
                </c:pt>
                <c:pt idx="35">
                  <c:v>2.3159999999999999E-3</c:v>
                </c:pt>
                <c:pt idx="36">
                  <c:v>1.9580000000000001E-3</c:v>
                </c:pt>
                <c:pt idx="37">
                  <c:v>1.4630000000000001E-3</c:v>
                </c:pt>
                <c:pt idx="38">
                  <c:v>8.4800000000000001E-4</c:v>
                </c:pt>
                <c:pt idx="39">
                  <c:v>-5.1999999999999963E-5</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January 2025)</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Pharmaceuticals &amp; Biotechnology</c:v>
                </c:pt>
                <c:pt idx="2">
                  <c:v>Petroleum Products</c:v>
                </c:pt>
                <c:pt idx="3">
                  <c:v>Finance</c:v>
                </c:pt>
                <c:pt idx="4">
                  <c:v>IT - Software</c:v>
                </c:pt>
                <c:pt idx="5">
                  <c:v>Retailing</c:v>
                </c:pt>
                <c:pt idx="6">
                  <c:v>Insurance</c:v>
                </c:pt>
                <c:pt idx="7">
                  <c:v>Automobiles</c:v>
                </c:pt>
                <c:pt idx="8">
                  <c:v>Consumer Durables</c:v>
                </c:pt>
                <c:pt idx="9">
                  <c:v>Diversified FMCG</c:v>
                </c:pt>
                <c:pt idx="10">
                  <c:v>Construction</c:v>
                </c:pt>
                <c:pt idx="11">
                  <c:v>Realty</c:v>
                </c:pt>
                <c:pt idx="12">
                  <c:v>Industrial Products</c:v>
                </c:pt>
                <c:pt idx="13">
                  <c:v>Commercial Services &amp; Supplies</c:v>
                </c:pt>
                <c:pt idx="14">
                  <c:v>Oil</c:v>
                </c:pt>
                <c:pt idx="15">
                  <c:v>Fertilizers &amp; Agrochemicals</c:v>
                </c:pt>
                <c:pt idx="16">
                  <c:v>Food Products</c:v>
                </c:pt>
                <c:pt idx="17">
                  <c:v>Cement &amp; Cement Products</c:v>
                </c:pt>
                <c:pt idx="18">
                  <c:v>Healthcare Services</c:v>
                </c:pt>
                <c:pt idx="19">
                  <c:v>Leisure Services</c:v>
                </c:pt>
                <c:pt idx="20">
                  <c:v>Ferrous Metals</c:v>
                </c:pt>
                <c:pt idx="21">
                  <c:v>Personal Products</c:v>
                </c:pt>
                <c:pt idx="22">
                  <c:v>Electrical Equipment</c:v>
                </c:pt>
                <c:pt idx="23">
                  <c:v>Telecom - Services</c:v>
                </c:pt>
                <c:pt idx="24">
                  <c:v>Minerals &amp; Mining</c:v>
                </c:pt>
                <c:pt idx="25">
                  <c:v>Transport Services</c:v>
                </c:pt>
                <c:pt idx="26">
                  <c:v>Agricultural, Commercial &amp; Construction Vehicles</c:v>
                </c:pt>
                <c:pt idx="27">
                  <c:v>Telecom - Equipment &amp; Accessories</c:v>
                </c:pt>
                <c:pt idx="28">
                  <c:v>Industrial Manufacturing</c:v>
                </c:pt>
                <c:pt idx="29">
                  <c:v>Auto Components</c:v>
                </c:pt>
                <c:pt idx="30">
                  <c:v>Gas</c:v>
                </c:pt>
                <c:pt idx="31">
                  <c:v>Textiles &amp; Apparels</c:v>
                </c:pt>
                <c:pt idx="32">
                  <c:v>Non - Ferrous Metals</c:v>
                </c:pt>
                <c:pt idx="33">
                  <c:v>Diversified Metals</c:v>
                </c:pt>
                <c:pt idx="34">
                  <c:v>Beverages</c:v>
                </c:pt>
                <c:pt idx="35">
                  <c:v>IT - Services</c:v>
                </c:pt>
                <c:pt idx="36">
                  <c:v>Diversified</c:v>
                </c:pt>
                <c:pt idx="37">
                  <c:v>Agricultural Food &amp; other Products</c:v>
                </c:pt>
                <c:pt idx="38">
                  <c:v>IT - Hardware</c:v>
                </c:pt>
                <c:pt idx="39">
                  <c:v>Power</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0.322689</c:v>
                </c:pt>
                <c:pt idx="1">
                  <c:v>0.64942800000000012</c:v>
                </c:pt>
                <c:pt idx="2">
                  <c:v>2.7882999999999998E-2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0.50083499999999992</c:v>
                </c:pt>
                <c:pt idx="1">
                  <c:v>0.48612699999999998</c:v>
                </c:pt>
                <c:pt idx="2">
                  <c:v>1.3038000000000001E-2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0.74711800000000006</c:v>
                </c:pt>
                <c:pt idx="1">
                  <c:v>0.238623</c:v>
                </c:pt>
                <c:pt idx="2">
                  <c:v>1.4259000000000001E-2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DDB8-4A4E-AC62-D1E8943AB3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IPAFOFs'!$G$8</c:f>
              <c:strCache>
                <c:ptCount val="1"/>
                <c:pt idx="0">
                  <c:v>AAA EQUIVALENT</c:v>
                </c:pt>
              </c:strCache>
            </c:strRef>
          </c:cat>
          <c:val>
            <c:numRef>
              <c:f>'BANDHAN IPAFOFs'!$H$8</c:f>
              <c:numCache>
                <c:formatCode>0%</c:formatCode>
                <c:ptCount val="1"/>
                <c:pt idx="0">
                  <c:v>1</c:v>
                </c:pt>
              </c:numCache>
            </c:numRef>
          </c:val>
          <c:extLst>
            <c:ext xmlns:c16="http://schemas.microsoft.com/office/drawing/2014/chart" uri="{C3380CC4-5D6E-409C-BE32-E72D297353CC}">
              <c16:uniqueId val="{00000001-DDB8-4A4E-AC62-D1E8943AB3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IPAFOFs'!$K$8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34E-4FF8-9318-7613AE55ABA0}"/>
                </c:ext>
              </c:extLst>
            </c:dLbl>
            <c:dLbl>
              <c:idx val="1"/>
              <c:layout>
                <c:manualLayout>
                  <c:x val="0.19021497580468394"/>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A34E-4FF8-9318-7613AE55ABA0}"/>
                </c:ext>
              </c:extLst>
            </c:dLbl>
            <c:dLbl>
              <c:idx val="2"/>
              <c:layout>
                <c:manualLayout>
                  <c:x val="-0.36124787131801245"/>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A34E-4FF8-9318-7613AE55AB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IPAFOFs'!$J$9:$J$11</c:f>
              <c:strCache>
                <c:ptCount val="3"/>
                <c:pt idx="0">
                  <c:v>Net Current Asset</c:v>
                </c:pt>
                <c:pt idx="1">
                  <c:v>TRI Party Repo</c:v>
                </c:pt>
                <c:pt idx="2">
                  <c:v>Mutual Fund Units</c:v>
                </c:pt>
              </c:strCache>
            </c:strRef>
          </c:cat>
          <c:val>
            <c:numRef>
              <c:f>'BANDHAN IPAFOFs'!$K$9:$K$11</c:f>
              <c:numCache>
                <c:formatCode>0.00%</c:formatCode>
                <c:ptCount val="3"/>
                <c:pt idx="0">
                  <c:v>-6.9700000000000003E-4</c:v>
                </c:pt>
                <c:pt idx="1">
                  <c:v>7.9120000000000006E-3</c:v>
                </c:pt>
                <c:pt idx="2">
                  <c:v>0.99278500000000003</c:v>
                </c:pt>
              </c:numCache>
            </c:numRef>
          </c:val>
          <c:extLst>
            <c:ext xmlns:c16="http://schemas.microsoft.com/office/drawing/2014/chart" uri="{C3380CC4-5D6E-409C-BE32-E72D297353CC}">
              <c16:uniqueId val="{00000003-A34E-4FF8-9318-7613AE55AB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Index'!$W$8:$W$32</c:f>
              <c:strCache>
                <c:ptCount val="25"/>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Insurance</c:v>
                </c:pt>
                <c:pt idx="15">
                  <c:v>Retailing</c:v>
                </c:pt>
                <c:pt idx="16">
                  <c:v>Aerospace &amp; Defense</c:v>
                </c:pt>
                <c:pt idx="17">
                  <c:v>Oil</c:v>
                </c:pt>
                <c:pt idx="18">
                  <c:v>Consumable Fuels</c:v>
                </c:pt>
                <c:pt idx="19">
                  <c:v>Non - Ferrous Metals</c:v>
                </c:pt>
                <c:pt idx="20">
                  <c:v>Transport Infrastructure</c:v>
                </c:pt>
                <c:pt idx="21">
                  <c:v>Healthcare Services</c:v>
                </c:pt>
                <c:pt idx="22">
                  <c:v>Agricultural Food &amp; other Products</c:v>
                </c:pt>
                <c:pt idx="23">
                  <c:v>Metals &amp; Minerals Trading</c:v>
                </c:pt>
                <c:pt idx="24">
                  <c:v>Leisure Services</c:v>
                </c:pt>
              </c:strCache>
            </c:strRef>
          </c:cat>
          <c:val>
            <c:numRef>
              <c:f>'BANDHAN-NIFTY 50 Index'!$X$8:$X$32</c:f>
              <c:numCache>
                <c:formatCode>0.00%</c:formatCode>
                <c:ptCount val="25"/>
                <c:pt idx="0">
                  <c:v>0.29324100000000003</c:v>
                </c:pt>
                <c:pt idx="1">
                  <c:v>0.13953700000000002</c:v>
                </c:pt>
                <c:pt idx="2">
                  <c:v>8.6043999999999995E-2</c:v>
                </c:pt>
                <c:pt idx="3">
                  <c:v>7.5954999999999995E-2</c:v>
                </c:pt>
                <c:pt idx="4">
                  <c:v>6.0106E-2</c:v>
                </c:pt>
                <c:pt idx="5">
                  <c:v>4.1272000000000003E-2</c:v>
                </c:pt>
                <c:pt idx="6">
                  <c:v>3.9738000000000002E-2</c:v>
                </c:pt>
                <c:pt idx="7">
                  <c:v>3.7058000000000001E-2</c:v>
                </c:pt>
                <c:pt idx="8">
                  <c:v>3.2532000000000005E-2</c:v>
                </c:pt>
                <c:pt idx="9">
                  <c:v>2.7445999999999998E-2</c:v>
                </c:pt>
                <c:pt idx="10">
                  <c:v>2.3510000000000003E-2</c:v>
                </c:pt>
                <c:pt idx="11">
                  <c:v>2.1218000000000001E-2</c:v>
                </c:pt>
                <c:pt idx="12">
                  <c:v>1.9136E-2</c:v>
                </c:pt>
                <c:pt idx="13">
                  <c:v>1.3559000000000002E-2</c:v>
                </c:pt>
                <c:pt idx="14">
                  <c:v>1.2735E-2</c:v>
                </c:pt>
                <c:pt idx="15">
                  <c:v>1.2088E-2</c:v>
                </c:pt>
                <c:pt idx="16">
                  <c:v>9.9030000000000003E-3</c:v>
                </c:pt>
                <c:pt idx="17">
                  <c:v>9.6380000000000007E-3</c:v>
                </c:pt>
                <c:pt idx="18">
                  <c:v>8.4969999999999993E-3</c:v>
                </c:pt>
                <c:pt idx="19">
                  <c:v>8.1740000000000007E-3</c:v>
                </c:pt>
                <c:pt idx="20">
                  <c:v>7.6670000000000002E-3</c:v>
                </c:pt>
                <c:pt idx="21">
                  <c:v>6.5240000000000003E-3</c:v>
                </c:pt>
                <c:pt idx="22">
                  <c:v>6.306E-3</c:v>
                </c:pt>
                <c:pt idx="23">
                  <c:v>5.3899999999999998E-3</c:v>
                </c:pt>
                <c:pt idx="24">
                  <c:v>1.4400000000000001E-3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ETF'!$W$8:$W$24</c:f>
              <c:strCache>
                <c:ptCount val="17"/>
                <c:pt idx="0">
                  <c:v>Banks</c:v>
                </c:pt>
                <c:pt idx="1">
                  <c:v>IT - Software</c:v>
                </c:pt>
                <c:pt idx="2">
                  <c:v>Petroleum Products</c:v>
                </c:pt>
                <c:pt idx="3">
                  <c:v>Diversified FMCG</c:v>
                </c:pt>
                <c:pt idx="4">
                  <c:v>Automobiles</c:v>
                </c:pt>
                <c:pt idx="5">
                  <c:v>Telecom - Services</c:v>
                </c:pt>
                <c:pt idx="6">
                  <c:v>Construction</c:v>
                </c:pt>
                <c:pt idx="7">
                  <c:v>Finance</c:v>
                </c:pt>
                <c:pt idx="8">
                  <c:v>Power</c:v>
                </c:pt>
                <c:pt idx="9">
                  <c:v>Consumer Durables</c:v>
                </c:pt>
                <c:pt idx="10">
                  <c:v>Pharmaceuticals &amp; Biotechnology</c:v>
                </c:pt>
                <c:pt idx="11">
                  <c:v>Retailing</c:v>
                </c:pt>
                <c:pt idx="12">
                  <c:v>Cement &amp; Cement Products</c:v>
                </c:pt>
                <c:pt idx="13">
                  <c:v>Ferrous Metals</c:v>
                </c:pt>
                <c:pt idx="14">
                  <c:v>Food Products</c:v>
                </c:pt>
                <c:pt idx="15">
                  <c:v>Transport Infrastructure</c:v>
                </c:pt>
                <c:pt idx="16">
                  <c:v>Leisure Services</c:v>
                </c:pt>
              </c:strCache>
            </c:strRef>
          </c:cat>
          <c:val>
            <c:numRef>
              <c:f>'BANDHAN BSE SENSEX ETF'!$X$8:$X$24</c:f>
              <c:numCache>
                <c:formatCode>0.00%</c:formatCode>
                <c:ptCount val="17"/>
                <c:pt idx="0">
                  <c:v>0.342113</c:v>
                </c:pt>
                <c:pt idx="1">
                  <c:v>0.15298</c:v>
                </c:pt>
                <c:pt idx="2">
                  <c:v>9.4711000000000004E-2</c:v>
                </c:pt>
                <c:pt idx="3">
                  <c:v>7.0290000000000005E-2</c:v>
                </c:pt>
                <c:pt idx="4">
                  <c:v>6.3611000000000001E-2</c:v>
                </c:pt>
                <c:pt idx="5">
                  <c:v>4.8194000000000001E-2</c:v>
                </c:pt>
                <c:pt idx="6">
                  <c:v>4.5989000000000002E-2</c:v>
                </c:pt>
                <c:pt idx="7">
                  <c:v>3.4619000000000004E-2</c:v>
                </c:pt>
                <c:pt idx="8">
                  <c:v>3.2257999999999995E-2</c:v>
                </c:pt>
                <c:pt idx="9">
                  <c:v>2.7484000000000001E-2</c:v>
                </c:pt>
                <c:pt idx="10">
                  <c:v>2.0834999999999999E-2</c:v>
                </c:pt>
                <c:pt idx="11">
                  <c:v>1.6667999999999999E-2</c:v>
                </c:pt>
                <c:pt idx="12">
                  <c:v>1.4732E-2</c:v>
                </c:pt>
                <c:pt idx="13">
                  <c:v>1.2278000000000001E-2</c:v>
                </c:pt>
                <c:pt idx="14">
                  <c:v>9.0840000000000001E-3</c:v>
                </c:pt>
                <c:pt idx="15">
                  <c:v>8.9189999999999998E-3</c:v>
                </c:pt>
                <c:pt idx="16">
                  <c:v>1.673E-3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ETF'!$W$8:$W$32</c:f>
              <c:strCache>
                <c:ptCount val="25"/>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Insurance</c:v>
                </c:pt>
                <c:pt idx="15">
                  <c:v>Retailing</c:v>
                </c:pt>
                <c:pt idx="16">
                  <c:v>Aerospace &amp; Defense</c:v>
                </c:pt>
                <c:pt idx="17">
                  <c:v>Oil</c:v>
                </c:pt>
                <c:pt idx="18">
                  <c:v>Consumable Fuels</c:v>
                </c:pt>
                <c:pt idx="19">
                  <c:v>Non - Ferrous Metals</c:v>
                </c:pt>
                <c:pt idx="20">
                  <c:v>Transport Infrastructure</c:v>
                </c:pt>
                <c:pt idx="21">
                  <c:v>Healthcare Services</c:v>
                </c:pt>
                <c:pt idx="22">
                  <c:v>Agricultural Food &amp; other Products</c:v>
                </c:pt>
                <c:pt idx="23">
                  <c:v>Metals &amp; Minerals Trading</c:v>
                </c:pt>
                <c:pt idx="24">
                  <c:v>Leisure Services</c:v>
                </c:pt>
              </c:strCache>
            </c:strRef>
          </c:cat>
          <c:val>
            <c:numRef>
              <c:f>'BANDHAN- Nifty 50 ETF'!$X$8:$X$32</c:f>
              <c:numCache>
                <c:formatCode>0.00%</c:formatCode>
                <c:ptCount val="25"/>
                <c:pt idx="0">
                  <c:v>0.29313</c:v>
                </c:pt>
                <c:pt idx="1">
                  <c:v>0.13949900000000001</c:v>
                </c:pt>
                <c:pt idx="2">
                  <c:v>8.601700000000001E-2</c:v>
                </c:pt>
                <c:pt idx="3">
                  <c:v>7.589499999999999E-2</c:v>
                </c:pt>
                <c:pt idx="4">
                  <c:v>6.0088000000000003E-2</c:v>
                </c:pt>
                <c:pt idx="5">
                  <c:v>4.1255E-2</c:v>
                </c:pt>
                <c:pt idx="6">
                  <c:v>3.9718999999999997E-2</c:v>
                </c:pt>
                <c:pt idx="7">
                  <c:v>3.7062999999999999E-2</c:v>
                </c:pt>
                <c:pt idx="8">
                  <c:v>3.2521000000000001E-2</c:v>
                </c:pt>
                <c:pt idx="9">
                  <c:v>2.7436000000000002E-2</c:v>
                </c:pt>
                <c:pt idx="10">
                  <c:v>2.3491999999999999E-2</c:v>
                </c:pt>
                <c:pt idx="11">
                  <c:v>2.1201999999999999E-2</c:v>
                </c:pt>
                <c:pt idx="12">
                  <c:v>1.9130000000000001E-2</c:v>
                </c:pt>
                <c:pt idx="13">
                  <c:v>1.3565000000000001E-2</c:v>
                </c:pt>
                <c:pt idx="14">
                  <c:v>1.2729000000000001E-2</c:v>
                </c:pt>
                <c:pt idx="15">
                  <c:v>1.2085E-2</c:v>
                </c:pt>
                <c:pt idx="16">
                  <c:v>9.9000000000000008E-3</c:v>
                </c:pt>
                <c:pt idx="17">
                  <c:v>9.6349999999999995E-3</c:v>
                </c:pt>
                <c:pt idx="18">
                  <c:v>8.4930000000000005E-3</c:v>
                </c:pt>
                <c:pt idx="19">
                  <c:v>8.1709999999999994E-3</c:v>
                </c:pt>
                <c:pt idx="20">
                  <c:v>7.6629999999999997E-3</c:v>
                </c:pt>
                <c:pt idx="21">
                  <c:v>6.5259999999999997E-3</c:v>
                </c:pt>
                <c:pt idx="22">
                  <c:v>6.3029999999999996E-3</c:v>
                </c:pt>
                <c:pt idx="23">
                  <c:v>5.3730000000000002E-3</c:v>
                </c:pt>
                <c:pt idx="24">
                  <c:v>1.433E-3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(31st January 2025)</c:v>
                </c:pt>
              </c:strCache>
            </c:strRef>
          </c:tx>
          <c:invertIfNegative val="0"/>
          <c:cat>
            <c:strRef>
              <c:f>'BANDHAN- Nifty 50 ETF'!$W$8:$W$32</c:f>
              <c:strCache>
                <c:ptCount val="25"/>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Insurance</c:v>
                </c:pt>
                <c:pt idx="15">
                  <c:v>Retailing</c:v>
                </c:pt>
                <c:pt idx="16">
                  <c:v>Aerospace &amp; Defense</c:v>
                </c:pt>
                <c:pt idx="17">
                  <c:v>Oil</c:v>
                </c:pt>
                <c:pt idx="18">
                  <c:v>Consumable Fuels</c:v>
                </c:pt>
                <c:pt idx="19">
                  <c:v>Non - Ferrous Metals</c:v>
                </c:pt>
                <c:pt idx="20">
                  <c:v>Transport Infrastructure</c:v>
                </c:pt>
                <c:pt idx="21">
                  <c:v>Healthcare Services</c:v>
                </c:pt>
                <c:pt idx="22">
                  <c:v>Agricultural Food &amp; other Products</c:v>
                </c:pt>
                <c:pt idx="23">
                  <c:v>Metals &amp; Minerals Trading</c:v>
                </c:pt>
                <c:pt idx="24">
                  <c:v>Leisure Services</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Telecom - Services</c:v>
                </c:pt>
                <c:pt idx="9">
                  <c:v>Construction</c:v>
                </c:pt>
                <c:pt idx="10">
                  <c:v>Retailing</c:v>
                </c:pt>
                <c:pt idx="11">
                  <c:v>Cement &amp; Cement Products</c:v>
                </c:pt>
                <c:pt idx="12">
                  <c:v>Consumer Durables</c:v>
                </c:pt>
                <c:pt idx="13">
                  <c:v>Ferrous Metals</c:v>
                </c:pt>
                <c:pt idx="14">
                  <c:v>Insurance</c:v>
                </c:pt>
                <c:pt idx="15">
                  <c:v>Aerospace &amp; Defense</c:v>
                </c:pt>
                <c:pt idx="16">
                  <c:v>Food Products</c:v>
                </c:pt>
                <c:pt idx="17">
                  <c:v>Beverages</c:v>
                </c:pt>
                <c:pt idx="18">
                  <c:v>Electrical Equipment</c:v>
                </c:pt>
                <c:pt idx="19">
                  <c:v>Oil</c:v>
                </c:pt>
                <c:pt idx="20">
                  <c:v>Consumable Fuels</c:v>
                </c:pt>
                <c:pt idx="21">
                  <c:v>Non - Ferrous Metals</c:v>
                </c:pt>
                <c:pt idx="22">
                  <c:v>Transport Services</c:v>
                </c:pt>
                <c:pt idx="23">
                  <c:v>Realty</c:v>
                </c:pt>
                <c:pt idx="24">
                  <c:v>Transport Infrastructure</c:v>
                </c:pt>
                <c:pt idx="25">
                  <c:v>Diversified Metals</c:v>
                </c:pt>
                <c:pt idx="26">
                  <c:v>Personal Products</c:v>
                </c:pt>
                <c:pt idx="27">
                  <c:v>Healthcare Services</c:v>
                </c:pt>
                <c:pt idx="28">
                  <c:v>Agricultural Food &amp; other Products</c:v>
                </c:pt>
                <c:pt idx="29">
                  <c:v>Auto Components</c:v>
                </c:pt>
                <c:pt idx="30">
                  <c:v>Gas</c:v>
                </c:pt>
                <c:pt idx="31">
                  <c:v>Metals &amp; Minerals Trading</c:v>
                </c:pt>
                <c:pt idx="32">
                  <c:v>Chemicals &amp; Petrochemicals</c:v>
                </c:pt>
                <c:pt idx="33">
                  <c:v>Leisure Services</c:v>
                </c:pt>
              </c:strCache>
            </c:strRef>
          </c:cat>
          <c:val>
            <c:numRef>
              <c:f>'BANDHAN-Nifty 100 Index'!$X$8:$X$41</c:f>
              <c:numCache>
                <c:formatCode>0.00%</c:formatCode>
                <c:ptCount val="34"/>
                <c:pt idx="0">
                  <c:v>0.25222899999999998</c:v>
                </c:pt>
                <c:pt idx="1">
                  <c:v>0.119523</c:v>
                </c:pt>
                <c:pt idx="2">
                  <c:v>7.4829999999999994E-2</c:v>
                </c:pt>
                <c:pt idx="3">
                  <c:v>6.7239000000000007E-2</c:v>
                </c:pt>
                <c:pt idx="4">
                  <c:v>5.6204000000000004E-2</c:v>
                </c:pt>
                <c:pt idx="5">
                  <c:v>4.9644000000000001E-2</c:v>
                </c:pt>
                <c:pt idx="6">
                  <c:v>3.9239999999999997E-2</c:v>
                </c:pt>
                <c:pt idx="7">
                  <c:v>3.6698999999999996E-2</c:v>
                </c:pt>
                <c:pt idx="8">
                  <c:v>3.4090000000000002E-2</c:v>
                </c:pt>
                <c:pt idx="9">
                  <c:v>3.2816999999999999E-2</c:v>
                </c:pt>
                <c:pt idx="10">
                  <c:v>3.0879E-2</c:v>
                </c:pt>
                <c:pt idx="11">
                  <c:v>2.3130000000000001E-2</c:v>
                </c:pt>
                <c:pt idx="12">
                  <c:v>2.2511E-2</c:v>
                </c:pt>
                <c:pt idx="13">
                  <c:v>1.8152000000000001E-2</c:v>
                </c:pt>
                <c:pt idx="14">
                  <c:v>1.7329999999999998E-2</c:v>
                </c:pt>
                <c:pt idx="15">
                  <c:v>1.4020000000000001E-2</c:v>
                </c:pt>
                <c:pt idx="16">
                  <c:v>1.1196999999999999E-2</c:v>
                </c:pt>
                <c:pt idx="17">
                  <c:v>8.9009999999999992E-3</c:v>
                </c:pt>
                <c:pt idx="18">
                  <c:v>8.6820000000000005E-3</c:v>
                </c:pt>
                <c:pt idx="19">
                  <c:v>7.9609999999999993E-3</c:v>
                </c:pt>
                <c:pt idx="20">
                  <c:v>7.0169999999999998E-3</c:v>
                </c:pt>
                <c:pt idx="21">
                  <c:v>6.7520000000000002E-3</c:v>
                </c:pt>
                <c:pt idx="22">
                  <c:v>6.6280000000000002E-3</c:v>
                </c:pt>
                <c:pt idx="23">
                  <c:v>6.3509999999999999E-3</c:v>
                </c:pt>
                <c:pt idx="24">
                  <c:v>6.332E-3</c:v>
                </c:pt>
                <c:pt idx="25">
                  <c:v>5.8479999999999999E-3</c:v>
                </c:pt>
                <c:pt idx="26">
                  <c:v>5.7420000000000006E-3</c:v>
                </c:pt>
                <c:pt idx="27">
                  <c:v>5.3880000000000004E-3</c:v>
                </c:pt>
                <c:pt idx="28">
                  <c:v>5.208E-3</c:v>
                </c:pt>
                <c:pt idx="29">
                  <c:v>5.2009999999999999E-3</c:v>
                </c:pt>
                <c:pt idx="30">
                  <c:v>5.13E-3</c:v>
                </c:pt>
                <c:pt idx="31">
                  <c:v>4.4520000000000002E-3</c:v>
                </c:pt>
                <c:pt idx="32">
                  <c:v>3.4510000000000001E-3</c:v>
                </c:pt>
                <c:pt idx="33">
                  <c:v>3.127E-3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Pharmaceuticals &amp; Biotechnology</c:v>
                </c:pt>
                <c:pt idx="2">
                  <c:v>Retailing</c:v>
                </c:pt>
                <c:pt idx="3">
                  <c:v>Consumer Durables</c:v>
                </c:pt>
                <c:pt idx="4">
                  <c:v>Telecom - Services</c:v>
                </c:pt>
                <c:pt idx="5">
                  <c:v>Automobiles</c:v>
                </c:pt>
                <c:pt idx="6">
                  <c:v>Financial Technology (Fintech)</c:v>
                </c:pt>
                <c:pt idx="7">
                  <c:v>Aerospace &amp; Defense</c:v>
                </c:pt>
                <c:pt idx="8">
                  <c:v>Leisure Services</c:v>
                </c:pt>
                <c:pt idx="9">
                  <c:v>Capital Markets</c:v>
                </c:pt>
                <c:pt idx="10">
                  <c:v>Diversified Metals</c:v>
                </c:pt>
                <c:pt idx="11">
                  <c:v>Auto Components</c:v>
                </c:pt>
                <c:pt idx="12">
                  <c:v>Electrical Equipment</c:v>
                </c:pt>
                <c:pt idx="13">
                  <c:v>Beverages</c:v>
                </c:pt>
                <c:pt idx="14">
                  <c:v>Banks</c:v>
                </c:pt>
                <c:pt idx="15">
                  <c:v>Oil</c:v>
                </c:pt>
              </c:strCache>
            </c:strRef>
          </c:cat>
          <c:val>
            <c:numRef>
              <c:f>'BANDHAN-Nifty200 Mom30 Index'!$X$8:$X$23</c:f>
              <c:numCache>
                <c:formatCode>0.00%</c:formatCode>
                <c:ptCount val="16"/>
                <c:pt idx="0">
                  <c:v>0.255077</c:v>
                </c:pt>
                <c:pt idx="1">
                  <c:v>0.13930199999999998</c:v>
                </c:pt>
                <c:pt idx="2">
                  <c:v>0.12548399999999998</c:v>
                </c:pt>
                <c:pt idx="3">
                  <c:v>7.6654E-2</c:v>
                </c:pt>
                <c:pt idx="4">
                  <c:v>5.5981000000000003E-2</c:v>
                </c:pt>
                <c:pt idx="5">
                  <c:v>5.5322000000000003E-2</c:v>
                </c:pt>
                <c:pt idx="6">
                  <c:v>4.5442000000000003E-2</c:v>
                </c:pt>
                <c:pt idx="7">
                  <c:v>4.1642999999999999E-2</c:v>
                </c:pt>
                <c:pt idx="8">
                  <c:v>4.0619000000000002E-2</c:v>
                </c:pt>
                <c:pt idx="9">
                  <c:v>3.4568000000000002E-2</c:v>
                </c:pt>
                <c:pt idx="10">
                  <c:v>2.7546999999999999E-2</c:v>
                </c:pt>
                <c:pt idx="11">
                  <c:v>2.6225999999999999E-2</c:v>
                </c:pt>
                <c:pt idx="12">
                  <c:v>2.4722999999999998E-2</c:v>
                </c:pt>
                <c:pt idx="13">
                  <c:v>2.1593999999999999E-2</c:v>
                </c:pt>
                <c:pt idx="14">
                  <c:v>2.0227999999999999E-2</c:v>
                </c:pt>
                <c:pt idx="15">
                  <c:v>1.0118E-2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NIF100LV30'!$W$8:$W$25</c:f>
              <c:strCache>
                <c:ptCount val="18"/>
                <c:pt idx="0">
                  <c:v>Pharmaceuticals &amp; Biotechnology</c:v>
                </c:pt>
                <c:pt idx="1">
                  <c:v>IT - Software</c:v>
                </c:pt>
                <c:pt idx="2">
                  <c:v>Banks</c:v>
                </c:pt>
                <c:pt idx="3">
                  <c:v>Automobiles</c:v>
                </c:pt>
                <c:pt idx="4">
                  <c:v>Food Products</c:v>
                </c:pt>
                <c:pt idx="5">
                  <c:v>Diversified FMCG</c:v>
                </c:pt>
                <c:pt idx="6">
                  <c:v>Consumer Durables</c:v>
                </c:pt>
                <c:pt idx="7">
                  <c:v>Finance</c:v>
                </c:pt>
                <c:pt idx="8">
                  <c:v>Petroleum Products</c:v>
                </c:pt>
                <c:pt idx="9">
                  <c:v>Telecom - Services</c:v>
                </c:pt>
                <c:pt idx="10">
                  <c:v>Insurance</c:v>
                </c:pt>
                <c:pt idx="11">
                  <c:v>Cement &amp; Cement Products</c:v>
                </c:pt>
                <c:pt idx="12">
                  <c:v>Healthcare Services</c:v>
                </c:pt>
                <c:pt idx="13">
                  <c:v>Personal Products</c:v>
                </c:pt>
                <c:pt idx="14">
                  <c:v>Chemicals &amp; Petrochemicals</c:v>
                </c:pt>
                <c:pt idx="15">
                  <c:v>Construction</c:v>
                </c:pt>
                <c:pt idx="16">
                  <c:v>Auto Components</c:v>
                </c:pt>
                <c:pt idx="17">
                  <c:v>Leisure Services</c:v>
                </c:pt>
              </c:strCache>
            </c:strRef>
          </c:cat>
          <c:val>
            <c:numRef>
              <c:f>'BANDHAN NIF100LV30'!$X$8:$X$25</c:f>
              <c:numCache>
                <c:formatCode>0.00%</c:formatCode>
                <c:ptCount val="18"/>
                <c:pt idx="0">
                  <c:v>0.130275</c:v>
                </c:pt>
                <c:pt idx="1">
                  <c:v>0.12443499999999999</c:v>
                </c:pt>
                <c:pt idx="2">
                  <c:v>0.101852</c:v>
                </c:pt>
                <c:pt idx="3">
                  <c:v>9.4685999999999992E-2</c:v>
                </c:pt>
                <c:pt idx="4">
                  <c:v>7.9434000000000005E-2</c:v>
                </c:pt>
                <c:pt idx="5">
                  <c:v>7.7161000000000007E-2</c:v>
                </c:pt>
                <c:pt idx="6">
                  <c:v>7.2104000000000001E-2</c:v>
                </c:pt>
                <c:pt idx="7">
                  <c:v>3.8386999999999998E-2</c:v>
                </c:pt>
                <c:pt idx="8">
                  <c:v>3.5346000000000002E-2</c:v>
                </c:pt>
                <c:pt idx="9">
                  <c:v>3.4345000000000001E-2</c:v>
                </c:pt>
                <c:pt idx="10">
                  <c:v>3.2957E-2</c:v>
                </c:pt>
                <c:pt idx="11">
                  <c:v>3.2938000000000002E-2</c:v>
                </c:pt>
                <c:pt idx="12">
                  <c:v>3.2306000000000001E-2</c:v>
                </c:pt>
                <c:pt idx="13">
                  <c:v>3.1302999999999997E-2</c:v>
                </c:pt>
                <c:pt idx="14">
                  <c:v>2.9250999999999999E-2</c:v>
                </c:pt>
                <c:pt idx="15">
                  <c:v>2.6155000000000001E-2</c:v>
                </c:pt>
                <c:pt idx="16">
                  <c:v>2.5100000000000001E-2</c:v>
                </c:pt>
                <c:pt idx="17">
                  <c:v>1.351E-3</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0.97802699999999998</c:v>
                </c:pt>
                <c:pt idx="1">
                  <c:v>1.3627999999999999E-2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Capital Markets</c:v>
                </c:pt>
                <c:pt idx="1">
                  <c:v>Finance</c:v>
                </c:pt>
                <c:pt idx="2">
                  <c:v>Electrical Equipment</c:v>
                </c:pt>
                <c:pt idx="3">
                  <c:v>Industrial Manufacturing</c:v>
                </c:pt>
                <c:pt idx="4">
                  <c:v>Pharmaceuticals &amp; Biotechnology</c:v>
                </c:pt>
                <c:pt idx="5">
                  <c:v>Consumer Durables</c:v>
                </c:pt>
                <c:pt idx="6">
                  <c:v>Aerospace &amp; Defense</c:v>
                </c:pt>
                <c:pt idx="7">
                  <c:v>Construction</c:v>
                </c:pt>
                <c:pt idx="8">
                  <c:v>Retailing</c:v>
                </c:pt>
                <c:pt idx="9">
                  <c:v>Chemicals &amp; Petrochemicals</c:v>
                </c:pt>
                <c:pt idx="10">
                  <c:v>Non - Ferrous Metals</c:v>
                </c:pt>
                <c:pt idx="11">
                  <c:v>IT - Software</c:v>
                </c:pt>
                <c:pt idx="12">
                  <c:v>Oil</c:v>
                </c:pt>
                <c:pt idx="13">
                  <c:v>Financial Technology (Fintech)</c:v>
                </c:pt>
                <c:pt idx="14">
                  <c:v>Industrial Products</c:v>
                </c:pt>
                <c:pt idx="15">
                  <c:v>Paper, Forest &amp; Jute Products</c:v>
                </c:pt>
                <c:pt idx="16">
                  <c:v>Power</c:v>
                </c:pt>
                <c:pt idx="17">
                  <c:v>Telecom - Services</c:v>
                </c:pt>
                <c:pt idx="18">
                  <c:v>Realty</c:v>
                </c:pt>
                <c:pt idx="19">
                  <c:v>Auto Components</c:v>
                </c:pt>
                <c:pt idx="20">
                  <c:v>Automobiles</c:v>
                </c:pt>
                <c:pt idx="21">
                  <c:v>Petroleum Products</c:v>
                </c:pt>
                <c:pt idx="22">
                  <c:v>Personal Products</c:v>
                </c:pt>
                <c:pt idx="23">
                  <c:v>Beverages</c:v>
                </c:pt>
              </c:strCache>
            </c:strRef>
          </c:cat>
          <c:val>
            <c:numRef>
              <c:f>'Bandhan Nifty Alpha 50 Index'!$X$8:$X$31</c:f>
              <c:numCache>
                <c:formatCode>0.00%</c:formatCode>
                <c:ptCount val="24"/>
                <c:pt idx="0">
                  <c:v>9.8032999999999995E-2</c:v>
                </c:pt>
                <c:pt idx="1">
                  <c:v>9.5346E-2</c:v>
                </c:pt>
                <c:pt idx="2">
                  <c:v>9.1121000000000008E-2</c:v>
                </c:pt>
                <c:pt idx="3">
                  <c:v>8.4040000000000004E-2</c:v>
                </c:pt>
                <c:pt idx="4">
                  <c:v>7.8091999999999995E-2</c:v>
                </c:pt>
                <c:pt idx="5">
                  <c:v>7.2205000000000005E-2</c:v>
                </c:pt>
                <c:pt idx="6">
                  <c:v>6.1474000000000001E-2</c:v>
                </c:pt>
                <c:pt idx="7">
                  <c:v>5.8118999999999997E-2</c:v>
                </c:pt>
                <c:pt idx="8">
                  <c:v>5.4066000000000003E-2</c:v>
                </c:pt>
                <c:pt idx="9">
                  <c:v>3.5157000000000001E-2</c:v>
                </c:pt>
                <c:pt idx="10">
                  <c:v>3.3160999999999996E-2</c:v>
                </c:pt>
                <c:pt idx="11">
                  <c:v>3.0341E-2</c:v>
                </c:pt>
                <c:pt idx="12">
                  <c:v>2.9642999999999999E-2</c:v>
                </c:pt>
                <c:pt idx="13">
                  <c:v>2.6721999999999999E-2</c:v>
                </c:pt>
                <c:pt idx="14">
                  <c:v>2.6013000000000001E-2</c:v>
                </c:pt>
                <c:pt idx="15">
                  <c:v>2.2202E-2</c:v>
                </c:pt>
                <c:pt idx="16">
                  <c:v>2.0239E-2</c:v>
                </c:pt>
                <c:pt idx="17">
                  <c:v>1.8409999999999999E-2</c:v>
                </c:pt>
                <c:pt idx="18">
                  <c:v>1.8021000000000002E-2</c:v>
                </c:pt>
                <c:pt idx="19">
                  <c:v>1.4232E-2</c:v>
                </c:pt>
                <c:pt idx="20">
                  <c:v>1.1967E-2</c:v>
                </c:pt>
                <c:pt idx="21">
                  <c:v>9.4859999999999996E-3</c:v>
                </c:pt>
                <c:pt idx="22">
                  <c:v>8.2330000000000007E-3</c:v>
                </c:pt>
                <c:pt idx="23">
                  <c:v>8.2179999999999996E-3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Capital Markets</c:v>
                </c:pt>
                <c:pt idx="1">
                  <c:v>Pharmaceuticals &amp; Biotechnology</c:v>
                </c:pt>
                <c:pt idx="2">
                  <c:v>Finance</c:v>
                </c:pt>
                <c:pt idx="3">
                  <c:v>Consumer Durables</c:v>
                </c:pt>
                <c:pt idx="4">
                  <c:v>Industrial Products</c:v>
                </c:pt>
                <c:pt idx="5">
                  <c:v>Chemicals &amp; Petrochemicals</c:v>
                </c:pt>
                <c:pt idx="6">
                  <c:v>Construction</c:v>
                </c:pt>
                <c:pt idx="7">
                  <c:v>Auto Components</c:v>
                </c:pt>
                <c:pt idx="8">
                  <c:v>Healthcare Services</c:v>
                </c:pt>
                <c:pt idx="9">
                  <c:v>Banks</c:v>
                </c:pt>
                <c:pt idx="10">
                  <c:v>IT - Software</c:v>
                </c:pt>
                <c:pt idx="11">
                  <c:v>Electrical Equipment</c:v>
                </c:pt>
                <c:pt idx="12">
                  <c:v>Industrial Manufacturing</c:v>
                </c:pt>
                <c:pt idx="13">
                  <c:v>Leisure Services</c:v>
                </c:pt>
                <c:pt idx="14">
                  <c:v>Realty</c:v>
                </c:pt>
                <c:pt idx="15">
                  <c:v>Commercial Services &amp; Supplies</c:v>
                </c:pt>
                <c:pt idx="16">
                  <c:v>Fertilizers &amp; Agrochemicals</c:v>
                </c:pt>
                <c:pt idx="17">
                  <c:v>Cement &amp; Cement Products</c:v>
                </c:pt>
                <c:pt idx="18">
                  <c:v>Gas</c:v>
                </c:pt>
                <c:pt idx="19">
                  <c:v>Non - Ferrous Metals</c:v>
                </c:pt>
                <c:pt idx="20">
                  <c:v>IT - Services</c:v>
                </c:pt>
                <c:pt idx="21">
                  <c:v>Entertainment</c:v>
                </c:pt>
                <c:pt idx="22">
                  <c:v>Transport Services</c:v>
                </c:pt>
                <c:pt idx="23">
                  <c:v>Telecom - Services</c:v>
                </c:pt>
                <c:pt idx="24">
                  <c:v>Agricultural Food &amp; other Products</c:v>
                </c:pt>
                <c:pt idx="25">
                  <c:v>Beverages</c:v>
                </c:pt>
                <c:pt idx="26">
                  <c:v>Power</c:v>
                </c:pt>
                <c:pt idx="27">
                  <c:v>Retailing</c:v>
                </c:pt>
                <c:pt idx="28">
                  <c:v>Textiles &amp; Apparels</c:v>
                </c:pt>
                <c:pt idx="29">
                  <c:v>Food Products</c:v>
                </c:pt>
                <c:pt idx="30">
                  <c:v>Agricultural, Commercial &amp; Construction Vehicles</c:v>
                </c:pt>
                <c:pt idx="31">
                  <c:v>Aerospace &amp; Defense</c:v>
                </c:pt>
                <c:pt idx="32">
                  <c:v>Paper, Forest &amp; Jute Products</c:v>
                </c:pt>
                <c:pt idx="33">
                  <c:v>Petroleum Products</c:v>
                </c:pt>
                <c:pt idx="34">
                  <c:v>Telecom - Equipment &amp; Accessories</c:v>
                </c:pt>
                <c:pt idx="35">
                  <c:v>Personal Products</c:v>
                </c:pt>
                <c:pt idx="36">
                  <c:v>Household Products</c:v>
                </c:pt>
                <c:pt idx="37">
                  <c:v>Healthcare Equipment &amp; Supplies</c:v>
                </c:pt>
                <c:pt idx="38">
                  <c:v>Diversified</c:v>
                </c:pt>
                <c:pt idx="39">
                  <c:v>Cigarettes &amp; Tobacco Products</c:v>
                </c:pt>
                <c:pt idx="40">
                  <c:v>Insurance</c:v>
                </c:pt>
                <c:pt idx="41">
                  <c:v>Automobiles</c:v>
                </c:pt>
                <c:pt idx="42">
                  <c:v>Ferrous Metals</c:v>
                </c:pt>
                <c:pt idx="43">
                  <c:v>Transport Infrastructure</c:v>
                </c:pt>
                <c:pt idx="44">
                  <c:v>Minerals &amp; Mining</c:v>
                </c:pt>
              </c:strCache>
            </c:strRef>
          </c:cat>
          <c:val>
            <c:numRef>
              <c:f>'Bandhan Nifty Smallcap 250 '!$X$8:$X$52</c:f>
              <c:numCache>
                <c:formatCode>0.00%</c:formatCode>
                <c:ptCount val="45"/>
                <c:pt idx="0">
                  <c:v>9.5383000000000009E-2</c:v>
                </c:pt>
                <c:pt idx="1">
                  <c:v>8.8371000000000005E-2</c:v>
                </c:pt>
                <c:pt idx="2">
                  <c:v>7.6119000000000006E-2</c:v>
                </c:pt>
                <c:pt idx="3">
                  <c:v>6.3664999999999999E-2</c:v>
                </c:pt>
                <c:pt idx="4">
                  <c:v>5.9701999999999998E-2</c:v>
                </c:pt>
                <c:pt idx="5">
                  <c:v>5.5003000000000003E-2</c:v>
                </c:pt>
                <c:pt idx="6">
                  <c:v>4.5318999999999998E-2</c:v>
                </c:pt>
                <c:pt idx="7">
                  <c:v>3.7657999999999997E-2</c:v>
                </c:pt>
                <c:pt idx="8">
                  <c:v>3.7176999999999995E-2</c:v>
                </c:pt>
                <c:pt idx="9">
                  <c:v>3.7108000000000002E-2</c:v>
                </c:pt>
                <c:pt idx="10">
                  <c:v>3.5458999999999997E-2</c:v>
                </c:pt>
                <c:pt idx="11">
                  <c:v>3.0581999999999998E-2</c:v>
                </c:pt>
                <c:pt idx="12">
                  <c:v>2.9288000000000002E-2</c:v>
                </c:pt>
                <c:pt idx="13">
                  <c:v>2.7882999999999998E-2</c:v>
                </c:pt>
                <c:pt idx="14">
                  <c:v>2.6211000000000002E-2</c:v>
                </c:pt>
                <c:pt idx="15">
                  <c:v>1.9503E-2</c:v>
                </c:pt>
                <c:pt idx="16">
                  <c:v>1.6583000000000001E-2</c:v>
                </c:pt>
                <c:pt idx="17">
                  <c:v>1.5251000000000001E-2</c:v>
                </c:pt>
                <c:pt idx="18">
                  <c:v>1.5151999999999999E-2</c:v>
                </c:pt>
                <c:pt idx="19">
                  <c:v>1.4787000000000002E-2</c:v>
                </c:pt>
                <c:pt idx="20">
                  <c:v>1.4066E-2</c:v>
                </c:pt>
                <c:pt idx="21">
                  <c:v>1.3996999999999999E-2</c:v>
                </c:pt>
                <c:pt idx="22">
                  <c:v>1.0793000000000001E-2</c:v>
                </c:pt>
                <c:pt idx="23">
                  <c:v>1.0272999999999999E-2</c:v>
                </c:pt>
                <c:pt idx="24">
                  <c:v>1.0205000000000001E-2</c:v>
                </c:pt>
                <c:pt idx="25">
                  <c:v>9.6939999999999995E-3</c:v>
                </c:pt>
                <c:pt idx="26">
                  <c:v>9.5660000000000016E-3</c:v>
                </c:pt>
                <c:pt idx="27">
                  <c:v>9.0219999999999988E-3</c:v>
                </c:pt>
                <c:pt idx="28">
                  <c:v>8.5760000000000003E-3</c:v>
                </c:pt>
                <c:pt idx="29">
                  <c:v>7.7530000000000003E-3</c:v>
                </c:pt>
                <c:pt idx="30">
                  <c:v>7.1999999999999998E-3</c:v>
                </c:pt>
                <c:pt idx="31">
                  <c:v>6.4250000000000002E-3</c:v>
                </c:pt>
                <c:pt idx="32">
                  <c:v>6.4159999999999998E-3</c:v>
                </c:pt>
                <c:pt idx="33">
                  <c:v>6.3709999999999999E-3</c:v>
                </c:pt>
                <c:pt idx="34">
                  <c:v>5.8509999999999994E-3</c:v>
                </c:pt>
                <c:pt idx="35">
                  <c:v>5.7009999999999995E-3</c:v>
                </c:pt>
                <c:pt idx="36">
                  <c:v>5.241E-3</c:v>
                </c:pt>
                <c:pt idx="37">
                  <c:v>5.0470000000000003E-3</c:v>
                </c:pt>
                <c:pt idx="38">
                  <c:v>4.3790000000000001E-3</c:v>
                </c:pt>
                <c:pt idx="39">
                  <c:v>3.5010000000000002E-3</c:v>
                </c:pt>
                <c:pt idx="40">
                  <c:v>3.4810000000000002E-3</c:v>
                </c:pt>
                <c:pt idx="41">
                  <c:v>3.4150000000000001E-3</c:v>
                </c:pt>
                <c:pt idx="42">
                  <c:v>2.7629999999999998E-3</c:v>
                </c:pt>
                <c:pt idx="43">
                  <c:v>2.343E-3</c:v>
                </c:pt>
                <c:pt idx="44">
                  <c:v>1.5169999999999999E-3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'!$W$8:$W$60</c:f>
              <c:strCache>
                <c:ptCount val="53"/>
                <c:pt idx="0">
                  <c:v>Banks</c:v>
                </c:pt>
                <c:pt idx="1">
                  <c:v>IT - Software</c:v>
                </c:pt>
                <c:pt idx="2">
                  <c:v>Finance</c:v>
                </c:pt>
                <c:pt idx="3">
                  <c:v>Petroleum Products</c:v>
                </c:pt>
                <c:pt idx="4">
                  <c:v>Pharmaceuticals &amp; Biotechnology</c:v>
                </c:pt>
                <c:pt idx="5">
                  <c:v>Automobiles</c:v>
                </c:pt>
                <c:pt idx="6">
                  <c:v>Diversified FMCG</c:v>
                </c:pt>
                <c:pt idx="7">
                  <c:v>Power</c:v>
                </c:pt>
                <c:pt idx="8">
                  <c:v>Construction</c:v>
                </c:pt>
                <c:pt idx="9">
                  <c:v>Consumer Durables</c:v>
                </c:pt>
                <c:pt idx="10">
                  <c:v>Telecom - Services</c:v>
                </c:pt>
                <c:pt idx="11">
                  <c:v>Retailing</c:v>
                </c:pt>
                <c:pt idx="12">
                  <c:v>Auto Components</c:v>
                </c:pt>
                <c:pt idx="13">
                  <c:v>Cement &amp; Cement Products</c:v>
                </c:pt>
                <c:pt idx="14">
                  <c:v>Industrial Products</c:v>
                </c:pt>
                <c:pt idx="15">
                  <c:v>Electrical Equipment</c:v>
                </c:pt>
                <c:pt idx="16">
                  <c:v>Chemicals &amp; Petrochemicals</c:v>
                </c:pt>
                <c:pt idx="17">
                  <c:v>Ferrous Metals</c:v>
                </c:pt>
                <c:pt idx="18">
                  <c:v>Capital Markets</c:v>
                </c:pt>
                <c:pt idx="19">
                  <c:v>Insurance</c:v>
                </c:pt>
                <c:pt idx="20">
                  <c:v>Healthcare Services</c:v>
                </c:pt>
                <c:pt idx="21">
                  <c:v>Realty</c:v>
                </c:pt>
                <c:pt idx="22">
                  <c:v>Aerospace &amp; Defense</c:v>
                </c:pt>
                <c:pt idx="23">
                  <c:v>Leisure Services</c:v>
                </c:pt>
                <c:pt idx="24">
                  <c:v>Food Products</c:v>
                </c:pt>
                <c:pt idx="25">
                  <c:v>Agricultural Food &amp; other Products</c:v>
                </c:pt>
                <c:pt idx="26">
                  <c:v>Beverages</c:v>
                </c:pt>
                <c:pt idx="27">
                  <c:v>Personal Products</c:v>
                </c:pt>
                <c:pt idx="28">
                  <c:v>Transport Services</c:v>
                </c:pt>
                <c:pt idx="29">
                  <c:v>Gas</c:v>
                </c:pt>
                <c:pt idx="30">
                  <c:v>Fertilizers &amp; Agrochemicals</c:v>
                </c:pt>
                <c:pt idx="31">
                  <c:v>Oil</c:v>
                </c:pt>
                <c:pt idx="32">
                  <c:v>Non - Ferrous Metals</c:v>
                </c:pt>
                <c:pt idx="33">
                  <c:v>Transport Infrastructure</c:v>
                </c:pt>
                <c:pt idx="34">
                  <c:v>Industrial Manufacturing</c:v>
                </c:pt>
                <c:pt idx="35">
                  <c:v>Consumable Fuels</c:v>
                </c:pt>
                <c:pt idx="36">
                  <c:v>Financial Technology (Fintech)</c:v>
                </c:pt>
                <c:pt idx="37">
                  <c:v>Diversified Metals</c:v>
                </c:pt>
                <c:pt idx="38">
                  <c:v>Textiles &amp; Apparels</c:v>
                </c:pt>
                <c:pt idx="39">
                  <c:v>Metals &amp; Minerals Trading</c:v>
                </c:pt>
                <c:pt idx="40">
                  <c:v>IT - Services</c:v>
                </c:pt>
                <c:pt idx="41">
                  <c:v>Agricultural, Commercial &amp; Construction Vehicles</c:v>
                </c:pt>
                <c:pt idx="42">
                  <c:v>Commercial Services &amp; Supplies</c:v>
                </c:pt>
                <c:pt idx="43">
                  <c:v>Entertainment</c:v>
                </c:pt>
                <c:pt idx="44">
                  <c:v>Minerals &amp; Mining</c:v>
                </c:pt>
                <c:pt idx="45">
                  <c:v>Diversified</c:v>
                </c:pt>
                <c:pt idx="46">
                  <c:v>Paper, Forest &amp; Jute Products</c:v>
                </c:pt>
                <c:pt idx="47">
                  <c:v>Telecom - Equipment &amp; Accessories</c:v>
                </c:pt>
                <c:pt idx="48">
                  <c:v>Other Utilities</c:v>
                </c:pt>
                <c:pt idx="49">
                  <c:v>Household Products</c:v>
                </c:pt>
                <c:pt idx="50">
                  <c:v>Healthcare Equipment &amp; Supplies</c:v>
                </c:pt>
                <c:pt idx="51">
                  <c:v>Cigarettes &amp; Tobacco Products</c:v>
                </c:pt>
                <c:pt idx="52">
                  <c:v>Other Consumer Services</c:v>
                </c:pt>
              </c:strCache>
            </c:strRef>
          </c:cat>
          <c:val>
            <c:numRef>
              <c:f>'Bandhan Nifty Total Market '!$X$8:$X$60</c:f>
              <c:numCache>
                <c:formatCode>0.00%</c:formatCode>
                <c:ptCount val="53"/>
                <c:pt idx="0">
                  <c:v>0.19123100000000001</c:v>
                </c:pt>
                <c:pt idx="1">
                  <c:v>9.8146999999999998E-2</c:v>
                </c:pt>
                <c:pt idx="2">
                  <c:v>5.8163000000000006E-2</c:v>
                </c:pt>
                <c:pt idx="3">
                  <c:v>5.4550999999999995E-2</c:v>
                </c:pt>
                <c:pt idx="4">
                  <c:v>4.9518000000000006E-2</c:v>
                </c:pt>
                <c:pt idx="5">
                  <c:v>4.7108999999999998E-2</c:v>
                </c:pt>
                <c:pt idx="6">
                  <c:v>3.4474999999999999E-2</c:v>
                </c:pt>
                <c:pt idx="7">
                  <c:v>3.1278E-2</c:v>
                </c:pt>
                <c:pt idx="8">
                  <c:v>3.1190000000000002E-2</c:v>
                </c:pt>
                <c:pt idx="9">
                  <c:v>3.1044000000000009E-2</c:v>
                </c:pt>
                <c:pt idx="10">
                  <c:v>2.9775000000000003E-2</c:v>
                </c:pt>
                <c:pt idx="11">
                  <c:v>2.5505E-2</c:v>
                </c:pt>
                <c:pt idx="12">
                  <c:v>2.1645000000000008E-2</c:v>
                </c:pt>
                <c:pt idx="13">
                  <c:v>2.0723999999999999E-2</c:v>
                </c:pt>
                <c:pt idx="14">
                  <c:v>2.0514000000000001E-2</c:v>
                </c:pt>
                <c:pt idx="15">
                  <c:v>1.7240999999999999E-2</c:v>
                </c:pt>
                <c:pt idx="16">
                  <c:v>1.6406999999999998E-2</c:v>
                </c:pt>
                <c:pt idx="17">
                  <c:v>1.6261000000000001E-2</c:v>
                </c:pt>
                <c:pt idx="18">
                  <c:v>1.6056000000000004E-2</c:v>
                </c:pt>
                <c:pt idx="19">
                  <c:v>1.5331000000000001E-2</c:v>
                </c:pt>
                <c:pt idx="20">
                  <c:v>1.5013000000000002E-2</c:v>
                </c:pt>
                <c:pt idx="21">
                  <c:v>1.3710000000000002E-2</c:v>
                </c:pt>
                <c:pt idx="22">
                  <c:v>1.2213E-2</c:v>
                </c:pt>
                <c:pt idx="23">
                  <c:v>1.0918000000000001E-2</c:v>
                </c:pt>
                <c:pt idx="24">
                  <c:v>9.2000000000000016E-3</c:v>
                </c:pt>
                <c:pt idx="25">
                  <c:v>8.4609999999999998E-3</c:v>
                </c:pt>
                <c:pt idx="26">
                  <c:v>8.2869999999999992E-3</c:v>
                </c:pt>
                <c:pt idx="27">
                  <c:v>7.9880000000000003E-3</c:v>
                </c:pt>
                <c:pt idx="28">
                  <c:v>7.9880000000000003E-3</c:v>
                </c:pt>
                <c:pt idx="29">
                  <c:v>7.5300000000000011E-3</c:v>
                </c:pt>
                <c:pt idx="30">
                  <c:v>7.1139999999999997E-3</c:v>
                </c:pt>
                <c:pt idx="31">
                  <c:v>6.8589999999999996E-3</c:v>
                </c:pt>
                <c:pt idx="32">
                  <c:v>6.8059999999999996E-3</c:v>
                </c:pt>
                <c:pt idx="33">
                  <c:v>6.4570000000000009E-3</c:v>
                </c:pt>
                <c:pt idx="34">
                  <c:v>6.3629999999999997E-3</c:v>
                </c:pt>
                <c:pt idx="35">
                  <c:v>4.9480000000000001E-3</c:v>
                </c:pt>
                <c:pt idx="36">
                  <c:v>4.7010000000000003E-3</c:v>
                </c:pt>
                <c:pt idx="37">
                  <c:v>4.0499999999999998E-3</c:v>
                </c:pt>
                <c:pt idx="38">
                  <c:v>3.7669999999999999E-3</c:v>
                </c:pt>
                <c:pt idx="39">
                  <c:v>3.0860000000000002E-3</c:v>
                </c:pt>
                <c:pt idx="40">
                  <c:v>3.0829999999999994E-3</c:v>
                </c:pt>
                <c:pt idx="41">
                  <c:v>3.075E-3</c:v>
                </c:pt>
                <c:pt idx="42">
                  <c:v>2.6279999999999997E-3</c:v>
                </c:pt>
                <c:pt idx="43">
                  <c:v>2.098E-3</c:v>
                </c:pt>
                <c:pt idx="44">
                  <c:v>1.8919999999999998E-3</c:v>
                </c:pt>
                <c:pt idx="45">
                  <c:v>1.565E-3</c:v>
                </c:pt>
                <c:pt idx="46">
                  <c:v>8.4399999999999992E-4</c:v>
                </c:pt>
                <c:pt idx="47">
                  <c:v>7.9000000000000001E-4</c:v>
                </c:pt>
                <c:pt idx="48">
                  <c:v>7.4899999999999999E-4</c:v>
                </c:pt>
                <c:pt idx="49">
                  <c:v>5.7100000000000011E-4</c:v>
                </c:pt>
                <c:pt idx="50">
                  <c:v>4.7699999999999999E-4</c:v>
                </c:pt>
                <c:pt idx="51">
                  <c:v>4.3499999999999995E-4</c:v>
                </c:pt>
                <c:pt idx="52">
                  <c:v>2.14E-4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0.9974989999999998</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0.75786100000000023</c:v>
                </c:pt>
                <c:pt idx="1">
                  <c:v>0.23524400000000001</c:v>
                </c:pt>
                <c:pt idx="2">
                  <c:v>7.5830000000000003E-3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Auto Components</c:v>
                </c:pt>
                <c:pt idx="1">
                  <c:v>Industrial Products</c:v>
                </c:pt>
                <c:pt idx="2">
                  <c:v>IT - Software</c:v>
                </c:pt>
                <c:pt idx="3">
                  <c:v>Banks</c:v>
                </c:pt>
                <c:pt idx="4">
                  <c:v>Pharmaceuticals &amp; Biotechnology</c:v>
                </c:pt>
                <c:pt idx="5">
                  <c:v>Finance</c:v>
                </c:pt>
                <c:pt idx="6">
                  <c:v>Electrical Equipment</c:v>
                </c:pt>
                <c:pt idx="7">
                  <c:v>Healthcare Services</c:v>
                </c:pt>
                <c:pt idx="8">
                  <c:v>Chemicals &amp; Petrochemicals</c:v>
                </c:pt>
                <c:pt idx="9">
                  <c:v>Consumer Durables</c:v>
                </c:pt>
                <c:pt idx="10">
                  <c:v>Capital Markets</c:v>
                </c:pt>
                <c:pt idx="11">
                  <c:v>Realty</c:v>
                </c:pt>
                <c:pt idx="12">
                  <c:v>Telecom - Services</c:v>
                </c:pt>
                <c:pt idx="13">
                  <c:v>Leisure Services</c:v>
                </c:pt>
                <c:pt idx="14">
                  <c:v>Fertilizers &amp; Agrochemicals</c:v>
                </c:pt>
                <c:pt idx="15">
                  <c:v>Financial Technology (Fintech)</c:v>
                </c:pt>
                <c:pt idx="16">
                  <c:v>Personal Products</c:v>
                </c:pt>
                <c:pt idx="17">
                  <c:v>Agricultural Food &amp; other Products</c:v>
                </c:pt>
                <c:pt idx="18">
                  <c:v>Insurance</c:v>
                </c:pt>
                <c:pt idx="19">
                  <c:v>Ferrous Metals</c:v>
                </c:pt>
                <c:pt idx="20">
                  <c:v>Cement &amp; Cement Products</c:v>
                </c:pt>
                <c:pt idx="21">
                  <c:v>Gas</c:v>
                </c:pt>
                <c:pt idx="22">
                  <c:v>Agricultural, Commercial &amp; Construction Vehicles</c:v>
                </c:pt>
                <c:pt idx="23">
                  <c:v>Power</c:v>
                </c:pt>
                <c:pt idx="24">
                  <c:v>Construction</c:v>
                </c:pt>
                <c:pt idx="25">
                  <c:v>Transport Services</c:v>
                </c:pt>
                <c:pt idx="26">
                  <c:v>Industrial Manufacturing</c:v>
                </c:pt>
                <c:pt idx="27">
                  <c:v>Textiles &amp; Apparels</c:v>
                </c:pt>
                <c:pt idx="28">
                  <c:v>Petroleum Products</c:v>
                </c:pt>
                <c:pt idx="29">
                  <c:v>Retailing</c:v>
                </c:pt>
                <c:pt idx="30">
                  <c:v>Transport Infrastructure</c:v>
                </c:pt>
                <c:pt idx="31">
                  <c:v>IT - Services</c:v>
                </c:pt>
                <c:pt idx="32">
                  <c:v>Oil</c:v>
                </c:pt>
                <c:pt idx="33">
                  <c:v>Minerals &amp; Mining</c:v>
                </c:pt>
                <c:pt idx="34">
                  <c:v>Beverages</c:v>
                </c:pt>
                <c:pt idx="35">
                  <c:v>Diversified</c:v>
                </c:pt>
                <c:pt idx="36">
                  <c:v>Non - Ferrous Metals</c:v>
                </c:pt>
                <c:pt idx="37">
                  <c:v>Aerospace &amp; Defense</c:v>
                </c:pt>
                <c:pt idx="38">
                  <c:v>Entertainment</c:v>
                </c:pt>
              </c:strCache>
            </c:strRef>
          </c:cat>
          <c:val>
            <c:numRef>
              <c:f>'Bandhan Nifty Midcap 150 Index '!$X$8:$X$46</c:f>
              <c:numCache>
                <c:formatCode>0.00%</c:formatCode>
                <c:ptCount val="39"/>
                <c:pt idx="0">
                  <c:v>7.2202999999999989E-2</c:v>
                </c:pt>
                <c:pt idx="1">
                  <c:v>6.9076999999999986E-2</c:v>
                </c:pt>
                <c:pt idx="2">
                  <c:v>6.7646999999999999E-2</c:v>
                </c:pt>
                <c:pt idx="3">
                  <c:v>6.7420000000000008E-2</c:v>
                </c:pt>
                <c:pt idx="4">
                  <c:v>6.7261999999999988E-2</c:v>
                </c:pt>
                <c:pt idx="5">
                  <c:v>6.0307000000000006E-2</c:v>
                </c:pt>
                <c:pt idx="6">
                  <c:v>4.2853000000000002E-2</c:v>
                </c:pt>
                <c:pt idx="7">
                  <c:v>4.1735000000000001E-2</c:v>
                </c:pt>
                <c:pt idx="8">
                  <c:v>3.8761999999999998E-2</c:v>
                </c:pt>
                <c:pt idx="9">
                  <c:v>3.8280000000000002E-2</c:v>
                </c:pt>
                <c:pt idx="10">
                  <c:v>3.7713000000000003E-2</c:v>
                </c:pt>
                <c:pt idx="11">
                  <c:v>3.4181999999999997E-2</c:v>
                </c:pt>
                <c:pt idx="12">
                  <c:v>2.9824999999999997E-2</c:v>
                </c:pt>
                <c:pt idx="13">
                  <c:v>2.9259E-2</c:v>
                </c:pt>
                <c:pt idx="14">
                  <c:v>2.8693999999999997E-2</c:v>
                </c:pt>
                <c:pt idx="15">
                  <c:v>2.5928E-2</c:v>
                </c:pt>
                <c:pt idx="16">
                  <c:v>1.9473000000000001E-2</c:v>
                </c:pt>
                <c:pt idx="17">
                  <c:v>1.8519999999999998E-2</c:v>
                </c:pt>
                <c:pt idx="18">
                  <c:v>1.7210999999999997E-2</c:v>
                </c:pt>
                <c:pt idx="19">
                  <c:v>1.6114E-2</c:v>
                </c:pt>
                <c:pt idx="20">
                  <c:v>1.5158999999999999E-2</c:v>
                </c:pt>
                <c:pt idx="21">
                  <c:v>1.4364E-2</c:v>
                </c:pt>
                <c:pt idx="22">
                  <c:v>1.3391999999999999E-2</c:v>
                </c:pt>
                <c:pt idx="23">
                  <c:v>1.3061E-2</c:v>
                </c:pt>
                <c:pt idx="24">
                  <c:v>1.1932999999999999E-2</c:v>
                </c:pt>
                <c:pt idx="25">
                  <c:v>1.1762999999999999E-2</c:v>
                </c:pt>
                <c:pt idx="26">
                  <c:v>1.1521E-2</c:v>
                </c:pt>
                <c:pt idx="27">
                  <c:v>1.1507E-2</c:v>
                </c:pt>
                <c:pt idx="28">
                  <c:v>1.1426E-2</c:v>
                </c:pt>
                <c:pt idx="29">
                  <c:v>1.0765E-2</c:v>
                </c:pt>
                <c:pt idx="30">
                  <c:v>1.0404E-2</c:v>
                </c:pt>
                <c:pt idx="31">
                  <c:v>8.4070000000000013E-3</c:v>
                </c:pt>
                <c:pt idx="32">
                  <c:v>7.1219999999999999E-3</c:v>
                </c:pt>
                <c:pt idx="33">
                  <c:v>6.7289999999999997E-3</c:v>
                </c:pt>
                <c:pt idx="34">
                  <c:v>5.0130000000000001E-3</c:v>
                </c:pt>
                <c:pt idx="35">
                  <c:v>4.3540000000000002E-3</c:v>
                </c:pt>
                <c:pt idx="36">
                  <c:v>4.1700000000000001E-3</c:v>
                </c:pt>
                <c:pt idx="37">
                  <c:v>3.7390000000000001E-3</c:v>
                </c:pt>
                <c:pt idx="38">
                  <c:v>1.6329999999999999E-3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'!$W$8:$W$25</c:f>
              <c:strCache>
                <c:ptCount val="18"/>
                <c:pt idx="0">
                  <c:v>Banks</c:v>
                </c:pt>
                <c:pt idx="1">
                  <c:v>Petroleum Products</c:v>
                </c:pt>
                <c:pt idx="2">
                  <c:v>Power</c:v>
                </c:pt>
                <c:pt idx="3">
                  <c:v>Ferrous Metals</c:v>
                </c:pt>
                <c:pt idx="4">
                  <c:v>Finance</c:v>
                </c:pt>
                <c:pt idx="5">
                  <c:v>Oil</c:v>
                </c:pt>
                <c:pt idx="6">
                  <c:v>Non - Ferrous Metals</c:v>
                </c:pt>
                <c:pt idx="7">
                  <c:v>Consumable Fuels</c:v>
                </c:pt>
                <c:pt idx="8">
                  <c:v>Cement &amp; Cement Products</c:v>
                </c:pt>
                <c:pt idx="9">
                  <c:v>Automobiles</c:v>
                </c:pt>
                <c:pt idx="10">
                  <c:v>Diversified Metals</c:v>
                </c:pt>
                <c:pt idx="11">
                  <c:v>Fertilizers &amp; Agrochemicals</c:v>
                </c:pt>
                <c:pt idx="12">
                  <c:v>Minerals &amp; Mining</c:v>
                </c:pt>
                <c:pt idx="13">
                  <c:v>Gas</c:v>
                </c:pt>
                <c:pt idx="14">
                  <c:v>Chemicals &amp; Petrochemicals</c:v>
                </c:pt>
                <c:pt idx="15">
                  <c:v>Transport Services</c:v>
                </c:pt>
                <c:pt idx="16">
                  <c:v>Construction</c:v>
                </c:pt>
                <c:pt idx="17">
                  <c:v>Entertainment</c:v>
                </c:pt>
              </c:strCache>
            </c:strRef>
          </c:cat>
          <c:val>
            <c:numRef>
              <c:f>'Bandhan Nifty 500 Value 50 '!$X$8:$X$25</c:f>
              <c:numCache>
                <c:formatCode>0.00%</c:formatCode>
                <c:ptCount val="18"/>
                <c:pt idx="0">
                  <c:v>0.18035499999999999</c:v>
                </c:pt>
                <c:pt idx="1">
                  <c:v>0.11402200000000001</c:v>
                </c:pt>
                <c:pt idx="2">
                  <c:v>0.10988000000000001</c:v>
                </c:pt>
                <c:pt idx="3">
                  <c:v>7.1139999999999995E-2</c:v>
                </c:pt>
                <c:pt idx="4">
                  <c:v>6.8527000000000005E-2</c:v>
                </c:pt>
                <c:pt idx="5">
                  <c:v>6.2370000000000002E-2</c:v>
                </c:pt>
                <c:pt idx="6">
                  <c:v>6.0747000000000002E-2</c:v>
                </c:pt>
                <c:pt idx="7">
                  <c:v>5.3386000000000003E-2</c:v>
                </c:pt>
                <c:pt idx="8">
                  <c:v>5.2708999999999999E-2</c:v>
                </c:pt>
                <c:pt idx="9">
                  <c:v>5.0391999999999999E-2</c:v>
                </c:pt>
                <c:pt idx="10">
                  <c:v>4.9980999999999998E-2</c:v>
                </c:pt>
                <c:pt idx="11">
                  <c:v>4.2187000000000002E-2</c:v>
                </c:pt>
                <c:pt idx="12">
                  <c:v>2.2818000000000001E-2</c:v>
                </c:pt>
                <c:pt idx="13">
                  <c:v>2.2137E-2</c:v>
                </c:pt>
                <c:pt idx="14">
                  <c:v>1.7147000000000003E-2</c:v>
                </c:pt>
                <c:pt idx="15">
                  <c:v>1.2834999999999999E-2</c:v>
                </c:pt>
                <c:pt idx="16">
                  <c:v>7.0109999999999999E-3</c:v>
                </c:pt>
                <c:pt idx="17">
                  <c:v>6.5849999999999997E-3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Pharmaceuticals &amp; Biotechnology</c:v>
                </c:pt>
                <c:pt idx="2">
                  <c:v>Retailing</c:v>
                </c:pt>
                <c:pt idx="3">
                  <c:v>Capital Markets</c:v>
                </c:pt>
                <c:pt idx="4">
                  <c:v>Consumer Durables</c:v>
                </c:pt>
                <c:pt idx="5">
                  <c:v>Automobiles</c:v>
                </c:pt>
                <c:pt idx="6">
                  <c:v>Leisure Services</c:v>
                </c:pt>
                <c:pt idx="7">
                  <c:v>Financial Technology (Fintech)</c:v>
                </c:pt>
                <c:pt idx="8">
                  <c:v>Beverages</c:v>
                </c:pt>
                <c:pt idx="9">
                  <c:v>Electrical Equipment</c:v>
                </c:pt>
                <c:pt idx="10">
                  <c:v>Healthcare Services</c:v>
                </c:pt>
                <c:pt idx="11">
                  <c:v>Chemicals &amp; Petrochemicals</c:v>
                </c:pt>
                <c:pt idx="12">
                  <c:v>Industrial Manufacturing</c:v>
                </c:pt>
                <c:pt idx="13">
                  <c:v>Fertilizers &amp; Agrochemicals</c:v>
                </c:pt>
                <c:pt idx="14">
                  <c:v>Oil</c:v>
                </c:pt>
                <c:pt idx="15">
                  <c:v>Non - Ferrous Metals</c:v>
                </c:pt>
                <c:pt idx="16">
                  <c:v>Ferrous Metals</c:v>
                </c:pt>
                <c:pt idx="17">
                  <c:v>Finance</c:v>
                </c:pt>
                <c:pt idx="18">
                  <c:v>Commercial Services &amp; Supplies</c:v>
                </c:pt>
                <c:pt idx="19">
                  <c:v>Realty</c:v>
                </c:pt>
                <c:pt idx="20">
                  <c:v>Construction</c:v>
                </c:pt>
                <c:pt idx="21">
                  <c:v>Healthcare Equipment &amp; Supplies</c:v>
                </c:pt>
                <c:pt idx="22">
                  <c:v>Cigarettes &amp; Tobacco Products</c:v>
                </c:pt>
                <c:pt idx="23">
                  <c:v>IT - Services</c:v>
                </c:pt>
                <c:pt idx="24">
                  <c:v>Cement &amp; Cement Products</c:v>
                </c:pt>
              </c:strCache>
            </c:strRef>
          </c:cat>
          <c:val>
            <c:numRef>
              <c:f>'Bandhan Nifty 500 Momentum 50 '!$X$8:$X$32</c:f>
              <c:numCache>
                <c:formatCode>0.00%</c:formatCode>
                <c:ptCount val="25"/>
                <c:pt idx="0">
                  <c:v>0.16892799999999999</c:v>
                </c:pt>
                <c:pt idx="1">
                  <c:v>0.14202199999999998</c:v>
                </c:pt>
                <c:pt idx="2">
                  <c:v>0.13446</c:v>
                </c:pt>
                <c:pt idx="3">
                  <c:v>9.4209000000000015E-2</c:v>
                </c:pt>
                <c:pt idx="4">
                  <c:v>9.1637999999999997E-2</c:v>
                </c:pt>
                <c:pt idx="5">
                  <c:v>5.6805000000000001E-2</c:v>
                </c:pt>
                <c:pt idx="6">
                  <c:v>4.8086999999999998E-2</c:v>
                </c:pt>
                <c:pt idx="7">
                  <c:v>3.9609999999999999E-2</c:v>
                </c:pt>
                <c:pt idx="8">
                  <c:v>3.6949999999999997E-2</c:v>
                </c:pt>
                <c:pt idx="9">
                  <c:v>3.6493999999999999E-2</c:v>
                </c:pt>
                <c:pt idx="10">
                  <c:v>2.1793E-2</c:v>
                </c:pt>
                <c:pt idx="11">
                  <c:v>1.9335999999999999E-2</c:v>
                </c:pt>
                <c:pt idx="12">
                  <c:v>1.7564999999999997E-2</c:v>
                </c:pt>
                <c:pt idx="13">
                  <c:v>1.2684000000000001E-2</c:v>
                </c:pt>
                <c:pt idx="14">
                  <c:v>1.2042000000000001E-2</c:v>
                </c:pt>
                <c:pt idx="15">
                  <c:v>1.0963000000000001E-2</c:v>
                </c:pt>
                <c:pt idx="16">
                  <c:v>1.0371E-2</c:v>
                </c:pt>
                <c:pt idx="17">
                  <c:v>9.1629999999999993E-3</c:v>
                </c:pt>
                <c:pt idx="18">
                  <c:v>8.8599999999999998E-3</c:v>
                </c:pt>
                <c:pt idx="19">
                  <c:v>6.7949999999999998E-3</c:v>
                </c:pt>
                <c:pt idx="20">
                  <c:v>6.5050000000000004E-3</c:v>
                </c:pt>
                <c:pt idx="21">
                  <c:v>5.5399999999999998E-3</c:v>
                </c:pt>
                <c:pt idx="22">
                  <c:v>4.0080000000000003E-3</c:v>
                </c:pt>
                <c:pt idx="23">
                  <c:v>2.101E-3</c:v>
                </c:pt>
                <c:pt idx="24">
                  <c:v>2.0609999999999999E-3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Diversified FMCG</c:v>
                </c:pt>
                <c:pt idx="2">
                  <c:v>Food Products</c:v>
                </c:pt>
                <c:pt idx="3">
                  <c:v>Aerospace &amp; Defense</c:v>
                </c:pt>
                <c:pt idx="4">
                  <c:v>Automobiles</c:v>
                </c:pt>
                <c:pt idx="5">
                  <c:v>Personal Products</c:v>
                </c:pt>
                <c:pt idx="6">
                  <c:v>Consumer Durables</c:v>
                </c:pt>
                <c:pt idx="7">
                  <c:v>Consumable Fuels</c:v>
                </c:pt>
                <c:pt idx="8">
                  <c:v>Industrial Products</c:v>
                </c:pt>
                <c:pt idx="9">
                  <c:v>Agricultural Food &amp; other Products</c:v>
                </c:pt>
                <c:pt idx="10">
                  <c:v>Leisure Services</c:v>
                </c:pt>
                <c:pt idx="11">
                  <c:v>Petroleum Products</c:v>
                </c:pt>
                <c:pt idx="12">
                  <c:v>Chemicals &amp; Petrochemicals</c:v>
                </c:pt>
                <c:pt idx="13">
                  <c:v>Capital Markets</c:v>
                </c:pt>
                <c:pt idx="14">
                  <c:v>Textiles &amp; Apparels</c:v>
                </c:pt>
                <c:pt idx="15">
                  <c:v>Gas</c:v>
                </c:pt>
              </c:strCache>
            </c:strRef>
          </c:cat>
          <c:val>
            <c:numRef>
              <c:f>'Bandhan Nifty 200 Quality 30 '!$X$8:$X$23</c:f>
              <c:numCache>
                <c:formatCode>0.00%</c:formatCode>
                <c:ptCount val="16"/>
                <c:pt idx="0">
                  <c:v>0.26094200000000001</c:v>
                </c:pt>
                <c:pt idx="1">
                  <c:v>0.101308</c:v>
                </c:pt>
                <c:pt idx="2">
                  <c:v>0.100005</c:v>
                </c:pt>
                <c:pt idx="3">
                  <c:v>7.2182999999999997E-2</c:v>
                </c:pt>
                <c:pt idx="4">
                  <c:v>6.8433999999999995E-2</c:v>
                </c:pt>
                <c:pt idx="5">
                  <c:v>6.5935999999999995E-2</c:v>
                </c:pt>
                <c:pt idx="6">
                  <c:v>6.4087000000000005E-2</c:v>
                </c:pt>
                <c:pt idx="7">
                  <c:v>5.0757999999999998E-2</c:v>
                </c:pt>
                <c:pt idx="8">
                  <c:v>4.2460999999999999E-2</c:v>
                </c:pt>
                <c:pt idx="9">
                  <c:v>2.8617E-2</c:v>
                </c:pt>
                <c:pt idx="10">
                  <c:v>2.7493000000000004E-2</c:v>
                </c:pt>
                <c:pt idx="11">
                  <c:v>2.6606999999999999E-2</c:v>
                </c:pt>
                <c:pt idx="12">
                  <c:v>2.5010000000000001E-2</c:v>
                </c:pt>
                <c:pt idx="13">
                  <c:v>2.4874E-2</c:v>
                </c:pt>
                <c:pt idx="14">
                  <c:v>2.4693E-2</c:v>
                </c:pt>
                <c:pt idx="15">
                  <c:v>1.353E-2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F81-4F21-8062-3EB142498B6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F81-4F21-8062-3EB142498B6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F81-4F21-8062-3EB142498B6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F81-4F21-8062-3EB142498B6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0.99231800000000003</c:v>
                </c:pt>
                <c:pt idx="1">
                  <c:v>-3.4E-5</c:v>
                </c:pt>
                <c:pt idx="2">
                  <c:v>7.7159999999999998E-3</c:v>
                </c:pt>
              </c:numCache>
            </c:numRef>
          </c:val>
          <c:extLst>
            <c:ext xmlns:c16="http://schemas.microsoft.com/office/drawing/2014/chart" uri="{C3380CC4-5D6E-409C-BE32-E72D297353CC}">
              <c16:uniqueId val="{00000004-FF81-4F21-8062-3EB142498B6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78957</xdr:colOff>
      <xdr:row>7</xdr:row>
      <xdr:rowOff>42441</xdr:rowOff>
    </xdr:from>
    <xdr:to>
      <xdr:col>13</xdr:col>
      <xdr:colOff>767932</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11898</xdr:colOff>
      <xdr:row>7</xdr:row>
      <xdr:rowOff>11908</xdr:rowOff>
    </xdr:from>
    <xdr:to>
      <xdr:col>13</xdr:col>
      <xdr:colOff>705356</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578497</xdr:colOff>
      <xdr:row>7</xdr:row>
      <xdr:rowOff>6997</xdr:rowOff>
    </xdr:from>
    <xdr:to>
      <xdr:col>13</xdr:col>
      <xdr:colOff>762000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D6664DB-D859-45C7-971C-7914EA265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42E300E-5D68-44E1-9BCF-F9D2D909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D92B242-E9A4-4274-AB6B-8D0E689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89" t="s">
        <v>150</v>
      </c>
      <c r="D3" s="289"/>
      <c r="E3" s="289"/>
      <c r="F3" s="289"/>
      <c r="G3" s="289"/>
      <c r="H3" s="289"/>
      <c r="I3" s="289"/>
      <c r="J3" s="289"/>
      <c r="K3" s="289"/>
      <c r="L3" s="289"/>
      <c r="M3" s="290"/>
    </row>
    <row r="4" spans="2:24" ht="15.75" x14ac:dyDescent="0.25">
      <c r="B4" s="93"/>
      <c r="C4" s="67" t="s">
        <v>387</v>
      </c>
      <c r="D4" s="29"/>
      <c r="E4" s="29"/>
      <c r="F4" s="5"/>
      <c r="G4" s="5"/>
      <c r="H4" s="5"/>
      <c r="I4" s="5"/>
      <c r="J4" s="5"/>
      <c r="K4" s="5"/>
      <c r="L4" s="5"/>
      <c r="M4" s="20"/>
    </row>
    <row r="5" spans="2:24" ht="20.25" customHeight="1" x14ac:dyDescent="0.25">
      <c r="B5" s="93"/>
      <c r="C5" s="220" t="s">
        <v>386</v>
      </c>
      <c r="D5" s="94" t="s">
        <v>388</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91" t="s">
        <v>50</v>
      </c>
      <c r="G7" s="291"/>
      <c r="H7" s="291"/>
      <c r="I7" s="291"/>
      <c r="J7" s="291"/>
      <c r="K7" s="291"/>
      <c r="L7" s="291"/>
      <c r="M7" s="292"/>
    </row>
    <row r="8" spans="2:24" ht="30" x14ac:dyDescent="0.2">
      <c r="B8" s="93"/>
      <c r="C8" s="59" t="s">
        <v>90</v>
      </c>
      <c r="D8" s="181">
        <v>0.99668100000000004</v>
      </c>
      <c r="E8" s="5"/>
      <c r="F8" s="5"/>
      <c r="G8" s="31"/>
      <c r="H8" s="5"/>
      <c r="I8" s="5" t="s">
        <v>91</v>
      </c>
      <c r="J8" s="47">
        <f>D9</f>
        <v>0.99668100000000004</v>
      </c>
      <c r="K8" s="5"/>
      <c r="L8" s="5"/>
      <c r="M8" s="20"/>
      <c r="S8" s="49"/>
      <c r="W8" s="3" t="s">
        <v>3</v>
      </c>
      <c r="X8" s="3">
        <v>0.25058799999999998</v>
      </c>
    </row>
    <row r="9" spans="2:24" ht="15.75" x14ac:dyDescent="0.25">
      <c r="B9" s="93"/>
      <c r="C9" s="60" t="s">
        <v>91</v>
      </c>
      <c r="D9" s="182">
        <v>0.99668100000000004</v>
      </c>
      <c r="E9" s="5"/>
      <c r="F9" s="5"/>
      <c r="G9" s="5"/>
      <c r="H9" s="5"/>
      <c r="I9" s="5" t="s">
        <v>20</v>
      </c>
      <c r="J9" s="47">
        <f>D13</f>
        <v>-5.4479999999999997E-3</v>
      </c>
      <c r="K9" s="5"/>
      <c r="L9" s="5"/>
      <c r="M9" s="20"/>
      <c r="S9" s="49"/>
      <c r="W9" s="3" t="s">
        <v>9</v>
      </c>
      <c r="X9" s="3">
        <v>6.1296999999999997E-2</v>
      </c>
    </row>
    <row r="10" spans="2:24" x14ac:dyDescent="0.2">
      <c r="B10" s="93"/>
      <c r="C10" s="168" t="s">
        <v>100</v>
      </c>
      <c r="D10" s="183">
        <v>8.7670000000000005E-3</v>
      </c>
      <c r="E10" s="5"/>
      <c r="F10" s="5"/>
      <c r="G10" s="5"/>
      <c r="I10" s="3" t="s">
        <v>101</v>
      </c>
      <c r="J10" s="47">
        <f>D11</f>
        <v>8.7670000000000005E-3</v>
      </c>
      <c r="K10" s="5"/>
      <c r="L10" s="5"/>
      <c r="M10" s="20"/>
      <c r="S10" s="49"/>
      <c r="W10" s="3" t="s">
        <v>10</v>
      </c>
      <c r="X10" s="3">
        <v>3.0130999999999998E-2</v>
      </c>
    </row>
    <row r="11" spans="2:24" ht="15.75" x14ac:dyDescent="0.2">
      <c r="B11" s="93"/>
      <c r="C11" s="169" t="s">
        <v>101</v>
      </c>
      <c r="D11" s="184">
        <v>8.7670000000000005E-3</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4">
        <v>-5.4479999999999997E-3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93"/>
      <c r="D22" s="293"/>
      <c r="E22" s="293"/>
      <c r="F22" s="293"/>
      <c r="G22" s="293"/>
      <c r="H22" s="293"/>
      <c r="I22" s="293"/>
      <c r="J22" s="293"/>
      <c r="K22" s="293"/>
      <c r="L22" s="293"/>
      <c r="M22" s="294"/>
      <c r="S22" s="49"/>
    </row>
    <row r="23" spans="2:24" ht="15.75" thickBot="1" x14ac:dyDescent="0.25">
      <c r="S23" s="49"/>
    </row>
    <row r="24" spans="2:24" ht="15" customHeight="1" x14ac:dyDescent="0.2">
      <c r="B24" s="295" t="s">
        <v>181</v>
      </c>
      <c r="C24" s="296"/>
      <c r="D24" s="296"/>
      <c r="E24" s="296"/>
      <c r="F24" s="296"/>
      <c r="G24" s="296"/>
      <c r="H24" s="296"/>
      <c r="I24" s="296"/>
      <c r="J24" s="296"/>
      <c r="K24" s="296"/>
      <c r="L24" s="296"/>
      <c r="M24" s="296"/>
      <c r="N24" s="297"/>
      <c r="S24" s="49"/>
    </row>
    <row r="25" spans="2:24" ht="15.75" customHeight="1" x14ac:dyDescent="0.2">
      <c r="B25" s="298"/>
      <c r="C25" s="299"/>
      <c r="D25" s="299"/>
      <c r="E25" s="299"/>
      <c r="F25" s="299"/>
      <c r="G25" s="299"/>
      <c r="H25" s="299"/>
      <c r="I25" s="299"/>
      <c r="J25" s="299"/>
      <c r="K25" s="299"/>
      <c r="L25" s="299"/>
      <c r="M25" s="299"/>
      <c r="N25" s="300"/>
      <c r="S25" s="49"/>
    </row>
    <row r="26" spans="2:24" ht="15.75" customHeight="1" x14ac:dyDescent="0.2">
      <c r="B26" s="298"/>
      <c r="C26" s="299"/>
      <c r="D26" s="299"/>
      <c r="E26" s="299"/>
      <c r="F26" s="299"/>
      <c r="G26" s="299"/>
      <c r="H26" s="299"/>
      <c r="I26" s="299"/>
      <c r="J26" s="299"/>
      <c r="K26" s="299"/>
      <c r="L26" s="299"/>
      <c r="M26" s="299"/>
      <c r="N26" s="300"/>
      <c r="S26" s="49"/>
    </row>
    <row r="27" spans="2:24" ht="15.75" customHeight="1" x14ac:dyDescent="0.2">
      <c r="B27" s="298"/>
      <c r="C27" s="299"/>
      <c r="D27" s="299"/>
      <c r="E27" s="299"/>
      <c r="F27" s="299"/>
      <c r="G27" s="299"/>
      <c r="H27" s="299"/>
      <c r="I27" s="299"/>
      <c r="J27" s="299"/>
      <c r="K27" s="299"/>
      <c r="L27" s="299"/>
      <c r="M27" s="299"/>
      <c r="N27" s="300"/>
      <c r="S27" s="49"/>
    </row>
    <row r="28" spans="2:24" ht="15.75" customHeight="1" x14ac:dyDescent="0.2">
      <c r="B28" s="298"/>
      <c r="C28" s="299"/>
      <c r="D28" s="299"/>
      <c r="E28" s="299"/>
      <c r="F28" s="299"/>
      <c r="G28" s="299"/>
      <c r="H28" s="299"/>
      <c r="I28" s="299"/>
      <c r="J28" s="299"/>
      <c r="K28" s="299"/>
      <c r="L28" s="299"/>
      <c r="M28" s="299"/>
      <c r="N28" s="300"/>
      <c r="S28" s="49"/>
    </row>
    <row r="29" spans="2:24" ht="15.75" customHeight="1" x14ac:dyDescent="0.2">
      <c r="B29" s="298"/>
      <c r="C29" s="299"/>
      <c r="D29" s="299"/>
      <c r="E29" s="299"/>
      <c r="F29" s="299"/>
      <c r="G29" s="299"/>
      <c r="H29" s="299"/>
      <c r="I29" s="299"/>
      <c r="J29" s="299"/>
      <c r="K29" s="299"/>
      <c r="L29" s="299"/>
      <c r="M29" s="299"/>
      <c r="N29" s="300"/>
      <c r="S29" s="49"/>
    </row>
    <row r="30" spans="2:24" ht="28.5" customHeight="1" thickBot="1" x14ac:dyDescent="0.25">
      <c r="B30" s="301"/>
      <c r="C30" s="302"/>
      <c r="D30" s="302"/>
      <c r="E30" s="302"/>
      <c r="F30" s="302"/>
      <c r="G30" s="302"/>
      <c r="H30" s="302"/>
      <c r="I30" s="302"/>
      <c r="J30" s="302"/>
      <c r="K30" s="302"/>
      <c r="L30" s="302"/>
      <c r="M30" s="302"/>
      <c r="N30" s="303"/>
      <c r="S30" s="49"/>
    </row>
    <row r="31" spans="2:24" ht="15.75" thickBot="1" x14ac:dyDescent="0.25">
      <c r="S31" s="49"/>
    </row>
    <row r="32" spans="2:24" x14ac:dyDescent="0.2">
      <c r="B32" s="295" t="s">
        <v>92</v>
      </c>
      <c r="C32" s="296"/>
      <c r="D32" s="296"/>
      <c r="E32" s="296"/>
      <c r="F32" s="296"/>
      <c r="G32" s="296"/>
      <c r="H32" s="296"/>
      <c r="I32" s="296"/>
      <c r="J32" s="296"/>
      <c r="K32" s="296"/>
      <c r="L32" s="296"/>
      <c r="M32" s="296"/>
      <c r="N32" s="297"/>
      <c r="S32" s="49"/>
    </row>
    <row r="33" spans="2:19" x14ac:dyDescent="0.2">
      <c r="B33" s="298"/>
      <c r="C33" s="299"/>
      <c r="D33" s="299"/>
      <c r="E33" s="299"/>
      <c r="F33" s="299"/>
      <c r="G33" s="299"/>
      <c r="H33" s="299"/>
      <c r="I33" s="299"/>
      <c r="J33" s="299"/>
      <c r="K33" s="299"/>
      <c r="L33" s="299"/>
      <c r="M33" s="299"/>
      <c r="N33" s="300"/>
      <c r="S33" s="49"/>
    </row>
    <row r="34" spans="2:19" x14ac:dyDescent="0.2">
      <c r="B34" s="298"/>
      <c r="C34" s="299"/>
      <c r="D34" s="299"/>
      <c r="E34" s="299"/>
      <c r="F34" s="299"/>
      <c r="G34" s="299"/>
      <c r="H34" s="299"/>
      <c r="I34" s="299"/>
      <c r="J34" s="299"/>
      <c r="K34" s="299"/>
      <c r="L34" s="299"/>
      <c r="M34" s="299"/>
      <c r="N34" s="300"/>
      <c r="S34" s="49"/>
    </row>
    <row r="35" spans="2:19" x14ac:dyDescent="0.2">
      <c r="B35" s="298"/>
      <c r="C35" s="299"/>
      <c r="D35" s="299"/>
      <c r="E35" s="299"/>
      <c r="F35" s="299"/>
      <c r="G35" s="299"/>
      <c r="H35" s="299"/>
      <c r="I35" s="299"/>
      <c r="J35" s="299"/>
      <c r="K35" s="299"/>
      <c r="L35" s="299"/>
      <c r="M35" s="299"/>
      <c r="N35" s="300"/>
      <c r="S35" s="49"/>
    </row>
    <row r="36" spans="2:19" x14ac:dyDescent="0.2">
      <c r="B36" s="298"/>
      <c r="C36" s="299"/>
      <c r="D36" s="299"/>
      <c r="E36" s="299"/>
      <c r="F36" s="299"/>
      <c r="G36" s="299"/>
      <c r="H36" s="299"/>
      <c r="I36" s="299"/>
      <c r="J36" s="299"/>
      <c r="K36" s="299"/>
      <c r="L36" s="299"/>
      <c r="M36" s="299"/>
      <c r="N36" s="300"/>
      <c r="S36" s="49"/>
    </row>
    <row r="37" spans="2:19" x14ac:dyDescent="0.2">
      <c r="B37" s="298"/>
      <c r="C37" s="299"/>
      <c r="D37" s="299"/>
      <c r="E37" s="299"/>
      <c r="F37" s="299"/>
      <c r="G37" s="299"/>
      <c r="H37" s="299"/>
      <c r="I37" s="299"/>
      <c r="J37" s="299"/>
      <c r="K37" s="299"/>
      <c r="L37" s="299"/>
      <c r="M37" s="299"/>
      <c r="N37" s="300"/>
      <c r="S37" s="49"/>
    </row>
    <row r="38" spans="2:19" ht="15.75" thickBot="1" x14ac:dyDescent="0.25">
      <c r="B38" s="301"/>
      <c r="C38" s="302"/>
      <c r="D38" s="302"/>
      <c r="E38" s="302"/>
      <c r="F38" s="302"/>
      <c r="G38" s="302"/>
      <c r="H38" s="302"/>
      <c r="I38" s="302"/>
      <c r="J38" s="302"/>
      <c r="K38" s="302"/>
      <c r="L38" s="302"/>
      <c r="M38" s="302"/>
      <c r="N38" s="303"/>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04" t="s">
        <v>171</v>
      </c>
      <c r="D3" s="305"/>
      <c r="E3" s="305"/>
      <c r="F3" s="305"/>
      <c r="G3" s="305"/>
      <c r="H3" s="305"/>
      <c r="I3" s="305"/>
      <c r="J3" s="305"/>
      <c r="K3" s="305"/>
      <c r="L3" s="305"/>
      <c r="M3" s="305"/>
      <c r="N3" s="305"/>
      <c r="O3" s="305"/>
      <c r="P3" s="305"/>
      <c r="Q3" s="305"/>
      <c r="R3" s="305"/>
      <c r="S3" s="305"/>
      <c r="T3" s="25"/>
    </row>
    <row r="4" spans="1:24" ht="15.75" customHeight="1" x14ac:dyDescent="0.25">
      <c r="B4" s="64"/>
      <c r="C4" s="67" t="s">
        <v>387</v>
      </c>
      <c r="D4" s="150"/>
      <c r="E4" s="163"/>
      <c r="F4" s="163"/>
      <c r="G4" s="163"/>
      <c r="H4" s="163"/>
      <c r="I4" s="163"/>
      <c r="J4" s="163"/>
      <c r="K4" s="29"/>
      <c r="L4" s="29"/>
      <c r="M4" s="29"/>
      <c r="N4" s="29"/>
      <c r="O4" s="29"/>
      <c r="P4" s="29"/>
      <c r="Q4" s="29"/>
      <c r="R4" s="29"/>
      <c r="S4" s="29"/>
      <c r="T4" s="25"/>
    </row>
    <row r="5" spans="1:24" ht="18" customHeight="1" x14ac:dyDescent="0.25">
      <c r="B5" s="64"/>
      <c r="C5" s="220" t="s">
        <v>386</v>
      </c>
      <c r="D5" s="306" t="s">
        <v>389</v>
      </c>
      <c r="E5" s="306"/>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2" t="s">
        <v>32</v>
      </c>
      <c r="D8" s="193" t="s">
        <v>3</v>
      </c>
      <c r="E8" s="194">
        <v>4.0795999999999999E-2</v>
      </c>
      <c r="F8" s="135"/>
      <c r="G8" s="29"/>
      <c r="H8" s="29"/>
      <c r="I8" s="29"/>
      <c r="J8" s="29"/>
      <c r="K8" s="29"/>
      <c r="L8" s="29"/>
      <c r="M8" s="29"/>
      <c r="N8" s="29"/>
      <c r="O8" s="29"/>
      <c r="P8" s="29"/>
      <c r="Q8" s="29"/>
      <c r="R8" s="29"/>
      <c r="S8" s="29"/>
      <c r="T8" s="25"/>
      <c r="W8" s="231" t="s">
        <v>3</v>
      </c>
      <c r="X8" s="234">
        <v>0.14995900000000001</v>
      </c>
    </row>
    <row r="9" spans="1:24" ht="15.75" customHeight="1" x14ac:dyDescent="0.25">
      <c r="B9" s="64"/>
      <c r="C9" s="187" t="s">
        <v>29</v>
      </c>
      <c r="D9" s="195" t="s">
        <v>3</v>
      </c>
      <c r="E9" s="196">
        <v>3.7136000000000002E-2</v>
      </c>
      <c r="F9" s="135"/>
      <c r="G9" s="29"/>
      <c r="H9" s="29"/>
      <c r="I9" s="29"/>
      <c r="J9" s="29"/>
      <c r="K9" s="29"/>
      <c r="L9" s="29"/>
      <c r="M9" s="29"/>
      <c r="N9" s="29"/>
      <c r="O9" s="29"/>
      <c r="P9" s="29"/>
      <c r="Q9" s="29"/>
      <c r="R9" s="29"/>
      <c r="S9" s="29"/>
      <c r="T9" s="25"/>
      <c r="W9" s="231" t="s">
        <v>106</v>
      </c>
      <c r="X9" s="234">
        <v>8.8455000000000006E-2</v>
      </c>
    </row>
    <row r="10" spans="1:24" ht="15" customHeight="1" x14ac:dyDescent="0.25">
      <c r="B10" s="64"/>
      <c r="C10" s="187" t="s">
        <v>28</v>
      </c>
      <c r="D10" s="195" t="s">
        <v>106</v>
      </c>
      <c r="E10" s="196">
        <v>3.0287000000000001E-2</v>
      </c>
      <c r="F10" s="135"/>
      <c r="G10" s="29"/>
      <c r="H10" s="29"/>
      <c r="I10" s="29"/>
      <c r="J10" s="29"/>
      <c r="K10" s="29"/>
      <c r="L10" s="29"/>
      <c r="M10" s="29"/>
      <c r="N10" s="29"/>
      <c r="O10" s="29"/>
      <c r="P10" s="29"/>
      <c r="Q10" s="29"/>
      <c r="R10" s="29"/>
      <c r="S10" s="29"/>
      <c r="T10" s="25"/>
      <c r="W10" s="231" t="s">
        <v>110</v>
      </c>
      <c r="X10" s="234">
        <v>8.7473999999999996E-2</v>
      </c>
    </row>
    <row r="11" spans="1:24" ht="15" customHeight="1" x14ac:dyDescent="0.25">
      <c r="B11" s="64"/>
      <c r="C11" s="187" t="s">
        <v>70</v>
      </c>
      <c r="D11" s="195" t="s">
        <v>12</v>
      </c>
      <c r="E11" s="196">
        <v>2.6703999999999999E-2</v>
      </c>
      <c r="F11" s="135"/>
      <c r="G11" s="29"/>
      <c r="H11" s="29"/>
      <c r="I11" s="29"/>
      <c r="J11" s="29"/>
      <c r="K11" s="29"/>
      <c r="L11" s="29"/>
      <c r="M11" s="29"/>
      <c r="N11" s="29"/>
      <c r="O11" s="29"/>
      <c r="P11" s="29"/>
      <c r="Q11" s="29"/>
      <c r="R11" s="29"/>
      <c r="S11" s="29"/>
      <c r="T11" s="25"/>
      <c r="W11" s="231" t="s">
        <v>4</v>
      </c>
      <c r="X11" s="234">
        <v>6.0677999999999989E-2</v>
      </c>
    </row>
    <row r="12" spans="1:24" ht="15" customHeight="1" x14ac:dyDescent="0.25">
      <c r="B12" s="64"/>
      <c r="C12" s="187" t="s">
        <v>252</v>
      </c>
      <c r="D12" s="195" t="s">
        <v>4</v>
      </c>
      <c r="E12" s="196">
        <v>2.5604999999999999E-2</v>
      </c>
      <c r="F12" s="135"/>
      <c r="G12" s="29"/>
      <c r="H12" s="29"/>
      <c r="I12" s="29"/>
      <c r="J12" s="29"/>
      <c r="K12" s="29"/>
      <c r="L12" s="29"/>
      <c r="M12" s="29"/>
      <c r="N12" s="29"/>
      <c r="O12" s="29"/>
      <c r="P12" s="29"/>
      <c r="Q12" s="29"/>
      <c r="R12" s="29"/>
      <c r="S12" s="29"/>
      <c r="T12" s="25"/>
      <c r="W12" s="231" t="s">
        <v>26</v>
      </c>
      <c r="X12" s="234">
        <v>4.0535000000000002E-2</v>
      </c>
    </row>
    <row r="13" spans="1:24" ht="15" customHeight="1" x14ac:dyDescent="0.25">
      <c r="B13" s="64"/>
      <c r="C13" s="187" t="s">
        <v>31</v>
      </c>
      <c r="D13" s="195" t="s">
        <v>6</v>
      </c>
      <c r="E13" s="196">
        <v>2.0256E-2</v>
      </c>
      <c r="F13" s="135"/>
      <c r="G13" s="29"/>
      <c r="H13" s="29"/>
      <c r="I13" s="29"/>
      <c r="J13" s="29"/>
      <c r="K13" s="29"/>
      <c r="L13" s="29"/>
      <c r="M13" s="29"/>
      <c r="N13" s="29"/>
      <c r="O13" s="29"/>
      <c r="P13" s="29"/>
      <c r="Q13" s="29"/>
      <c r="R13" s="29"/>
      <c r="S13" s="29"/>
      <c r="T13" s="25"/>
      <c r="W13" s="231" t="s">
        <v>112</v>
      </c>
      <c r="X13" s="234">
        <v>3.1199999999999999E-2</v>
      </c>
    </row>
    <row r="14" spans="1:24" ht="15" customHeight="1" x14ac:dyDescent="0.25">
      <c r="B14" s="64"/>
      <c r="C14" s="187" t="s">
        <v>278</v>
      </c>
      <c r="D14" s="195" t="s">
        <v>183</v>
      </c>
      <c r="E14" s="196">
        <v>1.9713000000000001E-2</v>
      </c>
      <c r="F14" s="135"/>
      <c r="G14" s="29"/>
      <c r="H14" s="29"/>
      <c r="I14" s="29"/>
      <c r="J14" s="29"/>
      <c r="K14" s="29"/>
      <c r="L14" s="29"/>
      <c r="M14" s="29"/>
      <c r="N14" s="29"/>
      <c r="O14" s="29"/>
      <c r="P14" s="29"/>
      <c r="Q14" s="29"/>
      <c r="R14" s="29"/>
      <c r="S14" s="29"/>
      <c r="T14" s="25"/>
      <c r="W14" s="231" t="s">
        <v>183</v>
      </c>
      <c r="X14" s="234">
        <v>2.9177000000000002E-2</v>
      </c>
    </row>
    <row r="15" spans="1:24" ht="15.75" x14ac:dyDescent="0.25">
      <c r="B15" s="64"/>
      <c r="C15" s="187" t="s">
        <v>36</v>
      </c>
      <c r="D15" s="195" t="s">
        <v>3</v>
      </c>
      <c r="E15" s="196">
        <v>1.9008000000000001E-2</v>
      </c>
      <c r="F15" s="135"/>
      <c r="G15" s="29"/>
      <c r="H15" s="29"/>
      <c r="I15" s="29"/>
      <c r="J15" s="29"/>
      <c r="K15" s="29"/>
      <c r="L15" s="29"/>
      <c r="M15" s="29"/>
      <c r="N15" s="29"/>
      <c r="O15" s="29"/>
      <c r="P15" s="29"/>
      <c r="Q15" s="29"/>
      <c r="R15" s="29"/>
      <c r="S15" s="29"/>
      <c r="T15" s="25"/>
      <c r="W15" s="231" t="s">
        <v>76</v>
      </c>
      <c r="X15" s="234">
        <v>2.6726E-2</v>
      </c>
    </row>
    <row r="16" spans="1:24" ht="15" customHeight="1" x14ac:dyDescent="0.25">
      <c r="B16" s="64"/>
      <c r="C16" s="187" t="s">
        <v>30</v>
      </c>
      <c r="D16" s="195" t="s">
        <v>116</v>
      </c>
      <c r="E16" s="196">
        <v>1.8391000000000001E-2</v>
      </c>
      <c r="F16" s="135"/>
      <c r="G16" s="29"/>
      <c r="H16" s="29"/>
      <c r="I16" s="29"/>
      <c r="J16" s="29"/>
      <c r="K16" s="29"/>
      <c r="L16" s="29"/>
      <c r="M16" s="29"/>
      <c r="N16" s="29"/>
      <c r="O16" s="29"/>
      <c r="P16" s="29"/>
      <c r="Q16" s="29"/>
      <c r="R16" s="29"/>
      <c r="S16" s="29"/>
      <c r="T16" s="25"/>
      <c r="W16" s="231" t="s">
        <v>12</v>
      </c>
      <c r="X16" s="234">
        <v>2.6703999999999999E-2</v>
      </c>
    </row>
    <row r="17" spans="2:24" ht="15.75" x14ac:dyDescent="0.25">
      <c r="B17" s="64"/>
      <c r="C17" s="187" t="s">
        <v>34</v>
      </c>
      <c r="D17" s="195" t="s">
        <v>23</v>
      </c>
      <c r="E17" s="196">
        <v>1.6705000000000001E-2</v>
      </c>
      <c r="F17" s="135"/>
      <c r="G17" s="29"/>
      <c r="H17" s="29"/>
      <c r="I17" s="29"/>
      <c r="J17" s="29"/>
      <c r="K17" s="29"/>
      <c r="L17" s="29"/>
      <c r="M17" s="29"/>
      <c r="N17" s="29"/>
      <c r="O17" s="29"/>
      <c r="P17" s="29"/>
      <c r="Q17" s="29"/>
      <c r="R17" s="29"/>
      <c r="S17" s="29"/>
      <c r="T17" s="25"/>
      <c r="W17" s="231" t="s">
        <v>6</v>
      </c>
      <c r="X17" s="234">
        <v>2.6653E-2</v>
      </c>
    </row>
    <row r="18" spans="2:24" ht="15.75" x14ac:dyDescent="0.25">
      <c r="B18" s="64"/>
      <c r="C18" s="187" t="s">
        <v>371</v>
      </c>
      <c r="D18" s="195" t="s">
        <v>3</v>
      </c>
      <c r="E18" s="196">
        <v>1.6049000000000001E-2</v>
      </c>
      <c r="F18" s="135"/>
      <c r="G18" s="29"/>
      <c r="H18" s="29"/>
      <c r="I18" s="29"/>
      <c r="J18" s="29"/>
      <c r="K18" s="29"/>
      <c r="L18" s="29"/>
      <c r="M18" s="29"/>
      <c r="N18" s="29"/>
      <c r="O18" s="29"/>
      <c r="P18" s="29"/>
      <c r="Q18" s="29"/>
      <c r="R18" s="29"/>
      <c r="S18" s="29"/>
      <c r="T18" s="25"/>
      <c r="W18" s="231" t="s">
        <v>123</v>
      </c>
      <c r="X18" s="234">
        <v>2.3383000000000001E-2</v>
      </c>
    </row>
    <row r="19" spans="2:24" ht="15.75" x14ac:dyDescent="0.25">
      <c r="B19" s="64"/>
      <c r="C19" s="187" t="s">
        <v>338</v>
      </c>
      <c r="D19" s="195" t="s">
        <v>145</v>
      </c>
      <c r="E19" s="196">
        <v>1.5571E-2</v>
      </c>
      <c r="F19" s="135"/>
      <c r="G19" s="29"/>
      <c r="H19" s="29"/>
      <c r="I19" s="29"/>
      <c r="J19" s="29"/>
      <c r="K19" s="29"/>
      <c r="L19" s="29"/>
      <c r="M19" s="29"/>
      <c r="N19" s="29"/>
      <c r="O19" s="29"/>
      <c r="P19" s="29"/>
      <c r="Q19" s="29"/>
      <c r="R19" s="29"/>
      <c r="S19" s="29"/>
      <c r="T19" s="25"/>
      <c r="W19" s="231" t="s">
        <v>105</v>
      </c>
      <c r="X19" s="234">
        <v>2.3348000000000001E-2</v>
      </c>
    </row>
    <row r="20" spans="2:24" ht="15" customHeight="1" x14ac:dyDescent="0.25">
      <c r="B20" s="64"/>
      <c r="C20" s="187" t="s">
        <v>33</v>
      </c>
      <c r="D20" s="195" t="s">
        <v>106</v>
      </c>
      <c r="E20" s="196">
        <v>1.5035E-2</v>
      </c>
      <c r="F20" s="135"/>
      <c r="G20" s="29"/>
      <c r="H20" s="29"/>
      <c r="I20" s="29"/>
      <c r="J20" s="29"/>
      <c r="K20" s="29"/>
      <c r="L20" s="29"/>
      <c r="M20" s="29"/>
      <c r="N20" s="29"/>
      <c r="O20" s="29"/>
      <c r="P20" s="29"/>
      <c r="Q20" s="29"/>
      <c r="R20" s="29"/>
      <c r="S20" s="29"/>
      <c r="T20" s="25"/>
      <c r="W20" s="231" t="s">
        <v>109</v>
      </c>
      <c r="X20" s="234">
        <v>2.2782999999999998E-2</v>
      </c>
    </row>
    <row r="21" spans="2:24" ht="17.25" customHeight="1" x14ac:dyDescent="0.25">
      <c r="B21" s="64"/>
      <c r="C21" s="187" t="s">
        <v>327</v>
      </c>
      <c r="D21" s="195" t="s">
        <v>15</v>
      </c>
      <c r="E21" s="196">
        <v>1.4907999999999999E-2</v>
      </c>
      <c r="F21" s="135"/>
      <c r="G21" s="29"/>
      <c r="H21" s="29"/>
      <c r="I21" s="29"/>
      <c r="J21" s="29"/>
      <c r="K21" s="29"/>
      <c r="L21" s="29"/>
      <c r="M21" s="29"/>
      <c r="N21" s="29"/>
      <c r="O21" s="29"/>
      <c r="P21" s="29"/>
      <c r="Q21" s="29"/>
      <c r="R21" s="29"/>
      <c r="S21" s="29"/>
      <c r="T21" s="25"/>
      <c r="W21" s="231" t="s">
        <v>16</v>
      </c>
      <c r="X21" s="234">
        <v>2.1756000000000001E-2</v>
      </c>
    </row>
    <row r="22" spans="2:24" ht="15" customHeight="1" x14ac:dyDescent="0.25">
      <c r="B22" s="64"/>
      <c r="C22" s="187" t="s">
        <v>361</v>
      </c>
      <c r="D22" s="195" t="s">
        <v>3</v>
      </c>
      <c r="E22" s="196">
        <v>1.4874999999999999E-2</v>
      </c>
      <c r="F22" s="135"/>
      <c r="G22" s="29"/>
      <c r="H22" s="29"/>
      <c r="I22" s="29"/>
      <c r="J22" s="29"/>
      <c r="K22" s="29"/>
      <c r="L22" s="29"/>
      <c r="M22" s="29"/>
      <c r="N22" s="29"/>
      <c r="O22" s="29"/>
      <c r="P22" s="29"/>
      <c r="Q22" s="29"/>
      <c r="R22" s="29"/>
      <c r="S22" s="29"/>
      <c r="T22" s="25"/>
      <c r="W22" s="231" t="s">
        <v>23</v>
      </c>
      <c r="X22" s="234">
        <v>2.0199000000000002E-2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1" t="s">
        <v>116</v>
      </c>
      <c r="X23" s="234">
        <v>1.8391000000000001E-2</v>
      </c>
    </row>
    <row r="24" spans="2:24" ht="15" customHeight="1" x14ac:dyDescent="0.25">
      <c r="B24" s="64"/>
      <c r="C24" s="164" t="s">
        <v>55</v>
      </c>
      <c r="D24" s="165"/>
      <c r="E24" s="166">
        <f>SUM(E8:E22)</f>
        <v>0.33103899999999997</v>
      </c>
      <c r="F24" s="29"/>
      <c r="G24" s="29"/>
      <c r="H24" s="29"/>
      <c r="I24" s="29"/>
      <c r="J24" s="29"/>
      <c r="K24" s="29"/>
      <c r="L24" s="29"/>
      <c r="M24" s="29"/>
      <c r="N24" s="29"/>
      <c r="O24" s="29"/>
      <c r="P24" s="29"/>
      <c r="Q24" s="29"/>
      <c r="R24" s="29"/>
      <c r="S24" s="29"/>
      <c r="T24" s="25"/>
      <c r="W24" s="231" t="s">
        <v>24</v>
      </c>
      <c r="X24" s="234">
        <v>1.7077000000000002E-2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1" t="s">
        <v>82</v>
      </c>
      <c r="X25" s="234">
        <v>1.6494999999999999E-2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1" t="s">
        <v>111</v>
      </c>
      <c r="X26" s="234">
        <v>1.5833E-2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1" t="s">
        <v>145</v>
      </c>
      <c r="X27" s="234">
        <v>1.5571E-2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1" t="s">
        <v>15</v>
      </c>
      <c r="X28" s="234">
        <v>1.4907999999999999E-2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1" t="s">
        <v>10</v>
      </c>
      <c r="X29" s="234">
        <v>1.4596E-2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1" t="s">
        <v>121</v>
      </c>
      <c r="X30" s="234">
        <v>1.3649000000000001E-2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1" t="s">
        <v>85</v>
      </c>
      <c r="X31" s="234">
        <v>1.3454000000000001E-2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1" t="s">
        <v>86</v>
      </c>
      <c r="X32" s="234">
        <v>1.2854000000000001E-2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1" t="s">
        <v>132</v>
      </c>
      <c r="X33" s="234">
        <v>1.2649000000000001E-2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1" t="s">
        <v>117</v>
      </c>
      <c r="X34" s="234">
        <v>1.0874E-2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1" t="s">
        <v>13</v>
      </c>
      <c r="X35" s="234">
        <v>1.0522999999999999E-2</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1" t="s">
        <v>122</v>
      </c>
      <c r="X36" s="234">
        <v>9.8429999999999993E-3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1" t="s">
        <v>115</v>
      </c>
      <c r="X37" s="234">
        <v>9.7630000000000008E-3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1" t="s">
        <v>118</v>
      </c>
      <c r="X38" s="234">
        <v>9.3749999999999997E-3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1" t="s">
        <v>84</v>
      </c>
      <c r="X39" s="234">
        <v>7.783E-3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1" t="s">
        <v>107</v>
      </c>
      <c r="X40" s="234">
        <v>6.6600000000000001E-3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1" t="s">
        <v>83</v>
      </c>
      <c r="X41" s="234">
        <v>5.8770000000000003E-3</v>
      </c>
    </row>
    <row r="42" spans="2:24" ht="15" customHeight="1" x14ac:dyDescent="0.25">
      <c r="B42" s="295" t="s">
        <v>181</v>
      </c>
      <c r="C42" s="296"/>
      <c r="D42" s="296"/>
      <c r="E42" s="296"/>
      <c r="F42" s="296"/>
      <c r="G42" s="296"/>
      <c r="H42" s="296"/>
      <c r="I42" s="296"/>
      <c r="J42" s="296"/>
      <c r="K42" s="296"/>
      <c r="L42" s="296"/>
      <c r="M42" s="296"/>
      <c r="N42" s="296"/>
      <c r="O42" s="296"/>
      <c r="P42" s="296"/>
      <c r="Q42" s="296"/>
      <c r="R42" s="297"/>
      <c r="T42" s="29"/>
      <c r="W42" s="231" t="s">
        <v>130</v>
      </c>
      <c r="X42" s="234">
        <v>5.2269999999999999E-3</v>
      </c>
    </row>
    <row r="43" spans="2:24" ht="15" customHeight="1" x14ac:dyDescent="0.25">
      <c r="B43" s="298"/>
      <c r="C43" s="299"/>
      <c r="D43" s="299"/>
      <c r="E43" s="299"/>
      <c r="F43" s="299"/>
      <c r="G43" s="299"/>
      <c r="H43" s="299"/>
      <c r="I43" s="299"/>
      <c r="J43" s="299"/>
      <c r="K43" s="299"/>
      <c r="L43" s="299"/>
      <c r="M43" s="299"/>
      <c r="N43" s="299"/>
      <c r="O43" s="299"/>
      <c r="P43" s="299"/>
      <c r="Q43" s="299"/>
      <c r="R43" s="300"/>
      <c r="T43" s="29"/>
      <c r="W43" s="231" t="s">
        <v>114</v>
      </c>
      <c r="X43" s="234">
        <v>4.6810000000000003E-3</v>
      </c>
    </row>
    <row r="44" spans="2:24" ht="15" customHeight="1" x14ac:dyDescent="0.25">
      <c r="B44" s="298"/>
      <c r="C44" s="299"/>
      <c r="D44" s="299"/>
      <c r="E44" s="299"/>
      <c r="F44" s="299"/>
      <c r="G44" s="299"/>
      <c r="H44" s="299"/>
      <c r="I44" s="299"/>
      <c r="J44" s="299"/>
      <c r="K44" s="299"/>
      <c r="L44" s="299"/>
      <c r="M44" s="299"/>
      <c r="N44" s="299"/>
      <c r="O44" s="299"/>
      <c r="P44" s="299"/>
      <c r="Q44" s="299"/>
      <c r="R44" s="300"/>
      <c r="T44" s="29"/>
      <c r="W44" s="231" t="s">
        <v>94</v>
      </c>
      <c r="X44" s="234">
        <v>4.529E-3</v>
      </c>
    </row>
    <row r="45" spans="2:24" ht="15" customHeight="1" x14ac:dyDescent="0.25">
      <c r="B45" s="298"/>
      <c r="C45" s="299"/>
      <c r="D45" s="299"/>
      <c r="E45" s="299"/>
      <c r="F45" s="299"/>
      <c r="G45" s="299"/>
      <c r="H45" s="299"/>
      <c r="I45" s="299"/>
      <c r="J45" s="299"/>
      <c r="K45" s="299"/>
      <c r="L45" s="299"/>
      <c r="M45" s="299"/>
      <c r="N45" s="299"/>
      <c r="O45" s="299"/>
      <c r="P45" s="299"/>
      <c r="Q45" s="299"/>
      <c r="R45" s="300"/>
      <c r="T45" s="29"/>
      <c r="W45" s="231" t="s">
        <v>11</v>
      </c>
      <c r="X45" s="234">
        <v>4.4510000000000001E-3</v>
      </c>
    </row>
    <row r="46" spans="2:24" ht="15" customHeight="1" x14ac:dyDescent="0.25">
      <c r="B46" s="298"/>
      <c r="C46" s="299"/>
      <c r="D46" s="299"/>
      <c r="E46" s="299"/>
      <c r="F46" s="299"/>
      <c r="G46" s="299"/>
      <c r="H46" s="299"/>
      <c r="I46" s="299"/>
      <c r="J46" s="299"/>
      <c r="K46" s="299"/>
      <c r="L46" s="299"/>
      <c r="M46" s="299"/>
      <c r="N46" s="299"/>
      <c r="O46" s="299"/>
      <c r="P46" s="299"/>
      <c r="Q46" s="299"/>
      <c r="R46" s="300"/>
      <c r="T46" s="29"/>
      <c r="W46" s="39" t="s">
        <v>113</v>
      </c>
      <c r="X46" s="234">
        <v>4.3169999999999997E-3</v>
      </c>
    </row>
    <row r="47" spans="2:24" ht="15" customHeight="1" x14ac:dyDescent="0.25">
      <c r="B47" s="298"/>
      <c r="C47" s="299"/>
      <c r="D47" s="299"/>
      <c r="E47" s="299"/>
      <c r="F47" s="299"/>
      <c r="G47" s="299"/>
      <c r="H47" s="299"/>
      <c r="I47" s="299"/>
      <c r="J47" s="299"/>
      <c r="K47" s="299"/>
      <c r="L47" s="299"/>
      <c r="M47" s="299"/>
      <c r="N47" s="299"/>
      <c r="O47" s="299"/>
      <c r="P47" s="299"/>
      <c r="Q47" s="299"/>
      <c r="R47" s="300"/>
      <c r="T47" s="29"/>
      <c r="W47" s="39" t="s">
        <v>120</v>
      </c>
      <c r="X47" s="234">
        <v>3.4380000000000001E-3</v>
      </c>
    </row>
    <row r="48" spans="2:24" ht="15" customHeight="1" thickBot="1" x14ac:dyDescent="0.3">
      <c r="B48" s="301"/>
      <c r="C48" s="302"/>
      <c r="D48" s="302"/>
      <c r="E48" s="302"/>
      <c r="F48" s="302"/>
      <c r="G48" s="302"/>
      <c r="H48" s="302"/>
      <c r="I48" s="302"/>
      <c r="J48" s="302"/>
      <c r="K48" s="302"/>
      <c r="L48" s="302"/>
      <c r="M48" s="302"/>
      <c r="N48" s="302"/>
      <c r="O48" s="302"/>
      <c r="P48" s="302"/>
      <c r="Q48" s="302"/>
      <c r="R48" s="303"/>
      <c r="T48" s="29"/>
      <c r="W48" s="39" t="s">
        <v>125</v>
      </c>
      <c r="X48" s="234">
        <v>2.4859999999999999E-3</v>
      </c>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04" t="s">
        <v>170</v>
      </c>
      <c r="D3" s="305"/>
      <c r="E3" s="305"/>
      <c r="F3" s="305"/>
      <c r="G3" s="305"/>
      <c r="H3" s="305"/>
      <c r="I3" s="305"/>
      <c r="J3" s="305"/>
      <c r="K3" s="305"/>
      <c r="L3" s="305"/>
      <c r="M3" s="305"/>
      <c r="N3" s="305"/>
      <c r="O3" s="305"/>
      <c r="P3" s="305"/>
      <c r="Q3" s="305"/>
      <c r="R3" s="305"/>
      <c r="S3" s="305"/>
      <c r="T3" s="25"/>
    </row>
    <row r="4" spans="1:24" ht="15.75" customHeight="1" x14ac:dyDescent="0.25">
      <c r="B4" s="64"/>
      <c r="C4" s="67" t="s">
        <v>387</v>
      </c>
      <c r="D4" s="150"/>
      <c r="E4" s="29"/>
      <c r="F4" s="29"/>
      <c r="G4" s="29"/>
      <c r="H4" s="29"/>
      <c r="I4" s="29"/>
      <c r="J4" s="29"/>
      <c r="K4" s="29"/>
      <c r="L4" s="29"/>
      <c r="M4" s="29"/>
      <c r="N4" s="29"/>
      <c r="O4" s="29"/>
      <c r="P4" s="29"/>
      <c r="Q4" s="29"/>
      <c r="R4" s="29"/>
      <c r="S4" s="29"/>
      <c r="T4" s="25"/>
    </row>
    <row r="5" spans="1:24" ht="18" customHeight="1" x14ac:dyDescent="0.25">
      <c r="B5" s="64"/>
      <c r="C5" s="220" t="s">
        <v>386</v>
      </c>
      <c r="D5" s="306" t="s">
        <v>390</v>
      </c>
      <c r="E5" s="306"/>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0" t="s">
        <v>32</v>
      </c>
      <c r="D8" s="193" t="s">
        <v>3</v>
      </c>
      <c r="E8" s="194">
        <v>9.1823000000000002E-2</v>
      </c>
      <c r="F8" s="29"/>
      <c r="G8" s="29"/>
      <c r="H8" s="29"/>
      <c r="I8" s="29"/>
      <c r="J8" s="29"/>
      <c r="K8" s="29"/>
      <c r="L8" s="29"/>
      <c r="M8" s="29"/>
      <c r="N8" s="29"/>
      <c r="O8" s="29"/>
      <c r="P8" s="29"/>
      <c r="Q8" s="29"/>
      <c r="R8" s="29"/>
      <c r="S8" s="29"/>
      <c r="T8" s="25"/>
      <c r="W8" s="173" t="s">
        <v>3</v>
      </c>
      <c r="X8" s="174">
        <v>0.23519800000000002</v>
      </c>
    </row>
    <row r="9" spans="1:24" ht="15.75" customHeight="1" x14ac:dyDescent="0.25">
      <c r="B9" s="64"/>
      <c r="C9" s="201" t="s">
        <v>29</v>
      </c>
      <c r="D9" s="195" t="s">
        <v>3</v>
      </c>
      <c r="E9" s="196">
        <v>8.8939000000000004E-2</v>
      </c>
      <c r="F9" s="29"/>
      <c r="G9" s="29"/>
      <c r="H9" s="29"/>
      <c r="I9" s="29"/>
      <c r="J9" s="29"/>
      <c r="K9" s="29"/>
      <c r="L9" s="29"/>
      <c r="M9" s="29"/>
      <c r="N9" s="29"/>
      <c r="O9" s="29"/>
      <c r="P9" s="29"/>
      <c r="Q9" s="29"/>
      <c r="R9" s="29"/>
      <c r="S9" s="29"/>
      <c r="T9" s="25"/>
      <c r="W9" s="173" t="s">
        <v>106</v>
      </c>
      <c r="X9" s="174">
        <v>0.13194499999999998</v>
      </c>
    </row>
    <row r="10" spans="1:24" ht="15" customHeight="1" x14ac:dyDescent="0.25">
      <c r="B10" s="64"/>
      <c r="C10" s="201" t="s">
        <v>31</v>
      </c>
      <c r="D10" s="195" t="s">
        <v>6</v>
      </c>
      <c r="E10" s="196">
        <v>7.3282E-2</v>
      </c>
      <c r="F10" s="29"/>
      <c r="G10" s="29"/>
      <c r="H10" s="29"/>
      <c r="I10" s="29"/>
      <c r="J10" s="29"/>
      <c r="K10" s="29"/>
      <c r="L10" s="29"/>
      <c r="M10" s="29"/>
      <c r="N10" s="29"/>
      <c r="O10" s="29"/>
      <c r="P10" s="29"/>
      <c r="Q10" s="29"/>
      <c r="R10" s="29"/>
      <c r="S10" s="29"/>
      <c r="T10" s="25"/>
      <c r="W10" s="173" t="s">
        <v>6</v>
      </c>
      <c r="X10" s="174">
        <v>7.3282E-2</v>
      </c>
    </row>
    <row r="11" spans="1:24" ht="15" customHeight="1" x14ac:dyDescent="0.25">
      <c r="B11" s="64"/>
      <c r="C11" s="201" t="s">
        <v>28</v>
      </c>
      <c r="D11" s="195" t="s">
        <v>106</v>
      </c>
      <c r="E11" s="196">
        <v>6.9669999999999996E-2</v>
      </c>
      <c r="F11" s="29"/>
      <c r="G11" s="29"/>
      <c r="H11" s="29"/>
      <c r="I11" s="29"/>
      <c r="J11" s="29"/>
      <c r="K11" s="29"/>
      <c r="L11" s="29"/>
      <c r="M11" s="29"/>
      <c r="N11" s="29"/>
      <c r="O11" s="29"/>
      <c r="P11" s="29"/>
      <c r="Q11" s="29"/>
      <c r="R11" s="29"/>
      <c r="S11" s="29"/>
      <c r="T11" s="25"/>
      <c r="W11" s="173" t="s">
        <v>111</v>
      </c>
      <c r="X11" s="174">
        <v>6.4449000000000006E-2</v>
      </c>
    </row>
    <row r="12" spans="1:24" ht="15" customHeight="1" x14ac:dyDescent="0.25">
      <c r="B12" s="64"/>
      <c r="C12" s="201" t="s">
        <v>119</v>
      </c>
      <c r="D12" s="195" t="s">
        <v>111</v>
      </c>
      <c r="E12" s="196">
        <v>4.4169E-2</v>
      </c>
      <c r="F12" s="29"/>
      <c r="G12" s="29"/>
      <c r="H12" s="29"/>
      <c r="I12" s="29"/>
      <c r="J12" s="29"/>
      <c r="K12" s="29"/>
      <c r="L12" s="29"/>
      <c r="M12" s="29"/>
      <c r="N12" s="29"/>
      <c r="O12" s="29"/>
      <c r="P12" s="29"/>
      <c r="Q12" s="29"/>
      <c r="R12" s="29"/>
      <c r="S12" s="29"/>
      <c r="T12" s="25"/>
      <c r="W12" s="173" t="s">
        <v>110</v>
      </c>
      <c r="X12" s="174">
        <v>6.0759999999999995E-2</v>
      </c>
    </row>
    <row r="13" spans="1:24" ht="15" customHeight="1" x14ac:dyDescent="0.25">
      <c r="B13" s="64"/>
      <c r="C13" s="201" t="s">
        <v>70</v>
      </c>
      <c r="D13" s="195" t="s">
        <v>12</v>
      </c>
      <c r="E13" s="196">
        <v>3.4414E-2</v>
      </c>
      <c r="F13" s="29"/>
      <c r="G13" s="29"/>
      <c r="H13" s="29"/>
      <c r="I13" s="29"/>
      <c r="J13" s="29"/>
      <c r="K13" s="29"/>
      <c r="L13" s="29"/>
      <c r="M13" s="29"/>
      <c r="N13" s="29"/>
      <c r="O13" s="29"/>
      <c r="P13" s="29"/>
      <c r="Q13" s="29"/>
      <c r="R13" s="29"/>
      <c r="S13" s="29"/>
      <c r="T13" s="25"/>
      <c r="W13" s="173" t="s">
        <v>26</v>
      </c>
      <c r="X13" s="174">
        <v>5.1132999999999998E-2</v>
      </c>
    </row>
    <row r="14" spans="1:24" ht="15" customHeight="1" x14ac:dyDescent="0.25">
      <c r="B14" s="64"/>
      <c r="C14" s="201" t="s">
        <v>194</v>
      </c>
      <c r="D14" s="195" t="s">
        <v>105</v>
      </c>
      <c r="E14" s="196">
        <v>3.3936000000000001E-2</v>
      </c>
      <c r="F14" s="29"/>
      <c r="G14" s="29"/>
      <c r="H14" s="29"/>
      <c r="I14" s="29"/>
      <c r="J14" s="29"/>
      <c r="K14" s="29"/>
      <c r="L14" s="29"/>
      <c r="M14" s="29"/>
      <c r="N14" s="29"/>
      <c r="O14" s="29"/>
      <c r="P14" s="29"/>
      <c r="Q14" s="29"/>
      <c r="R14" s="29"/>
      <c r="S14" s="29"/>
      <c r="T14" s="25"/>
      <c r="W14" s="173" t="s">
        <v>4</v>
      </c>
      <c r="X14" s="174">
        <v>4.4431999999999999E-2</v>
      </c>
    </row>
    <row r="15" spans="1:24" ht="15" customHeight="1" x14ac:dyDescent="0.25">
      <c r="B15" s="64"/>
      <c r="C15" s="201" t="s">
        <v>33</v>
      </c>
      <c r="D15" s="195" t="s">
        <v>106</v>
      </c>
      <c r="E15" s="196">
        <v>3.3065999999999998E-2</v>
      </c>
      <c r="F15" s="29"/>
      <c r="G15" s="29"/>
      <c r="H15" s="29"/>
      <c r="I15" s="29"/>
      <c r="J15" s="29"/>
      <c r="K15" s="29"/>
      <c r="L15" s="29"/>
      <c r="M15" s="29"/>
      <c r="N15" s="29"/>
      <c r="O15" s="29"/>
      <c r="P15" s="29"/>
      <c r="Q15" s="29"/>
      <c r="R15" s="29"/>
      <c r="S15" s="29"/>
      <c r="T15" s="25"/>
      <c r="W15" s="173" t="s">
        <v>12</v>
      </c>
      <c r="X15" s="174">
        <v>3.4414E-2</v>
      </c>
    </row>
    <row r="16" spans="1:24" ht="15" customHeight="1" x14ac:dyDescent="0.25">
      <c r="B16" s="64"/>
      <c r="C16" s="201" t="s">
        <v>78</v>
      </c>
      <c r="D16" s="195" t="s">
        <v>3</v>
      </c>
      <c r="E16" s="196">
        <v>3.1736E-2</v>
      </c>
      <c r="F16" s="29"/>
      <c r="G16" s="29"/>
      <c r="H16" s="29"/>
      <c r="I16" s="29"/>
      <c r="J16" s="29"/>
      <c r="K16" s="29"/>
      <c r="L16" s="29"/>
      <c r="M16" s="29"/>
      <c r="N16" s="29"/>
      <c r="O16" s="29"/>
      <c r="P16" s="29"/>
      <c r="Q16" s="29"/>
      <c r="R16" s="29"/>
      <c r="S16" s="29"/>
      <c r="T16" s="25"/>
      <c r="W16" s="173" t="s">
        <v>105</v>
      </c>
      <c r="X16" s="174">
        <v>3.3936000000000001E-2</v>
      </c>
    </row>
    <row r="17" spans="2:24" ht="15" customHeight="1" x14ac:dyDescent="0.25">
      <c r="B17" s="64"/>
      <c r="C17" s="201" t="s">
        <v>30</v>
      </c>
      <c r="D17" s="195" t="s">
        <v>116</v>
      </c>
      <c r="E17" s="196">
        <v>2.8375000000000001E-2</v>
      </c>
      <c r="F17" s="29"/>
      <c r="G17" s="29"/>
      <c r="H17" s="29"/>
      <c r="I17" s="29"/>
      <c r="J17" s="29"/>
      <c r="K17" s="29"/>
      <c r="L17" s="29"/>
      <c r="M17" s="29"/>
      <c r="N17" s="29"/>
      <c r="O17" s="29"/>
      <c r="P17" s="29"/>
      <c r="Q17" s="29"/>
      <c r="R17" s="29"/>
      <c r="S17" s="29"/>
      <c r="T17" s="25"/>
      <c r="W17" s="173" t="s">
        <v>116</v>
      </c>
      <c r="X17" s="174">
        <v>2.8375000000000001E-2</v>
      </c>
    </row>
    <row r="18" spans="2:24" ht="15" customHeight="1" x14ac:dyDescent="0.25">
      <c r="B18" s="64"/>
      <c r="C18" s="201" t="s">
        <v>219</v>
      </c>
      <c r="D18" s="195" t="s">
        <v>26</v>
      </c>
      <c r="E18" s="196">
        <v>2.7123999999999999E-2</v>
      </c>
      <c r="F18" s="29"/>
      <c r="G18" s="29"/>
      <c r="H18" s="29"/>
      <c r="I18" s="29"/>
      <c r="J18" s="29"/>
      <c r="K18" s="29"/>
      <c r="L18" s="29"/>
      <c r="M18" s="29"/>
      <c r="N18" s="29"/>
      <c r="O18" s="29"/>
      <c r="P18" s="29"/>
      <c r="Q18" s="29"/>
      <c r="R18" s="29"/>
      <c r="S18" s="29"/>
      <c r="T18" s="25"/>
      <c r="W18" s="173" t="s">
        <v>82</v>
      </c>
      <c r="X18" s="174">
        <v>2.7141999999999999E-2</v>
      </c>
    </row>
    <row r="19" spans="2:24" ht="15" customHeight="1" x14ac:dyDescent="0.25">
      <c r="B19" s="64"/>
      <c r="C19" s="201" t="s">
        <v>191</v>
      </c>
      <c r="D19" s="195" t="s">
        <v>106</v>
      </c>
      <c r="E19" s="196">
        <v>2.3948000000000001E-2</v>
      </c>
      <c r="F19" s="29"/>
      <c r="G19" s="29"/>
      <c r="H19" s="29"/>
      <c r="I19" s="29"/>
      <c r="J19" s="29"/>
      <c r="K19" s="29"/>
      <c r="L19" s="29"/>
      <c r="M19" s="29"/>
      <c r="N19" s="29"/>
      <c r="O19" s="29"/>
      <c r="P19" s="29"/>
      <c r="Q19" s="29"/>
      <c r="R19" s="29"/>
      <c r="S19" s="29"/>
      <c r="T19" s="25"/>
      <c r="W19" s="173" t="s">
        <v>183</v>
      </c>
      <c r="X19" s="174">
        <v>2.3052E-2</v>
      </c>
    </row>
    <row r="20" spans="2:24" ht="15" customHeight="1" x14ac:dyDescent="0.25">
      <c r="B20" s="64"/>
      <c r="C20" s="201" t="s">
        <v>80</v>
      </c>
      <c r="D20" s="195" t="s">
        <v>4</v>
      </c>
      <c r="E20" s="196">
        <v>2.2929000000000001E-2</v>
      </c>
      <c r="F20" s="29"/>
      <c r="G20" s="29"/>
      <c r="H20" s="29"/>
      <c r="I20" s="29"/>
      <c r="J20" s="29"/>
      <c r="K20" s="29"/>
      <c r="L20" s="29"/>
      <c r="M20" s="29"/>
      <c r="N20" s="29"/>
      <c r="O20" s="29"/>
      <c r="P20" s="29"/>
      <c r="Q20" s="29"/>
      <c r="R20" s="29"/>
      <c r="S20" s="29"/>
      <c r="T20" s="25"/>
      <c r="W20" s="173" t="s">
        <v>23</v>
      </c>
      <c r="X20" s="174">
        <v>1.8429000000000001E-2</v>
      </c>
    </row>
    <row r="21" spans="2:24" ht="15" customHeight="1" x14ac:dyDescent="0.25">
      <c r="B21" s="64"/>
      <c r="C21" s="201" t="s">
        <v>36</v>
      </c>
      <c r="D21" s="195" t="s">
        <v>3</v>
      </c>
      <c r="E21" s="196">
        <v>2.2700000000000001E-2</v>
      </c>
      <c r="F21" s="29"/>
      <c r="G21" s="29"/>
      <c r="H21" s="29"/>
      <c r="I21" s="29"/>
      <c r="J21" s="29"/>
      <c r="K21" s="29"/>
      <c r="L21" s="29"/>
      <c r="M21" s="29"/>
      <c r="N21" s="29"/>
      <c r="O21" s="29"/>
      <c r="P21" s="29"/>
      <c r="Q21" s="29"/>
      <c r="R21" s="29"/>
      <c r="S21" s="29"/>
      <c r="T21" s="25"/>
      <c r="W21" s="173" t="s">
        <v>10</v>
      </c>
      <c r="X21" s="174">
        <v>1.7853000000000001E-2</v>
      </c>
    </row>
    <row r="22" spans="2:24" ht="15" customHeight="1" x14ac:dyDescent="0.25">
      <c r="B22" s="64"/>
      <c r="C22" s="201" t="s">
        <v>256</v>
      </c>
      <c r="D22" s="195" t="s">
        <v>110</v>
      </c>
      <c r="E22" s="196">
        <v>2.2511E-2</v>
      </c>
      <c r="F22" s="29"/>
      <c r="G22" s="29"/>
      <c r="H22" s="29"/>
      <c r="I22" s="29"/>
      <c r="J22" s="29"/>
      <c r="K22" s="29"/>
      <c r="L22" s="29"/>
      <c r="M22" s="29"/>
      <c r="N22" s="29"/>
      <c r="O22" s="29"/>
      <c r="P22" s="29"/>
      <c r="Q22" s="29"/>
      <c r="R22" s="29"/>
      <c r="S22" s="29"/>
      <c r="T22" s="25"/>
      <c r="W22" s="173" t="s">
        <v>112</v>
      </c>
      <c r="X22" s="174">
        <v>1.7676000000000001E-2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275</v>
      </c>
      <c r="X23" s="174">
        <v>1.6816999999999999E-2</v>
      </c>
    </row>
    <row r="24" spans="2:24" ht="15" customHeight="1" x14ac:dyDescent="0.25">
      <c r="B24" s="64"/>
      <c r="C24" s="73" t="s">
        <v>55</v>
      </c>
      <c r="D24" s="74"/>
      <c r="E24" s="75">
        <f>SUM(E8:E23)</f>
        <v>0.64862200000000003</v>
      </c>
      <c r="F24" s="29"/>
      <c r="G24" s="29"/>
      <c r="H24" s="29"/>
      <c r="I24" s="29"/>
      <c r="J24" s="29"/>
      <c r="K24" s="29"/>
      <c r="L24" s="29"/>
      <c r="M24" s="29"/>
      <c r="N24" s="29"/>
      <c r="O24" s="29"/>
      <c r="P24" s="29"/>
      <c r="Q24" s="29"/>
      <c r="R24" s="29"/>
      <c r="S24" s="29"/>
      <c r="T24" s="25"/>
      <c r="W24" s="173" t="s">
        <v>83</v>
      </c>
      <c r="X24" s="174">
        <v>1.6074000000000001E-2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118</v>
      </c>
      <c r="X25" s="174">
        <v>1.1380000000000001E-2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123</v>
      </c>
      <c r="X26" s="174">
        <v>1.1016E-2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132</v>
      </c>
      <c r="X27" s="174">
        <v>1.0755000000000001E-2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11</v>
      </c>
      <c r="X28" s="174">
        <v>9.8200000000000006E-3</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76</v>
      </c>
      <c r="X29" s="174">
        <v>9.7399999999999987E-3</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86</v>
      </c>
      <c r="X30" s="174">
        <v>8.8669999999999999E-3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16</v>
      </c>
      <c r="X31" s="174">
        <v>7.3099999999999997E-3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85</v>
      </c>
      <c r="X32" s="174">
        <v>6.0000000000000001E-3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15</v>
      </c>
      <c r="X33" s="174">
        <v>3.5130000000000001E-3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125</v>
      </c>
      <c r="X34" s="174">
        <v>3.4350000000000001E-3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113</v>
      </c>
      <c r="X35" s="174">
        <v>2.124E-3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t="s">
        <v>231</v>
      </c>
      <c r="X36" s="174">
        <v>1.75E-3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95" t="s">
        <v>181</v>
      </c>
      <c r="C49" s="296"/>
      <c r="D49" s="296"/>
      <c r="E49" s="296"/>
      <c r="F49" s="296"/>
      <c r="G49" s="296"/>
      <c r="H49" s="296"/>
      <c r="I49" s="296"/>
      <c r="J49" s="296"/>
      <c r="K49" s="296"/>
      <c r="L49" s="296"/>
      <c r="M49" s="296"/>
      <c r="N49" s="296"/>
      <c r="O49" s="296"/>
      <c r="P49" s="296"/>
      <c r="Q49" s="296"/>
      <c r="R49" s="297"/>
    </row>
    <row r="50" spans="2:18" ht="15" customHeight="1" x14ac:dyDescent="0.25">
      <c r="B50" s="298"/>
      <c r="C50" s="299"/>
      <c r="D50" s="299"/>
      <c r="E50" s="299"/>
      <c r="F50" s="299"/>
      <c r="G50" s="299"/>
      <c r="H50" s="299"/>
      <c r="I50" s="299"/>
      <c r="J50" s="299"/>
      <c r="K50" s="299"/>
      <c r="L50" s="299"/>
      <c r="M50" s="299"/>
      <c r="N50" s="299"/>
      <c r="O50" s="299"/>
      <c r="P50" s="299"/>
      <c r="Q50" s="299"/>
      <c r="R50" s="300"/>
    </row>
    <row r="51" spans="2:18" ht="15" customHeight="1" x14ac:dyDescent="0.25">
      <c r="B51" s="298"/>
      <c r="C51" s="299"/>
      <c r="D51" s="299"/>
      <c r="E51" s="299"/>
      <c r="F51" s="299"/>
      <c r="G51" s="299"/>
      <c r="H51" s="299"/>
      <c r="I51" s="299"/>
      <c r="J51" s="299"/>
      <c r="K51" s="299"/>
      <c r="L51" s="299"/>
      <c r="M51" s="299"/>
      <c r="N51" s="299"/>
      <c r="O51" s="299"/>
      <c r="P51" s="299"/>
      <c r="Q51" s="299"/>
      <c r="R51" s="300"/>
    </row>
    <row r="52" spans="2:18" ht="15" customHeight="1" x14ac:dyDescent="0.25">
      <c r="B52" s="298"/>
      <c r="C52" s="299"/>
      <c r="D52" s="299"/>
      <c r="E52" s="299"/>
      <c r="F52" s="299"/>
      <c r="G52" s="299"/>
      <c r="H52" s="299"/>
      <c r="I52" s="299"/>
      <c r="J52" s="299"/>
      <c r="K52" s="299"/>
      <c r="L52" s="299"/>
      <c r="M52" s="299"/>
      <c r="N52" s="299"/>
      <c r="O52" s="299"/>
      <c r="P52" s="299"/>
      <c r="Q52" s="299"/>
      <c r="R52" s="300"/>
    </row>
    <row r="53" spans="2:18" ht="15" customHeight="1" x14ac:dyDescent="0.25">
      <c r="B53" s="298"/>
      <c r="C53" s="299"/>
      <c r="D53" s="299"/>
      <c r="E53" s="299"/>
      <c r="F53" s="299"/>
      <c r="G53" s="299"/>
      <c r="H53" s="299"/>
      <c r="I53" s="299"/>
      <c r="J53" s="299"/>
      <c r="K53" s="299"/>
      <c r="L53" s="299"/>
      <c r="M53" s="299"/>
      <c r="N53" s="299"/>
      <c r="O53" s="299"/>
      <c r="P53" s="299"/>
      <c r="Q53" s="299"/>
      <c r="R53" s="300"/>
    </row>
    <row r="54" spans="2:18" ht="15" customHeight="1" x14ac:dyDescent="0.25">
      <c r="B54" s="298"/>
      <c r="C54" s="299"/>
      <c r="D54" s="299"/>
      <c r="E54" s="299"/>
      <c r="F54" s="299"/>
      <c r="G54" s="299"/>
      <c r="H54" s="299"/>
      <c r="I54" s="299"/>
      <c r="J54" s="299"/>
      <c r="K54" s="299"/>
      <c r="L54" s="299"/>
      <c r="M54" s="299"/>
      <c r="N54" s="299"/>
      <c r="O54" s="299"/>
      <c r="P54" s="299"/>
      <c r="Q54" s="299"/>
      <c r="R54" s="300"/>
    </row>
    <row r="55" spans="2:18" ht="15" customHeight="1" thickBot="1" x14ac:dyDescent="0.3">
      <c r="B55" s="301"/>
      <c r="C55" s="302"/>
      <c r="D55" s="302"/>
      <c r="E55" s="302"/>
      <c r="F55" s="302"/>
      <c r="G55" s="302"/>
      <c r="H55" s="302"/>
      <c r="I55" s="302"/>
      <c r="J55" s="302"/>
      <c r="K55" s="302"/>
      <c r="L55" s="302"/>
      <c r="M55" s="302"/>
      <c r="N55" s="302"/>
      <c r="O55" s="302"/>
      <c r="P55" s="302"/>
      <c r="Q55" s="302"/>
      <c r="R55" s="30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169</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391</v>
      </c>
      <c r="E5" s="306"/>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2" t="s">
        <v>29</v>
      </c>
      <c r="D8" s="193" t="s">
        <v>3</v>
      </c>
      <c r="E8" s="194">
        <v>6.7399000000000001E-2</v>
      </c>
      <c r="F8" s="29"/>
      <c r="G8" s="29"/>
      <c r="H8" s="29"/>
      <c r="I8" s="29"/>
      <c r="J8" s="29"/>
      <c r="K8" s="29"/>
      <c r="L8" s="29"/>
      <c r="M8" s="29"/>
      <c r="N8" s="29"/>
      <c r="O8" s="29"/>
      <c r="P8" s="29"/>
      <c r="Q8" s="29"/>
      <c r="R8" s="29"/>
      <c r="S8" s="29"/>
      <c r="T8" s="22"/>
      <c r="W8" s="173" t="s">
        <v>3</v>
      </c>
      <c r="X8" s="174">
        <v>0.156501</v>
      </c>
    </row>
    <row r="9" spans="1:24" ht="15.75" customHeight="1" x14ac:dyDescent="0.25">
      <c r="B9" s="79"/>
      <c r="C9" s="187" t="s">
        <v>32</v>
      </c>
      <c r="D9" s="195" t="s">
        <v>3</v>
      </c>
      <c r="E9" s="196">
        <v>5.8512000000000002E-2</v>
      </c>
      <c r="F9" s="29"/>
      <c r="G9" s="29"/>
      <c r="H9" s="29"/>
      <c r="I9" s="29"/>
      <c r="J9" s="29"/>
      <c r="K9" s="29"/>
      <c r="L9" s="29"/>
      <c r="M9" s="29"/>
      <c r="N9" s="29"/>
      <c r="O9" s="29"/>
      <c r="P9" s="29"/>
      <c r="Q9" s="29"/>
      <c r="R9" s="29"/>
      <c r="S9" s="29"/>
      <c r="T9" s="22"/>
      <c r="W9" s="173" t="s">
        <v>106</v>
      </c>
      <c r="X9" s="174">
        <v>0.115228</v>
      </c>
    </row>
    <row r="10" spans="1:24" ht="15" customHeight="1" x14ac:dyDescent="0.25">
      <c r="B10" s="79"/>
      <c r="C10" s="187" t="s">
        <v>212</v>
      </c>
      <c r="D10" s="195" t="s">
        <v>112</v>
      </c>
      <c r="E10" s="196">
        <v>5.1685000000000002E-2</v>
      </c>
      <c r="F10" s="29"/>
      <c r="G10" s="29"/>
      <c r="H10" s="29"/>
      <c r="I10" s="29"/>
      <c r="J10" s="29"/>
      <c r="K10" s="29"/>
      <c r="L10" s="29"/>
      <c r="M10" s="29"/>
      <c r="N10" s="29"/>
      <c r="O10" s="29"/>
      <c r="P10" s="29"/>
      <c r="Q10" s="29"/>
      <c r="R10" s="29"/>
      <c r="S10" s="29"/>
      <c r="T10" s="22"/>
      <c r="W10" s="173" t="s">
        <v>26</v>
      </c>
      <c r="X10" s="174">
        <v>9.1041999999999998E-2</v>
      </c>
    </row>
    <row r="11" spans="1:24" ht="15" customHeight="1" x14ac:dyDescent="0.25">
      <c r="B11" s="79"/>
      <c r="C11" s="187" t="s">
        <v>28</v>
      </c>
      <c r="D11" s="195" t="s">
        <v>106</v>
      </c>
      <c r="E11" s="196">
        <v>4.8196000000000003E-2</v>
      </c>
      <c r="F11" s="29"/>
      <c r="G11" s="29"/>
      <c r="H11" s="29"/>
      <c r="I11" s="29"/>
      <c r="J11" s="29"/>
      <c r="K11" s="29"/>
      <c r="L11" s="29"/>
      <c r="M11" s="29"/>
      <c r="N11" s="29"/>
      <c r="O11" s="29"/>
      <c r="P11" s="29"/>
      <c r="Q11" s="29"/>
      <c r="R11" s="29"/>
      <c r="S11" s="29"/>
      <c r="T11" s="22"/>
      <c r="W11" s="173" t="s">
        <v>112</v>
      </c>
      <c r="X11" s="174">
        <v>7.9487000000000002E-2</v>
      </c>
    </row>
    <row r="12" spans="1:24" ht="15" customHeight="1" x14ac:dyDescent="0.25">
      <c r="B12" s="79"/>
      <c r="C12" s="187" t="s">
        <v>31</v>
      </c>
      <c r="D12" s="195" t="s">
        <v>6</v>
      </c>
      <c r="E12" s="196">
        <v>4.1758000000000003E-2</v>
      </c>
      <c r="F12" s="29"/>
      <c r="G12" s="29"/>
      <c r="H12" s="29"/>
      <c r="I12" s="29"/>
      <c r="J12" s="29"/>
      <c r="K12" s="29"/>
      <c r="L12" s="29"/>
      <c r="M12" s="29"/>
      <c r="N12" s="29"/>
      <c r="O12" s="29"/>
      <c r="P12" s="29"/>
      <c r="Q12" s="29"/>
      <c r="R12" s="29"/>
      <c r="S12" s="29"/>
      <c r="T12" s="22"/>
      <c r="W12" s="173" t="s">
        <v>110</v>
      </c>
      <c r="X12" s="174">
        <v>6.7480999999999999E-2</v>
      </c>
    </row>
    <row r="13" spans="1:24" ht="15" customHeight="1" x14ac:dyDescent="0.25">
      <c r="B13" s="79"/>
      <c r="C13" s="187" t="s">
        <v>278</v>
      </c>
      <c r="D13" s="195" t="s">
        <v>183</v>
      </c>
      <c r="E13" s="196">
        <v>3.6155E-2</v>
      </c>
      <c r="F13" s="29"/>
      <c r="G13" s="29"/>
      <c r="H13" s="29"/>
      <c r="I13" s="29"/>
      <c r="J13" s="29"/>
      <c r="K13" s="29"/>
      <c r="L13" s="29"/>
      <c r="M13" s="29"/>
      <c r="N13" s="29"/>
      <c r="O13" s="29"/>
      <c r="P13" s="29"/>
      <c r="Q13" s="29"/>
      <c r="R13" s="29"/>
      <c r="S13" s="29"/>
      <c r="T13" s="22"/>
      <c r="W13" s="173" t="s">
        <v>183</v>
      </c>
      <c r="X13" s="174">
        <v>6.0956999999999997E-2</v>
      </c>
    </row>
    <row r="14" spans="1:24" ht="15" customHeight="1" x14ac:dyDescent="0.25">
      <c r="B14" s="79"/>
      <c r="C14" s="187" t="s">
        <v>70</v>
      </c>
      <c r="D14" s="195" t="s">
        <v>12</v>
      </c>
      <c r="E14" s="196">
        <v>3.5985999999999997E-2</v>
      </c>
      <c r="F14" s="29"/>
      <c r="G14" s="29"/>
      <c r="H14" s="29"/>
      <c r="I14" s="29"/>
      <c r="J14" s="29"/>
      <c r="K14" s="29"/>
      <c r="L14" s="29"/>
      <c r="M14" s="29"/>
      <c r="N14" s="29"/>
      <c r="O14" s="29"/>
      <c r="P14" s="29"/>
      <c r="Q14" s="29"/>
      <c r="R14" s="29"/>
      <c r="S14" s="29"/>
      <c r="T14" s="22"/>
      <c r="W14" s="173" t="s">
        <v>6</v>
      </c>
      <c r="X14" s="174">
        <v>4.1758000000000003E-2</v>
      </c>
    </row>
    <row r="15" spans="1:24" ht="15" customHeight="1" x14ac:dyDescent="0.25">
      <c r="B15" s="79"/>
      <c r="C15" s="187" t="s">
        <v>191</v>
      </c>
      <c r="D15" s="195" t="s">
        <v>106</v>
      </c>
      <c r="E15" s="196">
        <v>3.4355999999999998E-2</v>
      </c>
      <c r="F15" s="29"/>
      <c r="G15" s="29"/>
      <c r="H15" s="29"/>
      <c r="I15" s="29"/>
      <c r="J15" s="29"/>
      <c r="K15" s="29"/>
      <c r="L15" s="29"/>
      <c r="M15" s="29"/>
      <c r="N15" s="29"/>
      <c r="O15" s="29"/>
      <c r="P15" s="29"/>
      <c r="Q15" s="29"/>
      <c r="R15" s="29"/>
      <c r="S15" s="29"/>
      <c r="T15" s="22"/>
      <c r="W15" s="173" t="s">
        <v>12</v>
      </c>
      <c r="X15" s="174">
        <v>3.5985999999999997E-2</v>
      </c>
    </row>
    <row r="16" spans="1:24" ht="15" customHeight="1" x14ac:dyDescent="0.25">
      <c r="B16" s="79"/>
      <c r="C16" s="187" t="s">
        <v>34</v>
      </c>
      <c r="D16" s="195" t="s">
        <v>23</v>
      </c>
      <c r="E16" s="196">
        <v>3.3832000000000001E-2</v>
      </c>
      <c r="F16" s="29"/>
      <c r="G16" s="29"/>
      <c r="H16" s="29"/>
      <c r="I16" s="29"/>
      <c r="J16" s="29"/>
      <c r="K16" s="29"/>
      <c r="L16" s="29"/>
      <c r="M16" s="29"/>
      <c r="N16" s="29"/>
      <c r="O16" s="29"/>
      <c r="P16" s="29"/>
      <c r="Q16" s="29"/>
      <c r="R16" s="29"/>
      <c r="S16" s="29"/>
      <c r="T16" s="22"/>
      <c r="W16" s="173" t="s">
        <v>23</v>
      </c>
      <c r="X16" s="174">
        <v>3.3832000000000001E-2</v>
      </c>
    </row>
    <row r="17" spans="2:24" ht="15" customHeight="1" x14ac:dyDescent="0.25">
      <c r="B17" s="79"/>
      <c r="C17" s="187" t="s">
        <v>283</v>
      </c>
      <c r="D17" s="195" t="s">
        <v>275</v>
      </c>
      <c r="E17" s="196">
        <v>3.3808999999999999E-2</v>
      </c>
      <c r="F17" s="29"/>
      <c r="G17" s="29"/>
      <c r="H17" s="29"/>
      <c r="I17" s="29"/>
      <c r="J17" s="29"/>
      <c r="K17" s="29"/>
      <c r="L17" s="29"/>
      <c r="M17" s="29"/>
      <c r="N17" s="29"/>
      <c r="O17" s="29"/>
      <c r="P17" s="29"/>
      <c r="Q17" s="29"/>
      <c r="R17" s="29"/>
      <c r="S17" s="29"/>
      <c r="T17" s="22"/>
      <c r="W17" s="173" t="s">
        <v>275</v>
      </c>
      <c r="X17" s="174">
        <v>3.3808999999999999E-2</v>
      </c>
    </row>
    <row r="18" spans="2:24" ht="15" customHeight="1" x14ac:dyDescent="0.25">
      <c r="B18" s="79"/>
      <c r="C18" s="187" t="s">
        <v>208</v>
      </c>
      <c r="D18" s="195" t="s">
        <v>110</v>
      </c>
      <c r="E18" s="196">
        <v>3.3652000000000001E-2</v>
      </c>
      <c r="F18" s="29"/>
      <c r="G18" s="29"/>
      <c r="H18" s="29"/>
      <c r="I18" s="29"/>
      <c r="J18" s="29"/>
      <c r="K18" s="29"/>
      <c r="L18" s="29"/>
      <c r="M18" s="29"/>
      <c r="N18" s="29"/>
      <c r="O18" s="29"/>
      <c r="P18" s="29"/>
      <c r="Q18" s="29"/>
      <c r="R18" s="29"/>
      <c r="S18" s="29"/>
      <c r="T18" s="22"/>
      <c r="W18" s="173" t="s">
        <v>105</v>
      </c>
      <c r="X18" s="174">
        <v>3.2607999999999998E-2</v>
      </c>
    </row>
    <row r="19" spans="2:24" ht="15" customHeight="1" x14ac:dyDescent="0.25">
      <c r="B19" s="79"/>
      <c r="C19" s="187" t="s">
        <v>219</v>
      </c>
      <c r="D19" s="195" t="s">
        <v>26</v>
      </c>
      <c r="E19" s="196">
        <v>3.2766000000000003E-2</v>
      </c>
      <c r="F19" s="29"/>
      <c r="G19" s="29"/>
      <c r="H19" s="29"/>
      <c r="I19" s="29"/>
      <c r="J19" s="29"/>
      <c r="K19" s="29"/>
      <c r="L19" s="29"/>
      <c r="M19" s="29"/>
      <c r="N19" s="29"/>
      <c r="O19" s="29"/>
      <c r="P19" s="29"/>
      <c r="Q19" s="29"/>
      <c r="R19" s="29"/>
      <c r="S19" s="29"/>
      <c r="T19" s="22"/>
      <c r="W19" s="173" t="s">
        <v>4</v>
      </c>
      <c r="X19" s="174">
        <v>3.0086000000000002E-2</v>
      </c>
    </row>
    <row r="20" spans="2:24" ht="15" customHeight="1" x14ac:dyDescent="0.25">
      <c r="B20" s="79"/>
      <c r="C20" s="187" t="s">
        <v>33</v>
      </c>
      <c r="D20" s="195" t="s">
        <v>106</v>
      </c>
      <c r="E20" s="196">
        <v>3.2675999999999997E-2</v>
      </c>
      <c r="F20" s="29"/>
      <c r="G20" s="29"/>
      <c r="H20" s="29"/>
      <c r="I20" s="29"/>
      <c r="J20" s="29"/>
      <c r="K20" s="29"/>
      <c r="L20" s="29"/>
      <c r="M20" s="29"/>
      <c r="N20" s="29"/>
      <c r="O20" s="29"/>
      <c r="P20" s="29"/>
      <c r="Q20" s="29"/>
      <c r="R20" s="29"/>
      <c r="S20" s="29"/>
      <c r="T20" s="22"/>
      <c r="W20" s="173" t="s">
        <v>111</v>
      </c>
      <c r="X20" s="174">
        <v>2.9669999999999998E-2</v>
      </c>
    </row>
    <row r="21" spans="2:24" ht="15" customHeight="1" x14ac:dyDescent="0.25">
      <c r="B21" s="79"/>
      <c r="C21" s="187" t="s">
        <v>194</v>
      </c>
      <c r="D21" s="195" t="s">
        <v>105</v>
      </c>
      <c r="E21" s="196">
        <v>3.2607999999999998E-2</v>
      </c>
      <c r="F21" s="29"/>
      <c r="G21" s="29"/>
      <c r="H21" s="29"/>
      <c r="I21" s="29"/>
      <c r="J21" s="29"/>
      <c r="K21" s="29"/>
      <c r="L21" s="29"/>
      <c r="M21" s="29"/>
      <c r="N21" s="29"/>
      <c r="O21" s="29"/>
      <c r="P21" s="29"/>
      <c r="Q21" s="29"/>
      <c r="R21" s="29"/>
      <c r="S21" s="29"/>
      <c r="T21" s="22"/>
      <c r="W21" s="173" t="s">
        <v>84</v>
      </c>
      <c r="X21" s="174">
        <v>2.9374999999999998E-2</v>
      </c>
    </row>
    <row r="22" spans="2:24" ht="15" customHeight="1" x14ac:dyDescent="0.25">
      <c r="B22" s="79"/>
      <c r="C22" s="187" t="s">
        <v>134</v>
      </c>
      <c r="D22" s="195" t="s">
        <v>3</v>
      </c>
      <c r="E22" s="196">
        <v>3.0589999999999999E-2</v>
      </c>
      <c r="F22" s="29"/>
      <c r="G22" s="29"/>
      <c r="H22" s="29"/>
      <c r="I22" s="29"/>
      <c r="J22" s="29"/>
      <c r="K22" s="29"/>
      <c r="L22" s="29"/>
      <c r="M22" s="29"/>
      <c r="N22" s="29"/>
      <c r="O22" s="29"/>
      <c r="P22" s="29"/>
      <c r="Q22" s="29"/>
      <c r="R22" s="29"/>
      <c r="S22" s="29"/>
      <c r="T22" s="22"/>
      <c r="W22" s="173" t="s">
        <v>10</v>
      </c>
      <c r="X22" s="174">
        <v>2.9149000000000001E-2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231</v>
      </c>
      <c r="X23" s="174">
        <v>2.1763999999999999E-2</v>
      </c>
    </row>
    <row r="24" spans="2:24" ht="15" customHeight="1" x14ac:dyDescent="0.25">
      <c r="B24" s="79"/>
      <c r="C24" s="73" t="s">
        <v>55</v>
      </c>
      <c r="D24" s="74"/>
      <c r="E24" s="75">
        <f>SUM(E8:E22)</f>
        <v>0.60397999999999996</v>
      </c>
      <c r="F24" s="29"/>
      <c r="G24" s="29"/>
      <c r="H24" s="29"/>
      <c r="I24" s="29"/>
      <c r="J24" s="29"/>
      <c r="K24" s="29"/>
      <c r="L24" s="29"/>
      <c r="M24" s="29"/>
      <c r="N24" s="29"/>
      <c r="O24" s="29"/>
      <c r="P24" s="29"/>
      <c r="Q24" s="29"/>
      <c r="R24" s="29"/>
      <c r="S24" s="29"/>
      <c r="T24" s="22"/>
      <c r="W24" s="173" t="s">
        <v>76</v>
      </c>
      <c r="X24" s="174">
        <v>1.4500000000000001E-2</v>
      </c>
    </row>
    <row r="25" spans="2:24" ht="15" customHeight="1" x14ac:dyDescent="0.25">
      <c r="B25" s="79"/>
      <c r="F25" s="29"/>
      <c r="G25" s="29"/>
      <c r="H25" s="29"/>
      <c r="I25" s="29"/>
      <c r="J25" s="29"/>
      <c r="K25" s="29"/>
      <c r="L25" s="29"/>
      <c r="M25" s="29"/>
      <c r="N25" s="29"/>
      <c r="O25" s="29"/>
      <c r="P25" s="29"/>
      <c r="Q25" s="29"/>
      <c r="R25" s="29"/>
      <c r="S25" s="29"/>
      <c r="T25" s="22"/>
      <c r="W25" s="173" t="s">
        <v>113</v>
      </c>
      <c r="X25" s="174">
        <v>6.3489999999999996E-3</v>
      </c>
    </row>
    <row r="26" spans="2:24" ht="15" customHeight="1" x14ac:dyDescent="0.25">
      <c r="B26" s="79"/>
      <c r="F26" s="29"/>
      <c r="G26" s="29"/>
      <c r="H26" s="29"/>
      <c r="I26" s="29"/>
      <c r="J26" s="29"/>
      <c r="K26" s="29"/>
      <c r="L26" s="29"/>
      <c r="M26" s="29"/>
      <c r="N26" s="29"/>
      <c r="O26" s="29"/>
      <c r="P26" s="29"/>
      <c r="Q26" s="29"/>
      <c r="R26" s="29"/>
      <c r="S26" s="29"/>
      <c r="T26" s="22"/>
      <c r="W26" s="173"/>
      <c r="X26" s="174"/>
    </row>
    <row r="27" spans="2:24" ht="15" customHeight="1" x14ac:dyDescent="0.25">
      <c r="B27" s="79"/>
      <c r="F27" s="29"/>
      <c r="G27" s="29"/>
      <c r="H27" s="29"/>
      <c r="I27" s="29"/>
      <c r="J27" s="29"/>
      <c r="K27" s="29"/>
      <c r="L27" s="29"/>
      <c r="M27" s="29"/>
      <c r="N27" s="29"/>
      <c r="O27" s="29"/>
      <c r="P27" s="29"/>
      <c r="Q27" s="29"/>
      <c r="R27" s="29"/>
      <c r="S27" s="29"/>
      <c r="T27" s="22"/>
      <c r="W27" s="173"/>
      <c r="X27" s="174"/>
    </row>
    <row r="28" spans="2:24" ht="15" customHeight="1" x14ac:dyDescent="0.25">
      <c r="B28" s="79"/>
      <c r="F28" s="29"/>
      <c r="G28" s="29"/>
      <c r="H28" s="29"/>
      <c r="I28" s="29"/>
      <c r="J28" s="29"/>
      <c r="K28" s="29"/>
      <c r="L28" s="29"/>
      <c r="M28" s="29"/>
      <c r="N28" s="29"/>
      <c r="O28" s="29"/>
      <c r="P28" s="29"/>
      <c r="Q28" s="29"/>
      <c r="R28" s="29"/>
      <c r="S28" s="29"/>
      <c r="T28" s="22"/>
      <c r="W28" s="173"/>
      <c r="X28" s="174"/>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95" t="s">
        <v>181</v>
      </c>
      <c r="C38" s="296"/>
      <c r="D38" s="296"/>
      <c r="E38" s="296"/>
      <c r="F38" s="296"/>
      <c r="G38" s="296"/>
      <c r="H38" s="296"/>
      <c r="I38" s="296"/>
      <c r="J38" s="296"/>
      <c r="K38" s="296"/>
      <c r="L38" s="296"/>
      <c r="M38" s="296"/>
      <c r="N38" s="296"/>
      <c r="O38" s="296"/>
      <c r="P38" s="296"/>
      <c r="Q38" s="296"/>
      <c r="R38" s="297"/>
    </row>
    <row r="39" spans="2:20" ht="15" customHeight="1" x14ac:dyDescent="0.25">
      <c r="B39" s="298"/>
      <c r="C39" s="299"/>
      <c r="D39" s="299"/>
      <c r="E39" s="299"/>
      <c r="F39" s="299"/>
      <c r="G39" s="299"/>
      <c r="H39" s="299"/>
      <c r="I39" s="299"/>
      <c r="J39" s="299"/>
      <c r="K39" s="299"/>
      <c r="L39" s="299"/>
      <c r="M39" s="299"/>
      <c r="N39" s="299"/>
      <c r="O39" s="299"/>
      <c r="P39" s="299"/>
      <c r="Q39" s="299"/>
      <c r="R39" s="300"/>
    </row>
    <row r="40" spans="2:20" ht="15" customHeight="1" x14ac:dyDescent="0.25">
      <c r="B40" s="298"/>
      <c r="C40" s="299"/>
      <c r="D40" s="299"/>
      <c r="E40" s="299"/>
      <c r="F40" s="299"/>
      <c r="G40" s="299"/>
      <c r="H40" s="299"/>
      <c r="I40" s="299"/>
      <c r="J40" s="299"/>
      <c r="K40" s="299"/>
      <c r="L40" s="299"/>
      <c r="M40" s="299"/>
      <c r="N40" s="299"/>
      <c r="O40" s="299"/>
      <c r="P40" s="299"/>
      <c r="Q40" s="299"/>
      <c r="R40" s="300"/>
    </row>
    <row r="41" spans="2:20" ht="15" customHeight="1" x14ac:dyDescent="0.25">
      <c r="B41" s="298"/>
      <c r="C41" s="299"/>
      <c r="D41" s="299"/>
      <c r="E41" s="299"/>
      <c r="F41" s="299"/>
      <c r="G41" s="299"/>
      <c r="H41" s="299"/>
      <c r="I41" s="299"/>
      <c r="J41" s="299"/>
      <c r="K41" s="299"/>
      <c r="L41" s="299"/>
      <c r="M41" s="299"/>
      <c r="N41" s="299"/>
      <c r="O41" s="299"/>
      <c r="P41" s="299"/>
      <c r="Q41" s="299"/>
      <c r="R41" s="300"/>
    </row>
    <row r="42" spans="2:20" ht="15" customHeight="1" x14ac:dyDescent="0.25">
      <c r="B42" s="298"/>
      <c r="C42" s="299"/>
      <c r="D42" s="299"/>
      <c r="E42" s="299"/>
      <c r="F42" s="299"/>
      <c r="G42" s="299"/>
      <c r="H42" s="299"/>
      <c r="I42" s="299"/>
      <c r="J42" s="299"/>
      <c r="K42" s="299"/>
      <c r="L42" s="299"/>
      <c r="M42" s="299"/>
      <c r="N42" s="299"/>
      <c r="O42" s="299"/>
      <c r="P42" s="299"/>
      <c r="Q42" s="299"/>
      <c r="R42" s="300"/>
    </row>
    <row r="43" spans="2:20" ht="15" customHeight="1" x14ac:dyDescent="0.25">
      <c r="B43" s="298"/>
      <c r="C43" s="299"/>
      <c r="D43" s="299"/>
      <c r="E43" s="299"/>
      <c r="F43" s="299"/>
      <c r="G43" s="299"/>
      <c r="H43" s="299"/>
      <c r="I43" s="299"/>
      <c r="J43" s="299"/>
      <c r="K43" s="299"/>
      <c r="L43" s="299"/>
      <c r="M43" s="299"/>
      <c r="N43" s="299"/>
      <c r="O43" s="299"/>
      <c r="P43" s="299"/>
      <c r="Q43" s="299"/>
      <c r="R43" s="300"/>
    </row>
    <row r="44" spans="2:20" ht="15" customHeight="1" thickBot="1" x14ac:dyDescent="0.3">
      <c r="B44" s="301"/>
      <c r="C44" s="302"/>
      <c r="D44" s="302"/>
      <c r="E44" s="302"/>
      <c r="F44" s="302"/>
      <c r="G44" s="302"/>
      <c r="H44" s="302"/>
      <c r="I44" s="302"/>
      <c r="J44" s="302"/>
      <c r="K44" s="302"/>
      <c r="L44" s="302"/>
      <c r="M44" s="302"/>
      <c r="N44" s="302"/>
      <c r="O44" s="302"/>
      <c r="P44" s="302"/>
      <c r="Q44" s="302"/>
      <c r="R44" s="30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304" t="s">
        <v>168</v>
      </c>
      <c r="D3" s="305"/>
      <c r="E3" s="305"/>
      <c r="F3" s="305"/>
      <c r="G3" s="305"/>
      <c r="H3" s="305"/>
      <c r="I3" s="305"/>
      <c r="J3" s="305"/>
      <c r="K3" s="305"/>
      <c r="L3" s="305"/>
      <c r="M3" s="305"/>
      <c r="N3" s="305"/>
      <c r="O3" s="305"/>
      <c r="P3" s="305"/>
      <c r="Q3" s="305"/>
      <c r="R3" s="305"/>
      <c r="S3" s="305"/>
      <c r="T3" s="22"/>
    </row>
    <row r="4" spans="1:37" ht="15.75" customHeight="1" x14ac:dyDescent="0.25">
      <c r="B4" s="79"/>
      <c r="C4" s="67" t="s">
        <v>387</v>
      </c>
      <c r="D4" s="29"/>
      <c r="E4" s="29"/>
      <c r="F4" s="29"/>
      <c r="G4" s="29"/>
      <c r="H4" s="29"/>
      <c r="I4" s="29"/>
      <c r="J4" s="29"/>
      <c r="K4" s="29"/>
      <c r="L4" s="29"/>
      <c r="M4" s="29"/>
      <c r="N4" s="29"/>
      <c r="O4" s="29"/>
      <c r="P4" s="29"/>
      <c r="Q4" s="29"/>
      <c r="R4" s="29"/>
      <c r="S4" s="29"/>
      <c r="T4" s="22"/>
    </row>
    <row r="5" spans="1:37" ht="18" customHeight="1" x14ac:dyDescent="0.25">
      <c r="B5" s="79"/>
      <c r="C5" s="220" t="s">
        <v>386</v>
      </c>
      <c r="D5" s="307" t="s">
        <v>392</v>
      </c>
      <c r="E5" s="308"/>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2" t="s">
        <v>29</v>
      </c>
      <c r="D8" s="193" t="s">
        <v>3</v>
      </c>
      <c r="E8" s="194">
        <v>7.2646000000000002E-2</v>
      </c>
      <c r="F8" s="29"/>
      <c r="G8" s="29"/>
      <c r="H8" s="29"/>
      <c r="I8" s="29"/>
      <c r="J8" s="29"/>
      <c r="K8" s="29"/>
      <c r="L8" s="29"/>
      <c r="M8" s="29"/>
      <c r="N8" s="29"/>
      <c r="O8" s="29"/>
      <c r="P8" s="29"/>
      <c r="Q8" s="29"/>
      <c r="R8" s="29"/>
      <c r="S8" s="29"/>
      <c r="T8" s="22"/>
      <c r="W8" s="180" t="s">
        <v>3</v>
      </c>
      <c r="X8" s="234">
        <v>0.21145800000000003</v>
      </c>
    </row>
    <row r="9" spans="1:37" ht="15.75" customHeight="1" x14ac:dyDescent="0.25">
      <c r="B9" s="79"/>
      <c r="C9" s="187" t="s">
        <v>31</v>
      </c>
      <c r="D9" s="195" t="s">
        <v>6</v>
      </c>
      <c r="E9" s="196">
        <v>6.5976999999999994E-2</v>
      </c>
      <c r="F9" s="29"/>
      <c r="G9" s="29"/>
      <c r="H9" s="29"/>
      <c r="I9" s="29"/>
      <c r="J9" s="29"/>
      <c r="K9" s="29"/>
      <c r="L9" s="29"/>
      <c r="M9" s="29"/>
      <c r="N9" s="29"/>
      <c r="O9" s="29"/>
      <c r="P9" s="29"/>
      <c r="Q9" s="29"/>
      <c r="R9" s="29"/>
      <c r="S9" s="29"/>
      <c r="T9" s="22"/>
      <c r="W9" s="180" t="s">
        <v>106</v>
      </c>
      <c r="X9" s="234">
        <v>7.9776E-2</v>
      </c>
    </row>
    <row r="10" spans="1:37" ht="15" customHeight="1" x14ac:dyDescent="0.25">
      <c r="B10" s="79"/>
      <c r="C10" s="187" t="s">
        <v>36</v>
      </c>
      <c r="D10" s="195" t="s">
        <v>3</v>
      </c>
      <c r="E10" s="196">
        <v>4.4227000000000002E-2</v>
      </c>
      <c r="F10" s="29"/>
      <c r="G10" s="29"/>
      <c r="H10" s="29"/>
      <c r="I10" s="29"/>
      <c r="J10" s="29"/>
      <c r="K10" s="29"/>
      <c r="L10" s="29"/>
      <c r="M10" s="29"/>
      <c r="N10" s="29"/>
      <c r="O10" s="29"/>
      <c r="P10" s="29"/>
      <c r="Q10" s="29"/>
      <c r="R10" s="29"/>
      <c r="S10" s="29"/>
      <c r="T10" s="22"/>
      <c r="W10" s="180" t="s">
        <v>6</v>
      </c>
      <c r="X10" s="234">
        <v>6.5976999999999994E-2</v>
      </c>
    </row>
    <row r="11" spans="1:37" ht="15" customHeight="1" x14ac:dyDescent="0.25">
      <c r="B11" s="79"/>
      <c r="C11" s="187" t="s">
        <v>32</v>
      </c>
      <c r="D11" s="195" t="s">
        <v>3</v>
      </c>
      <c r="E11" s="196">
        <v>3.9201E-2</v>
      </c>
      <c r="F11" s="29"/>
      <c r="G11" s="29"/>
      <c r="H11" s="29"/>
      <c r="I11" s="29"/>
      <c r="J11" s="29"/>
      <c r="K11" s="29"/>
      <c r="L11" s="29"/>
      <c r="M11" s="29"/>
      <c r="N11" s="29"/>
      <c r="O11" s="29"/>
      <c r="P11" s="29"/>
      <c r="Q11" s="29"/>
      <c r="R11" s="29"/>
      <c r="S11" s="29"/>
      <c r="T11" s="22"/>
      <c r="W11" s="180" t="s">
        <v>110</v>
      </c>
      <c r="X11" s="234">
        <v>5.8571000000000005E-2</v>
      </c>
    </row>
    <row r="12" spans="1:37" ht="15" customHeight="1" x14ac:dyDescent="0.25">
      <c r="B12" s="79"/>
      <c r="C12" s="187" t="s">
        <v>33</v>
      </c>
      <c r="D12" s="195" t="s">
        <v>106</v>
      </c>
      <c r="E12" s="196">
        <v>3.4099999999999998E-2</v>
      </c>
      <c r="F12" s="29"/>
      <c r="G12" s="29"/>
      <c r="H12" s="29"/>
      <c r="I12" s="29"/>
      <c r="J12" s="29"/>
      <c r="K12" s="29"/>
      <c r="L12" s="29"/>
      <c r="M12" s="29"/>
      <c r="N12" s="29"/>
      <c r="O12" s="29"/>
      <c r="P12" s="29"/>
      <c r="Q12" s="29"/>
      <c r="R12" s="29"/>
      <c r="S12" s="29"/>
      <c r="T12" s="22"/>
      <c r="W12" s="180" t="s">
        <v>85</v>
      </c>
      <c r="X12" s="234">
        <v>4.7517999999999998E-2</v>
      </c>
    </row>
    <row r="13" spans="1:37" ht="15.75" customHeight="1" x14ac:dyDescent="0.25">
      <c r="B13" s="79"/>
      <c r="C13" s="187" t="s">
        <v>28</v>
      </c>
      <c r="D13" s="195" t="s">
        <v>106</v>
      </c>
      <c r="E13" s="196">
        <v>2.9409999999999999E-2</v>
      </c>
      <c r="F13" s="29"/>
      <c r="G13" s="29"/>
      <c r="H13" s="29"/>
      <c r="I13" s="29"/>
      <c r="J13" s="29"/>
      <c r="K13" s="29"/>
      <c r="L13" s="29"/>
      <c r="M13" s="29"/>
      <c r="N13" s="29"/>
      <c r="O13" s="29"/>
      <c r="P13" s="29"/>
      <c r="Q13" s="29"/>
      <c r="R13" s="29"/>
      <c r="S13" s="29"/>
      <c r="T13" s="22"/>
      <c r="W13" s="180" t="s">
        <v>111</v>
      </c>
      <c r="X13" s="234">
        <v>4.6657000000000004E-2</v>
      </c>
    </row>
    <row r="14" spans="1:37" ht="15" customHeight="1" x14ac:dyDescent="0.25">
      <c r="B14" s="79"/>
      <c r="C14" s="187" t="s">
        <v>143</v>
      </c>
      <c r="D14" s="195" t="s">
        <v>111</v>
      </c>
      <c r="E14" s="196">
        <v>2.1271999999999999E-2</v>
      </c>
      <c r="F14" s="29"/>
      <c r="G14" s="29"/>
      <c r="H14" s="29"/>
      <c r="I14" s="29"/>
      <c r="J14" s="29"/>
      <c r="K14" s="29"/>
      <c r="L14" s="29"/>
      <c r="M14" s="29"/>
      <c r="N14" s="29"/>
      <c r="O14" s="29"/>
      <c r="P14" s="29"/>
      <c r="Q14" s="29"/>
      <c r="R14" s="29"/>
      <c r="S14" s="29"/>
      <c r="T14" s="22"/>
      <c r="W14" s="180" t="s">
        <v>23</v>
      </c>
      <c r="X14" s="234">
        <v>3.8426999999999996E-2</v>
      </c>
    </row>
    <row r="15" spans="1:37" ht="15" customHeight="1" x14ac:dyDescent="0.25">
      <c r="B15" s="79"/>
      <c r="C15" s="187" t="s">
        <v>30</v>
      </c>
      <c r="D15" s="195" t="s">
        <v>116</v>
      </c>
      <c r="E15" s="196">
        <v>2.1003999999999998E-2</v>
      </c>
      <c r="F15" s="29"/>
      <c r="G15" s="29"/>
      <c r="H15" s="29"/>
      <c r="I15" s="29"/>
      <c r="J15" s="29"/>
      <c r="K15" s="29"/>
      <c r="L15" s="29"/>
      <c r="M15" s="29"/>
      <c r="N15" s="29"/>
      <c r="O15" s="29"/>
      <c r="P15" s="29"/>
      <c r="Q15" s="29"/>
      <c r="R15" s="29"/>
      <c r="S15" s="29"/>
      <c r="T15" s="22"/>
      <c r="W15" s="180" t="s">
        <v>16</v>
      </c>
      <c r="X15" s="234">
        <v>3.6061999999999997E-2</v>
      </c>
    </row>
    <row r="16" spans="1:37" ht="15" customHeight="1" x14ac:dyDescent="0.25">
      <c r="B16" s="79"/>
      <c r="C16" s="187" t="s">
        <v>134</v>
      </c>
      <c r="D16" s="195" t="s">
        <v>3</v>
      </c>
      <c r="E16" s="196">
        <v>2.0677000000000001E-2</v>
      </c>
      <c r="F16" s="29"/>
      <c r="G16" s="29"/>
      <c r="H16" s="29"/>
      <c r="I16" s="29"/>
      <c r="J16" s="29"/>
      <c r="K16" s="29"/>
      <c r="L16" s="29"/>
      <c r="M16" s="29"/>
      <c r="N16" s="29"/>
      <c r="O16" s="29"/>
      <c r="P16" s="29"/>
      <c r="Q16" s="29"/>
      <c r="R16" s="29"/>
      <c r="S16" s="29"/>
      <c r="T16" s="22"/>
      <c r="W16" s="180" t="s">
        <v>4</v>
      </c>
      <c r="X16" s="234">
        <v>3.0537999999999999E-2</v>
      </c>
    </row>
    <row r="17" spans="2:24" ht="15" customHeight="1" x14ac:dyDescent="0.25">
      <c r="B17" s="79"/>
      <c r="C17" s="187" t="s">
        <v>74</v>
      </c>
      <c r="D17" s="195" t="s">
        <v>11</v>
      </c>
      <c r="E17" s="196">
        <v>2.0639999999999999E-2</v>
      </c>
      <c r="F17" s="29"/>
      <c r="G17" s="29"/>
      <c r="H17" s="29"/>
      <c r="I17" s="29"/>
      <c r="J17" s="29"/>
      <c r="K17" s="29"/>
      <c r="L17" s="29"/>
      <c r="M17" s="29"/>
      <c r="N17" s="29"/>
      <c r="O17" s="29"/>
      <c r="P17" s="29"/>
      <c r="Q17" s="29"/>
      <c r="R17" s="29"/>
      <c r="S17" s="29"/>
      <c r="T17" s="22"/>
      <c r="W17" s="180" t="s">
        <v>11</v>
      </c>
      <c r="X17" s="234">
        <v>2.8296999999999999E-2</v>
      </c>
    </row>
    <row r="18" spans="2:24" ht="15" customHeight="1" x14ac:dyDescent="0.25">
      <c r="B18" s="79"/>
      <c r="C18" s="187" t="s">
        <v>97</v>
      </c>
      <c r="D18" s="195" t="s">
        <v>118</v>
      </c>
      <c r="E18" s="196">
        <v>1.9865000000000001E-2</v>
      </c>
      <c r="F18" s="29"/>
      <c r="G18" s="29"/>
      <c r="H18" s="29"/>
      <c r="I18" s="29"/>
      <c r="J18" s="29"/>
      <c r="K18" s="29"/>
      <c r="L18" s="29"/>
      <c r="M18" s="29"/>
      <c r="N18" s="29"/>
      <c r="O18" s="29"/>
      <c r="P18" s="29"/>
      <c r="Q18" s="29"/>
      <c r="R18" s="29"/>
      <c r="S18" s="29"/>
      <c r="T18" s="22"/>
      <c r="W18" s="180" t="s">
        <v>10</v>
      </c>
      <c r="X18" s="234">
        <v>2.6218999999999999E-2</v>
      </c>
    </row>
    <row r="19" spans="2:24" ht="15" customHeight="1" x14ac:dyDescent="0.25">
      <c r="B19" s="79"/>
      <c r="C19" s="187" t="s">
        <v>95</v>
      </c>
      <c r="D19" s="195" t="s">
        <v>111</v>
      </c>
      <c r="E19" s="196">
        <v>1.9261E-2</v>
      </c>
      <c r="F19" s="29"/>
      <c r="G19" s="29"/>
      <c r="H19" s="29"/>
      <c r="I19" s="29"/>
      <c r="J19" s="29"/>
      <c r="K19" s="29"/>
      <c r="L19" s="29"/>
      <c r="M19" s="29"/>
      <c r="N19" s="29"/>
      <c r="O19" s="29"/>
      <c r="P19" s="29"/>
      <c r="Q19" s="29"/>
      <c r="R19" s="29"/>
      <c r="S19" s="29"/>
      <c r="T19" s="22"/>
      <c r="W19" s="180" t="s">
        <v>109</v>
      </c>
      <c r="X19" s="234">
        <v>2.2978999999999999E-2</v>
      </c>
    </row>
    <row r="20" spans="2:24" ht="15" customHeight="1" x14ac:dyDescent="0.25">
      <c r="B20" s="79"/>
      <c r="C20" s="187" t="s">
        <v>351</v>
      </c>
      <c r="D20" s="195" t="s">
        <v>85</v>
      </c>
      <c r="E20" s="196">
        <v>1.8609000000000001E-2</v>
      </c>
      <c r="F20" s="29"/>
      <c r="G20" s="29"/>
      <c r="H20" s="29"/>
      <c r="I20" s="29"/>
      <c r="J20" s="29"/>
      <c r="K20" s="29"/>
      <c r="L20" s="29"/>
      <c r="M20" s="29"/>
      <c r="N20" s="29"/>
      <c r="O20" s="29"/>
      <c r="P20" s="29"/>
      <c r="Q20" s="29"/>
      <c r="R20" s="29"/>
      <c r="S20" s="29"/>
      <c r="T20" s="22"/>
      <c r="W20" s="180" t="s">
        <v>105</v>
      </c>
      <c r="X20" s="234">
        <v>2.2491999999999998E-2</v>
      </c>
    </row>
    <row r="21" spans="2:24" ht="15" customHeight="1" x14ac:dyDescent="0.25">
      <c r="B21" s="79"/>
      <c r="C21" s="187" t="s">
        <v>247</v>
      </c>
      <c r="D21" s="195" t="s">
        <v>107</v>
      </c>
      <c r="E21" s="196">
        <v>1.8457999999999999E-2</v>
      </c>
      <c r="F21" s="29"/>
      <c r="G21" s="29"/>
      <c r="H21" s="29"/>
      <c r="I21" s="29"/>
      <c r="J21" s="29"/>
      <c r="K21" s="29"/>
      <c r="L21" s="29"/>
      <c r="M21" s="29"/>
      <c r="N21" s="29"/>
      <c r="O21" s="29"/>
      <c r="P21" s="29"/>
      <c r="Q21" s="29"/>
      <c r="R21" s="29"/>
      <c r="S21" s="29"/>
      <c r="T21" s="22"/>
      <c r="W21" s="180" t="s">
        <v>116</v>
      </c>
      <c r="X21" s="234">
        <v>2.1003999999999998E-2</v>
      </c>
    </row>
    <row r="22" spans="2:24" ht="15" customHeight="1" x14ac:dyDescent="0.25">
      <c r="B22" s="79"/>
      <c r="C22" s="187" t="s">
        <v>372</v>
      </c>
      <c r="D22" s="195" t="s">
        <v>85</v>
      </c>
      <c r="E22" s="196">
        <v>1.7302999999999999E-2</v>
      </c>
      <c r="F22" s="29"/>
      <c r="G22" s="29"/>
      <c r="H22" s="29"/>
      <c r="I22" s="29"/>
      <c r="J22" s="29"/>
      <c r="K22" s="29"/>
      <c r="L22" s="29"/>
      <c r="M22" s="29"/>
      <c r="N22" s="29"/>
      <c r="O22" s="29"/>
      <c r="P22" s="29"/>
      <c r="Q22" s="29"/>
      <c r="R22" s="29"/>
      <c r="S22" s="29"/>
      <c r="T22" s="22"/>
      <c r="W22" s="180" t="s">
        <v>118</v>
      </c>
      <c r="X22" s="234">
        <v>1.9865000000000001E-2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373</v>
      </c>
      <c r="X23" s="234">
        <v>1.9592999999999999E-2</v>
      </c>
    </row>
    <row r="24" spans="2:24" ht="15" customHeight="1" x14ac:dyDescent="0.25">
      <c r="B24" s="79"/>
      <c r="C24" s="73" t="s">
        <v>55</v>
      </c>
      <c r="D24" s="74"/>
      <c r="E24" s="84">
        <f>SUM(E8:E22)</f>
        <v>0.46265000000000006</v>
      </c>
      <c r="F24" s="29"/>
      <c r="G24" s="29"/>
      <c r="H24" s="29"/>
      <c r="I24" s="29"/>
      <c r="J24" s="29"/>
      <c r="K24" s="29"/>
      <c r="L24" s="29"/>
      <c r="M24" s="29"/>
      <c r="N24" s="29"/>
      <c r="O24" s="29"/>
      <c r="P24" s="29"/>
      <c r="Q24" s="29"/>
      <c r="R24" s="29"/>
      <c r="S24" s="29"/>
      <c r="T24" s="22"/>
      <c r="W24" s="180" t="s">
        <v>107</v>
      </c>
      <c r="X24" s="234">
        <v>1.8457999999999999E-2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112</v>
      </c>
      <c r="X25" s="234">
        <v>1.7811E-2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26</v>
      </c>
      <c r="X26" s="234">
        <v>1.6071999999999999E-2</v>
      </c>
    </row>
    <row r="27" spans="2:24" ht="15" customHeight="1" x14ac:dyDescent="0.25">
      <c r="B27" s="79"/>
      <c r="F27" s="29"/>
      <c r="G27" s="29"/>
      <c r="H27" s="29"/>
      <c r="I27" s="29"/>
      <c r="J27" s="29"/>
      <c r="K27" s="29"/>
      <c r="L27" s="29"/>
      <c r="M27" s="29"/>
      <c r="N27" s="29"/>
      <c r="O27" s="29"/>
      <c r="P27" s="29"/>
      <c r="Q27" s="29"/>
      <c r="R27" s="29"/>
      <c r="S27" s="29"/>
      <c r="T27" s="22"/>
      <c r="W27" s="180" t="s">
        <v>13</v>
      </c>
      <c r="X27" s="234">
        <v>1.5065E-2</v>
      </c>
    </row>
    <row r="28" spans="2:24" ht="15" customHeight="1" x14ac:dyDescent="0.25">
      <c r="B28" s="79"/>
      <c r="F28" s="29"/>
      <c r="G28" s="29"/>
      <c r="H28" s="29"/>
      <c r="I28" s="29"/>
      <c r="J28" s="29"/>
      <c r="K28" s="29"/>
      <c r="L28" s="29"/>
      <c r="M28" s="29"/>
      <c r="N28" s="29"/>
      <c r="O28" s="29"/>
      <c r="P28" s="29"/>
      <c r="Q28" s="29"/>
      <c r="R28" s="29"/>
      <c r="S28" s="29"/>
      <c r="T28" s="22"/>
      <c r="W28" s="180" t="s">
        <v>132</v>
      </c>
      <c r="X28" s="234">
        <v>1.3351E-2</v>
      </c>
    </row>
    <row r="29" spans="2:24" ht="15" customHeight="1" x14ac:dyDescent="0.25">
      <c r="B29" s="79"/>
      <c r="F29" s="29"/>
      <c r="G29" s="29"/>
      <c r="H29" s="29"/>
      <c r="I29" s="29"/>
      <c r="J29" s="29"/>
      <c r="K29" s="29"/>
      <c r="L29" s="29"/>
      <c r="M29" s="29"/>
      <c r="N29" s="29"/>
      <c r="O29" s="29"/>
      <c r="P29" s="29"/>
      <c r="Q29" s="29"/>
      <c r="R29" s="29"/>
      <c r="S29" s="29"/>
      <c r="T29" s="22"/>
      <c r="W29" s="180" t="s">
        <v>83</v>
      </c>
      <c r="X29" s="234">
        <v>1.1956999999999999E-2</v>
      </c>
    </row>
    <row r="30" spans="2:24" ht="15" customHeight="1" x14ac:dyDescent="0.25">
      <c r="B30" s="79"/>
      <c r="F30" s="29"/>
      <c r="G30" s="29"/>
      <c r="H30" s="29"/>
      <c r="I30" s="29"/>
      <c r="J30" s="29"/>
      <c r="K30" s="29"/>
      <c r="L30" s="29"/>
      <c r="M30" s="29"/>
      <c r="N30" s="29"/>
      <c r="O30" s="29"/>
      <c r="P30" s="29"/>
      <c r="Q30" s="29"/>
      <c r="R30" s="29"/>
      <c r="S30" s="29"/>
      <c r="T30" s="22"/>
      <c r="W30" s="180" t="s">
        <v>120</v>
      </c>
      <c r="X30" s="234">
        <v>1.1695000000000001E-2</v>
      </c>
    </row>
    <row r="31" spans="2:24" ht="15" customHeight="1" x14ac:dyDescent="0.25">
      <c r="B31" s="79"/>
      <c r="F31" s="29"/>
      <c r="G31" s="29"/>
      <c r="H31" s="29"/>
      <c r="I31" s="29"/>
      <c r="J31" s="29"/>
      <c r="K31" s="29"/>
      <c r="L31" s="29"/>
      <c r="M31" s="29"/>
      <c r="N31" s="29"/>
      <c r="O31" s="29"/>
      <c r="P31" s="29"/>
      <c r="Q31" s="29"/>
      <c r="R31" s="29"/>
      <c r="S31" s="29"/>
      <c r="T31" s="22"/>
      <c r="W31" s="180" t="s">
        <v>125</v>
      </c>
      <c r="X31" s="234">
        <v>1.0374E-2</v>
      </c>
    </row>
    <row r="32" spans="2:24" ht="15" customHeight="1" x14ac:dyDescent="0.25">
      <c r="B32" s="79"/>
      <c r="F32" s="29"/>
      <c r="G32" s="29"/>
      <c r="H32" s="29"/>
      <c r="I32" s="29"/>
      <c r="J32" s="29"/>
      <c r="K32" s="29"/>
      <c r="L32" s="29"/>
      <c r="M32" s="29"/>
      <c r="N32" s="29"/>
      <c r="O32" s="29"/>
      <c r="P32" s="29"/>
      <c r="Q32" s="29"/>
      <c r="R32" s="29"/>
      <c r="S32" s="29"/>
      <c r="T32" s="22"/>
      <c r="W32" s="180" t="s">
        <v>82</v>
      </c>
      <c r="X32" s="234">
        <v>9.3949999999999988E-3</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123</v>
      </c>
      <c r="X33" s="234">
        <v>9.3460000000000001E-3</v>
      </c>
    </row>
    <row r="34" spans="2:24" ht="15" customHeight="1" thickBot="1" x14ac:dyDescent="0.3">
      <c r="W34" s="180" t="s">
        <v>117</v>
      </c>
      <c r="X34" s="234">
        <v>7.0409999999999995E-3</v>
      </c>
    </row>
    <row r="35" spans="2:24" ht="15" customHeight="1" x14ac:dyDescent="0.25">
      <c r="B35" s="295" t="s">
        <v>181</v>
      </c>
      <c r="C35" s="296"/>
      <c r="D35" s="296"/>
      <c r="E35" s="296"/>
      <c r="F35" s="296"/>
      <c r="G35" s="296"/>
      <c r="H35" s="296"/>
      <c r="I35" s="296"/>
      <c r="J35" s="296"/>
      <c r="K35" s="296"/>
      <c r="L35" s="296"/>
      <c r="M35" s="296"/>
      <c r="N35" s="296"/>
      <c r="O35" s="296"/>
      <c r="P35" s="296"/>
      <c r="Q35" s="296"/>
      <c r="R35" s="297"/>
      <c r="W35" s="180" t="s">
        <v>115</v>
      </c>
      <c r="X35" s="234">
        <v>5.5789999999999998E-3</v>
      </c>
    </row>
    <row r="36" spans="2:24" ht="15" customHeight="1" x14ac:dyDescent="0.25">
      <c r="B36" s="298"/>
      <c r="C36" s="299"/>
      <c r="D36" s="299"/>
      <c r="E36" s="299"/>
      <c r="F36" s="299"/>
      <c r="G36" s="299"/>
      <c r="H36" s="299"/>
      <c r="I36" s="299"/>
      <c r="J36" s="299"/>
      <c r="K36" s="299"/>
      <c r="L36" s="299"/>
      <c r="M36" s="299"/>
      <c r="N36" s="299"/>
      <c r="O36" s="299"/>
      <c r="P36" s="299"/>
      <c r="Q36" s="299"/>
      <c r="R36" s="300"/>
      <c r="W36" s="180" t="s">
        <v>145</v>
      </c>
      <c r="X36" s="234">
        <v>5.1710000000000002E-3</v>
      </c>
    </row>
    <row r="37" spans="2:24" ht="15" customHeight="1" x14ac:dyDescent="0.25">
      <c r="B37" s="298"/>
      <c r="C37" s="299"/>
      <c r="D37" s="299"/>
      <c r="E37" s="299"/>
      <c r="F37" s="299"/>
      <c r="G37" s="299"/>
      <c r="H37" s="299"/>
      <c r="I37" s="299"/>
      <c r="J37" s="299"/>
      <c r="K37" s="299"/>
      <c r="L37" s="299"/>
      <c r="M37" s="299"/>
      <c r="N37" s="299"/>
      <c r="O37" s="299"/>
      <c r="P37" s="299"/>
      <c r="Q37" s="299"/>
      <c r="R37" s="300"/>
      <c r="W37" s="180"/>
      <c r="X37" s="234"/>
    </row>
    <row r="38" spans="2:24" ht="15" customHeight="1" x14ac:dyDescent="0.25">
      <c r="B38" s="298"/>
      <c r="C38" s="299"/>
      <c r="D38" s="299"/>
      <c r="E38" s="299"/>
      <c r="F38" s="299"/>
      <c r="G38" s="299"/>
      <c r="H38" s="299"/>
      <c r="I38" s="299"/>
      <c r="J38" s="299"/>
      <c r="K38" s="299"/>
      <c r="L38" s="299"/>
      <c r="M38" s="299"/>
      <c r="N38" s="299"/>
      <c r="O38" s="299"/>
      <c r="P38" s="299"/>
      <c r="Q38" s="299"/>
      <c r="R38" s="300"/>
      <c r="W38" s="180"/>
      <c r="X38" s="234"/>
    </row>
    <row r="39" spans="2:24" ht="15" customHeight="1" x14ac:dyDescent="0.25">
      <c r="B39" s="298"/>
      <c r="C39" s="299"/>
      <c r="D39" s="299"/>
      <c r="E39" s="299"/>
      <c r="F39" s="299"/>
      <c r="G39" s="299"/>
      <c r="H39" s="299"/>
      <c r="I39" s="299"/>
      <c r="J39" s="299"/>
      <c r="K39" s="299"/>
      <c r="L39" s="299"/>
      <c r="M39" s="299"/>
      <c r="N39" s="299"/>
      <c r="O39" s="299"/>
      <c r="P39" s="299"/>
      <c r="Q39" s="299"/>
      <c r="R39" s="300"/>
      <c r="W39" s="180"/>
      <c r="X39" s="234"/>
    </row>
    <row r="40" spans="2:24" ht="15" customHeight="1" x14ac:dyDescent="0.25">
      <c r="B40" s="298"/>
      <c r="C40" s="299"/>
      <c r="D40" s="299"/>
      <c r="E40" s="299"/>
      <c r="F40" s="299"/>
      <c r="G40" s="299"/>
      <c r="H40" s="299"/>
      <c r="I40" s="299"/>
      <c r="J40" s="299"/>
      <c r="K40" s="299"/>
      <c r="L40" s="299"/>
      <c r="M40" s="299"/>
      <c r="N40" s="299"/>
      <c r="O40" s="299"/>
      <c r="P40" s="299"/>
      <c r="Q40" s="299"/>
      <c r="R40" s="300"/>
    </row>
    <row r="41" spans="2:24" ht="15" customHeight="1" thickBot="1" x14ac:dyDescent="0.3">
      <c r="B41" s="301"/>
      <c r="C41" s="302"/>
      <c r="D41" s="302"/>
      <c r="E41" s="302"/>
      <c r="F41" s="302"/>
      <c r="G41" s="302"/>
      <c r="H41" s="302"/>
      <c r="I41" s="302"/>
      <c r="J41" s="302"/>
      <c r="K41" s="302"/>
      <c r="L41" s="302"/>
      <c r="M41" s="302"/>
      <c r="N41" s="302"/>
      <c r="O41" s="302"/>
      <c r="P41" s="302"/>
      <c r="Q41" s="302"/>
      <c r="R41" s="30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4" t="s">
        <v>167</v>
      </c>
      <c r="D3" s="305"/>
      <c r="E3" s="305"/>
      <c r="F3" s="305"/>
      <c r="G3" s="305"/>
      <c r="H3" s="305"/>
      <c r="I3" s="305"/>
      <c r="J3" s="305"/>
      <c r="K3" s="305"/>
      <c r="L3" s="305"/>
      <c r="M3" s="305"/>
      <c r="N3" s="305"/>
      <c r="O3" s="305"/>
      <c r="P3" s="305"/>
      <c r="Q3" s="305"/>
      <c r="R3" s="305"/>
      <c r="S3" s="305"/>
      <c r="T3" s="22"/>
      <c r="V3" s="40"/>
      <c r="W3" s="40"/>
      <c r="X3" s="40"/>
      <c r="Y3" s="40"/>
      <c r="Z3" s="40"/>
      <c r="AA3" s="40"/>
    </row>
    <row r="4" spans="1:27" ht="15.75" customHeight="1" x14ac:dyDescent="0.25">
      <c r="B4" s="79"/>
      <c r="C4" s="67" t="s">
        <v>387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06" t="s">
        <v>393</v>
      </c>
      <c r="E5" s="306"/>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4" t="s">
        <v>137</v>
      </c>
      <c r="D8" s="205" t="s">
        <v>26</v>
      </c>
      <c r="E8" s="202">
        <v>3.5243999999999998E-2</v>
      </c>
      <c r="F8" s="29"/>
      <c r="G8" s="29"/>
      <c r="H8" s="29"/>
      <c r="I8" s="29"/>
      <c r="J8" s="29"/>
      <c r="K8" s="29"/>
      <c r="L8" s="29"/>
      <c r="M8" s="29"/>
      <c r="N8" s="29"/>
      <c r="O8" s="29"/>
      <c r="P8" s="29"/>
      <c r="Q8" s="29"/>
      <c r="R8" s="29"/>
      <c r="S8" s="29"/>
      <c r="T8" s="22"/>
      <c r="V8" s="158"/>
      <c r="W8" s="180" t="s">
        <v>24</v>
      </c>
      <c r="X8" s="234">
        <v>9.4395000000000007E-2</v>
      </c>
      <c r="Y8" s="158"/>
      <c r="Z8" s="40"/>
      <c r="AA8" s="40"/>
    </row>
    <row r="9" spans="1:27" ht="15.75" customHeight="1" x14ac:dyDescent="0.25">
      <c r="B9" s="79"/>
      <c r="C9" s="206" t="s">
        <v>186</v>
      </c>
      <c r="D9" s="207" t="s">
        <v>106</v>
      </c>
      <c r="E9" s="203">
        <v>3.4542999999999997E-2</v>
      </c>
      <c r="F9" s="29"/>
      <c r="G9" s="29"/>
      <c r="H9" s="29"/>
      <c r="I9" s="29"/>
      <c r="J9" s="29"/>
      <c r="K9" s="29"/>
      <c r="L9" s="29"/>
      <c r="M9" s="29"/>
      <c r="N9" s="29"/>
      <c r="O9" s="29"/>
      <c r="P9" s="29"/>
      <c r="Q9" s="29"/>
      <c r="R9" s="29"/>
      <c r="S9" s="29"/>
      <c r="T9" s="22"/>
      <c r="V9" s="158"/>
      <c r="W9" s="180" t="s">
        <v>110</v>
      </c>
      <c r="X9" s="234">
        <v>8.7723000000000009E-2</v>
      </c>
      <c r="Y9" s="158"/>
      <c r="Z9" s="40"/>
      <c r="AA9" s="40"/>
    </row>
    <row r="10" spans="1:27" ht="15" customHeight="1" x14ac:dyDescent="0.25">
      <c r="B10" s="79"/>
      <c r="C10" s="206" t="s">
        <v>93</v>
      </c>
      <c r="D10" s="207" t="s">
        <v>83</v>
      </c>
      <c r="E10" s="203">
        <v>2.8986999999999999E-2</v>
      </c>
      <c r="F10" s="29"/>
      <c r="G10" s="29"/>
      <c r="H10" s="29"/>
      <c r="I10" s="29"/>
      <c r="J10" s="29"/>
      <c r="K10" s="29"/>
      <c r="L10" s="29"/>
      <c r="M10" s="29"/>
      <c r="N10" s="29"/>
      <c r="O10" s="29"/>
      <c r="P10" s="29"/>
      <c r="Q10" s="29"/>
      <c r="R10" s="29"/>
      <c r="S10" s="29"/>
      <c r="T10" s="22"/>
      <c r="V10" s="158"/>
      <c r="W10" s="180" t="s">
        <v>118</v>
      </c>
      <c r="X10" s="234">
        <v>8.7289000000000005E-2</v>
      </c>
      <c r="Y10" s="158"/>
      <c r="Z10" s="40"/>
      <c r="AA10" s="40"/>
    </row>
    <row r="11" spans="1:27" ht="15" customHeight="1" x14ac:dyDescent="0.25">
      <c r="B11" s="79"/>
      <c r="C11" s="206" t="s">
        <v>235</v>
      </c>
      <c r="D11" s="207" t="s">
        <v>16</v>
      </c>
      <c r="E11" s="203">
        <v>2.8329E-2</v>
      </c>
      <c r="F11" s="29"/>
      <c r="G11" s="29"/>
      <c r="H11" s="29"/>
      <c r="I11" s="29"/>
      <c r="J11" s="29"/>
      <c r="K11" s="29"/>
      <c r="L11" s="29"/>
      <c r="M11" s="29"/>
      <c r="N11" s="29"/>
      <c r="O11" s="29"/>
      <c r="P11" s="29"/>
      <c r="Q11" s="29"/>
      <c r="R11" s="29"/>
      <c r="S11" s="29"/>
      <c r="T11" s="22"/>
      <c r="V11" s="158"/>
      <c r="W11" s="180" t="s">
        <v>16</v>
      </c>
      <c r="X11" s="234">
        <v>8.0106000000000011E-2</v>
      </c>
      <c r="Y11" s="158"/>
      <c r="Z11" s="40"/>
      <c r="AA11" s="40"/>
    </row>
    <row r="12" spans="1:27" ht="15" customHeight="1" x14ac:dyDescent="0.25">
      <c r="B12" s="79"/>
      <c r="C12" s="206" t="s">
        <v>212</v>
      </c>
      <c r="D12" s="207" t="s">
        <v>112</v>
      </c>
      <c r="E12" s="203">
        <v>2.3432999999999999E-2</v>
      </c>
      <c r="F12" s="29"/>
      <c r="G12" s="29"/>
      <c r="H12" s="29"/>
      <c r="I12" s="29"/>
      <c r="J12" s="29"/>
      <c r="K12" s="29"/>
      <c r="L12" s="29"/>
      <c r="M12" s="29"/>
      <c r="N12" s="29"/>
      <c r="O12" s="29"/>
      <c r="P12" s="29"/>
      <c r="Q12" s="29"/>
      <c r="R12" s="29"/>
      <c r="S12" s="29"/>
      <c r="T12" s="22"/>
      <c r="V12" s="158"/>
      <c r="W12" s="180" t="s">
        <v>106</v>
      </c>
      <c r="X12" s="234">
        <v>6.8385000000000001E-2</v>
      </c>
      <c r="Y12" s="158"/>
      <c r="Z12" s="40"/>
      <c r="AA12" s="40"/>
    </row>
    <row r="13" spans="1:27" ht="15" customHeight="1" x14ac:dyDescent="0.25">
      <c r="B13" s="79"/>
      <c r="C13" s="206" t="s">
        <v>97</v>
      </c>
      <c r="D13" s="207" t="s">
        <v>118</v>
      </c>
      <c r="E13" s="203">
        <v>2.2329999999999999E-2</v>
      </c>
      <c r="F13" s="29"/>
      <c r="G13" s="29"/>
      <c r="H13" s="29"/>
      <c r="I13" s="29"/>
      <c r="J13" s="29"/>
      <c r="K13" s="29"/>
      <c r="L13" s="29"/>
      <c r="M13" s="29"/>
      <c r="N13" s="29"/>
      <c r="O13" s="29"/>
      <c r="P13" s="29"/>
      <c r="Q13" s="29"/>
      <c r="R13" s="29"/>
      <c r="S13" s="29"/>
      <c r="T13" s="22"/>
      <c r="V13" s="158"/>
      <c r="W13" s="180" t="s">
        <v>109</v>
      </c>
      <c r="X13" s="234">
        <v>6.6089000000000009E-2</v>
      </c>
      <c r="Y13" s="158"/>
      <c r="Z13" s="40"/>
      <c r="AA13" s="40"/>
    </row>
    <row r="14" spans="1:27" ht="15" customHeight="1" x14ac:dyDescent="0.25">
      <c r="B14" s="79"/>
      <c r="C14" s="206" t="s">
        <v>221</v>
      </c>
      <c r="D14" s="207" t="s">
        <v>183</v>
      </c>
      <c r="E14" s="203">
        <v>2.2328000000000001E-2</v>
      </c>
      <c r="F14" s="29"/>
      <c r="G14" s="29"/>
      <c r="H14" s="29"/>
      <c r="I14" s="29"/>
      <c r="J14" s="29"/>
      <c r="K14" s="29"/>
      <c r="L14" s="29"/>
      <c r="M14" s="29"/>
      <c r="N14" s="29"/>
      <c r="O14" s="29"/>
      <c r="P14" s="29"/>
      <c r="Q14" s="29"/>
      <c r="R14" s="29"/>
      <c r="S14" s="29"/>
      <c r="T14" s="22"/>
      <c r="V14" s="158"/>
      <c r="W14" s="180" t="s">
        <v>26</v>
      </c>
      <c r="X14" s="234">
        <v>5.731E-2</v>
      </c>
      <c r="Y14" s="158"/>
      <c r="Z14" s="40"/>
      <c r="AA14" s="40"/>
    </row>
    <row r="15" spans="1:27" ht="15.75" customHeight="1" x14ac:dyDescent="0.25">
      <c r="B15" s="79"/>
      <c r="C15" s="206" t="s">
        <v>135</v>
      </c>
      <c r="D15" s="207" t="s">
        <v>109</v>
      </c>
      <c r="E15" s="203">
        <v>2.1940999999999999E-2</v>
      </c>
      <c r="F15" s="29"/>
      <c r="G15" s="29"/>
      <c r="H15" s="29"/>
      <c r="I15" s="29"/>
      <c r="J15" s="29"/>
      <c r="K15" s="29"/>
      <c r="L15" s="29"/>
      <c r="M15" s="29"/>
      <c r="N15" s="29"/>
      <c r="O15" s="29"/>
      <c r="P15" s="29"/>
      <c r="Q15" s="29"/>
      <c r="R15" s="29"/>
      <c r="S15" s="29"/>
      <c r="T15" s="22"/>
      <c r="V15" s="158"/>
      <c r="W15" s="180" t="s">
        <v>83</v>
      </c>
      <c r="X15" s="234">
        <v>4.4519000000000003E-2</v>
      </c>
      <c r="Y15" s="158"/>
      <c r="Z15" s="40"/>
      <c r="AA15" s="40"/>
    </row>
    <row r="16" spans="1:27" ht="15" customHeight="1" x14ac:dyDescent="0.25">
      <c r="B16" s="79"/>
      <c r="C16" s="206" t="s">
        <v>195</v>
      </c>
      <c r="D16" s="207" t="s">
        <v>118</v>
      </c>
      <c r="E16" s="203">
        <v>2.0007E-2</v>
      </c>
      <c r="F16" s="29"/>
      <c r="G16" s="29"/>
      <c r="H16" s="29"/>
      <c r="I16" s="29"/>
      <c r="J16" s="29"/>
      <c r="K16" s="29"/>
      <c r="L16" s="29"/>
      <c r="M16" s="29"/>
      <c r="N16" s="29"/>
      <c r="O16" s="29"/>
      <c r="P16" s="29"/>
      <c r="Q16" s="29"/>
      <c r="R16" s="29"/>
      <c r="S16" s="29"/>
      <c r="T16" s="22"/>
      <c r="V16" s="158"/>
      <c r="W16" s="180" t="s">
        <v>112</v>
      </c>
      <c r="X16" s="234">
        <v>4.2515999999999998E-2</v>
      </c>
      <c r="Y16" s="158"/>
      <c r="Z16" s="40"/>
      <c r="AA16" s="40"/>
    </row>
    <row r="17" spans="2:27" ht="15.75" customHeight="1" x14ac:dyDescent="0.25">
      <c r="B17" s="79"/>
      <c r="C17" s="206" t="s">
        <v>138</v>
      </c>
      <c r="D17" s="207" t="s">
        <v>24</v>
      </c>
      <c r="E17" s="203">
        <v>1.9861E-2</v>
      </c>
      <c r="F17" s="29"/>
      <c r="G17" s="29"/>
      <c r="H17" s="29"/>
      <c r="I17" s="29"/>
      <c r="J17" s="29"/>
      <c r="K17" s="29"/>
      <c r="L17" s="29"/>
      <c r="M17" s="29"/>
      <c r="N17" s="29"/>
      <c r="O17" s="29"/>
      <c r="P17" s="29"/>
      <c r="Q17" s="29"/>
      <c r="R17" s="29"/>
      <c r="S17" s="29"/>
      <c r="T17" s="22"/>
      <c r="V17" s="158"/>
      <c r="W17" s="180" t="s">
        <v>3</v>
      </c>
      <c r="X17" s="234">
        <v>4.1277000000000001E-2</v>
      </c>
      <c r="Y17" s="158"/>
      <c r="Z17" s="40"/>
      <c r="AA17" s="40"/>
    </row>
    <row r="18" spans="2:27" ht="15.75" x14ac:dyDescent="0.25">
      <c r="B18" s="79"/>
      <c r="C18" s="206" t="s">
        <v>269</v>
      </c>
      <c r="D18" s="207" t="s">
        <v>3</v>
      </c>
      <c r="E18" s="203">
        <v>1.9615E-2</v>
      </c>
      <c r="F18" s="29"/>
      <c r="G18" s="29"/>
      <c r="H18" s="29"/>
      <c r="I18" s="29"/>
      <c r="J18" s="29"/>
      <c r="K18" s="29"/>
      <c r="L18" s="29"/>
      <c r="M18" s="29"/>
      <c r="N18" s="29"/>
      <c r="O18" s="29"/>
      <c r="P18" s="29"/>
      <c r="Q18" s="29"/>
      <c r="R18" s="29"/>
      <c r="S18" s="29"/>
      <c r="T18" s="22"/>
      <c r="V18" s="158"/>
      <c r="W18" s="180" t="s">
        <v>76</v>
      </c>
      <c r="X18" s="234">
        <v>3.3742000000000001E-2</v>
      </c>
      <c r="Y18" s="158"/>
      <c r="Z18" s="40"/>
      <c r="AA18" s="40"/>
    </row>
    <row r="19" spans="2:27" ht="15.75" customHeight="1" x14ac:dyDescent="0.25">
      <c r="B19" s="79"/>
      <c r="C19" s="206" t="s">
        <v>313</v>
      </c>
      <c r="D19" s="207" t="s">
        <v>117</v>
      </c>
      <c r="E19" s="203">
        <v>1.9089999999999999E-2</v>
      </c>
      <c r="F19" s="29"/>
      <c r="G19" s="29"/>
      <c r="H19" s="29"/>
      <c r="I19" s="29"/>
      <c r="J19" s="29"/>
      <c r="K19" s="29"/>
      <c r="L19" s="29"/>
      <c r="M19" s="29"/>
      <c r="N19" s="29"/>
      <c r="O19" s="29"/>
      <c r="P19" s="29"/>
      <c r="Q19" s="29"/>
      <c r="R19" s="29"/>
      <c r="S19" s="29"/>
      <c r="T19" s="22"/>
      <c r="V19" s="158"/>
      <c r="W19" s="180" t="s">
        <v>115</v>
      </c>
      <c r="X19" s="234">
        <v>2.7666E-2</v>
      </c>
      <c r="Y19" s="158"/>
      <c r="Z19" s="40"/>
      <c r="AA19" s="40"/>
    </row>
    <row r="20" spans="2:27" ht="15" customHeight="1" x14ac:dyDescent="0.25">
      <c r="B20" s="79"/>
      <c r="C20" s="206" t="s">
        <v>306</v>
      </c>
      <c r="D20" s="207" t="s">
        <v>76</v>
      </c>
      <c r="E20" s="203">
        <v>1.8180000000000002E-2</v>
      </c>
      <c r="F20" s="29"/>
      <c r="G20" s="29"/>
      <c r="H20" s="29"/>
      <c r="I20" s="29"/>
      <c r="J20" s="29"/>
      <c r="K20" s="29"/>
      <c r="L20" s="29"/>
      <c r="M20" s="29"/>
      <c r="N20" s="29"/>
      <c r="O20" s="29"/>
      <c r="P20" s="29"/>
      <c r="Q20" s="29"/>
      <c r="R20" s="29"/>
      <c r="S20" s="29"/>
      <c r="T20" s="22"/>
      <c r="V20" s="158"/>
      <c r="W20" s="180" t="s">
        <v>183</v>
      </c>
      <c r="X20" s="234">
        <v>2.2328000000000001E-2</v>
      </c>
      <c r="Y20" s="158"/>
      <c r="Z20" s="40"/>
      <c r="AA20" s="40"/>
    </row>
    <row r="21" spans="2:27" ht="15" customHeight="1" x14ac:dyDescent="0.25">
      <c r="B21" s="79"/>
      <c r="C21" s="206" t="s">
        <v>71</v>
      </c>
      <c r="D21" s="207" t="s">
        <v>10</v>
      </c>
      <c r="E21" s="203">
        <v>1.7954000000000001E-2</v>
      </c>
      <c r="F21" s="29"/>
      <c r="G21" s="29"/>
      <c r="H21" s="29"/>
      <c r="I21" s="29"/>
      <c r="J21" s="29"/>
      <c r="K21" s="29"/>
      <c r="L21" s="29"/>
      <c r="M21" s="29"/>
      <c r="N21" s="29"/>
      <c r="O21" s="29"/>
      <c r="P21" s="29"/>
      <c r="Q21" s="29"/>
      <c r="R21" s="29"/>
      <c r="S21" s="29"/>
      <c r="T21" s="22"/>
      <c r="V21" s="158"/>
      <c r="W21" s="180" t="s">
        <v>12</v>
      </c>
      <c r="X21" s="234">
        <v>2.1233999999999999E-2</v>
      </c>
      <c r="Y21" s="158"/>
      <c r="Z21" s="40"/>
      <c r="AA21" s="40"/>
    </row>
    <row r="22" spans="2:27" ht="15" customHeight="1" x14ac:dyDescent="0.25">
      <c r="B22" s="79"/>
      <c r="C22" s="206" t="s">
        <v>352</v>
      </c>
      <c r="D22" s="207" t="s">
        <v>24</v>
      </c>
      <c r="E22" s="203">
        <v>1.6243E-2</v>
      </c>
      <c r="F22" s="29"/>
      <c r="G22" s="29"/>
      <c r="H22" s="29"/>
      <c r="I22" s="29"/>
      <c r="J22" s="29"/>
      <c r="K22" s="29"/>
      <c r="L22" s="29"/>
      <c r="M22" s="29"/>
      <c r="N22" s="29"/>
      <c r="O22" s="29"/>
      <c r="P22" s="29"/>
      <c r="Q22" s="29"/>
      <c r="R22" s="29"/>
      <c r="S22" s="29"/>
      <c r="T22" s="22"/>
      <c r="V22" s="158"/>
      <c r="W22" s="180" t="s">
        <v>4</v>
      </c>
      <c r="X22" s="234">
        <v>1.9974000000000002E-2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117</v>
      </c>
      <c r="X23" s="234">
        <v>1.9089999999999999E-2</v>
      </c>
      <c r="Y23" s="158"/>
      <c r="Z23" s="40"/>
      <c r="AA23" s="40"/>
    </row>
    <row r="24" spans="2:27" ht="15" customHeight="1" x14ac:dyDescent="0.25">
      <c r="B24" s="79"/>
      <c r="C24" s="73" t="s">
        <v>55</v>
      </c>
      <c r="D24" s="74"/>
      <c r="E24" s="75">
        <f>SUM(E8:E23)</f>
        <v>0.34808499999999998</v>
      </c>
      <c r="F24" s="29"/>
      <c r="G24" s="29"/>
      <c r="H24" s="29"/>
      <c r="I24" s="29"/>
      <c r="J24" s="29"/>
      <c r="K24" s="29"/>
      <c r="L24" s="29"/>
      <c r="M24" s="29"/>
      <c r="N24" s="29"/>
      <c r="O24" s="29"/>
      <c r="P24" s="29"/>
      <c r="Q24" s="29"/>
      <c r="R24" s="29"/>
      <c r="S24" s="29"/>
      <c r="T24" s="22"/>
      <c r="V24" s="158"/>
      <c r="W24" s="180" t="s">
        <v>113</v>
      </c>
      <c r="X24" s="234">
        <v>1.8756999999999999E-2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10</v>
      </c>
      <c r="X25" s="234">
        <v>1.7954000000000001E-2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111</v>
      </c>
      <c r="X26" s="234">
        <v>1.5844E-2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82</v>
      </c>
      <c r="X27" s="234">
        <v>1.5205E-2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84</v>
      </c>
      <c r="X28" s="234">
        <v>1.4670000000000001E-2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136</v>
      </c>
      <c r="X29" s="234">
        <v>1.4454E-2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105</v>
      </c>
      <c r="X30" s="234">
        <v>1.1199000000000001E-2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86</v>
      </c>
      <c r="X31" s="234">
        <v>1.0807000000000001E-2</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125</v>
      </c>
      <c r="X32" s="234">
        <v>8.2839999999999997E-3</v>
      </c>
    </row>
    <row r="33" spans="2:24" ht="15" customHeight="1" thickBot="1" x14ac:dyDescent="0.3">
      <c r="W33" s="180" t="s">
        <v>122</v>
      </c>
      <c r="X33" s="234">
        <v>8.2100000000000003E-3</v>
      </c>
    </row>
    <row r="34" spans="2:24" ht="15" customHeight="1" x14ac:dyDescent="0.25">
      <c r="B34" s="295" t="s">
        <v>181</v>
      </c>
      <c r="C34" s="296"/>
      <c r="D34" s="296"/>
      <c r="E34" s="296"/>
      <c r="F34" s="296"/>
      <c r="G34" s="296"/>
      <c r="H34" s="296"/>
      <c r="I34" s="296"/>
      <c r="J34" s="296"/>
      <c r="K34" s="296"/>
      <c r="L34" s="296"/>
      <c r="M34" s="296"/>
      <c r="N34" s="296"/>
      <c r="O34" s="296"/>
      <c r="P34" s="296"/>
      <c r="Q34" s="296"/>
      <c r="R34" s="297"/>
      <c r="W34" s="180" t="s">
        <v>11</v>
      </c>
      <c r="X34" s="234">
        <v>7.6800000000000002E-3</v>
      </c>
    </row>
    <row r="35" spans="2:24" ht="15" customHeight="1" x14ac:dyDescent="0.25">
      <c r="B35" s="298"/>
      <c r="C35" s="299"/>
      <c r="D35" s="299"/>
      <c r="E35" s="299"/>
      <c r="F35" s="299"/>
      <c r="G35" s="299"/>
      <c r="H35" s="299"/>
      <c r="I35" s="299"/>
      <c r="J35" s="299"/>
      <c r="K35" s="299"/>
      <c r="L35" s="299"/>
      <c r="M35" s="299"/>
      <c r="N35" s="299"/>
      <c r="O35" s="299"/>
      <c r="P35" s="299"/>
      <c r="Q35" s="299"/>
      <c r="R35" s="300"/>
      <c r="W35" s="180" t="s">
        <v>184</v>
      </c>
      <c r="X35" s="234">
        <v>5.1789999999999996E-3</v>
      </c>
    </row>
    <row r="36" spans="2:24" ht="15" customHeight="1" x14ac:dyDescent="0.25">
      <c r="B36" s="298"/>
      <c r="C36" s="299"/>
      <c r="D36" s="299"/>
      <c r="E36" s="299"/>
      <c r="F36" s="299"/>
      <c r="G36" s="299"/>
      <c r="H36" s="299"/>
      <c r="I36" s="299"/>
      <c r="J36" s="299"/>
      <c r="K36" s="299"/>
      <c r="L36" s="299"/>
      <c r="M36" s="299"/>
      <c r="N36" s="299"/>
      <c r="O36" s="299"/>
      <c r="P36" s="299"/>
      <c r="Q36" s="299"/>
      <c r="R36" s="300"/>
      <c r="W36" s="180" t="s">
        <v>120</v>
      </c>
      <c r="X36" s="234">
        <v>4.3059999999999999E-3</v>
      </c>
    </row>
    <row r="37" spans="2:24" ht="15" customHeight="1" x14ac:dyDescent="0.25">
      <c r="B37" s="298"/>
      <c r="C37" s="299"/>
      <c r="D37" s="299"/>
      <c r="E37" s="299"/>
      <c r="F37" s="299"/>
      <c r="G37" s="299"/>
      <c r="H37" s="299"/>
      <c r="I37" s="299"/>
      <c r="J37" s="299"/>
      <c r="K37" s="299"/>
      <c r="L37" s="299"/>
      <c r="M37" s="299"/>
      <c r="N37" s="299"/>
      <c r="O37" s="299"/>
      <c r="P37" s="299"/>
      <c r="Q37" s="299"/>
      <c r="R37" s="300"/>
      <c r="W37" s="180" t="s">
        <v>107</v>
      </c>
      <c r="X37" s="234">
        <v>5.5500000000000005E-4</v>
      </c>
    </row>
    <row r="38" spans="2:24" ht="15" customHeight="1" x14ac:dyDescent="0.25">
      <c r="B38" s="298"/>
      <c r="C38" s="299"/>
      <c r="D38" s="299"/>
      <c r="E38" s="299"/>
      <c r="F38" s="299"/>
      <c r="G38" s="299"/>
      <c r="H38" s="299"/>
      <c r="I38" s="299"/>
      <c r="J38" s="299"/>
      <c r="K38" s="299"/>
      <c r="L38" s="299"/>
      <c r="M38" s="299"/>
      <c r="N38" s="299"/>
      <c r="O38" s="299"/>
      <c r="P38" s="299"/>
      <c r="Q38" s="299"/>
      <c r="R38" s="300"/>
      <c r="W38" s="180"/>
      <c r="X38" s="234"/>
    </row>
    <row r="39" spans="2:24" ht="15" customHeight="1" x14ac:dyDescent="0.25">
      <c r="B39" s="298"/>
      <c r="C39" s="299"/>
      <c r="D39" s="299"/>
      <c r="E39" s="299"/>
      <c r="F39" s="299"/>
      <c r="G39" s="299"/>
      <c r="H39" s="299"/>
      <c r="I39" s="299"/>
      <c r="J39" s="299"/>
      <c r="K39" s="299"/>
      <c r="L39" s="299"/>
      <c r="M39" s="299"/>
      <c r="N39" s="299"/>
      <c r="O39" s="299"/>
      <c r="P39" s="299"/>
      <c r="Q39" s="299"/>
      <c r="R39" s="300"/>
      <c r="W39" s="180"/>
      <c r="X39" s="234"/>
    </row>
    <row r="40" spans="2:24" ht="21.75" customHeight="1" thickBot="1" x14ac:dyDescent="0.3">
      <c r="B40" s="301"/>
      <c r="C40" s="302"/>
      <c r="D40" s="302"/>
      <c r="E40" s="302"/>
      <c r="F40" s="302"/>
      <c r="G40" s="302"/>
      <c r="H40" s="302"/>
      <c r="I40" s="302"/>
      <c r="J40" s="302"/>
      <c r="K40" s="302"/>
      <c r="L40" s="302"/>
      <c r="M40" s="302"/>
      <c r="N40" s="302"/>
      <c r="O40" s="302"/>
      <c r="P40" s="302"/>
      <c r="Q40" s="302"/>
      <c r="R40" s="303"/>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4" t="s">
        <v>166</v>
      </c>
      <c r="D3" s="305"/>
      <c r="E3" s="305"/>
      <c r="F3" s="305"/>
      <c r="G3" s="305"/>
      <c r="H3" s="305"/>
      <c r="I3" s="305"/>
      <c r="J3" s="305"/>
      <c r="K3" s="305"/>
      <c r="L3" s="305"/>
      <c r="M3" s="305"/>
      <c r="N3" s="305"/>
      <c r="O3" s="305"/>
      <c r="P3" s="305"/>
      <c r="Q3" s="305"/>
      <c r="R3" s="305"/>
      <c r="S3" s="305"/>
      <c r="T3" s="22"/>
      <c r="V3" s="40"/>
      <c r="W3" s="40"/>
      <c r="X3" s="40"/>
      <c r="Y3" s="40"/>
      <c r="Z3" s="40"/>
      <c r="AA3" s="40"/>
    </row>
    <row r="4" spans="1:27" ht="15.75" customHeight="1" x14ac:dyDescent="0.25">
      <c r="B4" s="79"/>
      <c r="C4" s="67" t="s">
        <v>387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06" t="s">
        <v>394</v>
      </c>
      <c r="E5" s="306"/>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4" t="s">
        <v>29</v>
      </c>
      <c r="D8" s="205" t="s">
        <v>3</v>
      </c>
      <c r="E8" s="202">
        <v>5.5663999999999998E-2</v>
      </c>
      <c r="F8" s="29"/>
      <c r="G8" s="29"/>
      <c r="H8" s="29"/>
      <c r="I8" s="29"/>
      <c r="J8" s="29"/>
      <c r="K8" s="29"/>
      <c r="L8" s="29"/>
      <c r="M8" s="29"/>
      <c r="N8" s="29"/>
      <c r="O8" s="29"/>
      <c r="P8" s="29"/>
      <c r="Q8" s="29"/>
      <c r="R8" s="29"/>
      <c r="S8" s="29"/>
      <c r="T8" s="22"/>
      <c r="V8" s="158"/>
      <c r="W8" s="180" t="s">
        <v>3</v>
      </c>
      <c r="X8" s="234">
        <v>0.15959100000000001</v>
      </c>
      <c r="Y8" s="158"/>
      <c r="Z8" s="40"/>
      <c r="AA8" s="40"/>
    </row>
    <row r="9" spans="1:27" ht="15.75" customHeight="1" x14ac:dyDescent="0.25">
      <c r="B9" s="79"/>
      <c r="C9" s="206" t="s">
        <v>31</v>
      </c>
      <c r="D9" s="207" t="s">
        <v>6</v>
      </c>
      <c r="E9" s="203">
        <v>4.1453999999999998E-2</v>
      </c>
      <c r="F9" s="29"/>
      <c r="G9" s="29"/>
      <c r="H9" s="29"/>
      <c r="I9" s="29"/>
      <c r="J9" s="29"/>
      <c r="K9" s="29"/>
      <c r="L9" s="29"/>
      <c r="M9" s="29"/>
      <c r="N9" s="29"/>
      <c r="O9" s="29"/>
      <c r="P9" s="29"/>
      <c r="Q9" s="29"/>
      <c r="R9" s="29"/>
      <c r="S9" s="29"/>
      <c r="T9" s="22"/>
      <c r="V9" s="158"/>
      <c r="W9" s="180" t="s">
        <v>110</v>
      </c>
      <c r="X9" s="234">
        <v>9.1113999999999987E-2</v>
      </c>
      <c r="Y9" s="158"/>
      <c r="Z9" s="40"/>
      <c r="AA9" s="40"/>
    </row>
    <row r="10" spans="1:27" ht="15" customHeight="1" x14ac:dyDescent="0.25">
      <c r="B10" s="79"/>
      <c r="C10" s="206" t="s">
        <v>32</v>
      </c>
      <c r="D10" s="207" t="s">
        <v>3</v>
      </c>
      <c r="E10" s="203">
        <v>2.6485000000000002E-2</v>
      </c>
      <c r="F10" s="29"/>
      <c r="G10" s="29"/>
      <c r="H10" s="29"/>
      <c r="I10" s="29"/>
      <c r="J10" s="29"/>
      <c r="K10" s="29"/>
      <c r="L10" s="29"/>
      <c r="M10" s="29"/>
      <c r="N10" s="29"/>
      <c r="O10" s="29"/>
      <c r="P10" s="29"/>
      <c r="Q10" s="29"/>
      <c r="R10" s="29"/>
      <c r="S10" s="29"/>
      <c r="T10" s="22"/>
      <c r="V10" s="158"/>
      <c r="W10" s="180" t="s">
        <v>106</v>
      </c>
      <c r="X10" s="234">
        <v>5.8889999999999998E-2</v>
      </c>
      <c r="Y10" s="158"/>
      <c r="Z10" s="40"/>
      <c r="AA10" s="40"/>
    </row>
    <row r="11" spans="1:27" ht="15" customHeight="1" x14ac:dyDescent="0.25">
      <c r="B11" s="79"/>
      <c r="C11" s="206" t="s">
        <v>28</v>
      </c>
      <c r="D11" s="207" t="s">
        <v>106</v>
      </c>
      <c r="E11" s="203">
        <v>2.5831E-2</v>
      </c>
      <c r="F11" s="29"/>
      <c r="G11" s="29"/>
      <c r="H11" s="29"/>
      <c r="I11" s="29"/>
      <c r="J11" s="29"/>
      <c r="K11" s="29"/>
      <c r="L11" s="29"/>
      <c r="M11" s="29"/>
      <c r="N11" s="29"/>
      <c r="O11" s="29"/>
      <c r="P11" s="29"/>
      <c r="Q11" s="29"/>
      <c r="R11" s="29"/>
      <c r="S11" s="29"/>
      <c r="T11" s="22"/>
      <c r="V11" s="158"/>
      <c r="W11" s="180" t="s">
        <v>4</v>
      </c>
      <c r="X11" s="234">
        <v>5.1564000000000006E-2</v>
      </c>
      <c r="Y11" s="158"/>
      <c r="Z11" s="40"/>
      <c r="AA11" s="40"/>
    </row>
    <row r="12" spans="1:27" ht="15" customHeight="1" x14ac:dyDescent="0.25">
      <c r="B12" s="79"/>
      <c r="C12" s="206" t="s">
        <v>36</v>
      </c>
      <c r="D12" s="207" t="s">
        <v>3</v>
      </c>
      <c r="E12" s="203">
        <v>2.5016E-2</v>
      </c>
      <c r="F12" s="29"/>
      <c r="G12" s="29"/>
      <c r="H12" s="29"/>
      <c r="I12" s="29"/>
      <c r="J12" s="29"/>
      <c r="K12" s="29"/>
      <c r="L12" s="29"/>
      <c r="M12" s="29"/>
      <c r="N12" s="29"/>
      <c r="O12" s="29"/>
      <c r="P12" s="29"/>
      <c r="Q12" s="29"/>
      <c r="R12" s="29"/>
      <c r="S12" s="29"/>
      <c r="T12" s="22"/>
      <c r="V12" s="158"/>
      <c r="W12" s="180" t="s">
        <v>6</v>
      </c>
      <c r="X12" s="234">
        <v>4.5997999999999997E-2</v>
      </c>
      <c r="Y12" s="158"/>
      <c r="Z12" s="40"/>
      <c r="AA12" s="40"/>
    </row>
    <row r="13" spans="1:27" ht="15" customHeight="1" x14ac:dyDescent="0.25">
      <c r="B13" s="79"/>
      <c r="C13" s="206" t="s">
        <v>237</v>
      </c>
      <c r="D13" s="207" t="s">
        <v>26</v>
      </c>
      <c r="E13" s="203">
        <v>1.9002000000000002E-2</v>
      </c>
      <c r="F13" s="29"/>
      <c r="G13" s="29"/>
      <c r="H13" s="29"/>
      <c r="I13" s="29"/>
      <c r="J13" s="29"/>
      <c r="K13" s="29"/>
      <c r="L13" s="29"/>
      <c r="M13" s="29"/>
      <c r="N13" s="29"/>
      <c r="O13" s="29"/>
      <c r="P13" s="29"/>
      <c r="Q13" s="29"/>
      <c r="R13" s="29"/>
      <c r="S13" s="29"/>
      <c r="T13" s="22"/>
      <c r="V13" s="158"/>
      <c r="W13" s="180" t="s">
        <v>85</v>
      </c>
      <c r="X13" s="234">
        <v>3.8470999999999998E-2</v>
      </c>
      <c r="Y13" s="158"/>
      <c r="Z13" s="40"/>
      <c r="AA13" s="40"/>
    </row>
    <row r="14" spans="1:27" ht="15" customHeight="1" x14ac:dyDescent="0.25">
      <c r="B14" s="79"/>
      <c r="C14" s="206" t="s">
        <v>246</v>
      </c>
      <c r="D14" s="207" t="s">
        <v>105</v>
      </c>
      <c r="E14" s="203">
        <v>1.8147E-2</v>
      </c>
      <c r="F14" s="29"/>
      <c r="G14" s="29"/>
      <c r="H14" s="29"/>
      <c r="I14" s="29"/>
      <c r="J14" s="29"/>
      <c r="K14" s="29"/>
      <c r="L14" s="29"/>
      <c r="M14" s="29"/>
      <c r="N14" s="29"/>
      <c r="O14" s="29"/>
      <c r="P14" s="29"/>
      <c r="Q14" s="29"/>
      <c r="R14" s="29"/>
      <c r="S14" s="29"/>
      <c r="T14" s="22"/>
      <c r="V14" s="158"/>
      <c r="W14" s="180" t="s">
        <v>26</v>
      </c>
      <c r="X14" s="234">
        <v>3.8015000000000007E-2</v>
      </c>
      <c r="Y14" s="158"/>
      <c r="Z14" s="40"/>
      <c r="AA14" s="40"/>
    </row>
    <row r="15" spans="1:27" ht="15.75" customHeight="1" x14ac:dyDescent="0.25">
      <c r="B15" s="79"/>
      <c r="C15" s="206" t="s">
        <v>247</v>
      </c>
      <c r="D15" s="207" t="s">
        <v>107</v>
      </c>
      <c r="E15" s="203">
        <v>1.7957000000000001E-2</v>
      </c>
      <c r="F15" s="29"/>
      <c r="G15" s="29"/>
      <c r="H15" s="29"/>
      <c r="I15" s="29"/>
      <c r="J15" s="29"/>
      <c r="K15" s="29"/>
      <c r="L15" s="29"/>
      <c r="M15" s="29"/>
      <c r="N15" s="29"/>
      <c r="O15" s="29"/>
      <c r="P15" s="29"/>
      <c r="Q15" s="29"/>
      <c r="R15" s="29"/>
      <c r="S15" s="29"/>
      <c r="T15" s="22"/>
      <c r="V15" s="158"/>
      <c r="W15" s="180" t="s">
        <v>16</v>
      </c>
      <c r="X15" s="234">
        <v>3.2855000000000002E-2</v>
      </c>
      <c r="Y15" s="158"/>
      <c r="Z15" s="40"/>
      <c r="AA15" s="40"/>
    </row>
    <row r="16" spans="1:27" ht="15" customHeight="1" x14ac:dyDescent="0.25">
      <c r="B16" s="79"/>
      <c r="C16" s="206" t="s">
        <v>33</v>
      </c>
      <c r="D16" s="207" t="s">
        <v>106</v>
      </c>
      <c r="E16" s="203">
        <v>1.7387E-2</v>
      </c>
      <c r="F16" s="29"/>
      <c r="G16" s="29"/>
      <c r="H16" s="29"/>
      <c r="I16" s="29"/>
      <c r="J16" s="29"/>
      <c r="K16" s="29"/>
      <c r="L16" s="29"/>
      <c r="M16" s="29"/>
      <c r="N16" s="29"/>
      <c r="O16" s="29"/>
      <c r="P16" s="29"/>
      <c r="Q16" s="29"/>
      <c r="R16" s="29"/>
      <c r="S16" s="29"/>
      <c r="T16" s="22"/>
      <c r="V16" s="158"/>
      <c r="W16" s="180" t="s">
        <v>23</v>
      </c>
      <c r="X16" s="234">
        <v>2.9942000000000003E-2</v>
      </c>
      <c r="Y16" s="158"/>
      <c r="Z16" s="40"/>
      <c r="AA16" s="40"/>
    </row>
    <row r="17" spans="2:27" ht="15.75" customHeight="1" x14ac:dyDescent="0.25">
      <c r="B17" s="79"/>
      <c r="C17" s="206" t="s">
        <v>35</v>
      </c>
      <c r="D17" s="207" t="s">
        <v>3</v>
      </c>
      <c r="E17" s="203">
        <v>1.6881E-2</v>
      </c>
      <c r="F17" s="29"/>
      <c r="G17" s="29"/>
      <c r="H17" s="29"/>
      <c r="I17" s="29"/>
      <c r="J17" s="29"/>
      <c r="K17" s="29"/>
      <c r="L17" s="29"/>
      <c r="M17" s="29"/>
      <c r="N17" s="29"/>
      <c r="O17" s="29"/>
      <c r="P17" s="29"/>
      <c r="Q17" s="29"/>
      <c r="R17" s="29"/>
      <c r="S17" s="29"/>
      <c r="T17" s="22"/>
      <c r="V17" s="158"/>
      <c r="W17" s="180" t="s">
        <v>117</v>
      </c>
      <c r="X17" s="234">
        <v>2.8801E-2</v>
      </c>
      <c r="Y17" s="158"/>
      <c r="Z17" s="40"/>
      <c r="AA17" s="40"/>
    </row>
    <row r="18" spans="2:27" ht="15.75" x14ac:dyDescent="0.25">
      <c r="B18" s="79"/>
      <c r="C18" s="206" t="s">
        <v>34</v>
      </c>
      <c r="D18" s="207" t="s">
        <v>23</v>
      </c>
      <c r="E18" s="203">
        <v>1.5837E-2</v>
      </c>
      <c r="F18" s="29"/>
      <c r="G18" s="29"/>
      <c r="H18" s="29"/>
      <c r="I18" s="29"/>
      <c r="J18" s="29"/>
      <c r="K18" s="29"/>
      <c r="L18" s="29"/>
      <c r="M18" s="29"/>
      <c r="N18" s="29"/>
      <c r="O18" s="29"/>
      <c r="P18" s="29"/>
      <c r="Q18" s="29"/>
      <c r="R18" s="29"/>
      <c r="S18" s="29"/>
      <c r="T18" s="22"/>
      <c r="V18" s="158"/>
      <c r="W18" s="180" t="s">
        <v>107</v>
      </c>
      <c r="X18" s="234">
        <v>2.8715000000000001E-2</v>
      </c>
      <c r="Y18" s="158"/>
      <c r="Z18" s="40"/>
      <c r="AA18" s="40"/>
    </row>
    <row r="19" spans="2:27" ht="15.75" customHeight="1" x14ac:dyDescent="0.25">
      <c r="B19" s="79"/>
      <c r="C19" s="206" t="s">
        <v>319</v>
      </c>
      <c r="D19" s="207" t="s">
        <v>26</v>
      </c>
      <c r="E19" s="203">
        <v>1.5494000000000001E-2</v>
      </c>
      <c r="F19" s="29"/>
      <c r="G19" s="29"/>
      <c r="H19" s="29"/>
      <c r="I19" s="29"/>
      <c r="J19" s="29"/>
      <c r="K19" s="29"/>
      <c r="L19" s="29"/>
      <c r="M19" s="29"/>
      <c r="N19" s="29"/>
      <c r="O19" s="29"/>
      <c r="P19" s="29"/>
      <c r="Q19" s="29"/>
      <c r="R19" s="29"/>
      <c r="S19" s="29"/>
      <c r="T19" s="22"/>
      <c r="V19" s="158"/>
      <c r="W19" s="180" t="s">
        <v>112</v>
      </c>
      <c r="X19" s="234">
        <v>2.7446999999999999E-2</v>
      </c>
      <c r="Y19" s="158"/>
      <c r="Z19" s="40"/>
      <c r="AA19" s="40"/>
    </row>
    <row r="20" spans="2:27" ht="15" customHeight="1" x14ac:dyDescent="0.25">
      <c r="B20" s="79"/>
      <c r="C20" s="206" t="s">
        <v>80</v>
      </c>
      <c r="D20" s="207" t="s">
        <v>4</v>
      </c>
      <c r="E20" s="203">
        <v>1.5002E-2</v>
      </c>
      <c r="F20" s="29"/>
      <c r="G20" s="29"/>
      <c r="H20" s="29"/>
      <c r="I20" s="29"/>
      <c r="J20" s="29"/>
      <c r="K20" s="29"/>
      <c r="L20" s="29"/>
      <c r="M20" s="29"/>
      <c r="N20" s="29"/>
      <c r="O20" s="29"/>
      <c r="P20" s="29"/>
      <c r="Q20" s="29"/>
      <c r="R20" s="29"/>
      <c r="S20" s="29"/>
      <c r="T20" s="22"/>
      <c r="V20" s="158"/>
      <c r="W20" s="180" t="s">
        <v>111</v>
      </c>
      <c r="X20" s="234">
        <v>2.4938000000000002E-2</v>
      </c>
      <c r="Y20" s="158"/>
      <c r="Z20" s="40"/>
      <c r="AA20" s="40"/>
    </row>
    <row r="21" spans="2:27" ht="15" customHeight="1" x14ac:dyDescent="0.25">
      <c r="B21" s="79"/>
      <c r="C21" s="206" t="s">
        <v>134</v>
      </c>
      <c r="D21" s="207" t="s">
        <v>3</v>
      </c>
      <c r="E21" s="203">
        <v>1.4668E-2</v>
      </c>
      <c r="F21" s="29"/>
      <c r="G21" s="29"/>
      <c r="H21" s="29"/>
      <c r="I21" s="29"/>
      <c r="J21" s="29"/>
      <c r="K21" s="29"/>
      <c r="L21" s="29"/>
      <c r="M21" s="29"/>
      <c r="N21" s="29"/>
      <c r="O21" s="29"/>
      <c r="P21" s="29"/>
      <c r="Q21" s="29"/>
      <c r="R21" s="29"/>
      <c r="S21" s="29"/>
      <c r="T21" s="22"/>
      <c r="V21" s="158"/>
      <c r="W21" s="180" t="s">
        <v>109</v>
      </c>
      <c r="X21" s="234">
        <v>2.4787E-2</v>
      </c>
      <c r="Y21" s="158"/>
      <c r="Z21" s="40"/>
      <c r="AA21" s="40"/>
    </row>
    <row r="22" spans="2:27" ht="15" customHeight="1" x14ac:dyDescent="0.25">
      <c r="B22" s="79"/>
      <c r="C22" s="206" t="s">
        <v>351</v>
      </c>
      <c r="D22" s="207" t="s">
        <v>85</v>
      </c>
      <c r="E22" s="203">
        <v>1.4537E-2</v>
      </c>
      <c r="F22" s="29"/>
      <c r="G22" s="29"/>
      <c r="H22" s="29"/>
      <c r="I22" s="29"/>
      <c r="J22" s="29"/>
      <c r="K22" s="29"/>
      <c r="L22" s="29"/>
      <c r="M22" s="29"/>
      <c r="N22" s="29"/>
      <c r="O22" s="29"/>
      <c r="P22" s="29"/>
      <c r="Q22" s="29"/>
      <c r="R22" s="29"/>
      <c r="S22" s="29"/>
      <c r="T22" s="22"/>
      <c r="V22" s="158"/>
      <c r="W22" s="180" t="s">
        <v>82</v>
      </c>
      <c r="X22" s="234">
        <v>2.453E-2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136</v>
      </c>
      <c r="X23" s="234">
        <v>2.1539000000000003E-2</v>
      </c>
      <c r="Y23" s="158"/>
      <c r="Z23" s="40"/>
      <c r="AA23" s="40"/>
    </row>
    <row r="24" spans="2:27" ht="15" customHeight="1" x14ac:dyDescent="0.25">
      <c r="B24" s="79"/>
      <c r="C24" s="73" t="s">
        <v>55</v>
      </c>
      <c r="D24" s="74"/>
      <c r="E24" s="75">
        <f>SUM(E8:E22)</f>
        <v>0.339362</v>
      </c>
      <c r="F24" s="29"/>
      <c r="G24" s="29"/>
      <c r="H24" s="29"/>
      <c r="I24" s="29"/>
      <c r="J24" s="29"/>
      <c r="K24" s="29"/>
      <c r="L24" s="29"/>
      <c r="M24" s="29"/>
      <c r="N24" s="29"/>
      <c r="O24" s="29"/>
      <c r="P24" s="29"/>
      <c r="Q24" s="29"/>
      <c r="R24" s="29"/>
      <c r="S24" s="29"/>
      <c r="T24" s="22"/>
      <c r="V24" s="158"/>
      <c r="W24" s="180" t="s">
        <v>120</v>
      </c>
      <c r="X24" s="234">
        <v>1.9211000000000002E-2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24</v>
      </c>
      <c r="X25" s="234">
        <v>1.8264000000000002E-2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105</v>
      </c>
      <c r="X26" s="234">
        <v>1.8147E-2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83</v>
      </c>
      <c r="X27" s="234">
        <v>1.7489000000000001E-2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13</v>
      </c>
      <c r="X28" s="234">
        <v>1.6105000000000001E-2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116</v>
      </c>
      <c r="X29" s="234">
        <v>1.5625E-2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125</v>
      </c>
      <c r="X30" s="234">
        <v>1.4688E-2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12</v>
      </c>
      <c r="X31" s="234">
        <v>1.3752E-2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349</v>
      </c>
      <c r="X32" s="234">
        <v>1.0567E-2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118</v>
      </c>
      <c r="X33" s="234">
        <v>1.0066E-2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11</v>
      </c>
      <c r="X34" s="234">
        <v>1.004E-2</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132</v>
      </c>
      <c r="X35" s="234">
        <v>9.3310000000000008E-3</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113</v>
      </c>
      <c r="X36" s="234">
        <v>7.3790000000000001E-3</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145</v>
      </c>
      <c r="X37" s="234">
        <v>6.9870000000000002E-3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115</v>
      </c>
      <c r="X38" s="234">
        <v>6.8139999999999997E-3</v>
      </c>
    </row>
    <row r="39" spans="2:27" ht="15" customHeight="1" thickBot="1" x14ac:dyDescent="0.3">
      <c r="W39" s="180" t="s">
        <v>15</v>
      </c>
      <c r="X39" s="234">
        <v>5.986E-3</v>
      </c>
    </row>
    <row r="40" spans="2:27" ht="15" customHeight="1" x14ac:dyDescent="0.25">
      <c r="B40" s="295" t="s">
        <v>181</v>
      </c>
      <c r="C40" s="296"/>
      <c r="D40" s="296"/>
      <c r="E40" s="296"/>
      <c r="F40" s="296"/>
      <c r="G40" s="296"/>
      <c r="H40" s="296"/>
      <c r="I40" s="296"/>
      <c r="J40" s="296"/>
      <c r="K40" s="296"/>
      <c r="L40" s="296"/>
      <c r="M40" s="296"/>
      <c r="N40" s="296"/>
      <c r="O40" s="296"/>
      <c r="P40" s="296"/>
      <c r="Q40" s="296"/>
      <c r="R40" s="297"/>
      <c r="W40" s="19" t="s">
        <v>10</v>
      </c>
      <c r="X40" s="234">
        <v>5.4799999999999996E-3</v>
      </c>
    </row>
    <row r="41" spans="2:27" ht="15" customHeight="1" x14ac:dyDescent="0.25">
      <c r="B41" s="298"/>
      <c r="C41" s="299"/>
      <c r="D41" s="299"/>
      <c r="E41" s="299"/>
      <c r="F41" s="299"/>
      <c r="G41" s="299"/>
      <c r="H41" s="299"/>
      <c r="I41" s="299"/>
      <c r="J41" s="299"/>
      <c r="K41" s="299"/>
      <c r="L41" s="299"/>
      <c r="M41" s="299"/>
      <c r="N41" s="299"/>
      <c r="O41" s="299"/>
      <c r="P41" s="299"/>
      <c r="Q41" s="299"/>
      <c r="R41" s="300"/>
      <c r="W41" s="19" t="s">
        <v>114</v>
      </c>
      <c r="X41" s="234">
        <v>4.8199999999999996E-3</v>
      </c>
    </row>
    <row r="42" spans="2:27" ht="15" customHeight="1" x14ac:dyDescent="0.25">
      <c r="B42" s="298"/>
      <c r="C42" s="299"/>
      <c r="D42" s="299"/>
      <c r="E42" s="299"/>
      <c r="F42" s="299"/>
      <c r="G42" s="299"/>
      <c r="H42" s="299"/>
      <c r="I42" s="299"/>
      <c r="J42" s="299"/>
      <c r="K42" s="299"/>
      <c r="L42" s="299"/>
      <c r="M42" s="299"/>
      <c r="N42" s="299"/>
      <c r="O42" s="299"/>
      <c r="P42" s="299"/>
      <c r="Q42" s="299"/>
      <c r="R42" s="300"/>
      <c r="W42" s="19" t="s">
        <v>76</v>
      </c>
      <c r="X42" s="234">
        <v>4.3189999999999999E-3</v>
      </c>
    </row>
    <row r="43" spans="2:27" ht="15" customHeight="1" x14ac:dyDescent="0.25">
      <c r="B43" s="298"/>
      <c r="C43" s="299"/>
      <c r="D43" s="299"/>
      <c r="E43" s="299"/>
      <c r="F43" s="299"/>
      <c r="G43" s="299"/>
      <c r="H43" s="299"/>
      <c r="I43" s="299"/>
      <c r="J43" s="299"/>
      <c r="K43" s="299"/>
      <c r="L43" s="299"/>
      <c r="M43" s="299"/>
      <c r="N43" s="299"/>
      <c r="O43" s="299"/>
      <c r="P43" s="299"/>
      <c r="Q43" s="299"/>
      <c r="R43" s="300"/>
      <c r="W43" s="19" t="s">
        <v>25</v>
      </c>
      <c r="X43" s="234">
        <v>2.65E-3</v>
      </c>
    </row>
    <row r="44" spans="2:27" ht="15" customHeight="1" x14ac:dyDescent="0.25">
      <c r="B44" s="298"/>
      <c r="C44" s="299"/>
      <c r="D44" s="299"/>
      <c r="E44" s="299"/>
      <c r="F44" s="299"/>
      <c r="G44" s="299"/>
      <c r="H44" s="299"/>
      <c r="I44" s="299"/>
      <c r="J44" s="299"/>
      <c r="K44" s="299"/>
      <c r="L44" s="299"/>
      <c r="M44" s="299"/>
      <c r="N44" s="299"/>
      <c r="O44" s="299"/>
      <c r="P44" s="299"/>
      <c r="Q44" s="299"/>
      <c r="R44" s="300"/>
      <c r="W44" s="19" t="s">
        <v>122</v>
      </c>
      <c r="X44" s="234">
        <v>2.5279999999999999E-3</v>
      </c>
    </row>
    <row r="45" spans="2:27" ht="15" customHeight="1" x14ac:dyDescent="0.25">
      <c r="B45" s="298"/>
      <c r="C45" s="299"/>
      <c r="D45" s="299"/>
      <c r="E45" s="299"/>
      <c r="F45" s="299"/>
      <c r="G45" s="299"/>
      <c r="H45" s="299"/>
      <c r="I45" s="299"/>
      <c r="J45" s="299"/>
      <c r="K45" s="299"/>
      <c r="L45" s="299"/>
      <c r="M45" s="299"/>
      <c r="N45" s="299"/>
      <c r="O45" s="299"/>
      <c r="P45" s="299"/>
      <c r="Q45" s="299"/>
      <c r="R45" s="300"/>
      <c r="W45" s="19" t="s">
        <v>84</v>
      </c>
      <c r="X45" s="234">
        <v>8.7799999999999998E-4</v>
      </c>
    </row>
    <row r="46" spans="2:27" ht="21.75" customHeight="1" thickBot="1" x14ac:dyDescent="0.3">
      <c r="B46" s="301"/>
      <c r="C46" s="302"/>
      <c r="D46" s="302"/>
      <c r="E46" s="302"/>
      <c r="F46" s="302"/>
      <c r="G46" s="302"/>
      <c r="H46" s="302"/>
      <c r="I46" s="302"/>
      <c r="J46" s="302"/>
      <c r="K46" s="302"/>
      <c r="L46" s="302"/>
      <c r="M46" s="302"/>
      <c r="N46" s="302"/>
      <c r="O46" s="302"/>
      <c r="P46" s="302"/>
      <c r="Q46" s="302"/>
      <c r="R46" s="30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4" t="s">
        <v>165</v>
      </c>
      <c r="D3" s="304"/>
      <c r="E3" s="304"/>
      <c r="F3" s="304"/>
      <c r="G3" s="304"/>
      <c r="H3" s="304"/>
      <c r="I3" s="304"/>
      <c r="J3" s="304"/>
      <c r="K3" s="304"/>
      <c r="L3" s="304"/>
      <c r="M3" s="304"/>
      <c r="N3" s="304"/>
      <c r="O3" s="304"/>
      <c r="P3" s="304"/>
      <c r="Q3" s="304"/>
      <c r="R3" s="304"/>
      <c r="S3" s="304"/>
      <c r="T3" s="22"/>
      <c r="V3" s="40"/>
      <c r="W3" s="40"/>
      <c r="X3" s="40"/>
      <c r="Y3" s="40"/>
      <c r="Z3" s="40"/>
      <c r="AA3" s="40"/>
    </row>
    <row r="4" spans="1:27" ht="15.75" customHeight="1" x14ac:dyDescent="0.25">
      <c r="B4" s="79"/>
      <c r="C4" s="67" t="s">
        <v>387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06" t="s">
        <v>395</v>
      </c>
      <c r="E5" s="306"/>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2" t="s">
        <v>29</v>
      </c>
      <c r="D8" s="193" t="s">
        <v>3</v>
      </c>
      <c r="E8" s="202">
        <v>8.4093000000000001E-2</v>
      </c>
      <c r="F8" s="29"/>
      <c r="G8" s="29"/>
      <c r="H8" s="29"/>
      <c r="I8" s="29"/>
      <c r="J8" s="29"/>
      <c r="K8" s="29"/>
      <c r="L8" s="29"/>
      <c r="M8" s="29"/>
      <c r="N8" s="29"/>
      <c r="O8" s="29"/>
      <c r="P8" s="29"/>
      <c r="Q8" s="29"/>
      <c r="R8" s="29"/>
      <c r="S8" s="29"/>
      <c r="T8" s="22"/>
      <c r="V8" s="158"/>
      <c r="W8" s="61" t="s">
        <v>3</v>
      </c>
      <c r="X8" s="210">
        <v>0.23173700000000003</v>
      </c>
      <c r="Y8" s="158"/>
      <c r="Z8" s="40"/>
      <c r="AA8" s="40"/>
    </row>
    <row r="9" spans="1:27" ht="15.75" customHeight="1" x14ac:dyDescent="0.25">
      <c r="B9" s="79"/>
      <c r="C9" s="187" t="s">
        <v>32</v>
      </c>
      <c r="D9" s="195" t="s">
        <v>3</v>
      </c>
      <c r="E9" s="203">
        <v>7.4452000000000004E-2</v>
      </c>
      <c r="F9" s="29"/>
      <c r="G9" s="29"/>
      <c r="H9" s="29"/>
      <c r="I9" s="29"/>
      <c r="J9" s="29"/>
      <c r="K9" s="29"/>
      <c r="L9" s="29"/>
      <c r="M9" s="29"/>
      <c r="N9" s="29"/>
      <c r="O9" s="29"/>
      <c r="P9" s="29"/>
      <c r="Q9" s="29"/>
      <c r="R9" s="29"/>
      <c r="S9" s="29"/>
      <c r="T9" s="22"/>
      <c r="V9" s="158"/>
      <c r="W9" s="61" t="s">
        <v>106</v>
      </c>
      <c r="X9" s="210">
        <v>8.9218999999999993E-2</v>
      </c>
      <c r="Y9" s="158"/>
      <c r="Z9" s="40"/>
      <c r="AA9" s="40"/>
    </row>
    <row r="10" spans="1:27" ht="15" customHeight="1" x14ac:dyDescent="0.25">
      <c r="B10" s="79"/>
      <c r="C10" s="187" t="s">
        <v>31</v>
      </c>
      <c r="D10" s="195" t="s">
        <v>6</v>
      </c>
      <c r="E10" s="203">
        <v>7.1349999999999997E-2</v>
      </c>
      <c r="F10" s="29"/>
      <c r="G10" s="29"/>
      <c r="H10" s="29"/>
      <c r="I10" s="29"/>
      <c r="J10" s="29"/>
      <c r="K10" s="29"/>
      <c r="L10" s="29"/>
      <c r="M10" s="29"/>
      <c r="N10" s="29"/>
      <c r="O10" s="29"/>
      <c r="P10" s="29"/>
      <c r="Q10" s="29"/>
      <c r="R10" s="29"/>
      <c r="S10" s="29"/>
      <c r="T10" s="22"/>
      <c r="V10" s="158"/>
      <c r="W10" s="61" t="s">
        <v>111</v>
      </c>
      <c r="X10" s="210">
        <v>7.4260999999999994E-2</v>
      </c>
      <c r="Y10" s="158"/>
      <c r="Z10" s="40"/>
      <c r="AA10" s="40"/>
    </row>
    <row r="11" spans="1:27" ht="15" customHeight="1" x14ac:dyDescent="0.25">
      <c r="B11" s="79"/>
      <c r="C11" s="187" t="s">
        <v>28</v>
      </c>
      <c r="D11" s="195" t="s">
        <v>106</v>
      </c>
      <c r="E11" s="203">
        <v>5.0847999999999997E-2</v>
      </c>
      <c r="F11" s="29"/>
      <c r="G11" s="29"/>
      <c r="H11" s="29"/>
      <c r="I11" s="29"/>
      <c r="J11" s="29"/>
      <c r="K11" s="29"/>
      <c r="L11" s="29"/>
      <c r="M11" s="29"/>
      <c r="N11" s="29"/>
      <c r="O11" s="29"/>
      <c r="P11" s="29"/>
      <c r="Q11" s="29"/>
      <c r="R11" s="29"/>
      <c r="S11" s="29"/>
      <c r="T11" s="22"/>
      <c r="V11" s="158"/>
      <c r="W11" s="61" t="s">
        <v>6</v>
      </c>
      <c r="X11" s="210">
        <v>7.1349999999999997E-2</v>
      </c>
      <c r="Y11" s="158"/>
      <c r="Z11" s="40"/>
      <c r="AA11" s="40"/>
    </row>
    <row r="12" spans="1:27" ht="15" customHeight="1" x14ac:dyDescent="0.25">
      <c r="B12" s="79"/>
      <c r="C12" s="187" t="s">
        <v>33</v>
      </c>
      <c r="D12" s="195" t="s">
        <v>106</v>
      </c>
      <c r="E12" s="203">
        <v>3.8371000000000002E-2</v>
      </c>
      <c r="F12" s="29"/>
      <c r="G12" s="29"/>
      <c r="H12" s="29"/>
      <c r="I12" s="29"/>
      <c r="J12" s="29"/>
      <c r="K12" s="29"/>
      <c r="L12" s="29"/>
      <c r="M12" s="29"/>
      <c r="N12" s="29"/>
      <c r="O12" s="29"/>
      <c r="P12" s="29"/>
      <c r="Q12" s="29"/>
      <c r="R12" s="29"/>
      <c r="S12" s="29"/>
      <c r="T12" s="22"/>
      <c r="V12" s="158"/>
      <c r="W12" s="61" t="s">
        <v>26</v>
      </c>
      <c r="X12" s="210">
        <v>5.6075999999999994E-2</v>
      </c>
      <c r="Y12" s="158"/>
      <c r="Z12" s="40"/>
      <c r="AA12" s="40"/>
    </row>
    <row r="13" spans="1:27" ht="15" customHeight="1" x14ac:dyDescent="0.25">
      <c r="B13" s="79"/>
      <c r="C13" s="187" t="s">
        <v>36</v>
      </c>
      <c r="D13" s="195" t="s">
        <v>3</v>
      </c>
      <c r="E13" s="203">
        <v>3.5701999999999998E-2</v>
      </c>
      <c r="F13" s="29"/>
      <c r="G13" s="29"/>
      <c r="H13" s="29"/>
      <c r="I13" s="29"/>
      <c r="J13" s="29"/>
      <c r="K13" s="29"/>
      <c r="L13" s="29"/>
      <c r="M13" s="29"/>
      <c r="N13" s="29"/>
      <c r="O13" s="29"/>
      <c r="P13" s="29"/>
      <c r="Q13" s="29"/>
      <c r="R13" s="29"/>
      <c r="S13" s="29"/>
      <c r="T13" s="22"/>
      <c r="V13" s="158"/>
      <c r="W13" s="61" t="s">
        <v>110</v>
      </c>
      <c r="X13" s="210">
        <v>5.6040999999999994E-2</v>
      </c>
      <c r="Y13" s="158"/>
      <c r="Z13" s="40"/>
      <c r="AA13" s="40"/>
    </row>
    <row r="14" spans="1:27" ht="15" customHeight="1" x14ac:dyDescent="0.25">
      <c r="B14" s="79"/>
      <c r="C14" s="187" t="s">
        <v>95</v>
      </c>
      <c r="D14" s="195" t="s">
        <v>111</v>
      </c>
      <c r="E14" s="203">
        <v>3.0693999999999999E-2</v>
      </c>
      <c r="F14" s="29"/>
      <c r="G14" s="29"/>
      <c r="H14" s="29"/>
      <c r="I14" s="29"/>
      <c r="J14" s="29"/>
      <c r="K14" s="29"/>
      <c r="L14" s="29"/>
      <c r="M14" s="29"/>
      <c r="N14" s="29"/>
      <c r="O14" s="29"/>
      <c r="P14" s="29"/>
      <c r="Q14" s="29"/>
      <c r="R14" s="29"/>
      <c r="S14" s="29"/>
      <c r="T14" s="22"/>
      <c r="V14" s="158"/>
      <c r="W14" s="61" t="s">
        <v>4</v>
      </c>
      <c r="X14" s="210">
        <v>5.0512000000000001E-2</v>
      </c>
      <c r="Y14" s="158"/>
      <c r="Z14" s="40"/>
      <c r="AA14" s="40"/>
    </row>
    <row r="15" spans="1:27" ht="15.75" customHeight="1" x14ac:dyDescent="0.25">
      <c r="B15" s="79"/>
      <c r="C15" s="187" t="s">
        <v>70</v>
      </c>
      <c r="D15" s="195" t="s">
        <v>12</v>
      </c>
      <c r="E15" s="203">
        <v>2.8733999999999999E-2</v>
      </c>
      <c r="F15" s="29"/>
      <c r="G15" s="29"/>
      <c r="H15" s="29"/>
      <c r="I15" s="29"/>
      <c r="J15" s="29"/>
      <c r="K15" s="29"/>
      <c r="L15" s="29"/>
      <c r="M15" s="29"/>
      <c r="N15" s="29"/>
      <c r="O15" s="29"/>
      <c r="P15" s="29"/>
      <c r="Q15" s="29"/>
      <c r="R15" s="29"/>
      <c r="S15" s="29"/>
      <c r="T15" s="22"/>
      <c r="V15" s="158"/>
      <c r="W15" s="61" t="s">
        <v>116</v>
      </c>
      <c r="X15" s="210">
        <v>4.2398000000000005E-2</v>
      </c>
      <c r="Y15" s="158"/>
      <c r="Z15" s="40"/>
      <c r="AA15" s="40"/>
    </row>
    <row r="16" spans="1:27" ht="15" customHeight="1" x14ac:dyDescent="0.25">
      <c r="B16" s="79"/>
      <c r="C16" s="187" t="s">
        <v>80</v>
      </c>
      <c r="D16" s="195" t="s">
        <v>4</v>
      </c>
      <c r="E16" s="203">
        <v>2.8434000000000001E-2</v>
      </c>
      <c r="F16" s="29"/>
      <c r="G16" s="29"/>
      <c r="H16" s="29"/>
      <c r="I16" s="29"/>
      <c r="J16" s="29"/>
      <c r="K16" s="29"/>
      <c r="L16" s="29"/>
      <c r="M16" s="29"/>
      <c r="N16" s="29"/>
      <c r="O16" s="29"/>
      <c r="P16" s="29"/>
      <c r="Q16" s="29"/>
      <c r="R16" s="29"/>
      <c r="S16" s="29"/>
      <c r="T16" s="22"/>
      <c r="V16" s="158"/>
      <c r="W16" s="61" t="s">
        <v>85</v>
      </c>
      <c r="X16" s="210">
        <v>4.1744999999999997E-2</v>
      </c>
      <c r="Y16" s="158"/>
      <c r="Z16" s="40"/>
      <c r="AA16" s="40"/>
    </row>
    <row r="17" spans="2:27" ht="15.75" customHeight="1" x14ac:dyDescent="0.25">
      <c r="B17" s="79"/>
      <c r="C17" s="187" t="s">
        <v>37</v>
      </c>
      <c r="D17" s="195" t="s">
        <v>116</v>
      </c>
      <c r="E17" s="203">
        <v>2.6133E-2</v>
      </c>
      <c r="F17" s="29"/>
      <c r="G17" s="29"/>
      <c r="H17" s="29"/>
      <c r="I17" s="29"/>
      <c r="J17" s="29"/>
      <c r="K17" s="29"/>
      <c r="L17" s="29"/>
      <c r="M17" s="29"/>
      <c r="N17" s="29"/>
      <c r="O17" s="29"/>
      <c r="P17" s="29"/>
      <c r="Q17" s="29"/>
      <c r="R17" s="29"/>
      <c r="S17" s="29"/>
      <c r="T17" s="22"/>
      <c r="V17" s="158"/>
      <c r="W17" s="61" t="s">
        <v>23</v>
      </c>
      <c r="X17" s="210">
        <v>2.9475000000000001E-2</v>
      </c>
      <c r="Y17" s="158"/>
      <c r="Z17" s="40"/>
      <c r="AA17" s="40"/>
    </row>
    <row r="18" spans="2:27" ht="15.75" x14ac:dyDescent="0.25">
      <c r="B18" s="79"/>
      <c r="C18" s="187" t="s">
        <v>319</v>
      </c>
      <c r="D18" s="195" t="s">
        <v>26</v>
      </c>
      <c r="E18" s="203">
        <v>2.1711999999999999E-2</v>
      </c>
      <c r="F18" s="29"/>
      <c r="G18" s="29"/>
      <c r="H18" s="29"/>
      <c r="I18" s="29"/>
      <c r="J18" s="29"/>
      <c r="K18" s="29"/>
      <c r="L18" s="29"/>
      <c r="M18" s="29"/>
      <c r="N18" s="29"/>
      <c r="O18" s="29"/>
      <c r="P18" s="29"/>
      <c r="Q18" s="29"/>
      <c r="R18" s="29"/>
      <c r="S18" s="29"/>
      <c r="T18" s="22"/>
      <c r="V18" s="158"/>
      <c r="W18" s="61" t="s">
        <v>12</v>
      </c>
      <c r="X18" s="210">
        <v>2.8733999999999999E-2</v>
      </c>
      <c r="Y18" s="158"/>
      <c r="Z18" s="40"/>
      <c r="AA18" s="40"/>
    </row>
    <row r="19" spans="2:27" ht="15.75" customHeight="1" x14ac:dyDescent="0.25">
      <c r="B19" s="79"/>
      <c r="C19" s="187" t="s">
        <v>256</v>
      </c>
      <c r="D19" s="195" t="s">
        <v>110</v>
      </c>
      <c r="E19" s="203">
        <v>1.9831999999999999E-2</v>
      </c>
      <c r="F19" s="29"/>
      <c r="G19" s="29"/>
      <c r="H19" s="29"/>
      <c r="I19" s="29"/>
      <c r="J19" s="29"/>
      <c r="K19" s="29"/>
      <c r="L19" s="29"/>
      <c r="M19" s="29"/>
      <c r="N19" s="29"/>
      <c r="O19" s="29"/>
      <c r="P19" s="29"/>
      <c r="Q19" s="29"/>
      <c r="R19" s="29"/>
      <c r="S19" s="29"/>
      <c r="T19" s="22"/>
      <c r="V19" s="158"/>
      <c r="W19" s="61" t="s">
        <v>82</v>
      </c>
      <c r="X19" s="210">
        <v>2.1245E-2</v>
      </c>
      <c r="Y19" s="158"/>
      <c r="Z19" s="40"/>
      <c r="AA19" s="40"/>
    </row>
    <row r="20" spans="2:27" ht="15" customHeight="1" x14ac:dyDescent="0.25">
      <c r="B20" s="79"/>
      <c r="C20" s="187" t="s">
        <v>119</v>
      </c>
      <c r="D20" s="195" t="s">
        <v>111</v>
      </c>
      <c r="E20" s="203">
        <v>1.7728000000000001E-2</v>
      </c>
      <c r="F20" s="29"/>
      <c r="G20" s="29"/>
      <c r="H20" s="29"/>
      <c r="I20" s="29"/>
      <c r="J20" s="29"/>
      <c r="K20" s="29"/>
      <c r="L20" s="29"/>
      <c r="M20" s="29"/>
      <c r="N20" s="29"/>
      <c r="O20" s="29"/>
      <c r="P20" s="29"/>
      <c r="Q20" s="29"/>
      <c r="R20" s="29"/>
      <c r="S20" s="29"/>
      <c r="T20" s="22"/>
      <c r="V20" s="158"/>
      <c r="W20" s="61" t="s">
        <v>112</v>
      </c>
      <c r="X20" s="210">
        <v>2.0485E-2</v>
      </c>
      <c r="Y20" s="158"/>
      <c r="Z20" s="40"/>
      <c r="AA20" s="40"/>
    </row>
    <row r="21" spans="2:27" ht="15" customHeight="1" x14ac:dyDescent="0.25">
      <c r="B21" s="79"/>
      <c r="C21" s="187" t="s">
        <v>78</v>
      </c>
      <c r="D21" s="195" t="s">
        <v>3</v>
      </c>
      <c r="E21" s="203">
        <v>1.7136999999999999E-2</v>
      </c>
      <c r="F21" s="29"/>
      <c r="G21" s="29"/>
      <c r="H21" s="29"/>
      <c r="I21" s="29"/>
      <c r="J21" s="29"/>
      <c r="K21" s="29"/>
      <c r="L21" s="29"/>
      <c r="M21" s="29"/>
      <c r="N21" s="29"/>
      <c r="O21" s="29"/>
      <c r="P21" s="29"/>
      <c r="Q21" s="29"/>
      <c r="R21" s="29"/>
      <c r="S21" s="29"/>
      <c r="T21" s="22"/>
      <c r="V21" s="158"/>
      <c r="W21" s="61" t="s">
        <v>24</v>
      </c>
      <c r="X21" s="210">
        <v>2.0221000000000003E-2</v>
      </c>
      <c r="Y21" s="158"/>
      <c r="Z21" s="40"/>
      <c r="AA21" s="40"/>
    </row>
    <row r="22" spans="2:27" ht="15" customHeight="1" x14ac:dyDescent="0.25">
      <c r="B22" s="79"/>
      <c r="C22" s="187" t="s">
        <v>30</v>
      </c>
      <c r="D22" s="195" t="s">
        <v>116</v>
      </c>
      <c r="E22" s="203">
        <v>1.6265000000000002E-2</v>
      </c>
      <c r="F22" s="29"/>
      <c r="G22" s="29"/>
      <c r="H22" s="29"/>
      <c r="I22" s="29"/>
      <c r="J22" s="29"/>
      <c r="K22" s="29"/>
      <c r="L22" s="29"/>
      <c r="M22" s="29"/>
      <c r="N22" s="29"/>
      <c r="O22" s="29"/>
      <c r="P22" s="29"/>
      <c r="Q22" s="29"/>
      <c r="R22" s="29"/>
      <c r="S22" s="29"/>
      <c r="T22" s="22"/>
      <c r="V22" s="158"/>
      <c r="W22" s="61" t="s">
        <v>107</v>
      </c>
      <c r="X22" s="210">
        <v>1.7000999999999999E-2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13</v>
      </c>
      <c r="X23" s="210">
        <v>1.465E-2</v>
      </c>
      <c r="Y23" s="158"/>
      <c r="Z23" s="40"/>
      <c r="AA23" s="40"/>
    </row>
    <row r="24" spans="2:27" ht="15" customHeight="1" x14ac:dyDescent="0.25">
      <c r="B24" s="79"/>
      <c r="C24" s="73" t="s">
        <v>55</v>
      </c>
      <c r="D24" s="74"/>
      <c r="E24" s="75">
        <f>SUM(E8:E22)</f>
        <v>0.5614849999999999</v>
      </c>
      <c r="F24" s="29"/>
      <c r="G24" s="29"/>
      <c r="H24" s="29"/>
      <c r="I24" s="29"/>
      <c r="J24" s="29"/>
      <c r="K24" s="29"/>
      <c r="L24" s="29"/>
      <c r="M24" s="29"/>
      <c r="N24" s="29"/>
      <c r="O24" s="29"/>
      <c r="P24" s="29"/>
      <c r="Q24" s="29"/>
      <c r="R24" s="29"/>
      <c r="S24" s="29"/>
      <c r="T24" s="22"/>
      <c r="V24" s="158"/>
      <c r="W24" s="61" t="s">
        <v>11</v>
      </c>
      <c r="X24" s="210">
        <v>1.4493000000000001E-2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83</v>
      </c>
      <c r="X25" s="210">
        <v>1.2677000000000001E-2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118</v>
      </c>
      <c r="X26" s="210">
        <v>1.1329000000000001E-2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105</v>
      </c>
      <c r="X27" s="210">
        <v>1.128E-2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349</v>
      </c>
      <c r="X28" s="210">
        <v>8.1620000000000009E-3</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132</v>
      </c>
      <c r="X29" s="210">
        <v>7.5770000000000004E-3</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16</v>
      </c>
      <c r="X30" s="210">
        <v>7.4610000000000006E-3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145</v>
      </c>
      <c r="X31" s="210">
        <v>6.6239999999999997E-3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15</v>
      </c>
      <c r="X32" s="210">
        <v>6.4790000000000004E-3</v>
      </c>
    </row>
    <row r="33" spans="2:24" ht="15" customHeight="1" thickBot="1" x14ac:dyDescent="0.3">
      <c r="W33" s="19" t="s">
        <v>76</v>
      </c>
      <c r="X33" s="210">
        <v>6.2129999999999998E-3</v>
      </c>
    </row>
    <row r="34" spans="2:24" ht="15" customHeight="1" x14ac:dyDescent="0.25">
      <c r="B34" s="295" t="s">
        <v>181</v>
      </c>
      <c r="C34" s="296"/>
      <c r="D34" s="296"/>
      <c r="E34" s="296"/>
      <c r="F34" s="296"/>
      <c r="G34" s="296"/>
      <c r="H34" s="296"/>
      <c r="I34" s="296"/>
      <c r="J34" s="296"/>
      <c r="K34" s="296"/>
      <c r="L34" s="296"/>
      <c r="M34" s="296"/>
      <c r="N34" s="296"/>
      <c r="O34" s="296"/>
      <c r="P34" s="296"/>
      <c r="Q34" s="296"/>
      <c r="R34" s="297"/>
      <c r="W34" s="19" t="s">
        <v>125</v>
      </c>
      <c r="X34" s="210">
        <v>5.4599999999999996E-3</v>
      </c>
    </row>
    <row r="35" spans="2:24" ht="15" customHeight="1" x14ac:dyDescent="0.25">
      <c r="B35" s="298"/>
      <c r="C35" s="299"/>
      <c r="D35" s="299"/>
      <c r="E35" s="299"/>
      <c r="F35" s="299"/>
      <c r="G35" s="299"/>
      <c r="H35" s="299"/>
      <c r="I35" s="299"/>
      <c r="J35" s="299"/>
      <c r="K35" s="299"/>
      <c r="L35" s="299"/>
      <c r="M35" s="299"/>
      <c r="N35" s="299"/>
      <c r="O35" s="299"/>
      <c r="P35" s="299"/>
      <c r="Q35" s="299"/>
      <c r="R35" s="300"/>
      <c r="W35" s="19" t="s">
        <v>10</v>
      </c>
      <c r="X35" s="210">
        <v>4.4029999999999998E-3</v>
      </c>
    </row>
    <row r="36" spans="2:24" ht="15" customHeight="1" x14ac:dyDescent="0.25">
      <c r="B36" s="298"/>
      <c r="C36" s="299"/>
      <c r="D36" s="299"/>
      <c r="E36" s="299"/>
      <c r="F36" s="299"/>
      <c r="G36" s="299"/>
      <c r="H36" s="299"/>
      <c r="I36" s="299"/>
      <c r="J36" s="299"/>
      <c r="K36" s="299"/>
      <c r="L36" s="299"/>
      <c r="M36" s="299"/>
      <c r="N36" s="299"/>
      <c r="O36" s="299"/>
      <c r="P36" s="299"/>
      <c r="Q36" s="299"/>
      <c r="R36" s="300"/>
      <c r="W36" s="19" t="s">
        <v>122</v>
      </c>
      <c r="X36" s="210">
        <v>4.202E-3</v>
      </c>
    </row>
    <row r="37" spans="2:24" ht="15" customHeight="1" x14ac:dyDescent="0.25">
      <c r="B37" s="298"/>
      <c r="C37" s="299"/>
      <c r="D37" s="299"/>
      <c r="E37" s="299"/>
      <c r="F37" s="299"/>
      <c r="G37" s="299"/>
      <c r="H37" s="299"/>
      <c r="I37" s="299"/>
      <c r="J37" s="299"/>
      <c r="K37" s="299"/>
      <c r="L37" s="299"/>
      <c r="M37" s="299"/>
      <c r="N37" s="299"/>
      <c r="O37" s="299"/>
      <c r="P37" s="299"/>
      <c r="Q37" s="299"/>
      <c r="R37" s="300"/>
      <c r="X37" s="210"/>
    </row>
    <row r="38" spans="2:24" ht="15" customHeight="1" x14ac:dyDescent="0.25">
      <c r="B38" s="298"/>
      <c r="C38" s="299"/>
      <c r="D38" s="299"/>
      <c r="E38" s="299"/>
      <c r="F38" s="299"/>
      <c r="G38" s="299"/>
      <c r="H38" s="299"/>
      <c r="I38" s="299"/>
      <c r="J38" s="299"/>
      <c r="K38" s="299"/>
      <c r="L38" s="299"/>
      <c r="M38" s="299"/>
      <c r="N38" s="299"/>
      <c r="O38" s="299"/>
      <c r="P38" s="299"/>
      <c r="Q38" s="299"/>
      <c r="R38" s="300"/>
      <c r="X38" s="210"/>
    </row>
    <row r="39" spans="2:24" ht="15" customHeight="1" x14ac:dyDescent="0.25">
      <c r="B39" s="298"/>
      <c r="C39" s="299"/>
      <c r="D39" s="299"/>
      <c r="E39" s="299"/>
      <c r="F39" s="299"/>
      <c r="G39" s="299"/>
      <c r="H39" s="299"/>
      <c r="I39" s="299"/>
      <c r="J39" s="299"/>
      <c r="K39" s="299"/>
      <c r="L39" s="299"/>
      <c r="M39" s="299"/>
      <c r="N39" s="299"/>
      <c r="O39" s="299"/>
      <c r="P39" s="299"/>
      <c r="Q39" s="299"/>
      <c r="R39" s="300"/>
      <c r="X39" s="210"/>
    </row>
    <row r="40" spans="2:24" ht="21.75" customHeight="1" thickBot="1" x14ac:dyDescent="0.3">
      <c r="B40" s="301"/>
      <c r="C40" s="302"/>
      <c r="D40" s="302"/>
      <c r="E40" s="302"/>
      <c r="F40" s="302"/>
      <c r="G40" s="302"/>
      <c r="H40" s="302"/>
      <c r="I40" s="302"/>
      <c r="J40" s="302"/>
      <c r="K40" s="302"/>
      <c r="L40" s="302"/>
      <c r="M40" s="302"/>
      <c r="N40" s="302"/>
      <c r="O40" s="302"/>
      <c r="P40" s="302"/>
      <c r="Q40" s="302"/>
      <c r="R40" s="303"/>
      <c r="X40" s="210"/>
    </row>
    <row r="41" spans="2:24" ht="15" customHeight="1" x14ac:dyDescent="0.25">
      <c r="X41" s="210"/>
    </row>
    <row r="42" spans="2:24" ht="15" customHeight="1" x14ac:dyDescent="0.25">
      <c r="X42" s="210"/>
    </row>
    <row r="43" spans="2:24" ht="15" customHeight="1" x14ac:dyDescent="0.25">
      <c r="X43" s="210"/>
    </row>
    <row r="44" spans="2:24" ht="15" customHeight="1" x14ac:dyDescent="0.25">
      <c r="X44" s="210"/>
    </row>
    <row r="45" spans="2:24" ht="15" customHeight="1" x14ac:dyDescent="0.25">
      <c r="X45" s="2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206</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396</v>
      </c>
      <c r="E5" s="306"/>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2" t="s">
        <v>285</v>
      </c>
      <c r="D8" s="193" t="s">
        <v>112</v>
      </c>
      <c r="E8" s="194">
        <v>2.8794E-2</v>
      </c>
      <c r="F8" s="29"/>
      <c r="G8" s="29"/>
      <c r="H8" s="29"/>
      <c r="I8" s="29"/>
      <c r="J8" s="29"/>
      <c r="K8" s="29"/>
      <c r="L8" s="29"/>
      <c r="M8" s="29"/>
      <c r="N8" s="29"/>
      <c r="O8" s="29"/>
      <c r="P8" s="29"/>
      <c r="Q8" s="29"/>
      <c r="R8" s="29"/>
      <c r="S8" s="29"/>
      <c r="T8" s="22"/>
      <c r="W8" s="173" t="s">
        <v>4</v>
      </c>
      <c r="X8" s="174">
        <v>9.3455999999999997E-2</v>
      </c>
    </row>
    <row r="9" spans="1:24" ht="15.75" customHeight="1" x14ac:dyDescent="0.25">
      <c r="B9" s="79"/>
      <c r="C9" s="187" t="s">
        <v>259</v>
      </c>
      <c r="D9" s="195" t="s">
        <v>114</v>
      </c>
      <c r="E9" s="196">
        <v>2.7150000000000001E-2</v>
      </c>
      <c r="F9" s="29"/>
      <c r="G9" s="29"/>
      <c r="H9" s="29"/>
      <c r="I9" s="29"/>
      <c r="J9" s="29"/>
      <c r="K9" s="29"/>
      <c r="L9" s="29"/>
      <c r="M9" s="29"/>
      <c r="N9" s="29"/>
      <c r="O9" s="29"/>
      <c r="P9" s="29"/>
      <c r="Q9" s="29"/>
      <c r="R9" s="29"/>
      <c r="S9" s="29"/>
      <c r="T9" s="22"/>
      <c r="W9" s="173" t="s">
        <v>110</v>
      </c>
      <c r="X9" s="174">
        <v>9.2586000000000002E-2</v>
      </c>
    </row>
    <row r="10" spans="1:24" ht="15" customHeight="1" x14ac:dyDescent="0.25">
      <c r="B10" s="79"/>
      <c r="C10" s="187" t="s">
        <v>260</v>
      </c>
      <c r="D10" s="195" t="s">
        <v>3</v>
      </c>
      <c r="E10" s="196">
        <v>2.5013000000000001E-2</v>
      </c>
      <c r="F10" s="29"/>
      <c r="G10" s="29"/>
      <c r="H10" s="29"/>
      <c r="I10" s="29"/>
      <c r="J10" s="29"/>
      <c r="K10" s="29"/>
      <c r="L10" s="29"/>
      <c r="M10" s="29"/>
      <c r="N10" s="29"/>
      <c r="O10" s="29"/>
      <c r="P10" s="29"/>
      <c r="Q10" s="29"/>
      <c r="R10" s="29"/>
      <c r="S10" s="29"/>
      <c r="T10" s="22"/>
      <c r="W10" s="173" t="s">
        <v>112</v>
      </c>
      <c r="X10" s="174">
        <v>7.3957000000000009E-2</v>
      </c>
    </row>
    <row r="11" spans="1:24" ht="15" customHeight="1" x14ac:dyDescent="0.25">
      <c r="B11" s="79"/>
      <c r="C11" s="187" t="s">
        <v>374</v>
      </c>
      <c r="D11" s="195" t="s">
        <v>115</v>
      </c>
      <c r="E11" s="196">
        <v>2.2155000000000001E-2</v>
      </c>
      <c r="F11" s="29"/>
      <c r="G11" s="29"/>
      <c r="H11" s="29"/>
      <c r="I11" s="29"/>
      <c r="J11" s="29"/>
      <c r="K11" s="29"/>
      <c r="L11" s="29"/>
      <c r="M11" s="29"/>
      <c r="N11" s="29"/>
      <c r="O11" s="29"/>
      <c r="P11" s="29"/>
      <c r="Q11" s="29"/>
      <c r="R11" s="29"/>
      <c r="S11" s="29"/>
      <c r="T11" s="22"/>
      <c r="W11" s="173" t="s">
        <v>3</v>
      </c>
      <c r="X11" s="174">
        <v>7.1235999999999994E-2</v>
      </c>
    </row>
    <row r="12" spans="1:24" ht="15" customHeight="1" x14ac:dyDescent="0.25">
      <c r="B12" s="79"/>
      <c r="C12" s="187" t="s">
        <v>187</v>
      </c>
      <c r="D12" s="195" t="s">
        <v>4</v>
      </c>
      <c r="E12" s="196">
        <v>1.9732E-2</v>
      </c>
      <c r="F12" s="29"/>
      <c r="G12" s="29"/>
      <c r="H12" s="29"/>
      <c r="I12" s="29"/>
      <c r="J12" s="29"/>
      <c r="K12" s="29"/>
      <c r="L12" s="29"/>
      <c r="M12" s="29"/>
      <c r="N12" s="29"/>
      <c r="O12" s="29"/>
      <c r="P12" s="29"/>
      <c r="Q12" s="29"/>
      <c r="R12" s="29"/>
      <c r="S12" s="29"/>
      <c r="T12" s="22"/>
      <c r="W12" s="173" t="s">
        <v>115</v>
      </c>
      <c r="X12" s="174">
        <v>5.0119999999999998E-2</v>
      </c>
    </row>
    <row r="13" spans="1:24" ht="15" customHeight="1" x14ac:dyDescent="0.25">
      <c r="B13" s="79"/>
      <c r="C13" s="187" t="s">
        <v>196</v>
      </c>
      <c r="D13" s="195" t="s">
        <v>121</v>
      </c>
      <c r="E13" s="196">
        <v>1.6313999999999999E-2</v>
      </c>
      <c r="F13" s="29"/>
      <c r="G13" s="29"/>
      <c r="H13" s="29"/>
      <c r="I13" s="29"/>
      <c r="J13" s="29"/>
      <c r="K13" s="29"/>
      <c r="L13" s="29"/>
      <c r="M13" s="29"/>
      <c r="N13" s="29"/>
      <c r="O13" s="29"/>
      <c r="P13" s="29"/>
      <c r="Q13" s="29"/>
      <c r="R13" s="29"/>
      <c r="S13" s="29"/>
      <c r="T13" s="22"/>
      <c r="W13" s="173" t="s">
        <v>24</v>
      </c>
      <c r="X13" s="174">
        <v>4.7062999999999994E-2</v>
      </c>
    </row>
    <row r="14" spans="1:24" ht="15" customHeight="1" x14ac:dyDescent="0.25">
      <c r="B14" s="79"/>
      <c r="C14" s="187" t="s">
        <v>134</v>
      </c>
      <c r="D14" s="195" t="s">
        <v>3</v>
      </c>
      <c r="E14" s="196">
        <v>1.4726E-2</v>
      </c>
      <c r="F14" s="29"/>
      <c r="G14" s="29"/>
      <c r="H14" s="29"/>
      <c r="I14" s="29"/>
      <c r="J14" s="29"/>
      <c r="K14" s="29"/>
      <c r="L14" s="29"/>
      <c r="M14" s="29"/>
      <c r="N14" s="29"/>
      <c r="O14" s="29"/>
      <c r="P14" s="29"/>
      <c r="Q14" s="29"/>
      <c r="R14" s="29"/>
      <c r="S14" s="29"/>
      <c r="T14" s="22"/>
      <c r="W14" s="173" t="s">
        <v>16</v>
      </c>
      <c r="X14" s="174">
        <v>4.3390999999999999E-2</v>
      </c>
    </row>
    <row r="15" spans="1:24" ht="15" customHeight="1" x14ac:dyDescent="0.25">
      <c r="B15" s="79"/>
      <c r="C15" s="187" t="s">
        <v>77</v>
      </c>
      <c r="D15" s="195" t="s">
        <v>24</v>
      </c>
      <c r="E15" s="196">
        <v>1.4381E-2</v>
      </c>
      <c r="F15" s="29"/>
      <c r="G15" s="29"/>
      <c r="H15" s="29"/>
      <c r="I15" s="29"/>
      <c r="J15" s="29"/>
      <c r="K15" s="29"/>
      <c r="L15" s="29"/>
      <c r="M15" s="29"/>
      <c r="N15" s="29"/>
      <c r="O15" s="29"/>
      <c r="P15" s="29"/>
      <c r="Q15" s="29"/>
      <c r="R15" s="29"/>
      <c r="S15" s="29"/>
      <c r="T15" s="22"/>
      <c r="W15" s="173" t="s">
        <v>121</v>
      </c>
      <c r="X15" s="174">
        <v>4.2452999999999998E-2</v>
      </c>
    </row>
    <row r="16" spans="1:24" ht="15" customHeight="1" x14ac:dyDescent="0.25">
      <c r="B16" s="79"/>
      <c r="C16" s="187" t="s">
        <v>270</v>
      </c>
      <c r="D16" s="195" t="s">
        <v>3</v>
      </c>
      <c r="E16" s="196">
        <v>1.3818E-2</v>
      </c>
      <c r="F16" s="29"/>
      <c r="G16" s="29"/>
      <c r="H16" s="29"/>
      <c r="I16" s="29"/>
      <c r="J16" s="29"/>
      <c r="K16" s="29"/>
      <c r="L16" s="29"/>
      <c r="M16" s="29"/>
      <c r="N16" s="29"/>
      <c r="O16" s="29"/>
      <c r="P16" s="29"/>
      <c r="Q16" s="29"/>
      <c r="R16" s="29"/>
      <c r="S16" s="29"/>
      <c r="T16" s="22"/>
      <c r="W16" s="173" t="s">
        <v>84</v>
      </c>
      <c r="X16" s="174">
        <v>4.1803E-2</v>
      </c>
    </row>
    <row r="17" spans="2:24" ht="15" customHeight="1" x14ac:dyDescent="0.25">
      <c r="B17" s="79"/>
      <c r="C17" s="187" t="s">
        <v>195</v>
      </c>
      <c r="D17" s="195" t="s">
        <v>118</v>
      </c>
      <c r="E17" s="196">
        <v>1.3597E-2</v>
      </c>
      <c r="F17" s="29"/>
      <c r="G17" s="29"/>
      <c r="H17" s="29"/>
      <c r="I17" s="29"/>
      <c r="J17" s="29"/>
      <c r="K17" s="29"/>
      <c r="L17" s="29"/>
      <c r="M17" s="29"/>
      <c r="N17" s="29"/>
      <c r="O17" s="29"/>
      <c r="P17" s="29"/>
      <c r="Q17" s="29"/>
      <c r="R17" s="29"/>
      <c r="S17" s="29"/>
      <c r="T17" s="22"/>
      <c r="W17" s="173" t="s">
        <v>118</v>
      </c>
      <c r="X17" s="174">
        <v>3.918E-2</v>
      </c>
    </row>
    <row r="18" spans="2:24" ht="15" customHeight="1" x14ac:dyDescent="0.25">
      <c r="B18" s="79"/>
      <c r="C18" s="187" t="s">
        <v>248</v>
      </c>
      <c r="D18" s="195" t="s">
        <v>232</v>
      </c>
      <c r="E18" s="196">
        <v>1.2924E-2</v>
      </c>
      <c r="F18" s="29"/>
      <c r="G18" s="29"/>
      <c r="H18" s="29"/>
      <c r="I18" s="29"/>
      <c r="J18" s="29"/>
      <c r="K18" s="29"/>
      <c r="L18" s="29"/>
      <c r="M18" s="29"/>
      <c r="N18" s="29"/>
      <c r="O18" s="29"/>
      <c r="P18" s="29"/>
      <c r="Q18" s="29"/>
      <c r="R18" s="29"/>
      <c r="S18" s="29"/>
      <c r="T18" s="22"/>
      <c r="W18" s="173" t="s">
        <v>76</v>
      </c>
      <c r="X18" s="174">
        <v>3.2639000000000001E-2</v>
      </c>
    </row>
    <row r="19" spans="2:24" ht="15" customHeight="1" x14ac:dyDescent="0.25">
      <c r="B19" s="79"/>
      <c r="C19" s="187" t="s">
        <v>320</v>
      </c>
      <c r="D19" s="195" t="s">
        <v>121</v>
      </c>
      <c r="E19" s="196">
        <v>1.2533000000000001E-2</v>
      </c>
      <c r="F19" s="29"/>
      <c r="G19" s="29"/>
      <c r="H19" s="29"/>
      <c r="I19" s="29"/>
      <c r="J19" s="29"/>
      <c r="K19" s="29"/>
      <c r="L19" s="29"/>
      <c r="M19" s="29"/>
      <c r="N19" s="29"/>
      <c r="O19" s="29"/>
      <c r="P19" s="29"/>
      <c r="Q19" s="29"/>
      <c r="R19" s="29"/>
      <c r="S19" s="29"/>
      <c r="T19" s="22"/>
      <c r="W19" s="173" t="s">
        <v>114</v>
      </c>
      <c r="X19" s="174">
        <v>3.1288000000000003E-2</v>
      </c>
    </row>
    <row r="20" spans="2:24" ht="15" customHeight="1" x14ac:dyDescent="0.25">
      <c r="B20" s="79"/>
      <c r="C20" s="187" t="s">
        <v>375</v>
      </c>
      <c r="D20" s="195" t="s">
        <v>76</v>
      </c>
      <c r="E20" s="196">
        <v>1.2361E-2</v>
      </c>
      <c r="F20" s="29"/>
      <c r="G20" s="29"/>
      <c r="H20" s="29"/>
      <c r="I20" s="29"/>
      <c r="J20" s="29"/>
      <c r="K20" s="29"/>
      <c r="L20" s="29"/>
      <c r="M20" s="29"/>
      <c r="N20" s="29"/>
      <c r="O20" s="29"/>
      <c r="P20" s="29"/>
      <c r="Q20" s="29"/>
      <c r="R20" s="29"/>
      <c r="S20" s="29"/>
      <c r="T20" s="22"/>
      <c r="W20" s="173" t="s">
        <v>109</v>
      </c>
      <c r="X20" s="174">
        <v>2.9307E-2</v>
      </c>
    </row>
    <row r="21" spans="2:24" ht="15" customHeight="1" x14ac:dyDescent="0.25">
      <c r="B21" s="79"/>
      <c r="C21" s="187" t="s">
        <v>69</v>
      </c>
      <c r="D21" s="195" t="s">
        <v>4</v>
      </c>
      <c r="E21" s="196">
        <v>1.1904E-2</v>
      </c>
      <c r="F21" s="29"/>
      <c r="G21" s="29"/>
      <c r="H21" s="29"/>
      <c r="I21" s="29"/>
      <c r="J21" s="29"/>
      <c r="K21" s="29"/>
      <c r="L21" s="29"/>
      <c r="M21" s="29"/>
      <c r="N21" s="29"/>
      <c r="O21" s="29"/>
      <c r="P21" s="29"/>
      <c r="Q21" s="29"/>
      <c r="R21" s="29"/>
      <c r="S21" s="29"/>
      <c r="T21" s="22"/>
      <c r="W21" s="173" t="s">
        <v>125</v>
      </c>
      <c r="X21" s="174">
        <v>2.2017999999999999E-2</v>
      </c>
    </row>
    <row r="22" spans="2:24" ht="15" customHeight="1" x14ac:dyDescent="0.25">
      <c r="B22" s="79"/>
      <c r="C22" s="187" t="s">
        <v>201</v>
      </c>
      <c r="D22" s="195" t="s">
        <v>4</v>
      </c>
      <c r="E22" s="196">
        <v>1.1584000000000001E-2</v>
      </c>
      <c r="F22" s="29"/>
      <c r="G22" s="29"/>
      <c r="H22" s="29"/>
      <c r="I22" s="29"/>
      <c r="J22" s="29"/>
      <c r="K22" s="29"/>
      <c r="L22" s="29"/>
      <c r="M22" s="29"/>
      <c r="N22" s="29"/>
      <c r="O22" s="29"/>
      <c r="P22" s="29"/>
      <c r="Q22" s="29"/>
      <c r="R22" s="29"/>
      <c r="S22" s="29"/>
      <c r="T22" s="22"/>
      <c r="W22" s="173" t="s">
        <v>26</v>
      </c>
      <c r="X22" s="174">
        <v>1.8776000000000001E-2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123</v>
      </c>
      <c r="X23" s="174">
        <v>1.7451999999999999E-2</v>
      </c>
    </row>
    <row r="24" spans="2:24" ht="15" customHeight="1" x14ac:dyDescent="0.25">
      <c r="B24" s="79"/>
      <c r="C24" s="73" t="s">
        <v>55</v>
      </c>
      <c r="D24" s="74"/>
      <c r="E24" s="75">
        <f>SUM(E8:E22)</f>
        <v>0.25698599999999999</v>
      </c>
      <c r="F24" s="29"/>
      <c r="G24" s="29"/>
      <c r="H24" s="29"/>
      <c r="I24" s="29"/>
      <c r="J24" s="29"/>
      <c r="K24" s="29"/>
      <c r="L24" s="29"/>
      <c r="M24" s="29"/>
      <c r="N24" s="29"/>
      <c r="O24" s="29"/>
      <c r="P24" s="29"/>
      <c r="Q24" s="29"/>
      <c r="R24" s="29"/>
      <c r="S24" s="29"/>
      <c r="T24" s="22"/>
      <c r="W24" s="173" t="s">
        <v>136</v>
      </c>
      <c r="X24" s="174">
        <v>1.6122000000000001E-2</v>
      </c>
    </row>
    <row r="25" spans="2:24" ht="15" customHeight="1" x14ac:dyDescent="0.25">
      <c r="B25" s="79"/>
      <c r="F25" s="29"/>
      <c r="G25" s="29"/>
      <c r="H25" s="29"/>
      <c r="I25" s="29"/>
      <c r="J25" s="29"/>
      <c r="K25" s="29"/>
      <c r="L25" s="29"/>
      <c r="M25" s="29"/>
      <c r="N25" s="29"/>
      <c r="O25" s="29"/>
      <c r="P25" s="29"/>
      <c r="Q25" s="29"/>
      <c r="R25" s="29"/>
      <c r="S25" s="29"/>
      <c r="T25" s="22"/>
      <c r="W25" s="173" t="s">
        <v>23</v>
      </c>
      <c r="X25" s="174">
        <v>1.5057999999999998E-2</v>
      </c>
    </row>
    <row r="26" spans="2:24" ht="15" customHeight="1" x14ac:dyDescent="0.25">
      <c r="B26" s="79"/>
      <c r="F26" s="29"/>
      <c r="G26" s="29"/>
      <c r="H26" s="29"/>
      <c r="I26" s="29"/>
      <c r="J26" s="29"/>
      <c r="K26" s="29"/>
      <c r="L26" s="29"/>
      <c r="M26" s="29"/>
      <c r="N26" s="29"/>
      <c r="O26" s="29"/>
      <c r="P26" s="29"/>
      <c r="Q26" s="29"/>
      <c r="R26" s="29"/>
      <c r="S26" s="29"/>
      <c r="T26" s="22"/>
      <c r="W26" s="173" t="s">
        <v>232</v>
      </c>
      <c r="X26" s="174">
        <v>1.2924E-2</v>
      </c>
    </row>
    <row r="27" spans="2:24" ht="15" customHeight="1" x14ac:dyDescent="0.25">
      <c r="B27" s="79"/>
      <c r="F27" s="29"/>
      <c r="G27" s="29"/>
      <c r="H27" s="29"/>
      <c r="I27" s="29"/>
      <c r="J27" s="29"/>
      <c r="K27" s="29"/>
      <c r="L27" s="29"/>
      <c r="M27" s="29"/>
      <c r="N27" s="29"/>
      <c r="O27" s="29"/>
      <c r="P27" s="29"/>
      <c r="Q27" s="29"/>
      <c r="R27" s="29"/>
      <c r="S27" s="29"/>
      <c r="T27" s="22"/>
      <c r="W27" s="173" t="s">
        <v>83</v>
      </c>
      <c r="X27" s="174">
        <v>1.218E-2</v>
      </c>
    </row>
    <row r="28" spans="2:24" ht="15" customHeight="1" x14ac:dyDescent="0.25">
      <c r="B28" s="79"/>
      <c r="F28" s="29"/>
      <c r="G28" s="29"/>
      <c r="H28" s="29"/>
      <c r="I28" s="29"/>
      <c r="J28" s="29"/>
      <c r="K28" s="29"/>
      <c r="L28" s="29"/>
      <c r="M28" s="29"/>
      <c r="N28" s="29"/>
      <c r="O28" s="29"/>
      <c r="P28" s="29"/>
      <c r="Q28" s="29"/>
      <c r="R28" s="29"/>
      <c r="S28" s="29"/>
      <c r="T28" s="22"/>
      <c r="W28" s="173" t="s">
        <v>113</v>
      </c>
      <c r="X28" s="174">
        <v>1.0662E-2</v>
      </c>
    </row>
    <row r="29" spans="2:24" ht="15" customHeight="1" x14ac:dyDescent="0.25">
      <c r="B29" s="79"/>
      <c r="F29" s="29"/>
      <c r="G29" s="29"/>
      <c r="H29" s="29"/>
      <c r="I29" s="29"/>
      <c r="J29" s="29"/>
      <c r="K29" s="29"/>
      <c r="L29" s="29"/>
      <c r="M29" s="29"/>
      <c r="N29" s="29"/>
      <c r="O29" s="29"/>
      <c r="P29" s="29"/>
      <c r="Q29" s="29"/>
      <c r="R29" s="29"/>
      <c r="S29" s="29"/>
      <c r="T29" s="22"/>
      <c r="W29" s="173" t="s">
        <v>10</v>
      </c>
      <c r="X29" s="174">
        <v>1.0273999999999998E-2</v>
      </c>
    </row>
    <row r="30" spans="2:24" ht="15" customHeight="1" x14ac:dyDescent="0.25">
      <c r="B30" s="79"/>
      <c r="F30" s="29"/>
      <c r="G30" s="29"/>
      <c r="H30" s="29"/>
      <c r="I30" s="29"/>
      <c r="J30" s="29"/>
      <c r="K30" s="29"/>
      <c r="L30" s="29"/>
      <c r="M30" s="29"/>
      <c r="N30" s="29"/>
      <c r="O30" s="29"/>
      <c r="P30" s="29"/>
      <c r="Q30" s="29"/>
      <c r="R30" s="29"/>
      <c r="S30" s="29"/>
      <c r="T30" s="22"/>
      <c r="W30" s="173" t="s">
        <v>106</v>
      </c>
      <c r="X30" s="174">
        <v>9.6559999999999997E-3</v>
      </c>
    </row>
    <row r="31" spans="2:24" ht="15" customHeight="1" x14ac:dyDescent="0.25">
      <c r="B31" s="79"/>
      <c r="F31" s="29"/>
      <c r="G31" s="29"/>
      <c r="H31" s="29"/>
      <c r="I31" s="29"/>
      <c r="J31" s="29"/>
      <c r="K31" s="29"/>
      <c r="L31" s="29"/>
      <c r="M31" s="29"/>
      <c r="N31" s="29"/>
      <c r="O31" s="29"/>
      <c r="P31" s="29"/>
      <c r="Q31" s="29"/>
      <c r="R31" s="29"/>
      <c r="S31" s="29"/>
      <c r="T31" s="22"/>
      <c r="W31" s="173" t="s">
        <v>105</v>
      </c>
      <c r="X31" s="174">
        <v>9.3849999999999992E-3</v>
      </c>
    </row>
    <row r="32" spans="2:24" ht="15" customHeight="1" x14ac:dyDescent="0.25">
      <c r="B32" s="79"/>
      <c r="F32" s="29"/>
      <c r="G32" s="29"/>
      <c r="H32" s="29"/>
      <c r="I32" s="29"/>
      <c r="J32" s="29"/>
      <c r="K32" s="29"/>
      <c r="L32" s="29"/>
      <c r="M32" s="29"/>
      <c r="N32" s="29"/>
      <c r="O32" s="29"/>
      <c r="P32" s="29"/>
      <c r="Q32" s="29"/>
      <c r="R32" s="29"/>
      <c r="S32" s="29"/>
      <c r="T32" s="22"/>
      <c r="W32" s="173" t="s">
        <v>11</v>
      </c>
      <c r="X32" s="174">
        <v>8.1910000000000004E-3</v>
      </c>
    </row>
    <row r="33" spans="2:24" ht="15.75" customHeight="1" x14ac:dyDescent="0.25">
      <c r="B33" s="79"/>
      <c r="F33" s="29"/>
      <c r="G33" s="29"/>
      <c r="H33" s="29"/>
      <c r="I33" s="29"/>
      <c r="J33" s="29"/>
      <c r="K33" s="29"/>
      <c r="L33" s="29"/>
      <c r="M33" s="29"/>
      <c r="N33" s="29"/>
      <c r="O33" s="29"/>
      <c r="P33" s="29"/>
      <c r="Q33" s="29"/>
      <c r="R33" s="29"/>
      <c r="S33" s="29"/>
      <c r="T33" s="22"/>
      <c r="W33" s="173" t="s">
        <v>132</v>
      </c>
      <c r="X33" s="174">
        <v>7.6730000000000001E-3</v>
      </c>
    </row>
    <row r="34" spans="2:24" ht="15.75" customHeight="1" x14ac:dyDescent="0.25">
      <c r="B34" s="79"/>
      <c r="F34" s="29"/>
      <c r="G34" s="29"/>
      <c r="H34" s="29"/>
      <c r="I34" s="29"/>
      <c r="J34" s="29"/>
      <c r="K34" s="29"/>
      <c r="L34" s="29"/>
      <c r="M34" s="29"/>
      <c r="N34" s="29"/>
      <c r="O34" s="29"/>
      <c r="P34" s="29"/>
      <c r="Q34" s="29"/>
      <c r="R34" s="29"/>
      <c r="S34" s="29"/>
      <c r="T34" s="22"/>
      <c r="W34" s="173" t="s">
        <v>6</v>
      </c>
      <c r="X34" s="174">
        <v>6.1880000000000008E-3</v>
      </c>
    </row>
    <row r="35" spans="2:24" ht="15.75" customHeight="1" x14ac:dyDescent="0.25">
      <c r="B35" s="79"/>
      <c r="F35" s="29"/>
      <c r="G35" s="29"/>
      <c r="H35" s="29"/>
      <c r="I35" s="29"/>
      <c r="J35" s="29"/>
      <c r="K35" s="29"/>
      <c r="L35" s="29"/>
      <c r="M35" s="29"/>
      <c r="N35" s="29"/>
      <c r="O35" s="29"/>
      <c r="P35" s="29"/>
      <c r="Q35" s="29"/>
      <c r="R35" s="29"/>
      <c r="S35" s="29"/>
      <c r="T35" s="22"/>
      <c r="W35" s="173" t="s">
        <v>107</v>
      </c>
      <c r="X35" s="174">
        <v>6.0680000000000005E-3</v>
      </c>
    </row>
    <row r="36" spans="2:24" ht="15.75" customHeight="1" x14ac:dyDescent="0.25">
      <c r="B36" s="79"/>
      <c r="F36" s="29"/>
      <c r="G36" s="29"/>
      <c r="H36" s="29"/>
      <c r="I36" s="29"/>
      <c r="J36" s="29"/>
      <c r="K36" s="29"/>
      <c r="L36" s="29"/>
      <c r="M36" s="29"/>
      <c r="N36" s="29"/>
      <c r="O36" s="29"/>
      <c r="P36" s="29"/>
      <c r="Q36" s="29"/>
      <c r="R36" s="29"/>
      <c r="S36" s="29"/>
      <c r="T36" s="22"/>
      <c r="W36" s="173" t="s">
        <v>275</v>
      </c>
      <c r="X36" s="174">
        <v>5.2589999999999998E-3</v>
      </c>
    </row>
    <row r="37" spans="2:24" ht="15.75" customHeight="1" x14ac:dyDescent="0.25">
      <c r="B37" s="79"/>
      <c r="F37" s="29"/>
      <c r="G37" s="29"/>
      <c r="H37" s="29"/>
      <c r="I37" s="29"/>
      <c r="J37" s="29"/>
      <c r="K37" s="29"/>
      <c r="L37" s="29"/>
      <c r="M37" s="29"/>
      <c r="N37" s="29"/>
      <c r="O37" s="29"/>
      <c r="P37" s="29"/>
      <c r="Q37" s="29"/>
      <c r="R37" s="29"/>
      <c r="S37" s="29"/>
      <c r="T37" s="22"/>
      <c r="W37" s="173" t="s">
        <v>124</v>
      </c>
      <c r="X37" s="174">
        <v>4.7710000000000001E-3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117</v>
      </c>
      <c r="X38" s="174">
        <v>4.4979999999999994E-3</v>
      </c>
    </row>
    <row r="39" spans="2:24" ht="15" customHeight="1" thickBot="1" x14ac:dyDescent="0.3">
      <c r="W39" s="173" t="s">
        <v>86</v>
      </c>
      <c r="X39" s="174">
        <v>4.287E-3</v>
      </c>
    </row>
    <row r="40" spans="2:24" ht="15" customHeight="1" x14ac:dyDescent="0.25">
      <c r="B40" s="295" t="s">
        <v>181</v>
      </c>
      <c r="C40" s="296"/>
      <c r="D40" s="296"/>
      <c r="E40" s="296"/>
      <c r="F40" s="296"/>
      <c r="G40" s="296"/>
      <c r="H40" s="296"/>
      <c r="I40" s="296"/>
      <c r="J40" s="296"/>
      <c r="K40" s="296"/>
      <c r="L40" s="296"/>
      <c r="M40" s="296"/>
      <c r="N40" s="296"/>
      <c r="O40" s="296"/>
      <c r="P40" s="296"/>
      <c r="Q40" s="296"/>
      <c r="R40" s="297"/>
      <c r="W40" s="173" t="s">
        <v>15</v>
      </c>
      <c r="X40" s="174">
        <v>3.7000000000000002E-3</v>
      </c>
    </row>
    <row r="41" spans="2:24" ht="15" customHeight="1" x14ac:dyDescent="0.25">
      <c r="B41" s="298"/>
      <c r="C41" s="299"/>
      <c r="D41" s="299"/>
      <c r="E41" s="299"/>
      <c r="F41" s="299"/>
      <c r="G41" s="299"/>
      <c r="H41" s="299"/>
      <c r="I41" s="299"/>
      <c r="J41" s="299"/>
      <c r="K41" s="299"/>
      <c r="L41" s="299"/>
      <c r="M41" s="299"/>
      <c r="N41" s="299"/>
      <c r="O41" s="299"/>
      <c r="P41" s="299"/>
      <c r="Q41" s="299"/>
      <c r="R41" s="300"/>
      <c r="W41" s="173" t="s">
        <v>122</v>
      </c>
      <c r="X41" s="174">
        <v>3.663E-3</v>
      </c>
    </row>
    <row r="42" spans="2:24" ht="15" customHeight="1" x14ac:dyDescent="0.25">
      <c r="B42" s="298"/>
      <c r="C42" s="299"/>
      <c r="D42" s="299"/>
      <c r="E42" s="299"/>
      <c r="F42" s="299"/>
      <c r="G42" s="299"/>
      <c r="H42" s="299"/>
      <c r="I42" s="299"/>
      <c r="J42" s="299"/>
      <c r="K42" s="299"/>
      <c r="L42" s="299"/>
      <c r="M42" s="299"/>
      <c r="N42" s="299"/>
      <c r="O42" s="299"/>
      <c r="P42" s="299"/>
      <c r="Q42" s="299"/>
      <c r="R42" s="300"/>
      <c r="W42" s="173" t="s">
        <v>184</v>
      </c>
      <c r="X42" s="174">
        <v>3.4780000000000002E-3</v>
      </c>
    </row>
    <row r="43" spans="2:24" ht="15" customHeight="1" x14ac:dyDescent="0.25">
      <c r="B43" s="298"/>
      <c r="C43" s="299"/>
      <c r="D43" s="299"/>
      <c r="E43" s="299"/>
      <c r="F43" s="299"/>
      <c r="G43" s="299"/>
      <c r="H43" s="299"/>
      <c r="I43" s="299"/>
      <c r="J43" s="299"/>
      <c r="K43" s="299"/>
      <c r="L43" s="299"/>
      <c r="M43" s="299"/>
      <c r="N43" s="299"/>
      <c r="O43" s="299"/>
      <c r="P43" s="299"/>
      <c r="Q43" s="299"/>
      <c r="R43" s="300"/>
      <c r="W43" s="173" t="s">
        <v>82</v>
      </c>
      <c r="X43" s="174">
        <v>3.4269999999999999E-3</v>
      </c>
    </row>
    <row r="44" spans="2:24" ht="15" customHeight="1" x14ac:dyDescent="0.25">
      <c r="B44" s="298"/>
      <c r="C44" s="299"/>
      <c r="D44" s="299"/>
      <c r="E44" s="299"/>
      <c r="F44" s="299"/>
      <c r="G44" s="299"/>
      <c r="H44" s="299"/>
      <c r="I44" s="299"/>
      <c r="J44" s="299"/>
      <c r="K44" s="299"/>
      <c r="L44" s="299"/>
      <c r="M44" s="299"/>
      <c r="N44" s="299"/>
      <c r="O44" s="299"/>
      <c r="P44" s="299"/>
      <c r="Q44" s="299"/>
      <c r="R44" s="300"/>
      <c r="W44" s="173" t="s">
        <v>349</v>
      </c>
      <c r="X44" s="174">
        <v>2.7759999999999998E-3</v>
      </c>
    </row>
    <row r="45" spans="2:24" ht="15" customHeight="1" x14ac:dyDescent="0.25">
      <c r="B45" s="298"/>
      <c r="C45" s="299"/>
      <c r="D45" s="299"/>
      <c r="E45" s="299"/>
      <c r="F45" s="299"/>
      <c r="G45" s="299"/>
      <c r="H45" s="299"/>
      <c r="I45" s="299"/>
      <c r="J45" s="299"/>
      <c r="K45" s="299"/>
      <c r="L45" s="299"/>
      <c r="M45" s="299"/>
      <c r="N45" s="299"/>
      <c r="O45" s="299"/>
      <c r="P45" s="299"/>
      <c r="Q45" s="299"/>
      <c r="R45" s="300"/>
      <c r="W45" s="173" t="s">
        <v>12</v>
      </c>
      <c r="X45" s="174">
        <v>2.63E-3</v>
      </c>
    </row>
    <row r="46" spans="2:24" ht="15" customHeight="1" thickBot="1" x14ac:dyDescent="0.3">
      <c r="B46" s="301"/>
      <c r="C46" s="302"/>
      <c r="D46" s="302"/>
      <c r="E46" s="302"/>
      <c r="F46" s="302"/>
      <c r="G46" s="302"/>
      <c r="H46" s="302"/>
      <c r="I46" s="302"/>
      <c r="J46" s="302"/>
      <c r="K46" s="302"/>
      <c r="L46" s="302"/>
      <c r="M46" s="302"/>
      <c r="N46" s="302"/>
      <c r="O46" s="302"/>
      <c r="P46" s="302"/>
      <c r="Q46" s="302"/>
      <c r="R46" s="303"/>
      <c r="W46" s="173" t="s">
        <v>25</v>
      </c>
      <c r="X46" s="174">
        <v>2.3220000000000003E-3</v>
      </c>
    </row>
    <row r="47" spans="2:24" ht="15" customHeight="1" x14ac:dyDescent="0.25">
      <c r="W47" s="173" t="s">
        <v>120</v>
      </c>
      <c r="X47" s="174">
        <v>2.2430000000000002E-3</v>
      </c>
    </row>
    <row r="48" spans="2:24" ht="15" customHeight="1" x14ac:dyDescent="0.25">
      <c r="W48" s="173" t="s">
        <v>94</v>
      </c>
      <c r="X48" s="174">
        <v>1.815E-3</v>
      </c>
    </row>
    <row r="49" spans="23:24" ht="15" customHeight="1" x14ac:dyDescent="0.25">
      <c r="W49" s="173" t="s">
        <v>214</v>
      </c>
      <c r="X49" s="174">
        <v>1.5E-3</v>
      </c>
    </row>
    <row r="50" spans="23:24" ht="15" customHeight="1" x14ac:dyDescent="0.25">
      <c r="W50" s="173" t="s">
        <v>85</v>
      </c>
      <c r="X50" s="174">
        <v>1.4350000000000001E-3</v>
      </c>
    </row>
    <row r="51" spans="23:24" ht="15" customHeight="1" x14ac:dyDescent="0.25">
      <c r="W51" s="173" t="s">
        <v>111</v>
      </c>
      <c r="X51" s="174">
        <v>1.175E-3</v>
      </c>
    </row>
    <row r="52" spans="23:24" ht="15" customHeight="1" x14ac:dyDescent="0.25">
      <c r="W52" s="173" t="s">
        <v>145</v>
      </c>
      <c r="X52" s="174">
        <v>9.2199999999999997E-4</v>
      </c>
    </row>
    <row r="53" spans="23:24" ht="15" customHeight="1" x14ac:dyDescent="0.25">
      <c r="W53" s="173" t="s">
        <v>116</v>
      </c>
      <c r="X53" s="174">
        <v>8.7699999999999996E-4</v>
      </c>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164</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397</v>
      </c>
      <c r="E5" s="306"/>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179</v>
      </c>
      <c r="D8" s="195" t="s">
        <v>24</v>
      </c>
      <c r="E8" s="203">
        <v>5.0202999999999998E-2</v>
      </c>
      <c r="F8" s="29"/>
      <c r="G8" s="29"/>
      <c r="H8" s="29"/>
      <c r="I8" s="29"/>
      <c r="J8" s="29"/>
      <c r="K8" s="29"/>
      <c r="L8" s="29"/>
      <c r="M8" s="29"/>
      <c r="N8" s="29"/>
      <c r="O8" s="29"/>
      <c r="P8" s="29"/>
      <c r="Q8" s="29"/>
      <c r="R8" s="29"/>
      <c r="S8" s="29"/>
      <c r="T8" s="22"/>
      <c r="W8" s="61" t="s">
        <v>23</v>
      </c>
      <c r="X8" s="62">
        <v>0.22513900000000001</v>
      </c>
    </row>
    <row r="9" spans="1:24" ht="15.75" customHeight="1" x14ac:dyDescent="0.25">
      <c r="B9" s="79"/>
      <c r="C9" s="187" t="s">
        <v>34</v>
      </c>
      <c r="D9" s="195" t="s">
        <v>23</v>
      </c>
      <c r="E9" s="203">
        <v>3.7275000000000003E-2</v>
      </c>
      <c r="F9" s="29"/>
      <c r="G9" s="29"/>
      <c r="H9" s="29"/>
      <c r="I9" s="29"/>
      <c r="J9" s="29"/>
      <c r="K9" s="29"/>
      <c r="L9" s="29"/>
      <c r="M9" s="29"/>
      <c r="N9" s="29"/>
      <c r="O9" s="29"/>
      <c r="P9" s="29"/>
      <c r="Q9" s="29"/>
      <c r="R9" s="29"/>
      <c r="S9" s="29"/>
      <c r="T9" s="22"/>
      <c r="W9" s="61" t="s">
        <v>24</v>
      </c>
      <c r="X9" s="62">
        <v>8.7313000000000002E-2</v>
      </c>
    </row>
    <row r="10" spans="1:24" ht="15" customHeight="1" x14ac:dyDescent="0.25">
      <c r="B10" s="79"/>
      <c r="C10" s="187" t="s">
        <v>31</v>
      </c>
      <c r="D10" s="195" t="s">
        <v>6</v>
      </c>
      <c r="E10" s="203">
        <v>3.4903999999999998E-2</v>
      </c>
      <c r="F10" s="29"/>
      <c r="G10" s="29"/>
      <c r="H10" s="29"/>
      <c r="I10" s="29"/>
      <c r="J10" s="29"/>
      <c r="K10" s="29"/>
      <c r="L10" s="29"/>
      <c r="M10" s="29"/>
      <c r="N10" s="29"/>
      <c r="O10" s="29"/>
      <c r="P10" s="29"/>
      <c r="Q10" s="29"/>
      <c r="R10" s="29"/>
      <c r="S10" s="29"/>
      <c r="T10" s="22"/>
      <c r="W10" s="61" t="s">
        <v>10</v>
      </c>
      <c r="X10" s="62">
        <v>8.3220999999999989E-2</v>
      </c>
    </row>
    <row r="11" spans="1:24" ht="15" customHeight="1" x14ac:dyDescent="0.25">
      <c r="B11" s="79"/>
      <c r="C11" s="187" t="s">
        <v>64</v>
      </c>
      <c r="D11" s="195" t="s">
        <v>82</v>
      </c>
      <c r="E11" s="203">
        <v>3.2888000000000001E-2</v>
      </c>
      <c r="F11" s="29"/>
      <c r="G11" s="29"/>
      <c r="H11" s="29"/>
      <c r="I11" s="29"/>
      <c r="J11" s="29"/>
      <c r="K11" s="29"/>
      <c r="L11" s="29"/>
      <c r="M11" s="29"/>
      <c r="N11" s="29"/>
      <c r="O11" s="29"/>
      <c r="P11" s="29"/>
      <c r="Q11" s="29"/>
      <c r="R11" s="29"/>
      <c r="S11" s="29"/>
      <c r="T11" s="22"/>
      <c r="W11" s="61" t="s">
        <v>118</v>
      </c>
      <c r="X11" s="62">
        <v>7.6483000000000009E-2</v>
      </c>
    </row>
    <row r="12" spans="1:24" ht="15" customHeight="1" x14ac:dyDescent="0.25">
      <c r="B12" s="79"/>
      <c r="C12" s="187" t="s">
        <v>210</v>
      </c>
      <c r="D12" s="195" t="s">
        <v>23</v>
      </c>
      <c r="E12" s="203">
        <v>3.2426000000000003E-2</v>
      </c>
      <c r="F12" s="29"/>
      <c r="G12" s="29"/>
      <c r="H12" s="29"/>
      <c r="I12" s="29"/>
      <c r="J12" s="29"/>
      <c r="K12" s="29"/>
      <c r="L12" s="29"/>
      <c r="M12" s="29"/>
      <c r="N12" s="29"/>
      <c r="O12" s="29"/>
      <c r="P12" s="29"/>
      <c r="Q12" s="29"/>
      <c r="R12" s="29"/>
      <c r="S12" s="29"/>
      <c r="T12" s="22"/>
      <c r="W12" s="61" t="s">
        <v>123</v>
      </c>
      <c r="X12" s="62">
        <v>5.4239999999999997E-2</v>
      </c>
    </row>
    <row r="13" spans="1:24" ht="15" customHeight="1" x14ac:dyDescent="0.25">
      <c r="B13" s="79"/>
      <c r="C13" s="187" t="s">
        <v>249</v>
      </c>
      <c r="D13" s="195" t="s">
        <v>129</v>
      </c>
      <c r="E13" s="203">
        <v>2.9144E-2</v>
      </c>
      <c r="F13" s="29"/>
      <c r="G13" s="29"/>
      <c r="H13" s="29"/>
      <c r="I13" s="29"/>
      <c r="J13" s="29"/>
      <c r="K13" s="29"/>
      <c r="L13" s="29"/>
      <c r="M13" s="29"/>
      <c r="N13" s="29"/>
      <c r="O13" s="29"/>
      <c r="P13" s="29"/>
      <c r="Q13" s="29"/>
      <c r="R13" s="29"/>
      <c r="S13" s="29"/>
      <c r="T13" s="22"/>
      <c r="W13" s="61" t="s">
        <v>136</v>
      </c>
      <c r="X13" s="62">
        <v>5.0491999999999995E-2</v>
      </c>
    </row>
    <row r="14" spans="1:24" ht="15" customHeight="1" x14ac:dyDescent="0.25">
      <c r="B14" s="79"/>
      <c r="C14" s="187" t="s">
        <v>272</v>
      </c>
      <c r="D14" s="195" t="s">
        <v>4</v>
      </c>
      <c r="E14" s="203">
        <v>2.8680000000000001E-2</v>
      </c>
      <c r="F14" s="29"/>
      <c r="G14" s="29"/>
      <c r="H14" s="29"/>
      <c r="I14" s="29"/>
      <c r="J14" s="29"/>
      <c r="K14" s="29"/>
      <c r="L14" s="29"/>
      <c r="M14" s="29"/>
      <c r="N14" s="29"/>
      <c r="O14" s="29"/>
      <c r="P14" s="29"/>
      <c r="Q14" s="29"/>
      <c r="R14" s="29"/>
      <c r="S14" s="29"/>
      <c r="T14" s="22"/>
      <c r="W14" s="61" t="s">
        <v>109</v>
      </c>
      <c r="X14" s="62">
        <v>4.7780999999999997E-2</v>
      </c>
    </row>
    <row r="15" spans="1:24" ht="15" customHeight="1" x14ac:dyDescent="0.25">
      <c r="B15" s="79"/>
      <c r="C15" s="187" t="s">
        <v>70</v>
      </c>
      <c r="D15" s="195" t="s">
        <v>12</v>
      </c>
      <c r="E15" s="203">
        <v>2.8660000000000001E-2</v>
      </c>
      <c r="F15" s="29"/>
      <c r="G15" s="29"/>
      <c r="H15" s="29"/>
      <c r="I15" s="29"/>
      <c r="J15" s="29"/>
      <c r="K15" s="29"/>
      <c r="L15" s="29"/>
      <c r="M15" s="29"/>
      <c r="N15" s="29"/>
      <c r="O15" s="29"/>
      <c r="P15" s="29"/>
      <c r="Q15" s="29"/>
      <c r="R15" s="29"/>
      <c r="S15" s="29"/>
      <c r="T15" s="22"/>
      <c r="W15" s="61" t="s">
        <v>12</v>
      </c>
      <c r="X15" s="62">
        <v>4.6314000000000001E-2</v>
      </c>
    </row>
    <row r="16" spans="1:24" ht="15" customHeight="1" x14ac:dyDescent="0.25">
      <c r="B16" s="79"/>
      <c r="C16" s="187" t="s">
        <v>258</v>
      </c>
      <c r="D16" s="195" t="s">
        <v>23</v>
      </c>
      <c r="E16" s="203">
        <v>2.6283000000000001E-2</v>
      </c>
      <c r="F16" s="29"/>
      <c r="G16" s="29"/>
      <c r="H16" s="29"/>
      <c r="I16" s="29"/>
      <c r="J16" s="29"/>
      <c r="K16" s="29"/>
      <c r="L16" s="29"/>
      <c r="M16" s="29"/>
      <c r="N16" s="29"/>
      <c r="O16" s="29"/>
      <c r="P16" s="29"/>
      <c r="Q16" s="29"/>
      <c r="R16" s="29"/>
      <c r="S16" s="29"/>
      <c r="T16" s="22"/>
      <c r="W16" s="61" t="s">
        <v>4</v>
      </c>
      <c r="X16" s="62">
        <v>3.7807999999999994E-2</v>
      </c>
    </row>
    <row r="17" spans="2:24" ht="15" customHeight="1" x14ac:dyDescent="0.25">
      <c r="B17" s="79"/>
      <c r="C17" s="187" t="s">
        <v>128</v>
      </c>
      <c r="D17" s="195" t="s">
        <v>86</v>
      </c>
      <c r="E17" s="203">
        <v>2.5534999999999999E-2</v>
      </c>
      <c r="F17" s="29"/>
      <c r="G17" s="29"/>
      <c r="H17" s="29"/>
      <c r="I17" s="29"/>
      <c r="J17" s="29"/>
      <c r="K17" s="29"/>
      <c r="L17" s="29"/>
      <c r="M17" s="29"/>
      <c r="N17" s="29"/>
      <c r="O17" s="29"/>
      <c r="P17" s="29"/>
      <c r="Q17" s="29"/>
      <c r="R17" s="29"/>
      <c r="S17" s="29"/>
      <c r="T17" s="22"/>
      <c r="W17" s="61" t="s">
        <v>25</v>
      </c>
      <c r="X17" s="62">
        <v>3.7457999999999998E-2</v>
      </c>
    </row>
    <row r="18" spans="2:24" ht="15" customHeight="1" x14ac:dyDescent="0.25">
      <c r="B18" s="79"/>
      <c r="C18" s="187" t="s">
        <v>286</v>
      </c>
      <c r="D18" s="195" t="s">
        <v>23</v>
      </c>
      <c r="E18" s="203">
        <v>2.5155E-2</v>
      </c>
      <c r="F18" s="29"/>
      <c r="G18" s="29"/>
      <c r="H18" s="29"/>
      <c r="I18" s="29"/>
      <c r="J18" s="29"/>
      <c r="K18" s="29"/>
      <c r="L18" s="29"/>
      <c r="M18" s="29"/>
      <c r="N18" s="29"/>
      <c r="O18" s="29"/>
      <c r="P18" s="29"/>
      <c r="Q18" s="29"/>
      <c r="R18" s="29"/>
      <c r="S18" s="29"/>
      <c r="T18" s="22"/>
      <c r="W18" s="61" t="s">
        <v>86</v>
      </c>
      <c r="X18" s="62">
        <v>3.5075999999999996E-2</v>
      </c>
    </row>
    <row r="19" spans="2:24" ht="15" customHeight="1" x14ac:dyDescent="0.25">
      <c r="B19" s="79"/>
      <c r="C19" s="187" t="s">
        <v>146</v>
      </c>
      <c r="D19" s="195" t="s">
        <v>23</v>
      </c>
      <c r="E19" s="203">
        <v>2.4566000000000001E-2</v>
      </c>
      <c r="F19" s="29"/>
      <c r="G19" s="29"/>
      <c r="H19" s="29"/>
      <c r="I19" s="29"/>
      <c r="J19" s="29"/>
      <c r="K19" s="29"/>
      <c r="L19" s="29"/>
      <c r="M19" s="29"/>
      <c r="N19" s="29"/>
      <c r="O19" s="29"/>
      <c r="P19" s="29"/>
      <c r="Q19" s="29"/>
      <c r="R19" s="29"/>
      <c r="S19" s="29"/>
      <c r="T19" s="22"/>
      <c r="W19" s="61" t="s">
        <v>6</v>
      </c>
      <c r="X19" s="62">
        <v>3.4903999999999998E-2</v>
      </c>
    </row>
    <row r="20" spans="2:24" ht="15" customHeight="1" x14ac:dyDescent="0.25">
      <c r="B20" s="79"/>
      <c r="C20" s="187" t="s">
        <v>376</v>
      </c>
      <c r="D20" s="195" t="s">
        <v>24</v>
      </c>
      <c r="E20" s="203">
        <v>1.9673E-2</v>
      </c>
      <c r="F20" s="29"/>
      <c r="G20" s="29"/>
      <c r="H20" s="29"/>
      <c r="I20" s="29"/>
      <c r="J20" s="29"/>
      <c r="K20" s="29"/>
      <c r="L20" s="29"/>
      <c r="M20" s="29"/>
      <c r="N20" s="29"/>
      <c r="O20" s="29"/>
      <c r="P20" s="29"/>
      <c r="Q20" s="29"/>
      <c r="R20" s="29"/>
      <c r="S20" s="29"/>
      <c r="T20" s="22"/>
      <c r="W20" s="61" t="s">
        <v>129</v>
      </c>
      <c r="X20" s="62">
        <v>3.3778000000000002E-2</v>
      </c>
    </row>
    <row r="21" spans="2:24" ht="15" customHeight="1" x14ac:dyDescent="0.25">
      <c r="B21" s="79"/>
      <c r="C21" s="187" t="s">
        <v>296</v>
      </c>
      <c r="D21" s="195" t="s">
        <v>123</v>
      </c>
      <c r="E21" s="203">
        <v>1.9335999999999999E-2</v>
      </c>
      <c r="F21" s="29"/>
      <c r="G21" s="29"/>
      <c r="H21" s="29"/>
      <c r="I21" s="29"/>
      <c r="J21" s="29"/>
      <c r="K21" s="29"/>
      <c r="L21" s="29"/>
      <c r="M21" s="29"/>
      <c r="N21" s="29"/>
      <c r="O21" s="29"/>
      <c r="P21" s="29"/>
      <c r="Q21" s="29"/>
      <c r="R21" s="29"/>
      <c r="S21" s="29"/>
      <c r="T21" s="22"/>
      <c r="W21" s="61" t="s">
        <v>82</v>
      </c>
      <c r="X21" s="62">
        <v>3.2888000000000001E-2</v>
      </c>
    </row>
    <row r="22" spans="2:24" ht="15" customHeight="1" x14ac:dyDescent="0.25">
      <c r="B22" s="79"/>
      <c r="C22" s="187" t="s">
        <v>377</v>
      </c>
      <c r="D22" s="195" t="s">
        <v>23</v>
      </c>
      <c r="E22" s="203">
        <v>1.9269000000000001E-2</v>
      </c>
      <c r="F22" s="29"/>
      <c r="G22" s="29"/>
      <c r="H22" s="29"/>
      <c r="I22" s="29"/>
      <c r="J22" s="29"/>
      <c r="K22" s="29"/>
      <c r="L22" s="29"/>
      <c r="M22" s="29"/>
      <c r="N22" s="29"/>
      <c r="O22" s="29"/>
      <c r="P22" s="29"/>
      <c r="Q22" s="29"/>
      <c r="R22" s="29"/>
      <c r="S22" s="29"/>
      <c r="T22" s="22"/>
      <c r="W22" s="56" t="s">
        <v>76</v>
      </c>
      <c r="X22" s="57">
        <v>1.8278000000000003E-2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122</v>
      </c>
      <c r="X23" s="57">
        <v>1.7694000000000001E-2</v>
      </c>
    </row>
    <row r="24" spans="2:24" ht="15" customHeight="1" x14ac:dyDescent="0.25">
      <c r="B24" s="79"/>
      <c r="C24" s="73" t="s">
        <v>55</v>
      </c>
      <c r="D24" s="74"/>
      <c r="E24" s="75">
        <f>SUM(E8:E22)</f>
        <v>0.43399699999999997</v>
      </c>
      <c r="F24" s="29"/>
      <c r="G24" s="29"/>
      <c r="H24" s="29"/>
      <c r="I24" s="29"/>
      <c r="J24" s="29"/>
      <c r="K24" s="29"/>
      <c r="L24" s="29"/>
      <c r="M24" s="29"/>
      <c r="N24" s="29"/>
      <c r="O24" s="29"/>
      <c r="P24" s="29"/>
      <c r="Q24" s="29"/>
      <c r="R24" s="29"/>
      <c r="S24" s="29"/>
      <c r="T24" s="22"/>
      <c r="W24" s="56" t="s">
        <v>11</v>
      </c>
      <c r="X24" s="57">
        <v>1.7687999999999999E-2</v>
      </c>
    </row>
    <row r="25" spans="2:24" ht="15" customHeight="1" x14ac:dyDescent="0.25">
      <c r="B25" s="79"/>
      <c r="F25" s="29"/>
      <c r="G25" s="29"/>
      <c r="H25" s="29"/>
      <c r="I25" s="29"/>
      <c r="J25" s="29"/>
      <c r="K25" s="29"/>
      <c r="L25" s="29"/>
      <c r="M25" s="29"/>
      <c r="N25" s="29"/>
      <c r="O25" s="29"/>
      <c r="P25" s="29"/>
      <c r="Q25" s="29"/>
      <c r="R25" s="29"/>
      <c r="S25" s="29"/>
      <c r="T25" s="22"/>
      <c r="W25" s="56" t="s">
        <v>115</v>
      </c>
      <c r="X25" s="57">
        <v>1.3998999999999999E-2</v>
      </c>
    </row>
    <row r="26" spans="2:24" ht="15" customHeight="1" x14ac:dyDescent="0.25">
      <c r="B26" s="79"/>
      <c r="F26" s="29"/>
      <c r="G26" s="29"/>
      <c r="H26" s="29"/>
      <c r="I26" s="29"/>
      <c r="J26" s="29"/>
      <c r="K26" s="29"/>
      <c r="L26" s="29"/>
      <c r="M26" s="29"/>
      <c r="N26" s="29"/>
      <c r="O26" s="29"/>
      <c r="P26" s="29"/>
      <c r="Q26" s="29"/>
      <c r="R26" s="29"/>
      <c r="S26" s="29"/>
      <c r="T26" s="22"/>
      <c r="W26" s="56" t="s">
        <v>15</v>
      </c>
      <c r="X26" s="57">
        <v>6.2599999999999999E-3</v>
      </c>
    </row>
    <row r="27" spans="2:24" ht="15" customHeight="1" x14ac:dyDescent="0.25">
      <c r="B27" s="79"/>
      <c r="F27" s="29"/>
      <c r="G27" s="29"/>
      <c r="H27" s="29"/>
      <c r="I27" s="29"/>
      <c r="J27" s="29"/>
      <c r="K27" s="29"/>
      <c r="L27" s="29"/>
      <c r="M27" s="29"/>
      <c r="N27" s="29"/>
      <c r="O27" s="29"/>
      <c r="P27" s="29"/>
      <c r="Q27" s="29"/>
      <c r="R27" s="29"/>
      <c r="S27" s="29"/>
      <c r="T27" s="22"/>
      <c r="W27" s="154" t="s">
        <v>132</v>
      </c>
      <c r="X27" s="155">
        <v>5.7840000000000001E-3</v>
      </c>
    </row>
    <row r="28" spans="2:24" ht="15" customHeight="1" x14ac:dyDescent="0.25">
      <c r="B28" s="79"/>
      <c r="F28" s="29"/>
      <c r="G28" s="29"/>
      <c r="H28" s="29"/>
      <c r="I28" s="29"/>
      <c r="J28" s="29"/>
      <c r="K28" s="29"/>
      <c r="L28" s="29"/>
      <c r="M28" s="29"/>
      <c r="N28" s="29"/>
      <c r="O28" s="29"/>
      <c r="P28" s="29"/>
      <c r="Q28" s="29"/>
      <c r="R28" s="29"/>
      <c r="S28" s="29"/>
      <c r="T28" s="22"/>
      <c r="W28" s="154" t="s">
        <v>83</v>
      </c>
      <c r="X28" s="155">
        <v>2.4030000000000002E-3</v>
      </c>
    </row>
    <row r="29" spans="2:24" ht="15" customHeight="1" x14ac:dyDescent="0.25">
      <c r="B29" s="79"/>
      <c r="F29" s="29"/>
      <c r="G29" s="29"/>
      <c r="H29" s="29"/>
      <c r="I29" s="29"/>
      <c r="J29" s="29"/>
      <c r="K29" s="29"/>
      <c r="L29" s="29"/>
      <c r="M29" s="29"/>
      <c r="N29" s="29"/>
      <c r="O29" s="29"/>
      <c r="P29" s="29"/>
      <c r="Q29" s="29"/>
      <c r="R29" s="29"/>
      <c r="S29" s="29"/>
      <c r="T29" s="22"/>
      <c r="X29" s="155"/>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95" t="s">
        <v>181</v>
      </c>
      <c r="C36" s="296"/>
      <c r="D36" s="296"/>
      <c r="E36" s="296"/>
      <c r="F36" s="296"/>
      <c r="G36" s="296"/>
      <c r="H36" s="296"/>
      <c r="I36" s="296"/>
      <c r="J36" s="296"/>
      <c r="K36" s="296"/>
      <c r="L36" s="296"/>
      <c r="M36" s="296"/>
      <c r="N36" s="296"/>
      <c r="O36" s="296"/>
      <c r="P36" s="296"/>
      <c r="Q36" s="296"/>
      <c r="R36" s="297"/>
    </row>
    <row r="37" spans="2:20" ht="15" customHeight="1" x14ac:dyDescent="0.25">
      <c r="B37" s="298"/>
      <c r="C37" s="299"/>
      <c r="D37" s="299"/>
      <c r="E37" s="299"/>
      <c r="F37" s="299"/>
      <c r="G37" s="299"/>
      <c r="H37" s="299"/>
      <c r="I37" s="299"/>
      <c r="J37" s="299"/>
      <c r="K37" s="299"/>
      <c r="L37" s="299"/>
      <c r="M37" s="299"/>
      <c r="N37" s="299"/>
      <c r="O37" s="299"/>
      <c r="P37" s="299"/>
      <c r="Q37" s="299"/>
      <c r="R37" s="300"/>
    </row>
    <row r="38" spans="2:20" ht="15" customHeight="1" x14ac:dyDescent="0.25">
      <c r="B38" s="298"/>
      <c r="C38" s="299"/>
      <c r="D38" s="299"/>
      <c r="E38" s="299"/>
      <c r="F38" s="299"/>
      <c r="G38" s="299"/>
      <c r="H38" s="299"/>
      <c r="I38" s="299"/>
      <c r="J38" s="299"/>
      <c r="K38" s="299"/>
      <c r="L38" s="299"/>
      <c r="M38" s="299"/>
      <c r="N38" s="299"/>
      <c r="O38" s="299"/>
      <c r="P38" s="299"/>
      <c r="Q38" s="299"/>
      <c r="R38" s="300"/>
    </row>
    <row r="39" spans="2:20" ht="15" customHeight="1" x14ac:dyDescent="0.25">
      <c r="B39" s="298"/>
      <c r="C39" s="299"/>
      <c r="D39" s="299"/>
      <c r="E39" s="299"/>
      <c r="F39" s="299"/>
      <c r="G39" s="299"/>
      <c r="H39" s="299"/>
      <c r="I39" s="299"/>
      <c r="J39" s="299"/>
      <c r="K39" s="299"/>
      <c r="L39" s="299"/>
      <c r="M39" s="299"/>
      <c r="N39" s="299"/>
      <c r="O39" s="299"/>
      <c r="P39" s="299"/>
      <c r="Q39" s="299"/>
      <c r="R39" s="300"/>
    </row>
    <row r="40" spans="2:20" ht="15" customHeight="1" x14ac:dyDescent="0.25">
      <c r="B40" s="298"/>
      <c r="C40" s="299"/>
      <c r="D40" s="299"/>
      <c r="E40" s="299"/>
      <c r="F40" s="299"/>
      <c r="G40" s="299"/>
      <c r="H40" s="299"/>
      <c r="I40" s="299"/>
      <c r="J40" s="299"/>
      <c r="K40" s="299"/>
      <c r="L40" s="299"/>
      <c r="M40" s="299"/>
      <c r="N40" s="299"/>
      <c r="O40" s="299"/>
      <c r="P40" s="299"/>
      <c r="Q40" s="299"/>
      <c r="R40" s="300"/>
    </row>
    <row r="41" spans="2:20" ht="15" customHeight="1" x14ac:dyDescent="0.25">
      <c r="B41" s="298"/>
      <c r="C41" s="299"/>
      <c r="D41" s="299"/>
      <c r="E41" s="299"/>
      <c r="F41" s="299"/>
      <c r="G41" s="299"/>
      <c r="H41" s="299"/>
      <c r="I41" s="299"/>
      <c r="J41" s="299"/>
      <c r="K41" s="299"/>
      <c r="L41" s="299"/>
      <c r="M41" s="299"/>
      <c r="N41" s="299"/>
      <c r="O41" s="299"/>
      <c r="P41" s="299"/>
      <c r="Q41" s="299"/>
      <c r="R41" s="300"/>
    </row>
    <row r="42" spans="2:20" ht="15" customHeight="1" thickBot="1" x14ac:dyDescent="0.3">
      <c r="B42" s="301"/>
      <c r="C42" s="302"/>
      <c r="D42" s="302"/>
      <c r="E42" s="302"/>
      <c r="F42" s="302"/>
      <c r="G42" s="302"/>
      <c r="H42" s="302"/>
      <c r="I42" s="302"/>
      <c r="J42" s="302"/>
      <c r="K42" s="302"/>
      <c r="L42" s="302"/>
      <c r="M42" s="302"/>
      <c r="N42" s="302"/>
      <c r="O42" s="302"/>
      <c r="P42" s="302"/>
      <c r="Q42" s="302"/>
      <c r="R42" s="30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4" t="s">
        <v>163</v>
      </c>
      <c r="D3" s="305"/>
      <c r="E3" s="305"/>
      <c r="F3" s="305"/>
      <c r="G3" s="305"/>
      <c r="H3" s="305"/>
      <c r="I3" s="305"/>
      <c r="J3" s="305"/>
      <c r="K3" s="305"/>
      <c r="L3" s="305"/>
      <c r="M3" s="305"/>
      <c r="N3" s="305"/>
      <c r="O3" s="305"/>
      <c r="P3" s="305"/>
      <c r="Q3" s="305"/>
      <c r="R3" s="305"/>
      <c r="S3" s="305"/>
      <c r="T3" s="65"/>
      <c r="U3" s="66"/>
    </row>
    <row r="4" spans="1:24" ht="15.75" customHeight="1" x14ac:dyDescent="0.25">
      <c r="B4" s="64"/>
      <c r="C4" s="67" t="s">
        <v>387</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08" t="s">
        <v>398</v>
      </c>
      <c r="E5" s="308"/>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2" t="s">
        <v>119</v>
      </c>
      <c r="D8" s="193" t="s">
        <v>111</v>
      </c>
      <c r="E8" s="194">
        <v>0.12540399999999999</v>
      </c>
      <c r="F8" s="29"/>
      <c r="G8" s="29"/>
      <c r="H8" s="29"/>
      <c r="I8" s="29"/>
      <c r="J8" s="29"/>
      <c r="K8" s="29"/>
      <c r="L8" s="29"/>
      <c r="M8" s="29"/>
      <c r="N8" s="29"/>
      <c r="O8" s="29"/>
      <c r="P8" s="29"/>
      <c r="Q8" s="29"/>
      <c r="R8" s="29"/>
      <c r="S8" s="29"/>
      <c r="T8" s="29"/>
      <c r="U8" s="25"/>
      <c r="W8" s="180" t="s">
        <v>111</v>
      </c>
      <c r="X8" s="234">
        <v>0.46068399999999998</v>
      </c>
    </row>
    <row r="9" spans="1:24" ht="15.75" customHeight="1" x14ac:dyDescent="0.25">
      <c r="B9" s="64"/>
      <c r="C9" s="187" t="s">
        <v>95</v>
      </c>
      <c r="D9" s="195" t="s">
        <v>111</v>
      </c>
      <c r="E9" s="196">
        <v>0.107964</v>
      </c>
      <c r="F9" s="29"/>
      <c r="G9" s="29"/>
      <c r="H9" s="29"/>
      <c r="I9" s="29"/>
      <c r="J9" s="29"/>
      <c r="K9" s="29"/>
      <c r="L9" s="29"/>
      <c r="M9" s="29"/>
      <c r="N9" s="29"/>
      <c r="O9" s="29"/>
      <c r="P9" s="29"/>
      <c r="Q9" s="29"/>
      <c r="R9" s="29"/>
      <c r="S9" s="29"/>
      <c r="T9" s="29"/>
      <c r="U9" s="25"/>
      <c r="W9" s="180" t="s">
        <v>109</v>
      </c>
      <c r="X9" s="234">
        <v>0.24663599999999999</v>
      </c>
    </row>
    <row r="10" spans="1:24" ht="15.75" x14ac:dyDescent="0.25">
      <c r="B10" s="64"/>
      <c r="C10" s="187" t="s">
        <v>79</v>
      </c>
      <c r="D10" s="195" t="s">
        <v>111</v>
      </c>
      <c r="E10" s="196">
        <v>6.8263000000000004E-2</v>
      </c>
      <c r="F10" s="29"/>
      <c r="G10" s="29"/>
      <c r="H10" s="29"/>
      <c r="I10" s="29"/>
      <c r="J10" s="29"/>
      <c r="K10" s="29"/>
      <c r="L10" s="29"/>
      <c r="M10" s="29"/>
      <c r="N10" s="29"/>
      <c r="O10" s="29"/>
      <c r="P10" s="29"/>
      <c r="Q10" s="29"/>
      <c r="R10" s="29"/>
      <c r="S10" s="29"/>
      <c r="T10" s="29"/>
      <c r="U10" s="25"/>
      <c r="W10" s="180" t="s">
        <v>123</v>
      </c>
      <c r="X10" s="234">
        <v>0.103128</v>
      </c>
    </row>
    <row r="11" spans="1:24" ht="15.75" customHeight="1" x14ac:dyDescent="0.25">
      <c r="B11" s="64"/>
      <c r="C11" s="187" t="s">
        <v>143</v>
      </c>
      <c r="D11" s="195" t="s">
        <v>111</v>
      </c>
      <c r="E11" s="196">
        <v>6.5353999999999995E-2</v>
      </c>
      <c r="F11" s="29"/>
      <c r="G11" s="29"/>
      <c r="H11" s="29"/>
      <c r="I11" s="29"/>
      <c r="J11" s="29"/>
      <c r="K11" s="29"/>
      <c r="L11" s="29"/>
      <c r="M11" s="29"/>
      <c r="N11" s="29"/>
      <c r="O11" s="29"/>
      <c r="P11" s="29"/>
      <c r="Q11" s="29"/>
      <c r="R11" s="29"/>
      <c r="S11" s="29"/>
      <c r="T11" s="29"/>
      <c r="U11" s="25"/>
      <c r="W11" s="180" t="s">
        <v>26</v>
      </c>
      <c r="X11" s="234">
        <v>2.8937999999999998E-2</v>
      </c>
    </row>
    <row r="12" spans="1:24" ht="15" customHeight="1" x14ac:dyDescent="0.25">
      <c r="B12" s="64"/>
      <c r="C12" s="187" t="s">
        <v>108</v>
      </c>
      <c r="D12" s="195" t="s">
        <v>109</v>
      </c>
      <c r="E12" s="196">
        <v>4.9294999999999999E-2</v>
      </c>
      <c r="F12" s="29"/>
      <c r="G12" s="29"/>
      <c r="H12" s="29"/>
      <c r="I12" s="29"/>
      <c r="J12" s="29"/>
      <c r="K12" s="29"/>
      <c r="L12" s="29"/>
      <c r="M12" s="29"/>
      <c r="N12" s="29"/>
      <c r="O12" s="29"/>
      <c r="P12" s="29"/>
      <c r="Q12" s="29"/>
      <c r="R12" s="29"/>
      <c r="S12" s="29"/>
      <c r="T12" s="29"/>
      <c r="U12" s="25"/>
      <c r="W12" s="180" t="s">
        <v>126</v>
      </c>
      <c r="X12" s="234">
        <v>2.6924999999999998E-2</v>
      </c>
    </row>
    <row r="13" spans="1:24" ht="15" customHeight="1" x14ac:dyDescent="0.25">
      <c r="B13" s="64"/>
      <c r="C13" s="187" t="s">
        <v>144</v>
      </c>
      <c r="D13" s="195" t="s">
        <v>123</v>
      </c>
      <c r="E13" s="196">
        <v>4.1222000000000002E-2</v>
      </c>
      <c r="F13" s="29"/>
      <c r="G13" s="29"/>
      <c r="H13" s="29"/>
      <c r="I13" s="29"/>
      <c r="J13" s="29"/>
      <c r="K13" s="29"/>
      <c r="L13" s="29"/>
      <c r="M13" s="29"/>
      <c r="N13" s="29"/>
      <c r="O13" s="29"/>
      <c r="P13" s="29"/>
      <c r="Q13" s="29"/>
      <c r="R13" s="29"/>
      <c r="S13" s="29"/>
      <c r="T13" s="29"/>
      <c r="U13" s="25"/>
      <c r="W13" s="61" t="s">
        <v>4</v>
      </c>
      <c r="X13" s="62">
        <v>1.9337E-2</v>
      </c>
    </row>
    <row r="14" spans="1:24" ht="15" customHeight="1" x14ac:dyDescent="0.25">
      <c r="B14" s="64"/>
      <c r="C14" s="187" t="s">
        <v>220</v>
      </c>
      <c r="D14" s="195" t="s">
        <v>111</v>
      </c>
      <c r="E14" s="196">
        <v>3.9612000000000001E-2</v>
      </c>
      <c r="F14" s="29"/>
      <c r="G14" s="29"/>
      <c r="H14" s="29"/>
      <c r="I14" s="29"/>
      <c r="J14" s="29"/>
      <c r="K14" s="29"/>
      <c r="L14" s="29"/>
      <c r="M14" s="29"/>
      <c r="N14" s="29"/>
      <c r="O14" s="29"/>
      <c r="P14" s="29"/>
      <c r="Q14" s="29"/>
      <c r="R14" s="29"/>
      <c r="S14" s="29"/>
      <c r="T14" s="29"/>
      <c r="U14" s="25"/>
      <c r="W14" s="61" t="s">
        <v>16</v>
      </c>
      <c r="X14" s="62">
        <v>1.3658E-2</v>
      </c>
    </row>
    <row r="15" spans="1:24" ht="15" customHeight="1" x14ac:dyDescent="0.25">
      <c r="B15" s="64"/>
      <c r="C15" s="187" t="s">
        <v>353</v>
      </c>
      <c r="D15" s="195" t="s">
        <v>111</v>
      </c>
      <c r="E15" s="196">
        <v>2.8784000000000001E-2</v>
      </c>
      <c r="F15" s="29"/>
      <c r="G15" s="29"/>
      <c r="H15" s="29"/>
      <c r="I15" s="29"/>
      <c r="J15" s="29"/>
      <c r="K15" s="29"/>
      <c r="L15" s="29"/>
      <c r="M15" s="29"/>
      <c r="N15" s="29"/>
      <c r="O15" s="29"/>
      <c r="P15" s="29"/>
      <c r="Q15" s="29"/>
      <c r="R15" s="29"/>
      <c r="S15" s="29"/>
      <c r="T15" s="29"/>
      <c r="U15" s="25"/>
      <c r="W15" s="61" t="s">
        <v>83</v>
      </c>
      <c r="X15" s="62">
        <v>1.3573999999999999E-2</v>
      </c>
    </row>
    <row r="16" spans="1:24" ht="15" customHeight="1" x14ac:dyDescent="0.25">
      <c r="B16" s="64"/>
      <c r="C16" s="187" t="s">
        <v>142</v>
      </c>
      <c r="D16" s="195" t="s">
        <v>111</v>
      </c>
      <c r="E16" s="196">
        <v>2.5302999999999999E-2</v>
      </c>
      <c r="F16" s="29"/>
      <c r="G16" s="29"/>
      <c r="H16" s="29"/>
      <c r="I16" s="29"/>
      <c r="J16" s="29"/>
      <c r="K16" s="29"/>
      <c r="L16" s="29"/>
      <c r="M16" s="29"/>
      <c r="N16" s="29"/>
      <c r="O16" s="29"/>
      <c r="P16" s="29"/>
      <c r="Q16" s="29"/>
      <c r="R16" s="29"/>
      <c r="S16" s="29"/>
      <c r="T16" s="29"/>
      <c r="U16" s="25"/>
      <c r="W16" s="61" t="s">
        <v>24</v>
      </c>
      <c r="X16" s="62">
        <v>1.0794E-2</v>
      </c>
    </row>
    <row r="17" spans="2:24" ht="15" customHeight="1" x14ac:dyDescent="0.25">
      <c r="B17" s="64"/>
      <c r="C17" s="187" t="s">
        <v>321</v>
      </c>
      <c r="D17" s="195" t="s">
        <v>109</v>
      </c>
      <c r="E17" s="196">
        <v>2.2103000000000001E-2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7" t="s">
        <v>297</v>
      </c>
      <c r="D18" s="195" t="s">
        <v>109</v>
      </c>
      <c r="E18" s="196">
        <v>2.1663999999999999E-2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7" t="s">
        <v>219</v>
      </c>
      <c r="D19" s="195" t="s">
        <v>26</v>
      </c>
      <c r="E19" s="196">
        <v>2.1004999999999999E-2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7" t="s">
        <v>378</v>
      </c>
      <c r="D20" s="195" t="s">
        <v>126</v>
      </c>
      <c r="E20" s="196">
        <v>2.0723999999999999E-2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7" t="s">
        <v>273</v>
      </c>
      <c r="D21" s="195" t="s">
        <v>4</v>
      </c>
      <c r="E21" s="196">
        <v>1.9337E-2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7" t="s">
        <v>379</v>
      </c>
      <c r="D22" s="195" t="s">
        <v>123</v>
      </c>
      <c r="E22" s="196">
        <v>1.8880999999999998E-2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0.67491500000000004</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ht="15" customHeight="1" x14ac:dyDescent="0.25">
      <c r="B40" s="298"/>
      <c r="C40" s="299"/>
      <c r="D40" s="299"/>
      <c r="E40" s="299"/>
      <c r="F40" s="299"/>
      <c r="G40" s="299"/>
      <c r="H40" s="299"/>
      <c r="I40" s="299"/>
      <c r="J40" s="299"/>
      <c r="K40" s="299"/>
      <c r="L40" s="299"/>
      <c r="M40" s="299"/>
      <c r="N40" s="299"/>
      <c r="O40" s="299"/>
      <c r="P40" s="299"/>
      <c r="Q40" s="299"/>
      <c r="R40" s="300"/>
      <c r="W40" s="61"/>
      <c r="X40" s="62"/>
    </row>
    <row r="41" spans="2:24" ht="15" customHeight="1" x14ac:dyDescent="0.25">
      <c r="B41" s="298"/>
      <c r="C41" s="299"/>
      <c r="D41" s="299"/>
      <c r="E41" s="299"/>
      <c r="F41" s="299"/>
      <c r="G41" s="299"/>
      <c r="H41" s="299"/>
      <c r="I41" s="299"/>
      <c r="J41" s="299"/>
      <c r="K41" s="299"/>
      <c r="L41" s="299"/>
      <c r="M41" s="299"/>
      <c r="N41" s="299"/>
      <c r="O41" s="299"/>
      <c r="P41" s="299"/>
      <c r="Q41" s="299"/>
      <c r="R41" s="300"/>
      <c r="W41" s="61"/>
      <c r="X41" s="62"/>
    </row>
    <row r="42" spans="2:24" ht="15" customHeight="1" x14ac:dyDescent="0.25">
      <c r="B42" s="298"/>
      <c r="C42" s="299"/>
      <c r="D42" s="299"/>
      <c r="E42" s="299"/>
      <c r="F42" s="299"/>
      <c r="G42" s="299"/>
      <c r="H42" s="299"/>
      <c r="I42" s="299"/>
      <c r="J42" s="299"/>
      <c r="K42" s="299"/>
      <c r="L42" s="299"/>
      <c r="M42" s="299"/>
      <c r="N42" s="299"/>
      <c r="O42" s="299"/>
      <c r="P42" s="299"/>
      <c r="Q42" s="299"/>
      <c r="R42" s="300"/>
      <c r="W42" s="61"/>
      <c r="X42" s="62"/>
    </row>
    <row r="43" spans="2:24" ht="15" customHeight="1" x14ac:dyDescent="0.25">
      <c r="B43" s="298"/>
      <c r="C43" s="299"/>
      <c r="D43" s="299"/>
      <c r="E43" s="299"/>
      <c r="F43" s="299"/>
      <c r="G43" s="299"/>
      <c r="H43" s="299"/>
      <c r="I43" s="299"/>
      <c r="J43" s="299"/>
      <c r="K43" s="299"/>
      <c r="L43" s="299"/>
      <c r="M43" s="299"/>
      <c r="N43" s="299"/>
      <c r="O43" s="299"/>
      <c r="P43" s="299"/>
      <c r="Q43" s="299"/>
      <c r="R43" s="300"/>
    </row>
    <row r="44" spans="2:24" ht="15" customHeight="1" x14ac:dyDescent="0.25">
      <c r="B44" s="298"/>
      <c r="C44" s="299"/>
      <c r="D44" s="299"/>
      <c r="E44" s="299"/>
      <c r="F44" s="299"/>
      <c r="G44" s="299"/>
      <c r="H44" s="299"/>
      <c r="I44" s="299"/>
      <c r="J44" s="299"/>
      <c r="K44" s="299"/>
      <c r="L44" s="299"/>
      <c r="M44" s="299"/>
      <c r="N44" s="299"/>
      <c r="O44" s="299"/>
      <c r="P44" s="299"/>
      <c r="Q44" s="299"/>
      <c r="R44" s="300"/>
    </row>
    <row r="45" spans="2:24" ht="27.75" customHeight="1" thickBot="1" x14ac:dyDescent="0.3">
      <c r="B45" s="301"/>
      <c r="C45" s="302"/>
      <c r="D45" s="302"/>
      <c r="E45" s="302"/>
      <c r="F45" s="302"/>
      <c r="G45" s="302"/>
      <c r="H45" s="302"/>
      <c r="I45" s="302"/>
      <c r="J45" s="302"/>
      <c r="K45" s="302"/>
      <c r="L45" s="302"/>
      <c r="M45" s="302"/>
      <c r="N45" s="302"/>
      <c r="O45" s="302"/>
      <c r="P45" s="302"/>
      <c r="Q45" s="302"/>
      <c r="R45" s="30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4" t="s">
        <v>182</v>
      </c>
      <c r="D3" s="305"/>
      <c r="E3" s="305"/>
      <c r="F3" s="305"/>
      <c r="G3" s="305"/>
      <c r="H3" s="305"/>
      <c r="I3" s="305"/>
      <c r="J3" s="305"/>
      <c r="K3" s="305"/>
      <c r="L3" s="305"/>
      <c r="M3" s="305"/>
      <c r="N3" s="305"/>
      <c r="O3" s="305"/>
      <c r="P3" s="305"/>
      <c r="Q3" s="305"/>
      <c r="R3" s="305"/>
      <c r="S3" s="305"/>
      <c r="T3" s="65"/>
      <c r="U3" s="66"/>
    </row>
    <row r="4" spans="1:24" ht="15.75" customHeight="1" x14ac:dyDescent="0.25">
      <c r="B4" s="64"/>
      <c r="C4" s="67" t="s">
        <v>387</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08" t="s">
        <v>399</v>
      </c>
      <c r="E5" s="308"/>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2" t="s">
        <v>29</v>
      </c>
      <c r="D8" s="193" t="s">
        <v>3</v>
      </c>
      <c r="E8" s="194">
        <v>0.16221099999999999</v>
      </c>
      <c r="F8" s="29"/>
      <c r="G8" s="29"/>
      <c r="H8" s="29"/>
      <c r="I8" s="29"/>
      <c r="J8" s="29"/>
      <c r="K8" s="29"/>
      <c r="L8" s="29"/>
      <c r="M8" s="29"/>
      <c r="N8" s="29"/>
      <c r="O8" s="29"/>
      <c r="P8" s="29"/>
      <c r="Q8" s="29"/>
      <c r="R8" s="29"/>
      <c r="S8" s="29"/>
      <c r="T8" s="29"/>
      <c r="U8" s="25"/>
      <c r="W8" s="180" t="s">
        <v>3</v>
      </c>
      <c r="X8" s="179">
        <v>0.47360599999999997</v>
      </c>
    </row>
    <row r="9" spans="1:24" ht="15.75" customHeight="1" x14ac:dyDescent="0.25">
      <c r="B9" s="64"/>
      <c r="C9" s="187" t="s">
        <v>32</v>
      </c>
      <c r="D9" s="195" t="s">
        <v>3</v>
      </c>
      <c r="E9" s="196">
        <v>0.148031</v>
      </c>
      <c r="F9" s="29"/>
      <c r="G9" s="29"/>
      <c r="H9" s="29"/>
      <c r="I9" s="29"/>
      <c r="J9" s="29"/>
      <c r="K9" s="29"/>
      <c r="L9" s="29"/>
      <c r="M9" s="29"/>
      <c r="N9" s="29"/>
      <c r="O9" s="29"/>
      <c r="P9" s="29"/>
      <c r="Q9" s="29"/>
      <c r="R9" s="29"/>
      <c r="S9" s="29"/>
      <c r="T9" s="29"/>
      <c r="U9" s="25"/>
      <c r="W9" s="180" t="s">
        <v>4</v>
      </c>
      <c r="X9" s="179">
        <v>0.24108399999999999</v>
      </c>
    </row>
    <row r="10" spans="1:24" ht="15.75" x14ac:dyDescent="0.25">
      <c r="B10" s="64"/>
      <c r="C10" s="187" t="s">
        <v>36</v>
      </c>
      <c r="D10" s="195" t="s">
        <v>3</v>
      </c>
      <c r="E10" s="196">
        <v>8.2693000000000003E-2</v>
      </c>
      <c r="F10" s="29"/>
      <c r="G10" s="29"/>
      <c r="H10" s="29"/>
      <c r="I10" s="29"/>
      <c r="J10" s="29"/>
      <c r="K10" s="29"/>
      <c r="L10" s="29"/>
      <c r="M10" s="29"/>
      <c r="N10" s="29"/>
      <c r="O10" s="29"/>
      <c r="P10" s="29"/>
      <c r="Q10" s="29"/>
      <c r="R10" s="29"/>
      <c r="S10" s="29"/>
      <c r="T10" s="29"/>
      <c r="U10" s="25"/>
      <c r="W10" s="180" t="s">
        <v>84</v>
      </c>
      <c r="X10" s="179">
        <v>8.6752999999999997E-2</v>
      </c>
    </row>
    <row r="11" spans="1:24" ht="15.75" customHeight="1" x14ac:dyDescent="0.25">
      <c r="B11" s="64"/>
      <c r="C11" s="187" t="s">
        <v>35</v>
      </c>
      <c r="D11" s="195" t="s">
        <v>3</v>
      </c>
      <c r="E11" s="196">
        <v>4.3552E-2</v>
      </c>
      <c r="F11" s="29"/>
      <c r="G11" s="29"/>
      <c r="H11" s="29"/>
      <c r="I11" s="29"/>
      <c r="J11" s="29"/>
      <c r="K11" s="29"/>
      <c r="L11" s="29"/>
      <c r="M11" s="29"/>
      <c r="N11" s="29"/>
      <c r="O11" s="29"/>
      <c r="P11" s="29"/>
      <c r="Q11" s="29"/>
      <c r="R11" s="29"/>
      <c r="S11" s="29"/>
      <c r="T11" s="29"/>
      <c r="U11" s="25"/>
      <c r="W11" s="180" t="s">
        <v>85</v>
      </c>
      <c r="X11" s="179">
        <v>7.3089000000000001E-2</v>
      </c>
    </row>
    <row r="12" spans="1:24" ht="15" customHeight="1" x14ac:dyDescent="0.25">
      <c r="B12" s="64"/>
      <c r="C12" s="187" t="s">
        <v>104</v>
      </c>
      <c r="D12" s="195" t="s">
        <v>4</v>
      </c>
      <c r="E12" s="196">
        <v>3.5400000000000001E-2</v>
      </c>
      <c r="F12" s="29"/>
      <c r="G12" s="29"/>
      <c r="H12" s="29"/>
      <c r="I12" s="29"/>
      <c r="J12" s="29"/>
      <c r="K12" s="29"/>
      <c r="L12" s="29"/>
      <c r="M12" s="29"/>
      <c r="N12" s="29"/>
      <c r="O12" s="29"/>
      <c r="P12" s="29"/>
      <c r="Q12" s="29"/>
      <c r="R12" s="29"/>
      <c r="S12" s="29"/>
      <c r="T12" s="29"/>
      <c r="U12" s="25"/>
      <c r="W12" s="180" t="s">
        <v>183</v>
      </c>
      <c r="X12" s="179">
        <v>5.0514000000000003E-2</v>
      </c>
    </row>
    <row r="13" spans="1:24" ht="15" customHeight="1" x14ac:dyDescent="0.25">
      <c r="B13" s="64"/>
      <c r="C13" s="187" t="s">
        <v>203</v>
      </c>
      <c r="D13" s="195" t="s">
        <v>4</v>
      </c>
      <c r="E13" s="196">
        <v>2.6505999999999998E-2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7" t="s">
        <v>80</v>
      </c>
      <c r="D14" s="195" t="s">
        <v>4</v>
      </c>
      <c r="E14" s="196">
        <v>2.4299999999999999E-2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7" t="s">
        <v>233</v>
      </c>
      <c r="D15" s="195" t="s">
        <v>4</v>
      </c>
      <c r="E15" s="196">
        <v>2.4032999999999999E-2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7" t="s">
        <v>221</v>
      </c>
      <c r="D16" s="195" t="s">
        <v>183</v>
      </c>
      <c r="E16" s="196">
        <v>2.2206E-2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7" t="s">
        <v>298</v>
      </c>
      <c r="D17" s="195" t="s">
        <v>4</v>
      </c>
      <c r="E17" s="196">
        <v>1.9515000000000001E-2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7" t="s">
        <v>278</v>
      </c>
      <c r="D18" s="195" t="s">
        <v>183</v>
      </c>
      <c r="E18" s="196">
        <v>1.8551000000000002E-2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7" t="s">
        <v>134</v>
      </c>
      <c r="D19" s="195" t="s">
        <v>3</v>
      </c>
      <c r="E19" s="196">
        <v>1.8214999999999999E-2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7" t="s">
        <v>242</v>
      </c>
      <c r="D20" s="195" t="s">
        <v>84</v>
      </c>
      <c r="E20" s="196">
        <v>1.7951000000000002E-2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7" t="s">
        <v>254</v>
      </c>
      <c r="D21" s="195" t="s">
        <v>84</v>
      </c>
      <c r="E21" s="196">
        <v>1.6386000000000001E-2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7" t="s">
        <v>380</v>
      </c>
      <c r="D22" s="195" t="s">
        <v>85</v>
      </c>
      <c r="E22" s="196">
        <v>1.5948E-2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0.67549799999999982</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ht="15" customHeight="1" x14ac:dyDescent="0.25">
      <c r="B40" s="298"/>
      <c r="C40" s="299"/>
      <c r="D40" s="299"/>
      <c r="E40" s="299"/>
      <c r="F40" s="299"/>
      <c r="G40" s="299"/>
      <c r="H40" s="299"/>
      <c r="I40" s="299"/>
      <c r="J40" s="299"/>
      <c r="K40" s="299"/>
      <c r="L40" s="299"/>
      <c r="M40" s="299"/>
      <c r="N40" s="299"/>
      <c r="O40" s="299"/>
      <c r="P40" s="299"/>
      <c r="Q40" s="299"/>
      <c r="R40" s="300"/>
      <c r="W40" s="61"/>
      <c r="X40" s="62"/>
    </row>
    <row r="41" spans="2:24" ht="15" customHeight="1" x14ac:dyDescent="0.25">
      <c r="B41" s="298"/>
      <c r="C41" s="299"/>
      <c r="D41" s="299"/>
      <c r="E41" s="299"/>
      <c r="F41" s="299"/>
      <c r="G41" s="299"/>
      <c r="H41" s="299"/>
      <c r="I41" s="299"/>
      <c r="J41" s="299"/>
      <c r="K41" s="299"/>
      <c r="L41" s="299"/>
      <c r="M41" s="299"/>
      <c r="N41" s="299"/>
      <c r="O41" s="299"/>
      <c r="P41" s="299"/>
      <c r="Q41" s="299"/>
      <c r="R41" s="300"/>
      <c r="W41" s="61"/>
      <c r="X41" s="62"/>
    </row>
    <row r="42" spans="2:24" ht="15" customHeight="1" x14ac:dyDescent="0.25">
      <c r="B42" s="298"/>
      <c r="C42" s="299"/>
      <c r="D42" s="299"/>
      <c r="E42" s="299"/>
      <c r="F42" s="299"/>
      <c r="G42" s="299"/>
      <c r="H42" s="299"/>
      <c r="I42" s="299"/>
      <c r="J42" s="299"/>
      <c r="K42" s="299"/>
      <c r="L42" s="299"/>
      <c r="M42" s="299"/>
      <c r="N42" s="299"/>
      <c r="O42" s="299"/>
      <c r="P42" s="299"/>
      <c r="Q42" s="299"/>
      <c r="R42" s="300"/>
      <c r="W42" s="61"/>
      <c r="X42" s="62"/>
    </row>
    <row r="43" spans="2:24" ht="15" customHeight="1" x14ac:dyDescent="0.25">
      <c r="B43" s="298"/>
      <c r="C43" s="299"/>
      <c r="D43" s="299"/>
      <c r="E43" s="299"/>
      <c r="F43" s="299"/>
      <c r="G43" s="299"/>
      <c r="H43" s="299"/>
      <c r="I43" s="299"/>
      <c r="J43" s="299"/>
      <c r="K43" s="299"/>
      <c r="L43" s="299"/>
      <c r="M43" s="299"/>
      <c r="N43" s="299"/>
      <c r="O43" s="299"/>
      <c r="P43" s="299"/>
      <c r="Q43" s="299"/>
      <c r="R43" s="300"/>
    </row>
    <row r="44" spans="2:24" ht="15" customHeight="1" x14ac:dyDescent="0.25">
      <c r="B44" s="298"/>
      <c r="C44" s="299"/>
      <c r="D44" s="299"/>
      <c r="E44" s="299"/>
      <c r="F44" s="299"/>
      <c r="G44" s="299"/>
      <c r="H44" s="299"/>
      <c r="I44" s="299"/>
      <c r="J44" s="299"/>
      <c r="K44" s="299"/>
      <c r="L44" s="299"/>
      <c r="M44" s="299"/>
      <c r="N44" s="299"/>
      <c r="O44" s="299"/>
      <c r="P44" s="299"/>
      <c r="Q44" s="299"/>
      <c r="R44" s="300"/>
    </row>
    <row r="45" spans="2:24" ht="27.75" customHeight="1" thickBot="1" x14ac:dyDescent="0.3">
      <c r="B45" s="301"/>
      <c r="C45" s="302"/>
      <c r="D45" s="302"/>
      <c r="E45" s="302"/>
      <c r="F45" s="302"/>
      <c r="G45" s="302"/>
      <c r="H45" s="302"/>
      <c r="I45" s="302"/>
      <c r="J45" s="302"/>
      <c r="K45" s="302"/>
      <c r="L45" s="302"/>
      <c r="M45" s="302"/>
      <c r="N45" s="302"/>
      <c r="O45" s="302"/>
      <c r="P45" s="302"/>
      <c r="Q45" s="302"/>
      <c r="R45" s="30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245</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400</v>
      </c>
      <c r="E5" s="306"/>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219</v>
      </c>
      <c r="D8" s="195" t="s">
        <v>26</v>
      </c>
      <c r="E8" s="203">
        <v>3.4890999999999998E-2</v>
      </c>
      <c r="F8" s="29">
        <v>1</v>
      </c>
      <c r="G8" s="29"/>
      <c r="H8" s="29"/>
      <c r="I8" s="29"/>
      <c r="J8" s="29"/>
      <c r="K8" s="29"/>
      <c r="L8" s="29"/>
      <c r="M8" s="29"/>
      <c r="N8" s="29"/>
      <c r="O8" s="29"/>
      <c r="P8" s="29"/>
      <c r="Q8" s="29"/>
      <c r="R8" s="29"/>
      <c r="S8" s="29"/>
      <c r="T8" s="22"/>
      <c r="W8" s="180" t="s">
        <v>110</v>
      </c>
      <c r="X8" s="234">
        <v>0.11288399999999998</v>
      </c>
    </row>
    <row r="9" spans="1:24" ht="15.75" customHeight="1" x14ac:dyDescent="0.25">
      <c r="B9" s="79"/>
      <c r="C9" s="187" t="s">
        <v>250</v>
      </c>
      <c r="D9" s="195" t="s">
        <v>110</v>
      </c>
      <c r="E9" s="203">
        <v>3.4729000000000003E-2</v>
      </c>
      <c r="F9" s="29">
        <v>2</v>
      </c>
      <c r="G9" s="29"/>
      <c r="H9" s="29"/>
      <c r="I9" s="29"/>
      <c r="J9" s="29"/>
      <c r="K9" s="29"/>
      <c r="L9" s="29"/>
      <c r="M9" s="29"/>
      <c r="N9" s="29"/>
      <c r="O9" s="29"/>
      <c r="P9" s="29"/>
      <c r="Q9" s="29"/>
      <c r="R9" s="29"/>
      <c r="S9" s="29"/>
      <c r="T9" s="22"/>
      <c r="W9" s="180" t="s">
        <v>26</v>
      </c>
      <c r="X9" s="234">
        <v>8.7229000000000001E-2</v>
      </c>
    </row>
    <row r="10" spans="1:24" ht="15" customHeight="1" x14ac:dyDescent="0.25">
      <c r="B10" s="79"/>
      <c r="C10" s="187" t="s">
        <v>278</v>
      </c>
      <c r="D10" s="195" t="s">
        <v>183</v>
      </c>
      <c r="E10" s="203">
        <v>3.3432999999999997E-2</v>
      </c>
      <c r="F10" s="29">
        <v>3</v>
      </c>
      <c r="G10" s="29"/>
      <c r="H10" s="29"/>
      <c r="I10" s="29"/>
      <c r="J10" s="29"/>
      <c r="K10" s="29"/>
      <c r="L10" s="29"/>
      <c r="M10" s="29"/>
      <c r="N10" s="29"/>
      <c r="O10" s="29"/>
      <c r="P10" s="29"/>
      <c r="Q10" s="29"/>
      <c r="R10" s="29"/>
      <c r="S10" s="29"/>
      <c r="T10" s="22"/>
      <c r="W10" s="180" t="s">
        <v>76</v>
      </c>
      <c r="X10" s="234">
        <v>6.1992999999999993E-2</v>
      </c>
    </row>
    <row r="11" spans="1:24" ht="15" customHeight="1" x14ac:dyDescent="0.25">
      <c r="B11" s="79"/>
      <c r="C11" s="187" t="s">
        <v>80</v>
      </c>
      <c r="D11" s="195" t="s">
        <v>4</v>
      </c>
      <c r="E11" s="203">
        <v>3.0549E-2</v>
      </c>
      <c r="F11" s="29">
        <v>4</v>
      </c>
      <c r="G11" s="29"/>
      <c r="H11" s="29"/>
      <c r="I11" s="29"/>
      <c r="J11" s="29"/>
      <c r="K11" s="29"/>
      <c r="L11" s="29"/>
      <c r="M11" s="29"/>
      <c r="N11" s="29"/>
      <c r="O11" s="29"/>
      <c r="P11" s="29"/>
      <c r="Q11" s="29"/>
      <c r="R11" s="29"/>
      <c r="S11" s="29"/>
      <c r="T11" s="22"/>
      <c r="W11" s="180" t="s">
        <v>4</v>
      </c>
      <c r="X11" s="234">
        <v>5.9010999999999994E-2</v>
      </c>
    </row>
    <row r="12" spans="1:24" ht="15" customHeight="1" x14ac:dyDescent="0.25">
      <c r="B12" s="79"/>
      <c r="C12" s="187" t="s">
        <v>70</v>
      </c>
      <c r="D12" s="195" t="s">
        <v>12</v>
      </c>
      <c r="E12" s="203">
        <v>2.9184000000000002E-2</v>
      </c>
      <c r="F12" s="29">
        <v>5</v>
      </c>
      <c r="G12" s="29"/>
      <c r="H12" s="29"/>
      <c r="I12" s="29"/>
      <c r="J12" s="29"/>
      <c r="K12" s="29"/>
      <c r="L12" s="29"/>
      <c r="M12" s="29"/>
      <c r="N12" s="29"/>
      <c r="O12" s="29"/>
      <c r="P12" s="29"/>
      <c r="Q12" s="29"/>
      <c r="R12" s="29"/>
      <c r="S12" s="29"/>
      <c r="T12" s="22"/>
      <c r="W12" s="180" t="s">
        <v>106</v>
      </c>
      <c r="X12" s="234">
        <v>5.8417999999999998E-2</v>
      </c>
    </row>
    <row r="13" spans="1:24" ht="15" customHeight="1" x14ac:dyDescent="0.25">
      <c r="B13" s="79"/>
      <c r="C13" s="187" t="s">
        <v>119</v>
      </c>
      <c r="D13" s="195" t="s">
        <v>111</v>
      </c>
      <c r="E13" s="203">
        <v>2.8014000000000001E-2</v>
      </c>
      <c r="F13" s="29">
        <v>6</v>
      </c>
      <c r="G13" s="29"/>
      <c r="H13" s="29"/>
      <c r="I13" s="29"/>
      <c r="J13" s="29"/>
      <c r="K13" s="29"/>
      <c r="L13" s="29"/>
      <c r="M13" s="29"/>
      <c r="N13" s="29"/>
      <c r="O13" s="29"/>
      <c r="P13" s="29"/>
      <c r="Q13" s="29"/>
      <c r="R13" s="29"/>
      <c r="S13" s="29"/>
      <c r="T13" s="22"/>
      <c r="W13" s="180" t="s">
        <v>16</v>
      </c>
      <c r="X13" s="234">
        <v>5.7692999999999994E-2</v>
      </c>
    </row>
    <row r="14" spans="1:24" ht="15" customHeight="1" x14ac:dyDescent="0.25">
      <c r="B14" s="79"/>
      <c r="C14" s="187" t="s">
        <v>191</v>
      </c>
      <c r="D14" s="195" t="s">
        <v>106</v>
      </c>
      <c r="E14" s="203">
        <v>2.7422999999999999E-2</v>
      </c>
      <c r="F14" s="29">
        <v>7</v>
      </c>
      <c r="G14" s="29"/>
      <c r="H14" s="29"/>
      <c r="I14" s="29"/>
      <c r="J14" s="29"/>
      <c r="K14" s="29"/>
      <c r="L14" s="29"/>
      <c r="M14" s="29"/>
      <c r="N14" s="29"/>
      <c r="O14" s="29"/>
      <c r="P14" s="29"/>
      <c r="Q14" s="29"/>
      <c r="R14" s="29"/>
      <c r="S14" s="29"/>
      <c r="T14" s="22"/>
      <c r="W14" s="180" t="s">
        <v>113</v>
      </c>
      <c r="X14" s="234">
        <v>5.2012000000000003E-2</v>
      </c>
    </row>
    <row r="15" spans="1:24" ht="15" customHeight="1" x14ac:dyDescent="0.25">
      <c r="B15" s="79"/>
      <c r="C15" s="187" t="s">
        <v>194</v>
      </c>
      <c r="D15" s="195" t="s">
        <v>105</v>
      </c>
      <c r="E15" s="203">
        <v>2.6816E-2</v>
      </c>
      <c r="F15" s="29">
        <v>8</v>
      </c>
      <c r="G15" s="29"/>
      <c r="H15" s="29"/>
      <c r="I15" s="29"/>
      <c r="J15" s="29"/>
      <c r="K15" s="29"/>
      <c r="L15" s="29"/>
      <c r="M15" s="29"/>
      <c r="N15" s="29"/>
      <c r="O15" s="29"/>
      <c r="P15" s="29"/>
      <c r="Q15" s="29"/>
      <c r="R15" s="29"/>
      <c r="S15" s="29"/>
      <c r="T15" s="22"/>
      <c r="W15" s="180" t="s">
        <v>105</v>
      </c>
      <c r="X15" s="234">
        <v>4.3566000000000001E-2</v>
      </c>
    </row>
    <row r="16" spans="1:24" ht="15" customHeight="1" x14ac:dyDescent="0.25">
      <c r="B16" s="79"/>
      <c r="C16" s="187" t="s">
        <v>32</v>
      </c>
      <c r="D16" s="195" t="s">
        <v>3</v>
      </c>
      <c r="E16" s="203">
        <v>2.6187999999999999E-2</v>
      </c>
      <c r="F16" s="29">
        <v>9</v>
      </c>
      <c r="G16" s="29"/>
      <c r="H16" s="29"/>
      <c r="I16" s="29"/>
      <c r="J16" s="29"/>
      <c r="K16" s="29"/>
      <c r="L16" s="29"/>
      <c r="M16" s="29"/>
      <c r="N16" s="29"/>
      <c r="O16" s="29"/>
      <c r="P16" s="29"/>
      <c r="Q16" s="29"/>
      <c r="R16" s="29"/>
      <c r="S16" s="29"/>
      <c r="T16" s="22"/>
      <c r="W16" s="180" t="s">
        <v>111</v>
      </c>
      <c r="X16" s="234">
        <v>3.7969000000000003E-2</v>
      </c>
    </row>
    <row r="17" spans="2:24" ht="15" customHeight="1" x14ac:dyDescent="0.25">
      <c r="B17" s="79"/>
      <c r="C17" s="187" t="s">
        <v>104</v>
      </c>
      <c r="D17" s="195" t="s">
        <v>4</v>
      </c>
      <c r="E17" s="203">
        <v>2.4357E-2</v>
      </c>
      <c r="F17" s="29">
        <v>10</v>
      </c>
      <c r="G17" s="29"/>
      <c r="H17" s="29"/>
      <c r="I17" s="29"/>
      <c r="J17" s="29"/>
      <c r="K17" s="29"/>
      <c r="L17" s="29"/>
      <c r="M17" s="29"/>
      <c r="N17" s="29"/>
      <c r="O17" s="29"/>
      <c r="P17" s="29"/>
      <c r="Q17" s="29"/>
      <c r="R17" s="29"/>
      <c r="S17" s="29"/>
      <c r="T17" s="22"/>
      <c r="W17" s="180" t="s">
        <v>183</v>
      </c>
      <c r="X17" s="234">
        <v>3.3432999999999997E-2</v>
      </c>
    </row>
    <row r="18" spans="2:24" ht="15" customHeight="1" x14ac:dyDescent="0.25">
      <c r="B18" s="79"/>
      <c r="C18" s="187" t="s">
        <v>299</v>
      </c>
      <c r="D18" s="195" t="s">
        <v>115</v>
      </c>
      <c r="E18" s="203">
        <v>2.2258E-2</v>
      </c>
      <c r="F18" s="29">
        <v>11</v>
      </c>
      <c r="G18" s="29"/>
      <c r="H18" s="29"/>
      <c r="I18" s="29"/>
      <c r="J18" s="29"/>
      <c r="K18" s="29"/>
      <c r="L18" s="29"/>
      <c r="M18" s="29"/>
      <c r="N18" s="29"/>
      <c r="O18" s="29"/>
      <c r="P18" s="29"/>
      <c r="Q18" s="29"/>
      <c r="R18" s="29"/>
      <c r="S18" s="29"/>
      <c r="T18" s="22"/>
      <c r="W18" s="180" t="s">
        <v>123</v>
      </c>
      <c r="X18" s="234">
        <v>3.0225000000000002E-2</v>
      </c>
    </row>
    <row r="19" spans="2:24" ht="15" customHeight="1" x14ac:dyDescent="0.25">
      <c r="B19" s="79"/>
      <c r="C19" s="187" t="s">
        <v>251</v>
      </c>
      <c r="D19" s="195" t="s">
        <v>76</v>
      </c>
      <c r="E19" s="203">
        <v>2.1648000000000001E-2</v>
      </c>
      <c r="F19" s="29">
        <v>12</v>
      </c>
      <c r="G19" s="29"/>
      <c r="H19" s="29"/>
      <c r="I19" s="29"/>
      <c r="J19" s="29"/>
      <c r="K19" s="29"/>
      <c r="L19" s="29"/>
      <c r="M19" s="29"/>
      <c r="N19" s="29"/>
      <c r="O19" s="29"/>
      <c r="P19" s="29"/>
      <c r="Q19" s="29"/>
      <c r="R19" s="29"/>
      <c r="S19" s="29"/>
      <c r="T19" s="22"/>
      <c r="W19" s="180" t="s">
        <v>12</v>
      </c>
      <c r="X19" s="234">
        <v>2.9184000000000002E-2</v>
      </c>
    </row>
    <row r="20" spans="2:24" ht="15" customHeight="1" x14ac:dyDescent="0.25">
      <c r="B20" s="79"/>
      <c r="C20" s="187" t="s">
        <v>230</v>
      </c>
      <c r="D20" s="195" t="s">
        <v>26</v>
      </c>
      <c r="E20" s="203">
        <v>2.0881E-2</v>
      </c>
      <c r="F20" s="29">
        <v>13</v>
      </c>
      <c r="G20" s="29"/>
      <c r="H20" s="29"/>
      <c r="I20" s="29"/>
      <c r="J20" s="29"/>
      <c r="K20" s="29"/>
      <c r="L20" s="29"/>
      <c r="M20" s="29"/>
      <c r="N20" s="29"/>
      <c r="O20" s="29"/>
      <c r="P20" s="29"/>
      <c r="Q20" s="29"/>
      <c r="R20" s="29"/>
      <c r="S20" s="29"/>
      <c r="T20" s="22"/>
      <c r="W20" s="180" t="s">
        <v>24</v>
      </c>
      <c r="X20" s="234">
        <v>2.8336E-2</v>
      </c>
    </row>
    <row r="21" spans="2:24" ht="15" customHeight="1" x14ac:dyDescent="0.25">
      <c r="B21" s="79"/>
      <c r="C21" s="187" t="s">
        <v>255</v>
      </c>
      <c r="D21" s="195" t="s">
        <v>76</v>
      </c>
      <c r="E21" s="203">
        <v>2.0573999999999999E-2</v>
      </c>
      <c r="F21" s="29">
        <v>14</v>
      </c>
      <c r="G21" s="29"/>
      <c r="H21" s="29"/>
      <c r="I21" s="29"/>
      <c r="J21" s="29"/>
      <c r="K21" s="29"/>
      <c r="L21" s="29"/>
      <c r="M21" s="29"/>
      <c r="N21" s="29"/>
      <c r="O21" s="29"/>
      <c r="P21" s="29"/>
      <c r="Q21" s="29"/>
      <c r="R21" s="29"/>
      <c r="S21" s="29"/>
      <c r="T21" s="22"/>
      <c r="W21" s="180" t="s">
        <v>115</v>
      </c>
      <c r="X21" s="234">
        <v>2.7619000000000001E-2</v>
      </c>
    </row>
    <row r="22" spans="2:24" ht="15" customHeight="1" x14ac:dyDescent="0.25">
      <c r="B22" s="79"/>
      <c r="C22" s="187" t="s">
        <v>348</v>
      </c>
      <c r="D22" s="195" t="s">
        <v>16</v>
      </c>
      <c r="E22" s="203">
        <v>1.9487000000000001E-2</v>
      </c>
      <c r="F22" s="29">
        <v>15</v>
      </c>
      <c r="G22" s="29"/>
      <c r="H22" s="29"/>
      <c r="I22" s="29"/>
      <c r="J22" s="29"/>
      <c r="K22" s="29"/>
      <c r="L22" s="29"/>
      <c r="M22" s="29"/>
      <c r="N22" s="29"/>
      <c r="O22" s="29"/>
      <c r="P22" s="29"/>
      <c r="Q22" s="29"/>
      <c r="R22" s="29"/>
      <c r="S22" s="29"/>
      <c r="T22" s="22"/>
      <c r="W22" s="180" t="s">
        <v>3</v>
      </c>
      <c r="X22" s="234">
        <v>2.6187999999999999E-2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136</v>
      </c>
      <c r="X23" s="234">
        <v>2.4941999999999999E-2</v>
      </c>
    </row>
    <row r="24" spans="2:24" ht="15" customHeight="1" x14ac:dyDescent="0.25">
      <c r="B24" s="79"/>
      <c r="C24" s="73" t="s">
        <v>55</v>
      </c>
      <c r="D24" s="74"/>
      <c r="E24" s="75">
        <f>SUM(E8:E22)</f>
        <v>0.40043199999999995</v>
      </c>
      <c r="F24" s="29"/>
      <c r="G24" s="29"/>
      <c r="H24" s="29"/>
      <c r="I24" s="29"/>
      <c r="J24" s="29"/>
      <c r="K24" s="29"/>
      <c r="L24" s="29"/>
      <c r="M24" s="29"/>
      <c r="N24" s="29"/>
      <c r="O24" s="29"/>
      <c r="P24" s="29"/>
      <c r="Q24" s="29"/>
      <c r="R24" s="29"/>
      <c r="S24" s="29"/>
      <c r="T24" s="22"/>
      <c r="W24" s="180" t="s">
        <v>118</v>
      </c>
      <c r="X24" s="234">
        <v>1.9252999999999999E-2</v>
      </c>
    </row>
    <row r="25" spans="2:24" ht="15" customHeight="1" x14ac:dyDescent="0.25">
      <c r="B25" s="79"/>
      <c r="F25" s="29"/>
      <c r="G25" s="29"/>
      <c r="H25" s="29"/>
      <c r="I25" s="29"/>
      <c r="J25" s="29"/>
      <c r="K25" s="29"/>
      <c r="L25" s="29"/>
      <c r="M25" s="29"/>
      <c r="N25" s="29"/>
      <c r="O25" s="29"/>
      <c r="P25" s="29"/>
      <c r="Q25" s="29"/>
      <c r="R25" s="29"/>
      <c r="S25" s="29"/>
      <c r="T25" s="22"/>
      <c r="W25" s="180" t="s">
        <v>86</v>
      </c>
      <c r="X25" s="234">
        <v>1.7079999999999998E-2</v>
      </c>
    </row>
    <row r="26" spans="2:24" ht="15" customHeight="1" x14ac:dyDescent="0.25">
      <c r="B26" s="79"/>
      <c r="F26" s="29"/>
      <c r="G26" s="29"/>
      <c r="H26" s="29"/>
      <c r="I26" s="29"/>
      <c r="J26" s="29"/>
      <c r="K26" s="29"/>
      <c r="L26" s="29"/>
      <c r="M26" s="29"/>
      <c r="N26" s="29"/>
      <c r="O26" s="29"/>
      <c r="P26" s="29"/>
      <c r="Q26" s="29"/>
      <c r="R26" s="29"/>
      <c r="S26" s="29"/>
      <c r="T26" s="22"/>
      <c r="W26" s="180" t="s">
        <v>82</v>
      </c>
      <c r="X26" s="234">
        <v>1.6572999999999997E-2</v>
      </c>
    </row>
    <row r="27" spans="2:24" ht="15" customHeight="1" x14ac:dyDescent="0.25">
      <c r="B27" s="79"/>
      <c r="F27" s="29"/>
      <c r="G27" s="29"/>
      <c r="H27" s="29"/>
      <c r="I27" s="29"/>
      <c r="J27" s="29"/>
      <c r="K27" s="29"/>
      <c r="L27" s="29"/>
      <c r="M27" s="29"/>
      <c r="N27" s="29"/>
      <c r="O27" s="29"/>
      <c r="P27" s="29"/>
      <c r="Q27" s="29"/>
      <c r="R27" s="29"/>
      <c r="S27" s="29"/>
      <c r="T27" s="22"/>
      <c r="W27" s="180" t="s">
        <v>85</v>
      </c>
      <c r="X27" s="234">
        <v>1.5261E-2</v>
      </c>
    </row>
    <row r="28" spans="2:24" ht="15" customHeight="1" x14ac:dyDescent="0.25">
      <c r="B28" s="79"/>
      <c r="F28" s="29"/>
      <c r="G28" s="29"/>
      <c r="H28" s="29"/>
      <c r="I28" s="29"/>
      <c r="J28" s="29"/>
      <c r="K28" s="29"/>
      <c r="L28" s="29"/>
      <c r="M28" s="29"/>
      <c r="N28" s="29"/>
      <c r="O28" s="29"/>
      <c r="P28" s="29"/>
      <c r="Q28" s="29"/>
      <c r="R28" s="29"/>
      <c r="S28" s="29"/>
      <c r="T28" s="22"/>
      <c r="W28" s="180" t="s">
        <v>84</v>
      </c>
      <c r="X28" s="234">
        <v>1.1589E-2</v>
      </c>
    </row>
    <row r="29" spans="2:24" ht="15" customHeight="1" x14ac:dyDescent="0.25">
      <c r="B29" s="79"/>
      <c r="F29" s="29"/>
      <c r="G29" s="29"/>
      <c r="H29" s="29"/>
      <c r="I29" s="29"/>
      <c r="J29" s="29"/>
      <c r="K29" s="29"/>
      <c r="L29" s="29"/>
      <c r="M29" s="29"/>
      <c r="N29" s="29"/>
      <c r="O29" s="29"/>
      <c r="P29" s="29"/>
      <c r="Q29" s="29"/>
      <c r="R29" s="29"/>
      <c r="S29" s="29"/>
      <c r="T29" s="22"/>
      <c r="W29" s="180" t="s">
        <v>122</v>
      </c>
      <c r="X29" s="234">
        <v>1.154E-2</v>
      </c>
    </row>
    <row r="30" spans="2:24" ht="15" customHeight="1" x14ac:dyDescent="0.25">
      <c r="B30" s="79"/>
      <c r="F30" s="29"/>
      <c r="G30" s="29"/>
      <c r="H30" s="29"/>
      <c r="I30" s="29"/>
      <c r="J30" s="29"/>
      <c r="K30" s="29"/>
      <c r="L30" s="29"/>
      <c r="M30" s="29"/>
      <c r="N30" s="29"/>
      <c r="O30" s="29"/>
      <c r="P30" s="29"/>
      <c r="Q30" s="29"/>
      <c r="R30" s="29"/>
      <c r="S30" s="29"/>
      <c r="T30" s="22"/>
      <c r="W30" s="180" t="s">
        <v>83</v>
      </c>
      <c r="X30" s="234">
        <v>1.1394E-2</v>
      </c>
    </row>
    <row r="31" spans="2:24" ht="15" customHeight="1" x14ac:dyDescent="0.25">
      <c r="B31" s="79"/>
      <c r="F31" s="29"/>
      <c r="G31" s="29"/>
      <c r="H31" s="29"/>
      <c r="I31" s="29"/>
      <c r="J31" s="29"/>
      <c r="K31" s="29"/>
      <c r="L31" s="29"/>
      <c r="M31" s="29"/>
      <c r="N31" s="29"/>
      <c r="O31" s="29"/>
      <c r="P31" s="29"/>
      <c r="Q31" s="29"/>
      <c r="R31" s="29"/>
      <c r="S31" s="29"/>
      <c r="T31" s="22"/>
      <c r="W31" s="180" t="s">
        <v>124</v>
      </c>
      <c r="X31" s="234">
        <v>1.0586E-2</v>
      </c>
    </row>
    <row r="32" spans="2:24" ht="15.75" customHeight="1" x14ac:dyDescent="0.25">
      <c r="B32" s="79"/>
      <c r="F32" s="29"/>
      <c r="G32" s="29"/>
      <c r="H32" s="29"/>
      <c r="I32" s="29"/>
      <c r="J32" s="29"/>
      <c r="K32" s="29"/>
      <c r="L32" s="29"/>
      <c r="M32" s="29"/>
      <c r="N32" s="29"/>
      <c r="O32" s="29"/>
      <c r="P32" s="29"/>
      <c r="Q32" s="29"/>
      <c r="R32" s="29"/>
      <c r="S32" s="29"/>
      <c r="T32" s="22"/>
      <c r="W32" s="180" t="s">
        <v>112</v>
      </c>
      <c r="X32" s="234">
        <v>1.0215E-2</v>
      </c>
    </row>
    <row r="33" spans="2:24" ht="15" customHeight="1" x14ac:dyDescent="0.25">
      <c r="B33" s="79"/>
      <c r="F33" s="29"/>
      <c r="G33" s="29"/>
      <c r="H33" s="29"/>
      <c r="I33" s="29"/>
      <c r="J33" s="29"/>
      <c r="K33" s="29"/>
      <c r="L33" s="29"/>
      <c r="M33" s="29"/>
      <c r="N33" s="29"/>
      <c r="O33" s="29"/>
      <c r="P33" s="29"/>
      <c r="Q33" s="29"/>
      <c r="R33" s="29"/>
      <c r="S33" s="29"/>
      <c r="T33" s="22"/>
      <c r="W33" s="180" t="s">
        <v>109</v>
      </c>
      <c r="X33" s="234">
        <v>9.8649999999999988E-3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10</v>
      </c>
      <c r="X34" s="234">
        <v>9.6670000000000002E-3</v>
      </c>
    </row>
    <row r="35" spans="2:24" ht="15" customHeight="1" thickBot="1" x14ac:dyDescent="0.3">
      <c r="W35" s="180" t="s">
        <v>94</v>
      </c>
      <c r="X35" s="234">
        <v>9.2270000000000008E-3</v>
      </c>
    </row>
    <row r="36" spans="2:24" ht="15" customHeight="1" x14ac:dyDescent="0.25">
      <c r="B36" s="295" t="s">
        <v>181</v>
      </c>
      <c r="C36" s="296"/>
      <c r="D36" s="296"/>
      <c r="E36" s="296"/>
      <c r="F36" s="296"/>
      <c r="G36" s="296"/>
      <c r="H36" s="296"/>
      <c r="I36" s="296"/>
      <c r="J36" s="296"/>
      <c r="K36" s="296"/>
      <c r="L36" s="296"/>
      <c r="M36" s="296"/>
      <c r="N36" s="296"/>
      <c r="O36" s="296"/>
      <c r="P36" s="296"/>
      <c r="Q36" s="296"/>
      <c r="R36" s="297"/>
      <c r="W36" s="180" t="s">
        <v>132</v>
      </c>
      <c r="X36" s="234">
        <v>8.9940000000000003E-3</v>
      </c>
    </row>
    <row r="37" spans="2:24" ht="15" customHeight="1" x14ac:dyDescent="0.25">
      <c r="B37" s="298"/>
      <c r="C37" s="299"/>
      <c r="D37" s="299"/>
      <c r="E37" s="299"/>
      <c r="F37" s="299"/>
      <c r="G37" s="299"/>
      <c r="H37" s="299"/>
      <c r="I37" s="299"/>
      <c r="J37" s="299"/>
      <c r="K37" s="299"/>
      <c r="L37" s="299"/>
      <c r="M37" s="299"/>
      <c r="N37" s="299"/>
      <c r="O37" s="299"/>
      <c r="P37" s="299"/>
      <c r="Q37" s="299"/>
      <c r="R37" s="300"/>
      <c r="W37" s="180" t="s">
        <v>232</v>
      </c>
      <c r="X37" s="234">
        <v>8.9210000000000001E-3</v>
      </c>
    </row>
    <row r="38" spans="2:24" ht="15" customHeight="1" x14ac:dyDescent="0.25">
      <c r="B38" s="298"/>
      <c r="C38" s="299"/>
      <c r="D38" s="299"/>
      <c r="E38" s="299"/>
      <c r="F38" s="299"/>
      <c r="G38" s="299"/>
      <c r="H38" s="299"/>
      <c r="I38" s="299"/>
      <c r="J38" s="299"/>
      <c r="K38" s="299"/>
      <c r="L38" s="299"/>
      <c r="M38" s="299"/>
      <c r="N38" s="299"/>
      <c r="O38" s="299"/>
      <c r="P38" s="299"/>
      <c r="Q38" s="299"/>
      <c r="R38" s="300"/>
      <c r="W38" s="180" t="s">
        <v>125</v>
      </c>
      <c r="X38" s="234">
        <v>8.7670000000000005E-3</v>
      </c>
    </row>
    <row r="39" spans="2:24" ht="15" customHeight="1" x14ac:dyDescent="0.25">
      <c r="B39" s="298"/>
      <c r="C39" s="299"/>
      <c r="D39" s="299"/>
      <c r="E39" s="299"/>
      <c r="F39" s="299"/>
      <c r="G39" s="299"/>
      <c r="H39" s="299"/>
      <c r="I39" s="299"/>
      <c r="J39" s="299"/>
      <c r="K39" s="299"/>
      <c r="L39" s="299"/>
      <c r="M39" s="299"/>
      <c r="N39" s="299"/>
      <c r="O39" s="299"/>
      <c r="P39" s="299"/>
      <c r="Q39" s="299"/>
      <c r="R39" s="300"/>
      <c r="W39" s="180" t="s">
        <v>23</v>
      </c>
      <c r="X39" s="234">
        <v>7.9729999999999992E-3</v>
      </c>
    </row>
    <row r="40" spans="2:24" ht="15" customHeight="1" x14ac:dyDescent="0.25">
      <c r="B40" s="298"/>
      <c r="C40" s="299"/>
      <c r="D40" s="299"/>
      <c r="E40" s="299"/>
      <c r="F40" s="299"/>
      <c r="G40" s="299"/>
      <c r="H40" s="299"/>
      <c r="I40" s="299"/>
      <c r="J40" s="299"/>
      <c r="K40" s="299"/>
      <c r="L40" s="299"/>
      <c r="M40" s="299"/>
      <c r="N40" s="299"/>
      <c r="O40" s="299"/>
      <c r="P40" s="299"/>
      <c r="Q40" s="299"/>
      <c r="R40" s="300"/>
      <c r="W40" s="180" t="s">
        <v>117</v>
      </c>
      <c r="X40" s="234">
        <v>4.0769999999999999E-3</v>
      </c>
    </row>
    <row r="41" spans="2:24" ht="15" customHeight="1" x14ac:dyDescent="0.25">
      <c r="B41" s="298"/>
      <c r="C41" s="299"/>
      <c r="D41" s="299"/>
      <c r="E41" s="299"/>
      <c r="F41" s="299"/>
      <c r="G41" s="299"/>
      <c r="H41" s="299"/>
      <c r="I41" s="299"/>
      <c r="J41" s="299"/>
      <c r="K41" s="299"/>
      <c r="L41" s="299"/>
      <c r="M41" s="299"/>
      <c r="N41" s="299"/>
      <c r="O41" s="299"/>
      <c r="P41" s="299"/>
      <c r="Q41" s="299"/>
      <c r="R41" s="300"/>
      <c r="W41" s="180" t="s">
        <v>121</v>
      </c>
      <c r="X41" s="234">
        <v>1.789E-3</v>
      </c>
    </row>
    <row r="42" spans="2:24" ht="15" customHeight="1" thickBot="1" x14ac:dyDescent="0.3">
      <c r="B42" s="301"/>
      <c r="C42" s="302"/>
      <c r="D42" s="302"/>
      <c r="E42" s="302"/>
      <c r="F42" s="302"/>
      <c r="G42" s="302"/>
      <c r="H42" s="302"/>
      <c r="I42" s="302"/>
      <c r="J42" s="302"/>
      <c r="K42" s="302"/>
      <c r="L42" s="302"/>
      <c r="M42" s="302"/>
      <c r="N42" s="302"/>
      <c r="O42" s="302"/>
      <c r="P42" s="302"/>
      <c r="Q42" s="302"/>
      <c r="R42" s="303"/>
      <c r="W42" s="39" t="s">
        <v>349</v>
      </c>
      <c r="X42" s="234">
        <v>2.1000000000000001E-4</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312</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401</v>
      </c>
      <c r="E5" s="306"/>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29</v>
      </c>
      <c r="D8" s="195" t="s">
        <v>3</v>
      </c>
      <c r="E8" s="203">
        <v>4.0223000000000002E-2</v>
      </c>
      <c r="F8" s="29">
        <v>1</v>
      </c>
      <c r="G8" s="29"/>
      <c r="H8" s="29"/>
      <c r="I8" s="29"/>
      <c r="J8" s="29"/>
      <c r="K8" s="29"/>
      <c r="L8" s="29"/>
      <c r="M8" s="29"/>
      <c r="N8" s="29"/>
      <c r="O8" s="29"/>
      <c r="P8" s="29"/>
      <c r="Q8" s="29"/>
      <c r="R8" s="29"/>
      <c r="S8" s="29"/>
      <c r="T8" s="22"/>
      <c r="W8" s="231" t="s">
        <v>3</v>
      </c>
      <c r="X8" s="234">
        <v>0.17160300000000001</v>
      </c>
    </row>
    <row r="9" spans="1:24" ht="15.75" customHeight="1" x14ac:dyDescent="0.25">
      <c r="B9" s="79"/>
      <c r="C9" s="187" t="s">
        <v>36</v>
      </c>
      <c r="D9" s="195" t="s">
        <v>3</v>
      </c>
      <c r="E9" s="203">
        <v>3.2441999999999999E-2</v>
      </c>
      <c r="F9" s="29">
        <v>2</v>
      </c>
      <c r="G9" s="29"/>
      <c r="H9" s="29"/>
      <c r="I9" s="29"/>
      <c r="J9" s="29"/>
      <c r="K9" s="29"/>
      <c r="L9" s="29"/>
      <c r="M9" s="29"/>
      <c r="N9" s="29"/>
      <c r="O9" s="29"/>
      <c r="P9" s="29"/>
      <c r="Q9" s="29"/>
      <c r="R9" s="29"/>
      <c r="S9" s="29"/>
      <c r="T9" s="22"/>
      <c r="W9" s="231" t="s">
        <v>4</v>
      </c>
      <c r="X9" s="234">
        <v>0.10493000000000001</v>
      </c>
    </row>
    <row r="10" spans="1:24" ht="15" customHeight="1" x14ac:dyDescent="0.25">
      <c r="B10" s="79"/>
      <c r="C10" s="187" t="s">
        <v>28</v>
      </c>
      <c r="D10" s="195" t="s">
        <v>106</v>
      </c>
      <c r="E10" s="203">
        <v>3.0831000000000001E-2</v>
      </c>
      <c r="F10" s="29">
        <v>3</v>
      </c>
      <c r="G10" s="29"/>
      <c r="H10" s="29"/>
      <c r="I10" s="29"/>
      <c r="J10" s="29"/>
      <c r="K10" s="29"/>
      <c r="L10" s="29"/>
      <c r="M10" s="29"/>
      <c r="N10" s="29"/>
      <c r="O10" s="29"/>
      <c r="P10" s="29"/>
      <c r="Q10" s="29"/>
      <c r="R10" s="29"/>
      <c r="S10" s="29"/>
      <c r="T10" s="22"/>
      <c r="W10" s="231" t="s">
        <v>106</v>
      </c>
      <c r="X10" s="234">
        <v>6.5225000000000005E-2</v>
      </c>
    </row>
    <row r="11" spans="1:24" ht="15" customHeight="1" x14ac:dyDescent="0.25">
      <c r="B11" s="79"/>
      <c r="C11" s="187" t="s">
        <v>80</v>
      </c>
      <c r="D11" s="195" t="s">
        <v>4</v>
      </c>
      <c r="E11" s="203">
        <v>2.8702999999999999E-2</v>
      </c>
      <c r="F11" s="29">
        <v>4</v>
      </c>
      <c r="G11" s="29"/>
      <c r="H11" s="29"/>
      <c r="I11" s="29"/>
      <c r="J11" s="29"/>
      <c r="K11" s="29"/>
      <c r="L11" s="29"/>
      <c r="M11" s="29"/>
      <c r="N11" s="29"/>
      <c r="O11" s="29"/>
      <c r="P11" s="29"/>
      <c r="Q11" s="29"/>
      <c r="R11" s="29"/>
      <c r="S11" s="29"/>
      <c r="T11" s="22"/>
      <c r="W11" s="231" t="s">
        <v>23</v>
      </c>
      <c r="X11" s="234">
        <v>6.2684999999999991E-2</v>
      </c>
    </row>
    <row r="12" spans="1:24" ht="15" customHeight="1" x14ac:dyDescent="0.25">
      <c r="B12" s="79"/>
      <c r="C12" s="187" t="s">
        <v>332</v>
      </c>
      <c r="D12" s="195" t="s">
        <v>117</v>
      </c>
      <c r="E12" s="203">
        <v>2.6307999999999998E-2</v>
      </c>
      <c r="F12" s="29">
        <v>5</v>
      </c>
      <c r="G12" s="29"/>
      <c r="H12" s="29"/>
      <c r="I12" s="29"/>
      <c r="J12" s="29"/>
      <c r="K12" s="29"/>
      <c r="L12" s="29"/>
      <c r="M12" s="29"/>
      <c r="N12" s="29"/>
      <c r="O12" s="29"/>
      <c r="P12" s="29"/>
      <c r="Q12" s="29"/>
      <c r="R12" s="29"/>
      <c r="S12" s="29"/>
      <c r="T12" s="22"/>
      <c r="W12" s="231" t="s">
        <v>110</v>
      </c>
      <c r="X12" s="234">
        <v>6.1686999999999992E-2</v>
      </c>
    </row>
    <row r="13" spans="1:24" ht="15" customHeight="1" x14ac:dyDescent="0.25">
      <c r="B13" s="79"/>
      <c r="C13" s="187" t="s">
        <v>339</v>
      </c>
      <c r="D13" s="195" t="s">
        <v>110</v>
      </c>
      <c r="E13" s="203">
        <v>2.2117999999999999E-2</v>
      </c>
      <c r="F13" s="29">
        <v>6</v>
      </c>
      <c r="G13" s="29"/>
      <c r="H13" s="29"/>
      <c r="I13" s="29"/>
      <c r="J13" s="29"/>
      <c r="K13" s="29"/>
      <c r="L13" s="29"/>
      <c r="M13" s="29"/>
      <c r="N13" s="29"/>
      <c r="O13" s="29"/>
      <c r="P13" s="29"/>
      <c r="Q13" s="29"/>
      <c r="R13" s="29"/>
      <c r="S13" s="29"/>
      <c r="T13" s="22"/>
      <c r="W13" s="231" t="s">
        <v>10</v>
      </c>
      <c r="X13" s="234">
        <v>4.5286E-2</v>
      </c>
    </row>
    <row r="14" spans="1:24" ht="15" customHeight="1" x14ac:dyDescent="0.25">
      <c r="B14" s="79"/>
      <c r="C14" s="187" t="s">
        <v>62</v>
      </c>
      <c r="D14" s="195" t="s">
        <v>10</v>
      </c>
      <c r="E14" s="203">
        <v>2.2003999999999999E-2</v>
      </c>
      <c r="F14" s="29">
        <v>7</v>
      </c>
      <c r="G14" s="29"/>
      <c r="H14" s="29"/>
      <c r="I14" s="29"/>
      <c r="J14" s="29"/>
      <c r="K14" s="29"/>
      <c r="L14" s="29"/>
      <c r="M14" s="29"/>
      <c r="N14" s="29"/>
      <c r="O14" s="29"/>
      <c r="P14" s="29"/>
      <c r="Q14" s="29"/>
      <c r="R14" s="29"/>
      <c r="S14" s="29"/>
      <c r="T14" s="22"/>
      <c r="W14" s="231" t="s">
        <v>117</v>
      </c>
      <c r="X14" s="234">
        <v>4.4976999999999996E-2</v>
      </c>
    </row>
    <row r="15" spans="1:24" ht="15" customHeight="1" x14ac:dyDescent="0.25">
      <c r="B15" s="79"/>
      <c r="C15" s="187" t="s">
        <v>322</v>
      </c>
      <c r="D15" s="195" t="s">
        <v>109</v>
      </c>
      <c r="E15" s="203">
        <v>2.1194000000000001E-2</v>
      </c>
      <c r="F15" s="29">
        <v>8</v>
      </c>
      <c r="G15" s="29"/>
      <c r="H15" s="29"/>
      <c r="I15" s="29"/>
      <c r="J15" s="29"/>
      <c r="K15" s="29"/>
      <c r="L15" s="29"/>
      <c r="M15" s="29"/>
      <c r="N15" s="29"/>
      <c r="O15" s="29"/>
      <c r="P15" s="29"/>
      <c r="Q15" s="29"/>
      <c r="R15" s="29"/>
      <c r="S15" s="29"/>
      <c r="T15" s="22"/>
      <c r="W15" s="231" t="s">
        <v>26</v>
      </c>
      <c r="X15" s="234">
        <v>3.5191E-2</v>
      </c>
    </row>
    <row r="16" spans="1:24" ht="15" customHeight="1" x14ac:dyDescent="0.25">
      <c r="B16" s="79"/>
      <c r="C16" s="187" t="s">
        <v>34</v>
      </c>
      <c r="D16" s="195" t="s">
        <v>23</v>
      </c>
      <c r="E16" s="203">
        <v>1.9928999999999999E-2</v>
      </c>
      <c r="F16" s="29">
        <v>9</v>
      </c>
      <c r="G16" s="29"/>
      <c r="H16" s="29"/>
      <c r="I16" s="29"/>
      <c r="J16" s="29"/>
      <c r="K16" s="29"/>
      <c r="L16" s="29"/>
      <c r="M16" s="29"/>
      <c r="N16" s="29"/>
      <c r="O16" s="29"/>
      <c r="P16" s="29"/>
      <c r="Q16" s="29"/>
      <c r="R16" s="29"/>
      <c r="S16" s="29"/>
      <c r="T16" s="22"/>
      <c r="W16" s="231" t="s">
        <v>111</v>
      </c>
      <c r="X16" s="234">
        <v>2.9574E-2</v>
      </c>
    </row>
    <row r="17" spans="2:24" ht="15" customHeight="1" x14ac:dyDescent="0.25">
      <c r="B17" s="79"/>
      <c r="C17" s="187" t="s">
        <v>269</v>
      </c>
      <c r="D17" s="195" t="s">
        <v>3</v>
      </c>
      <c r="E17" s="203">
        <v>1.9231000000000002E-2</v>
      </c>
      <c r="F17" s="29">
        <v>10</v>
      </c>
      <c r="G17" s="29"/>
      <c r="H17" s="29"/>
      <c r="I17" s="29"/>
      <c r="J17" s="29"/>
      <c r="K17" s="29"/>
      <c r="L17" s="29"/>
      <c r="M17" s="29"/>
      <c r="N17" s="29"/>
      <c r="O17" s="29"/>
      <c r="P17" s="29"/>
      <c r="Q17" s="29"/>
      <c r="R17" s="29"/>
      <c r="S17" s="29"/>
      <c r="T17" s="22"/>
      <c r="W17" s="231" t="s">
        <v>109</v>
      </c>
      <c r="X17" s="234">
        <v>2.9194999999999999E-2</v>
      </c>
    </row>
    <row r="18" spans="2:24" ht="15" customHeight="1" x14ac:dyDescent="0.25">
      <c r="B18" s="79"/>
      <c r="C18" s="187" t="s">
        <v>78</v>
      </c>
      <c r="D18" s="195" t="s">
        <v>3</v>
      </c>
      <c r="E18" s="203">
        <v>1.8443999999999999E-2</v>
      </c>
      <c r="F18" s="29">
        <v>11</v>
      </c>
      <c r="G18" s="29"/>
      <c r="H18" s="29"/>
      <c r="I18" s="29"/>
      <c r="J18" s="29"/>
      <c r="K18" s="29"/>
      <c r="L18" s="29"/>
      <c r="M18" s="29"/>
      <c r="N18" s="29"/>
      <c r="O18" s="29"/>
      <c r="P18" s="29"/>
      <c r="Q18" s="29"/>
      <c r="R18" s="29"/>
      <c r="S18" s="29"/>
      <c r="T18" s="22"/>
      <c r="W18" s="231" t="s">
        <v>129</v>
      </c>
      <c r="X18" s="234">
        <v>2.6610000000000002E-2</v>
      </c>
    </row>
    <row r="19" spans="2:24" ht="15" customHeight="1" x14ac:dyDescent="0.25">
      <c r="B19" s="79"/>
      <c r="C19" s="187" t="s">
        <v>35</v>
      </c>
      <c r="D19" s="195" t="s">
        <v>3</v>
      </c>
      <c r="E19" s="203">
        <v>1.7981E-2</v>
      </c>
      <c r="F19" s="29">
        <v>12</v>
      </c>
      <c r="G19" s="29"/>
      <c r="H19" s="29"/>
      <c r="I19" s="29"/>
      <c r="J19" s="29"/>
      <c r="K19" s="29"/>
      <c r="L19" s="29"/>
      <c r="M19" s="29"/>
      <c r="N19" s="29"/>
      <c r="O19" s="29"/>
      <c r="P19" s="29"/>
      <c r="Q19" s="29"/>
      <c r="R19" s="29"/>
      <c r="S19" s="29"/>
      <c r="T19" s="22"/>
      <c r="W19" s="231" t="s">
        <v>112</v>
      </c>
      <c r="X19" s="234">
        <v>2.3420000000000003E-2</v>
      </c>
    </row>
    <row r="20" spans="2:24" ht="15" customHeight="1" x14ac:dyDescent="0.25">
      <c r="B20" s="79"/>
      <c r="C20" s="187" t="s">
        <v>31</v>
      </c>
      <c r="D20" s="195" t="s">
        <v>6</v>
      </c>
      <c r="E20" s="203">
        <v>1.7694000000000001E-2</v>
      </c>
      <c r="F20" s="29">
        <v>13</v>
      </c>
      <c r="G20" s="29"/>
      <c r="H20" s="29"/>
      <c r="I20" s="29"/>
      <c r="J20" s="29"/>
      <c r="K20" s="29"/>
      <c r="L20" s="29"/>
      <c r="M20" s="29"/>
      <c r="N20" s="29"/>
      <c r="O20" s="29"/>
      <c r="P20" s="29"/>
      <c r="Q20" s="29"/>
      <c r="R20" s="29"/>
      <c r="S20" s="29"/>
      <c r="T20" s="22"/>
      <c r="W20" s="231" t="s">
        <v>6</v>
      </c>
      <c r="X20" s="234">
        <v>2.1515000000000003E-2</v>
      </c>
    </row>
    <row r="21" spans="2:24" ht="15" customHeight="1" x14ac:dyDescent="0.25">
      <c r="B21" s="79"/>
      <c r="C21" s="187" t="s">
        <v>188</v>
      </c>
      <c r="D21" s="195" t="s">
        <v>106</v>
      </c>
      <c r="E21" s="203">
        <v>1.7527999999999998E-2</v>
      </c>
      <c r="F21" s="29">
        <v>14</v>
      </c>
      <c r="G21" s="29"/>
      <c r="H21" s="29"/>
      <c r="I21" s="29"/>
      <c r="J21" s="29"/>
      <c r="K21" s="29"/>
      <c r="L21" s="29"/>
      <c r="M21" s="29"/>
      <c r="N21" s="29"/>
      <c r="O21" s="29"/>
      <c r="P21" s="29"/>
      <c r="Q21" s="29"/>
      <c r="R21" s="29"/>
      <c r="S21" s="29"/>
      <c r="T21" s="22"/>
      <c r="W21" s="180" t="s">
        <v>24</v>
      </c>
      <c r="X21" s="234">
        <v>1.695E-2</v>
      </c>
    </row>
    <row r="22" spans="2:24" ht="15" customHeight="1" x14ac:dyDescent="0.25">
      <c r="B22" s="79"/>
      <c r="C22" s="187" t="s">
        <v>249</v>
      </c>
      <c r="D22" s="195" t="s">
        <v>129</v>
      </c>
      <c r="E22" s="203">
        <v>1.7156000000000001E-2</v>
      </c>
      <c r="F22" s="29">
        <v>15</v>
      </c>
      <c r="G22" s="29"/>
      <c r="H22" s="29"/>
      <c r="I22" s="29"/>
      <c r="J22" s="29"/>
      <c r="K22" s="29"/>
      <c r="L22" s="29"/>
      <c r="M22" s="29"/>
      <c r="N22" s="29"/>
      <c r="O22" s="29"/>
      <c r="P22" s="29"/>
      <c r="Q22" s="29"/>
      <c r="R22" s="29"/>
      <c r="S22" s="29"/>
      <c r="T22" s="22"/>
      <c r="W22" s="180" t="s">
        <v>76</v>
      </c>
      <c r="X22" s="234">
        <v>1.6084999999999999E-2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115</v>
      </c>
      <c r="X23" s="234">
        <v>1.5302E-2</v>
      </c>
    </row>
    <row r="24" spans="2:24" ht="15" customHeight="1" x14ac:dyDescent="0.25">
      <c r="B24" s="79"/>
      <c r="C24" s="73" t="s">
        <v>55</v>
      </c>
      <c r="D24" s="74"/>
      <c r="E24" s="75">
        <f>SUM(E8:E22)</f>
        <v>0.35178600000000004</v>
      </c>
      <c r="F24" s="29"/>
      <c r="G24" s="29"/>
      <c r="H24" s="29"/>
      <c r="I24" s="29"/>
      <c r="J24" s="29"/>
      <c r="K24" s="29"/>
      <c r="L24" s="29"/>
      <c r="M24" s="29"/>
      <c r="N24" s="29"/>
      <c r="O24" s="29"/>
      <c r="P24" s="29"/>
      <c r="Q24" s="29"/>
      <c r="R24" s="29"/>
      <c r="S24" s="29"/>
      <c r="T24" s="22"/>
      <c r="W24" s="180" t="s">
        <v>84</v>
      </c>
      <c r="X24" s="234">
        <v>1.4765E-2</v>
      </c>
    </row>
    <row r="25" spans="2:24" ht="15" customHeight="1" x14ac:dyDescent="0.25">
      <c r="B25" s="79"/>
      <c r="F25" s="29"/>
      <c r="G25" s="29"/>
      <c r="H25" s="29"/>
      <c r="I25" s="29"/>
      <c r="J25" s="29"/>
      <c r="K25" s="29"/>
      <c r="L25" s="29"/>
      <c r="M25" s="29"/>
      <c r="N25" s="29"/>
      <c r="O25" s="29"/>
      <c r="P25" s="29"/>
      <c r="Q25" s="29"/>
      <c r="R25" s="29"/>
      <c r="S25" s="29"/>
      <c r="T25" s="22"/>
      <c r="W25" s="180" t="s">
        <v>82</v>
      </c>
      <c r="X25" s="234">
        <v>1.2957E-2</v>
      </c>
    </row>
    <row r="26" spans="2:24" ht="15" customHeight="1" x14ac:dyDescent="0.25">
      <c r="B26" s="79"/>
      <c r="F26" s="29"/>
      <c r="G26" s="29"/>
      <c r="H26" s="29"/>
      <c r="I26" s="29"/>
      <c r="J26" s="29"/>
      <c r="K26" s="29"/>
      <c r="L26" s="29"/>
      <c r="M26" s="29"/>
      <c r="N26" s="29"/>
      <c r="O26" s="29"/>
      <c r="P26" s="29"/>
      <c r="Q26" s="29"/>
      <c r="R26" s="29"/>
      <c r="S26" s="29"/>
      <c r="T26" s="22"/>
      <c r="W26" s="180" t="s">
        <v>136</v>
      </c>
      <c r="X26" s="234">
        <v>1.2676E-2</v>
      </c>
    </row>
    <row r="27" spans="2:24" ht="15" customHeight="1" x14ac:dyDescent="0.25">
      <c r="B27" s="79"/>
      <c r="F27" s="29"/>
      <c r="G27" s="29"/>
      <c r="H27" s="29"/>
      <c r="I27" s="29"/>
      <c r="J27" s="29"/>
      <c r="K27" s="29"/>
      <c r="L27" s="29"/>
      <c r="M27" s="29"/>
      <c r="N27" s="29"/>
      <c r="O27" s="29"/>
      <c r="P27" s="29"/>
      <c r="Q27" s="29"/>
      <c r="R27" s="29"/>
      <c r="S27" s="29"/>
      <c r="T27" s="22"/>
      <c r="W27" s="180" t="s">
        <v>123</v>
      </c>
      <c r="X27" s="234">
        <v>1.2331E-2</v>
      </c>
    </row>
    <row r="28" spans="2:24" ht="15" customHeight="1" x14ac:dyDescent="0.25">
      <c r="B28" s="79"/>
      <c r="F28" s="29"/>
      <c r="G28" s="29"/>
      <c r="H28" s="29"/>
      <c r="I28" s="29"/>
      <c r="J28" s="29"/>
      <c r="K28" s="29"/>
      <c r="L28" s="29"/>
      <c r="M28" s="29"/>
      <c r="N28" s="29"/>
      <c r="O28" s="29"/>
      <c r="P28" s="29"/>
      <c r="Q28" s="29"/>
      <c r="R28" s="29"/>
      <c r="S28" s="29"/>
      <c r="T28" s="22"/>
      <c r="W28" s="180" t="s">
        <v>11</v>
      </c>
      <c r="X28" s="234">
        <v>1.1722E-2</v>
      </c>
    </row>
    <row r="29" spans="2:24" ht="15" customHeight="1" x14ac:dyDescent="0.25">
      <c r="B29" s="79"/>
      <c r="F29" s="29"/>
      <c r="G29" s="29"/>
      <c r="H29" s="29"/>
      <c r="I29" s="29"/>
      <c r="J29" s="29"/>
      <c r="K29" s="29"/>
      <c r="L29" s="29"/>
      <c r="M29" s="29"/>
      <c r="N29" s="29"/>
      <c r="O29" s="29"/>
      <c r="P29" s="29"/>
      <c r="Q29" s="29"/>
      <c r="R29" s="29"/>
      <c r="S29" s="29"/>
      <c r="T29" s="22"/>
      <c r="W29" s="180" t="s">
        <v>25</v>
      </c>
      <c r="X29" s="234">
        <v>1.1019999999999999E-2</v>
      </c>
    </row>
    <row r="30" spans="2:24" ht="15" customHeight="1" x14ac:dyDescent="0.25">
      <c r="B30" s="79"/>
      <c r="F30" s="29"/>
      <c r="G30" s="29"/>
      <c r="H30" s="29"/>
      <c r="I30" s="29"/>
      <c r="J30" s="29"/>
      <c r="K30" s="29"/>
      <c r="L30" s="29"/>
      <c r="M30" s="29"/>
      <c r="N30" s="29"/>
      <c r="O30" s="29"/>
      <c r="P30" s="29"/>
      <c r="Q30" s="29"/>
      <c r="R30" s="29"/>
      <c r="S30" s="29"/>
      <c r="T30" s="22"/>
      <c r="W30" s="180" t="s">
        <v>85</v>
      </c>
      <c r="X30" s="234">
        <v>1.0009000000000001E-2</v>
      </c>
    </row>
    <row r="31" spans="2:24" ht="15" customHeight="1" x14ac:dyDescent="0.25">
      <c r="B31" s="79"/>
      <c r="F31" s="29"/>
      <c r="G31" s="29"/>
      <c r="H31" s="29"/>
      <c r="I31" s="29"/>
      <c r="J31" s="29"/>
      <c r="K31" s="29"/>
      <c r="L31" s="29"/>
      <c r="M31" s="29"/>
      <c r="N31" s="29"/>
      <c r="O31" s="29"/>
      <c r="P31" s="29"/>
      <c r="Q31" s="29"/>
      <c r="R31" s="29"/>
      <c r="S31" s="29"/>
      <c r="T31" s="22"/>
      <c r="W31" s="180" t="s">
        <v>86</v>
      </c>
      <c r="X31" s="234">
        <v>9.9869999999999994E-3</v>
      </c>
    </row>
    <row r="32" spans="2:24" ht="15.75" customHeight="1" x14ac:dyDescent="0.25">
      <c r="B32" s="79"/>
      <c r="F32" s="29"/>
      <c r="G32" s="29"/>
      <c r="H32" s="29"/>
      <c r="I32" s="29"/>
      <c r="J32" s="29"/>
      <c r="K32" s="29"/>
      <c r="L32" s="29"/>
      <c r="M32" s="29"/>
      <c r="N32" s="29"/>
      <c r="O32" s="29"/>
      <c r="P32" s="29"/>
      <c r="Q32" s="29"/>
      <c r="R32" s="29"/>
      <c r="S32" s="29"/>
      <c r="T32" s="22"/>
      <c r="W32" s="180" t="s">
        <v>120</v>
      </c>
      <c r="X32" s="234">
        <v>8.4849999999999995E-3</v>
      </c>
    </row>
    <row r="33" spans="2:24" ht="15" customHeight="1" x14ac:dyDescent="0.25">
      <c r="B33" s="79"/>
      <c r="F33" s="29"/>
      <c r="G33" s="29"/>
      <c r="H33" s="29"/>
      <c r="I33" s="29"/>
      <c r="J33" s="29"/>
      <c r="K33" s="29"/>
      <c r="L33" s="29"/>
      <c r="M33" s="29"/>
      <c r="N33" s="29"/>
      <c r="O33" s="29"/>
      <c r="P33" s="29"/>
      <c r="Q33" s="29"/>
      <c r="R33" s="29"/>
      <c r="S33" s="29"/>
      <c r="T33" s="22"/>
      <c r="W33" s="180" t="s">
        <v>126</v>
      </c>
      <c r="X33" s="234">
        <v>6.5409999999999999E-3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113</v>
      </c>
      <c r="X34" s="234">
        <v>6.4229999999999999E-3</v>
      </c>
    </row>
    <row r="35" spans="2:24" ht="15" customHeight="1" thickBot="1" x14ac:dyDescent="0.3">
      <c r="W35" s="180" t="s">
        <v>183</v>
      </c>
      <c r="X35" s="234">
        <v>5.9919999999999999E-3</v>
      </c>
    </row>
    <row r="36" spans="2:24" ht="15" customHeight="1" x14ac:dyDescent="0.25">
      <c r="B36" s="295" t="s">
        <v>181</v>
      </c>
      <c r="C36" s="296"/>
      <c r="D36" s="296"/>
      <c r="E36" s="296"/>
      <c r="F36" s="296"/>
      <c r="G36" s="296"/>
      <c r="H36" s="296"/>
      <c r="I36" s="296"/>
      <c r="J36" s="296"/>
      <c r="K36" s="296"/>
      <c r="L36" s="296"/>
      <c r="M36" s="296"/>
      <c r="N36" s="296"/>
      <c r="O36" s="296"/>
      <c r="P36" s="296"/>
      <c r="Q36" s="296"/>
      <c r="R36" s="297"/>
      <c r="W36" s="180" t="s">
        <v>121</v>
      </c>
      <c r="X36" s="234">
        <v>4.9560000000000003E-3</v>
      </c>
    </row>
    <row r="37" spans="2:24" ht="15" customHeight="1" x14ac:dyDescent="0.25">
      <c r="B37" s="298"/>
      <c r="C37" s="299"/>
      <c r="D37" s="299"/>
      <c r="E37" s="299"/>
      <c r="F37" s="299"/>
      <c r="G37" s="299"/>
      <c r="H37" s="299"/>
      <c r="I37" s="299"/>
      <c r="J37" s="299"/>
      <c r="K37" s="299"/>
      <c r="L37" s="299"/>
      <c r="M37" s="299"/>
      <c r="N37" s="299"/>
      <c r="O37" s="299"/>
      <c r="P37" s="299"/>
      <c r="Q37" s="299"/>
      <c r="R37" s="300"/>
      <c r="W37" s="180" t="s">
        <v>105</v>
      </c>
      <c r="X37" s="234">
        <v>4.6309999999999997E-3</v>
      </c>
    </row>
    <row r="38" spans="2:24" ht="15" customHeight="1" x14ac:dyDescent="0.25">
      <c r="B38" s="298"/>
      <c r="C38" s="299"/>
      <c r="D38" s="299"/>
      <c r="E38" s="299"/>
      <c r="F38" s="299"/>
      <c r="G38" s="299"/>
      <c r="H38" s="299"/>
      <c r="I38" s="299"/>
      <c r="J38" s="299"/>
      <c r="K38" s="299"/>
      <c r="L38" s="299"/>
      <c r="M38" s="299"/>
      <c r="N38" s="299"/>
      <c r="O38" s="299"/>
      <c r="P38" s="299"/>
      <c r="Q38" s="299"/>
      <c r="R38" s="300"/>
      <c r="W38" s="180" t="s">
        <v>107</v>
      </c>
      <c r="X38" s="234">
        <v>4.4149999999999997E-3</v>
      </c>
    </row>
    <row r="39" spans="2:24" ht="15" customHeight="1" x14ac:dyDescent="0.25">
      <c r="B39" s="298"/>
      <c r="C39" s="299"/>
      <c r="D39" s="299"/>
      <c r="E39" s="299"/>
      <c r="F39" s="299"/>
      <c r="G39" s="299"/>
      <c r="H39" s="299"/>
      <c r="I39" s="299"/>
      <c r="J39" s="299"/>
      <c r="K39" s="299"/>
      <c r="L39" s="299"/>
      <c r="M39" s="299"/>
      <c r="N39" s="299"/>
      <c r="O39" s="299"/>
      <c r="P39" s="299"/>
      <c r="Q39" s="299"/>
      <c r="R39" s="300"/>
      <c r="W39" s="180" t="s">
        <v>118</v>
      </c>
      <c r="X39" s="234">
        <v>3.8479999999999999E-3</v>
      </c>
    </row>
    <row r="40" spans="2:24" ht="15" customHeight="1" x14ac:dyDescent="0.25">
      <c r="B40" s="298"/>
      <c r="C40" s="299"/>
      <c r="D40" s="299"/>
      <c r="E40" s="299"/>
      <c r="F40" s="299"/>
      <c r="G40" s="299"/>
      <c r="H40" s="299"/>
      <c r="I40" s="299"/>
      <c r="J40" s="299"/>
      <c r="K40" s="299"/>
      <c r="L40" s="299"/>
      <c r="M40" s="299"/>
      <c r="N40" s="299"/>
      <c r="O40" s="299"/>
      <c r="P40" s="299"/>
      <c r="Q40" s="299"/>
      <c r="R40" s="300"/>
      <c r="W40" s="180" t="s">
        <v>125</v>
      </c>
      <c r="X40" s="234">
        <v>3.7699999999999999E-3</v>
      </c>
    </row>
    <row r="41" spans="2:24" ht="15" customHeight="1" x14ac:dyDescent="0.25">
      <c r="B41" s="298"/>
      <c r="C41" s="299"/>
      <c r="D41" s="299"/>
      <c r="E41" s="299"/>
      <c r="F41" s="299"/>
      <c r="G41" s="299"/>
      <c r="H41" s="299"/>
      <c r="I41" s="299"/>
      <c r="J41" s="299"/>
      <c r="K41" s="299"/>
      <c r="L41" s="299"/>
      <c r="M41" s="299"/>
      <c r="N41" s="299"/>
      <c r="O41" s="299"/>
      <c r="P41" s="299"/>
      <c r="Q41" s="299"/>
      <c r="R41" s="300"/>
      <c r="W41" s="180" t="s">
        <v>16</v>
      </c>
      <c r="X41" s="234">
        <v>1.549E-3</v>
      </c>
    </row>
    <row r="42" spans="2:24" ht="15" customHeight="1" thickBot="1" x14ac:dyDescent="0.3">
      <c r="B42" s="301"/>
      <c r="C42" s="302"/>
      <c r="D42" s="302"/>
      <c r="E42" s="302"/>
      <c r="F42" s="302"/>
      <c r="G42" s="302"/>
      <c r="H42" s="302"/>
      <c r="I42" s="302"/>
      <c r="J42" s="302"/>
      <c r="K42" s="302"/>
      <c r="L42" s="302"/>
      <c r="M42" s="302"/>
      <c r="N42" s="302"/>
      <c r="O42" s="302"/>
      <c r="P42" s="302"/>
      <c r="Q42" s="302"/>
      <c r="R42" s="303"/>
      <c r="X42" s="234"/>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304" t="s">
        <v>207</v>
      </c>
      <c r="D3" s="305"/>
      <c r="E3" s="305"/>
      <c r="F3" s="305"/>
      <c r="G3" s="305"/>
      <c r="H3" s="305"/>
      <c r="I3" s="305"/>
      <c r="J3" s="305"/>
      <c r="K3" s="305"/>
      <c r="L3" s="305"/>
      <c r="M3" s="305"/>
      <c r="N3" s="305"/>
      <c r="O3" s="305"/>
      <c r="P3" s="305"/>
      <c r="Q3" s="305"/>
      <c r="R3" s="305"/>
      <c r="S3" s="305"/>
      <c r="T3" s="22"/>
    </row>
    <row r="4" spans="1:25" ht="15.75" customHeight="1" x14ac:dyDescent="0.25">
      <c r="B4" s="79"/>
      <c r="C4" s="67" t="s">
        <v>387</v>
      </c>
      <c r="D4" s="29"/>
      <c r="E4" s="29"/>
      <c r="F4" s="29"/>
      <c r="G4" s="29"/>
      <c r="H4" s="29"/>
      <c r="I4" s="29"/>
      <c r="J4" s="29"/>
      <c r="K4" s="29"/>
      <c r="L4" s="29"/>
      <c r="M4" s="29"/>
      <c r="N4" s="29"/>
      <c r="O4" s="29"/>
      <c r="P4" s="29"/>
      <c r="Q4" s="29"/>
      <c r="R4" s="29"/>
      <c r="S4" s="29"/>
      <c r="T4" s="22"/>
    </row>
    <row r="5" spans="1:25" ht="18" customHeight="1" x14ac:dyDescent="0.25">
      <c r="B5" s="79"/>
      <c r="C5" s="220" t="s">
        <v>386</v>
      </c>
      <c r="D5" s="306" t="s">
        <v>402</v>
      </c>
      <c r="E5" s="306"/>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2" t="s">
        <v>29</v>
      </c>
      <c r="D8" s="193" t="s">
        <v>3</v>
      </c>
      <c r="E8" s="194">
        <v>6.9282999999999997E-2</v>
      </c>
      <c r="F8" s="29"/>
      <c r="G8" s="29"/>
      <c r="H8" s="29"/>
      <c r="I8" s="29"/>
      <c r="J8" s="29"/>
      <c r="K8" s="29"/>
      <c r="L8" s="29"/>
      <c r="M8" s="29"/>
      <c r="N8" s="29"/>
      <c r="O8" s="29"/>
      <c r="P8" s="29"/>
      <c r="Q8" s="29"/>
      <c r="R8" s="29"/>
      <c r="S8" s="29"/>
      <c r="T8" s="22"/>
      <c r="W8" s="173" t="s">
        <v>3</v>
      </c>
      <c r="X8" s="174">
        <v>0.21413500000000002</v>
      </c>
      <c r="Y8" s="149"/>
    </row>
    <row r="9" spans="1:25" ht="15.75" customHeight="1" x14ac:dyDescent="0.25">
      <c r="B9" s="79"/>
      <c r="C9" s="187" t="s">
        <v>32</v>
      </c>
      <c r="D9" s="195" t="s">
        <v>3</v>
      </c>
      <c r="E9" s="196">
        <v>5.6772000000000003E-2</v>
      </c>
      <c r="F9" s="29"/>
      <c r="G9" s="29"/>
      <c r="H9" s="29"/>
      <c r="I9" s="29"/>
      <c r="J9" s="29"/>
      <c r="K9" s="29"/>
      <c r="L9" s="29"/>
      <c r="M9" s="29"/>
      <c r="N9" s="29"/>
      <c r="O9" s="29"/>
      <c r="P9" s="29"/>
      <c r="Q9" s="29"/>
      <c r="R9" s="29"/>
      <c r="S9" s="29"/>
      <c r="T9" s="22"/>
      <c r="W9" s="173" t="s">
        <v>106</v>
      </c>
      <c r="X9" s="174">
        <v>8.8599999999999998E-2</v>
      </c>
      <c r="Y9" s="149"/>
    </row>
    <row r="10" spans="1:25" ht="15" customHeight="1" x14ac:dyDescent="0.25">
      <c r="B10" s="79"/>
      <c r="C10" s="187" t="s">
        <v>31</v>
      </c>
      <c r="D10" s="195" t="s">
        <v>6</v>
      </c>
      <c r="E10" s="196">
        <v>5.5419000000000003E-2</v>
      </c>
      <c r="F10" s="29"/>
      <c r="G10" s="29"/>
      <c r="H10" s="29"/>
      <c r="I10" s="29"/>
      <c r="J10" s="29"/>
      <c r="K10" s="29"/>
      <c r="L10" s="29"/>
      <c r="M10" s="29"/>
      <c r="N10" s="29"/>
      <c r="O10" s="29"/>
      <c r="P10" s="29"/>
      <c r="Q10" s="29"/>
      <c r="R10" s="29"/>
      <c r="S10" s="29"/>
      <c r="T10" s="22"/>
      <c r="W10" s="173" t="s">
        <v>110</v>
      </c>
      <c r="X10" s="174">
        <v>7.1307000000000009E-2</v>
      </c>
      <c r="Y10" s="149"/>
    </row>
    <row r="11" spans="1:25" ht="15" customHeight="1" x14ac:dyDescent="0.25">
      <c r="B11" s="79"/>
      <c r="C11" s="187" t="s">
        <v>36</v>
      </c>
      <c r="D11" s="195" t="s">
        <v>3</v>
      </c>
      <c r="E11" s="196">
        <v>4.0217999999999997E-2</v>
      </c>
      <c r="F11" s="29"/>
      <c r="G11" s="29"/>
      <c r="H11" s="29"/>
      <c r="I11" s="29"/>
      <c r="J11" s="29"/>
      <c r="K11" s="29"/>
      <c r="L11" s="29"/>
      <c r="M11" s="29"/>
      <c r="N11" s="29"/>
      <c r="O11" s="29"/>
      <c r="P11" s="29"/>
      <c r="Q11" s="29"/>
      <c r="R11" s="29"/>
      <c r="S11" s="29"/>
      <c r="T11" s="22"/>
      <c r="W11" s="173" t="s">
        <v>6</v>
      </c>
      <c r="X11" s="174">
        <v>5.5419000000000003E-2</v>
      </c>
      <c r="Y11" s="149"/>
    </row>
    <row r="12" spans="1:25" ht="15" customHeight="1" x14ac:dyDescent="0.25">
      <c r="B12" s="79"/>
      <c r="C12" s="187" t="s">
        <v>28</v>
      </c>
      <c r="D12" s="195" t="s">
        <v>106</v>
      </c>
      <c r="E12" s="196">
        <v>3.9752999999999997E-2</v>
      </c>
      <c r="F12" s="29"/>
      <c r="G12" s="29"/>
      <c r="H12" s="29"/>
      <c r="I12" s="29"/>
      <c r="J12" s="29"/>
      <c r="K12" s="29"/>
      <c r="L12" s="29"/>
      <c r="M12" s="29"/>
      <c r="N12" s="29"/>
      <c r="O12" s="29"/>
      <c r="P12" s="29"/>
      <c r="Q12" s="29"/>
      <c r="R12" s="29"/>
      <c r="S12" s="29"/>
      <c r="T12" s="22"/>
      <c r="W12" s="173" t="s">
        <v>4</v>
      </c>
      <c r="X12" s="174">
        <v>4.7746999999999998E-2</v>
      </c>
      <c r="Y12" s="149"/>
    </row>
    <row r="13" spans="1:25" ht="15" customHeight="1" x14ac:dyDescent="0.25">
      <c r="B13" s="79"/>
      <c r="C13" s="187" t="s">
        <v>33</v>
      </c>
      <c r="D13" s="195" t="s">
        <v>106</v>
      </c>
      <c r="E13" s="196">
        <v>3.7272E-2</v>
      </c>
      <c r="F13" s="29"/>
      <c r="G13" s="29"/>
      <c r="H13" s="29"/>
      <c r="I13" s="29"/>
      <c r="J13" s="29"/>
      <c r="K13" s="29"/>
      <c r="L13" s="29"/>
      <c r="M13" s="29"/>
      <c r="N13" s="29"/>
      <c r="O13" s="29"/>
      <c r="P13" s="29"/>
      <c r="Q13" s="29"/>
      <c r="R13" s="29"/>
      <c r="S13" s="29"/>
      <c r="T13" s="22"/>
      <c r="W13" s="173" t="s">
        <v>23</v>
      </c>
      <c r="X13" s="174">
        <v>4.0423000000000008E-2</v>
      </c>
      <c r="Y13" s="149"/>
    </row>
    <row r="14" spans="1:25" ht="15" customHeight="1" x14ac:dyDescent="0.25">
      <c r="B14" s="79"/>
      <c r="C14" s="187" t="s">
        <v>70</v>
      </c>
      <c r="D14" s="195" t="s">
        <v>12</v>
      </c>
      <c r="E14" s="196">
        <v>2.4566000000000001E-2</v>
      </c>
      <c r="F14" s="29"/>
      <c r="G14" s="29"/>
      <c r="H14" s="29"/>
      <c r="I14" s="29"/>
      <c r="J14" s="29"/>
      <c r="K14" s="29"/>
      <c r="L14" s="29"/>
      <c r="M14" s="29"/>
      <c r="N14" s="29"/>
      <c r="O14" s="29"/>
      <c r="P14" s="29"/>
      <c r="Q14" s="29"/>
      <c r="R14" s="29"/>
      <c r="S14" s="29"/>
      <c r="T14" s="22"/>
      <c r="W14" s="173" t="s">
        <v>85</v>
      </c>
      <c r="X14" s="174">
        <v>3.7698999999999996E-2</v>
      </c>
      <c r="Y14" s="149"/>
    </row>
    <row r="15" spans="1:25" ht="15" customHeight="1" x14ac:dyDescent="0.25">
      <c r="B15" s="79"/>
      <c r="C15" s="187" t="s">
        <v>34</v>
      </c>
      <c r="D15" s="195" t="s">
        <v>23</v>
      </c>
      <c r="E15" s="196">
        <v>2.1555000000000001E-2</v>
      </c>
      <c r="F15" s="29"/>
      <c r="G15" s="29"/>
      <c r="H15" s="29"/>
      <c r="I15" s="29"/>
      <c r="J15" s="29"/>
      <c r="K15" s="29"/>
      <c r="L15" s="29"/>
      <c r="M15" s="29"/>
      <c r="N15" s="29"/>
      <c r="O15" s="29"/>
      <c r="P15" s="29"/>
      <c r="Q15" s="29"/>
      <c r="R15" s="29"/>
      <c r="S15" s="29"/>
      <c r="T15" s="22"/>
      <c r="W15" s="173" t="s">
        <v>111</v>
      </c>
      <c r="X15" s="174">
        <v>3.4981999999999999E-2</v>
      </c>
      <c r="Y15" s="149"/>
    </row>
    <row r="16" spans="1:25" ht="15" customHeight="1" x14ac:dyDescent="0.25">
      <c r="B16" s="79"/>
      <c r="C16" s="187" t="s">
        <v>95</v>
      </c>
      <c r="D16" s="195" t="s">
        <v>111</v>
      </c>
      <c r="E16" s="196">
        <v>1.8596000000000001E-2</v>
      </c>
      <c r="F16" s="29"/>
      <c r="G16" s="29"/>
      <c r="H16" s="29"/>
      <c r="I16" s="29"/>
      <c r="J16" s="29"/>
      <c r="K16" s="29"/>
      <c r="L16" s="29"/>
      <c r="M16" s="29"/>
      <c r="N16" s="29"/>
      <c r="O16" s="29"/>
      <c r="P16" s="29"/>
      <c r="Q16" s="29"/>
      <c r="R16" s="29"/>
      <c r="S16" s="29"/>
      <c r="T16" s="22"/>
      <c r="W16" s="173" t="s">
        <v>109</v>
      </c>
      <c r="X16" s="174">
        <v>2.802E-2</v>
      </c>
      <c r="Y16" s="149"/>
    </row>
    <row r="17" spans="2:25" ht="15" customHeight="1" x14ac:dyDescent="0.25">
      <c r="B17" s="79"/>
      <c r="C17" s="187" t="s">
        <v>97</v>
      </c>
      <c r="D17" s="195" t="s">
        <v>118</v>
      </c>
      <c r="E17" s="196">
        <v>1.822E-2</v>
      </c>
      <c r="F17" s="29"/>
      <c r="G17" s="29"/>
      <c r="H17" s="29"/>
      <c r="I17" s="29"/>
      <c r="J17" s="29"/>
      <c r="K17" s="29"/>
      <c r="L17" s="29"/>
      <c r="M17" s="29"/>
      <c r="N17" s="29"/>
      <c r="O17" s="29"/>
      <c r="P17" s="29"/>
      <c r="Q17" s="29"/>
      <c r="R17" s="29"/>
      <c r="S17" s="29"/>
      <c r="T17" s="22"/>
      <c r="W17" s="173" t="s">
        <v>105</v>
      </c>
      <c r="X17" s="174">
        <v>2.6402999999999999E-2</v>
      </c>
      <c r="Y17" s="149"/>
    </row>
    <row r="18" spans="2:25" ht="15" customHeight="1" x14ac:dyDescent="0.25">
      <c r="B18" s="79"/>
      <c r="C18" s="187" t="s">
        <v>74</v>
      </c>
      <c r="D18" s="195" t="s">
        <v>11</v>
      </c>
      <c r="E18" s="196">
        <v>1.7935E-2</v>
      </c>
      <c r="F18" s="29"/>
      <c r="G18" s="29"/>
      <c r="H18" s="29"/>
      <c r="I18" s="29"/>
      <c r="J18" s="29"/>
      <c r="K18" s="29"/>
      <c r="L18" s="29"/>
      <c r="M18" s="29"/>
      <c r="N18" s="29"/>
      <c r="O18" s="29"/>
      <c r="P18" s="29"/>
      <c r="Q18" s="29"/>
      <c r="R18" s="29"/>
      <c r="S18" s="29"/>
      <c r="T18" s="22"/>
      <c r="W18" s="173" t="s">
        <v>16</v>
      </c>
      <c r="X18" s="174">
        <v>2.6172999999999998E-2</v>
      </c>
      <c r="Y18" s="149"/>
    </row>
    <row r="19" spans="2:25" ht="15" customHeight="1" x14ac:dyDescent="0.25">
      <c r="B19" s="79"/>
      <c r="C19" s="187" t="s">
        <v>80</v>
      </c>
      <c r="D19" s="195" t="s">
        <v>4</v>
      </c>
      <c r="E19" s="196">
        <v>1.7866E-2</v>
      </c>
      <c r="F19" s="29"/>
      <c r="G19" s="29"/>
      <c r="H19" s="29"/>
      <c r="I19" s="29"/>
      <c r="J19" s="29"/>
      <c r="K19" s="29"/>
      <c r="L19" s="29"/>
      <c r="M19" s="29"/>
      <c r="N19" s="29"/>
      <c r="O19" s="29"/>
      <c r="P19" s="29"/>
      <c r="Q19" s="29"/>
      <c r="R19" s="29"/>
      <c r="S19" s="29"/>
      <c r="T19" s="22"/>
      <c r="W19" s="173" t="s">
        <v>12</v>
      </c>
      <c r="X19" s="174">
        <v>2.4566000000000001E-2</v>
      </c>
      <c r="Y19" s="149"/>
    </row>
    <row r="20" spans="2:25" ht="15" customHeight="1" x14ac:dyDescent="0.25">
      <c r="B20" s="79"/>
      <c r="C20" s="187" t="s">
        <v>30</v>
      </c>
      <c r="D20" s="195" t="s">
        <v>116</v>
      </c>
      <c r="E20" s="196">
        <v>1.6899000000000001E-2</v>
      </c>
      <c r="F20" s="29"/>
      <c r="G20" s="29"/>
      <c r="H20" s="29"/>
      <c r="I20" s="29"/>
      <c r="J20" s="29"/>
      <c r="K20" s="29"/>
      <c r="L20" s="29"/>
      <c r="M20" s="29"/>
      <c r="N20" s="29"/>
      <c r="O20" s="29"/>
      <c r="P20" s="29"/>
      <c r="Q20" s="29"/>
      <c r="R20" s="29"/>
      <c r="S20" s="29"/>
      <c r="T20" s="22"/>
      <c r="W20" s="173" t="s">
        <v>11</v>
      </c>
      <c r="X20" s="174">
        <v>2.4468E-2</v>
      </c>
      <c r="Y20" s="149"/>
    </row>
    <row r="21" spans="2:25" ht="15" customHeight="1" x14ac:dyDescent="0.25">
      <c r="B21" s="79"/>
      <c r="C21" s="187" t="s">
        <v>351</v>
      </c>
      <c r="D21" s="195" t="s">
        <v>85</v>
      </c>
      <c r="E21" s="196">
        <v>1.6844000000000001E-2</v>
      </c>
      <c r="F21" s="29"/>
      <c r="G21" s="29"/>
      <c r="H21" s="29"/>
      <c r="I21" s="29"/>
      <c r="J21" s="29"/>
      <c r="K21" s="29"/>
      <c r="L21" s="29"/>
      <c r="M21" s="29"/>
      <c r="N21" s="29"/>
      <c r="O21" s="29"/>
      <c r="P21" s="29"/>
      <c r="Q21" s="29"/>
      <c r="R21" s="29"/>
      <c r="S21" s="29"/>
      <c r="T21" s="22"/>
      <c r="W21" s="173" t="s">
        <v>107</v>
      </c>
      <c r="X21" s="174">
        <v>2.1852999999999997E-2</v>
      </c>
      <c r="Y21" s="149"/>
    </row>
    <row r="22" spans="2:25" ht="15" customHeight="1" x14ac:dyDescent="0.25">
      <c r="B22" s="79"/>
      <c r="C22" s="187" t="s">
        <v>256</v>
      </c>
      <c r="D22" s="195" t="s">
        <v>110</v>
      </c>
      <c r="E22" s="196">
        <v>1.6463999999999999E-2</v>
      </c>
      <c r="F22" s="29"/>
      <c r="G22" s="29"/>
      <c r="H22" s="29"/>
      <c r="I22" s="29"/>
      <c r="J22" s="29"/>
      <c r="K22" s="29"/>
      <c r="L22" s="29"/>
      <c r="M22" s="29"/>
      <c r="N22" s="29"/>
      <c r="O22" s="29"/>
      <c r="P22" s="29"/>
      <c r="Q22" s="29"/>
      <c r="R22" s="29"/>
      <c r="S22" s="29"/>
      <c r="T22" s="22"/>
      <c r="W22" s="173" t="s">
        <v>26</v>
      </c>
      <c r="X22" s="174">
        <v>2.1055999999999998E-2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10</v>
      </c>
      <c r="X23" s="174">
        <v>2.0493999999999998E-2</v>
      </c>
      <c r="Y23" s="149"/>
    </row>
    <row r="24" spans="2:25" ht="15" customHeight="1" x14ac:dyDescent="0.25">
      <c r="B24" s="79"/>
      <c r="C24" s="73" t="s">
        <v>55</v>
      </c>
      <c r="D24" s="74"/>
      <c r="E24" s="75">
        <f>SUM(E8:E22)</f>
        <v>0.46766199999999997</v>
      </c>
      <c r="F24" s="29"/>
      <c r="G24" s="29"/>
      <c r="H24" s="29"/>
      <c r="I24" s="29"/>
      <c r="J24" s="29"/>
      <c r="K24" s="29"/>
      <c r="L24" s="29"/>
      <c r="M24" s="29"/>
      <c r="N24" s="29"/>
      <c r="O24" s="29"/>
      <c r="P24" s="29"/>
      <c r="Q24" s="29"/>
      <c r="R24" s="29"/>
      <c r="S24" s="29"/>
      <c r="T24" s="22"/>
      <c r="W24" s="173" t="s">
        <v>82</v>
      </c>
      <c r="X24" s="174">
        <v>1.9790000000000002E-2</v>
      </c>
      <c r="Y24" s="149"/>
    </row>
    <row r="25" spans="2:25" ht="15" customHeight="1" x14ac:dyDescent="0.25">
      <c r="B25" s="79"/>
      <c r="F25" s="29"/>
      <c r="G25" s="29"/>
      <c r="H25" s="29"/>
      <c r="I25" s="29"/>
      <c r="J25" s="29"/>
      <c r="K25" s="29"/>
      <c r="L25" s="29"/>
      <c r="M25" s="29"/>
      <c r="N25" s="29"/>
      <c r="O25" s="29"/>
      <c r="P25" s="29"/>
      <c r="Q25" s="29"/>
      <c r="R25" s="29"/>
      <c r="S25" s="29"/>
      <c r="T25" s="22"/>
      <c r="W25" s="173" t="s">
        <v>118</v>
      </c>
      <c r="X25" s="174">
        <v>1.822E-2</v>
      </c>
      <c r="Y25" s="149"/>
    </row>
    <row r="26" spans="2:25" ht="15" customHeight="1" x14ac:dyDescent="0.25">
      <c r="B26" s="79"/>
      <c r="F26" s="29"/>
      <c r="G26" s="29"/>
      <c r="H26" s="29"/>
      <c r="I26" s="29"/>
      <c r="J26" s="29"/>
      <c r="K26" s="29"/>
      <c r="L26" s="29"/>
      <c r="M26" s="29"/>
      <c r="N26" s="29"/>
      <c r="O26" s="29"/>
      <c r="P26" s="29"/>
      <c r="Q26" s="29"/>
      <c r="R26" s="29"/>
      <c r="S26" s="29"/>
      <c r="T26" s="22"/>
      <c r="W26" s="173" t="s">
        <v>116</v>
      </c>
      <c r="X26" s="174">
        <v>1.6899000000000001E-2</v>
      </c>
      <c r="Y26" s="149"/>
    </row>
    <row r="27" spans="2:25" ht="15" customHeight="1" x14ac:dyDescent="0.25">
      <c r="B27" s="79"/>
      <c r="F27" s="29"/>
      <c r="G27" s="29"/>
      <c r="H27" s="29"/>
      <c r="I27" s="29"/>
      <c r="J27" s="29"/>
      <c r="K27" s="29"/>
      <c r="L27" s="29"/>
      <c r="M27" s="29"/>
      <c r="N27" s="29"/>
      <c r="O27" s="29"/>
      <c r="P27" s="29"/>
      <c r="Q27" s="29"/>
      <c r="R27" s="29"/>
      <c r="S27" s="29"/>
      <c r="T27" s="22"/>
      <c r="W27" s="173" t="s">
        <v>112</v>
      </c>
      <c r="X27" s="174">
        <v>1.5613E-2</v>
      </c>
      <c r="Y27" s="149"/>
    </row>
    <row r="28" spans="2:25" ht="15" customHeight="1" x14ac:dyDescent="0.25">
      <c r="B28" s="79"/>
      <c r="F28" s="29"/>
      <c r="G28" s="29"/>
      <c r="H28" s="29"/>
      <c r="I28" s="29"/>
      <c r="J28" s="29"/>
      <c r="K28" s="29"/>
      <c r="L28" s="29"/>
      <c r="M28" s="29"/>
      <c r="N28" s="29"/>
      <c r="O28" s="29"/>
      <c r="P28" s="29"/>
      <c r="Q28" s="29"/>
      <c r="R28" s="29"/>
      <c r="S28" s="29"/>
      <c r="T28" s="22"/>
      <c r="W28" s="173" t="s">
        <v>83</v>
      </c>
      <c r="X28" s="174">
        <v>1.4577E-2</v>
      </c>
      <c r="Y28" s="149"/>
    </row>
    <row r="29" spans="2:25" ht="15" customHeight="1" x14ac:dyDescent="0.25">
      <c r="B29" s="79"/>
      <c r="F29" s="29"/>
      <c r="G29" s="29"/>
      <c r="H29" s="29"/>
      <c r="I29" s="29"/>
      <c r="J29" s="29"/>
      <c r="K29" s="29"/>
      <c r="L29" s="29"/>
      <c r="M29" s="29"/>
      <c r="N29" s="29"/>
      <c r="O29" s="29"/>
      <c r="P29" s="29"/>
      <c r="Q29" s="29"/>
      <c r="R29" s="29"/>
      <c r="S29" s="29"/>
      <c r="T29" s="22"/>
      <c r="W29" s="173" t="s">
        <v>132</v>
      </c>
      <c r="X29" s="174">
        <v>1.1995E-2</v>
      </c>
      <c r="Y29" s="149"/>
    </row>
    <row r="30" spans="2:25" ht="15" customHeight="1" x14ac:dyDescent="0.25">
      <c r="B30" s="79"/>
      <c r="F30" s="29"/>
      <c r="G30" s="29"/>
      <c r="H30" s="29"/>
      <c r="I30" s="29"/>
      <c r="J30" s="29"/>
      <c r="K30" s="29"/>
      <c r="L30" s="29"/>
      <c r="M30" s="29"/>
      <c r="N30" s="29"/>
      <c r="O30" s="29"/>
      <c r="P30" s="29"/>
      <c r="Q30" s="29"/>
      <c r="R30" s="29"/>
      <c r="S30" s="29"/>
      <c r="T30" s="22"/>
      <c r="W30" s="173" t="s">
        <v>117</v>
      </c>
      <c r="X30" s="174">
        <v>1.136E-2</v>
      </c>
    </row>
    <row r="31" spans="2:25" ht="15" customHeight="1" x14ac:dyDescent="0.25">
      <c r="B31" s="79"/>
      <c r="F31" s="29"/>
      <c r="G31" s="29"/>
      <c r="H31" s="29"/>
      <c r="I31" s="29"/>
      <c r="J31" s="29"/>
      <c r="K31" s="29"/>
      <c r="L31" s="29"/>
      <c r="M31" s="29"/>
      <c r="N31" s="29"/>
      <c r="O31" s="29"/>
      <c r="P31" s="29"/>
      <c r="Q31" s="29"/>
      <c r="R31" s="29"/>
      <c r="S31" s="29"/>
      <c r="T31" s="22"/>
      <c r="W31" s="173" t="s">
        <v>120</v>
      </c>
      <c r="X31" s="174">
        <v>1.1205E-2</v>
      </c>
    </row>
    <row r="32" spans="2:25" ht="15" customHeight="1" x14ac:dyDescent="0.25">
      <c r="B32" s="79"/>
      <c r="F32" s="29"/>
      <c r="G32" s="29"/>
      <c r="H32" s="29"/>
      <c r="I32" s="29"/>
      <c r="J32" s="29"/>
      <c r="K32" s="29"/>
      <c r="L32" s="29"/>
      <c r="M32" s="29"/>
      <c r="N32" s="29"/>
      <c r="O32" s="29"/>
      <c r="P32" s="29"/>
      <c r="Q32" s="29"/>
      <c r="R32" s="29"/>
      <c r="S32" s="29"/>
      <c r="T32" s="22"/>
      <c r="W32" s="173" t="s">
        <v>13</v>
      </c>
      <c r="X32" s="174">
        <v>9.9170000000000005E-3</v>
      </c>
    </row>
    <row r="33" spans="2:24" ht="15" customHeight="1" x14ac:dyDescent="0.25">
      <c r="B33" s="79"/>
      <c r="F33" s="29"/>
      <c r="G33" s="29"/>
      <c r="H33" s="29"/>
      <c r="I33" s="29"/>
      <c r="J33" s="29"/>
      <c r="K33" s="29"/>
      <c r="L33" s="29"/>
      <c r="M33" s="29"/>
      <c r="N33" s="29"/>
      <c r="O33" s="29"/>
      <c r="P33" s="29"/>
      <c r="Q33" s="29"/>
      <c r="R33" s="29"/>
      <c r="S33" s="29"/>
      <c r="T33" s="22"/>
      <c r="W33" s="173" t="s">
        <v>123</v>
      </c>
      <c r="X33" s="174">
        <v>8.7620000000000007E-3</v>
      </c>
    </row>
    <row r="34" spans="2:24" ht="15" customHeight="1" x14ac:dyDescent="0.25">
      <c r="B34" s="79"/>
      <c r="F34" s="29"/>
      <c r="G34" s="29"/>
      <c r="H34" s="29"/>
      <c r="I34" s="29"/>
      <c r="J34" s="29"/>
      <c r="K34" s="29"/>
      <c r="L34" s="29"/>
      <c r="M34" s="29"/>
      <c r="N34" s="29"/>
      <c r="O34" s="29"/>
      <c r="P34" s="29"/>
      <c r="Q34" s="29"/>
      <c r="R34" s="29"/>
      <c r="S34" s="29"/>
      <c r="T34" s="22"/>
      <c r="W34" s="173" t="s">
        <v>349</v>
      </c>
      <c r="X34" s="174">
        <v>8.2070000000000008E-3</v>
      </c>
    </row>
    <row r="35" spans="2:24" ht="15" customHeight="1" x14ac:dyDescent="0.25">
      <c r="B35" s="79"/>
      <c r="F35" s="29"/>
      <c r="G35" s="29"/>
      <c r="H35" s="29"/>
      <c r="I35" s="29"/>
      <c r="J35" s="29"/>
      <c r="K35" s="29"/>
      <c r="L35" s="29"/>
      <c r="M35" s="29"/>
      <c r="N35" s="29"/>
      <c r="O35" s="29"/>
      <c r="P35" s="29"/>
      <c r="Q35" s="29"/>
      <c r="R35" s="29"/>
      <c r="S35" s="29"/>
      <c r="T35" s="22"/>
      <c r="W35" s="173" t="s">
        <v>115</v>
      </c>
      <c r="X35" s="174">
        <v>4.9179999999999996E-3</v>
      </c>
    </row>
    <row r="36" spans="2:24" ht="15" customHeight="1" x14ac:dyDescent="0.25">
      <c r="B36" s="79"/>
      <c r="F36" s="29"/>
      <c r="G36" s="29"/>
      <c r="H36" s="29"/>
      <c r="I36" s="29"/>
      <c r="J36" s="29"/>
      <c r="K36" s="29"/>
      <c r="L36" s="29"/>
      <c r="M36" s="29"/>
      <c r="N36" s="29"/>
      <c r="O36" s="29"/>
      <c r="P36" s="29"/>
      <c r="Q36" s="29"/>
      <c r="R36" s="29"/>
      <c r="S36" s="29"/>
      <c r="T36" s="22"/>
      <c r="W36" s="173" t="s">
        <v>24</v>
      </c>
      <c r="X36" s="174">
        <v>3.2810000000000001E-3</v>
      </c>
    </row>
    <row r="37" spans="2:24" ht="15" customHeight="1" x14ac:dyDescent="0.25">
      <c r="B37" s="79"/>
      <c r="F37" s="29"/>
      <c r="G37" s="29"/>
      <c r="H37" s="29"/>
      <c r="I37" s="29"/>
      <c r="J37" s="29"/>
      <c r="K37" s="29"/>
      <c r="L37" s="29"/>
      <c r="M37" s="29"/>
      <c r="N37" s="29"/>
      <c r="O37" s="29"/>
      <c r="P37" s="29"/>
      <c r="Q37" s="29"/>
      <c r="R37" s="29"/>
      <c r="S37" s="29"/>
      <c r="T37" s="22"/>
      <c r="W37" s="173"/>
      <c r="X37" s="174"/>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95" t="s">
        <v>181</v>
      </c>
      <c r="C40" s="296"/>
      <c r="D40" s="296"/>
      <c r="E40" s="296"/>
      <c r="F40" s="296"/>
      <c r="G40" s="296"/>
      <c r="H40" s="296"/>
      <c r="I40" s="296"/>
      <c r="J40" s="296"/>
      <c r="K40" s="296"/>
      <c r="L40" s="296"/>
      <c r="M40" s="296"/>
      <c r="N40" s="296"/>
      <c r="O40" s="296"/>
      <c r="P40" s="296"/>
      <c r="Q40" s="296"/>
      <c r="R40" s="297"/>
    </row>
    <row r="41" spans="2:24" ht="15" customHeight="1" x14ac:dyDescent="0.25">
      <c r="B41" s="298"/>
      <c r="C41" s="299"/>
      <c r="D41" s="299"/>
      <c r="E41" s="299"/>
      <c r="F41" s="299"/>
      <c r="G41" s="299"/>
      <c r="H41" s="299"/>
      <c r="I41" s="299"/>
      <c r="J41" s="299"/>
      <c r="K41" s="299"/>
      <c r="L41" s="299"/>
      <c r="M41" s="299"/>
      <c r="N41" s="299"/>
      <c r="O41" s="299"/>
      <c r="P41" s="299"/>
      <c r="Q41" s="299"/>
      <c r="R41" s="300"/>
    </row>
    <row r="42" spans="2:24" ht="15" customHeight="1" x14ac:dyDescent="0.25">
      <c r="B42" s="298"/>
      <c r="C42" s="299"/>
      <c r="D42" s="299"/>
      <c r="E42" s="299"/>
      <c r="F42" s="299"/>
      <c r="G42" s="299"/>
      <c r="H42" s="299"/>
      <c r="I42" s="299"/>
      <c r="J42" s="299"/>
      <c r="K42" s="299"/>
      <c r="L42" s="299"/>
      <c r="M42" s="299"/>
      <c r="N42" s="299"/>
      <c r="O42" s="299"/>
      <c r="P42" s="299"/>
      <c r="Q42" s="299"/>
      <c r="R42" s="300"/>
    </row>
    <row r="43" spans="2:24" ht="15" customHeight="1" x14ac:dyDescent="0.25">
      <c r="B43" s="298"/>
      <c r="C43" s="299"/>
      <c r="D43" s="299"/>
      <c r="E43" s="299"/>
      <c r="F43" s="299"/>
      <c r="G43" s="299"/>
      <c r="H43" s="299"/>
      <c r="I43" s="299"/>
      <c r="J43" s="299"/>
      <c r="K43" s="299"/>
      <c r="L43" s="299"/>
      <c r="M43" s="299"/>
      <c r="N43" s="299"/>
      <c r="O43" s="299"/>
      <c r="P43" s="299"/>
      <c r="Q43" s="299"/>
      <c r="R43" s="300"/>
    </row>
    <row r="44" spans="2:24" ht="15" customHeight="1" x14ac:dyDescent="0.25">
      <c r="B44" s="298"/>
      <c r="C44" s="299"/>
      <c r="D44" s="299"/>
      <c r="E44" s="299"/>
      <c r="F44" s="299"/>
      <c r="G44" s="299"/>
      <c r="H44" s="299"/>
      <c r="I44" s="299"/>
      <c r="J44" s="299"/>
      <c r="K44" s="299"/>
      <c r="L44" s="299"/>
      <c r="M44" s="299"/>
      <c r="N44" s="299"/>
      <c r="O44" s="299"/>
      <c r="P44" s="299"/>
      <c r="Q44" s="299"/>
      <c r="R44" s="300"/>
    </row>
    <row r="45" spans="2:24" ht="15" customHeight="1" x14ac:dyDescent="0.25">
      <c r="B45" s="298"/>
      <c r="C45" s="299"/>
      <c r="D45" s="299"/>
      <c r="E45" s="299"/>
      <c r="F45" s="299"/>
      <c r="G45" s="299"/>
      <c r="H45" s="299"/>
      <c r="I45" s="299"/>
      <c r="J45" s="299"/>
      <c r="K45" s="299"/>
      <c r="L45" s="299"/>
      <c r="M45" s="299"/>
      <c r="N45" s="299"/>
      <c r="O45" s="299"/>
      <c r="P45" s="299"/>
      <c r="Q45" s="299"/>
      <c r="R45" s="300"/>
    </row>
    <row r="46" spans="2:24" ht="15" customHeight="1" thickBot="1" x14ac:dyDescent="0.3">
      <c r="B46" s="301"/>
      <c r="C46" s="302"/>
      <c r="D46" s="302"/>
      <c r="E46" s="302"/>
      <c r="F46" s="302"/>
      <c r="G46" s="302"/>
      <c r="H46" s="302"/>
      <c r="I46" s="302"/>
      <c r="J46" s="302"/>
      <c r="K46" s="302"/>
      <c r="L46" s="302"/>
      <c r="M46" s="302"/>
      <c r="N46" s="302"/>
      <c r="O46" s="302"/>
      <c r="P46" s="302"/>
      <c r="Q46" s="302"/>
      <c r="R46" s="30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89" t="s">
        <v>161</v>
      </c>
      <c r="D3" s="289"/>
      <c r="E3" s="289"/>
      <c r="F3" s="289"/>
      <c r="G3" s="289"/>
      <c r="H3" s="289"/>
      <c r="I3" s="289"/>
      <c r="J3" s="289"/>
      <c r="K3" s="289"/>
      <c r="L3" s="289"/>
      <c r="M3" s="289"/>
      <c r="N3" s="289"/>
      <c r="O3" s="289"/>
      <c r="P3" s="289"/>
      <c r="Q3" s="20"/>
    </row>
    <row r="4" spans="2:27" ht="15.75" x14ac:dyDescent="0.25">
      <c r="B4" s="93"/>
      <c r="C4" s="67" t="s">
        <v>387</v>
      </c>
      <c r="D4" s="5"/>
      <c r="E4" s="5"/>
      <c r="F4" s="5"/>
      <c r="G4" s="5"/>
      <c r="H4" s="5"/>
      <c r="I4" s="5"/>
      <c r="J4" s="5"/>
      <c r="K4" s="5"/>
      <c r="L4" s="5"/>
      <c r="M4" s="5"/>
      <c r="N4" s="5"/>
      <c r="O4" s="5"/>
      <c r="P4" s="5"/>
      <c r="Q4" s="20"/>
    </row>
    <row r="5" spans="2:27" ht="20.25" x14ac:dyDescent="0.2">
      <c r="B5" s="93"/>
      <c r="C5" s="220" t="s">
        <v>386</v>
      </c>
      <c r="D5" s="306" t="s">
        <v>403</v>
      </c>
      <c r="E5" s="306"/>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162</v>
      </c>
      <c r="T7" s="171"/>
    </row>
    <row r="8" spans="2:27" ht="15.75" x14ac:dyDescent="0.25">
      <c r="B8" s="93"/>
      <c r="C8" s="102"/>
      <c r="D8" s="38"/>
      <c r="E8" s="217"/>
      <c r="F8" s="5"/>
      <c r="G8" s="5"/>
      <c r="H8" s="5"/>
      <c r="I8" s="5"/>
      <c r="J8" s="5"/>
      <c r="K8" s="5"/>
      <c r="L8" s="5"/>
      <c r="M8" s="5"/>
      <c r="N8" s="5"/>
      <c r="O8" s="5"/>
      <c r="P8" s="5"/>
      <c r="Q8" s="20"/>
      <c r="R8" s="12" t="s">
        <v>39</v>
      </c>
      <c r="S8" s="13">
        <f>E9</f>
        <v>0.66741499999999998</v>
      </c>
      <c r="T8" s="171"/>
      <c r="V8" s="56"/>
      <c r="W8" s="57"/>
      <c r="Z8" s="43"/>
      <c r="AA8" s="43"/>
    </row>
    <row r="9" spans="2:27" ht="15.75" x14ac:dyDescent="0.25">
      <c r="B9" s="93"/>
      <c r="C9" s="128" t="s">
        <v>39</v>
      </c>
      <c r="D9" s="125"/>
      <c r="E9" s="190">
        <v>0.66741499999999998</v>
      </c>
      <c r="F9" s="47"/>
      <c r="G9" s="5"/>
      <c r="H9" s="5"/>
      <c r="I9" s="5"/>
      <c r="J9" s="5"/>
      <c r="K9" s="5"/>
      <c r="L9" s="5"/>
      <c r="M9" s="5"/>
      <c r="N9" s="5"/>
      <c r="O9" s="5"/>
      <c r="P9" s="5"/>
      <c r="Q9" s="20"/>
      <c r="R9" s="12" t="s">
        <v>40</v>
      </c>
      <c r="S9" s="13">
        <f>100%-S8</f>
        <v>0.33258500000000002</v>
      </c>
      <c r="T9" s="171"/>
      <c r="V9" s="56"/>
      <c r="W9" s="57"/>
      <c r="Z9" s="43"/>
      <c r="AA9" s="43"/>
    </row>
    <row r="10" spans="2:27" ht="15.75" x14ac:dyDescent="0.25">
      <c r="B10" s="93"/>
      <c r="C10" s="102"/>
      <c r="D10" s="38"/>
      <c r="E10" s="216"/>
      <c r="F10" s="47"/>
      <c r="G10" s="5"/>
      <c r="H10" s="5"/>
      <c r="I10" s="5"/>
      <c r="J10" s="5"/>
      <c r="K10" s="5"/>
      <c r="L10" s="5"/>
      <c r="M10" s="5"/>
      <c r="N10" s="5"/>
      <c r="O10" s="5"/>
      <c r="P10" s="5"/>
      <c r="Q10" s="20"/>
      <c r="R10" s="172"/>
      <c r="S10" s="171"/>
      <c r="T10" s="171"/>
      <c r="V10" s="56"/>
      <c r="W10" s="57"/>
      <c r="Z10" s="43"/>
      <c r="AA10" s="43"/>
    </row>
    <row r="11" spans="2:27" ht="15.75" x14ac:dyDescent="0.25">
      <c r="B11" s="93"/>
      <c r="C11" s="128" t="s">
        <v>360</v>
      </c>
      <c r="D11" s="125"/>
      <c r="E11" s="190">
        <v>2.2335000000000001E-2</v>
      </c>
      <c r="F11" s="47"/>
      <c r="G11" s="5"/>
      <c r="H11" s="5"/>
      <c r="I11" s="5"/>
      <c r="J11" s="5"/>
      <c r="K11" s="5"/>
      <c r="L11" s="5"/>
      <c r="M11" s="5"/>
      <c r="N11" s="5"/>
      <c r="O11" s="5"/>
      <c r="P11" s="5"/>
      <c r="Q11" s="20"/>
      <c r="R11" s="14"/>
      <c r="S11" s="1"/>
      <c r="T11" s="1"/>
      <c r="V11" s="56"/>
      <c r="W11" s="57"/>
    </row>
    <row r="12" spans="2:27" ht="15.75" x14ac:dyDescent="0.25">
      <c r="B12" s="93"/>
      <c r="C12" s="102"/>
      <c r="D12" s="38"/>
      <c r="E12" s="222"/>
      <c r="F12" s="47"/>
      <c r="G12" s="5"/>
      <c r="H12" s="5"/>
      <c r="I12" s="5"/>
      <c r="J12" s="5"/>
      <c r="K12" s="5"/>
      <c r="L12" s="5"/>
      <c r="M12" s="5"/>
      <c r="N12" s="5"/>
      <c r="O12" s="5"/>
      <c r="P12" s="5"/>
      <c r="Q12" s="20"/>
      <c r="R12" s="14"/>
      <c r="S12" s="1"/>
      <c r="T12" s="1"/>
      <c r="V12" s="56"/>
      <c r="W12" s="57"/>
    </row>
    <row r="13" spans="2:27" ht="15.75" x14ac:dyDescent="0.25">
      <c r="B13" s="93"/>
      <c r="C13" s="128" t="s">
        <v>41</v>
      </c>
      <c r="D13" s="125"/>
      <c r="E13" s="190">
        <v>3.6297999999999997E-2</v>
      </c>
      <c r="F13" s="47"/>
      <c r="G13" s="5"/>
      <c r="H13" s="5"/>
      <c r="I13" s="5"/>
      <c r="J13" s="5"/>
      <c r="K13" s="5"/>
      <c r="L13" s="5"/>
      <c r="M13" s="5"/>
      <c r="N13" s="5"/>
      <c r="O13" s="5"/>
      <c r="P13" s="5"/>
      <c r="Q13" s="20"/>
      <c r="R13" s="49"/>
      <c r="V13" s="56"/>
      <c r="W13" s="57"/>
    </row>
    <row r="14" spans="2:27" ht="15.75" x14ac:dyDescent="0.25">
      <c r="B14" s="93"/>
      <c r="C14" s="102"/>
      <c r="D14" s="38"/>
      <c r="E14" s="222"/>
      <c r="F14" s="47"/>
      <c r="G14" s="5"/>
      <c r="H14" s="5"/>
      <c r="I14" s="5"/>
      <c r="J14" s="5"/>
      <c r="K14" s="5"/>
      <c r="L14" s="5"/>
      <c r="M14" s="5"/>
      <c r="N14" s="5"/>
      <c r="O14" s="5"/>
      <c r="P14" s="5"/>
      <c r="Q14" s="20"/>
      <c r="R14" s="49"/>
      <c r="V14" s="56"/>
      <c r="W14" s="57"/>
    </row>
    <row r="15" spans="2:27" ht="15.75" x14ac:dyDescent="0.25">
      <c r="B15" s="93"/>
      <c r="C15" s="128" t="s">
        <v>42</v>
      </c>
      <c r="D15" s="125"/>
      <c r="E15" s="190">
        <v>6.6299999999999996E-4</v>
      </c>
      <c r="F15" s="47"/>
      <c r="G15" s="5"/>
      <c r="H15" s="5"/>
      <c r="I15" s="5"/>
      <c r="J15" s="5"/>
      <c r="K15" s="5"/>
      <c r="L15" s="5"/>
      <c r="M15" s="5"/>
      <c r="N15" s="5"/>
      <c r="O15" s="5"/>
      <c r="P15" s="5"/>
      <c r="Q15" s="20"/>
      <c r="R15" s="49"/>
      <c r="V15" s="56"/>
      <c r="W15" s="57"/>
    </row>
    <row r="16" spans="2:27" ht="15.75" x14ac:dyDescent="0.25">
      <c r="B16" s="93"/>
      <c r="C16" s="102"/>
      <c r="D16" s="38"/>
      <c r="E16" s="222"/>
      <c r="F16" s="47"/>
      <c r="G16" s="5"/>
      <c r="H16" s="5"/>
      <c r="I16" s="5"/>
      <c r="J16" s="5"/>
      <c r="K16" s="5"/>
      <c r="L16" s="5"/>
      <c r="M16" s="5"/>
      <c r="N16" s="5"/>
      <c r="O16" s="5"/>
      <c r="P16" s="5"/>
      <c r="Q16" s="20"/>
      <c r="R16" s="49"/>
      <c r="V16" s="56"/>
      <c r="W16" s="57"/>
    </row>
    <row r="17" spans="1:27" ht="15.75" x14ac:dyDescent="0.25">
      <c r="B17" s="93"/>
      <c r="C17" s="128" t="s">
        <v>315</v>
      </c>
      <c r="D17" s="125"/>
      <c r="E17" s="190">
        <v>1.3145E-2</v>
      </c>
      <c r="F17" s="47"/>
      <c r="G17" s="29"/>
      <c r="H17" s="29"/>
      <c r="I17" s="29"/>
      <c r="J17" s="29"/>
      <c r="K17" s="29"/>
      <c r="L17" s="29"/>
      <c r="M17" s="29"/>
      <c r="N17" s="29"/>
      <c r="O17" s="29"/>
      <c r="P17" s="29"/>
      <c r="Q17" s="20"/>
      <c r="R17" s="49"/>
    </row>
    <row r="18" spans="1:27" ht="15.75" x14ac:dyDescent="0.25">
      <c r="B18" s="93"/>
      <c r="C18" s="102"/>
      <c r="D18" s="38"/>
      <c r="E18" s="222"/>
      <c r="F18" s="5"/>
      <c r="G18" s="29"/>
      <c r="H18" s="29"/>
      <c r="I18" s="29"/>
      <c r="J18" s="29"/>
      <c r="K18" s="29"/>
      <c r="L18" s="29"/>
      <c r="M18" s="29"/>
      <c r="N18" s="29"/>
      <c r="O18" s="29"/>
      <c r="P18" s="29"/>
      <c r="Q18" s="20"/>
      <c r="R18" s="49"/>
    </row>
    <row r="19" spans="1:27" x14ac:dyDescent="0.2">
      <c r="B19" s="93"/>
      <c r="C19" s="102" t="s">
        <v>217</v>
      </c>
      <c r="D19" s="38"/>
      <c r="E19" s="222">
        <v>0.12684000000000001</v>
      </c>
      <c r="F19" s="148"/>
      <c r="G19" s="5"/>
      <c r="H19" s="5"/>
      <c r="I19" s="5"/>
      <c r="J19" s="5"/>
      <c r="K19" s="5"/>
      <c r="L19" s="5"/>
      <c r="M19" s="5"/>
      <c r="N19" s="5"/>
      <c r="O19" s="5"/>
      <c r="P19" s="5"/>
      <c r="Q19" s="20"/>
      <c r="R19" s="49"/>
    </row>
    <row r="20" spans="1:27" x14ac:dyDescent="0.2">
      <c r="B20" s="93"/>
      <c r="C20" s="102" t="s">
        <v>174</v>
      </c>
      <c r="D20" s="38"/>
      <c r="E20" s="222">
        <v>6.7090999999999998E-2</v>
      </c>
      <c r="F20" s="5"/>
      <c r="G20" s="5"/>
      <c r="H20" s="5"/>
      <c r="I20" s="5"/>
      <c r="J20" s="5"/>
      <c r="K20" s="5"/>
      <c r="L20" s="5"/>
      <c r="M20" s="5"/>
      <c r="N20" s="5"/>
      <c r="O20" s="5"/>
      <c r="P20" s="5"/>
      <c r="Q20" s="20"/>
      <c r="R20" s="49"/>
    </row>
    <row r="21" spans="1:27" x14ac:dyDescent="0.2">
      <c r="B21" s="93"/>
      <c r="C21" s="102" t="s">
        <v>175</v>
      </c>
      <c r="D21" s="38"/>
      <c r="E21" s="222">
        <v>2.6931E-2</v>
      </c>
      <c r="F21" s="5"/>
      <c r="G21" s="5"/>
      <c r="H21" s="5"/>
      <c r="I21" s="5"/>
      <c r="J21" s="5"/>
      <c r="K21" s="5"/>
      <c r="L21" s="5"/>
      <c r="M21" s="5"/>
      <c r="N21" s="5"/>
      <c r="O21" s="5"/>
      <c r="P21" s="5"/>
      <c r="Q21" s="20"/>
      <c r="R21" s="49"/>
    </row>
    <row r="22" spans="1:27" ht="15.75" x14ac:dyDescent="0.2">
      <c r="B22" s="93"/>
      <c r="C22" s="128" t="s">
        <v>216</v>
      </c>
      <c r="D22" s="125"/>
      <c r="E22" s="190">
        <v>0.220862</v>
      </c>
      <c r="F22" s="5"/>
      <c r="G22" s="5"/>
      <c r="H22" s="5"/>
      <c r="I22" s="5"/>
      <c r="J22" s="5"/>
      <c r="K22" s="5"/>
      <c r="L22" s="5"/>
      <c r="M22" s="5"/>
      <c r="N22" s="5"/>
      <c r="O22" s="5"/>
      <c r="P22" s="5"/>
      <c r="Q22" s="20"/>
      <c r="R22" s="49"/>
    </row>
    <row r="23" spans="1:27" x14ac:dyDescent="0.2">
      <c r="B23" s="93"/>
      <c r="C23" s="102"/>
      <c r="D23" s="38"/>
      <c r="E23" s="216"/>
      <c r="F23" s="5"/>
      <c r="G23" s="5"/>
      <c r="H23" s="5"/>
      <c r="I23" s="5"/>
      <c r="J23" s="5"/>
      <c r="K23" s="5"/>
      <c r="L23" s="5"/>
      <c r="M23" s="5"/>
      <c r="N23" s="5"/>
      <c r="O23" s="5"/>
      <c r="P23" s="5"/>
      <c r="Q23" s="20"/>
      <c r="R23" s="49"/>
    </row>
    <row r="24" spans="1:27" ht="15.75" x14ac:dyDescent="0.2">
      <c r="B24" s="93"/>
      <c r="C24" s="128" t="s">
        <v>20</v>
      </c>
      <c r="D24" s="125"/>
      <c r="E24" s="190">
        <v>3.9281999999999949E-2</v>
      </c>
      <c r="F24" s="148"/>
      <c r="G24" s="5"/>
      <c r="H24" s="5"/>
      <c r="I24" s="5"/>
      <c r="J24" s="5"/>
      <c r="K24" s="5"/>
      <c r="L24" s="5"/>
      <c r="M24" s="5"/>
      <c r="N24" s="5"/>
      <c r="O24" s="5"/>
      <c r="P24" s="5"/>
      <c r="Q24" s="20"/>
      <c r="R24" s="49"/>
    </row>
    <row r="25" spans="1:27" x14ac:dyDescent="0.2">
      <c r="B25" s="93"/>
      <c r="C25" s="102"/>
      <c r="D25" s="38"/>
      <c r="E25" s="216"/>
      <c r="F25" s="5"/>
      <c r="G25" s="5"/>
      <c r="H25" s="5"/>
      <c r="I25" s="5"/>
      <c r="J25" s="5"/>
      <c r="K25" s="5"/>
      <c r="L25" s="5"/>
      <c r="M25" s="5"/>
      <c r="N25" s="5"/>
      <c r="O25" s="5"/>
      <c r="P25" s="5"/>
      <c r="Q25" s="20"/>
      <c r="R25" s="49"/>
    </row>
    <row r="26" spans="1:27" ht="15.75" x14ac:dyDescent="0.2">
      <c r="B26" s="93"/>
      <c r="C26" s="213" t="s">
        <v>21</v>
      </c>
      <c r="D26" s="223"/>
      <c r="E26" s="218">
        <f>SUM(E11,E13,E15,E17,E22,E24,E9)</f>
        <v>0.99999999999999989</v>
      </c>
      <c r="F26" s="5"/>
      <c r="G26" s="5"/>
      <c r="H26" s="5"/>
      <c r="I26" s="5"/>
      <c r="J26" s="5"/>
      <c r="K26" s="5"/>
      <c r="L26" s="5"/>
      <c r="M26" s="5"/>
      <c r="N26" s="5"/>
      <c r="O26" s="5"/>
      <c r="P26" s="5"/>
      <c r="Q26" s="20"/>
      <c r="R26" s="49"/>
    </row>
    <row r="27" spans="1:27" ht="15.75" thickBot="1" x14ac:dyDescent="0.25">
      <c r="A27" s="5"/>
      <c r="B27" s="96"/>
      <c r="C27" s="45"/>
      <c r="D27" s="45"/>
      <c r="E27" s="45"/>
      <c r="F27" s="45"/>
      <c r="G27" s="45"/>
      <c r="H27" s="45"/>
      <c r="I27" s="45"/>
      <c r="J27" s="45"/>
      <c r="K27" s="45"/>
      <c r="L27" s="45"/>
      <c r="M27" s="45"/>
      <c r="N27" s="45"/>
      <c r="O27" s="45"/>
      <c r="P27" s="45"/>
      <c r="Q27" s="118"/>
      <c r="R27" s="5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50"/>
      <c r="S28" s="5"/>
      <c r="T28" s="5"/>
      <c r="U28" s="5"/>
      <c r="V28" s="5"/>
      <c r="W28" s="5"/>
      <c r="X28" s="5"/>
      <c r="Y28" s="5"/>
      <c r="Z28" s="5"/>
      <c r="AA28" s="5"/>
    </row>
    <row r="29" spans="1:27" ht="15" customHeight="1" x14ac:dyDescent="0.2">
      <c r="A29" s="5"/>
      <c r="B29" s="295" t="s">
        <v>181</v>
      </c>
      <c r="C29" s="296"/>
      <c r="D29" s="296"/>
      <c r="E29" s="296"/>
      <c r="F29" s="296"/>
      <c r="G29" s="296"/>
      <c r="H29" s="296"/>
      <c r="I29" s="296"/>
      <c r="J29" s="296"/>
      <c r="K29" s="296"/>
      <c r="L29" s="296"/>
      <c r="M29" s="296"/>
      <c r="N29" s="296"/>
      <c r="O29" s="296"/>
      <c r="P29" s="296"/>
      <c r="Q29" s="296"/>
      <c r="R29" s="297"/>
      <c r="S29" s="5"/>
      <c r="T29" s="5"/>
      <c r="U29" s="5"/>
      <c r="V29" s="5"/>
      <c r="W29" s="5"/>
      <c r="X29" s="5"/>
      <c r="Y29" s="5"/>
      <c r="Z29" s="5"/>
      <c r="AA29" s="5"/>
    </row>
    <row r="30" spans="1:27" x14ac:dyDescent="0.2">
      <c r="A30" s="5"/>
      <c r="B30" s="298"/>
      <c r="C30" s="299"/>
      <c r="D30" s="299"/>
      <c r="E30" s="299"/>
      <c r="F30" s="299"/>
      <c r="G30" s="299"/>
      <c r="H30" s="299"/>
      <c r="I30" s="299"/>
      <c r="J30" s="299"/>
      <c r="K30" s="299"/>
      <c r="L30" s="299"/>
      <c r="M30" s="299"/>
      <c r="N30" s="299"/>
      <c r="O30" s="299"/>
      <c r="P30" s="299"/>
      <c r="Q30" s="299"/>
      <c r="R30" s="300"/>
      <c r="S30" s="5"/>
      <c r="T30" s="5"/>
      <c r="U30" s="5"/>
      <c r="V30" s="5"/>
      <c r="W30" s="5"/>
      <c r="X30" s="5"/>
      <c r="Y30" s="5"/>
      <c r="Z30" s="5"/>
      <c r="AA30" s="5"/>
    </row>
    <row r="31" spans="1:27" x14ac:dyDescent="0.2">
      <c r="A31" s="5"/>
      <c r="B31" s="298"/>
      <c r="C31" s="299"/>
      <c r="D31" s="299"/>
      <c r="E31" s="299"/>
      <c r="F31" s="299"/>
      <c r="G31" s="299"/>
      <c r="H31" s="299"/>
      <c r="I31" s="299"/>
      <c r="J31" s="299"/>
      <c r="K31" s="299"/>
      <c r="L31" s="299"/>
      <c r="M31" s="299"/>
      <c r="N31" s="299"/>
      <c r="O31" s="299"/>
      <c r="P31" s="299"/>
      <c r="Q31" s="299"/>
      <c r="R31" s="300"/>
      <c r="S31" s="5"/>
      <c r="T31" s="5"/>
      <c r="U31" s="5"/>
      <c r="V31" s="5"/>
      <c r="W31" s="5"/>
      <c r="X31" s="5"/>
      <c r="Y31" s="5"/>
      <c r="Z31" s="5"/>
      <c r="AA31" s="5"/>
    </row>
    <row r="32" spans="1:27" x14ac:dyDescent="0.2">
      <c r="A32" s="5"/>
      <c r="B32" s="298"/>
      <c r="C32" s="299"/>
      <c r="D32" s="299"/>
      <c r="E32" s="299"/>
      <c r="F32" s="299"/>
      <c r="G32" s="299"/>
      <c r="H32" s="299"/>
      <c r="I32" s="299"/>
      <c r="J32" s="299"/>
      <c r="K32" s="299"/>
      <c r="L32" s="299"/>
      <c r="M32" s="299"/>
      <c r="N32" s="299"/>
      <c r="O32" s="299"/>
      <c r="P32" s="299"/>
      <c r="Q32" s="299"/>
      <c r="R32" s="300"/>
      <c r="S32" s="5"/>
      <c r="T32" s="5"/>
      <c r="U32" s="5"/>
      <c r="V32" s="5"/>
      <c r="W32" s="5"/>
      <c r="X32" s="5"/>
      <c r="Y32" s="5"/>
      <c r="Z32" s="5"/>
      <c r="AA32" s="5"/>
    </row>
    <row r="33" spans="1:27" x14ac:dyDescent="0.2">
      <c r="A33" s="5"/>
      <c r="B33" s="298"/>
      <c r="C33" s="299"/>
      <c r="D33" s="299"/>
      <c r="E33" s="299"/>
      <c r="F33" s="299"/>
      <c r="G33" s="299"/>
      <c r="H33" s="299"/>
      <c r="I33" s="299"/>
      <c r="J33" s="299"/>
      <c r="K33" s="299"/>
      <c r="L33" s="299"/>
      <c r="M33" s="299"/>
      <c r="N33" s="299"/>
      <c r="O33" s="299"/>
      <c r="P33" s="299"/>
      <c r="Q33" s="299"/>
      <c r="R33" s="300"/>
      <c r="S33" s="5"/>
      <c r="T33" s="5"/>
      <c r="U33" s="5"/>
      <c r="V33" s="5"/>
      <c r="W33" s="5"/>
      <c r="X33" s="5"/>
      <c r="Y33" s="5"/>
      <c r="Z33" s="5"/>
      <c r="AA33" s="5"/>
    </row>
    <row r="34" spans="1:27" x14ac:dyDescent="0.2">
      <c r="A34" s="5"/>
      <c r="B34" s="298"/>
      <c r="C34" s="299"/>
      <c r="D34" s="299"/>
      <c r="E34" s="299"/>
      <c r="F34" s="299"/>
      <c r="G34" s="299"/>
      <c r="H34" s="299"/>
      <c r="I34" s="299"/>
      <c r="J34" s="299"/>
      <c r="K34" s="299"/>
      <c r="L34" s="299"/>
      <c r="M34" s="299"/>
      <c r="N34" s="299"/>
      <c r="O34" s="299"/>
      <c r="P34" s="299"/>
      <c r="Q34" s="299"/>
      <c r="R34" s="300"/>
      <c r="S34" s="5"/>
      <c r="T34" s="5"/>
      <c r="U34" s="5"/>
      <c r="V34" s="5"/>
      <c r="W34" s="5"/>
      <c r="X34" s="5"/>
      <c r="Y34" s="5"/>
      <c r="Z34" s="5"/>
      <c r="AA34" s="5"/>
    </row>
    <row r="35" spans="1:27" ht="15.75" thickBot="1" x14ac:dyDescent="0.25">
      <c r="A35" s="5"/>
      <c r="B35" s="301"/>
      <c r="C35" s="302"/>
      <c r="D35" s="302"/>
      <c r="E35" s="302"/>
      <c r="F35" s="302"/>
      <c r="G35" s="302"/>
      <c r="H35" s="302"/>
      <c r="I35" s="302"/>
      <c r="J35" s="302"/>
      <c r="K35" s="302"/>
      <c r="L35" s="302"/>
      <c r="M35" s="302"/>
      <c r="N35" s="302"/>
      <c r="O35" s="302"/>
      <c r="P35" s="302"/>
      <c r="Q35" s="302"/>
      <c r="R35" s="303"/>
      <c r="S35" s="5"/>
      <c r="T35" s="5"/>
      <c r="U35" s="5"/>
      <c r="V35" s="5"/>
      <c r="W35" s="5"/>
      <c r="X35" s="5"/>
      <c r="Y35" s="5"/>
      <c r="Z35" s="5"/>
      <c r="AA35" s="5"/>
    </row>
    <row r="36" spans="1:27" x14ac:dyDescent="0.2">
      <c r="A36" s="5"/>
      <c r="B36" s="5"/>
      <c r="F36" s="5"/>
      <c r="G36" s="5"/>
      <c r="H36" s="5"/>
      <c r="I36" s="5"/>
      <c r="J36" s="5"/>
      <c r="K36" s="5"/>
      <c r="L36" s="5"/>
      <c r="M36" s="5"/>
      <c r="N36" s="5"/>
      <c r="O36" s="5"/>
      <c r="P36" s="5"/>
      <c r="Q36" s="5"/>
      <c r="R36" s="50"/>
      <c r="S36" s="5"/>
      <c r="T36" s="5"/>
      <c r="U36" s="5"/>
      <c r="V36" s="5"/>
      <c r="W36" s="5"/>
      <c r="X36" s="5"/>
      <c r="Y36" s="5"/>
      <c r="Z36" s="5"/>
      <c r="AA36" s="5"/>
    </row>
    <row r="37" spans="1:27" x14ac:dyDescent="0.2">
      <c r="A37" s="5"/>
      <c r="B37" s="5"/>
      <c r="F37" s="5"/>
      <c r="G37" s="5"/>
      <c r="H37" s="5"/>
      <c r="I37" s="5"/>
      <c r="J37" s="5"/>
      <c r="K37" s="5"/>
      <c r="L37" s="5"/>
      <c r="M37" s="5"/>
      <c r="N37" s="5"/>
      <c r="O37" s="5"/>
      <c r="P37" s="5"/>
      <c r="Q37" s="5"/>
      <c r="R37" s="50"/>
      <c r="S37" s="5"/>
      <c r="T37" s="5"/>
      <c r="U37" s="5"/>
      <c r="V37" s="5"/>
      <c r="W37" s="5"/>
      <c r="X37" s="5"/>
      <c r="Y37" s="5"/>
      <c r="Z37" s="5"/>
      <c r="AA37" s="5"/>
    </row>
    <row r="38" spans="1:27" x14ac:dyDescent="0.2">
      <c r="A38" s="5"/>
      <c r="B38" s="5"/>
      <c r="F38" s="5"/>
      <c r="G38" s="5"/>
      <c r="H38" s="5"/>
      <c r="I38" s="5"/>
      <c r="J38" s="5"/>
      <c r="K38" s="5"/>
      <c r="L38" s="5"/>
      <c r="M38" s="5"/>
      <c r="N38" s="5"/>
      <c r="O38" s="5"/>
      <c r="P38" s="5"/>
      <c r="Q38" s="5"/>
      <c r="R38" s="50"/>
      <c r="S38" s="5"/>
      <c r="T38" s="5"/>
      <c r="U38" s="5"/>
      <c r="V38" s="5"/>
      <c r="W38" s="5"/>
      <c r="X38" s="5"/>
      <c r="Y38" s="5"/>
      <c r="Z38" s="5"/>
      <c r="AA38" s="5"/>
    </row>
    <row r="39" spans="1:27" x14ac:dyDescent="0.2">
      <c r="A39" s="5"/>
      <c r="B39" s="5"/>
      <c r="F39" s="5"/>
      <c r="G39" s="5"/>
      <c r="H39" s="5"/>
      <c r="I39" s="5"/>
      <c r="J39" s="5"/>
      <c r="K39" s="5"/>
      <c r="L39" s="5"/>
      <c r="M39" s="5"/>
      <c r="N39" s="5"/>
      <c r="O39" s="5"/>
      <c r="P39" s="5"/>
      <c r="Q39" s="5"/>
      <c r="R39" s="5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49"/>
    </row>
    <row r="99" spans="1:27" x14ac:dyDescent="0.2">
      <c r="B99" s="5"/>
      <c r="C99" s="5"/>
      <c r="D99" s="5"/>
      <c r="E99" s="5"/>
      <c r="F99" s="5"/>
      <c r="G99" s="5"/>
      <c r="H99" s="5"/>
      <c r="I99" s="5"/>
      <c r="J99" s="5"/>
      <c r="K99" s="5"/>
      <c r="L99" s="5"/>
      <c r="M99" s="5"/>
      <c r="N99" s="5"/>
      <c r="O99" s="5"/>
      <c r="P99" s="5"/>
      <c r="Q99" s="5"/>
      <c r="R99" s="49"/>
    </row>
    <row r="100" spans="1:27" x14ac:dyDescent="0.2">
      <c r="B100" s="5"/>
      <c r="C100" s="5"/>
      <c r="D100" s="5"/>
      <c r="E100" s="5"/>
      <c r="F100" s="5"/>
      <c r="G100" s="5"/>
      <c r="H100" s="5"/>
      <c r="I100" s="5"/>
      <c r="J100" s="5"/>
      <c r="K100" s="5"/>
      <c r="L100" s="5"/>
      <c r="M100" s="5"/>
      <c r="N100" s="5"/>
      <c r="O100" s="5"/>
      <c r="P100" s="5"/>
      <c r="Q100" s="5"/>
      <c r="R100" s="49"/>
    </row>
    <row r="101" spans="1:27" x14ac:dyDescent="0.2">
      <c r="B101" s="5"/>
      <c r="C101" s="5"/>
      <c r="D101" s="5"/>
      <c r="E101" s="5"/>
      <c r="F101" s="5"/>
      <c r="G101" s="5"/>
      <c r="H101" s="5"/>
      <c r="I101" s="5"/>
      <c r="J101" s="5"/>
      <c r="K101" s="5"/>
      <c r="L101" s="5"/>
      <c r="M101" s="5"/>
      <c r="N101" s="5"/>
      <c r="O101" s="5"/>
      <c r="P101" s="5"/>
      <c r="Q101" s="5"/>
      <c r="R101" s="49"/>
    </row>
    <row r="102" spans="1:27" x14ac:dyDescent="0.2">
      <c r="R102" s="49"/>
    </row>
    <row r="103" spans="1:27" x14ac:dyDescent="0.2">
      <c r="R103" s="49"/>
    </row>
    <row r="104" spans="1:27" x14ac:dyDescent="0.2">
      <c r="R104" s="49"/>
    </row>
    <row r="105" spans="1:27" x14ac:dyDescent="0.2">
      <c r="R105" s="49"/>
    </row>
    <row r="106" spans="1:27" x14ac:dyDescent="0.2">
      <c r="R106" s="49"/>
    </row>
    <row r="107" spans="1:27" x14ac:dyDescent="0.2">
      <c r="R107" s="49"/>
    </row>
    <row r="108" spans="1:27" x14ac:dyDescent="0.2">
      <c r="R108" s="49"/>
    </row>
    <row r="109" spans="1:27" x14ac:dyDescent="0.2">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sheetData>
  <sortState ref="C17:E19">
    <sortCondition descending="1" ref="E17"/>
  </sortState>
  <mergeCells count="3">
    <mergeCell ref="C3:P3"/>
    <mergeCell ref="D5:E5"/>
    <mergeCell ref="B29:R35"/>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4"/>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304" t="s">
        <v>160</v>
      </c>
      <c r="D3" s="305"/>
      <c r="E3" s="305"/>
      <c r="F3" s="305"/>
      <c r="G3" s="305"/>
      <c r="H3" s="305"/>
      <c r="I3" s="305"/>
      <c r="J3" s="305"/>
      <c r="K3" s="305"/>
      <c r="L3" s="305"/>
      <c r="M3" s="305"/>
      <c r="N3" s="305"/>
      <c r="O3" s="305"/>
      <c r="P3" s="305"/>
      <c r="Q3" s="305"/>
      <c r="R3" s="305"/>
      <c r="S3" s="305"/>
      <c r="T3" s="25"/>
    </row>
    <row r="4" spans="1:25" ht="15.75" customHeight="1" x14ac:dyDescent="0.25">
      <c r="B4" s="64"/>
      <c r="C4" s="67" t="s">
        <v>387</v>
      </c>
      <c r="D4" s="29"/>
      <c r="E4" s="29"/>
      <c r="F4" s="29"/>
      <c r="G4" s="29"/>
      <c r="H4" s="29"/>
      <c r="I4" s="29"/>
      <c r="J4" s="29"/>
      <c r="K4" s="29"/>
      <c r="L4" s="29"/>
      <c r="M4" s="29"/>
      <c r="N4" s="29"/>
      <c r="O4" s="29"/>
      <c r="P4" s="29"/>
      <c r="Q4" s="29"/>
      <c r="R4" s="29"/>
      <c r="S4" s="29"/>
      <c r="T4" s="25"/>
    </row>
    <row r="5" spans="1:25" ht="18" customHeight="1" x14ac:dyDescent="0.25">
      <c r="B5" s="64"/>
      <c r="C5" s="220" t="s">
        <v>386</v>
      </c>
      <c r="D5" s="306" t="s">
        <v>404</v>
      </c>
      <c r="E5" s="306"/>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6" t="s">
        <v>32</v>
      </c>
      <c r="D8" s="187" t="s">
        <v>3</v>
      </c>
      <c r="E8" s="188">
        <v>3.5305999999999997E-2</v>
      </c>
      <c r="F8" s="29"/>
      <c r="G8" s="29"/>
      <c r="H8" s="29"/>
      <c r="I8" s="29"/>
      <c r="J8" s="29"/>
      <c r="K8" s="29"/>
      <c r="L8" s="29"/>
      <c r="M8" s="29"/>
      <c r="N8" s="29"/>
      <c r="O8" s="29"/>
      <c r="P8" s="29"/>
      <c r="Q8" s="29"/>
      <c r="R8" s="29"/>
      <c r="S8" s="29"/>
      <c r="T8" s="25"/>
      <c r="W8" s="231" t="s">
        <v>3</v>
      </c>
      <c r="X8" s="234">
        <v>9.4796999999999992E-2</v>
      </c>
      <c r="Y8" s="39"/>
    </row>
    <row r="9" spans="1:25" ht="15.75" customHeight="1" x14ac:dyDescent="0.25">
      <c r="B9" s="64"/>
      <c r="C9" s="186" t="s">
        <v>29</v>
      </c>
      <c r="D9" s="187" t="s">
        <v>3</v>
      </c>
      <c r="E9" s="188">
        <v>2.4109999999999999E-2</v>
      </c>
      <c r="F9" s="29"/>
      <c r="G9" s="29"/>
      <c r="H9" s="29"/>
      <c r="I9" s="29"/>
      <c r="J9" s="29"/>
      <c r="K9" s="29"/>
      <c r="L9" s="29"/>
      <c r="M9" s="29"/>
      <c r="N9" s="29"/>
      <c r="O9" s="29"/>
      <c r="P9" s="29"/>
      <c r="Q9" s="29"/>
      <c r="R9" s="29"/>
      <c r="S9" s="29"/>
      <c r="T9" s="25"/>
      <c r="W9" s="231" t="s">
        <v>106</v>
      </c>
      <c r="X9" s="234">
        <v>5.0029999999999991E-2</v>
      </c>
      <c r="Y9" s="39"/>
    </row>
    <row r="10" spans="1:25" ht="15" customHeight="1" x14ac:dyDescent="0.25">
      <c r="B10" s="64"/>
      <c r="C10" s="186" t="s">
        <v>194</v>
      </c>
      <c r="D10" s="187" t="s">
        <v>105</v>
      </c>
      <c r="E10" s="188">
        <v>2.4080000000000001E-2</v>
      </c>
      <c r="F10" s="29"/>
      <c r="G10" s="29"/>
      <c r="H10" s="29"/>
      <c r="I10" s="29"/>
      <c r="J10" s="29"/>
      <c r="K10" s="29"/>
      <c r="L10" s="29"/>
      <c r="M10" s="29"/>
      <c r="N10" s="29"/>
      <c r="O10" s="29"/>
      <c r="P10" s="29"/>
      <c r="Q10" s="29"/>
      <c r="R10" s="29"/>
      <c r="S10" s="29"/>
      <c r="T10" s="25"/>
      <c r="W10" s="231" t="s">
        <v>110</v>
      </c>
      <c r="X10" s="234">
        <v>3.8762000000000005E-2</v>
      </c>
      <c r="Y10" s="39"/>
    </row>
    <row r="11" spans="1:25" ht="15" customHeight="1" x14ac:dyDescent="0.25">
      <c r="B11" s="64"/>
      <c r="C11" s="186" t="s">
        <v>28</v>
      </c>
      <c r="D11" s="187" t="s">
        <v>106</v>
      </c>
      <c r="E11" s="188">
        <v>2.1669000000000001E-2</v>
      </c>
      <c r="F11" s="29"/>
      <c r="G11" s="29"/>
      <c r="H11" s="29"/>
      <c r="I11" s="29"/>
      <c r="J11" s="29"/>
      <c r="K11" s="29"/>
      <c r="L11" s="29"/>
      <c r="M11" s="29"/>
      <c r="N11" s="29"/>
      <c r="O11" s="29"/>
      <c r="P11" s="29"/>
      <c r="Q11" s="29"/>
      <c r="R11" s="29"/>
      <c r="S11" s="29"/>
      <c r="T11" s="25"/>
      <c r="W11" s="231" t="s">
        <v>26</v>
      </c>
      <c r="X11" s="234">
        <v>3.3153000000000002E-2</v>
      </c>
      <c r="Y11" s="39"/>
    </row>
    <row r="12" spans="1:25" ht="15" customHeight="1" x14ac:dyDescent="0.25">
      <c r="B12" s="64"/>
      <c r="C12" s="186" t="s">
        <v>31</v>
      </c>
      <c r="D12" s="187" t="s">
        <v>6</v>
      </c>
      <c r="E12" s="188">
        <v>2.1075999999999998E-2</v>
      </c>
      <c r="F12" s="29"/>
      <c r="G12" s="29"/>
      <c r="H12" s="29"/>
      <c r="I12" s="29"/>
      <c r="J12" s="29"/>
      <c r="K12" s="29"/>
      <c r="L12" s="29"/>
      <c r="M12" s="29"/>
      <c r="N12" s="29"/>
      <c r="O12" s="29"/>
      <c r="P12" s="29"/>
      <c r="Q12" s="29"/>
      <c r="R12" s="29"/>
      <c r="S12" s="29"/>
      <c r="T12" s="25"/>
      <c r="W12" s="231" t="s">
        <v>105</v>
      </c>
      <c r="X12" s="234">
        <v>2.5824999999999994E-2</v>
      </c>
      <c r="Y12" s="39"/>
    </row>
    <row r="13" spans="1:25" ht="15" customHeight="1" x14ac:dyDescent="0.25">
      <c r="B13" s="64"/>
      <c r="C13" s="186" t="s">
        <v>332</v>
      </c>
      <c r="D13" s="187" t="s">
        <v>117</v>
      </c>
      <c r="E13" s="188">
        <v>1.6969000000000001E-2</v>
      </c>
      <c r="F13" s="29"/>
      <c r="G13" s="29"/>
      <c r="H13" s="29"/>
      <c r="I13" s="29"/>
      <c r="J13" s="29"/>
      <c r="K13" s="29"/>
      <c r="L13" s="29"/>
      <c r="M13" s="29"/>
      <c r="N13" s="29"/>
      <c r="O13" s="29"/>
      <c r="P13" s="29"/>
      <c r="Q13" s="29"/>
      <c r="R13" s="29"/>
      <c r="S13" s="29"/>
      <c r="T13" s="25"/>
      <c r="W13" s="231" t="s">
        <v>76</v>
      </c>
      <c r="X13" s="234">
        <v>2.5124E-2</v>
      </c>
      <c r="Y13" s="39"/>
    </row>
    <row r="14" spans="1:25" ht="15.75" customHeight="1" x14ac:dyDescent="0.25">
      <c r="B14" s="64"/>
      <c r="C14" s="186" t="s">
        <v>78</v>
      </c>
      <c r="D14" s="187" t="s">
        <v>3</v>
      </c>
      <c r="E14" s="188">
        <v>1.5812E-2</v>
      </c>
      <c r="F14" s="29"/>
      <c r="G14" s="29"/>
      <c r="H14" s="29"/>
      <c r="I14" s="29"/>
      <c r="J14" s="29"/>
      <c r="K14" s="29"/>
      <c r="L14" s="29"/>
      <c r="M14" s="29"/>
      <c r="N14" s="29"/>
      <c r="O14" s="29"/>
      <c r="P14" s="29"/>
      <c r="Q14" s="29"/>
      <c r="R14" s="29"/>
      <c r="S14" s="29"/>
      <c r="T14" s="25"/>
      <c r="W14" s="231" t="s">
        <v>4</v>
      </c>
      <c r="X14" s="234">
        <v>2.4810999999999982E-2</v>
      </c>
      <c r="Y14" s="39"/>
    </row>
    <row r="15" spans="1:25" ht="15.75" x14ac:dyDescent="0.25">
      <c r="B15" s="64"/>
      <c r="C15" s="186" t="s">
        <v>70</v>
      </c>
      <c r="D15" s="187" t="s">
        <v>12</v>
      </c>
      <c r="E15" s="188">
        <v>1.49E-2</v>
      </c>
      <c r="F15" s="29"/>
      <c r="G15" s="29"/>
      <c r="H15" s="29"/>
      <c r="I15" s="29"/>
      <c r="J15" s="29"/>
      <c r="K15" s="29"/>
      <c r="L15" s="29"/>
      <c r="M15" s="29"/>
      <c r="N15" s="29"/>
      <c r="O15" s="29"/>
      <c r="P15" s="29"/>
      <c r="Q15" s="29"/>
      <c r="R15" s="29"/>
      <c r="S15" s="29"/>
      <c r="T15" s="25"/>
      <c r="W15" s="231" t="s">
        <v>23</v>
      </c>
      <c r="X15" s="234">
        <v>2.2324E-2</v>
      </c>
      <c r="Y15" s="39"/>
    </row>
    <row r="16" spans="1:25" ht="15.75" customHeight="1" x14ac:dyDescent="0.25">
      <c r="B16" s="64"/>
      <c r="C16" s="186" t="s">
        <v>36</v>
      </c>
      <c r="D16" s="187" t="s">
        <v>3</v>
      </c>
      <c r="E16" s="188">
        <v>1.4728E-2</v>
      </c>
      <c r="F16" s="29"/>
      <c r="G16" s="29"/>
      <c r="H16" s="29"/>
      <c r="I16" s="29"/>
      <c r="J16" s="29"/>
      <c r="K16" s="29"/>
      <c r="L16" s="29"/>
      <c r="M16" s="29"/>
      <c r="N16" s="29"/>
      <c r="O16" s="29"/>
      <c r="P16" s="29"/>
      <c r="Q16" s="29"/>
      <c r="R16" s="29"/>
      <c r="S16" s="29"/>
      <c r="T16" s="25"/>
      <c r="W16" s="231" t="s">
        <v>6</v>
      </c>
      <c r="X16" s="234">
        <v>2.1075999999999998E-2</v>
      </c>
      <c r="Y16" s="39"/>
    </row>
    <row r="17" spans="2:25" ht="15" customHeight="1" x14ac:dyDescent="0.25">
      <c r="B17" s="64"/>
      <c r="C17" s="186" t="s">
        <v>278</v>
      </c>
      <c r="D17" s="187" t="s">
        <v>183</v>
      </c>
      <c r="E17" s="188">
        <v>1.342E-2</v>
      </c>
      <c r="F17" s="29"/>
      <c r="G17" s="29"/>
      <c r="H17" s="29"/>
      <c r="I17" s="29"/>
      <c r="J17" s="29"/>
      <c r="K17" s="29"/>
      <c r="L17" s="29"/>
      <c r="M17" s="29"/>
      <c r="N17" s="29"/>
      <c r="O17" s="29"/>
      <c r="P17" s="29"/>
      <c r="Q17" s="29"/>
      <c r="R17" s="29"/>
      <c r="S17" s="29"/>
      <c r="T17" s="25"/>
      <c r="W17" s="231" t="s">
        <v>117</v>
      </c>
      <c r="X17" s="234">
        <v>1.6955000000000001E-2</v>
      </c>
      <c r="Y17" s="39"/>
    </row>
    <row r="18" spans="2:25" ht="15" customHeight="1" x14ac:dyDescent="0.25">
      <c r="B18" s="64"/>
      <c r="C18" s="186" t="s">
        <v>34</v>
      </c>
      <c r="D18" s="187" t="s">
        <v>23</v>
      </c>
      <c r="E18" s="188">
        <v>1.3155E-2</v>
      </c>
      <c r="F18" s="29"/>
      <c r="G18" s="29"/>
      <c r="H18" s="29"/>
      <c r="I18" s="29"/>
      <c r="J18" s="29"/>
      <c r="K18" s="29"/>
      <c r="L18" s="29"/>
      <c r="M18" s="29"/>
      <c r="N18" s="29"/>
      <c r="O18" s="29"/>
      <c r="P18" s="29"/>
      <c r="Q18" s="29"/>
      <c r="R18" s="29"/>
      <c r="S18" s="29"/>
      <c r="T18" s="25"/>
      <c r="W18" s="231" t="s">
        <v>183</v>
      </c>
      <c r="X18" s="234">
        <v>1.5261E-2</v>
      </c>
      <c r="Y18" s="39"/>
    </row>
    <row r="19" spans="2:25" ht="15" customHeight="1" x14ac:dyDescent="0.25">
      <c r="B19" s="64"/>
      <c r="C19" s="186" t="s">
        <v>80</v>
      </c>
      <c r="D19" s="187" t="s">
        <v>4</v>
      </c>
      <c r="E19" s="188">
        <v>1.2795999999999995E-2</v>
      </c>
      <c r="F19" s="29"/>
      <c r="G19" s="29"/>
      <c r="H19" s="29"/>
      <c r="I19" s="29"/>
      <c r="J19" s="29"/>
      <c r="K19" s="29"/>
      <c r="L19" s="29"/>
      <c r="M19" s="29"/>
      <c r="N19" s="29"/>
      <c r="O19" s="29"/>
      <c r="P19" s="29"/>
      <c r="Q19" s="29"/>
      <c r="R19" s="29"/>
      <c r="S19" s="29"/>
      <c r="T19" s="25"/>
      <c r="W19" s="231" t="s">
        <v>12</v>
      </c>
      <c r="X19" s="234">
        <v>1.4881999999999996E-2</v>
      </c>
      <c r="Y19" s="39"/>
    </row>
    <row r="20" spans="2:25" ht="15" customHeight="1" x14ac:dyDescent="0.25">
      <c r="B20" s="64"/>
      <c r="C20" s="186" t="s">
        <v>255</v>
      </c>
      <c r="D20" s="187" t="s">
        <v>76</v>
      </c>
      <c r="E20" s="188">
        <v>1.2460000000000001E-2</v>
      </c>
      <c r="F20" s="29"/>
      <c r="G20" s="29"/>
      <c r="H20" s="29"/>
      <c r="I20" s="29"/>
      <c r="J20" s="29"/>
      <c r="K20" s="29"/>
      <c r="L20" s="29"/>
      <c r="M20" s="29"/>
      <c r="N20" s="29"/>
      <c r="O20" s="29"/>
      <c r="P20" s="29"/>
      <c r="Q20" s="29"/>
      <c r="R20" s="29"/>
      <c r="S20" s="29"/>
      <c r="T20" s="25"/>
      <c r="W20" s="231" t="s">
        <v>123</v>
      </c>
      <c r="X20" s="234">
        <v>1.3583999999999999E-2</v>
      </c>
      <c r="Y20" s="39"/>
    </row>
    <row r="21" spans="2:25" ht="15" customHeight="1" x14ac:dyDescent="0.25">
      <c r="B21" s="64"/>
      <c r="C21" s="186" t="s">
        <v>290</v>
      </c>
      <c r="D21" s="187" t="s">
        <v>132</v>
      </c>
      <c r="E21" s="188">
        <v>1.1753E-2</v>
      </c>
      <c r="F21" s="29"/>
      <c r="G21" s="29"/>
      <c r="H21" s="29"/>
      <c r="I21" s="29"/>
      <c r="J21" s="29"/>
      <c r="K21" s="29"/>
      <c r="L21" s="29"/>
      <c r="M21" s="29"/>
      <c r="N21" s="29"/>
      <c r="O21" s="29"/>
      <c r="P21" s="29"/>
      <c r="Q21" s="29"/>
      <c r="R21" s="29"/>
      <c r="S21" s="29"/>
      <c r="T21" s="25"/>
      <c r="W21" s="231" t="s">
        <v>111</v>
      </c>
      <c r="X21" s="234">
        <v>1.3028999999999999E-2</v>
      </c>
      <c r="Y21" s="39"/>
    </row>
    <row r="22" spans="2:25" ht="15" customHeight="1" x14ac:dyDescent="0.25">
      <c r="B22" s="64"/>
      <c r="C22" s="186" t="s">
        <v>219</v>
      </c>
      <c r="D22" s="187" t="s">
        <v>26</v>
      </c>
      <c r="E22" s="188">
        <v>1.0026999999999999E-2</v>
      </c>
      <c r="F22" s="29"/>
      <c r="G22" s="29"/>
      <c r="H22" s="29"/>
      <c r="I22" s="29"/>
      <c r="J22" s="29"/>
      <c r="K22" s="29"/>
      <c r="L22" s="29"/>
      <c r="M22" s="29"/>
      <c r="N22" s="29"/>
      <c r="O22" s="29"/>
      <c r="P22" s="29"/>
      <c r="Q22" s="29"/>
      <c r="R22" s="29"/>
      <c r="S22" s="29"/>
      <c r="T22" s="25"/>
      <c r="W22" s="231" t="s">
        <v>112</v>
      </c>
      <c r="X22" s="234">
        <v>1.2592000000000001E-2</v>
      </c>
      <c r="Y22" s="39"/>
    </row>
    <row r="23" spans="2:25" ht="16.5" customHeight="1" x14ac:dyDescent="0.25">
      <c r="B23" s="64"/>
      <c r="C23" s="128" t="s">
        <v>65</v>
      </c>
      <c r="D23" s="129"/>
      <c r="E23" s="130">
        <f>SUM(E8:E22)</f>
        <v>0.26226099999999997</v>
      </c>
      <c r="F23" s="29"/>
      <c r="G23" s="29"/>
      <c r="H23" s="29"/>
      <c r="I23" s="29"/>
      <c r="J23" s="29"/>
      <c r="K23" s="29"/>
      <c r="L23" s="29"/>
      <c r="M23" s="29"/>
      <c r="N23" s="29"/>
      <c r="O23" s="29"/>
      <c r="P23" s="29"/>
      <c r="Q23" s="29"/>
      <c r="R23" s="29"/>
      <c r="S23" s="29"/>
      <c r="T23" s="25"/>
      <c r="W23" s="231" t="s">
        <v>132</v>
      </c>
      <c r="X23" s="234">
        <v>1.1753E-2</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1" t="s">
        <v>82</v>
      </c>
      <c r="X24" s="234">
        <v>1.0968E-2</v>
      </c>
      <c r="Y24" s="39"/>
    </row>
    <row r="25" spans="2:25" ht="15" customHeight="1" x14ac:dyDescent="0.25">
      <c r="B25" s="64"/>
      <c r="C25" s="128" t="s">
        <v>59</v>
      </c>
      <c r="D25" s="129"/>
      <c r="E25" s="189">
        <v>0.24039800000000003</v>
      </c>
      <c r="F25" s="29"/>
      <c r="G25" s="29"/>
      <c r="H25" s="29"/>
      <c r="I25" s="29"/>
      <c r="J25" s="29"/>
      <c r="K25" s="29"/>
      <c r="L25" s="29"/>
      <c r="M25" s="29"/>
      <c r="N25" s="29"/>
      <c r="O25" s="29"/>
      <c r="P25" s="29"/>
      <c r="Q25" s="29"/>
      <c r="R25" s="29"/>
      <c r="S25" s="29"/>
      <c r="T25" s="25"/>
      <c r="W25" s="231" t="s">
        <v>109</v>
      </c>
      <c r="X25" s="234">
        <v>7.3340000000000002E-3</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1" t="s">
        <v>84</v>
      </c>
      <c r="X26" s="234">
        <v>6.8710000000000004E-3</v>
      </c>
      <c r="Y26" s="39"/>
    </row>
    <row r="27" spans="2:25" ht="18" customHeight="1" x14ac:dyDescent="0.25">
      <c r="B27" s="64"/>
      <c r="C27" s="128" t="s">
        <v>58</v>
      </c>
      <c r="D27" s="108"/>
      <c r="E27" s="190">
        <v>0.33561000000000002</v>
      </c>
      <c r="F27" s="29"/>
      <c r="G27" s="29"/>
      <c r="H27" s="29"/>
      <c r="I27" s="29"/>
      <c r="J27" s="29"/>
      <c r="K27" s="29"/>
      <c r="L27" s="29"/>
      <c r="M27" s="29"/>
      <c r="N27" s="29"/>
      <c r="O27" s="29"/>
      <c r="P27" s="29"/>
      <c r="Q27" s="29"/>
      <c r="R27" s="29"/>
      <c r="S27" s="29"/>
      <c r="T27" s="25"/>
      <c r="W27" s="231" t="s">
        <v>10</v>
      </c>
      <c r="X27" s="234">
        <v>6.6639999999999998E-3</v>
      </c>
    </row>
    <row r="28" spans="2:25" ht="18" customHeight="1" x14ac:dyDescent="0.25">
      <c r="B28" s="64"/>
      <c r="C28" s="235"/>
      <c r="D28" s="236"/>
      <c r="E28" s="127"/>
      <c r="F28" s="29"/>
      <c r="G28" s="29"/>
      <c r="H28" s="29"/>
      <c r="I28" s="29"/>
      <c r="J28" s="29"/>
      <c r="K28" s="29"/>
      <c r="L28" s="29"/>
      <c r="M28" s="29"/>
      <c r="N28" s="29"/>
      <c r="O28" s="29"/>
      <c r="P28" s="29"/>
      <c r="Q28" s="29"/>
      <c r="R28" s="29"/>
      <c r="S28" s="29"/>
      <c r="T28" s="25"/>
      <c r="W28" s="231" t="s">
        <v>86</v>
      </c>
      <c r="X28" s="234">
        <v>6.234E-3</v>
      </c>
    </row>
    <row r="29" spans="2:25" ht="15" customHeight="1" x14ac:dyDescent="0.25">
      <c r="B29" s="64"/>
      <c r="C29" s="235" t="s">
        <v>304</v>
      </c>
      <c r="D29" s="236" t="s">
        <v>344</v>
      </c>
      <c r="E29" s="127">
        <v>1.116E-2</v>
      </c>
      <c r="F29" s="29"/>
      <c r="G29" s="29"/>
      <c r="H29" s="29"/>
      <c r="I29" s="29"/>
      <c r="J29" s="29"/>
      <c r="K29" s="29"/>
      <c r="L29" s="29"/>
      <c r="M29" s="29"/>
      <c r="N29" s="29"/>
      <c r="O29" s="29"/>
      <c r="P29" s="29"/>
      <c r="Q29" s="29"/>
      <c r="R29" s="29"/>
      <c r="S29" s="29"/>
      <c r="T29" s="25"/>
      <c r="W29" s="231" t="s">
        <v>85</v>
      </c>
      <c r="X29" s="234">
        <v>5.904000000000003E-3</v>
      </c>
    </row>
    <row r="30" spans="2:25" ht="15" customHeight="1" x14ac:dyDescent="0.25">
      <c r="B30" s="64"/>
      <c r="C30" s="237" t="s">
        <v>361</v>
      </c>
      <c r="D30" s="236" t="s">
        <v>344</v>
      </c>
      <c r="E30" s="127">
        <v>2.2290000000000001E-3</v>
      </c>
      <c r="F30" s="29"/>
      <c r="G30" s="132"/>
      <c r="H30" s="29"/>
      <c r="I30" s="29"/>
      <c r="J30" s="29"/>
      <c r="K30" s="29"/>
      <c r="L30" s="29"/>
      <c r="M30" s="29"/>
      <c r="N30" s="29"/>
      <c r="O30" s="29"/>
      <c r="P30" s="29"/>
      <c r="Q30" s="29"/>
      <c r="R30" s="29"/>
      <c r="S30" s="29"/>
      <c r="T30" s="25"/>
      <c r="W30" s="231" t="s">
        <v>25</v>
      </c>
      <c r="X30" s="234">
        <v>4.8459999999999996E-3</v>
      </c>
    </row>
    <row r="31" spans="2:25" ht="15" customHeight="1" x14ac:dyDescent="0.25">
      <c r="B31" s="64"/>
      <c r="C31" s="133" t="s">
        <v>343</v>
      </c>
      <c r="D31" s="129"/>
      <c r="E31" s="130">
        <v>1.3389E-2</v>
      </c>
      <c r="F31" s="29"/>
      <c r="G31" s="132"/>
      <c r="H31" s="29"/>
      <c r="I31" s="29"/>
      <c r="J31" s="29"/>
      <c r="K31" s="29"/>
      <c r="L31" s="29"/>
      <c r="M31" s="29"/>
      <c r="N31" s="29"/>
      <c r="O31" s="29"/>
      <c r="P31" s="29"/>
      <c r="Q31" s="29"/>
      <c r="R31" s="29"/>
      <c r="S31" s="29"/>
      <c r="T31" s="25"/>
      <c r="W31" s="231" t="s">
        <v>83</v>
      </c>
      <c r="X31" s="234">
        <v>4.0629999999999998E-3</v>
      </c>
    </row>
    <row r="32" spans="2:25" ht="15" customHeight="1" x14ac:dyDescent="0.25">
      <c r="B32" s="64"/>
      <c r="C32" s="235"/>
      <c r="D32" s="236"/>
      <c r="E32" s="127"/>
      <c r="F32" s="29"/>
      <c r="G32" s="132"/>
      <c r="H32" s="29"/>
      <c r="I32" s="29"/>
      <c r="J32" s="29"/>
      <c r="K32" s="29"/>
      <c r="L32" s="29"/>
      <c r="M32" s="29"/>
      <c r="N32" s="29"/>
      <c r="O32" s="29"/>
      <c r="P32" s="29"/>
      <c r="Q32" s="29"/>
      <c r="R32" s="29"/>
      <c r="S32" s="29"/>
      <c r="T32" s="25"/>
      <c r="W32" s="231" t="s">
        <v>145</v>
      </c>
      <c r="X32" s="234">
        <v>3.4420000000000002E-3</v>
      </c>
    </row>
    <row r="33" spans="2:24" ht="15" customHeight="1" x14ac:dyDescent="0.25">
      <c r="B33" s="64"/>
      <c r="C33" s="237" t="s">
        <v>264</v>
      </c>
      <c r="D33" s="236" t="s">
        <v>265</v>
      </c>
      <c r="E33" s="127">
        <v>6.8789999999999997E-3</v>
      </c>
      <c r="F33" s="29"/>
      <c r="G33" s="132"/>
      <c r="H33" s="29"/>
      <c r="I33" s="29"/>
      <c r="J33" s="29"/>
      <c r="K33" s="29"/>
      <c r="L33" s="29"/>
      <c r="M33" s="29"/>
      <c r="N33" s="29"/>
      <c r="O33" s="29"/>
      <c r="P33" s="29"/>
      <c r="Q33" s="29"/>
      <c r="R33" s="29"/>
      <c r="S33" s="29"/>
      <c r="T33" s="25"/>
      <c r="W33" s="231" t="s">
        <v>136</v>
      </c>
      <c r="X33" s="234">
        <v>3.4420000000000002E-3</v>
      </c>
    </row>
    <row r="34" spans="2:24" ht="15" customHeight="1" x14ac:dyDescent="0.25">
      <c r="B34" s="64"/>
      <c r="C34" s="235" t="s">
        <v>263</v>
      </c>
      <c r="D34" s="236" t="s">
        <v>277</v>
      </c>
      <c r="E34" s="127">
        <v>2.2920000000000002E-3</v>
      </c>
      <c r="F34" s="29"/>
      <c r="G34" s="132"/>
      <c r="H34" s="29"/>
      <c r="I34" s="29"/>
      <c r="J34" s="29"/>
      <c r="K34" s="29"/>
      <c r="L34" s="29"/>
      <c r="M34" s="29"/>
      <c r="N34" s="29"/>
      <c r="O34" s="29"/>
      <c r="P34" s="29"/>
      <c r="Q34" s="29"/>
      <c r="R34" s="29"/>
      <c r="S34" s="29"/>
      <c r="T34" s="25"/>
      <c r="W34" s="231" t="s">
        <v>116</v>
      </c>
      <c r="X34" s="234">
        <v>2.7289999999999988E-3</v>
      </c>
    </row>
    <row r="35" spans="2:24" ht="15" customHeight="1" x14ac:dyDescent="0.25">
      <c r="B35" s="64"/>
      <c r="C35" s="237" t="s">
        <v>333</v>
      </c>
      <c r="D35" s="236" t="s">
        <v>265</v>
      </c>
      <c r="E35" s="127">
        <v>2.2889999999999998E-3</v>
      </c>
      <c r="F35" s="29"/>
      <c r="G35" s="132"/>
      <c r="H35" s="29"/>
      <c r="I35" s="29"/>
      <c r="J35" s="29"/>
      <c r="K35" s="29"/>
      <c r="L35" s="29"/>
      <c r="M35" s="29"/>
      <c r="N35" s="29"/>
      <c r="O35" s="29"/>
      <c r="P35" s="29"/>
      <c r="Q35" s="29"/>
      <c r="R35" s="29"/>
      <c r="S35" s="29"/>
      <c r="T35" s="25"/>
      <c r="W35" s="231" t="s">
        <v>118</v>
      </c>
      <c r="X35" s="234">
        <v>2.6779999999999998E-3</v>
      </c>
    </row>
    <row r="36" spans="2:24" ht="15" customHeight="1" x14ac:dyDescent="0.25">
      <c r="B36" s="64"/>
      <c r="C36" s="235" t="s">
        <v>316</v>
      </c>
      <c r="D36" s="236" t="s">
        <v>277</v>
      </c>
      <c r="E36" s="127">
        <v>2.2790000000000002E-3</v>
      </c>
      <c r="F36" s="29"/>
      <c r="G36" s="132"/>
      <c r="H36" s="29"/>
      <c r="I36" s="29"/>
      <c r="J36" s="29"/>
      <c r="K36" s="29"/>
      <c r="L36" s="29"/>
      <c r="M36" s="29"/>
      <c r="N36" s="29"/>
      <c r="O36" s="29"/>
      <c r="P36" s="29"/>
      <c r="Q36" s="29"/>
      <c r="R36" s="29"/>
      <c r="S36" s="29"/>
      <c r="T36" s="25"/>
      <c r="W36" s="231" t="s">
        <v>115</v>
      </c>
      <c r="X36" s="234">
        <v>1.4230000000000002E-3</v>
      </c>
    </row>
    <row r="37" spans="2:24" ht="15" customHeight="1" x14ac:dyDescent="0.25">
      <c r="B37" s="64"/>
      <c r="C37" s="237" t="s">
        <v>62</v>
      </c>
      <c r="D37" s="236" t="s">
        <v>63</v>
      </c>
      <c r="E37" s="249">
        <v>4.6E-5</v>
      </c>
      <c r="F37" s="29"/>
      <c r="G37" s="132"/>
      <c r="H37" s="29"/>
      <c r="I37" s="29"/>
      <c r="J37" s="29"/>
      <c r="K37" s="29"/>
      <c r="L37" s="29"/>
      <c r="M37" s="29"/>
      <c r="N37" s="29"/>
      <c r="O37" s="29"/>
      <c r="P37" s="29"/>
      <c r="Q37" s="29"/>
      <c r="R37" s="29"/>
      <c r="S37" s="29"/>
      <c r="T37" s="25"/>
      <c r="W37" s="231" t="s">
        <v>121</v>
      </c>
      <c r="X37" s="234">
        <v>1.2700000000000001E-3</v>
      </c>
    </row>
    <row r="38" spans="2:24" ht="15" customHeight="1" x14ac:dyDescent="0.25">
      <c r="B38" s="64"/>
      <c r="C38" s="133" t="s">
        <v>5</v>
      </c>
      <c r="D38" s="129"/>
      <c r="E38" s="130">
        <v>1.3785E-2</v>
      </c>
      <c r="F38" s="29"/>
      <c r="G38" s="132"/>
      <c r="H38" s="29"/>
      <c r="I38" s="29"/>
      <c r="J38" s="29"/>
      <c r="K38" s="29"/>
      <c r="L38" s="29"/>
      <c r="M38" s="29"/>
      <c r="N38" s="29"/>
      <c r="O38" s="29"/>
      <c r="P38" s="29"/>
      <c r="Q38" s="29"/>
      <c r="R38" s="29"/>
      <c r="S38" s="29"/>
      <c r="T38" s="25"/>
      <c r="W38" s="231" t="s">
        <v>94</v>
      </c>
      <c r="X38" s="234">
        <v>9.3700000000000001E-4</v>
      </c>
    </row>
    <row r="39" spans="2:24" ht="15" customHeight="1" x14ac:dyDescent="0.25">
      <c r="B39" s="64"/>
      <c r="C39" s="141"/>
      <c r="D39" s="142"/>
      <c r="E39" s="230"/>
      <c r="F39" s="29"/>
      <c r="G39" s="132"/>
      <c r="H39" s="29"/>
      <c r="I39" s="29"/>
      <c r="J39" s="29"/>
      <c r="K39" s="29"/>
      <c r="L39" s="29"/>
      <c r="M39" s="29"/>
      <c r="N39" s="29"/>
      <c r="O39" s="29"/>
      <c r="P39" s="29"/>
      <c r="Q39" s="29"/>
      <c r="R39" s="29"/>
      <c r="S39" s="29"/>
      <c r="T39" s="25"/>
      <c r="W39" s="231" t="s">
        <v>120</v>
      </c>
      <c r="X39" s="234">
        <v>-8.9999999999985925E-6</v>
      </c>
    </row>
    <row r="40" spans="2:24" ht="15" customHeight="1" x14ac:dyDescent="0.25">
      <c r="B40" s="64"/>
      <c r="C40" s="131" t="s">
        <v>218</v>
      </c>
      <c r="D40" s="142" t="s">
        <v>61</v>
      </c>
      <c r="E40" s="183">
        <v>4.9502999999999998E-2</v>
      </c>
      <c r="F40" s="29"/>
      <c r="G40" s="132"/>
      <c r="H40" s="29"/>
      <c r="I40" s="29"/>
      <c r="J40" s="29"/>
      <c r="K40" s="29"/>
      <c r="L40" s="29"/>
      <c r="M40" s="29"/>
      <c r="N40" s="29"/>
      <c r="O40" s="29"/>
      <c r="P40" s="29"/>
      <c r="Q40" s="29"/>
      <c r="R40" s="29"/>
      <c r="S40" s="29"/>
      <c r="T40" s="25"/>
      <c r="W40" s="231" t="s">
        <v>11</v>
      </c>
      <c r="X40" s="234">
        <v>-4.4000000000000636E-5</v>
      </c>
    </row>
    <row r="41" spans="2:24" ht="15" customHeight="1" x14ac:dyDescent="0.25">
      <c r="B41" s="64"/>
      <c r="C41" s="141" t="s">
        <v>193</v>
      </c>
      <c r="D41" s="142" t="s">
        <v>61</v>
      </c>
      <c r="E41" s="230">
        <v>4.1224999999999998E-2</v>
      </c>
      <c r="F41" s="29"/>
      <c r="G41" s="132"/>
      <c r="H41" s="29"/>
      <c r="I41" s="29"/>
      <c r="J41" s="29"/>
      <c r="K41" s="29"/>
      <c r="L41" s="29"/>
      <c r="M41" s="29"/>
      <c r="N41" s="29"/>
      <c r="O41" s="29"/>
      <c r="P41" s="29"/>
      <c r="Q41" s="29"/>
      <c r="R41" s="29"/>
      <c r="S41" s="29"/>
      <c r="T41" s="25"/>
      <c r="W41" s="231" t="s">
        <v>16</v>
      </c>
      <c r="X41" s="234">
        <v>-5.0999999999998963E-5</v>
      </c>
    </row>
    <row r="42" spans="2:24" ht="15" customHeight="1" x14ac:dyDescent="0.25">
      <c r="B42" s="64"/>
      <c r="C42" s="141" t="s">
        <v>197</v>
      </c>
      <c r="D42" s="142" t="s">
        <v>61</v>
      </c>
      <c r="E42" s="230">
        <v>1.4066E-2</v>
      </c>
      <c r="F42" s="29"/>
      <c r="G42" s="134"/>
      <c r="H42" s="29"/>
      <c r="I42" s="29"/>
      <c r="J42" s="29"/>
      <c r="K42" s="29"/>
      <c r="L42" s="29"/>
      <c r="M42" s="29"/>
      <c r="N42" s="29"/>
      <c r="O42" s="29"/>
      <c r="P42" s="29"/>
      <c r="Q42" s="29"/>
      <c r="R42" s="29"/>
      <c r="S42" s="29"/>
      <c r="T42" s="25"/>
      <c r="W42" s="231"/>
      <c r="X42" s="234"/>
    </row>
    <row r="43" spans="2:24" ht="15" customHeight="1" x14ac:dyDescent="0.25">
      <c r="B43" s="64"/>
      <c r="C43" s="141" t="s">
        <v>345</v>
      </c>
      <c r="D43" s="142" t="s">
        <v>61</v>
      </c>
      <c r="E43" s="230">
        <v>1.1674E-2</v>
      </c>
      <c r="F43" s="29"/>
      <c r="G43" s="29"/>
      <c r="H43" s="29"/>
      <c r="I43" s="135"/>
      <c r="J43" s="29"/>
      <c r="K43" s="29"/>
      <c r="L43" s="29"/>
      <c r="M43" s="29"/>
      <c r="N43" s="29"/>
      <c r="O43" s="29"/>
      <c r="P43" s="29"/>
      <c r="Q43" s="29"/>
      <c r="R43" s="29"/>
      <c r="S43" s="29"/>
      <c r="T43" s="25"/>
      <c r="W43" s="231"/>
      <c r="X43" s="234"/>
    </row>
    <row r="44" spans="2:24" ht="15" customHeight="1" x14ac:dyDescent="0.25">
      <c r="B44" s="64"/>
      <c r="C44" s="141" t="s">
        <v>236</v>
      </c>
      <c r="D44" s="142" t="s">
        <v>61</v>
      </c>
      <c r="E44" s="230">
        <v>2.2539999999999999E-3</v>
      </c>
      <c r="F44" s="29"/>
      <c r="G44" s="29"/>
      <c r="H44" s="29"/>
      <c r="I44" s="135"/>
      <c r="J44" s="29"/>
      <c r="K44" s="29"/>
      <c r="L44" s="29"/>
      <c r="M44" s="29"/>
      <c r="N44" s="29"/>
      <c r="O44" s="29"/>
      <c r="P44" s="29"/>
      <c r="Q44" s="29"/>
      <c r="R44" s="29"/>
      <c r="S44" s="29"/>
      <c r="T44" s="25"/>
      <c r="W44" s="231"/>
      <c r="X44" s="234"/>
    </row>
    <row r="45" spans="2:24" ht="15" customHeight="1" x14ac:dyDescent="0.25">
      <c r="B45" s="64"/>
      <c r="C45" s="128" t="s">
        <v>291</v>
      </c>
      <c r="D45" s="108"/>
      <c r="E45" s="130">
        <v>0.11872199999999999</v>
      </c>
      <c r="F45" s="29"/>
      <c r="G45" s="29"/>
      <c r="H45" s="29"/>
      <c r="I45" s="135"/>
      <c r="J45" s="29"/>
      <c r="K45" s="29"/>
      <c r="L45" s="29"/>
      <c r="M45" s="29"/>
      <c r="N45" s="29"/>
      <c r="O45" s="29"/>
      <c r="P45" s="29"/>
      <c r="Q45" s="29"/>
      <c r="R45" s="29"/>
      <c r="S45" s="29"/>
      <c r="T45" s="25"/>
      <c r="W45" s="231"/>
      <c r="X45" s="234"/>
    </row>
    <row r="46" spans="2:24" ht="15" customHeight="1" x14ac:dyDescent="0.25">
      <c r="B46" s="64"/>
      <c r="C46" s="137"/>
      <c r="D46" s="138"/>
      <c r="E46" s="139"/>
      <c r="F46" s="29"/>
      <c r="G46" s="29"/>
      <c r="H46" s="29"/>
      <c r="I46" s="135"/>
      <c r="J46" s="29"/>
      <c r="K46" s="29"/>
      <c r="L46" s="29"/>
      <c r="M46" s="29"/>
      <c r="N46" s="29"/>
      <c r="O46" s="29"/>
      <c r="P46" s="29"/>
      <c r="Q46" s="29"/>
      <c r="R46" s="29"/>
      <c r="S46" s="29"/>
      <c r="T46" s="25"/>
      <c r="W46" s="231"/>
      <c r="X46" s="234"/>
    </row>
    <row r="47" spans="2:24" ht="15" customHeight="1" x14ac:dyDescent="0.25">
      <c r="B47" s="64"/>
      <c r="C47" s="141" t="s">
        <v>293</v>
      </c>
      <c r="D47" s="142" t="s">
        <v>265</v>
      </c>
      <c r="E47" s="230">
        <v>1.3925E-2</v>
      </c>
      <c r="F47" s="29"/>
      <c r="G47" s="29"/>
      <c r="H47" s="29"/>
      <c r="I47" s="135"/>
      <c r="J47" s="29"/>
      <c r="K47" s="29"/>
      <c r="L47" s="29"/>
      <c r="M47" s="29"/>
      <c r="N47" s="29"/>
      <c r="O47" s="29"/>
      <c r="P47" s="29"/>
      <c r="Q47" s="29"/>
      <c r="R47" s="29"/>
      <c r="S47" s="29"/>
      <c r="T47" s="25"/>
      <c r="W47" s="231"/>
      <c r="X47" s="234"/>
    </row>
    <row r="48" spans="2:24" s="53" customFormat="1" ht="15" customHeight="1" x14ac:dyDescent="0.25">
      <c r="B48" s="136"/>
      <c r="C48" s="128" t="s">
        <v>292</v>
      </c>
      <c r="D48" s="108"/>
      <c r="E48" s="130">
        <v>1.3925E-2</v>
      </c>
      <c r="F48" s="51"/>
      <c r="G48" s="51"/>
      <c r="H48" s="51"/>
      <c r="I48" s="140"/>
      <c r="J48" s="51"/>
      <c r="K48" s="51"/>
      <c r="L48" s="51"/>
      <c r="M48" s="51"/>
      <c r="N48" s="51"/>
      <c r="O48" s="51"/>
      <c r="P48" s="51"/>
      <c r="Q48" s="51"/>
      <c r="R48" s="51"/>
      <c r="S48" s="51"/>
      <c r="T48" s="52"/>
      <c r="W48" s="231"/>
      <c r="X48" s="234"/>
    </row>
    <row r="49" spans="2:24" s="53" customFormat="1" ht="15" customHeight="1" x14ac:dyDescent="0.25">
      <c r="B49" s="136"/>
      <c r="C49" s="137"/>
      <c r="D49" s="138"/>
      <c r="E49" s="139"/>
      <c r="F49" s="51"/>
      <c r="G49" s="51"/>
      <c r="H49" s="51"/>
      <c r="I49" s="140"/>
      <c r="J49" s="51"/>
      <c r="K49" s="51"/>
      <c r="L49" s="51"/>
      <c r="M49" s="51"/>
      <c r="N49" s="51"/>
      <c r="O49" s="51"/>
      <c r="P49" s="51"/>
      <c r="Q49" s="51"/>
      <c r="R49" s="51"/>
      <c r="S49" s="51"/>
      <c r="T49" s="52"/>
      <c r="W49" s="231"/>
      <c r="X49" s="234"/>
    </row>
    <row r="50" spans="2:24" s="53" customFormat="1" ht="15" customHeight="1" x14ac:dyDescent="0.25">
      <c r="B50" s="136"/>
      <c r="C50" s="143" t="s">
        <v>68</v>
      </c>
      <c r="D50" s="144"/>
      <c r="E50" s="189">
        <v>1.9099999999999603E-3</v>
      </c>
      <c r="F50" s="51"/>
      <c r="G50" s="51"/>
      <c r="H50" s="51"/>
      <c r="I50" s="140"/>
      <c r="J50" s="51"/>
      <c r="K50" s="51"/>
      <c r="L50" s="51"/>
      <c r="M50" s="51"/>
      <c r="N50" s="51"/>
      <c r="O50" s="51"/>
      <c r="P50" s="51"/>
      <c r="Q50" s="51"/>
      <c r="R50" s="51"/>
      <c r="S50" s="51"/>
      <c r="T50" s="52"/>
      <c r="W50" s="231"/>
      <c r="X50" s="234"/>
    </row>
    <row r="51" spans="2:24" s="53" customFormat="1" ht="15" customHeight="1" x14ac:dyDescent="0.25">
      <c r="B51" s="136"/>
      <c r="C51" s="145"/>
      <c r="D51" s="113"/>
      <c r="E51" s="146"/>
      <c r="F51" s="51"/>
      <c r="G51" s="51"/>
      <c r="H51" s="51"/>
      <c r="I51" s="140"/>
      <c r="J51" s="51"/>
      <c r="K51" s="51"/>
      <c r="L51" s="51"/>
      <c r="M51" s="51"/>
      <c r="N51" s="51"/>
      <c r="O51" s="51"/>
      <c r="P51" s="51"/>
      <c r="Q51" s="51"/>
      <c r="R51" s="51"/>
      <c r="S51" s="51"/>
      <c r="T51" s="52"/>
      <c r="W51" s="231"/>
      <c r="X51" s="234"/>
    </row>
    <row r="52" spans="2:24" s="53" customFormat="1" ht="15" customHeight="1" x14ac:dyDescent="0.25">
      <c r="B52" s="136"/>
      <c r="C52" s="147" t="s">
        <v>21</v>
      </c>
      <c r="D52" s="74"/>
      <c r="E52" s="75">
        <f>E50+E45+E38+E27+E25+E23+E48+E31</f>
        <v>0.99999999999999989</v>
      </c>
      <c r="F52" s="51"/>
      <c r="G52" s="51"/>
      <c r="H52" s="51"/>
      <c r="I52" s="140"/>
      <c r="J52" s="51"/>
      <c r="K52" s="51"/>
      <c r="L52" s="51"/>
      <c r="M52" s="51"/>
      <c r="N52" s="51"/>
      <c r="O52" s="51"/>
      <c r="P52" s="51"/>
      <c r="Q52" s="51"/>
      <c r="R52" s="51"/>
      <c r="S52" s="51"/>
      <c r="T52" s="52"/>
      <c r="W52" s="231"/>
      <c r="X52" s="234"/>
    </row>
    <row r="53" spans="2:24" s="53" customFormat="1" ht="15" customHeight="1" x14ac:dyDescent="0.25">
      <c r="B53" s="136"/>
      <c r="F53" s="51"/>
      <c r="G53" s="51"/>
      <c r="H53" s="51"/>
      <c r="I53" s="140"/>
      <c r="J53" s="51"/>
      <c r="K53" s="51"/>
      <c r="L53" s="51"/>
      <c r="M53" s="51"/>
      <c r="N53" s="51"/>
      <c r="O53" s="51"/>
      <c r="P53" s="51"/>
      <c r="Q53" s="51"/>
      <c r="R53" s="51"/>
      <c r="S53" s="51"/>
      <c r="T53" s="52"/>
      <c r="X53" s="179"/>
    </row>
    <row r="54" spans="2:24" s="53" customFormat="1" ht="15" customHeight="1" x14ac:dyDescent="0.25">
      <c r="B54" s="136"/>
      <c r="F54" s="51"/>
      <c r="G54" s="51"/>
      <c r="H54" s="51"/>
      <c r="I54" s="140"/>
      <c r="J54" s="51"/>
      <c r="K54" s="51"/>
      <c r="L54" s="51"/>
      <c r="M54" s="51"/>
      <c r="N54" s="51"/>
      <c r="O54" s="51"/>
      <c r="P54" s="51"/>
      <c r="Q54" s="51"/>
      <c r="R54" s="51"/>
      <c r="S54" s="51"/>
      <c r="T54" s="52"/>
    </row>
    <row r="55" spans="2:24" ht="15" customHeight="1" x14ac:dyDescent="0.25">
      <c r="B55" s="64"/>
      <c r="F55" s="29"/>
      <c r="G55" s="29"/>
      <c r="H55" s="29"/>
      <c r="I55" s="135"/>
      <c r="J55" s="29"/>
      <c r="K55" s="29"/>
      <c r="L55" s="29"/>
      <c r="M55" s="29"/>
      <c r="N55" s="29"/>
      <c r="O55" s="29"/>
      <c r="P55" s="29"/>
      <c r="Q55" s="29"/>
      <c r="R55" s="29"/>
      <c r="S55" s="29"/>
      <c r="T55" s="25"/>
    </row>
    <row r="56" spans="2:24" ht="15" customHeight="1" x14ac:dyDescent="0.25">
      <c r="B56" s="64"/>
      <c r="F56" s="29"/>
      <c r="G56" s="29"/>
      <c r="H56" s="29"/>
      <c r="I56" s="135"/>
      <c r="J56" s="29"/>
      <c r="K56" s="29"/>
      <c r="L56" s="29"/>
      <c r="M56" s="29"/>
      <c r="N56" s="29"/>
      <c r="O56" s="29"/>
      <c r="P56" s="29"/>
      <c r="Q56" s="29"/>
      <c r="R56" s="29"/>
      <c r="S56" s="29"/>
      <c r="T56" s="25"/>
    </row>
    <row r="57" spans="2:24" ht="15" customHeight="1" thickBot="1" x14ac:dyDescent="0.3">
      <c r="B57" s="76"/>
      <c r="C57" s="30"/>
      <c r="D57" s="30"/>
      <c r="E57" s="30"/>
      <c r="F57" s="30"/>
      <c r="G57" s="30"/>
      <c r="H57" s="30"/>
      <c r="I57" s="30"/>
      <c r="J57" s="30"/>
      <c r="K57" s="30"/>
      <c r="L57" s="30"/>
      <c r="M57" s="30"/>
      <c r="N57" s="30"/>
      <c r="O57" s="30"/>
      <c r="P57" s="30"/>
      <c r="Q57" s="30"/>
      <c r="R57" s="30"/>
      <c r="S57" s="30"/>
      <c r="T57" s="26"/>
    </row>
    <row r="58" spans="2:24" ht="15" customHeight="1" thickBot="1" x14ac:dyDescent="0.3"/>
    <row r="59" spans="2:24" ht="15" customHeight="1" x14ac:dyDescent="0.25">
      <c r="B59" s="295" t="s">
        <v>181</v>
      </c>
      <c r="C59" s="296"/>
      <c r="D59" s="296"/>
      <c r="E59" s="296"/>
      <c r="F59" s="296"/>
      <c r="G59" s="296"/>
      <c r="H59" s="296"/>
      <c r="I59" s="296"/>
      <c r="J59" s="296"/>
      <c r="K59" s="296"/>
      <c r="L59" s="296"/>
      <c r="M59" s="296"/>
      <c r="N59" s="296"/>
      <c r="O59" s="296"/>
      <c r="P59" s="296"/>
      <c r="Q59" s="296"/>
      <c r="R59" s="297"/>
    </row>
    <row r="60" spans="2:24" ht="15" customHeight="1" x14ac:dyDescent="0.25">
      <c r="B60" s="298"/>
      <c r="C60" s="299"/>
      <c r="D60" s="299"/>
      <c r="E60" s="299"/>
      <c r="F60" s="299"/>
      <c r="G60" s="299"/>
      <c r="H60" s="299"/>
      <c r="I60" s="299"/>
      <c r="J60" s="299"/>
      <c r="K60" s="299"/>
      <c r="L60" s="299"/>
      <c r="M60" s="299"/>
      <c r="N60" s="299"/>
      <c r="O60" s="299"/>
      <c r="P60" s="299"/>
      <c r="Q60" s="299"/>
      <c r="R60" s="300"/>
    </row>
    <row r="61" spans="2:24" ht="15" customHeight="1" x14ac:dyDescent="0.25">
      <c r="B61" s="298"/>
      <c r="C61" s="299"/>
      <c r="D61" s="299"/>
      <c r="E61" s="299"/>
      <c r="F61" s="299"/>
      <c r="G61" s="299"/>
      <c r="H61" s="299"/>
      <c r="I61" s="299"/>
      <c r="J61" s="299"/>
      <c r="K61" s="299"/>
      <c r="L61" s="299"/>
      <c r="M61" s="299"/>
      <c r="N61" s="299"/>
      <c r="O61" s="299"/>
      <c r="P61" s="299"/>
      <c r="Q61" s="299"/>
      <c r="R61" s="300"/>
    </row>
    <row r="62" spans="2:24" ht="15" customHeight="1" x14ac:dyDescent="0.25">
      <c r="B62" s="298"/>
      <c r="C62" s="299"/>
      <c r="D62" s="299"/>
      <c r="E62" s="299"/>
      <c r="F62" s="299"/>
      <c r="G62" s="299"/>
      <c r="H62" s="299"/>
      <c r="I62" s="299"/>
      <c r="J62" s="299"/>
      <c r="K62" s="299"/>
      <c r="L62" s="299"/>
      <c r="M62" s="299"/>
      <c r="N62" s="299"/>
      <c r="O62" s="299"/>
      <c r="P62" s="299"/>
      <c r="Q62" s="299"/>
      <c r="R62" s="300"/>
    </row>
    <row r="63" spans="2:24" ht="15" customHeight="1" x14ac:dyDescent="0.25">
      <c r="B63" s="298"/>
      <c r="C63" s="299"/>
      <c r="D63" s="299"/>
      <c r="E63" s="299"/>
      <c r="F63" s="299"/>
      <c r="G63" s="299"/>
      <c r="H63" s="299"/>
      <c r="I63" s="299"/>
      <c r="J63" s="299"/>
      <c r="K63" s="299"/>
      <c r="L63" s="299"/>
      <c r="M63" s="299"/>
      <c r="N63" s="299"/>
      <c r="O63" s="299"/>
      <c r="P63" s="299"/>
      <c r="Q63" s="299"/>
      <c r="R63" s="300"/>
    </row>
    <row r="64" spans="2:24" ht="15" customHeight="1" x14ac:dyDescent="0.25">
      <c r="B64" s="298"/>
      <c r="C64" s="299"/>
      <c r="D64" s="299"/>
      <c r="E64" s="299"/>
      <c r="F64" s="299"/>
      <c r="G64" s="299"/>
      <c r="H64" s="299"/>
      <c r="I64" s="299"/>
      <c r="J64" s="299"/>
      <c r="K64" s="299"/>
      <c r="L64" s="299"/>
      <c r="M64" s="299"/>
      <c r="N64" s="299"/>
      <c r="O64" s="299"/>
      <c r="P64" s="299"/>
      <c r="Q64" s="299"/>
      <c r="R64" s="300"/>
    </row>
    <row r="65" spans="2:18" ht="24.75" customHeight="1" thickBot="1" x14ac:dyDescent="0.3">
      <c r="B65" s="301"/>
      <c r="C65" s="302"/>
      <c r="D65" s="302"/>
      <c r="E65" s="302"/>
      <c r="F65" s="302"/>
      <c r="G65" s="302"/>
      <c r="H65" s="302"/>
      <c r="I65" s="302"/>
      <c r="J65" s="302"/>
      <c r="K65" s="302"/>
      <c r="L65" s="302"/>
      <c r="M65" s="302"/>
      <c r="N65" s="302"/>
      <c r="O65" s="302"/>
      <c r="P65" s="302"/>
      <c r="Q65" s="302"/>
      <c r="R65" s="303"/>
    </row>
    <row r="66" spans="2:18" ht="15" customHeight="1" x14ac:dyDescent="0.25"/>
    <row r="67" spans="2:18" ht="15" customHeight="1" x14ac:dyDescent="0.25"/>
    <row r="68" spans="2:18" ht="15" customHeight="1" x14ac:dyDescent="0.25"/>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sheetData>
  <sortState ref="C41:E44">
    <sortCondition descending="1" ref="E40"/>
  </sortState>
  <mergeCells count="3">
    <mergeCell ref="C3:S3"/>
    <mergeCell ref="D5:E5"/>
    <mergeCell ref="B59:R65"/>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0"/>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89" t="s">
        <v>159</v>
      </c>
      <c r="D3" s="289"/>
      <c r="E3" s="289"/>
      <c r="F3" s="289"/>
      <c r="G3" s="289"/>
      <c r="H3" s="289"/>
      <c r="I3" s="289"/>
      <c r="J3" s="289"/>
      <c r="K3" s="289"/>
      <c r="L3" s="289"/>
      <c r="M3" s="289"/>
      <c r="N3" s="290"/>
    </row>
    <row r="4" spans="2:19" ht="15.75" x14ac:dyDescent="0.25">
      <c r="B4" s="93"/>
      <c r="C4" s="67" t="s">
        <v>387</v>
      </c>
      <c r="D4" s="29"/>
      <c r="E4" s="29"/>
      <c r="F4" s="5"/>
      <c r="G4" s="5"/>
      <c r="H4" s="5"/>
      <c r="I4" s="5"/>
      <c r="J4" s="5"/>
      <c r="K4" s="5"/>
      <c r="L4" s="5"/>
      <c r="M4" s="5"/>
      <c r="N4" s="20"/>
    </row>
    <row r="5" spans="2:19" ht="20.25" customHeight="1" x14ac:dyDescent="0.2">
      <c r="B5" s="93"/>
      <c r="C5" s="220" t="s">
        <v>386</v>
      </c>
      <c r="D5" s="306" t="s">
        <v>405</v>
      </c>
      <c r="E5" s="306"/>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28" t="s">
        <v>45</v>
      </c>
      <c r="F7" s="5"/>
      <c r="G7" s="291" t="s">
        <v>46</v>
      </c>
      <c r="H7" s="291"/>
      <c r="I7" s="291"/>
      <c r="J7" s="291"/>
      <c r="K7" s="291"/>
      <c r="L7" s="291"/>
      <c r="M7" s="291"/>
      <c r="N7" s="292"/>
    </row>
    <row r="8" spans="2:19" x14ac:dyDescent="0.2">
      <c r="B8" s="93"/>
      <c r="C8" s="120" t="s">
        <v>256</v>
      </c>
      <c r="D8" s="121" t="s">
        <v>110</v>
      </c>
      <c r="E8" s="191">
        <v>4.3920000000000001E-3</v>
      </c>
      <c r="F8" s="5"/>
      <c r="G8" s="240" t="s">
        <v>47</v>
      </c>
      <c r="H8" s="241">
        <v>1</v>
      </c>
      <c r="I8" s="242">
        <f>H8/SUM($H$8:$H$10)</f>
        <v>1</v>
      </c>
      <c r="J8" s="244"/>
      <c r="K8" s="257"/>
      <c r="L8" s="244"/>
      <c r="M8" s="5"/>
      <c r="N8" s="20"/>
      <c r="S8" s="49"/>
    </row>
    <row r="9" spans="2:19" ht="15.75" customHeight="1" x14ac:dyDescent="0.2">
      <c r="B9" s="93"/>
      <c r="C9" s="122" t="s">
        <v>30</v>
      </c>
      <c r="D9" s="38" t="s">
        <v>116</v>
      </c>
      <c r="E9" s="191">
        <v>4.2090000000000009E-3</v>
      </c>
      <c r="F9" s="5"/>
      <c r="G9" s="240" t="s">
        <v>57</v>
      </c>
      <c r="H9" s="243">
        <v>0</v>
      </c>
      <c r="I9" s="242">
        <f>H9/SUM($H$8:$H$10)</f>
        <v>0</v>
      </c>
      <c r="J9" s="240" t="s">
        <v>98</v>
      </c>
      <c r="K9" s="241">
        <f>E23+E25</f>
        <v>0.10695600000000001</v>
      </c>
      <c r="L9" s="240"/>
      <c r="M9" s="5"/>
      <c r="N9" s="20"/>
      <c r="S9" s="49"/>
    </row>
    <row r="10" spans="2:19" x14ac:dyDescent="0.2">
      <c r="B10" s="93"/>
      <c r="C10" s="122" t="s">
        <v>37</v>
      </c>
      <c r="D10" s="38" t="s">
        <v>116</v>
      </c>
      <c r="E10" s="191">
        <v>4.1910000000000003E-3</v>
      </c>
      <c r="F10" s="31"/>
      <c r="G10" s="240" t="s">
        <v>48</v>
      </c>
      <c r="H10" s="243">
        <v>0</v>
      </c>
      <c r="I10" s="242">
        <f>H10/SUM($H$8:$H$10)</f>
        <v>0</v>
      </c>
      <c r="J10" s="240" t="s">
        <v>20</v>
      </c>
      <c r="K10" s="241">
        <f>E47</f>
        <v>2.3408000000000026E-2</v>
      </c>
      <c r="L10" s="240"/>
      <c r="M10" s="5"/>
      <c r="N10" s="20"/>
      <c r="S10" s="49"/>
    </row>
    <row r="11" spans="2:19" x14ac:dyDescent="0.2">
      <c r="B11" s="93"/>
      <c r="C11" s="122" t="s">
        <v>32</v>
      </c>
      <c r="D11" s="38" t="s">
        <v>3</v>
      </c>
      <c r="E11" s="191">
        <v>4.098999999999995E-3</v>
      </c>
      <c r="F11" s="5"/>
      <c r="G11" s="240"/>
      <c r="H11" s="240"/>
      <c r="I11" s="240"/>
      <c r="J11" s="1"/>
      <c r="K11" s="1"/>
      <c r="L11" s="240"/>
      <c r="M11" s="5"/>
      <c r="N11" s="20"/>
      <c r="S11" s="49"/>
    </row>
    <row r="12" spans="2:19" ht="15.75" customHeight="1" x14ac:dyDescent="0.2">
      <c r="B12" s="93"/>
      <c r="C12" s="122" t="s">
        <v>33</v>
      </c>
      <c r="D12" s="38" t="s">
        <v>106</v>
      </c>
      <c r="E12" s="191">
        <v>4.0080000000000011E-3</v>
      </c>
      <c r="F12" s="31"/>
      <c r="G12" s="240"/>
      <c r="H12" s="241"/>
      <c r="I12" s="240"/>
      <c r="J12" s="240" t="s">
        <v>41</v>
      </c>
      <c r="K12" s="241">
        <f>E37</f>
        <v>7.8964000000000006E-2</v>
      </c>
      <c r="L12" s="240"/>
      <c r="M12" s="5"/>
      <c r="N12" s="20"/>
      <c r="S12" s="49"/>
    </row>
    <row r="13" spans="2:19" x14ac:dyDescent="0.2">
      <c r="B13" s="93"/>
      <c r="C13" s="122" t="s">
        <v>28</v>
      </c>
      <c r="D13" s="38" t="s">
        <v>106</v>
      </c>
      <c r="E13" s="191">
        <v>3.9950000000000012E-3</v>
      </c>
      <c r="F13" s="31"/>
      <c r="G13" s="240"/>
      <c r="H13" s="240"/>
      <c r="I13" s="240"/>
      <c r="J13" s="240"/>
      <c r="K13" s="256"/>
      <c r="L13" s="240"/>
      <c r="M13" s="5"/>
      <c r="N13" s="20"/>
      <c r="S13" s="49"/>
    </row>
    <row r="14" spans="2:19" x14ac:dyDescent="0.2">
      <c r="B14" s="93"/>
      <c r="C14" s="122" t="s">
        <v>87</v>
      </c>
      <c r="D14" s="38" t="s">
        <v>107</v>
      </c>
      <c r="E14" s="191">
        <v>3.9419999999999993E-3</v>
      </c>
      <c r="F14" s="31"/>
      <c r="G14" s="240"/>
      <c r="H14" s="240"/>
      <c r="I14" s="240"/>
      <c r="J14" s="240" t="s">
        <v>216</v>
      </c>
      <c r="K14" s="241">
        <f>E28</f>
        <v>9.6237000000000003E-2</v>
      </c>
      <c r="L14" s="240"/>
      <c r="M14" s="5"/>
      <c r="N14" s="20"/>
      <c r="S14" s="49"/>
    </row>
    <row r="15" spans="2:19" x14ac:dyDescent="0.2">
      <c r="B15" s="93"/>
      <c r="C15" s="122" t="s">
        <v>141</v>
      </c>
      <c r="D15" s="38" t="s">
        <v>110</v>
      </c>
      <c r="E15" s="191">
        <v>3.9369999999999995E-3</v>
      </c>
      <c r="F15" s="5"/>
      <c r="G15" s="240"/>
      <c r="H15" s="240"/>
      <c r="I15" s="240"/>
      <c r="J15" s="240" t="s">
        <v>42</v>
      </c>
      <c r="K15" s="241">
        <f>E40</f>
        <v>5.6658E-2</v>
      </c>
      <c r="L15" s="240"/>
      <c r="M15" s="5"/>
      <c r="N15" s="20"/>
      <c r="S15" s="49"/>
    </row>
    <row r="16" spans="2:19" x14ac:dyDescent="0.2">
      <c r="B16" s="93"/>
      <c r="C16" s="122" t="s">
        <v>294</v>
      </c>
      <c r="D16" s="38" t="s">
        <v>107</v>
      </c>
      <c r="E16" s="191">
        <v>3.9290000000000002E-3</v>
      </c>
      <c r="F16" s="5"/>
      <c r="G16" s="240"/>
      <c r="H16" s="240"/>
      <c r="I16" s="240"/>
      <c r="J16" s="240" t="s">
        <v>60</v>
      </c>
      <c r="K16" s="241">
        <f>E32</f>
        <v>0.57888200000000001</v>
      </c>
      <c r="L16" s="240"/>
      <c r="M16" s="5"/>
      <c r="N16" s="20"/>
      <c r="S16" s="49"/>
    </row>
    <row r="17" spans="2:19" x14ac:dyDescent="0.2">
      <c r="B17" s="93"/>
      <c r="C17" s="123" t="s">
        <v>95</v>
      </c>
      <c r="D17" s="105" t="s">
        <v>111</v>
      </c>
      <c r="E17" s="191">
        <v>3.8720000000000004E-3</v>
      </c>
      <c r="F17" s="5"/>
      <c r="G17" s="240"/>
      <c r="H17" s="240"/>
      <c r="I17" s="240"/>
      <c r="J17" s="240" t="s">
        <v>314</v>
      </c>
      <c r="K17" s="241">
        <f>E30</f>
        <v>8.6499999999999999E-4</v>
      </c>
      <c r="L17" s="240"/>
      <c r="M17" s="5"/>
      <c r="N17" s="20"/>
      <c r="S17" s="49"/>
    </row>
    <row r="18" spans="2:19" x14ac:dyDescent="0.2">
      <c r="B18" s="93"/>
      <c r="C18" s="122" t="s">
        <v>300</v>
      </c>
      <c r="D18" s="38" t="s">
        <v>76</v>
      </c>
      <c r="E18" s="191">
        <v>3.8300000000000001E-3</v>
      </c>
      <c r="F18" s="5"/>
      <c r="G18" s="240"/>
      <c r="H18" s="240"/>
      <c r="I18" s="240"/>
      <c r="J18" s="240" t="s">
        <v>315</v>
      </c>
      <c r="K18" s="256">
        <f>E45</f>
        <v>5.8029999999999998E-2</v>
      </c>
      <c r="L18" s="240"/>
      <c r="M18" s="5"/>
      <c r="N18" s="20"/>
      <c r="S18" s="49"/>
    </row>
    <row r="19" spans="2:19" x14ac:dyDescent="0.2">
      <c r="B19" s="93"/>
      <c r="C19" s="122" t="s">
        <v>252</v>
      </c>
      <c r="D19" s="38" t="s">
        <v>4</v>
      </c>
      <c r="E19" s="191">
        <v>3.7520000000000001E-3</v>
      </c>
      <c r="F19" s="5"/>
      <c r="G19" s="244"/>
      <c r="H19" s="244"/>
      <c r="I19" s="244"/>
      <c r="J19" s="244"/>
      <c r="K19" s="244"/>
      <c r="L19" s="244"/>
      <c r="M19" s="5"/>
      <c r="N19" s="20"/>
      <c r="S19" s="49"/>
    </row>
    <row r="20" spans="2:19" ht="15.75" customHeight="1" x14ac:dyDescent="0.25">
      <c r="B20" s="93"/>
      <c r="C20" s="122" t="s">
        <v>35</v>
      </c>
      <c r="D20" s="38" t="s">
        <v>3</v>
      </c>
      <c r="E20" s="191">
        <v>3.7489999999999954E-3</v>
      </c>
      <c r="F20" s="5"/>
      <c r="G20" s="309" t="s">
        <v>99</v>
      </c>
      <c r="H20" s="310"/>
      <c r="I20" s="310"/>
      <c r="J20" s="310"/>
      <c r="K20" s="310"/>
      <c r="L20" s="288">
        <v>7.2323420080378638</v>
      </c>
      <c r="M20" s="124"/>
      <c r="N20" s="107"/>
      <c r="P20" s="19"/>
      <c r="S20" s="49"/>
    </row>
    <row r="21" spans="2:19" ht="15.75" x14ac:dyDescent="0.25">
      <c r="B21" s="93"/>
      <c r="C21" s="122" t="s">
        <v>257</v>
      </c>
      <c r="D21" s="38" t="s">
        <v>16</v>
      </c>
      <c r="E21" s="191">
        <v>3.7420000000000001E-3</v>
      </c>
      <c r="F21" s="5"/>
      <c r="G21" s="5"/>
      <c r="H21" s="5"/>
      <c r="I21" s="5"/>
      <c r="J21" s="5"/>
      <c r="K21" s="5"/>
      <c r="L21" s="5"/>
      <c r="M21" s="5"/>
      <c r="N21" s="20"/>
      <c r="P21" s="19"/>
      <c r="S21" s="49"/>
    </row>
    <row r="22" spans="2:19" ht="15.75" x14ac:dyDescent="0.25">
      <c r="B22" s="93"/>
      <c r="C22" s="122" t="s">
        <v>64</v>
      </c>
      <c r="D22" s="38" t="s">
        <v>82</v>
      </c>
      <c r="E22" s="191">
        <v>3.7130000000000002E-3</v>
      </c>
      <c r="F22" s="5"/>
      <c r="G22" s="31"/>
      <c r="H22" s="31"/>
      <c r="I22" s="31"/>
      <c r="J22" s="5"/>
      <c r="K22" s="31"/>
      <c r="L22" s="5"/>
      <c r="M22" s="5"/>
      <c r="N22" s="20"/>
      <c r="P22" s="19"/>
      <c r="S22" s="49"/>
    </row>
    <row r="23" spans="2:19" ht="15.75" customHeight="1" x14ac:dyDescent="0.25">
      <c r="B23" s="93"/>
      <c r="C23" s="108" t="s">
        <v>88</v>
      </c>
      <c r="D23" s="108"/>
      <c r="E23" s="109">
        <v>5.9359999999999996E-2</v>
      </c>
      <c r="F23" s="5"/>
      <c r="G23" s="291" t="s">
        <v>50</v>
      </c>
      <c r="H23" s="291"/>
      <c r="I23" s="291"/>
      <c r="J23" s="291"/>
      <c r="K23" s="291"/>
      <c r="L23" s="291"/>
      <c r="M23" s="291"/>
      <c r="N23" s="292"/>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89</v>
      </c>
      <c r="D25" s="108"/>
      <c r="E25" s="109">
        <v>4.7596000000000013E-2</v>
      </c>
      <c r="F25" s="5"/>
      <c r="G25" s="5"/>
      <c r="H25" s="5"/>
      <c r="I25" s="5"/>
      <c r="J25" s="5"/>
      <c r="K25" s="5"/>
      <c r="L25" s="5"/>
      <c r="M25" s="5"/>
      <c r="N25" s="20"/>
      <c r="P25" s="19"/>
      <c r="S25" s="49"/>
    </row>
    <row r="26" spans="2:19" ht="15.75" x14ac:dyDescent="0.25">
      <c r="B26" s="93"/>
      <c r="C26" s="209"/>
      <c r="D26" s="209"/>
      <c r="E26" s="191"/>
      <c r="F26" s="5"/>
      <c r="G26" s="5"/>
      <c r="H26" s="5"/>
      <c r="I26" s="5"/>
      <c r="J26" s="5"/>
      <c r="K26" s="5"/>
      <c r="L26" s="5"/>
      <c r="M26" s="5"/>
      <c r="N26" s="20"/>
      <c r="P26" s="19"/>
      <c r="S26" s="49"/>
    </row>
    <row r="27" spans="2:19" ht="15.75" x14ac:dyDescent="0.25">
      <c r="B27" s="93"/>
      <c r="C27" s="209" t="s">
        <v>217</v>
      </c>
      <c r="D27" s="209"/>
      <c r="E27" s="191">
        <v>9.6237000000000003E-2</v>
      </c>
      <c r="F27" s="5"/>
      <c r="G27" s="5"/>
      <c r="H27" s="5"/>
      <c r="I27" s="5"/>
      <c r="J27" s="5"/>
      <c r="K27" s="5"/>
      <c r="L27" s="5"/>
      <c r="M27" s="5"/>
      <c r="N27" s="20"/>
      <c r="P27" s="19"/>
      <c r="S27" s="49"/>
    </row>
    <row r="28" spans="2:19" ht="15.75" x14ac:dyDescent="0.25">
      <c r="B28" s="93"/>
      <c r="C28" s="108" t="s">
        <v>216</v>
      </c>
      <c r="D28" s="108"/>
      <c r="E28" s="185">
        <v>9.6237000000000003E-2</v>
      </c>
      <c r="F28" s="5"/>
      <c r="G28" s="5"/>
      <c r="H28" s="5"/>
      <c r="I28" s="5"/>
      <c r="J28" s="5"/>
      <c r="K28" s="5"/>
      <c r="L28" s="5"/>
      <c r="M28" s="5"/>
      <c r="N28" s="20"/>
      <c r="P28" s="19"/>
      <c r="S28" s="49"/>
    </row>
    <row r="29" spans="2:19" ht="15.75" x14ac:dyDescent="0.25">
      <c r="B29" s="93"/>
      <c r="C29" s="239"/>
      <c r="D29" s="251"/>
      <c r="E29" s="250"/>
      <c r="F29" s="5"/>
      <c r="G29" s="5"/>
      <c r="H29" s="5"/>
      <c r="I29" s="5"/>
      <c r="J29" s="5"/>
      <c r="K29" s="5"/>
      <c r="L29" s="5"/>
      <c r="M29" s="5"/>
      <c r="N29" s="20"/>
      <c r="P29" s="19"/>
      <c r="S29" s="49"/>
    </row>
    <row r="30" spans="2:19" ht="15.75" x14ac:dyDescent="0.25">
      <c r="B30" s="93"/>
      <c r="C30" s="108" t="s">
        <v>314</v>
      </c>
      <c r="D30" s="252"/>
      <c r="E30" s="185">
        <v>8.6499999999999999E-4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8" t="s">
        <v>58</v>
      </c>
      <c r="D32" s="252"/>
      <c r="E32" s="185">
        <v>0.57888200000000001</v>
      </c>
      <c r="F32" s="5"/>
      <c r="G32" s="5"/>
      <c r="H32" s="5"/>
      <c r="I32" s="5"/>
      <c r="J32" s="5"/>
      <c r="K32" s="5"/>
      <c r="L32" s="5"/>
      <c r="M32" s="5"/>
      <c r="N32" s="20"/>
      <c r="P32" s="19"/>
      <c r="S32" s="49"/>
    </row>
    <row r="33" spans="2:19" ht="15" customHeight="1" x14ac:dyDescent="0.25">
      <c r="B33" s="93"/>
      <c r="C33" s="209" t="s">
        <v>69</v>
      </c>
      <c r="D33" s="253" t="s">
        <v>63</v>
      </c>
      <c r="E33" s="191">
        <v>2.2546999999999998E-2</v>
      </c>
      <c r="F33" s="5"/>
      <c r="G33" s="5"/>
      <c r="H33" s="5"/>
      <c r="I33" s="5"/>
      <c r="J33" s="5"/>
      <c r="K33" s="5"/>
      <c r="L33" s="5"/>
      <c r="M33" s="5"/>
      <c r="N33" s="20"/>
      <c r="P33" s="19"/>
      <c r="S33" s="49"/>
    </row>
    <row r="34" spans="2:19" ht="15" customHeight="1" x14ac:dyDescent="0.25">
      <c r="B34" s="93"/>
      <c r="C34" s="209" t="s">
        <v>75</v>
      </c>
      <c r="D34" s="253" t="s">
        <v>63</v>
      </c>
      <c r="E34" s="191">
        <v>1.8824E-2</v>
      </c>
      <c r="F34" s="5"/>
      <c r="G34" s="5"/>
      <c r="H34" s="5"/>
      <c r="I34" s="5"/>
      <c r="J34" s="5"/>
      <c r="K34" s="5"/>
      <c r="L34" s="5"/>
      <c r="M34" s="5"/>
      <c r="N34" s="20"/>
      <c r="P34" s="19"/>
      <c r="S34" s="49"/>
    </row>
    <row r="35" spans="2:19" s="48" customFormat="1" ht="15.75" x14ac:dyDescent="0.25">
      <c r="B35" s="110"/>
      <c r="C35" s="209" t="s">
        <v>73</v>
      </c>
      <c r="D35" s="253" t="s">
        <v>63</v>
      </c>
      <c r="E35" s="191">
        <v>1.8822999999999999E-2</v>
      </c>
      <c r="F35" s="41"/>
      <c r="G35" s="41"/>
      <c r="H35" s="41"/>
      <c r="I35" s="41"/>
      <c r="J35" s="41"/>
      <c r="K35" s="41"/>
      <c r="L35" s="41"/>
      <c r="M35" s="41"/>
      <c r="N35" s="111"/>
      <c r="P35" s="53"/>
      <c r="S35" s="112"/>
    </row>
    <row r="36" spans="2:19" s="48" customFormat="1" ht="15.75" x14ac:dyDescent="0.25">
      <c r="B36" s="110"/>
      <c r="C36" s="209" t="s">
        <v>180</v>
      </c>
      <c r="D36" s="253" t="s">
        <v>63</v>
      </c>
      <c r="E36" s="191">
        <v>1.8769999999999998E-2</v>
      </c>
      <c r="F36" s="41"/>
      <c r="G36" s="41"/>
      <c r="H36" s="41"/>
      <c r="I36" s="41"/>
      <c r="J36" s="41"/>
      <c r="K36" s="41"/>
      <c r="L36" s="41"/>
      <c r="M36" s="41"/>
      <c r="N36" s="111"/>
      <c r="P36" s="53"/>
      <c r="S36" s="112"/>
    </row>
    <row r="37" spans="2:19" ht="15.75" x14ac:dyDescent="0.25">
      <c r="B37" s="93"/>
      <c r="C37" s="108" t="s">
        <v>49</v>
      </c>
      <c r="D37" s="252"/>
      <c r="E37" s="185">
        <v>7.8964000000000006E-2</v>
      </c>
      <c r="F37" s="5"/>
      <c r="G37" s="5"/>
      <c r="H37" s="5"/>
      <c r="I37" s="5"/>
      <c r="J37" s="5"/>
      <c r="K37" s="5"/>
      <c r="L37" s="5"/>
      <c r="M37" s="5"/>
      <c r="N37" s="20"/>
      <c r="P37" s="19"/>
      <c r="S37" s="49"/>
    </row>
    <row r="38" spans="2:19" ht="15.75" x14ac:dyDescent="0.25">
      <c r="B38" s="93"/>
      <c r="C38" s="27" t="s">
        <v>236</v>
      </c>
      <c r="D38" s="33" t="s">
        <v>61</v>
      </c>
      <c r="E38" s="191">
        <v>3.7276999999999998E-2</v>
      </c>
      <c r="F38" s="5"/>
      <c r="G38" s="5"/>
      <c r="H38" s="5"/>
      <c r="I38" s="5"/>
      <c r="J38" s="5"/>
      <c r="K38" s="5"/>
      <c r="L38" s="5"/>
      <c r="M38" s="5"/>
      <c r="N38" s="20"/>
      <c r="P38" s="19"/>
      <c r="S38" s="49"/>
    </row>
    <row r="39" spans="2:19" ht="15.75" x14ac:dyDescent="0.25">
      <c r="B39" s="93"/>
      <c r="C39" s="27" t="s">
        <v>197</v>
      </c>
      <c r="D39" s="33" t="s">
        <v>61</v>
      </c>
      <c r="E39" s="191">
        <v>1.9380999999999999E-2</v>
      </c>
      <c r="F39" s="5"/>
      <c r="G39" s="5"/>
      <c r="H39" s="5"/>
      <c r="I39" s="5"/>
      <c r="J39" s="5"/>
      <c r="K39" s="5"/>
      <c r="L39" s="5"/>
      <c r="M39" s="5"/>
      <c r="N39" s="20"/>
      <c r="P39" s="19"/>
      <c r="S39" s="49"/>
    </row>
    <row r="40" spans="2:19" ht="15.75" x14ac:dyDescent="0.25">
      <c r="B40" s="93"/>
      <c r="C40" s="108" t="s">
        <v>42</v>
      </c>
      <c r="D40" s="252"/>
      <c r="E40" s="185">
        <v>5.6658E-2</v>
      </c>
      <c r="F40" s="5"/>
      <c r="G40" s="5"/>
      <c r="H40" s="5"/>
      <c r="I40" s="5"/>
      <c r="J40" s="5"/>
      <c r="K40" s="5"/>
      <c r="L40" s="5"/>
      <c r="M40" s="5"/>
      <c r="N40" s="20"/>
      <c r="P40" s="19"/>
      <c r="S40" s="49"/>
    </row>
    <row r="41" spans="2:19" ht="15.75" x14ac:dyDescent="0.25">
      <c r="B41" s="93"/>
      <c r="C41" s="27"/>
      <c r="D41" s="33"/>
      <c r="E41" s="191"/>
      <c r="F41" s="5"/>
      <c r="G41" s="5"/>
      <c r="H41" s="5"/>
      <c r="I41" s="5"/>
      <c r="J41" s="5"/>
      <c r="K41" s="5"/>
      <c r="L41" s="5"/>
      <c r="M41" s="5"/>
      <c r="N41" s="20"/>
      <c r="P41" s="19"/>
      <c r="S41" s="49"/>
    </row>
    <row r="42" spans="2:19" ht="15.75" x14ac:dyDescent="0.25">
      <c r="B42" s="93"/>
      <c r="C42" s="27" t="s">
        <v>347</v>
      </c>
      <c r="D42" s="33" t="s">
        <v>61</v>
      </c>
      <c r="E42" s="191">
        <v>2.4660000000000001E-2</v>
      </c>
      <c r="F42" s="5"/>
      <c r="G42" s="5"/>
      <c r="H42" s="5"/>
      <c r="I42" s="5"/>
      <c r="J42" s="5"/>
      <c r="K42" s="5"/>
      <c r="L42" s="5"/>
      <c r="M42" s="5"/>
      <c r="N42" s="20"/>
      <c r="P42" s="19"/>
      <c r="S42" s="49"/>
    </row>
    <row r="43" spans="2:19" ht="15.75" x14ac:dyDescent="0.25">
      <c r="B43" s="93"/>
      <c r="C43" s="27" t="s">
        <v>337</v>
      </c>
      <c r="D43" s="33" t="s">
        <v>61</v>
      </c>
      <c r="E43" s="191">
        <v>1.9524E-2</v>
      </c>
      <c r="F43" s="5"/>
      <c r="G43" s="5"/>
      <c r="H43" s="5"/>
      <c r="I43" s="5"/>
      <c r="J43" s="5"/>
      <c r="K43" s="5"/>
      <c r="L43" s="5"/>
      <c r="M43" s="5"/>
      <c r="N43" s="20"/>
      <c r="P43" s="19"/>
      <c r="S43" s="49"/>
    </row>
    <row r="44" spans="2:19" ht="15.75" x14ac:dyDescent="0.25">
      <c r="B44" s="93"/>
      <c r="C44" s="27" t="s">
        <v>346</v>
      </c>
      <c r="D44" s="33" t="s">
        <v>61</v>
      </c>
      <c r="E44" s="191">
        <v>1.3846000000000001E-2</v>
      </c>
      <c r="F44" s="5"/>
      <c r="G44" s="5"/>
      <c r="H44" s="5"/>
      <c r="I44" s="5"/>
      <c r="J44" s="5"/>
      <c r="K44" s="5"/>
      <c r="L44" s="5"/>
      <c r="M44" s="5"/>
      <c r="N44" s="20"/>
      <c r="P44" s="19"/>
      <c r="S44" s="49"/>
    </row>
    <row r="45" spans="2:19" ht="15.75" x14ac:dyDescent="0.25">
      <c r="B45" s="93"/>
      <c r="C45" s="108" t="s">
        <v>315</v>
      </c>
      <c r="D45" s="252"/>
      <c r="E45" s="185">
        <v>5.8029999999999998E-2</v>
      </c>
      <c r="F45" s="5"/>
      <c r="G45" s="5"/>
      <c r="H45" s="5"/>
      <c r="I45" s="5"/>
      <c r="J45" s="5"/>
      <c r="K45" s="5"/>
      <c r="L45" s="5"/>
      <c r="M45" s="5"/>
      <c r="N45" s="20"/>
      <c r="P45" s="19"/>
      <c r="S45" s="49"/>
    </row>
    <row r="46" spans="2:19" ht="15.75" x14ac:dyDescent="0.25">
      <c r="B46" s="93"/>
      <c r="C46" s="4"/>
      <c r="D46" s="254"/>
      <c r="E46" s="32"/>
      <c r="F46" s="5"/>
      <c r="G46" s="5"/>
      <c r="H46" s="5"/>
      <c r="I46" s="5"/>
      <c r="J46" s="5"/>
      <c r="K46" s="5"/>
      <c r="L46" s="5"/>
      <c r="M46" s="5"/>
      <c r="N46" s="20"/>
      <c r="P46" s="19"/>
      <c r="S46" s="49"/>
    </row>
    <row r="47" spans="2:19" ht="15.75" x14ac:dyDescent="0.25">
      <c r="B47" s="93"/>
      <c r="C47" s="108" t="s">
        <v>20</v>
      </c>
      <c r="D47" s="252"/>
      <c r="E47" s="185">
        <v>2.3408000000000026E-2</v>
      </c>
      <c r="F47" s="5"/>
      <c r="G47" s="5"/>
      <c r="H47" s="5"/>
      <c r="I47" s="5"/>
      <c r="J47" s="5"/>
      <c r="K47" s="5"/>
      <c r="L47" s="5"/>
      <c r="M47" s="5"/>
      <c r="N47" s="20"/>
      <c r="P47" s="19"/>
      <c r="S47" s="49"/>
    </row>
    <row r="48" spans="2:19" ht="15.75" x14ac:dyDescent="0.25">
      <c r="B48" s="93"/>
      <c r="C48" s="4"/>
      <c r="D48" s="254"/>
      <c r="E48" s="32"/>
      <c r="F48" s="5"/>
      <c r="G48" s="5"/>
      <c r="H48" s="5"/>
      <c r="I48" s="5"/>
      <c r="J48" s="5"/>
      <c r="K48" s="5"/>
      <c r="L48" s="5"/>
      <c r="M48" s="5"/>
      <c r="N48" s="20"/>
      <c r="P48" s="19"/>
      <c r="S48" s="49"/>
    </row>
    <row r="49" spans="2:19" ht="15.75" x14ac:dyDescent="0.25">
      <c r="B49" s="93"/>
      <c r="C49" s="115" t="s">
        <v>21</v>
      </c>
      <c r="D49" s="255"/>
      <c r="E49" s="116">
        <f>E47+E45+E40+E37+E32+E30+E28+E25+E23</f>
        <v>1</v>
      </c>
      <c r="F49" s="5"/>
      <c r="G49" s="5"/>
      <c r="H49" s="5"/>
      <c r="I49" s="5"/>
      <c r="J49" s="5"/>
      <c r="K49" s="5"/>
      <c r="L49" s="5"/>
      <c r="M49" s="5"/>
      <c r="N49" s="20"/>
      <c r="P49" s="19"/>
      <c r="S49" s="49"/>
    </row>
    <row r="50" spans="2:19" ht="15.75" x14ac:dyDescent="0.25">
      <c r="B50" s="93"/>
      <c r="F50" s="5"/>
      <c r="G50" s="5"/>
      <c r="H50" s="5"/>
      <c r="I50" s="5"/>
      <c r="J50" s="5"/>
      <c r="K50" s="5"/>
      <c r="L50" s="5"/>
      <c r="M50" s="5"/>
      <c r="N50" s="20"/>
      <c r="P50" s="19"/>
      <c r="S50" s="49"/>
    </row>
    <row r="51" spans="2:19" ht="11.25" customHeight="1" thickBot="1" x14ac:dyDescent="0.25">
      <c r="B51" s="96"/>
      <c r="C51" s="45"/>
      <c r="D51" s="45"/>
      <c r="E51" s="45"/>
      <c r="F51" s="45"/>
      <c r="G51" s="45"/>
      <c r="H51" s="45"/>
      <c r="I51" s="45"/>
      <c r="J51" s="45"/>
      <c r="K51" s="45"/>
      <c r="L51" s="45"/>
      <c r="M51" s="45"/>
      <c r="N51" s="118"/>
      <c r="S51" s="49"/>
    </row>
    <row r="52" spans="2:19" ht="15.75" thickBot="1" x14ac:dyDescent="0.25">
      <c r="S52" s="49"/>
    </row>
    <row r="53" spans="2:19" ht="15" customHeight="1" x14ac:dyDescent="0.2">
      <c r="B53" s="295" t="s">
        <v>181</v>
      </c>
      <c r="C53" s="296"/>
      <c r="D53" s="296"/>
      <c r="E53" s="296"/>
      <c r="F53" s="296"/>
      <c r="G53" s="296"/>
      <c r="H53" s="296"/>
      <c r="I53" s="296"/>
      <c r="J53" s="296"/>
      <c r="K53" s="296"/>
      <c r="L53" s="296"/>
      <c r="M53" s="296"/>
      <c r="N53" s="296"/>
      <c r="O53" s="296"/>
      <c r="P53" s="296"/>
      <c r="Q53" s="296"/>
      <c r="R53" s="297"/>
      <c r="S53" s="49"/>
    </row>
    <row r="54" spans="2:19" x14ac:dyDescent="0.2">
      <c r="B54" s="298"/>
      <c r="C54" s="299"/>
      <c r="D54" s="299"/>
      <c r="E54" s="299"/>
      <c r="F54" s="299"/>
      <c r="G54" s="299"/>
      <c r="H54" s="299"/>
      <c r="I54" s="299"/>
      <c r="J54" s="299"/>
      <c r="K54" s="299"/>
      <c r="L54" s="299"/>
      <c r="M54" s="299"/>
      <c r="N54" s="299"/>
      <c r="O54" s="299"/>
      <c r="P54" s="299"/>
      <c r="Q54" s="299"/>
      <c r="R54" s="300"/>
      <c r="S54" s="49"/>
    </row>
    <row r="55" spans="2:19" x14ac:dyDescent="0.2">
      <c r="B55" s="298"/>
      <c r="C55" s="299"/>
      <c r="D55" s="299"/>
      <c r="E55" s="299"/>
      <c r="F55" s="299"/>
      <c r="G55" s="299"/>
      <c r="H55" s="299"/>
      <c r="I55" s="299"/>
      <c r="J55" s="299"/>
      <c r="K55" s="299"/>
      <c r="L55" s="299"/>
      <c r="M55" s="299"/>
      <c r="N55" s="299"/>
      <c r="O55" s="299"/>
      <c r="P55" s="299"/>
      <c r="Q55" s="299"/>
      <c r="R55" s="300"/>
      <c r="S55" s="49"/>
    </row>
    <row r="56" spans="2:19" x14ac:dyDescent="0.2">
      <c r="B56" s="298"/>
      <c r="C56" s="299"/>
      <c r="D56" s="299"/>
      <c r="E56" s="299"/>
      <c r="F56" s="299"/>
      <c r="G56" s="299"/>
      <c r="H56" s="299"/>
      <c r="I56" s="299"/>
      <c r="J56" s="299"/>
      <c r="K56" s="299"/>
      <c r="L56" s="299"/>
      <c r="M56" s="299"/>
      <c r="N56" s="299"/>
      <c r="O56" s="299"/>
      <c r="P56" s="299"/>
      <c r="Q56" s="299"/>
      <c r="R56" s="300"/>
      <c r="S56" s="49"/>
    </row>
    <row r="57" spans="2:19" x14ac:dyDescent="0.2">
      <c r="B57" s="298"/>
      <c r="C57" s="299"/>
      <c r="D57" s="299"/>
      <c r="E57" s="299"/>
      <c r="F57" s="299"/>
      <c r="G57" s="299"/>
      <c r="H57" s="299"/>
      <c r="I57" s="299"/>
      <c r="J57" s="299"/>
      <c r="K57" s="299"/>
      <c r="L57" s="299"/>
      <c r="M57" s="299"/>
      <c r="N57" s="299"/>
      <c r="O57" s="299"/>
      <c r="P57" s="299"/>
      <c r="Q57" s="299"/>
      <c r="R57" s="300"/>
      <c r="S57" s="49"/>
    </row>
    <row r="58" spans="2:19" x14ac:dyDescent="0.2">
      <c r="B58" s="298"/>
      <c r="C58" s="299"/>
      <c r="D58" s="299"/>
      <c r="E58" s="299"/>
      <c r="F58" s="299"/>
      <c r="G58" s="299"/>
      <c r="H58" s="299"/>
      <c r="I58" s="299"/>
      <c r="J58" s="299"/>
      <c r="K58" s="299"/>
      <c r="L58" s="299"/>
      <c r="M58" s="299"/>
      <c r="N58" s="299"/>
      <c r="O58" s="299"/>
      <c r="P58" s="299"/>
      <c r="Q58" s="299"/>
      <c r="R58" s="300"/>
      <c r="S58" s="49"/>
    </row>
    <row r="59" spans="2:19" ht="15.75" thickBot="1" x14ac:dyDescent="0.25">
      <c r="B59" s="301"/>
      <c r="C59" s="302"/>
      <c r="D59" s="302"/>
      <c r="E59" s="302"/>
      <c r="F59" s="302"/>
      <c r="G59" s="302"/>
      <c r="H59" s="302"/>
      <c r="I59" s="302"/>
      <c r="J59" s="302"/>
      <c r="K59" s="302"/>
      <c r="L59" s="302"/>
      <c r="M59" s="302"/>
      <c r="N59" s="302"/>
      <c r="O59" s="302"/>
      <c r="P59" s="302"/>
      <c r="Q59" s="302"/>
      <c r="R59" s="303"/>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sheetData>
  <sortState ref="C42:E44">
    <sortCondition descending="1" ref="E42"/>
  </sortState>
  <mergeCells count="6">
    <mergeCell ref="B53:R59"/>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8"/>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89" t="s">
        <v>266</v>
      </c>
      <c r="D3" s="289"/>
      <c r="E3" s="289"/>
      <c r="F3" s="289"/>
      <c r="G3" s="289"/>
      <c r="H3" s="289"/>
      <c r="I3" s="289"/>
      <c r="J3" s="289"/>
      <c r="K3" s="289"/>
      <c r="L3" s="289"/>
      <c r="M3" s="289"/>
      <c r="N3" s="290"/>
    </row>
    <row r="4" spans="2:18" ht="15.75" x14ac:dyDescent="0.25">
      <c r="B4" s="93"/>
      <c r="C4" s="67" t="s">
        <v>387</v>
      </c>
      <c r="D4" s="29"/>
      <c r="E4" s="29"/>
      <c r="F4" s="5"/>
      <c r="G4" s="5"/>
      <c r="H4" s="5"/>
      <c r="I4" s="5"/>
      <c r="J4" s="5"/>
      <c r="K4" s="5"/>
      <c r="L4" s="5"/>
      <c r="M4" s="5"/>
      <c r="N4" s="20"/>
    </row>
    <row r="5" spans="2:18" ht="20.25" customHeight="1" x14ac:dyDescent="0.2">
      <c r="B5" s="93"/>
      <c r="C5" s="220" t="s">
        <v>386</v>
      </c>
      <c r="D5" s="306" t="s">
        <v>406</v>
      </c>
      <c r="E5" s="306"/>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28" t="s">
        <v>44</v>
      </c>
      <c r="E7" s="119" t="s">
        <v>45</v>
      </c>
      <c r="F7" s="5"/>
      <c r="G7" s="291" t="s">
        <v>46</v>
      </c>
      <c r="H7" s="291"/>
      <c r="I7" s="291"/>
      <c r="J7" s="291"/>
      <c r="K7" s="291"/>
      <c r="L7" s="291"/>
      <c r="M7" s="291"/>
      <c r="N7" s="292"/>
    </row>
    <row r="8" spans="2:18" x14ac:dyDescent="0.2">
      <c r="B8" s="93"/>
      <c r="C8" s="225" t="s">
        <v>133</v>
      </c>
      <c r="D8" s="195" t="s">
        <v>111</v>
      </c>
      <c r="E8" s="202">
        <v>1.4888999999999999E-2</v>
      </c>
      <c r="F8" s="5"/>
      <c r="G8" s="240" t="s">
        <v>47</v>
      </c>
      <c r="H8" s="258">
        <f>100%-H9-H10</f>
        <v>0.81618100000000005</v>
      </c>
      <c r="I8" s="242">
        <f>H8/SUM($H$8:$H$10)</f>
        <v>0.81618100000000005</v>
      </c>
      <c r="J8" s="240"/>
      <c r="K8" s="241"/>
      <c r="L8" s="244"/>
      <c r="M8" s="244"/>
      <c r="N8" s="20"/>
      <c r="R8" s="49"/>
    </row>
    <row r="9" spans="2:18" ht="15.75" customHeight="1" x14ac:dyDescent="0.2">
      <c r="B9" s="93"/>
      <c r="C9" s="186" t="s">
        <v>135</v>
      </c>
      <c r="D9" s="195" t="s">
        <v>109</v>
      </c>
      <c r="E9" s="203">
        <v>1.0129000000000001E-2</v>
      </c>
      <c r="F9" s="5"/>
      <c r="G9" s="240" t="s">
        <v>57</v>
      </c>
      <c r="H9" s="259">
        <f>E30+E32+E31+E34</f>
        <v>0.14876400000000001</v>
      </c>
      <c r="I9" s="242">
        <f t="shared" ref="I9:I10" si="0">H9/SUM($H$8:$H$10)</f>
        <v>0.14876400000000001</v>
      </c>
      <c r="J9" s="240" t="s">
        <v>41</v>
      </c>
      <c r="K9" s="241">
        <f>E36</f>
        <v>0.27946100000000001</v>
      </c>
      <c r="L9" s="244"/>
      <c r="M9" s="244"/>
      <c r="N9" s="20"/>
      <c r="R9" s="49"/>
    </row>
    <row r="10" spans="2:18" x14ac:dyDescent="0.2">
      <c r="B10" s="93"/>
      <c r="C10" s="186" t="s">
        <v>33</v>
      </c>
      <c r="D10" s="195" t="s">
        <v>106</v>
      </c>
      <c r="E10" s="203">
        <v>8.5199999999999998E-3</v>
      </c>
      <c r="F10" s="31"/>
      <c r="G10" s="240" t="s">
        <v>48</v>
      </c>
      <c r="H10" s="258">
        <f>E33</f>
        <v>3.5055000000000003E-2</v>
      </c>
      <c r="I10" s="242">
        <f t="shared" si="0"/>
        <v>3.5055000000000003E-2</v>
      </c>
      <c r="J10" s="240" t="s">
        <v>96</v>
      </c>
      <c r="K10" s="241">
        <f>E19+E22+E24</f>
        <v>0.22473899999999999</v>
      </c>
      <c r="L10" s="244"/>
      <c r="M10" s="244"/>
      <c r="N10" s="20"/>
      <c r="R10" s="49"/>
    </row>
    <row r="11" spans="2:18" x14ac:dyDescent="0.2">
      <c r="B11" s="93"/>
      <c r="C11" s="186" t="s">
        <v>147</v>
      </c>
      <c r="D11" s="195" t="s">
        <v>106</v>
      </c>
      <c r="E11" s="203">
        <v>8.3250000000000008E-3</v>
      </c>
      <c r="F11" s="5"/>
      <c r="G11" s="240"/>
      <c r="H11" s="240"/>
      <c r="I11" s="240"/>
      <c r="J11" s="240" t="s">
        <v>20</v>
      </c>
      <c r="K11" s="241">
        <f>E45</f>
        <v>3.4159000000000002E-2</v>
      </c>
      <c r="L11" s="244"/>
      <c r="M11" s="244"/>
      <c r="N11" s="20"/>
      <c r="R11" s="49"/>
    </row>
    <row r="12" spans="2:18" ht="15.75" customHeight="1" x14ac:dyDescent="0.2">
      <c r="B12" s="93"/>
      <c r="C12" s="186" t="s">
        <v>104</v>
      </c>
      <c r="D12" s="195" t="s">
        <v>4</v>
      </c>
      <c r="E12" s="203">
        <v>8.0850000000000002E-3</v>
      </c>
      <c r="F12" s="31"/>
      <c r="G12" s="240"/>
      <c r="H12" s="241"/>
      <c r="I12" s="240"/>
      <c r="J12" s="240" t="s">
        <v>42</v>
      </c>
      <c r="K12" s="241">
        <f>E43</f>
        <v>0.45819799999999999</v>
      </c>
      <c r="L12" s="244"/>
      <c r="M12" s="244"/>
      <c r="N12" s="20"/>
      <c r="R12" s="49"/>
    </row>
    <row r="13" spans="2:18" x14ac:dyDescent="0.2">
      <c r="B13" s="93"/>
      <c r="C13" s="186" t="s">
        <v>149</v>
      </c>
      <c r="D13" s="195" t="s">
        <v>120</v>
      </c>
      <c r="E13" s="203">
        <v>7.6990000000000001E-3</v>
      </c>
      <c r="F13" s="31"/>
      <c r="G13" s="240"/>
      <c r="H13" s="240"/>
      <c r="I13" s="240"/>
      <c r="J13" s="240"/>
      <c r="K13" s="241"/>
      <c r="L13" s="244"/>
      <c r="M13" s="244"/>
      <c r="N13" s="20"/>
      <c r="R13" s="49"/>
    </row>
    <row r="14" spans="2:18" x14ac:dyDescent="0.2">
      <c r="B14" s="93"/>
      <c r="C14" s="186" t="s">
        <v>29</v>
      </c>
      <c r="D14" s="195" t="s">
        <v>3</v>
      </c>
      <c r="E14" s="203">
        <v>7.1339999999999997E-3</v>
      </c>
      <c r="F14" s="31"/>
      <c r="G14" s="240"/>
      <c r="H14" s="240"/>
      <c r="I14" s="240"/>
      <c r="J14" s="1" t="s">
        <v>198</v>
      </c>
      <c r="K14" s="245">
        <f>E27</f>
        <v>3.4429999999999999E-3</v>
      </c>
      <c r="L14" s="244"/>
      <c r="M14" s="244"/>
      <c r="N14" s="20"/>
      <c r="R14" s="49"/>
    </row>
    <row r="15" spans="2:18" x14ac:dyDescent="0.2">
      <c r="B15" s="93"/>
      <c r="C15" s="186" t="s">
        <v>36</v>
      </c>
      <c r="D15" s="195" t="s">
        <v>3</v>
      </c>
      <c r="E15" s="203">
        <v>2.4659999999999999E-3</v>
      </c>
      <c r="F15" s="5"/>
      <c r="G15" s="240"/>
      <c r="H15" s="240"/>
      <c r="I15" s="240"/>
      <c r="J15" s="1"/>
      <c r="K15" s="1"/>
      <c r="L15" s="244"/>
      <c r="M15" s="244"/>
      <c r="N15" s="20"/>
      <c r="R15" s="49"/>
    </row>
    <row r="16" spans="2:18" x14ac:dyDescent="0.2">
      <c r="B16" s="93"/>
      <c r="C16" s="186" t="s">
        <v>134</v>
      </c>
      <c r="D16" s="195" t="s">
        <v>3</v>
      </c>
      <c r="E16" s="203">
        <v>1.908E-3</v>
      </c>
      <c r="F16" s="5"/>
      <c r="G16" s="240"/>
      <c r="H16" s="240"/>
      <c r="I16" s="240"/>
      <c r="J16" s="240"/>
      <c r="K16" s="240"/>
      <c r="L16" s="244"/>
      <c r="M16" s="244"/>
      <c r="N16" s="20"/>
      <c r="R16" s="49"/>
    </row>
    <row r="17" spans="2:18" x14ac:dyDescent="0.2">
      <c r="B17" s="93"/>
      <c r="C17" s="186"/>
      <c r="D17" s="195"/>
      <c r="E17" s="203"/>
      <c r="F17" s="5"/>
      <c r="G17" s="5"/>
      <c r="H17" s="5"/>
      <c r="I17" s="5"/>
      <c r="J17" s="5"/>
      <c r="K17" s="5"/>
      <c r="L17" s="5"/>
      <c r="M17" s="5"/>
      <c r="N17" s="20"/>
      <c r="R17" s="49"/>
    </row>
    <row r="18" spans="2:18" x14ac:dyDescent="0.2">
      <c r="B18" s="93"/>
      <c r="C18" s="186"/>
      <c r="D18" s="195"/>
      <c r="E18" s="203"/>
      <c r="F18" s="5"/>
      <c r="G18" s="5"/>
      <c r="H18" s="5"/>
      <c r="I18" s="5"/>
      <c r="J18" s="5"/>
      <c r="K18" s="5"/>
      <c r="L18" s="5"/>
      <c r="M18" s="5"/>
      <c r="N18" s="20"/>
      <c r="R18" s="49"/>
    </row>
    <row r="19" spans="2:18" ht="15.75" x14ac:dyDescent="0.2">
      <c r="B19" s="93"/>
      <c r="C19" s="226" t="s">
        <v>56</v>
      </c>
      <c r="D19" s="117"/>
      <c r="E19" s="227">
        <v>6.9154999999999994E-2</v>
      </c>
      <c r="F19" s="5"/>
      <c r="G19" s="5"/>
      <c r="H19" s="5"/>
      <c r="I19" s="5"/>
      <c r="J19" s="5"/>
      <c r="K19" s="5"/>
      <c r="L19" s="5"/>
      <c r="M19" s="5"/>
      <c r="N19" s="20"/>
      <c r="R19" s="49"/>
    </row>
    <row r="20" spans="2:18" ht="15.75" customHeight="1" x14ac:dyDescent="0.25">
      <c r="B20" s="93"/>
      <c r="C20" s="212"/>
      <c r="D20" s="4"/>
      <c r="E20" s="46"/>
      <c r="F20" s="5"/>
      <c r="G20" s="309" t="s">
        <v>99</v>
      </c>
      <c r="H20" s="310"/>
      <c r="I20" s="310"/>
      <c r="J20" s="310"/>
      <c r="K20" s="310"/>
      <c r="L20" s="288">
        <v>7.4580498093523113</v>
      </c>
      <c r="M20" s="106"/>
      <c r="N20" s="107"/>
      <c r="R20" s="49"/>
    </row>
    <row r="21" spans="2:18" x14ac:dyDescent="0.2">
      <c r="B21" s="93"/>
      <c r="C21" s="212" t="s">
        <v>172</v>
      </c>
      <c r="D21" s="4"/>
      <c r="E21" s="214">
        <v>0.155584</v>
      </c>
      <c r="F21" s="5"/>
      <c r="G21" s="5"/>
      <c r="H21" s="5"/>
      <c r="I21" s="5"/>
      <c r="J21" s="5"/>
      <c r="K21" s="5"/>
      <c r="L21" s="5"/>
      <c r="M21" s="5"/>
      <c r="N21" s="20"/>
      <c r="R21" s="49"/>
    </row>
    <row r="22" spans="2:18" ht="15.75" x14ac:dyDescent="0.2">
      <c r="B22" s="93"/>
      <c r="C22" s="128" t="s">
        <v>81</v>
      </c>
      <c r="D22" s="108"/>
      <c r="E22" s="190">
        <v>0.155584</v>
      </c>
      <c r="F22" s="5"/>
      <c r="G22" s="31"/>
      <c r="H22" s="31"/>
      <c r="I22" s="31"/>
      <c r="J22" s="5"/>
      <c r="K22" s="31"/>
      <c r="L22" s="5"/>
      <c r="M22" s="5"/>
      <c r="N22" s="20"/>
      <c r="R22" s="49"/>
    </row>
    <row r="23" spans="2:18" ht="15.75" customHeight="1" x14ac:dyDescent="0.2">
      <c r="B23" s="93"/>
      <c r="C23" s="221"/>
      <c r="D23" s="113"/>
      <c r="E23" s="238"/>
      <c r="F23" s="5"/>
      <c r="G23" s="291" t="s">
        <v>50</v>
      </c>
      <c r="H23" s="291"/>
      <c r="I23" s="291"/>
      <c r="J23" s="291"/>
      <c r="K23" s="291"/>
      <c r="L23" s="291"/>
      <c r="M23" s="291"/>
      <c r="N23" s="292"/>
      <c r="R23" s="49"/>
    </row>
    <row r="24" spans="2:18" ht="15.75" x14ac:dyDescent="0.2">
      <c r="B24" s="93"/>
      <c r="C24" s="128" t="s">
        <v>66</v>
      </c>
      <c r="D24" s="108"/>
      <c r="E24" s="215">
        <v>0</v>
      </c>
      <c r="F24" s="5"/>
      <c r="G24" s="5"/>
      <c r="H24" s="5"/>
      <c r="I24" s="5"/>
      <c r="J24" s="5"/>
      <c r="K24" s="5"/>
      <c r="L24" s="5"/>
      <c r="M24" s="5"/>
      <c r="N24" s="20"/>
      <c r="R24" s="49"/>
    </row>
    <row r="25" spans="2:18" x14ac:dyDescent="0.2">
      <c r="B25" s="93"/>
      <c r="C25" s="102"/>
      <c r="D25" s="38"/>
      <c r="E25" s="224"/>
      <c r="F25" s="5"/>
      <c r="G25" s="5"/>
      <c r="H25" s="5"/>
      <c r="I25" s="5"/>
      <c r="J25" s="5"/>
      <c r="K25" s="5"/>
      <c r="L25" s="5"/>
      <c r="M25" s="5"/>
      <c r="N25" s="20"/>
      <c r="R25" s="49"/>
    </row>
    <row r="26" spans="2:18" x14ac:dyDescent="0.2">
      <c r="B26" s="93"/>
      <c r="C26" s="102" t="s">
        <v>198</v>
      </c>
      <c r="D26" s="38"/>
      <c r="E26" s="214">
        <v>3.4429999999999999E-3</v>
      </c>
      <c r="F26" s="5"/>
      <c r="G26" s="5"/>
      <c r="H26" s="5"/>
      <c r="I26" s="5"/>
      <c r="J26" s="5"/>
      <c r="K26" s="5"/>
      <c r="L26" s="5"/>
      <c r="M26" s="5"/>
      <c r="N26" s="20"/>
      <c r="R26" s="49"/>
    </row>
    <row r="27" spans="2:18" ht="15.75" x14ac:dyDescent="0.2">
      <c r="B27" s="93"/>
      <c r="C27" s="128" t="s">
        <v>198</v>
      </c>
      <c r="D27" s="108"/>
      <c r="E27" s="190">
        <v>3.4429999999999999E-3</v>
      </c>
      <c r="F27" s="5"/>
      <c r="G27" s="5"/>
      <c r="H27" s="5"/>
      <c r="I27" s="5"/>
      <c r="J27" s="5"/>
      <c r="K27" s="5"/>
      <c r="L27" s="5"/>
      <c r="M27" s="5"/>
      <c r="N27" s="20"/>
      <c r="R27" s="49"/>
    </row>
    <row r="28" spans="2:18" s="48" customFormat="1" x14ac:dyDescent="0.2">
      <c r="B28" s="110"/>
      <c r="C28" s="211"/>
      <c r="D28" s="199"/>
      <c r="E28" s="214"/>
      <c r="F28" s="41"/>
      <c r="G28" s="41"/>
      <c r="H28" s="41"/>
      <c r="I28" s="41"/>
      <c r="J28" s="41"/>
      <c r="K28" s="41"/>
      <c r="L28" s="41"/>
      <c r="M28" s="41"/>
      <c r="N28" s="111"/>
      <c r="R28" s="112"/>
    </row>
    <row r="29" spans="2:18" x14ac:dyDescent="0.2">
      <c r="B29" s="93"/>
      <c r="C29" s="102" t="s">
        <v>80</v>
      </c>
      <c r="D29" s="199" t="s">
        <v>63</v>
      </c>
      <c r="E29" s="229">
        <v>8.7070999999999996E-2</v>
      </c>
      <c r="F29" s="5"/>
      <c r="G29" s="5"/>
      <c r="H29" s="5"/>
      <c r="I29" s="5"/>
      <c r="J29" s="5"/>
      <c r="K29" s="5"/>
      <c r="L29" s="5"/>
      <c r="M29" s="5"/>
      <c r="N29" s="20"/>
      <c r="R29" s="49"/>
    </row>
    <row r="30" spans="2:18" x14ac:dyDescent="0.2">
      <c r="B30" s="93"/>
      <c r="C30" s="211" t="s">
        <v>333</v>
      </c>
      <c r="D30" s="199" t="s">
        <v>265</v>
      </c>
      <c r="E30" s="214">
        <v>4.3746E-2</v>
      </c>
      <c r="F30" s="5"/>
      <c r="G30" s="5"/>
      <c r="H30" s="5"/>
      <c r="I30" s="5"/>
      <c r="J30" s="5"/>
      <c r="K30" s="5"/>
      <c r="L30" s="5"/>
      <c r="M30" s="5"/>
      <c r="N30" s="20"/>
      <c r="R30" s="49"/>
    </row>
    <row r="31" spans="2:18" x14ac:dyDescent="0.2">
      <c r="B31" s="93"/>
      <c r="C31" s="211" t="s">
        <v>264</v>
      </c>
      <c r="D31" s="199" t="s">
        <v>265</v>
      </c>
      <c r="E31" s="214">
        <v>3.5066E-2</v>
      </c>
      <c r="F31" s="5"/>
      <c r="G31" s="5"/>
      <c r="H31" s="5"/>
      <c r="I31" s="5"/>
      <c r="J31" s="5"/>
      <c r="K31" s="5"/>
      <c r="L31" s="5"/>
      <c r="M31" s="5"/>
      <c r="N31" s="20"/>
      <c r="R31" s="49"/>
    </row>
    <row r="32" spans="2:18" x14ac:dyDescent="0.2">
      <c r="B32" s="93"/>
      <c r="C32" s="102" t="s">
        <v>267</v>
      </c>
      <c r="D32" s="199" t="s">
        <v>265</v>
      </c>
      <c r="E32" s="214">
        <v>3.5042999999999998E-2</v>
      </c>
      <c r="F32" s="5"/>
      <c r="G32" s="5"/>
      <c r="H32" s="5"/>
      <c r="I32" s="5"/>
      <c r="J32" s="5"/>
      <c r="K32" s="5"/>
      <c r="L32" s="5"/>
      <c r="M32" s="5"/>
      <c r="N32" s="20"/>
      <c r="R32" s="49"/>
    </row>
    <row r="33" spans="1:18" x14ac:dyDescent="0.2">
      <c r="B33" s="93"/>
      <c r="C33" s="211" t="s">
        <v>263</v>
      </c>
      <c r="D33" s="199" t="s">
        <v>277</v>
      </c>
      <c r="E33" s="214">
        <v>3.5055000000000003E-2</v>
      </c>
      <c r="F33" s="5"/>
      <c r="G33" s="5"/>
      <c r="H33" s="5"/>
      <c r="I33" s="5"/>
      <c r="J33" s="5"/>
      <c r="K33" s="5"/>
      <c r="L33" s="5"/>
      <c r="M33" s="5"/>
      <c r="N33" s="20"/>
      <c r="R33" s="49"/>
    </row>
    <row r="34" spans="1:18" x14ac:dyDescent="0.2">
      <c r="B34" s="93"/>
      <c r="C34" s="102" t="s">
        <v>358</v>
      </c>
      <c r="D34" s="199" t="s">
        <v>265</v>
      </c>
      <c r="E34" s="229">
        <v>3.4909000000000003E-2</v>
      </c>
      <c r="F34" s="5"/>
      <c r="G34" s="5"/>
      <c r="H34" s="5"/>
      <c r="I34" s="5"/>
      <c r="J34" s="5"/>
      <c r="K34" s="5"/>
      <c r="L34" s="5"/>
      <c r="M34" s="5"/>
      <c r="N34" s="20"/>
      <c r="R34" s="49"/>
    </row>
    <row r="35" spans="1:18" x14ac:dyDescent="0.2">
      <c r="B35" s="93"/>
      <c r="C35" s="211" t="s">
        <v>69</v>
      </c>
      <c r="D35" s="199" t="s">
        <v>63</v>
      </c>
      <c r="E35" s="214">
        <v>8.5710000000000005E-3</v>
      </c>
      <c r="F35" s="5"/>
      <c r="G35" s="5"/>
      <c r="H35" s="5"/>
      <c r="I35" s="5"/>
      <c r="J35" s="5"/>
      <c r="K35" s="5"/>
      <c r="L35" s="5"/>
      <c r="M35" s="5"/>
      <c r="N35" s="20"/>
      <c r="R35" s="49"/>
    </row>
    <row r="36" spans="1:18" ht="15.75" x14ac:dyDescent="0.2">
      <c r="B36" s="93"/>
      <c r="C36" s="128" t="s">
        <v>49</v>
      </c>
      <c r="D36" s="108"/>
      <c r="E36" s="215">
        <v>0.27946100000000001</v>
      </c>
      <c r="F36" s="5"/>
      <c r="G36" s="5"/>
      <c r="H36" s="5"/>
      <c r="I36" s="5"/>
      <c r="J36" s="5"/>
      <c r="K36" s="5"/>
      <c r="L36" s="5"/>
      <c r="M36" s="5"/>
      <c r="N36" s="20"/>
      <c r="R36" s="49"/>
    </row>
    <row r="37" spans="1:18" x14ac:dyDescent="0.2">
      <c r="B37" s="93"/>
      <c r="C37" s="102"/>
      <c r="D37" s="38"/>
      <c r="E37" s="214"/>
      <c r="F37" s="5"/>
      <c r="G37" s="5"/>
      <c r="H37" s="5"/>
      <c r="I37" s="5"/>
      <c r="J37" s="5"/>
      <c r="K37" s="5"/>
      <c r="L37" s="5"/>
      <c r="M37" s="5"/>
      <c r="N37" s="20"/>
      <c r="R37" s="49"/>
    </row>
    <row r="38" spans="1:18" x14ac:dyDescent="0.2">
      <c r="B38" s="93"/>
      <c r="C38" s="102" t="s">
        <v>67</v>
      </c>
      <c r="D38" s="38" t="s">
        <v>61</v>
      </c>
      <c r="E38" s="214">
        <v>1.5920000000000001E-3</v>
      </c>
      <c r="F38" s="5"/>
      <c r="G38" s="5"/>
      <c r="H38" s="5"/>
      <c r="I38" s="5"/>
      <c r="J38" s="5"/>
      <c r="K38" s="5"/>
      <c r="L38" s="5"/>
      <c r="M38" s="5"/>
      <c r="N38" s="20"/>
      <c r="R38" s="49"/>
    </row>
    <row r="39" spans="1:18" x14ac:dyDescent="0.2">
      <c r="B39" s="93"/>
      <c r="C39" s="102" t="s">
        <v>139</v>
      </c>
      <c r="D39" s="38" t="s">
        <v>61</v>
      </c>
      <c r="E39" s="214">
        <v>1.0635E-2</v>
      </c>
      <c r="F39" s="5"/>
      <c r="G39" s="5"/>
      <c r="H39" s="5"/>
      <c r="I39" s="5"/>
      <c r="J39" s="5"/>
      <c r="K39" s="5"/>
      <c r="L39" s="5"/>
      <c r="M39" s="5"/>
      <c r="N39" s="20"/>
      <c r="R39" s="49"/>
    </row>
    <row r="40" spans="1:18" x14ac:dyDescent="0.2">
      <c r="B40" s="93"/>
      <c r="C40" s="102" t="s">
        <v>218</v>
      </c>
      <c r="D40" s="38" t="s">
        <v>61</v>
      </c>
      <c r="E40" s="214">
        <v>0.28837499999999999</v>
      </c>
      <c r="F40" s="5"/>
      <c r="G40" s="5"/>
      <c r="H40" s="5"/>
      <c r="I40" s="5"/>
      <c r="J40" s="5"/>
      <c r="K40" s="5"/>
      <c r="L40" s="5"/>
      <c r="M40" s="5"/>
      <c r="N40" s="20"/>
      <c r="R40" s="49"/>
    </row>
    <row r="41" spans="1:18" x14ac:dyDescent="0.2">
      <c r="B41" s="93"/>
      <c r="C41" s="102" t="s">
        <v>193</v>
      </c>
      <c r="D41" s="38" t="s">
        <v>61</v>
      </c>
      <c r="E41" s="214">
        <v>0.13431799999999999</v>
      </c>
      <c r="F41" s="5"/>
      <c r="G41" s="5"/>
      <c r="H41" s="5"/>
      <c r="I41" s="5"/>
      <c r="J41" s="5"/>
      <c r="K41" s="5"/>
      <c r="L41" s="5"/>
      <c r="M41" s="5"/>
      <c r="N41" s="20"/>
      <c r="R41" s="49"/>
    </row>
    <row r="42" spans="1:18" x14ac:dyDescent="0.2">
      <c r="B42" s="93"/>
      <c r="C42" s="102" t="s">
        <v>102</v>
      </c>
      <c r="D42" s="38" t="s">
        <v>61</v>
      </c>
      <c r="E42" s="214">
        <v>2.3278E-2</v>
      </c>
      <c r="F42" s="5"/>
      <c r="G42" s="5"/>
      <c r="H42" s="5"/>
      <c r="I42" s="5"/>
      <c r="J42" s="5"/>
      <c r="K42" s="5"/>
      <c r="L42" s="5"/>
      <c r="M42" s="5"/>
      <c r="N42" s="20"/>
      <c r="R42" s="49"/>
    </row>
    <row r="43" spans="1:18" ht="15.75" x14ac:dyDescent="0.2">
      <c r="B43" s="93"/>
      <c r="C43" s="128" t="s">
        <v>42</v>
      </c>
      <c r="D43" s="108"/>
      <c r="E43" s="190">
        <v>0.45819799999999999</v>
      </c>
      <c r="F43" s="5"/>
      <c r="G43" s="5"/>
      <c r="H43" s="5"/>
      <c r="I43" s="5"/>
      <c r="J43" s="5"/>
      <c r="K43" s="5"/>
      <c r="L43" s="5"/>
      <c r="M43" s="5"/>
      <c r="N43" s="20"/>
      <c r="R43" s="49"/>
    </row>
    <row r="44" spans="1:18" x14ac:dyDescent="0.2">
      <c r="B44" s="93"/>
      <c r="C44" s="102"/>
      <c r="D44" s="38"/>
      <c r="E44" s="216"/>
      <c r="F44" s="5"/>
      <c r="G44" s="44"/>
      <c r="H44" s="5"/>
      <c r="I44" s="5"/>
      <c r="J44" s="5"/>
      <c r="K44" s="5"/>
      <c r="L44" s="5"/>
      <c r="M44" s="5"/>
      <c r="N44" s="20"/>
      <c r="R44" s="49"/>
    </row>
    <row r="45" spans="1:18" ht="15.75" x14ac:dyDescent="0.2">
      <c r="B45" s="93"/>
      <c r="C45" s="128" t="s">
        <v>20</v>
      </c>
      <c r="D45" s="108"/>
      <c r="E45" s="215">
        <v>3.4159000000000002E-2</v>
      </c>
      <c r="F45" s="5"/>
      <c r="G45" s="5"/>
      <c r="H45" s="5"/>
      <c r="I45" s="5"/>
      <c r="J45" s="5"/>
      <c r="K45" s="5"/>
      <c r="L45" s="5"/>
      <c r="M45" s="5"/>
      <c r="N45" s="20"/>
      <c r="R45" s="49"/>
    </row>
    <row r="46" spans="1:18" x14ac:dyDescent="0.2">
      <c r="A46" s="5"/>
      <c r="B46" s="93"/>
      <c r="C46" s="212"/>
      <c r="D46" s="4"/>
      <c r="E46" s="217"/>
      <c r="F46" s="5"/>
      <c r="J46" s="5"/>
      <c r="K46" s="5"/>
      <c r="L46" s="5"/>
      <c r="M46" s="5"/>
      <c r="N46" s="20"/>
      <c r="O46" s="5"/>
      <c r="R46" s="49"/>
    </row>
    <row r="47" spans="1:18" ht="15.75" x14ac:dyDescent="0.2">
      <c r="A47" s="5"/>
      <c r="B47" s="93"/>
      <c r="C47" s="213" t="s">
        <v>21</v>
      </c>
      <c r="D47" s="115"/>
      <c r="E47" s="218">
        <f>E45+E43+E36+E27+E24+E22+E19</f>
        <v>0.99999999999999989</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54"/>
      <c r="D49" s="54"/>
      <c r="E49" s="55"/>
      <c r="F49" s="45"/>
      <c r="G49" s="45"/>
      <c r="H49" s="45"/>
      <c r="I49" s="45"/>
      <c r="J49" s="45"/>
      <c r="K49" s="45"/>
      <c r="L49" s="45"/>
      <c r="M49" s="45"/>
      <c r="N49" s="118"/>
      <c r="O49" s="5"/>
      <c r="R49" s="49"/>
    </row>
    <row r="50" spans="1:18" ht="15.75" thickBot="1" x14ac:dyDescent="0.25">
      <c r="R50" s="49"/>
    </row>
    <row r="51" spans="1:18" ht="15" customHeight="1" x14ac:dyDescent="0.2">
      <c r="B51" s="295" t="s">
        <v>181</v>
      </c>
      <c r="C51" s="296"/>
      <c r="D51" s="296"/>
      <c r="E51" s="296"/>
      <c r="F51" s="296"/>
      <c r="G51" s="296"/>
      <c r="H51" s="296"/>
      <c r="I51" s="296"/>
      <c r="J51" s="296"/>
      <c r="K51" s="296"/>
      <c r="L51" s="296"/>
      <c r="M51" s="296"/>
      <c r="N51" s="296"/>
      <c r="O51" s="296"/>
      <c r="P51" s="296"/>
      <c r="Q51" s="296"/>
      <c r="R51" s="297"/>
    </row>
    <row r="52" spans="1:18" x14ac:dyDescent="0.2">
      <c r="B52" s="298"/>
      <c r="C52" s="299"/>
      <c r="D52" s="299"/>
      <c r="E52" s="299"/>
      <c r="F52" s="299"/>
      <c r="G52" s="299"/>
      <c r="H52" s="299"/>
      <c r="I52" s="299"/>
      <c r="J52" s="299"/>
      <c r="K52" s="299"/>
      <c r="L52" s="299"/>
      <c r="M52" s="299"/>
      <c r="N52" s="299"/>
      <c r="O52" s="299"/>
      <c r="P52" s="299"/>
      <c r="Q52" s="299"/>
      <c r="R52" s="300"/>
    </row>
    <row r="53" spans="1:18" x14ac:dyDescent="0.2">
      <c r="B53" s="298"/>
      <c r="C53" s="299"/>
      <c r="D53" s="299"/>
      <c r="E53" s="299"/>
      <c r="F53" s="299"/>
      <c r="G53" s="299"/>
      <c r="H53" s="299"/>
      <c r="I53" s="299"/>
      <c r="J53" s="299"/>
      <c r="K53" s="299"/>
      <c r="L53" s="299"/>
      <c r="M53" s="299"/>
      <c r="N53" s="299"/>
      <c r="O53" s="299"/>
      <c r="P53" s="299"/>
      <c r="Q53" s="299"/>
      <c r="R53" s="300"/>
    </row>
    <row r="54" spans="1:18" x14ac:dyDescent="0.2">
      <c r="B54" s="298"/>
      <c r="C54" s="299"/>
      <c r="D54" s="299"/>
      <c r="E54" s="299"/>
      <c r="F54" s="299"/>
      <c r="G54" s="299"/>
      <c r="H54" s="299"/>
      <c r="I54" s="299"/>
      <c r="J54" s="299"/>
      <c r="K54" s="299"/>
      <c r="L54" s="299"/>
      <c r="M54" s="299"/>
      <c r="N54" s="299"/>
      <c r="O54" s="299"/>
      <c r="P54" s="299"/>
      <c r="Q54" s="299"/>
      <c r="R54" s="300"/>
    </row>
    <row r="55" spans="1:18" x14ac:dyDescent="0.2">
      <c r="B55" s="298"/>
      <c r="C55" s="299"/>
      <c r="D55" s="299"/>
      <c r="E55" s="299"/>
      <c r="F55" s="299"/>
      <c r="G55" s="299"/>
      <c r="H55" s="299"/>
      <c r="I55" s="299"/>
      <c r="J55" s="299"/>
      <c r="K55" s="299"/>
      <c r="L55" s="299"/>
      <c r="M55" s="299"/>
      <c r="N55" s="299"/>
      <c r="O55" s="299"/>
      <c r="P55" s="299"/>
      <c r="Q55" s="299"/>
      <c r="R55" s="300"/>
    </row>
    <row r="56" spans="1:18" x14ac:dyDescent="0.2">
      <c r="B56" s="298"/>
      <c r="C56" s="299"/>
      <c r="D56" s="299"/>
      <c r="E56" s="299"/>
      <c r="F56" s="299"/>
      <c r="G56" s="299"/>
      <c r="H56" s="299"/>
      <c r="I56" s="299"/>
      <c r="J56" s="299"/>
      <c r="K56" s="299"/>
      <c r="L56" s="299"/>
      <c r="M56" s="299"/>
      <c r="N56" s="299"/>
      <c r="O56" s="299"/>
      <c r="P56" s="299"/>
      <c r="Q56" s="299"/>
      <c r="R56" s="300"/>
    </row>
    <row r="57" spans="1:18" ht="15.75" thickBot="1" x14ac:dyDescent="0.25">
      <c r="B57" s="301"/>
      <c r="C57" s="302"/>
      <c r="D57" s="302"/>
      <c r="E57" s="302"/>
      <c r="F57" s="302"/>
      <c r="G57" s="302"/>
      <c r="H57" s="302"/>
      <c r="I57" s="302"/>
      <c r="J57" s="302"/>
      <c r="K57" s="302"/>
      <c r="L57" s="302"/>
      <c r="M57" s="302"/>
      <c r="N57" s="302"/>
      <c r="O57" s="302"/>
      <c r="P57" s="302"/>
      <c r="Q57" s="302"/>
      <c r="R57" s="303"/>
    </row>
    <row r="58" spans="1:18" ht="15.75" thickBot="1" x14ac:dyDescent="0.25">
      <c r="R58" s="49"/>
    </row>
    <row r="59" spans="1:18" x14ac:dyDescent="0.2">
      <c r="B59" s="311" t="s">
        <v>202</v>
      </c>
      <c r="C59" s="312"/>
      <c r="D59" s="312"/>
      <c r="E59" s="312"/>
      <c r="F59" s="312"/>
      <c r="G59" s="312"/>
      <c r="H59" s="312"/>
      <c r="I59" s="312"/>
      <c r="J59" s="312"/>
      <c r="K59" s="312"/>
      <c r="L59" s="312"/>
      <c r="M59" s="312"/>
      <c r="N59" s="313"/>
      <c r="R59" s="49"/>
    </row>
    <row r="60" spans="1:18" x14ac:dyDescent="0.2">
      <c r="B60" s="314"/>
      <c r="C60" s="315"/>
      <c r="D60" s="315"/>
      <c r="E60" s="315"/>
      <c r="F60" s="315"/>
      <c r="G60" s="315"/>
      <c r="H60" s="315"/>
      <c r="I60" s="315"/>
      <c r="J60" s="315"/>
      <c r="K60" s="315"/>
      <c r="L60" s="315"/>
      <c r="M60" s="315"/>
      <c r="N60" s="316"/>
      <c r="R60" s="49"/>
    </row>
    <row r="61" spans="1:18" x14ac:dyDescent="0.2">
      <c r="B61" s="314"/>
      <c r="C61" s="315"/>
      <c r="D61" s="315"/>
      <c r="E61" s="315"/>
      <c r="F61" s="315"/>
      <c r="G61" s="315"/>
      <c r="H61" s="315"/>
      <c r="I61" s="315"/>
      <c r="J61" s="315"/>
      <c r="K61" s="315"/>
      <c r="L61" s="315"/>
      <c r="M61" s="315"/>
      <c r="N61" s="316"/>
      <c r="R61" s="49"/>
    </row>
    <row r="62" spans="1:18" ht="15.75" thickBot="1" x14ac:dyDescent="0.25">
      <c r="B62" s="317"/>
      <c r="C62" s="318"/>
      <c r="D62" s="318"/>
      <c r="E62" s="318"/>
      <c r="F62" s="318"/>
      <c r="G62" s="318"/>
      <c r="H62" s="318"/>
      <c r="I62" s="318"/>
      <c r="J62" s="318"/>
      <c r="K62" s="318"/>
      <c r="L62" s="318"/>
      <c r="M62" s="318"/>
      <c r="N62" s="319"/>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0:E35">
    <sortCondition descending="1" ref="E29"/>
  </sortState>
  <mergeCells count="7">
    <mergeCell ref="B59:N62"/>
    <mergeCell ref="B51:R57"/>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89" t="s">
        <v>158</v>
      </c>
      <c r="D3" s="289"/>
      <c r="E3" s="289"/>
      <c r="F3" s="289"/>
      <c r="G3" s="289"/>
      <c r="H3" s="289"/>
      <c r="I3" s="289"/>
      <c r="J3" s="289"/>
      <c r="K3" s="289"/>
      <c r="L3" s="289"/>
      <c r="M3" s="289"/>
      <c r="N3" s="290"/>
    </row>
    <row r="4" spans="2:18" ht="15.75" x14ac:dyDescent="0.25">
      <c r="B4" s="93"/>
      <c r="C4" s="67" t="s">
        <v>387</v>
      </c>
      <c r="D4" s="29"/>
      <c r="E4" s="29"/>
      <c r="F4" s="5"/>
      <c r="G4" s="5"/>
      <c r="H4" s="5"/>
      <c r="I4" s="5"/>
      <c r="J4" s="5"/>
      <c r="K4" s="5"/>
      <c r="L4" s="5"/>
      <c r="M4" s="5"/>
      <c r="N4" s="20"/>
    </row>
    <row r="5" spans="2:18" ht="20.25" customHeight="1" x14ac:dyDescent="0.2">
      <c r="B5" s="93"/>
      <c r="C5" s="220" t="s">
        <v>386</v>
      </c>
      <c r="D5" s="306" t="s">
        <v>407</v>
      </c>
      <c r="E5" s="306"/>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91" t="s">
        <v>46</v>
      </c>
      <c r="H7" s="291"/>
      <c r="I7" s="291"/>
      <c r="J7" s="291"/>
      <c r="K7" s="291"/>
      <c r="L7" s="291"/>
      <c r="M7" s="291"/>
      <c r="N7" s="292"/>
    </row>
    <row r="8" spans="2:18" x14ac:dyDescent="0.2">
      <c r="B8" s="93"/>
      <c r="C8" s="38" t="s">
        <v>32</v>
      </c>
      <c r="D8" s="58" t="s">
        <v>3</v>
      </c>
      <c r="E8" s="6">
        <v>5.2509E-2</v>
      </c>
      <c r="F8" s="5"/>
      <c r="G8" s="171" t="s">
        <v>47</v>
      </c>
      <c r="H8" s="246">
        <f>100%-H9-H10</f>
        <v>0.95656400000000008</v>
      </c>
      <c r="I8" s="247">
        <f>H8/SUM($H$8:$H$10)</f>
        <v>0.95656400000000008</v>
      </c>
      <c r="J8" s="240"/>
      <c r="K8" s="241"/>
      <c r="L8" s="5"/>
      <c r="M8" s="5"/>
      <c r="N8" s="20"/>
      <c r="R8" s="49"/>
    </row>
    <row r="9" spans="2:18" ht="15.75" customHeight="1" x14ac:dyDescent="0.2">
      <c r="B9" s="93"/>
      <c r="C9" s="38" t="s">
        <v>28</v>
      </c>
      <c r="D9" s="58" t="s">
        <v>106</v>
      </c>
      <c r="E9" s="6">
        <v>3.4179000000000001E-2</v>
      </c>
      <c r="F9" s="5"/>
      <c r="G9" s="171" t="s">
        <v>57</v>
      </c>
      <c r="H9" s="246">
        <f>E29+E30+E32+E33</f>
        <v>3.5761999999999995E-2</v>
      </c>
      <c r="I9" s="247">
        <f>H9/SUM($H$8:$H$10)</f>
        <v>3.5761999999999995E-2</v>
      </c>
      <c r="J9" s="240" t="s">
        <v>41</v>
      </c>
      <c r="K9" s="241">
        <f>E36</f>
        <v>0.10434300000000001</v>
      </c>
      <c r="L9" s="5"/>
      <c r="M9" s="5"/>
      <c r="N9" s="20"/>
      <c r="R9" s="49"/>
    </row>
    <row r="10" spans="2:18" x14ac:dyDescent="0.2">
      <c r="B10" s="93"/>
      <c r="C10" s="38" t="s">
        <v>31</v>
      </c>
      <c r="D10" s="58" t="s">
        <v>6</v>
      </c>
      <c r="E10" s="6">
        <v>3.0964999999999999E-2</v>
      </c>
      <c r="F10" s="31"/>
      <c r="G10" s="171" t="s">
        <v>48</v>
      </c>
      <c r="H10" s="246">
        <f>E31</f>
        <v>7.6740000000000003E-3</v>
      </c>
      <c r="I10" s="247">
        <f>H10/SUM($H$8:$H$10)</f>
        <v>7.6740000000000003E-3</v>
      </c>
      <c r="J10" s="240" t="s">
        <v>140</v>
      </c>
      <c r="K10" s="241">
        <f>E24+E26</f>
        <v>0.75950000000000017</v>
      </c>
      <c r="L10" s="5"/>
      <c r="M10" s="5"/>
      <c r="N10" s="20"/>
      <c r="R10" s="49"/>
    </row>
    <row r="11" spans="2:18" x14ac:dyDescent="0.2">
      <c r="B11" s="93"/>
      <c r="C11" s="38" t="s">
        <v>70</v>
      </c>
      <c r="D11" s="58" t="s">
        <v>12</v>
      </c>
      <c r="E11" s="6">
        <v>3.0268E-2</v>
      </c>
      <c r="F11" s="5"/>
      <c r="G11" s="240"/>
      <c r="H11" s="240"/>
      <c r="I11" s="240"/>
      <c r="J11" s="240"/>
      <c r="K11" s="241"/>
      <c r="L11" s="5"/>
      <c r="M11" s="5"/>
      <c r="N11" s="20"/>
      <c r="R11" s="49"/>
    </row>
    <row r="12" spans="2:18" ht="15.75" customHeight="1" x14ac:dyDescent="0.2">
      <c r="B12" s="93"/>
      <c r="C12" s="38" t="s">
        <v>36</v>
      </c>
      <c r="D12" s="58" t="s">
        <v>3</v>
      </c>
      <c r="E12" s="6">
        <v>2.6679000000000001E-2</v>
      </c>
      <c r="F12" s="31"/>
      <c r="G12" s="240"/>
      <c r="H12" s="241"/>
      <c r="I12" s="240"/>
      <c r="J12" s="240" t="s">
        <v>20</v>
      </c>
      <c r="K12" s="241">
        <f>E47</f>
        <v>1.6793000000000002E-2</v>
      </c>
      <c r="L12" s="5"/>
      <c r="M12" s="5"/>
      <c r="N12" s="20"/>
      <c r="R12" s="49"/>
    </row>
    <row r="13" spans="2:18" x14ac:dyDescent="0.2">
      <c r="B13" s="93"/>
      <c r="C13" s="38" t="s">
        <v>194</v>
      </c>
      <c r="D13" s="58" t="s">
        <v>105</v>
      </c>
      <c r="E13" s="6">
        <v>2.4874E-2</v>
      </c>
      <c r="F13" s="31"/>
      <c r="G13" s="240"/>
      <c r="H13" s="240"/>
      <c r="I13" s="240"/>
      <c r="J13" s="240" t="s">
        <v>42</v>
      </c>
      <c r="K13" s="241">
        <f>E41</f>
        <v>0.101087</v>
      </c>
      <c r="L13" s="5"/>
      <c r="M13" s="5"/>
      <c r="N13" s="20"/>
      <c r="R13" s="49"/>
    </row>
    <row r="14" spans="2:18" x14ac:dyDescent="0.2">
      <c r="B14" s="93"/>
      <c r="C14" s="38" t="s">
        <v>80</v>
      </c>
      <c r="D14" s="58" t="s">
        <v>4</v>
      </c>
      <c r="E14" s="6">
        <v>2.4799999999999999E-2</v>
      </c>
      <c r="F14" s="31"/>
      <c r="G14" s="240"/>
      <c r="H14" s="240"/>
      <c r="I14" s="240"/>
      <c r="J14" s="240" t="s">
        <v>315</v>
      </c>
      <c r="K14" s="241">
        <f>E45</f>
        <v>1.8277000000000002E-2</v>
      </c>
      <c r="L14" s="5"/>
      <c r="M14" s="5"/>
      <c r="N14" s="20"/>
      <c r="R14" s="49"/>
    </row>
    <row r="15" spans="2:18" x14ac:dyDescent="0.2">
      <c r="B15" s="93"/>
      <c r="C15" s="38" t="s">
        <v>119</v>
      </c>
      <c r="D15" s="58" t="s">
        <v>111</v>
      </c>
      <c r="E15" s="6">
        <v>2.4459000000000002E-2</v>
      </c>
      <c r="F15" s="5"/>
      <c r="G15" s="240"/>
      <c r="H15" s="240"/>
      <c r="I15" s="240"/>
      <c r="J15" s="240"/>
      <c r="K15" s="241"/>
      <c r="L15" s="5"/>
      <c r="M15" s="5"/>
      <c r="N15" s="20"/>
      <c r="R15" s="49"/>
    </row>
    <row r="16" spans="2:18" x14ac:dyDescent="0.2">
      <c r="B16" s="93"/>
      <c r="C16" s="38" t="s">
        <v>78</v>
      </c>
      <c r="D16" s="58" t="s">
        <v>3</v>
      </c>
      <c r="E16" s="6">
        <v>2.3890999999999999E-2</v>
      </c>
      <c r="F16" s="5"/>
      <c r="G16" s="244"/>
      <c r="H16" s="244"/>
      <c r="I16" s="244"/>
      <c r="J16" s="244"/>
      <c r="K16" s="244"/>
      <c r="L16" s="5"/>
      <c r="M16" s="5"/>
      <c r="N16" s="20"/>
      <c r="R16" s="49"/>
    </row>
    <row r="17" spans="2:18" x14ac:dyDescent="0.2">
      <c r="B17" s="93"/>
      <c r="C17" s="38" t="s">
        <v>219</v>
      </c>
      <c r="D17" s="58" t="s">
        <v>26</v>
      </c>
      <c r="E17" s="6">
        <v>2.2780999999999999E-2</v>
      </c>
      <c r="F17" s="5"/>
      <c r="G17" s="244"/>
      <c r="H17" s="244"/>
      <c r="I17" s="244"/>
      <c r="J17" s="244"/>
      <c r="K17" s="244"/>
      <c r="L17" s="5"/>
      <c r="M17" s="5"/>
      <c r="N17" s="20"/>
      <c r="R17" s="49"/>
    </row>
    <row r="18" spans="2:18" x14ac:dyDescent="0.2">
      <c r="B18" s="93"/>
      <c r="C18" s="38" t="s">
        <v>191</v>
      </c>
      <c r="D18" s="58" t="s">
        <v>106</v>
      </c>
      <c r="E18" s="6">
        <v>2.2356999999999998E-2</v>
      </c>
      <c r="F18" s="5"/>
      <c r="G18" s="5"/>
      <c r="H18" s="5"/>
      <c r="I18" s="5"/>
      <c r="J18" s="5"/>
      <c r="K18" s="5"/>
      <c r="L18" s="5"/>
      <c r="M18" s="5"/>
      <c r="N18" s="20"/>
      <c r="R18" s="49"/>
    </row>
    <row r="19" spans="2:18" x14ac:dyDescent="0.2">
      <c r="B19" s="93"/>
      <c r="C19" s="38" t="s">
        <v>104</v>
      </c>
      <c r="D19" s="58" t="s">
        <v>4</v>
      </c>
      <c r="E19" s="6">
        <v>2.1586000000000001E-2</v>
      </c>
      <c r="F19" s="5"/>
      <c r="G19" s="5"/>
      <c r="H19" s="5"/>
      <c r="I19" s="5"/>
      <c r="J19" s="5"/>
      <c r="K19" s="5"/>
      <c r="L19" s="5"/>
      <c r="M19" s="5"/>
      <c r="N19" s="20"/>
      <c r="R19" s="49"/>
    </row>
    <row r="20" spans="2:18" ht="33.75" customHeight="1" x14ac:dyDescent="0.25">
      <c r="B20" s="93"/>
      <c r="C20" s="38" t="s">
        <v>278</v>
      </c>
      <c r="D20" s="58" t="s">
        <v>183</v>
      </c>
      <c r="E20" s="6">
        <v>1.9472E-2</v>
      </c>
      <c r="F20" s="5"/>
      <c r="G20" s="309" t="s">
        <v>99</v>
      </c>
      <c r="H20" s="310"/>
      <c r="I20" s="310"/>
      <c r="J20" s="310"/>
      <c r="K20" s="310"/>
      <c r="L20" s="288">
        <v>7.4812573230641002</v>
      </c>
      <c r="M20" s="106"/>
      <c r="N20" s="177"/>
      <c r="R20" s="49"/>
    </row>
    <row r="21" spans="2:18" x14ac:dyDescent="0.2">
      <c r="B21" s="93"/>
      <c r="C21" s="38" t="s">
        <v>29</v>
      </c>
      <c r="D21" s="58" t="s">
        <v>3</v>
      </c>
      <c r="E21" s="6">
        <v>1.8866999999999998E-2</v>
      </c>
      <c r="F21" s="5"/>
      <c r="G21" s="5"/>
      <c r="H21" s="5"/>
      <c r="I21" s="5"/>
      <c r="J21" s="5"/>
      <c r="K21" s="5"/>
      <c r="L21" s="5"/>
      <c r="M21" s="5"/>
      <c r="N21" s="20"/>
      <c r="R21" s="49"/>
    </row>
    <row r="22" spans="2:18" x14ac:dyDescent="0.2">
      <c r="B22" s="93"/>
      <c r="C22" s="38" t="s">
        <v>348</v>
      </c>
      <c r="D22" s="58" t="s">
        <v>16</v>
      </c>
      <c r="E22" s="6">
        <v>1.5952000000000001E-2</v>
      </c>
      <c r="F22" s="5"/>
      <c r="G22" s="31"/>
      <c r="H22" s="31"/>
      <c r="I22" s="31"/>
      <c r="J22" s="5"/>
      <c r="K22" s="31"/>
      <c r="L22" s="5"/>
      <c r="M22" s="5"/>
      <c r="N22" s="20"/>
      <c r="R22" s="49"/>
    </row>
    <row r="23" spans="2:18" ht="15.75" customHeight="1" x14ac:dyDescent="0.2">
      <c r="B23" s="93"/>
      <c r="C23" s="38"/>
      <c r="D23" s="4"/>
      <c r="E23" s="6"/>
      <c r="F23" s="5"/>
      <c r="G23" s="291" t="s">
        <v>50</v>
      </c>
      <c r="H23" s="291"/>
      <c r="I23" s="291"/>
      <c r="J23" s="291"/>
      <c r="K23" s="291"/>
      <c r="L23" s="291"/>
      <c r="M23" s="291"/>
      <c r="N23" s="292"/>
      <c r="R23" s="49"/>
    </row>
    <row r="24" spans="2:18" ht="15.75" x14ac:dyDescent="0.2">
      <c r="B24" s="93"/>
      <c r="C24" s="108" t="s">
        <v>56</v>
      </c>
      <c r="D24" s="108"/>
      <c r="E24" s="109">
        <f>SUM(E8:E22)</f>
        <v>0.39363900000000007</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0.3658610000000001</v>
      </c>
      <c r="F26" s="31"/>
      <c r="G26" s="5"/>
      <c r="H26" s="5"/>
      <c r="I26" s="5"/>
      <c r="J26" s="5"/>
      <c r="K26" s="5"/>
      <c r="L26" s="5"/>
      <c r="M26" s="5"/>
      <c r="N26" s="20"/>
      <c r="R26" s="49"/>
    </row>
    <row r="27" spans="2:18" x14ac:dyDescent="0.2">
      <c r="B27" s="93"/>
      <c r="C27" s="38" t="s">
        <v>281</v>
      </c>
      <c r="D27" s="58" t="s">
        <v>336</v>
      </c>
      <c r="E27" s="6">
        <v>3.1739999999999997E-2</v>
      </c>
      <c r="F27" s="5"/>
      <c r="G27" s="5"/>
      <c r="H27" s="5"/>
      <c r="I27" s="5"/>
      <c r="J27" s="5"/>
      <c r="K27" s="5"/>
      <c r="L27" s="5"/>
      <c r="M27" s="5"/>
      <c r="N27" s="20"/>
      <c r="R27" s="49"/>
    </row>
    <row r="28" spans="2:18" s="48" customFormat="1" ht="13.5" customHeight="1" x14ac:dyDescent="0.2">
      <c r="B28" s="110"/>
      <c r="C28" s="38" t="s">
        <v>69</v>
      </c>
      <c r="D28" s="58" t="s">
        <v>336</v>
      </c>
      <c r="E28" s="6">
        <v>1.6466000000000001E-2</v>
      </c>
      <c r="F28" s="41"/>
      <c r="G28" s="41"/>
      <c r="H28" s="41"/>
      <c r="I28" s="41"/>
      <c r="J28" s="41"/>
      <c r="K28" s="41"/>
      <c r="L28" s="41"/>
      <c r="M28" s="41"/>
      <c r="N28" s="111"/>
      <c r="R28" s="112"/>
    </row>
    <row r="29" spans="2:18" x14ac:dyDescent="0.2">
      <c r="B29" s="93"/>
      <c r="C29" s="38" t="s">
        <v>333</v>
      </c>
      <c r="D29" s="58" t="s">
        <v>335</v>
      </c>
      <c r="E29" s="6">
        <v>1.277E-2</v>
      </c>
      <c r="F29" s="5"/>
      <c r="G29" s="5"/>
      <c r="H29" s="5"/>
      <c r="I29" s="5"/>
      <c r="J29" s="5"/>
      <c r="K29" s="5"/>
      <c r="L29" s="5"/>
      <c r="M29" s="5"/>
      <c r="N29" s="20"/>
      <c r="R29" s="49"/>
    </row>
    <row r="30" spans="2:18" x14ac:dyDescent="0.2">
      <c r="B30" s="93"/>
      <c r="C30" s="38" t="s">
        <v>264</v>
      </c>
      <c r="D30" s="58" t="s">
        <v>335</v>
      </c>
      <c r="E30" s="6">
        <v>7.6769999999999998E-3</v>
      </c>
      <c r="F30" s="5"/>
      <c r="G30" s="5"/>
      <c r="H30" s="5"/>
      <c r="I30" s="5"/>
      <c r="J30" s="5"/>
      <c r="K30" s="5"/>
      <c r="L30" s="5"/>
      <c r="M30" s="5"/>
      <c r="N30" s="20"/>
      <c r="R30" s="49"/>
    </row>
    <row r="31" spans="2:18" x14ac:dyDescent="0.2">
      <c r="B31" s="93"/>
      <c r="C31" s="38" t="s">
        <v>263</v>
      </c>
      <c r="D31" s="58" t="s">
        <v>334</v>
      </c>
      <c r="E31" s="6">
        <v>7.6740000000000003E-3</v>
      </c>
      <c r="F31" s="5"/>
      <c r="G31" s="5"/>
      <c r="H31" s="5"/>
      <c r="I31" s="5"/>
      <c r="J31" s="5"/>
      <c r="K31" s="5"/>
      <c r="L31" s="5"/>
      <c r="M31" s="5"/>
      <c r="N31" s="20"/>
      <c r="R31" s="49"/>
    </row>
    <row r="32" spans="2:18" x14ac:dyDescent="0.2">
      <c r="B32" s="93"/>
      <c r="C32" s="38" t="s">
        <v>267</v>
      </c>
      <c r="D32" s="58" t="s">
        <v>335</v>
      </c>
      <c r="E32" s="6">
        <v>7.672E-3</v>
      </c>
      <c r="F32" s="5"/>
      <c r="G32" s="5"/>
      <c r="H32" s="5"/>
      <c r="I32" s="5"/>
      <c r="J32" s="5"/>
      <c r="K32" s="5"/>
      <c r="L32" s="5"/>
      <c r="M32" s="5"/>
      <c r="N32" s="20"/>
      <c r="R32" s="49"/>
    </row>
    <row r="33" spans="1:18" x14ac:dyDescent="0.2">
      <c r="B33" s="93"/>
      <c r="C33" s="38" t="s">
        <v>358</v>
      </c>
      <c r="D33" s="58" t="s">
        <v>362</v>
      </c>
      <c r="E33" s="6">
        <v>7.6429999999999996E-3</v>
      </c>
      <c r="F33" s="5"/>
      <c r="G33" s="5"/>
      <c r="H33" s="5"/>
      <c r="I33" s="5"/>
      <c r="J33" s="5"/>
      <c r="K33" s="5"/>
      <c r="L33" s="5"/>
      <c r="M33" s="5"/>
      <c r="N33" s="20"/>
      <c r="R33" s="49"/>
    </row>
    <row r="34" spans="1:18" x14ac:dyDescent="0.2">
      <c r="B34" s="93"/>
      <c r="C34" s="38" t="s">
        <v>80</v>
      </c>
      <c r="D34" s="58" t="s">
        <v>336</v>
      </c>
      <c r="E34" s="6">
        <v>6.3540000000000003E-3</v>
      </c>
      <c r="F34" s="5"/>
      <c r="G34" s="5"/>
      <c r="H34" s="5"/>
      <c r="I34" s="5"/>
      <c r="J34" s="5"/>
      <c r="K34" s="5"/>
      <c r="L34" s="5"/>
      <c r="M34" s="5"/>
      <c r="N34" s="20"/>
      <c r="R34" s="49"/>
    </row>
    <row r="35" spans="1:18" x14ac:dyDescent="0.2">
      <c r="B35" s="93"/>
      <c r="C35" s="38" t="s">
        <v>29</v>
      </c>
      <c r="D35" s="58" t="s">
        <v>336</v>
      </c>
      <c r="E35" s="6">
        <v>6.3470000000000002E-3</v>
      </c>
      <c r="F35" s="5"/>
      <c r="G35" s="5"/>
      <c r="H35" s="5"/>
      <c r="I35" s="5"/>
      <c r="J35" s="5"/>
      <c r="K35" s="5"/>
      <c r="L35" s="5"/>
      <c r="M35" s="5"/>
      <c r="N35" s="20"/>
      <c r="R35" s="49"/>
    </row>
    <row r="36" spans="1:18" ht="15.75" x14ac:dyDescent="0.2">
      <c r="B36" s="93"/>
      <c r="C36" s="108" t="s">
        <v>49</v>
      </c>
      <c r="D36" s="108"/>
      <c r="E36" s="109">
        <v>0.10434300000000001</v>
      </c>
      <c r="F36" s="5"/>
      <c r="G36" s="5"/>
      <c r="H36" s="5"/>
      <c r="I36" s="5"/>
      <c r="J36" s="5"/>
      <c r="K36" s="5"/>
      <c r="L36" s="5"/>
      <c r="M36" s="5"/>
      <c r="N36" s="20"/>
      <c r="R36" s="49"/>
    </row>
    <row r="37" spans="1:18" x14ac:dyDescent="0.2">
      <c r="B37" s="93"/>
      <c r="C37" s="38"/>
      <c r="D37" s="4"/>
      <c r="E37" s="198"/>
      <c r="F37" s="5"/>
      <c r="G37" s="5"/>
      <c r="H37" s="5"/>
      <c r="I37" s="5"/>
      <c r="J37" s="5"/>
      <c r="K37" s="5"/>
      <c r="L37" s="5"/>
      <c r="M37" s="5"/>
      <c r="N37" s="20"/>
      <c r="R37" s="49"/>
    </row>
    <row r="38" spans="1:18" x14ac:dyDescent="0.2">
      <c r="B38" s="93"/>
      <c r="C38" s="38" t="s">
        <v>218</v>
      </c>
      <c r="D38" s="4" t="s">
        <v>61</v>
      </c>
      <c r="E38" s="198">
        <v>9.7331000000000001E-2</v>
      </c>
      <c r="F38" s="5"/>
      <c r="G38" s="5"/>
      <c r="H38" s="5"/>
      <c r="I38" s="5"/>
      <c r="J38" s="5"/>
      <c r="K38" s="5"/>
      <c r="L38" s="5"/>
      <c r="M38" s="5"/>
      <c r="N38" s="20"/>
      <c r="R38" s="49"/>
    </row>
    <row r="39" spans="1:18" s="48" customFormat="1" x14ac:dyDescent="0.2">
      <c r="B39" s="110"/>
      <c r="C39" s="38" t="s">
        <v>67</v>
      </c>
      <c r="D39" s="4" t="s">
        <v>61</v>
      </c>
      <c r="E39" s="198">
        <v>2.581E-3</v>
      </c>
      <c r="F39" s="41"/>
      <c r="G39" s="5"/>
      <c r="H39" s="5"/>
      <c r="I39" s="5"/>
      <c r="J39" s="5"/>
      <c r="K39" s="5"/>
      <c r="L39" s="41"/>
      <c r="M39" s="41"/>
      <c r="N39" s="111"/>
      <c r="R39" s="112"/>
    </row>
    <row r="40" spans="1:18" x14ac:dyDescent="0.2">
      <c r="B40" s="93"/>
      <c r="C40" s="38" t="s">
        <v>72</v>
      </c>
      <c r="D40" s="4" t="s">
        <v>61</v>
      </c>
      <c r="E40" s="198">
        <v>1.175E-3</v>
      </c>
      <c r="F40" s="5"/>
      <c r="G40" s="5"/>
      <c r="H40" s="5"/>
      <c r="I40" s="5"/>
      <c r="J40" s="5"/>
      <c r="K40" s="5"/>
      <c r="L40" s="5"/>
      <c r="M40" s="5"/>
      <c r="N40" s="20"/>
      <c r="R40" s="49"/>
    </row>
    <row r="41" spans="1:18" ht="15.75" x14ac:dyDescent="0.2">
      <c r="A41" s="5"/>
      <c r="B41" s="93"/>
      <c r="C41" s="108" t="s">
        <v>42</v>
      </c>
      <c r="D41" s="108"/>
      <c r="E41" s="109">
        <v>0.101087</v>
      </c>
      <c r="F41" s="5"/>
      <c r="G41" s="5"/>
      <c r="H41" s="5"/>
      <c r="I41" s="5"/>
      <c r="J41" s="5"/>
      <c r="K41" s="5"/>
      <c r="L41" s="5"/>
      <c r="M41" s="5"/>
      <c r="N41" s="20"/>
      <c r="O41" s="5"/>
      <c r="R41" s="49"/>
    </row>
    <row r="42" spans="1:18" x14ac:dyDescent="0.2">
      <c r="A42" s="5"/>
      <c r="B42" s="93"/>
      <c r="C42" s="38" t="s">
        <v>346</v>
      </c>
      <c r="D42" s="4" t="s">
        <v>61</v>
      </c>
      <c r="E42" s="198">
        <v>7.0080000000000003E-3</v>
      </c>
      <c r="F42" s="5"/>
      <c r="G42" s="5"/>
      <c r="H42" s="5"/>
      <c r="I42" s="5"/>
      <c r="J42" s="5"/>
      <c r="K42" s="5"/>
      <c r="L42" s="5"/>
      <c r="M42" s="5"/>
      <c r="N42" s="20"/>
      <c r="O42" s="5"/>
      <c r="R42" s="49"/>
    </row>
    <row r="43" spans="1:18" x14ac:dyDescent="0.2">
      <c r="A43" s="5"/>
      <c r="B43" s="93"/>
      <c r="C43" s="38" t="s">
        <v>347</v>
      </c>
      <c r="D43" s="4" t="s">
        <v>61</v>
      </c>
      <c r="E43" s="198">
        <v>4.6810000000000003E-3</v>
      </c>
      <c r="F43" s="5"/>
      <c r="G43" s="5"/>
      <c r="H43" s="5"/>
      <c r="I43" s="5"/>
      <c r="J43" s="5"/>
      <c r="K43" s="5"/>
      <c r="L43" s="5"/>
      <c r="M43" s="5"/>
      <c r="N43" s="20"/>
      <c r="O43" s="5"/>
      <c r="R43" s="49"/>
    </row>
    <row r="44" spans="1:18" x14ac:dyDescent="0.2">
      <c r="A44" s="5"/>
      <c r="B44" s="93"/>
      <c r="C44" s="38" t="s">
        <v>337</v>
      </c>
      <c r="D44" s="4" t="s">
        <v>61</v>
      </c>
      <c r="E44" s="198">
        <v>6.5880000000000001E-3</v>
      </c>
      <c r="F44" s="5"/>
      <c r="G44" s="5"/>
      <c r="H44" s="5"/>
      <c r="I44" s="5"/>
      <c r="J44" s="5"/>
      <c r="K44" s="5"/>
      <c r="L44" s="5"/>
      <c r="M44" s="5"/>
      <c r="N44" s="20"/>
      <c r="O44" s="5"/>
      <c r="R44" s="49"/>
    </row>
    <row r="45" spans="1:18" ht="15.75" x14ac:dyDescent="0.2">
      <c r="A45" s="5"/>
      <c r="B45" s="93"/>
      <c r="C45" s="108" t="s">
        <v>315</v>
      </c>
      <c r="D45" s="108"/>
      <c r="E45" s="109">
        <v>1.8277000000000002E-2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08" t="s">
        <v>20</v>
      </c>
      <c r="D47" s="108"/>
      <c r="E47" s="109">
        <v>1.6793000000000002E-2</v>
      </c>
      <c r="F47" s="5"/>
      <c r="G47" s="5"/>
      <c r="H47" s="5"/>
      <c r="I47" s="5"/>
      <c r="J47" s="5"/>
      <c r="K47" s="5"/>
      <c r="L47" s="5"/>
      <c r="M47" s="5"/>
      <c r="N47" s="20"/>
      <c r="O47" s="5"/>
      <c r="R47" s="49"/>
    </row>
    <row r="48" spans="1:18" x14ac:dyDescent="0.2">
      <c r="A48" s="5"/>
      <c r="B48" s="93"/>
      <c r="C48" s="4"/>
      <c r="D48" s="4"/>
      <c r="E48" s="32"/>
      <c r="F48" s="5"/>
      <c r="G48" s="5"/>
      <c r="H48" s="5"/>
      <c r="I48" s="5"/>
      <c r="J48" s="5"/>
      <c r="K48" s="5"/>
      <c r="L48" s="5"/>
      <c r="M48" s="5"/>
      <c r="N48" s="20"/>
      <c r="O48" s="5"/>
      <c r="R48" s="49"/>
    </row>
    <row r="49" spans="1:18" ht="15.75" x14ac:dyDescent="0.2">
      <c r="A49" s="5"/>
      <c r="B49" s="93"/>
      <c r="C49" s="115" t="s">
        <v>21</v>
      </c>
      <c r="D49" s="115"/>
      <c r="E49" s="116">
        <f>E47+E45+E41+E36+E26+E24</f>
        <v>1.0000000000000002</v>
      </c>
      <c r="F49" s="5"/>
      <c r="G49" s="5"/>
      <c r="H49" s="5"/>
      <c r="I49" s="5"/>
      <c r="J49" s="5"/>
      <c r="K49" s="5"/>
      <c r="L49" s="5"/>
      <c r="M49" s="5"/>
      <c r="N49" s="20"/>
      <c r="O49" s="5"/>
      <c r="R49" s="49"/>
    </row>
    <row r="50" spans="1:18" x14ac:dyDescent="0.2">
      <c r="A50" s="5"/>
      <c r="B50" s="93"/>
      <c r="C50" s="5"/>
      <c r="D50" s="5"/>
      <c r="E50" s="5"/>
      <c r="F50" s="5"/>
      <c r="G50" s="5"/>
      <c r="H50" s="5"/>
      <c r="I50" s="5"/>
      <c r="J50" s="5"/>
      <c r="K50" s="5"/>
      <c r="L50" s="5"/>
      <c r="M50" s="5"/>
      <c r="N50" s="20"/>
      <c r="O50" s="5"/>
      <c r="R50" s="49"/>
    </row>
    <row r="51" spans="1:18" ht="15.75" thickBot="1" x14ac:dyDescent="0.25">
      <c r="A51" s="5"/>
      <c r="B51" s="96"/>
      <c r="C51" s="45"/>
      <c r="D51" s="45"/>
      <c r="E51" s="45"/>
      <c r="F51" s="45"/>
      <c r="G51" s="45"/>
      <c r="H51" s="45"/>
      <c r="I51" s="45"/>
      <c r="J51" s="45"/>
      <c r="K51" s="45"/>
      <c r="L51" s="45"/>
      <c r="M51" s="45"/>
      <c r="N51" s="118"/>
      <c r="O51" s="5"/>
      <c r="R51" s="49"/>
    </row>
    <row r="52" spans="1:18" ht="15.75" thickBot="1" x14ac:dyDescent="0.25">
      <c r="R52" s="49"/>
    </row>
    <row r="53" spans="1:18" ht="15" customHeight="1" x14ac:dyDescent="0.2">
      <c r="B53" s="295" t="s">
        <v>181</v>
      </c>
      <c r="C53" s="296"/>
      <c r="D53" s="296"/>
      <c r="E53" s="296"/>
      <c r="F53" s="296"/>
      <c r="G53" s="296"/>
      <c r="H53" s="296"/>
      <c r="I53" s="296"/>
      <c r="J53" s="296"/>
      <c r="K53" s="296"/>
      <c r="L53" s="296"/>
      <c r="M53" s="296"/>
      <c r="N53" s="296"/>
      <c r="O53" s="296"/>
      <c r="P53" s="296"/>
      <c r="Q53" s="296"/>
      <c r="R53" s="297"/>
    </row>
    <row r="54" spans="1:18" x14ac:dyDescent="0.2">
      <c r="B54" s="298"/>
      <c r="C54" s="299"/>
      <c r="D54" s="299"/>
      <c r="E54" s="299"/>
      <c r="F54" s="299"/>
      <c r="G54" s="299"/>
      <c r="H54" s="299"/>
      <c r="I54" s="299"/>
      <c r="J54" s="299"/>
      <c r="K54" s="299"/>
      <c r="L54" s="299"/>
      <c r="M54" s="299"/>
      <c r="N54" s="299"/>
      <c r="O54" s="299"/>
      <c r="P54" s="299"/>
      <c r="Q54" s="299"/>
      <c r="R54" s="300"/>
    </row>
    <row r="55" spans="1:18" x14ac:dyDescent="0.2">
      <c r="B55" s="298"/>
      <c r="C55" s="299"/>
      <c r="D55" s="299"/>
      <c r="E55" s="299"/>
      <c r="F55" s="299"/>
      <c r="G55" s="299"/>
      <c r="H55" s="299"/>
      <c r="I55" s="299"/>
      <c r="J55" s="299"/>
      <c r="K55" s="299"/>
      <c r="L55" s="299"/>
      <c r="M55" s="299"/>
      <c r="N55" s="299"/>
      <c r="O55" s="299"/>
      <c r="P55" s="299"/>
      <c r="Q55" s="299"/>
      <c r="R55" s="300"/>
    </row>
    <row r="56" spans="1:18" x14ac:dyDescent="0.2">
      <c r="B56" s="298"/>
      <c r="C56" s="299"/>
      <c r="D56" s="299"/>
      <c r="E56" s="299"/>
      <c r="F56" s="299"/>
      <c r="G56" s="299"/>
      <c r="H56" s="299"/>
      <c r="I56" s="299"/>
      <c r="J56" s="299"/>
      <c r="K56" s="299"/>
      <c r="L56" s="299"/>
      <c r="M56" s="299"/>
      <c r="N56" s="299"/>
      <c r="O56" s="299"/>
      <c r="P56" s="299"/>
      <c r="Q56" s="299"/>
      <c r="R56" s="300"/>
    </row>
    <row r="57" spans="1:18" x14ac:dyDescent="0.2">
      <c r="B57" s="298"/>
      <c r="C57" s="299"/>
      <c r="D57" s="299"/>
      <c r="E57" s="299"/>
      <c r="F57" s="299"/>
      <c r="G57" s="299"/>
      <c r="H57" s="299"/>
      <c r="I57" s="299"/>
      <c r="J57" s="299"/>
      <c r="K57" s="299"/>
      <c r="L57" s="299"/>
      <c r="M57" s="299"/>
      <c r="N57" s="299"/>
      <c r="O57" s="299"/>
      <c r="P57" s="299"/>
      <c r="Q57" s="299"/>
      <c r="R57" s="300"/>
    </row>
    <row r="58" spans="1:18" x14ac:dyDescent="0.2">
      <c r="B58" s="298"/>
      <c r="C58" s="299"/>
      <c r="D58" s="299"/>
      <c r="E58" s="299"/>
      <c r="F58" s="299"/>
      <c r="G58" s="299"/>
      <c r="H58" s="299"/>
      <c r="I58" s="299"/>
      <c r="J58" s="299"/>
      <c r="K58" s="299"/>
      <c r="L58" s="299"/>
      <c r="M58" s="299"/>
      <c r="N58" s="299"/>
      <c r="O58" s="299"/>
      <c r="P58" s="299"/>
      <c r="Q58" s="299"/>
      <c r="R58" s="300"/>
    </row>
    <row r="59" spans="1:18" ht="15.75" thickBot="1" x14ac:dyDescent="0.25">
      <c r="B59" s="301"/>
      <c r="C59" s="302"/>
      <c r="D59" s="302"/>
      <c r="E59" s="302"/>
      <c r="F59" s="302"/>
      <c r="G59" s="302"/>
      <c r="H59" s="302"/>
      <c r="I59" s="302"/>
      <c r="J59" s="302"/>
      <c r="K59" s="302"/>
      <c r="L59" s="302"/>
      <c r="M59" s="302"/>
      <c r="N59" s="302"/>
      <c r="O59" s="302"/>
      <c r="P59" s="302"/>
      <c r="Q59" s="302"/>
      <c r="R59" s="303"/>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sheetData>
  <sortState ref="C39:E41">
    <sortCondition descending="1" ref="E39"/>
  </sortState>
  <mergeCells count="6">
    <mergeCell ref="B53:R59"/>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9"/>
    </row>
    <row r="3" spans="2:19" ht="20.25" customHeight="1" x14ac:dyDescent="0.2">
      <c r="B3" s="93"/>
      <c r="C3" s="289" t="s">
        <v>199</v>
      </c>
      <c r="D3" s="289"/>
      <c r="E3" s="289"/>
      <c r="F3" s="289"/>
      <c r="G3" s="289"/>
      <c r="H3" s="289"/>
      <c r="I3" s="289"/>
      <c r="J3" s="289"/>
      <c r="K3" s="289"/>
      <c r="L3" s="289"/>
      <c r="M3" s="289"/>
      <c r="N3" s="290"/>
    </row>
    <row r="4" spans="2:19" ht="15.75" x14ac:dyDescent="0.25">
      <c r="B4" s="93"/>
      <c r="C4" s="67" t="s">
        <v>387</v>
      </c>
      <c r="D4" s="29"/>
      <c r="E4" s="29"/>
      <c r="F4" s="5"/>
      <c r="G4" s="5"/>
      <c r="H4" s="5"/>
      <c r="I4" s="5"/>
      <c r="J4" s="5"/>
      <c r="K4" s="5"/>
      <c r="L4" s="5"/>
      <c r="M4" s="5"/>
      <c r="N4" s="20"/>
    </row>
    <row r="5" spans="2:19" ht="20.25" customHeight="1" x14ac:dyDescent="0.2">
      <c r="B5" s="93"/>
      <c r="C5" s="220" t="s">
        <v>386</v>
      </c>
      <c r="D5" s="306" t="s">
        <v>408</v>
      </c>
      <c r="E5" s="306"/>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28" t="s">
        <v>45</v>
      </c>
      <c r="F7" s="5"/>
      <c r="G7" s="5"/>
      <c r="H7" s="5"/>
      <c r="I7" s="5"/>
      <c r="J7" s="5"/>
      <c r="K7" s="5"/>
      <c r="L7" s="5"/>
      <c r="M7" s="5"/>
      <c r="N7" s="20"/>
      <c r="P7" s="231" t="s">
        <v>3</v>
      </c>
      <c r="Q7" s="234">
        <v>8.5029999999999994E-2</v>
      </c>
    </row>
    <row r="8" spans="2:19" ht="15.75" x14ac:dyDescent="0.25">
      <c r="B8" s="93"/>
      <c r="C8" s="197" t="s">
        <v>70</v>
      </c>
      <c r="D8" s="104" t="s">
        <v>12</v>
      </c>
      <c r="E8" s="198">
        <v>5.2019000000000003E-2</v>
      </c>
      <c r="F8" s="5"/>
      <c r="G8" s="5"/>
      <c r="H8" s="5"/>
      <c r="I8" s="5"/>
      <c r="J8" s="5"/>
      <c r="K8" s="5"/>
      <c r="L8" s="5"/>
      <c r="M8" s="5"/>
      <c r="N8" s="20"/>
      <c r="P8" s="231" t="s">
        <v>12</v>
      </c>
      <c r="Q8" s="234">
        <v>5.2019000000000003E-2</v>
      </c>
      <c r="R8" s="49"/>
    </row>
    <row r="9" spans="2:19" ht="15.75" customHeight="1" x14ac:dyDescent="0.25">
      <c r="B9" s="93"/>
      <c r="C9" s="122" t="s">
        <v>29</v>
      </c>
      <c r="D9" s="38" t="s">
        <v>3</v>
      </c>
      <c r="E9" s="198">
        <v>3.0846999999999999E-2</v>
      </c>
      <c r="F9" s="5"/>
      <c r="G9" s="5"/>
      <c r="H9" s="5"/>
      <c r="I9" s="5"/>
      <c r="J9" s="5"/>
      <c r="K9" s="5"/>
      <c r="L9" s="5"/>
      <c r="M9" s="5"/>
      <c r="N9" s="20"/>
      <c r="P9" s="231" t="s">
        <v>111</v>
      </c>
      <c r="Q9" s="234">
        <v>4.0396999999999995E-2</v>
      </c>
      <c r="R9" s="49"/>
    </row>
    <row r="10" spans="2:19" ht="15.75" x14ac:dyDescent="0.25">
      <c r="B10" s="93"/>
      <c r="C10" s="122" t="s">
        <v>31</v>
      </c>
      <c r="D10" s="38" t="s">
        <v>6</v>
      </c>
      <c r="E10" s="198">
        <v>3.0105999999999997E-2</v>
      </c>
      <c r="F10" s="31"/>
      <c r="G10" s="5"/>
      <c r="H10" s="5"/>
      <c r="I10" s="5"/>
      <c r="J10" s="5"/>
      <c r="K10" s="5"/>
      <c r="L10" s="5"/>
      <c r="M10" s="5"/>
      <c r="N10" s="20"/>
      <c r="P10" s="231" t="s">
        <v>106</v>
      </c>
      <c r="Q10" s="234">
        <v>3.7356999999999987E-2</v>
      </c>
      <c r="R10" s="49"/>
    </row>
    <row r="11" spans="2:19" ht="15.75" x14ac:dyDescent="0.25">
      <c r="B11" s="93"/>
      <c r="C11" s="122" t="s">
        <v>32</v>
      </c>
      <c r="D11" s="38" t="s">
        <v>3</v>
      </c>
      <c r="E11" s="198">
        <v>2.5087999999999999E-2</v>
      </c>
      <c r="F11" s="5"/>
      <c r="G11" s="5"/>
      <c r="H11" s="5"/>
      <c r="I11" s="5"/>
      <c r="J11" s="5"/>
      <c r="K11" s="5"/>
      <c r="L11" s="5"/>
      <c r="M11" s="5"/>
      <c r="N11" s="20"/>
      <c r="P11" s="231" t="s">
        <v>26</v>
      </c>
      <c r="Q11" s="234">
        <v>3.6574000000000002E-2</v>
      </c>
      <c r="R11" s="49"/>
    </row>
    <row r="12" spans="2:19" ht="15.75" customHeight="1" x14ac:dyDescent="0.25">
      <c r="B12" s="93"/>
      <c r="C12" s="122" t="s">
        <v>230</v>
      </c>
      <c r="D12" s="38" t="s">
        <v>26</v>
      </c>
      <c r="E12" s="198">
        <v>2.1135000000000001E-2</v>
      </c>
      <c r="F12" s="31"/>
      <c r="G12" s="5"/>
      <c r="H12" s="5"/>
      <c r="I12" s="5"/>
      <c r="J12" s="5"/>
      <c r="K12" s="5"/>
      <c r="L12" s="5"/>
      <c r="M12" s="5"/>
      <c r="N12" s="20"/>
      <c r="P12" s="231" t="s">
        <v>4</v>
      </c>
      <c r="Q12" s="234">
        <v>3.3800999999999998E-2</v>
      </c>
      <c r="R12" s="49"/>
    </row>
    <row r="13" spans="2:19" ht="15.75" x14ac:dyDescent="0.25">
      <c r="B13" s="93"/>
      <c r="C13" s="122" t="s">
        <v>28</v>
      </c>
      <c r="D13" s="38" t="s">
        <v>106</v>
      </c>
      <c r="E13" s="198">
        <v>2.0348000000000002E-2</v>
      </c>
      <c r="F13" s="31"/>
      <c r="G13" s="5"/>
      <c r="H13" s="5"/>
      <c r="I13" s="5"/>
      <c r="J13" s="5"/>
      <c r="K13" s="5"/>
      <c r="L13" s="5"/>
      <c r="M13" s="5"/>
      <c r="N13" s="20"/>
      <c r="P13" s="231" t="s">
        <v>6</v>
      </c>
      <c r="Q13" s="234">
        <v>3.0105999999999997E-2</v>
      </c>
      <c r="R13" s="49"/>
    </row>
    <row r="14" spans="2:19" ht="15.75" x14ac:dyDescent="0.25">
      <c r="B14" s="93"/>
      <c r="C14" s="122" t="s">
        <v>30</v>
      </c>
      <c r="D14" s="38" t="s">
        <v>116</v>
      </c>
      <c r="E14" s="198">
        <v>1.9671000000000001E-2</v>
      </c>
      <c r="F14" s="31"/>
      <c r="G14" s="5"/>
      <c r="H14" s="5"/>
      <c r="I14" s="5"/>
      <c r="J14" s="5"/>
      <c r="K14" s="5"/>
      <c r="L14" s="5"/>
      <c r="M14" s="5"/>
      <c r="N14" s="20"/>
      <c r="P14" s="231" t="s">
        <v>110</v>
      </c>
      <c r="Q14" s="234">
        <v>2.069E-2</v>
      </c>
      <c r="R14" s="49"/>
    </row>
    <row r="15" spans="2:19" ht="15.75" x14ac:dyDescent="0.25">
      <c r="B15" s="93"/>
      <c r="C15" s="122" t="s">
        <v>36</v>
      </c>
      <c r="D15" s="38" t="s">
        <v>3</v>
      </c>
      <c r="E15" s="198">
        <v>1.9525000000000001E-2</v>
      </c>
      <c r="F15" s="5"/>
      <c r="G15" s="5"/>
      <c r="H15" s="5"/>
      <c r="I15" s="5"/>
      <c r="J15" s="5"/>
      <c r="K15" s="5"/>
      <c r="L15" s="5"/>
      <c r="M15" s="5"/>
      <c r="N15" s="20"/>
      <c r="P15" s="231" t="s">
        <v>116</v>
      </c>
      <c r="Q15" s="234">
        <v>1.9671000000000001E-2</v>
      </c>
      <c r="R15" s="49"/>
    </row>
    <row r="16" spans="2:19" ht="15.75" x14ac:dyDescent="0.25">
      <c r="B16" s="93"/>
      <c r="C16" s="122" t="s">
        <v>95</v>
      </c>
      <c r="D16" s="38" t="s">
        <v>111</v>
      </c>
      <c r="E16" s="198">
        <v>1.7281999999999999E-2</v>
      </c>
      <c r="F16" s="5"/>
      <c r="G16" s="5"/>
      <c r="H16" s="5"/>
      <c r="I16" s="5"/>
      <c r="J16" s="5"/>
      <c r="K16" s="5"/>
      <c r="L16" s="5"/>
      <c r="M16" s="5"/>
      <c r="N16" s="20"/>
      <c r="P16" s="231" t="s">
        <v>11</v>
      </c>
      <c r="Q16" s="234">
        <v>1.9585999999999999E-2</v>
      </c>
      <c r="R16" s="49"/>
    </row>
    <row r="17" spans="2:18" ht="15.75" x14ac:dyDescent="0.25">
      <c r="B17" s="93"/>
      <c r="C17" s="122" t="s">
        <v>219</v>
      </c>
      <c r="D17" s="105" t="s">
        <v>26</v>
      </c>
      <c r="E17" s="198">
        <v>1.5439E-2</v>
      </c>
      <c r="F17" s="5"/>
      <c r="G17" s="5"/>
      <c r="H17" s="5"/>
      <c r="I17" s="5"/>
      <c r="J17" s="5"/>
      <c r="K17" s="5"/>
      <c r="L17" s="5"/>
      <c r="M17" s="5"/>
      <c r="N17" s="20"/>
      <c r="P17" s="231" t="s">
        <v>118</v>
      </c>
      <c r="Q17" s="234">
        <v>1.7101000000000002E-2</v>
      </c>
      <c r="R17" s="49"/>
    </row>
    <row r="18" spans="2:18" ht="15.75" x14ac:dyDescent="0.25">
      <c r="B18" s="93"/>
      <c r="C18" s="122" t="s">
        <v>74</v>
      </c>
      <c r="D18" s="38" t="s">
        <v>11</v>
      </c>
      <c r="E18" s="198">
        <v>1.3877E-2</v>
      </c>
      <c r="F18" s="5"/>
      <c r="G18" s="5"/>
      <c r="H18" s="5"/>
      <c r="I18" s="5"/>
      <c r="J18" s="5"/>
      <c r="K18" s="5"/>
      <c r="L18" s="5"/>
      <c r="M18" s="5"/>
      <c r="N18" s="20"/>
      <c r="P18" s="231" t="s">
        <v>85</v>
      </c>
      <c r="Q18" s="234">
        <v>1.4382000000000001E-2</v>
      </c>
      <c r="R18" s="49"/>
    </row>
    <row r="19" spans="2:18" ht="15.75" x14ac:dyDescent="0.25">
      <c r="B19" s="93"/>
      <c r="C19" s="122" t="s">
        <v>34</v>
      </c>
      <c r="D19" s="38" t="s">
        <v>23</v>
      </c>
      <c r="E19" s="198">
        <v>1.3770000000000001E-2</v>
      </c>
      <c r="F19" s="5"/>
      <c r="G19" s="5"/>
      <c r="H19" s="5"/>
      <c r="I19" s="5"/>
      <c r="J19" s="5"/>
      <c r="K19" s="5"/>
      <c r="L19" s="5"/>
      <c r="M19" s="5"/>
      <c r="N19" s="20"/>
      <c r="P19" s="231" t="s">
        <v>105</v>
      </c>
      <c r="Q19" s="234">
        <v>1.4082000000000001E-2</v>
      </c>
      <c r="R19" s="49"/>
    </row>
    <row r="20" spans="2:18" ht="15.75" customHeight="1" x14ac:dyDescent="0.25">
      <c r="B20" s="93"/>
      <c r="C20" s="122" t="s">
        <v>144</v>
      </c>
      <c r="D20" s="38" t="s">
        <v>123</v>
      </c>
      <c r="E20" s="198">
        <v>1.353E-2</v>
      </c>
      <c r="F20" s="5"/>
      <c r="G20" s="5"/>
      <c r="H20" s="5"/>
      <c r="I20" s="5"/>
      <c r="J20" s="5"/>
      <c r="K20" s="5"/>
      <c r="L20" s="5"/>
      <c r="M20" s="5"/>
      <c r="N20" s="20"/>
      <c r="P20" s="231" t="s">
        <v>23</v>
      </c>
      <c r="Q20" s="234">
        <v>1.3770000000000001E-2</v>
      </c>
      <c r="R20" s="49"/>
    </row>
    <row r="21" spans="2:18" ht="15.75" x14ac:dyDescent="0.25">
      <c r="B21" s="93"/>
      <c r="C21" s="122" t="s">
        <v>75</v>
      </c>
      <c r="D21" s="38" t="s">
        <v>4</v>
      </c>
      <c r="E21" s="198">
        <v>1.3464E-2</v>
      </c>
      <c r="F21" s="5"/>
      <c r="G21" s="5"/>
      <c r="H21" s="5"/>
      <c r="I21" s="5"/>
      <c r="J21" s="5"/>
      <c r="K21" s="5"/>
      <c r="L21" s="5"/>
      <c r="M21" s="5"/>
      <c r="N21" s="20"/>
      <c r="P21" s="231" t="s">
        <v>109</v>
      </c>
      <c r="Q21" s="234">
        <v>1.3603000000000001E-2</v>
      </c>
      <c r="R21" s="49"/>
    </row>
    <row r="22" spans="2:18" ht="15.75" x14ac:dyDescent="0.25">
      <c r="B22" s="93"/>
      <c r="C22" s="122" t="s">
        <v>135</v>
      </c>
      <c r="D22" s="38" t="s">
        <v>109</v>
      </c>
      <c r="E22" s="198">
        <v>1.2538000000000001E-2</v>
      </c>
      <c r="F22" s="5"/>
      <c r="G22" s="31"/>
      <c r="H22" s="31"/>
      <c r="I22" s="31"/>
      <c r="J22" s="5"/>
      <c r="K22" s="31"/>
      <c r="L22" s="5"/>
      <c r="M22" s="5"/>
      <c r="N22" s="20"/>
      <c r="P22" s="231" t="s">
        <v>123</v>
      </c>
      <c r="Q22" s="234">
        <v>1.353E-2</v>
      </c>
      <c r="R22" s="49"/>
    </row>
    <row r="23" spans="2:18" ht="15.75" customHeight="1" x14ac:dyDescent="0.25">
      <c r="B23" s="93"/>
      <c r="C23" s="38"/>
      <c r="D23" s="4"/>
      <c r="E23" s="6"/>
      <c r="F23" s="5"/>
      <c r="G23" s="31"/>
      <c r="H23" s="31"/>
      <c r="I23" s="31"/>
      <c r="J23" s="5"/>
      <c r="K23" s="31"/>
      <c r="L23" s="5"/>
      <c r="M23" s="5"/>
      <c r="N23" s="20"/>
      <c r="P23" s="231" t="s">
        <v>115</v>
      </c>
      <c r="Q23" s="234">
        <v>1.2438999999999999E-2</v>
      </c>
      <c r="R23" s="49"/>
    </row>
    <row r="24" spans="2:18" ht="15.75" x14ac:dyDescent="0.25">
      <c r="B24" s="93"/>
      <c r="C24" s="108" t="s">
        <v>56</v>
      </c>
      <c r="D24" s="108"/>
      <c r="E24" s="109">
        <v>0.31863899999999989</v>
      </c>
      <c r="F24" s="5"/>
      <c r="G24" s="5"/>
      <c r="H24" s="5"/>
      <c r="I24" s="5"/>
      <c r="J24" s="5"/>
      <c r="K24" s="5"/>
      <c r="L24" s="5"/>
      <c r="M24" s="5"/>
      <c r="N24" s="20"/>
      <c r="P24" s="231" t="s">
        <v>10</v>
      </c>
      <c r="Q24" s="234">
        <v>1.2174000000000001E-2</v>
      </c>
      <c r="R24" s="49"/>
    </row>
    <row r="25" spans="2:18" ht="15.75" x14ac:dyDescent="0.25">
      <c r="B25" s="93"/>
      <c r="C25" s="4"/>
      <c r="D25" s="4"/>
      <c r="E25" s="6"/>
      <c r="F25" s="5"/>
      <c r="G25" s="5"/>
      <c r="H25" s="5"/>
      <c r="I25" s="5"/>
      <c r="J25" s="5"/>
      <c r="K25" s="5"/>
      <c r="L25" s="5"/>
      <c r="M25" s="5"/>
      <c r="N25" s="20"/>
      <c r="P25" s="231" t="s">
        <v>130</v>
      </c>
      <c r="Q25" s="234">
        <v>9.9860000000000001E-3</v>
      </c>
      <c r="R25" s="49"/>
    </row>
    <row r="26" spans="2:18" ht="15.75" x14ac:dyDescent="0.25">
      <c r="B26" s="93"/>
      <c r="C26" s="108" t="s">
        <v>66</v>
      </c>
      <c r="D26" s="108"/>
      <c r="E26" s="109">
        <v>0.22470700000000002</v>
      </c>
      <c r="F26" s="31"/>
      <c r="G26" s="5"/>
      <c r="H26" s="5"/>
      <c r="I26" s="5"/>
      <c r="J26" s="5"/>
      <c r="K26" s="5"/>
      <c r="L26" s="5"/>
      <c r="M26" s="5"/>
      <c r="N26" s="20"/>
      <c r="P26" s="231" t="s">
        <v>15</v>
      </c>
      <c r="Q26" s="234">
        <v>9.7979999999999994E-3</v>
      </c>
      <c r="R26" s="49"/>
    </row>
    <row r="27" spans="2:18" ht="15.75" x14ac:dyDescent="0.25">
      <c r="B27" s="93"/>
      <c r="C27" s="38"/>
      <c r="D27" s="58"/>
      <c r="E27" s="6"/>
      <c r="F27" s="5"/>
      <c r="G27" s="5"/>
      <c r="H27" s="5"/>
      <c r="I27" s="5"/>
      <c r="J27" s="5"/>
      <c r="K27" s="5"/>
      <c r="L27" s="5"/>
      <c r="M27" s="5"/>
      <c r="N27" s="20"/>
      <c r="P27" s="231" t="s">
        <v>112</v>
      </c>
      <c r="Q27" s="234">
        <v>8.4340000000000005E-3</v>
      </c>
      <c r="R27" s="49"/>
    </row>
    <row r="28" spans="2:18" s="48" customFormat="1" ht="13.5" customHeight="1" x14ac:dyDescent="0.25">
      <c r="B28" s="110"/>
      <c r="C28" s="108" t="s">
        <v>58</v>
      </c>
      <c r="D28" s="108"/>
      <c r="E28" s="185">
        <v>0.158583</v>
      </c>
      <c r="F28" s="41"/>
      <c r="G28" s="41"/>
      <c r="H28" s="41"/>
      <c r="I28" s="41"/>
      <c r="J28" s="41"/>
      <c r="K28" s="41"/>
      <c r="L28" s="41"/>
      <c r="M28" s="41"/>
      <c r="N28" s="111"/>
      <c r="P28" s="231" t="s">
        <v>16</v>
      </c>
      <c r="Q28" s="234">
        <v>8.3100000000000014E-3</v>
      </c>
      <c r="R28" s="112"/>
    </row>
    <row r="29" spans="2:18" ht="15.75" x14ac:dyDescent="0.25">
      <c r="B29" s="93"/>
      <c r="C29" s="38"/>
      <c r="D29" s="38"/>
      <c r="E29" s="38"/>
      <c r="F29" s="5"/>
      <c r="G29" s="5"/>
      <c r="H29" s="5"/>
      <c r="I29" s="5"/>
      <c r="J29" s="5"/>
      <c r="K29" s="5"/>
      <c r="L29" s="5"/>
      <c r="M29" s="5"/>
      <c r="N29" s="20"/>
      <c r="P29" s="231" t="s">
        <v>117</v>
      </c>
      <c r="Q29" s="234">
        <v>6.0010000000000003E-3</v>
      </c>
      <c r="R29" s="49"/>
    </row>
    <row r="30" spans="2:18" ht="15.75" x14ac:dyDescent="0.25">
      <c r="B30" s="93"/>
      <c r="C30" s="38" t="s">
        <v>218</v>
      </c>
      <c r="D30" s="4" t="s">
        <v>61</v>
      </c>
      <c r="E30" s="198">
        <v>0.24190700000000001</v>
      </c>
      <c r="F30" s="5"/>
      <c r="G30" s="5"/>
      <c r="H30" s="5"/>
      <c r="I30" s="5"/>
      <c r="J30" s="5"/>
      <c r="K30" s="5"/>
      <c r="L30" s="5"/>
      <c r="M30" s="5"/>
      <c r="N30" s="20"/>
      <c r="P30" s="231" t="s">
        <v>129</v>
      </c>
      <c r="Q30" s="234">
        <v>4.5009999999999998E-3</v>
      </c>
      <c r="R30" s="49"/>
    </row>
    <row r="31" spans="2:18" ht="15.75" x14ac:dyDescent="0.25">
      <c r="B31" s="93"/>
      <c r="C31" s="108" t="s">
        <v>42</v>
      </c>
      <c r="D31" s="108"/>
      <c r="E31" s="109">
        <v>0.24190700000000001</v>
      </c>
      <c r="F31" s="5"/>
      <c r="G31" s="5"/>
      <c r="H31" s="5"/>
      <c r="I31" s="5"/>
      <c r="J31" s="5"/>
      <c r="K31" s="5"/>
      <c r="L31" s="5"/>
      <c r="M31" s="5"/>
      <c r="N31" s="20"/>
      <c r="P31" s="231" t="s">
        <v>84</v>
      </c>
      <c r="Q31" s="234">
        <v>3.8300000000000001E-3</v>
      </c>
      <c r="R31" s="49"/>
    </row>
    <row r="32" spans="2:18" ht="15.75" x14ac:dyDescent="0.25">
      <c r="B32" s="93"/>
      <c r="C32" s="113"/>
      <c r="D32" s="113"/>
      <c r="E32" s="114"/>
      <c r="F32" s="5"/>
      <c r="G32" s="5"/>
      <c r="H32" s="5"/>
      <c r="I32" s="5"/>
      <c r="J32" s="5"/>
      <c r="K32" s="5"/>
      <c r="L32" s="5"/>
      <c r="M32" s="5"/>
      <c r="N32" s="20"/>
      <c r="P32" s="231" t="s">
        <v>83</v>
      </c>
      <c r="Q32" s="234">
        <v>3.0409999999999999E-3</v>
      </c>
      <c r="R32" s="49"/>
    </row>
    <row r="33" spans="1:18" ht="15.75" x14ac:dyDescent="0.25">
      <c r="B33" s="93"/>
      <c r="C33" s="108" t="s">
        <v>20</v>
      </c>
      <c r="D33" s="108"/>
      <c r="E33" s="109">
        <v>5.6164000000000006E-2</v>
      </c>
      <c r="F33" s="5"/>
      <c r="G33" s="5"/>
      <c r="H33" s="5"/>
      <c r="I33" s="5"/>
      <c r="J33" s="5"/>
      <c r="K33" s="5"/>
      <c r="L33" s="5"/>
      <c r="M33" s="5"/>
      <c r="N33" s="20"/>
      <c r="P33" s="231" t="s">
        <v>94</v>
      </c>
      <c r="Q33" s="234">
        <v>1.6019999999999999E-3</v>
      </c>
      <c r="R33" s="49"/>
    </row>
    <row r="34" spans="1:18" ht="15.75" x14ac:dyDescent="0.25">
      <c r="B34" s="93"/>
      <c r="C34" s="4"/>
      <c r="D34" s="4"/>
      <c r="E34" s="32"/>
      <c r="F34" s="5"/>
      <c r="G34" s="5"/>
      <c r="H34" s="5"/>
      <c r="I34" s="5"/>
      <c r="J34" s="5"/>
      <c r="K34" s="5"/>
      <c r="L34" s="5"/>
      <c r="M34" s="5"/>
      <c r="N34" s="20"/>
      <c r="P34" s="231" t="s">
        <v>25</v>
      </c>
      <c r="Q34" s="234">
        <v>8.9700000000000001E-4</v>
      </c>
      <c r="R34" s="49"/>
    </row>
    <row r="35" spans="1:18" ht="15.75" x14ac:dyDescent="0.25">
      <c r="B35" s="93"/>
      <c r="C35" s="115" t="s">
        <v>21</v>
      </c>
      <c r="D35" s="115"/>
      <c r="E35" s="116">
        <f>E33+E31+E28+E26+E24</f>
        <v>0.99999999999999989</v>
      </c>
      <c r="F35" s="5"/>
      <c r="G35" s="5"/>
      <c r="H35" s="5"/>
      <c r="I35" s="5"/>
      <c r="J35" s="5"/>
      <c r="K35" s="5"/>
      <c r="L35" s="5"/>
      <c r="M35" s="5"/>
      <c r="N35" s="20"/>
      <c r="P35" s="231" t="s">
        <v>76</v>
      </c>
      <c r="Q35" s="234">
        <v>6.3400000000000001E-4</v>
      </c>
      <c r="R35" s="49"/>
    </row>
    <row r="36" spans="1:18" x14ac:dyDescent="0.2">
      <c r="B36" s="93"/>
      <c r="F36" s="5"/>
      <c r="G36" s="5"/>
      <c r="H36" s="5"/>
      <c r="I36" s="5"/>
      <c r="J36" s="5"/>
      <c r="K36" s="5"/>
      <c r="L36" s="5"/>
      <c r="M36" s="5"/>
      <c r="N36" s="20"/>
      <c r="R36" s="49"/>
    </row>
    <row r="37" spans="1:18" ht="15.75" thickBot="1" x14ac:dyDescent="0.25">
      <c r="A37" s="5"/>
      <c r="B37" s="96"/>
      <c r="C37" s="45"/>
      <c r="D37" s="45"/>
      <c r="E37" s="45"/>
      <c r="F37" s="45"/>
      <c r="G37" s="45"/>
      <c r="H37" s="45"/>
      <c r="I37" s="45"/>
      <c r="J37" s="45"/>
      <c r="K37" s="45"/>
      <c r="L37" s="45"/>
      <c r="M37" s="45"/>
      <c r="N37" s="118"/>
      <c r="O37" s="5"/>
      <c r="R37" s="49"/>
    </row>
    <row r="38" spans="1:18" ht="15.75" thickBot="1" x14ac:dyDescent="0.25">
      <c r="R38" s="49"/>
    </row>
    <row r="39" spans="1:18" ht="15" customHeight="1" x14ac:dyDescent="0.2">
      <c r="B39" s="295" t="s">
        <v>181</v>
      </c>
      <c r="C39" s="296"/>
      <c r="D39" s="296"/>
      <c r="E39" s="296"/>
      <c r="F39" s="296"/>
      <c r="G39" s="296"/>
      <c r="H39" s="296"/>
      <c r="I39" s="296"/>
      <c r="J39" s="296"/>
      <c r="K39" s="296"/>
      <c r="L39" s="296"/>
      <c r="M39" s="296"/>
      <c r="N39" s="296"/>
      <c r="O39" s="296"/>
      <c r="P39" s="296"/>
      <c r="Q39" s="296"/>
      <c r="R39" s="297"/>
    </row>
    <row r="40" spans="1:18" x14ac:dyDescent="0.2">
      <c r="B40" s="298"/>
      <c r="C40" s="299"/>
      <c r="D40" s="299"/>
      <c r="E40" s="299"/>
      <c r="F40" s="299"/>
      <c r="G40" s="299"/>
      <c r="H40" s="299"/>
      <c r="I40" s="299"/>
      <c r="J40" s="299"/>
      <c r="K40" s="299"/>
      <c r="L40" s="299"/>
      <c r="M40" s="299"/>
      <c r="N40" s="299"/>
      <c r="O40" s="299"/>
      <c r="P40" s="299"/>
      <c r="Q40" s="299"/>
      <c r="R40" s="300"/>
    </row>
    <row r="41" spans="1:18" x14ac:dyDescent="0.2">
      <c r="B41" s="298"/>
      <c r="C41" s="299"/>
      <c r="D41" s="299"/>
      <c r="E41" s="299"/>
      <c r="F41" s="299"/>
      <c r="G41" s="299"/>
      <c r="H41" s="299"/>
      <c r="I41" s="299"/>
      <c r="J41" s="299"/>
      <c r="K41" s="299"/>
      <c r="L41" s="299"/>
      <c r="M41" s="299"/>
      <c r="N41" s="299"/>
      <c r="O41" s="299"/>
      <c r="P41" s="299"/>
      <c r="Q41" s="299"/>
      <c r="R41" s="300"/>
    </row>
    <row r="42" spans="1:18" x14ac:dyDescent="0.2">
      <c r="B42" s="298"/>
      <c r="C42" s="299"/>
      <c r="D42" s="299"/>
      <c r="E42" s="299"/>
      <c r="F42" s="299"/>
      <c r="G42" s="299"/>
      <c r="H42" s="299"/>
      <c r="I42" s="299"/>
      <c r="J42" s="299"/>
      <c r="K42" s="299"/>
      <c r="L42" s="299"/>
      <c r="M42" s="299"/>
      <c r="N42" s="299"/>
      <c r="O42" s="299"/>
      <c r="P42" s="299"/>
      <c r="Q42" s="299"/>
      <c r="R42" s="300"/>
    </row>
    <row r="43" spans="1:18" x14ac:dyDescent="0.2">
      <c r="B43" s="298"/>
      <c r="C43" s="299"/>
      <c r="D43" s="299"/>
      <c r="E43" s="299"/>
      <c r="F43" s="299"/>
      <c r="G43" s="299"/>
      <c r="H43" s="299"/>
      <c r="I43" s="299"/>
      <c r="J43" s="299"/>
      <c r="K43" s="299"/>
      <c r="L43" s="299"/>
      <c r="M43" s="299"/>
      <c r="N43" s="299"/>
      <c r="O43" s="299"/>
      <c r="P43" s="299"/>
      <c r="Q43" s="299"/>
      <c r="R43" s="300"/>
    </row>
    <row r="44" spans="1:18" x14ac:dyDescent="0.2">
      <c r="B44" s="298"/>
      <c r="C44" s="299"/>
      <c r="D44" s="299"/>
      <c r="E44" s="299"/>
      <c r="F44" s="299"/>
      <c r="G44" s="299"/>
      <c r="H44" s="299"/>
      <c r="I44" s="299"/>
      <c r="J44" s="299"/>
      <c r="K44" s="299"/>
      <c r="L44" s="299"/>
      <c r="M44" s="299"/>
      <c r="N44" s="299"/>
      <c r="O44" s="299"/>
      <c r="P44" s="299"/>
      <c r="Q44" s="299"/>
      <c r="R44" s="300"/>
    </row>
    <row r="45" spans="1:18" ht="15.75" thickBot="1" x14ac:dyDescent="0.25">
      <c r="B45" s="301"/>
      <c r="C45" s="302"/>
      <c r="D45" s="302"/>
      <c r="E45" s="302"/>
      <c r="F45" s="302"/>
      <c r="G45" s="302"/>
      <c r="H45" s="302"/>
      <c r="I45" s="302"/>
      <c r="J45" s="302"/>
      <c r="K45" s="302"/>
      <c r="L45" s="302"/>
      <c r="M45" s="302"/>
      <c r="N45" s="302"/>
      <c r="O45" s="302"/>
      <c r="P45" s="302"/>
      <c r="Q45" s="302"/>
      <c r="R45" s="303"/>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9"/>
    </row>
    <row r="3" spans="2:19" ht="20.25" customHeight="1" x14ac:dyDescent="0.2">
      <c r="B3" s="93"/>
      <c r="C3" s="289" t="s">
        <v>229</v>
      </c>
      <c r="D3" s="289" t="s">
        <v>229</v>
      </c>
      <c r="E3" s="289" t="s">
        <v>229</v>
      </c>
      <c r="F3" s="289" t="s">
        <v>229</v>
      </c>
      <c r="G3" s="289" t="s">
        <v>229</v>
      </c>
      <c r="H3" s="289" t="s">
        <v>229</v>
      </c>
      <c r="I3" s="289" t="s">
        <v>229</v>
      </c>
      <c r="J3" s="289" t="s">
        <v>229</v>
      </c>
      <c r="K3" s="289" t="s">
        <v>229</v>
      </c>
      <c r="L3" s="289" t="s">
        <v>229</v>
      </c>
      <c r="M3" s="289" t="s">
        <v>229</v>
      </c>
      <c r="N3" s="290" t="s">
        <v>229</v>
      </c>
    </row>
    <row r="4" spans="2:19" ht="15.75" x14ac:dyDescent="0.25">
      <c r="B4" s="93"/>
      <c r="C4" s="67" t="s">
        <v>387</v>
      </c>
      <c r="D4" s="29"/>
      <c r="E4" s="29"/>
      <c r="F4" s="5"/>
      <c r="G4" s="5"/>
      <c r="H4" s="5"/>
      <c r="I4" s="5"/>
      <c r="J4" s="5"/>
      <c r="K4" s="5"/>
      <c r="L4" s="5"/>
      <c r="M4" s="5"/>
      <c r="N4" s="20"/>
    </row>
    <row r="5" spans="2:19" ht="20.25" customHeight="1" x14ac:dyDescent="0.2">
      <c r="B5" s="93"/>
      <c r="C5" s="220" t="s">
        <v>386</v>
      </c>
      <c r="D5" s="306" t="s">
        <v>409</v>
      </c>
      <c r="E5" s="306"/>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1" t="s">
        <v>3</v>
      </c>
      <c r="Q7" s="234">
        <v>9.0909000000000031E-2</v>
      </c>
    </row>
    <row r="8" spans="2:19" ht="15.75" x14ac:dyDescent="0.25">
      <c r="B8" s="93"/>
      <c r="C8" s="38" t="s">
        <v>31</v>
      </c>
      <c r="D8" s="38" t="s">
        <v>6</v>
      </c>
      <c r="E8" s="6">
        <v>3.2035999999999995E-2</v>
      </c>
      <c r="F8" s="5"/>
      <c r="G8" s="5"/>
      <c r="H8" s="5"/>
      <c r="I8" s="5"/>
      <c r="J8" s="5"/>
      <c r="K8" s="5"/>
      <c r="L8" s="5"/>
      <c r="M8" s="5"/>
      <c r="N8" s="20"/>
      <c r="P8" s="231" t="s">
        <v>110</v>
      </c>
      <c r="Q8" s="234">
        <v>3.7840000000000006E-2</v>
      </c>
      <c r="R8" s="49"/>
    </row>
    <row r="9" spans="2:19" ht="15.75" customHeight="1" x14ac:dyDescent="0.25">
      <c r="B9" s="93"/>
      <c r="C9" s="38" t="s">
        <v>29</v>
      </c>
      <c r="D9" s="38" t="s">
        <v>3</v>
      </c>
      <c r="E9" s="6">
        <v>2.6277000000000002E-2</v>
      </c>
      <c r="F9" s="5"/>
      <c r="G9" s="5"/>
      <c r="H9" s="5"/>
      <c r="I9" s="5"/>
      <c r="J9" s="5"/>
      <c r="K9" s="5"/>
      <c r="L9" s="5"/>
      <c r="M9" s="5"/>
      <c r="N9" s="20"/>
      <c r="P9" s="231" t="s">
        <v>6</v>
      </c>
      <c r="Q9" s="234">
        <v>3.2035999999999995E-2</v>
      </c>
      <c r="R9" s="49"/>
    </row>
    <row r="10" spans="2:19" ht="15.75" x14ac:dyDescent="0.25">
      <c r="B10" s="93"/>
      <c r="C10" s="38" t="s">
        <v>32</v>
      </c>
      <c r="D10" s="38" t="s">
        <v>3</v>
      </c>
      <c r="E10" s="6">
        <v>2.1221E-2</v>
      </c>
      <c r="F10" s="31"/>
      <c r="G10" s="5"/>
      <c r="H10" s="5"/>
      <c r="I10" s="5"/>
      <c r="J10" s="5"/>
      <c r="K10" s="5"/>
      <c r="L10" s="5"/>
      <c r="M10" s="5"/>
      <c r="N10" s="20"/>
      <c r="P10" s="231" t="s">
        <v>4</v>
      </c>
      <c r="Q10" s="234">
        <v>3.1865999999999998E-2</v>
      </c>
      <c r="R10" s="49"/>
    </row>
    <row r="11" spans="2:19" ht="15.75" x14ac:dyDescent="0.25">
      <c r="B11" s="93"/>
      <c r="C11" s="38" t="s">
        <v>28</v>
      </c>
      <c r="D11" s="38" t="s">
        <v>106</v>
      </c>
      <c r="E11" s="6">
        <v>1.5958E-2</v>
      </c>
      <c r="F11" s="5"/>
      <c r="G11" s="5"/>
      <c r="H11" s="5"/>
      <c r="I11" s="5"/>
      <c r="J11" s="5"/>
      <c r="K11" s="5"/>
      <c r="L11" s="5"/>
      <c r="M11" s="5"/>
      <c r="N11" s="20"/>
      <c r="P11" s="231" t="s">
        <v>106</v>
      </c>
      <c r="Q11" s="234">
        <v>3.1695999999999995E-2</v>
      </c>
      <c r="R11" s="49"/>
    </row>
    <row r="12" spans="2:19" ht="15.75" customHeight="1" x14ac:dyDescent="0.25">
      <c r="B12" s="93"/>
      <c r="C12" s="38" t="s">
        <v>36</v>
      </c>
      <c r="D12" s="38" t="s">
        <v>3</v>
      </c>
      <c r="E12" s="6">
        <v>1.5697000000000003E-2</v>
      </c>
      <c r="F12" s="31"/>
      <c r="G12" s="5"/>
      <c r="H12" s="5"/>
      <c r="I12" s="5"/>
      <c r="J12" s="5"/>
      <c r="K12" s="5"/>
      <c r="L12" s="5"/>
      <c r="M12" s="5"/>
      <c r="N12" s="20"/>
      <c r="P12" s="231" t="s">
        <v>26</v>
      </c>
      <c r="Q12" s="234">
        <v>2.5901E-2</v>
      </c>
      <c r="R12" s="49"/>
    </row>
    <row r="13" spans="2:19" ht="15.75" x14ac:dyDescent="0.25">
      <c r="B13" s="93"/>
      <c r="C13" s="38" t="s">
        <v>134</v>
      </c>
      <c r="D13" s="38" t="s">
        <v>3</v>
      </c>
      <c r="E13" s="6">
        <v>1.0397E-2</v>
      </c>
      <c r="F13" s="31"/>
      <c r="G13" s="5"/>
      <c r="H13" s="5"/>
      <c r="I13" s="5"/>
      <c r="J13" s="5"/>
      <c r="K13" s="5"/>
      <c r="L13" s="5"/>
      <c r="M13" s="5"/>
      <c r="N13" s="20"/>
      <c r="P13" s="231" t="s">
        <v>85</v>
      </c>
      <c r="Q13" s="234">
        <v>2.0816999999999999E-2</v>
      </c>
      <c r="R13" s="49"/>
    </row>
    <row r="14" spans="2:19" ht="15.75" x14ac:dyDescent="0.25">
      <c r="B14" s="93"/>
      <c r="C14" s="38" t="s">
        <v>95</v>
      </c>
      <c r="D14" s="38" t="s">
        <v>111</v>
      </c>
      <c r="E14" s="6">
        <v>8.6770000000000007E-3</v>
      </c>
      <c r="F14" s="31"/>
      <c r="G14" s="5"/>
      <c r="H14" s="5"/>
      <c r="I14" s="5"/>
      <c r="J14" s="5"/>
      <c r="K14" s="5"/>
      <c r="L14" s="5"/>
      <c r="M14" s="5"/>
      <c r="N14" s="20"/>
      <c r="P14" s="231" t="s">
        <v>111</v>
      </c>
      <c r="Q14" s="234">
        <v>2.0449000000000005E-2</v>
      </c>
      <c r="R14" s="49"/>
    </row>
    <row r="15" spans="2:19" ht="15.75" x14ac:dyDescent="0.25">
      <c r="B15" s="93"/>
      <c r="C15" s="38" t="s">
        <v>80</v>
      </c>
      <c r="D15" s="38" t="s">
        <v>4</v>
      </c>
      <c r="E15" s="6">
        <v>8.4130000000000003E-3</v>
      </c>
      <c r="F15" s="5"/>
      <c r="G15" s="5"/>
      <c r="H15" s="5"/>
      <c r="I15" s="5"/>
      <c r="J15" s="5"/>
      <c r="K15" s="5"/>
      <c r="L15" s="5"/>
      <c r="M15" s="5"/>
      <c r="N15" s="20"/>
      <c r="P15" s="231" t="s">
        <v>16</v>
      </c>
      <c r="Q15" s="234">
        <v>1.5351E-2</v>
      </c>
      <c r="R15" s="49"/>
    </row>
    <row r="16" spans="2:19" ht="15.75" x14ac:dyDescent="0.25">
      <c r="B16" s="93"/>
      <c r="C16" s="38" t="s">
        <v>37</v>
      </c>
      <c r="D16" s="38" t="s">
        <v>116</v>
      </c>
      <c r="E16" s="6">
        <v>8.0739999999999996E-3</v>
      </c>
      <c r="F16" s="5"/>
      <c r="G16" s="5"/>
      <c r="H16" s="5"/>
      <c r="I16" s="5"/>
      <c r="J16" s="5"/>
      <c r="K16" s="5"/>
      <c r="L16" s="5"/>
      <c r="M16" s="5"/>
      <c r="N16" s="20"/>
      <c r="P16" s="231" t="s">
        <v>116</v>
      </c>
      <c r="Q16" s="234">
        <v>1.5014E-2</v>
      </c>
      <c r="R16" s="49"/>
    </row>
    <row r="17" spans="2:18" ht="15.75" x14ac:dyDescent="0.25">
      <c r="B17" s="93"/>
      <c r="C17" s="38" t="s">
        <v>119</v>
      </c>
      <c r="D17" s="38" t="s">
        <v>111</v>
      </c>
      <c r="E17" s="6">
        <v>7.816E-3</v>
      </c>
      <c r="F17" s="5"/>
      <c r="G17" s="5"/>
      <c r="H17" s="5"/>
      <c r="I17" s="5"/>
      <c r="J17" s="5"/>
      <c r="K17" s="5"/>
      <c r="L17" s="5"/>
      <c r="M17" s="5"/>
      <c r="N17" s="20"/>
      <c r="P17" s="231" t="s">
        <v>23</v>
      </c>
      <c r="Q17" s="234">
        <v>1.4759000000000001E-2</v>
      </c>
      <c r="R17" s="49"/>
    </row>
    <row r="18" spans="2:18" ht="15.75" x14ac:dyDescent="0.25">
      <c r="B18" s="93"/>
      <c r="C18" s="38" t="s">
        <v>33</v>
      </c>
      <c r="D18" s="38" t="s">
        <v>106</v>
      </c>
      <c r="E18" s="6">
        <v>7.7769999999999992E-3</v>
      </c>
      <c r="F18" s="5"/>
      <c r="G18" s="5"/>
      <c r="H18" s="5"/>
      <c r="I18" s="5"/>
      <c r="J18" s="5"/>
      <c r="K18" s="5"/>
      <c r="L18" s="5"/>
      <c r="M18" s="5"/>
      <c r="N18" s="20"/>
      <c r="P18" s="231" t="s">
        <v>112</v>
      </c>
      <c r="Q18" s="234">
        <v>1.3517000000000001E-2</v>
      </c>
      <c r="R18" s="49"/>
    </row>
    <row r="19" spans="2:18" ht="15.75" x14ac:dyDescent="0.25">
      <c r="B19" s="93"/>
      <c r="C19" s="38" t="s">
        <v>74</v>
      </c>
      <c r="D19" s="38" t="s">
        <v>11</v>
      </c>
      <c r="E19" s="6">
        <v>7.7689999999999999E-3</v>
      </c>
      <c r="F19" s="5"/>
      <c r="G19" s="5"/>
      <c r="H19" s="5"/>
      <c r="I19" s="5"/>
      <c r="J19" s="5"/>
      <c r="K19" s="5"/>
      <c r="L19" s="5"/>
      <c r="M19" s="5"/>
      <c r="N19" s="20"/>
      <c r="P19" s="231" t="s">
        <v>24</v>
      </c>
      <c r="Q19" s="234">
        <v>1.1077E-2</v>
      </c>
      <c r="R19" s="49"/>
    </row>
    <row r="20" spans="2:18" ht="15.75" customHeight="1" x14ac:dyDescent="0.25">
      <c r="B20" s="93"/>
      <c r="C20" s="38" t="s">
        <v>237</v>
      </c>
      <c r="D20" s="38" t="s">
        <v>26</v>
      </c>
      <c r="E20" s="6">
        <v>7.0020000000000004E-3</v>
      </c>
      <c r="F20" s="5"/>
      <c r="G20" s="5"/>
      <c r="H20" s="5"/>
      <c r="I20" s="5"/>
      <c r="J20" s="5"/>
      <c r="K20" s="5"/>
      <c r="L20" s="5"/>
      <c r="M20" s="5"/>
      <c r="N20" s="20"/>
      <c r="P20" s="231" t="s">
        <v>125</v>
      </c>
      <c r="Q20" s="234">
        <v>9.9399999999999992E-3</v>
      </c>
      <c r="R20" s="49"/>
    </row>
    <row r="21" spans="2:18" ht="15.75" x14ac:dyDescent="0.25">
      <c r="B21" s="93"/>
      <c r="C21" s="38" t="s">
        <v>30</v>
      </c>
      <c r="D21" s="38" t="s">
        <v>116</v>
      </c>
      <c r="E21" s="6">
        <v>6.94E-3</v>
      </c>
      <c r="F21" s="5"/>
      <c r="G21" s="5"/>
      <c r="H21" s="5"/>
      <c r="I21" s="5"/>
      <c r="J21" s="5"/>
      <c r="K21" s="5"/>
      <c r="L21" s="5"/>
      <c r="M21" s="5"/>
      <c r="N21" s="20"/>
      <c r="P21" s="231" t="s">
        <v>13</v>
      </c>
      <c r="Q21" s="234">
        <v>9.4450000000000003E-3</v>
      </c>
      <c r="R21" s="49"/>
    </row>
    <row r="22" spans="2:18" ht="15.75" x14ac:dyDescent="0.25">
      <c r="B22" s="93"/>
      <c r="C22" s="38" t="s">
        <v>97</v>
      </c>
      <c r="D22" s="38" t="s">
        <v>118</v>
      </c>
      <c r="E22" s="6">
        <v>6.1330000000000004E-3</v>
      </c>
      <c r="F22" s="5"/>
      <c r="G22" s="31"/>
      <c r="H22" s="31"/>
      <c r="I22" s="31"/>
      <c r="J22" s="5"/>
      <c r="K22" s="31"/>
      <c r="L22" s="5"/>
      <c r="M22" s="5"/>
      <c r="N22" s="20"/>
      <c r="P22" s="231" t="s">
        <v>117</v>
      </c>
      <c r="Q22" s="234">
        <v>9.3939999999999996E-3</v>
      </c>
      <c r="R22" s="49"/>
    </row>
    <row r="23" spans="2:18" ht="15.75" customHeight="1" x14ac:dyDescent="0.25">
      <c r="B23" s="93"/>
      <c r="C23" s="38"/>
      <c r="D23" s="4"/>
      <c r="E23" s="6"/>
      <c r="F23" s="5"/>
      <c r="G23" s="31"/>
      <c r="H23" s="31"/>
      <c r="I23" s="31"/>
      <c r="J23" s="5"/>
      <c r="K23" s="31"/>
      <c r="L23" s="5"/>
      <c r="M23" s="5"/>
      <c r="N23" s="20"/>
      <c r="P23" s="231" t="s">
        <v>107</v>
      </c>
      <c r="Q23" s="234">
        <v>9.299E-3</v>
      </c>
      <c r="R23" s="49"/>
    </row>
    <row r="24" spans="2:18" ht="15.75" x14ac:dyDescent="0.25">
      <c r="B24" s="93"/>
      <c r="C24" s="108" t="s">
        <v>56</v>
      </c>
      <c r="D24" s="108"/>
      <c r="E24" s="109">
        <v>0.19018699999999999</v>
      </c>
      <c r="F24" s="5"/>
      <c r="G24" s="5"/>
      <c r="H24" s="5"/>
      <c r="I24" s="5"/>
      <c r="J24" s="5"/>
      <c r="K24" s="5"/>
      <c r="L24" s="5"/>
      <c r="M24" s="5"/>
      <c r="N24" s="20"/>
      <c r="P24" s="231" t="s">
        <v>82</v>
      </c>
      <c r="Q24" s="234">
        <v>9.025E-3</v>
      </c>
      <c r="R24" s="49"/>
    </row>
    <row r="25" spans="2:18" ht="15.75" x14ac:dyDescent="0.25">
      <c r="B25" s="93"/>
      <c r="C25" s="4"/>
      <c r="D25" s="4"/>
      <c r="E25" s="6"/>
      <c r="F25" s="5"/>
      <c r="G25" s="5"/>
      <c r="H25" s="5"/>
      <c r="I25" s="5"/>
      <c r="J25" s="5"/>
      <c r="K25" s="5"/>
      <c r="L25" s="5"/>
      <c r="M25" s="5"/>
      <c r="N25" s="20"/>
      <c r="P25" s="231" t="s">
        <v>76</v>
      </c>
      <c r="Q25" s="234">
        <v>8.3920000000000002E-3</v>
      </c>
      <c r="R25" s="49"/>
    </row>
    <row r="26" spans="2:18" ht="15.75" x14ac:dyDescent="0.25">
      <c r="B26" s="93"/>
      <c r="C26" s="108" t="s">
        <v>66</v>
      </c>
      <c r="D26" s="108"/>
      <c r="E26" s="109">
        <v>0.31045500000000004</v>
      </c>
      <c r="F26" s="31"/>
      <c r="G26" s="5"/>
      <c r="H26" s="5"/>
      <c r="I26" s="5"/>
      <c r="J26" s="5"/>
      <c r="K26" s="5"/>
      <c r="L26" s="5"/>
      <c r="M26" s="5"/>
      <c r="N26" s="20"/>
      <c r="P26" s="231" t="s">
        <v>83</v>
      </c>
      <c r="Q26" s="234">
        <v>8.071E-3</v>
      </c>
      <c r="R26" s="49"/>
    </row>
    <row r="27" spans="2:18" ht="15.75" x14ac:dyDescent="0.25">
      <c r="B27" s="93"/>
      <c r="C27" s="38"/>
      <c r="D27" s="58"/>
      <c r="E27" s="6"/>
      <c r="F27" s="5"/>
      <c r="G27" s="5"/>
      <c r="H27" s="5"/>
      <c r="I27" s="5"/>
      <c r="J27" s="5"/>
      <c r="K27" s="5"/>
      <c r="L27" s="5"/>
      <c r="M27" s="5"/>
      <c r="N27" s="20"/>
      <c r="P27" s="231" t="s">
        <v>11</v>
      </c>
      <c r="Q27" s="234">
        <v>7.7340000000000013E-3</v>
      </c>
      <c r="R27" s="49"/>
    </row>
    <row r="28" spans="2:18" s="48" customFormat="1" ht="13.5" customHeight="1" x14ac:dyDescent="0.25">
      <c r="B28" s="110"/>
      <c r="C28" s="108" t="s">
        <v>58</v>
      </c>
      <c r="D28" s="108"/>
      <c r="E28" s="185">
        <v>0.15967000000000001</v>
      </c>
      <c r="F28" s="41"/>
      <c r="G28" s="41"/>
      <c r="H28" s="41"/>
      <c r="I28" s="41"/>
      <c r="J28" s="41"/>
      <c r="K28" s="41"/>
      <c r="L28" s="41"/>
      <c r="M28" s="41"/>
      <c r="N28" s="111"/>
      <c r="P28" s="231" t="s">
        <v>120</v>
      </c>
      <c r="Q28" s="234">
        <v>7.4349999999999998E-3</v>
      </c>
      <c r="R28" s="112"/>
    </row>
    <row r="29" spans="2:18" ht="15.75" x14ac:dyDescent="0.25">
      <c r="B29" s="93"/>
      <c r="C29" s="38"/>
      <c r="D29" s="38"/>
      <c r="E29" s="6"/>
      <c r="F29" s="5"/>
      <c r="G29" s="5"/>
      <c r="H29" s="5"/>
      <c r="I29" s="5"/>
      <c r="J29" s="5"/>
      <c r="K29" s="5"/>
      <c r="L29" s="5"/>
      <c r="M29" s="5"/>
      <c r="N29" s="20"/>
      <c r="P29" s="231" t="s">
        <v>118</v>
      </c>
      <c r="Q29" s="234">
        <v>6.1330000000000004E-3</v>
      </c>
      <c r="R29" s="49"/>
    </row>
    <row r="30" spans="2:18" ht="15.75" x14ac:dyDescent="0.25">
      <c r="B30" s="93"/>
      <c r="C30" s="38" t="s">
        <v>227</v>
      </c>
      <c r="D30" s="38" t="s">
        <v>226</v>
      </c>
      <c r="E30" s="6">
        <v>7.1863999999999997E-2</v>
      </c>
      <c r="F30" s="5"/>
      <c r="G30" s="5"/>
      <c r="H30" s="5"/>
      <c r="I30" s="5"/>
      <c r="J30" s="5"/>
      <c r="K30" s="5"/>
      <c r="L30" s="5"/>
      <c r="M30" s="5"/>
      <c r="N30" s="20"/>
      <c r="P30" s="231" t="s">
        <v>12</v>
      </c>
      <c r="Q30" s="234">
        <v>6.1119999999999994E-3</v>
      </c>
      <c r="R30" s="49"/>
    </row>
    <row r="31" spans="2:18" ht="15.75" x14ac:dyDescent="0.25">
      <c r="B31" s="93"/>
      <c r="C31" s="38" t="s">
        <v>228</v>
      </c>
      <c r="D31" s="38" t="s">
        <v>226</v>
      </c>
      <c r="E31" s="6">
        <v>7.1421999999999999E-2</v>
      </c>
      <c r="F31" s="5"/>
      <c r="G31" s="5"/>
      <c r="H31" s="5"/>
      <c r="I31" s="5"/>
      <c r="J31" s="5"/>
      <c r="K31" s="5"/>
      <c r="L31" s="5"/>
      <c r="M31" s="5"/>
      <c r="N31" s="20"/>
      <c r="P31" s="231" t="s">
        <v>145</v>
      </c>
      <c r="Q31" s="234">
        <v>5.0460000000000001E-3</v>
      </c>
      <c r="R31" s="49"/>
    </row>
    <row r="32" spans="2:18" ht="15.75" x14ac:dyDescent="0.25">
      <c r="B32" s="93"/>
      <c r="C32" s="108" t="s">
        <v>225</v>
      </c>
      <c r="D32" s="108"/>
      <c r="E32" s="185">
        <v>0.143286</v>
      </c>
      <c r="F32" s="5"/>
      <c r="G32" s="5"/>
      <c r="H32" s="5"/>
      <c r="I32" s="5"/>
      <c r="J32" s="5"/>
      <c r="K32" s="5"/>
      <c r="L32" s="5"/>
      <c r="M32" s="5"/>
      <c r="N32" s="20"/>
      <c r="P32" s="231" t="s">
        <v>123</v>
      </c>
      <c r="Q32" s="234">
        <v>4.8859999999999997E-3</v>
      </c>
      <c r="R32" s="49"/>
    </row>
    <row r="33" spans="1:18" ht="15.75" x14ac:dyDescent="0.25">
      <c r="B33" s="93"/>
      <c r="C33" s="38"/>
      <c r="D33" s="4"/>
      <c r="E33" s="198"/>
      <c r="F33" s="5"/>
      <c r="G33" s="5"/>
      <c r="H33" s="5"/>
      <c r="I33" s="5"/>
      <c r="J33" s="5"/>
      <c r="K33" s="5"/>
      <c r="L33" s="5"/>
      <c r="M33" s="5"/>
      <c r="N33" s="20"/>
      <c r="P33" s="231" t="s">
        <v>126</v>
      </c>
      <c r="Q33" s="234">
        <v>4.7289999999999997E-3</v>
      </c>
      <c r="R33" s="49"/>
    </row>
    <row r="34" spans="1:18" ht="15.75" x14ac:dyDescent="0.25">
      <c r="B34" s="93"/>
      <c r="C34" s="38" t="s">
        <v>218</v>
      </c>
      <c r="D34" s="4" t="s">
        <v>61</v>
      </c>
      <c r="E34" s="198">
        <v>7.7233999999999997E-2</v>
      </c>
      <c r="F34" s="5"/>
      <c r="G34" s="5"/>
      <c r="H34" s="5"/>
      <c r="I34" s="5"/>
      <c r="J34" s="5"/>
      <c r="K34" s="5"/>
      <c r="L34" s="5"/>
      <c r="M34" s="5"/>
      <c r="N34" s="20"/>
      <c r="P34" s="231" t="s">
        <v>349</v>
      </c>
      <c r="Q34" s="234">
        <v>4.6210000000000001E-3</v>
      </c>
      <c r="R34" s="49"/>
    </row>
    <row r="35" spans="1:18" ht="15.75" x14ac:dyDescent="0.25">
      <c r="B35" s="93"/>
      <c r="C35" s="108" t="s">
        <v>42</v>
      </c>
      <c r="D35" s="108"/>
      <c r="E35" s="109">
        <v>7.7233999999999997E-2</v>
      </c>
      <c r="F35" s="5"/>
      <c r="G35" s="5"/>
      <c r="H35" s="5"/>
      <c r="I35" s="5"/>
      <c r="J35" s="5"/>
      <c r="K35" s="5"/>
      <c r="L35" s="5"/>
      <c r="M35" s="5"/>
      <c r="N35" s="20"/>
      <c r="P35" s="231" t="s">
        <v>136</v>
      </c>
      <c r="Q35" s="234">
        <v>4.4140000000000004E-3</v>
      </c>
      <c r="R35" s="49"/>
    </row>
    <row r="36" spans="1:18" ht="15.75" x14ac:dyDescent="0.25">
      <c r="B36" s="93"/>
      <c r="C36" s="113"/>
      <c r="D36" s="113"/>
      <c r="E36" s="114"/>
      <c r="F36" s="5"/>
      <c r="G36" s="5"/>
      <c r="H36" s="5"/>
      <c r="I36" s="5"/>
      <c r="J36" s="5"/>
      <c r="K36" s="5"/>
      <c r="L36" s="5"/>
      <c r="M36" s="5"/>
      <c r="N36" s="20"/>
      <c r="P36" s="231" t="s">
        <v>109</v>
      </c>
      <c r="Q36" s="234">
        <v>4.0270000000000002E-3</v>
      </c>
      <c r="R36" s="49"/>
    </row>
    <row r="37" spans="1:18" ht="15.75" x14ac:dyDescent="0.25">
      <c r="B37" s="93"/>
      <c r="C37" s="38" t="s">
        <v>224</v>
      </c>
      <c r="D37" s="38" t="s">
        <v>226</v>
      </c>
      <c r="E37" s="198">
        <v>9.9765999999999994E-2</v>
      </c>
      <c r="F37" s="5"/>
      <c r="G37" s="5"/>
      <c r="H37" s="5"/>
      <c r="I37" s="5"/>
      <c r="J37" s="5"/>
      <c r="K37" s="5"/>
      <c r="L37" s="5"/>
      <c r="M37" s="5"/>
      <c r="N37" s="20"/>
      <c r="P37" s="231" t="s">
        <v>25</v>
      </c>
      <c r="Q37" s="234">
        <v>3.6700000000000001E-3</v>
      </c>
      <c r="R37" s="49"/>
    </row>
    <row r="38" spans="1:18" ht="15.75" x14ac:dyDescent="0.25">
      <c r="B38" s="93"/>
      <c r="C38" s="108" t="s">
        <v>223</v>
      </c>
      <c r="D38" s="108"/>
      <c r="E38" s="109">
        <v>9.9765999999999994E-2</v>
      </c>
      <c r="F38" s="5"/>
      <c r="G38" s="5"/>
      <c r="H38" s="5"/>
      <c r="I38" s="5"/>
      <c r="J38" s="5"/>
      <c r="K38" s="5"/>
      <c r="L38" s="5"/>
      <c r="M38" s="5"/>
      <c r="N38" s="20"/>
      <c r="P38" s="231" t="s">
        <v>121</v>
      </c>
      <c r="Q38" s="234">
        <v>3.3370000000000001E-3</v>
      </c>
      <c r="R38" s="49"/>
    </row>
    <row r="39" spans="1:18" ht="15.75" x14ac:dyDescent="0.25">
      <c r="B39" s="93"/>
      <c r="C39" s="113"/>
      <c r="D39" s="113"/>
      <c r="E39" s="114"/>
      <c r="F39" s="5"/>
      <c r="G39" s="5"/>
      <c r="H39" s="5"/>
      <c r="I39" s="5"/>
      <c r="J39" s="5"/>
      <c r="K39" s="5"/>
      <c r="L39" s="5"/>
      <c r="M39" s="5"/>
      <c r="N39" s="20"/>
      <c r="P39" s="231" t="s">
        <v>15</v>
      </c>
      <c r="Q39" s="234">
        <v>2.4199999999999994E-3</v>
      </c>
      <c r="R39" s="49"/>
    </row>
    <row r="40" spans="1:18" ht="15.75" x14ac:dyDescent="0.25">
      <c r="B40" s="93"/>
      <c r="C40" s="108" t="s">
        <v>20</v>
      </c>
      <c r="D40" s="108"/>
      <c r="E40" s="109">
        <v>1.9401999999999989E-2</v>
      </c>
      <c r="F40" s="5"/>
      <c r="G40" s="5"/>
      <c r="H40" s="5"/>
      <c r="I40" s="5"/>
      <c r="J40" s="5"/>
      <c r="K40" s="5"/>
      <c r="L40" s="5"/>
      <c r="M40" s="5"/>
      <c r="N40" s="20"/>
      <c r="P40" s="231" t="s">
        <v>132</v>
      </c>
      <c r="Q40" s="234">
        <v>2.4069999999999999E-3</v>
      </c>
      <c r="R40" s="49"/>
    </row>
    <row r="41" spans="1:18" ht="15.75" x14ac:dyDescent="0.25">
      <c r="B41" s="93"/>
      <c r="C41" s="4"/>
      <c r="D41" s="4"/>
      <c r="E41" s="32"/>
      <c r="F41" s="5"/>
      <c r="G41" s="5"/>
      <c r="H41" s="5"/>
      <c r="I41" s="5"/>
      <c r="J41" s="5"/>
      <c r="K41" s="5"/>
      <c r="L41" s="5"/>
      <c r="M41" s="5"/>
      <c r="N41" s="20"/>
      <c r="P41" s="231" t="s">
        <v>105</v>
      </c>
      <c r="Q41" s="234">
        <v>2.3400000000000001E-3</v>
      </c>
      <c r="R41" s="49"/>
    </row>
    <row r="42" spans="1:18" s="48" customFormat="1" ht="15.75" x14ac:dyDescent="0.25">
      <c r="B42" s="110"/>
      <c r="C42" s="115" t="s">
        <v>21</v>
      </c>
      <c r="D42" s="115"/>
      <c r="E42" s="116">
        <f>E40+E38+E35+E32+E28+E26+E24</f>
        <v>1</v>
      </c>
      <c r="F42" s="41"/>
      <c r="G42" s="5"/>
      <c r="H42" s="5"/>
      <c r="I42" s="5"/>
      <c r="J42" s="5"/>
      <c r="K42" s="5"/>
      <c r="L42" s="41"/>
      <c r="M42" s="41"/>
      <c r="N42" s="111"/>
      <c r="P42" s="231" t="s">
        <v>113</v>
      </c>
      <c r="Q42" s="234">
        <v>2.3159999999999999E-3</v>
      </c>
      <c r="R42" s="112"/>
    </row>
    <row r="43" spans="1:18" ht="15.75" x14ac:dyDescent="0.25">
      <c r="B43" s="93"/>
      <c r="F43" s="5"/>
      <c r="G43" s="5"/>
      <c r="H43" s="5"/>
      <c r="I43" s="5"/>
      <c r="J43" s="5"/>
      <c r="K43" s="5"/>
      <c r="L43" s="5"/>
      <c r="M43" s="5"/>
      <c r="N43" s="20"/>
      <c r="P43" s="231" t="s">
        <v>122</v>
      </c>
      <c r="Q43" s="234">
        <v>1.9580000000000001E-3</v>
      </c>
      <c r="R43" s="49"/>
    </row>
    <row r="44" spans="1:18" ht="15.75" x14ac:dyDescent="0.25">
      <c r="A44" s="5"/>
      <c r="B44" s="93"/>
      <c r="F44" s="5"/>
      <c r="G44" s="5"/>
      <c r="H44" s="5"/>
      <c r="I44" s="5"/>
      <c r="J44" s="5"/>
      <c r="K44" s="5"/>
      <c r="L44" s="5"/>
      <c r="M44" s="5"/>
      <c r="N44" s="20"/>
      <c r="O44" s="5"/>
      <c r="P44" s="231" t="s">
        <v>114</v>
      </c>
      <c r="Q44" s="234">
        <v>1.4630000000000001E-3</v>
      </c>
      <c r="R44" s="49"/>
    </row>
    <row r="45" spans="1:18" ht="16.5" thickBot="1" x14ac:dyDescent="0.3">
      <c r="A45" s="5"/>
      <c r="B45" s="96"/>
      <c r="C45" s="45"/>
      <c r="D45" s="45"/>
      <c r="E45" s="45"/>
      <c r="F45" s="45"/>
      <c r="G45" s="45"/>
      <c r="H45" s="45"/>
      <c r="I45" s="45"/>
      <c r="J45" s="45"/>
      <c r="K45" s="45"/>
      <c r="L45" s="45"/>
      <c r="M45" s="45"/>
      <c r="N45" s="118"/>
      <c r="O45" s="5"/>
      <c r="P45" s="231" t="s">
        <v>232</v>
      </c>
      <c r="Q45" s="234">
        <v>8.4800000000000001E-4</v>
      </c>
      <c r="R45" s="49"/>
    </row>
    <row r="46" spans="1:18" ht="15.75" x14ac:dyDescent="0.25">
      <c r="P46" s="231" t="s">
        <v>10</v>
      </c>
      <c r="Q46" s="234">
        <v>-5.1999999999999963E-5</v>
      </c>
      <c r="R46" s="49"/>
    </row>
    <row r="47" spans="1:18" ht="15" customHeight="1" thickBot="1" x14ac:dyDescent="0.25"/>
    <row r="48" spans="1:18" ht="103.5" customHeight="1" thickBot="1" x14ac:dyDescent="0.25">
      <c r="B48" s="320" t="s">
        <v>181</v>
      </c>
      <c r="C48" s="321"/>
      <c r="D48" s="321"/>
      <c r="E48" s="321"/>
      <c r="F48" s="321"/>
      <c r="G48" s="321"/>
      <c r="H48" s="321"/>
      <c r="I48" s="321"/>
      <c r="J48" s="321"/>
      <c r="K48" s="321"/>
      <c r="L48" s="321"/>
      <c r="M48" s="321"/>
      <c r="N48" s="321"/>
      <c r="O48" s="321"/>
      <c r="P48" s="321"/>
      <c r="Q48" s="321"/>
      <c r="R48" s="322"/>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89" t="s">
        <v>157</v>
      </c>
      <c r="D3" s="289"/>
      <c r="E3" s="289"/>
      <c r="F3" s="289"/>
      <c r="G3" s="289"/>
      <c r="H3" s="289"/>
      <c r="I3" s="289"/>
      <c r="J3" s="289"/>
      <c r="K3" s="289"/>
      <c r="L3" s="289"/>
      <c r="M3" s="290"/>
    </row>
    <row r="4" spans="2:16" ht="15.75" x14ac:dyDescent="0.25">
      <c r="B4" s="93"/>
      <c r="C4" s="67" t="s">
        <v>387</v>
      </c>
      <c r="D4" s="29"/>
      <c r="E4" s="29"/>
      <c r="F4" s="5"/>
      <c r="G4" s="5"/>
      <c r="H4" s="5"/>
      <c r="I4" s="5"/>
      <c r="J4" s="5"/>
      <c r="K4" s="5"/>
      <c r="L4" s="5"/>
      <c r="M4" s="20"/>
    </row>
    <row r="5" spans="2:16" ht="20.25" customHeight="1" x14ac:dyDescent="0.25">
      <c r="B5" s="93"/>
      <c r="C5" s="220" t="s">
        <v>386</v>
      </c>
      <c r="D5" s="94" t="s">
        <v>410</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91" t="s">
        <v>50</v>
      </c>
      <c r="G7" s="291"/>
      <c r="H7" s="291"/>
      <c r="I7" s="291"/>
      <c r="J7" s="291"/>
      <c r="K7" s="291"/>
      <c r="L7" s="291"/>
      <c r="M7" s="292"/>
    </row>
    <row r="8" spans="2:16" ht="15.75" x14ac:dyDescent="0.25">
      <c r="B8" s="93"/>
      <c r="C8" s="38" t="s">
        <v>178</v>
      </c>
      <c r="D8" s="199">
        <v>0.13269800000000001</v>
      </c>
      <c r="E8" s="29"/>
      <c r="F8" s="5"/>
      <c r="G8" s="31"/>
      <c r="H8" s="5"/>
      <c r="I8" s="5"/>
      <c r="J8" s="47"/>
      <c r="K8" s="5"/>
      <c r="L8" s="5"/>
      <c r="M8" s="20"/>
      <c r="P8" s="49"/>
    </row>
    <row r="9" spans="2:16" x14ac:dyDescent="0.2">
      <c r="B9" s="93"/>
      <c r="C9" s="102" t="s">
        <v>174</v>
      </c>
      <c r="D9" s="181">
        <v>9.6547999999999995E-2</v>
      </c>
      <c r="E9" s="5"/>
      <c r="F9" s="5"/>
      <c r="G9" s="5"/>
      <c r="H9" s="5"/>
      <c r="I9" s="5" t="s">
        <v>51</v>
      </c>
      <c r="J9" s="47">
        <f>D11</f>
        <v>0.322689</v>
      </c>
      <c r="K9" s="5"/>
      <c r="L9" s="5"/>
      <c r="M9" s="20"/>
      <c r="P9" s="49"/>
    </row>
    <row r="10" spans="2:16" x14ac:dyDescent="0.2">
      <c r="B10" s="93"/>
      <c r="C10" s="102" t="s">
        <v>175</v>
      </c>
      <c r="D10" s="181">
        <v>9.3442999999999998E-2</v>
      </c>
      <c r="E10" s="5"/>
      <c r="F10" s="5"/>
      <c r="G10" s="5"/>
      <c r="H10" s="5"/>
      <c r="I10" s="5" t="s">
        <v>53</v>
      </c>
      <c r="J10" s="47">
        <f>D16</f>
        <v>0.64942800000000012</v>
      </c>
      <c r="K10" s="5"/>
      <c r="L10" s="5"/>
      <c r="M10" s="20"/>
      <c r="P10" s="49"/>
    </row>
    <row r="11" spans="2:16" ht="15.75" x14ac:dyDescent="0.25">
      <c r="B11" s="93"/>
      <c r="C11" s="7" t="s">
        <v>52</v>
      </c>
      <c r="D11" s="8">
        <f>SUM(D8:D10)</f>
        <v>0.322689</v>
      </c>
      <c r="E11" s="5"/>
      <c r="F11" s="5"/>
      <c r="G11" s="5"/>
      <c r="H11" s="5"/>
      <c r="I11" s="5" t="s">
        <v>20</v>
      </c>
      <c r="J11" s="47">
        <f>D18</f>
        <v>2.7882999999999998E-2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177</v>
      </c>
      <c r="D13" s="181">
        <v>0.57541200000000003</v>
      </c>
      <c r="E13" s="5"/>
      <c r="F13" s="5"/>
      <c r="G13" s="5"/>
      <c r="H13" s="5"/>
      <c r="I13" s="5"/>
      <c r="J13" s="47"/>
      <c r="K13" s="5"/>
      <c r="L13" s="5"/>
      <c r="M13" s="20"/>
      <c r="P13" s="49"/>
    </row>
    <row r="14" spans="2:16" ht="15.75" customHeight="1" x14ac:dyDescent="0.2">
      <c r="B14" s="93"/>
      <c r="C14" s="4" t="s">
        <v>176</v>
      </c>
      <c r="D14" s="181">
        <v>6.1276999999999998E-2</v>
      </c>
      <c r="E14" s="5"/>
      <c r="F14" s="5"/>
      <c r="G14" s="5"/>
      <c r="H14" s="5"/>
      <c r="I14" s="5"/>
      <c r="J14" s="47"/>
      <c r="K14" s="5"/>
      <c r="L14" s="5"/>
      <c r="M14" s="20"/>
      <c r="P14" s="49"/>
    </row>
    <row r="15" spans="2:16" x14ac:dyDescent="0.2">
      <c r="B15" s="93"/>
      <c r="C15" s="4" t="s">
        <v>205</v>
      </c>
      <c r="D15" s="181">
        <v>1.2739E-2</v>
      </c>
      <c r="E15" s="5"/>
      <c r="F15" s="5"/>
      <c r="G15" s="5"/>
      <c r="H15" s="5"/>
      <c r="I15" s="5"/>
      <c r="J15" s="103"/>
      <c r="K15" s="5"/>
      <c r="L15" s="5"/>
      <c r="M15" s="20"/>
      <c r="P15" s="49"/>
    </row>
    <row r="16" spans="2:16" ht="15.75" x14ac:dyDescent="0.25">
      <c r="B16" s="93"/>
      <c r="C16" s="7" t="s">
        <v>19</v>
      </c>
      <c r="D16" s="8">
        <f>SUM(D13:D15)</f>
        <v>0.64942800000000012</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08">
        <v>2.7882999999999998E-2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323"/>
      <c r="D23" s="323"/>
      <c r="E23" s="323"/>
      <c r="F23" s="323"/>
      <c r="G23" s="323"/>
      <c r="H23" s="5"/>
      <c r="I23" s="5"/>
      <c r="J23" s="5"/>
      <c r="K23" s="5"/>
      <c r="L23" s="5"/>
      <c r="M23" s="11"/>
      <c r="P23" s="49"/>
    </row>
    <row r="24" spans="2:18" ht="16.5" thickBot="1" x14ac:dyDescent="0.3">
      <c r="B24" s="96"/>
      <c r="C24" s="293"/>
      <c r="D24" s="293"/>
      <c r="E24" s="293"/>
      <c r="F24" s="293"/>
      <c r="G24" s="293"/>
      <c r="H24" s="293"/>
      <c r="I24" s="293"/>
      <c r="J24" s="293"/>
      <c r="K24" s="293"/>
      <c r="L24" s="293"/>
      <c r="M24" s="294"/>
      <c r="P24" s="49"/>
    </row>
    <row r="25" spans="2:18" ht="15.75" thickBot="1" x14ac:dyDescent="0.25">
      <c r="P25" s="49"/>
    </row>
    <row r="26" spans="2:18" ht="15" customHeight="1" x14ac:dyDescent="0.2">
      <c r="B26" s="295" t="s">
        <v>181</v>
      </c>
      <c r="C26" s="296"/>
      <c r="D26" s="296"/>
      <c r="E26" s="296"/>
      <c r="F26" s="296"/>
      <c r="G26" s="296"/>
      <c r="H26" s="296"/>
      <c r="I26" s="296"/>
      <c r="J26" s="296"/>
      <c r="K26" s="296"/>
      <c r="L26" s="296"/>
      <c r="M26" s="296"/>
      <c r="N26" s="296"/>
      <c r="O26" s="296"/>
      <c r="P26" s="296"/>
      <c r="Q26" s="296"/>
      <c r="R26" s="297"/>
    </row>
    <row r="27" spans="2:18" x14ac:dyDescent="0.2">
      <c r="B27" s="298"/>
      <c r="C27" s="299"/>
      <c r="D27" s="299"/>
      <c r="E27" s="299"/>
      <c r="F27" s="299"/>
      <c r="G27" s="299"/>
      <c r="H27" s="299"/>
      <c r="I27" s="299"/>
      <c r="J27" s="299"/>
      <c r="K27" s="299"/>
      <c r="L27" s="299"/>
      <c r="M27" s="299"/>
      <c r="N27" s="299"/>
      <c r="O27" s="299"/>
      <c r="P27" s="299"/>
      <c r="Q27" s="299"/>
      <c r="R27" s="300"/>
    </row>
    <row r="28" spans="2:18" x14ac:dyDescent="0.2">
      <c r="B28" s="298"/>
      <c r="C28" s="299"/>
      <c r="D28" s="299"/>
      <c r="E28" s="299"/>
      <c r="F28" s="299"/>
      <c r="G28" s="299"/>
      <c r="H28" s="299"/>
      <c r="I28" s="299"/>
      <c r="J28" s="299"/>
      <c r="K28" s="299"/>
      <c r="L28" s="299"/>
      <c r="M28" s="299"/>
      <c r="N28" s="299"/>
      <c r="O28" s="299"/>
      <c r="P28" s="299"/>
      <c r="Q28" s="299"/>
      <c r="R28" s="300"/>
    </row>
    <row r="29" spans="2:18" x14ac:dyDescent="0.2">
      <c r="B29" s="298"/>
      <c r="C29" s="299"/>
      <c r="D29" s="299"/>
      <c r="E29" s="299"/>
      <c r="F29" s="299"/>
      <c r="G29" s="299"/>
      <c r="H29" s="299"/>
      <c r="I29" s="299"/>
      <c r="J29" s="299"/>
      <c r="K29" s="299"/>
      <c r="L29" s="299"/>
      <c r="M29" s="299"/>
      <c r="N29" s="299"/>
      <c r="O29" s="299"/>
      <c r="P29" s="299"/>
      <c r="Q29" s="299"/>
      <c r="R29" s="300"/>
    </row>
    <row r="30" spans="2:18" x14ac:dyDescent="0.2">
      <c r="B30" s="298"/>
      <c r="C30" s="299"/>
      <c r="D30" s="299"/>
      <c r="E30" s="299"/>
      <c r="F30" s="299"/>
      <c r="G30" s="299"/>
      <c r="H30" s="299"/>
      <c r="I30" s="299"/>
      <c r="J30" s="299"/>
      <c r="K30" s="299"/>
      <c r="L30" s="299"/>
      <c r="M30" s="299"/>
      <c r="N30" s="299"/>
      <c r="O30" s="299"/>
      <c r="P30" s="299"/>
      <c r="Q30" s="299"/>
      <c r="R30" s="300"/>
    </row>
    <row r="31" spans="2:18" x14ac:dyDescent="0.2">
      <c r="B31" s="298"/>
      <c r="C31" s="299"/>
      <c r="D31" s="299"/>
      <c r="E31" s="299"/>
      <c r="F31" s="299"/>
      <c r="G31" s="299"/>
      <c r="H31" s="299"/>
      <c r="I31" s="299"/>
      <c r="J31" s="299"/>
      <c r="K31" s="299"/>
      <c r="L31" s="299"/>
      <c r="M31" s="299"/>
      <c r="N31" s="299"/>
      <c r="O31" s="299"/>
      <c r="P31" s="299"/>
      <c r="Q31" s="299"/>
      <c r="R31" s="300"/>
    </row>
    <row r="32" spans="2:18" ht="15.75" thickBot="1" x14ac:dyDescent="0.25">
      <c r="B32" s="301"/>
      <c r="C32" s="302"/>
      <c r="D32" s="302"/>
      <c r="E32" s="302"/>
      <c r="F32" s="302"/>
      <c r="G32" s="302"/>
      <c r="H32" s="302"/>
      <c r="I32" s="302"/>
      <c r="J32" s="302"/>
      <c r="K32" s="302"/>
      <c r="L32" s="302"/>
      <c r="M32" s="302"/>
      <c r="N32" s="302"/>
      <c r="O32" s="302"/>
      <c r="P32" s="302"/>
      <c r="Q32" s="302"/>
      <c r="R32" s="303"/>
    </row>
    <row r="33" spans="3:16" x14ac:dyDescent="0.2">
      <c r="P33" s="49"/>
    </row>
    <row r="34" spans="3:16" x14ac:dyDescent="0.2">
      <c r="C34" s="175"/>
      <c r="D34" s="176"/>
      <c r="P34" s="49"/>
    </row>
    <row r="35" spans="3:16" x14ac:dyDescent="0.2">
      <c r="C35" s="233"/>
      <c r="D35" s="232"/>
      <c r="P35" s="49"/>
    </row>
    <row r="36" spans="3:16" x14ac:dyDescent="0.2">
      <c r="C36" s="233"/>
      <c r="D36" s="232"/>
      <c r="P36" s="49"/>
    </row>
    <row r="37" spans="3:16" x14ac:dyDescent="0.2">
      <c r="C37" s="233"/>
      <c r="D37" s="232"/>
      <c r="P37" s="49"/>
    </row>
    <row r="38" spans="3:16" x14ac:dyDescent="0.2">
      <c r="C38" s="233"/>
      <c r="D38" s="232"/>
      <c r="P38" s="49"/>
    </row>
    <row r="39" spans="3:16" x14ac:dyDescent="0.2">
      <c r="C39" s="233"/>
      <c r="D39" s="232"/>
      <c r="P39" s="49"/>
    </row>
    <row r="40" spans="3:16" x14ac:dyDescent="0.2">
      <c r="C40" s="233"/>
      <c r="D40" s="232"/>
      <c r="P40" s="49"/>
    </row>
    <row r="41" spans="3:16" x14ac:dyDescent="0.2">
      <c r="C41" s="233"/>
      <c r="D41" s="232"/>
      <c r="P41" s="49"/>
    </row>
    <row r="42" spans="3:16" x14ac:dyDescent="0.2">
      <c r="C42" s="175"/>
      <c r="D42" s="248"/>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9:D10">
    <sortCondition descending="1" ref="D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89" t="s">
        <v>156</v>
      </c>
      <c r="D3" s="289"/>
      <c r="E3" s="289"/>
      <c r="F3" s="289"/>
      <c r="G3" s="289"/>
      <c r="H3" s="289"/>
      <c r="I3" s="289"/>
      <c r="J3" s="289"/>
      <c r="K3" s="289"/>
      <c r="L3" s="289"/>
      <c r="M3" s="290"/>
    </row>
    <row r="4" spans="2:19" ht="15.75" x14ac:dyDescent="0.25">
      <c r="B4" s="93"/>
      <c r="C4" s="67" t="s">
        <v>387</v>
      </c>
      <c r="D4" s="29"/>
      <c r="E4" s="29"/>
      <c r="F4" s="5"/>
      <c r="G4" s="5"/>
      <c r="H4" s="5"/>
      <c r="I4" s="5"/>
      <c r="J4" s="5"/>
      <c r="K4" s="5"/>
      <c r="L4" s="5"/>
      <c r="M4" s="20"/>
    </row>
    <row r="5" spans="2:19" ht="20.25" customHeight="1" x14ac:dyDescent="0.25">
      <c r="B5" s="93"/>
      <c r="C5" s="220" t="s">
        <v>386</v>
      </c>
      <c r="D5" s="94" t="s">
        <v>411</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91" t="s">
        <v>50</v>
      </c>
      <c r="G7" s="291"/>
      <c r="H7" s="291"/>
      <c r="I7" s="291"/>
      <c r="J7" s="291"/>
      <c r="K7" s="291"/>
      <c r="L7" s="291"/>
      <c r="M7" s="292"/>
    </row>
    <row r="8" spans="2:19" x14ac:dyDescent="0.2">
      <c r="B8" s="93"/>
      <c r="C8" s="4" t="s">
        <v>178</v>
      </c>
      <c r="D8" s="181">
        <v>0.10359400000000001</v>
      </c>
      <c r="E8" s="5"/>
      <c r="F8" s="5"/>
      <c r="G8" s="31"/>
      <c r="H8" s="5"/>
      <c r="I8" s="97" t="s">
        <v>51</v>
      </c>
      <c r="J8" s="98">
        <f>D11</f>
        <v>0.50083499999999992</v>
      </c>
      <c r="K8" s="5"/>
      <c r="L8" s="5"/>
      <c r="M8" s="20"/>
      <c r="S8" s="49"/>
    </row>
    <row r="9" spans="2:19" ht="15.75" customHeight="1" x14ac:dyDescent="0.2">
      <c r="B9" s="93"/>
      <c r="C9" s="4" t="s">
        <v>174</v>
      </c>
      <c r="D9" s="181">
        <v>0.129715</v>
      </c>
      <c r="E9" s="5"/>
      <c r="F9" s="5"/>
      <c r="G9" s="5"/>
      <c r="H9" s="5"/>
      <c r="I9" s="97" t="s">
        <v>53</v>
      </c>
      <c r="J9" s="99">
        <f>D17</f>
        <v>0.48612699999999998</v>
      </c>
      <c r="K9" s="5"/>
      <c r="L9" s="5"/>
      <c r="M9" s="20"/>
      <c r="S9" s="49"/>
    </row>
    <row r="10" spans="2:19" x14ac:dyDescent="0.2">
      <c r="B10" s="93"/>
      <c r="C10" s="38" t="s">
        <v>175</v>
      </c>
      <c r="D10" s="199">
        <v>0.26752599999999999</v>
      </c>
      <c r="E10" s="5"/>
      <c r="F10" s="5"/>
      <c r="G10" s="5"/>
      <c r="H10" s="5"/>
      <c r="I10" s="97" t="s">
        <v>20</v>
      </c>
      <c r="J10" s="99">
        <f>D19</f>
        <v>1.3038000000000001E-2</v>
      </c>
      <c r="K10" s="5"/>
      <c r="L10" s="5"/>
      <c r="M10" s="20"/>
      <c r="S10" s="49"/>
    </row>
    <row r="11" spans="2:19" ht="15.75" customHeight="1" x14ac:dyDescent="0.25">
      <c r="B11" s="93"/>
      <c r="C11" s="7" t="s">
        <v>52</v>
      </c>
      <c r="D11" s="8">
        <f>SUM(D8:D10)</f>
        <v>0.50083499999999992</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176</v>
      </c>
      <c r="D13" s="181">
        <v>0.113389</v>
      </c>
      <c r="E13" s="5"/>
      <c r="F13" s="5"/>
      <c r="G13" s="5"/>
      <c r="H13" s="5"/>
      <c r="I13" s="97"/>
      <c r="J13" s="97"/>
      <c r="K13" s="5"/>
      <c r="L13" s="5"/>
      <c r="M13" s="20"/>
      <c r="S13" s="49"/>
    </row>
    <row r="14" spans="2:19" x14ac:dyDescent="0.2">
      <c r="B14" s="93"/>
      <c r="C14" s="4" t="s">
        <v>177</v>
      </c>
      <c r="D14" s="181">
        <v>0.37264999999999998</v>
      </c>
      <c r="E14" s="5"/>
      <c r="F14" s="5"/>
      <c r="G14" s="5"/>
      <c r="H14" s="5"/>
      <c r="I14" s="5"/>
      <c r="J14" s="5"/>
      <c r="K14" s="5"/>
      <c r="L14" s="5"/>
      <c r="M14" s="20"/>
      <c r="S14" s="49"/>
    </row>
    <row r="15" spans="2:19" x14ac:dyDescent="0.2">
      <c r="B15" s="93"/>
      <c r="C15" s="4" t="s">
        <v>205</v>
      </c>
      <c r="D15" s="181">
        <v>8.7999999999999998E-5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0.48612699999999998</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08">
        <v>1.3038000000000001E-2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0.99999999999999989</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95" t="s">
        <v>181</v>
      </c>
      <c r="C28" s="296"/>
      <c r="D28" s="296"/>
      <c r="E28" s="296"/>
      <c r="F28" s="296"/>
      <c r="G28" s="296"/>
      <c r="H28" s="296"/>
      <c r="I28" s="296"/>
      <c r="J28" s="296"/>
      <c r="K28" s="296"/>
      <c r="L28" s="296"/>
      <c r="M28" s="296"/>
      <c r="N28" s="296"/>
      <c r="O28" s="296"/>
      <c r="P28" s="296"/>
      <c r="Q28" s="296"/>
      <c r="R28" s="297"/>
      <c r="S28" s="49"/>
    </row>
    <row r="29" spans="2:19" x14ac:dyDescent="0.2">
      <c r="B29" s="298"/>
      <c r="C29" s="299"/>
      <c r="D29" s="299"/>
      <c r="E29" s="299"/>
      <c r="F29" s="299"/>
      <c r="G29" s="299"/>
      <c r="H29" s="299"/>
      <c r="I29" s="299"/>
      <c r="J29" s="299"/>
      <c r="K29" s="299"/>
      <c r="L29" s="299"/>
      <c r="M29" s="299"/>
      <c r="N29" s="299"/>
      <c r="O29" s="299"/>
      <c r="P29" s="299"/>
      <c r="Q29" s="299"/>
      <c r="R29" s="300"/>
      <c r="S29" s="49"/>
    </row>
    <row r="30" spans="2:19" x14ac:dyDescent="0.2">
      <c r="B30" s="298"/>
      <c r="C30" s="299"/>
      <c r="D30" s="299"/>
      <c r="E30" s="299"/>
      <c r="F30" s="299"/>
      <c r="G30" s="299"/>
      <c r="H30" s="299"/>
      <c r="I30" s="299"/>
      <c r="J30" s="299"/>
      <c r="K30" s="299"/>
      <c r="L30" s="299"/>
      <c r="M30" s="299"/>
      <c r="N30" s="299"/>
      <c r="O30" s="299"/>
      <c r="P30" s="299"/>
      <c r="Q30" s="299"/>
      <c r="R30" s="300"/>
      <c r="S30" s="49"/>
    </row>
    <row r="31" spans="2:19" x14ac:dyDescent="0.2">
      <c r="B31" s="298"/>
      <c r="C31" s="299"/>
      <c r="D31" s="299"/>
      <c r="E31" s="299"/>
      <c r="F31" s="299"/>
      <c r="G31" s="299"/>
      <c r="H31" s="299"/>
      <c r="I31" s="299"/>
      <c r="J31" s="299"/>
      <c r="K31" s="299"/>
      <c r="L31" s="299"/>
      <c r="M31" s="299"/>
      <c r="N31" s="299"/>
      <c r="O31" s="299"/>
      <c r="P31" s="299"/>
      <c r="Q31" s="299"/>
      <c r="R31" s="300"/>
      <c r="S31" s="49"/>
    </row>
    <row r="32" spans="2:19" x14ac:dyDescent="0.2">
      <c r="B32" s="298"/>
      <c r="C32" s="299"/>
      <c r="D32" s="299"/>
      <c r="E32" s="299"/>
      <c r="F32" s="299"/>
      <c r="G32" s="299"/>
      <c r="H32" s="299"/>
      <c r="I32" s="299"/>
      <c r="J32" s="299"/>
      <c r="K32" s="299"/>
      <c r="L32" s="299"/>
      <c r="M32" s="299"/>
      <c r="N32" s="299"/>
      <c r="O32" s="299"/>
      <c r="P32" s="299"/>
      <c r="Q32" s="299"/>
      <c r="R32" s="300"/>
      <c r="S32" s="49"/>
    </row>
    <row r="33" spans="2:19" x14ac:dyDescent="0.2">
      <c r="B33" s="298"/>
      <c r="C33" s="299"/>
      <c r="D33" s="299"/>
      <c r="E33" s="299"/>
      <c r="F33" s="299"/>
      <c r="G33" s="299"/>
      <c r="H33" s="299"/>
      <c r="I33" s="299"/>
      <c r="J33" s="299"/>
      <c r="K33" s="299"/>
      <c r="L33" s="299"/>
      <c r="M33" s="299"/>
      <c r="N33" s="299"/>
      <c r="O33" s="299"/>
      <c r="P33" s="299"/>
      <c r="Q33" s="299"/>
      <c r="R33" s="300"/>
      <c r="S33" s="49"/>
    </row>
    <row r="34" spans="2:19" ht="15.75" thickBot="1" x14ac:dyDescent="0.25">
      <c r="B34" s="301"/>
      <c r="C34" s="302"/>
      <c r="D34" s="302"/>
      <c r="E34" s="302"/>
      <c r="F34" s="302"/>
      <c r="G34" s="302"/>
      <c r="H34" s="302"/>
      <c r="I34" s="302"/>
      <c r="J34" s="302"/>
      <c r="K34" s="302"/>
      <c r="L34" s="302"/>
      <c r="M34" s="302"/>
      <c r="N34" s="302"/>
      <c r="O34" s="302"/>
      <c r="P34" s="302"/>
      <c r="Q34" s="302"/>
      <c r="R34" s="303"/>
      <c r="S34" s="49"/>
    </row>
    <row r="35" spans="2:19" x14ac:dyDescent="0.2">
      <c r="S35" s="49"/>
    </row>
    <row r="36" spans="2:19" x14ac:dyDescent="0.2">
      <c r="C36" s="233"/>
      <c r="D36" s="232"/>
      <c r="S36" s="49"/>
    </row>
    <row r="37" spans="2:19" x14ac:dyDescent="0.2">
      <c r="C37" s="233"/>
      <c r="D37" s="232"/>
      <c r="S37" s="49"/>
    </row>
    <row r="38" spans="2:19" x14ac:dyDescent="0.2">
      <c r="C38" s="233"/>
      <c r="D38" s="232"/>
      <c r="S38" s="49"/>
    </row>
    <row r="39" spans="2:19" x14ac:dyDescent="0.2">
      <c r="C39" s="233"/>
      <c r="D39" s="232"/>
      <c r="S39" s="49"/>
    </row>
    <row r="40" spans="2:19" x14ac:dyDescent="0.2">
      <c r="C40" s="233"/>
      <c r="D40" s="232"/>
      <c r="S40" s="49"/>
    </row>
    <row r="41" spans="2:19" x14ac:dyDescent="0.2">
      <c r="C41" s="233"/>
      <c r="D41" s="232"/>
      <c r="S41" s="49"/>
    </row>
    <row r="42" spans="2:19" x14ac:dyDescent="0.2">
      <c r="C42" s="233"/>
      <c r="D42" s="23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13:D15">
    <sortCondition descending="1" ref="D13"/>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89" t="s">
        <v>173</v>
      </c>
      <c r="D3" s="289"/>
      <c r="E3" s="289"/>
      <c r="F3" s="289"/>
      <c r="G3" s="289"/>
      <c r="H3" s="289"/>
      <c r="I3" s="289"/>
      <c r="J3" s="289"/>
      <c r="K3" s="289"/>
      <c r="L3" s="289"/>
      <c r="M3" s="290"/>
    </row>
    <row r="4" spans="2:19" ht="15.75" x14ac:dyDescent="0.25">
      <c r="B4" s="93"/>
      <c r="C4" s="67" t="s">
        <v>387</v>
      </c>
      <c r="D4" s="29"/>
      <c r="E4" s="29"/>
      <c r="F4" s="5"/>
      <c r="G4" s="5"/>
      <c r="H4" s="5"/>
      <c r="I4" s="5"/>
      <c r="J4" s="5"/>
      <c r="K4" s="5"/>
      <c r="L4" s="5"/>
      <c r="M4" s="20"/>
    </row>
    <row r="5" spans="2:19" ht="20.25" customHeight="1" x14ac:dyDescent="0.25">
      <c r="B5" s="93"/>
      <c r="C5" s="220" t="s">
        <v>386</v>
      </c>
      <c r="D5" s="94" t="s">
        <v>412</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91" t="s">
        <v>50</v>
      </c>
      <c r="G7" s="291"/>
      <c r="H7" s="291"/>
      <c r="I7" s="291"/>
      <c r="J7" s="291"/>
      <c r="K7" s="291"/>
      <c r="L7" s="291"/>
      <c r="M7" s="292"/>
    </row>
    <row r="8" spans="2:19" x14ac:dyDescent="0.2">
      <c r="B8" s="93"/>
      <c r="C8" s="38" t="s">
        <v>175</v>
      </c>
      <c r="D8" s="198">
        <v>0.348578</v>
      </c>
      <c r="E8" s="5"/>
      <c r="F8" s="5"/>
      <c r="G8" s="31"/>
      <c r="H8" s="5"/>
      <c r="I8" s="5" t="s">
        <v>51</v>
      </c>
      <c r="J8" s="47">
        <f>D11</f>
        <v>0.74711800000000006</v>
      </c>
      <c r="K8" s="5"/>
      <c r="L8" s="5"/>
      <c r="M8" s="20"/>
      <c r="S8" s="49"/>
    </row>
    <row r="9" spans="2:19" ht="15.75" customHeight="1" x14ac:dyDescent="0.2">
      <c r="B9" s="93"/>
      <c r="C9" s="4" t="s">
        <v>174</v>
      </c>
      <c r="D9" s="181">
        <v>0.31807400000000002</v>
      </c>
      <c r="E9" s="5"/>
      <c r="F9" s="5"/>
      <c r="G9" s="5"/>
      <c r="H9" s="5"/>
      <c r="I9" s="5" t="s">
        <v>53</v>
      </c>
      <c r="J9" s="47">
        <f>D14</f>
        <v>0.238623</v>
      </c>
      <c r="K9" s="5"/>
      <c r="L9" s="5"/>
      <c r="M9" s="20"/>
      <c r="S9" s="49"/>
    </row>
    <row r="10" spans="2:19" x14ac:dyDescent="0.2">
      <c r="B10" s="93"/>
      <c r="C10" s="4" t="s">
        <v>178</v>
      </c>
      <c r="D10" s="181">
        <v>8.0465999999999996E-2</v>
      </c>
      <c r="E10" s="5"/>
      <c r="F10" s="5"/>
      <c r="G10" s="5"/>
      <c r="H10" s="5"/>
      <c r="I10" s="5" t="s">
        <v>20</v>
      </c>
      <c r="J10" s="47">
        <f>D16</f>
        <v>1.4259000000000001E-2</v>
      </c>
      <c r="K10" s="5"/>
      <c r="L10" s="5"/>
      <c r="M10" s="20"/>
      <c r="S10" s="49"/>
    </row>
    <row r="11" spans="2:19" ht="15.75" x14ac:dyDescent="0.25">
      <c r="B11" s="93"/>
      <c r="C11" s="7" t="s">
        <v>52</v>
      </c>
      <c r="D11" s="8">
        <f>SUM(D8:D10)</f>
        <v>0.74711800000000006</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177</v>
      </c>
      <c r="D13" s="181">
        <v>0.238623</v>
      </c>
      <c r="E13" s="5"/>
      <c r="F13" s="5"/>
      <c r="G13" s="5"/>
      <c r="H13" s="5"/>
      <c r="I13" s="5"/>
      <c r="J13" s="5"/>
      <c r="K13" s="5"/>
      <c r="L13" s="5"/>
      <c r="M13" s="20"/>
      <c r="S13" s="49"/>
    </row>
    <row r="14" spans="2:19" ht="15.75" x14ac:dyDescent="0.25">
      <c r="B14" s="93"/>
      <c r="C14" s="7" t="s">
        <v>19</v>
      </c>
      <c r="D14" s="8">
        <v>0.238623</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08">
        <v>1.4259000000000001E-2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93"/>
      <c r="D22" s="293"/>
      <c r="E22" s="293"/>
      <c r="F22" s="293"/>
      <c r="G22" s="293"/>
      <c r="H22" s="293"/>
      <c r="I22" s="293"/>
      <c r="J22" s="293"/>
      <c r="K22" s="293"/>
      <c r="L22" s="293"/>
      <c r="M22" s="294"/>
      <c r="S22" s="49"/>
    </row>
    <row r="23" spans="2:19" ht="15.75" thickBot="1" x14ac:dyDescent="0.25">
      <c r="S23" s="49"/>
    </row>
    <row r="24" spans="2:19" ht="15" customHeight="1" x14ac:dyDescent="0.2">
      <c r="B24" s="295" t="s">
        <v>181</v>
      </c>
      <c r="C24" s="296"/>
      <c r="D24" s="296"/>
      <c r="E24" s="296"/>
      <c r="F24" s="296"/>
      <c r="G24" s="296"/>
      <c r="H24" s="296"/>
      <c r="I24" s="296"/>
      <c r="J24" s="296"/>
      <c r="K24" s="296"/>
      <c r="L24" s="296"/>
      <c r="M24" s="296"/>
      <c r="N24" s="296"/>
      <c r="O24" s="296"/>
      <c r="P24" s="296"/>
      <c r="Q24" s="296"/>
      <c r="R24" s="297"/>
      <c r="S24" s="49"/>
    </row>
    <row r="25" spans="2:19" x14ac:dyDescent="0.2">
      <c r="B25" s="298"/>
      <c r="C25" s="299"/>
      <c r="D25" s="299"/>
      <c r="E25" s="299"/>
      <c r="F25" s="299"/>
      <c r="G25" s="299"/>
      <c r="H25" s="299"/>
      <c r="I25" s="299"/>
      <c r="J25" s="299"/>
      <c r="K25" s="299"/>
      <c r="L25" s="299"/>
      <c r="M25" s="299"/>
      <c r="N25" s="299"/>
      <c r="O25" s="299"/>
      <c r="P25" s="299"/>
      <c r="Q25" s="299"/>
      <c r="R25" s="300"/>
      <c r="S25" s="49"/>
    </row>
    <row r="26" spans="2:19" x14ac:dyDescent="0.2">
      <c r="B26" s="298"/>
      <c r="C26" s="299"/>
      <c r="D26" s="299"/>
      <c r="E26" s="299"/>
      <c r="F26" s="299"/>
      <c r="G26" s="299"/>
      <c r="H26" s="299"/>
      <c r="I26" s="299"/>
      <c r="J26" s="299"/>
      <c r="K26" s="299"/>
      <c r="L26" s="299"/>
      <c r="M26" s="299"/>
      <c r="N26" s="299"/>
      <c r="O26" s="299"/>
      <c r="P26" s="299"/>
      <c r="Q26" s="299"/>
      <c r="R26" s="300"/>
      <c r="S26" s="49"/>
    </row>
    <row r="27" spans="2:19" x14ac:dyDescent="0.2">
      <c r="B27" s="298"/>
      <c r="C27" s="299"/>
      <c r="D27" s="299"/>
      <c r="E27" s="299"/>
      <c r="F27" s="299"/>
      <c r="G27" s="299"/>
      <c r="H27" s="299"/>
      <c r="I27" s="299"/>
      <c r="J27" s="299"/>
      <c r="K27" s="299"/>
      <c r="L27" s="299"/>
      <c r="M27" s="299"/>
      <c r="N27" s="299"/>
      <c r="O27" s="299"/>
      <c r="P27" s="299"/>
      <c r="Q27" s="299"/>
      <c r="R27" s="300"/>
      <c r="S27" s="49"/>
    </row>
    <row r="28" spans="2:19" x14ac:dyDescent="0.2">
      <c r="B28" s="298"/>
      <c r="C28" s="299"/>
      <c r="D28" s="299"/>
      <c r="E28" s="299"/>
      <c r="F28" s="299"/>
      <c r="G28" s="299"/>
      <c r="H28" s="299"/>
      <c r="I28" s="299"/>
      <c r="J28" s="299"/>
      <c r="K28" s="299"/>
      <c r="L28" s="299"/>
      <c r="M28" s="299"/>
      <c r="N28" s="299"/>
      <c r="O28" s="299"/>
      <c r="P28" s="299"/>
      <c r="Q28" s="299"/>
      <c r="R28" s="300"/>
      <c r="S28" s="49"/>
    </row>
    <row r="29" spans="2:19" x14ac:dyDescent="0.2">
      <c r="B29" s="298"/>
      <c r="C29" s="299"/>
      <c r="D29" s="299"/>
      <c r="E29" s="299"/>
      <c r="F29" s="299"/>
      <c r="G29" s="299"/>
      <c r="H29" s="299"/>
      <c r="I29" s="299"/>
      <c r="J29" s="299"/>
      <c r="K29" s="299"/>
      <c r="L29" s="299"/>
      <c r="M29" s="299"/>
      <c r="N29" s="299"/>
      <c r="O29" s="299"/>
      <c r="P29" s="299"/>
      <c r="Q29" s="299"/>
      <c r="R29" s="300"/>
      <c r="S29" s="49"/>
    </row>
    <row r="30" spans="2:19" ht="15.75" thickBot="1" x14ac:dyDescent="0.25">
      <c r="B30" s="301"/>
      <c r="C30" s="302"/>
      <c r="D30" s="302"/>
      <c r="E30" s="302"/>
      <c r="F30" s="302"/>
      <c r="G30" s="302"/>
      <c r="H30" s="302"/>
      <c r="I30" s="302"/>
      <c r="J30" s="302"/>
      <c r="K30" s="302"/>
      <c r="L30" s="302"/>
      <c r="M30" s="302"/>
      <c r="N30" s="302"/>
      <c r="O30" s="302"/>
      <c r="P30" s="302"/>
      <c r="Q30" s="302"/>
      <c r="R30" s="303"/>
      <c r="S30" s="49"/>
    </row>
    <row r="31" spans="2:19" x14ac:dyDescent="0.2">
      <c r="S31" s="49"/>
    </row>
    <row r="32" spans="2:19" x14ac:dyDescent="0.2">
      <c r="C32" s="233"/>
      <c r="D32" s="232"/>
      <c r="S32" s="49"/>
    </row>
    <row r="33" spans="3:19" x14ac:dyDescent="0.2">
      <c r="C33" s="233"/>
      <c r="D33" s="232"/>
      <c r="S33" s="49"/>
    </row>
    <row r="34" spans="3:19" x14ac:dyDescent="0.2">
      <c r="C34" s="233"/>
      <c r="D34" s="232"/>
      <c r="S34" s="49"/>
    </row>
    <row r="35" spans="3:19" x14ac:dyDescent="0.2">
      <c r="C35" s="233"/>
      <c r="D35" s="232"/>
      <c r="S35" s="49"/>
    </row>
    <row r="36" spans="3:19" x14ac:dyDescent="0.2">
      <c r="C36" s="233"/>
      <c r="D36" s="232"/>
      <c r="S36" s="49"/>
    </row>
    <row r="37" spans="3:19" x14ac:dyDescent="0.2">
      <c r="D37" s="248"/>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8655-27A9-4473-A30D-64FB2AEF8F36}">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60"/>
      <c r="C2" s="261"/>
      <c r="D2" s="261"/>
      <c r="E2" s="261"/>
      <c r="F2" s="261"/>
      <c r="G2" s="261"/>
      <c r="H2" s="261"/>
      <c r="I2" s="261"/>
      <c r="J2" s="261"/>
      <c r="K2" s="261"/>
      <c r="L2" s="261"/>
      <c r="M2" s="261"/>
      <c r="N2" s="262"/>
    </row>
    <row r="3" spans="2:14" ht="20.25" customHeight="1" x14ac:dyDescent="0.25">
      <c r="B3" s="263"/>
      <c r="C3" s="327" t="s">
        <v>433</v>
      </c>
      <c r="D3" s="328"/>
      <c r="E3" s="328"/>
      <c r="F3" s="328"/>
      <c r="G3" s="328"/>
      <c r="H3" s="328"/>
      <c r="I3" s="328"/>
      <c r="J3" s="328"/>
      <c r="K3" s="328"/>
      <c r="L3" s="328"/>
      <c r="M3" s="328"/>
      <c r="N3" s="329"/>
    </row>
    <row r="4" spans="2:14" ht="15.75" customHeight="1" x14ac:dyDescent="0.25">
      <c r="B4" s="263"/>
      <c r="C4" s="67" t="s">
        <v>387</v>
      </c>
      <c r="D4" s="264"/>
      <c r="E4" s="264"/>
      <c r="F4" s="264"/>
      <c r="G4" s="264"/>
      <c r="H4" s="264"/>
      <c r="I4" s="264"/>
      <c r="J4" s="264"/>
      <c r="K4" s="264"/>
      <c r="L4" s="264"/>
      <c r="M4" s="264"/>
      <c r="N4" s="265"/>
    </row>
    <row r="5" spans="2:14" ht="18" customHeight="1" x14ac:dyDescent="0.25">
      <c r="B5" s="263"/>
      <c r="C5" s="220" t="s">
        <v>414</v>
      </c>
      <c r="D5" s="330" t="s">
        <v>413</v>
      </c>
      <c r="E5" s="331"/>
      <c r="F5" s="264"/>
      <c r="G5" s="264"/>
      <c r="H5" s="264"/>
      <c r="I5" s="264"/>
      <c r="J5" s="264"/>
      <c r="K5" s="264"/>
      <c r="L5" s="264"/>
      <c r="M5" s="264"/>
      <c r="N5" s="265"/>
    </row>
    <row r="6" spans="2:14" ht="15" customHeight="1" x14ac:dyDescent="0.25">
      <c r="B6" s="263"/>
      <c r="C6" s="264"/>
      <c r="D6" s="264"/>
      <c r="E6" s="264"/>
      <c r="F6" s="264"/>
      <c r="G6" s="264"/>
      <c r="H6" s="264"/>
      <c r="I6" s="264"/>
      <c r="J6" s="264"/>
      <c r="K6" s="264"/>
      <c r="L6" s="264"/>
      <c r="M6" s="264"/>
      <c r="N6" s="265"/>
    </row>
    <row r="7" spans="2:14" ht="32.25" customHeight="1" x14ac:dyDescent="0.25">
      <c r="B7" s="263"/>
      <c r="C7" s="266" t="s">
        <v>43</v>
      </c>
      <c r="D7" s="267" t="s">
        <v>364</v>
      </c>
      <c r="E7" s="268" t="s">
        <v>45</v>
      </c>
      <c r="F7" s="264"/>
      <c r="G7" s="332" t="s">
        <v>46</v>
      </c>
      <c r="H7" s="333"/>
      <c r="I7" s="333"/>
      <c r="J7" s="333"/>
      <c r="K7" s="333"/>
      <c r="L7" s="333"/>
      <c r="M7" s="333"/>
      <c r="N7" s="334"/>
    </row>
    <row r="8" spans="2:14" ht="15" customHeight="1" x14ac:dyDescent="0.25">
      <c r="B8" s="263"/>
      <c r="C8" s="269" t="s">
        <v>175</v>
      </c>
      <c r="D8" s="270"/>
      <c r="E8" s="271">
        <v>0.36638599999999999</v>
      </c>
      <c r="F8" s="264"/>
      <c r="G8" s="272" t="s">
        <v>365</v>
      </c>
      <c r="H8" s="273">
        <v>1</v>
      </c>
      <c r="I8" s="264"/>
      <c r="J8" s="272" t="s">
        <v>0</v>
      </c>
      <c r="K8" s="272" t="s">
        <v>45</v>
      </c>
      <c r="L8" s="264"/>
      <c r="M8" s="264"/>
      <c r="N8" s="265"/>
    </row>
    <row r="9" spans="2:14" ht="15" customHeight="1" x14ac:dyDescent="0.25">
      <c r="B9" s="263"/>
      <c r="C9" s="269" t="s">
        <v>366</v>
      </c>
      <c r="D9" s="270"/>
      <c r="E9" s="271">
        <v>0.62948099999999996</v>
      </c>
      <c r="F9" s="264"/>
      <c r="G9" s="264"/>
      <c r="H9" s="264"/>
      <c r="I9" s="264"/>
      <c r="J9" s="272" t="s">
        <v>20</v>
      </c>
      <c r="K9" s="274">
        <v>-6.9700000000000003E-4</v>
      </c>
      <c r="L9" s="264"/>
      <c r="M9" s="264"/>
      <c r="N9" s="265"/>
    </row>
    <row r="10" spans="2:14" ht="15" customHeight="1" x14ac:dyDescent="0.25">
      <c r="B10" s="263"/>
      <c r="C10" s="275" t="s">
        <v>368</v>
      </c>
      <c r="D10" s="276"/>
      <c r="E10" s="277">
        <v>0.99586699999999995</v>
      </c>
      <c r="F10" s="264"/>
      <c r="G10" s="264"/>
      <c r="H10" s="264"/>
      <c r="I10" s="264"/>
      <c r="J10" s="272" t="s">
        <v>367</v>
      </c>
      <c r="K10" s="274">
        <v>7.9120000000000006E-3</v>
      </c>
      <c r="L10" s="264"/>
      <c r="M10" s="264"/>
      <c r="N10" s="265"/>
    </row>
    <row r="11" spans="2:14" ht="15" customHeight="1" x14ac:dyDescent="0.25">
      <c r="B11" s="263"/>
      <c r="C11" s="269" t="s">
        <v>100</v>
      </c>
      <c r="D11" s="270"/>
      <c r="E11" s="271">
        <v>4.6550000000000003E-3</v>
      </c>
      <c r="F11" s="264"/>
      <c r="G11" s="264"/>
      <c r="H11" s="264"/>
      <c r="I11" s="264"/>
      <c r="J11" s="272" t="s">
        <v>216</v>
      </c>
      <c r="K11" s="274">
        <v>0.99278500000000003</v>
      </c>
      <c r="L11" s="264"/>
      <c r="M11" s="264"/>
      <c r="N11" s="265"/>
    </row>
    <row r="12" spans="2:14" ht="15.75" customHeight="1" x14ac:dyDescent="0.25">
      <c r="B12" s="263"/>
      <c r="C12" s="275" t="s">
        <v>101</v>
      </c>
      <c r="D12" s="276"/>
      <c r="E12" s="277">
        <v>4.6550000000000003E-3</v>
      </c>
      <c r="F12" s="264"/>
      <c r="G12" s="264"/>
      <c r="H12" s="264"/>
      <c r="I12" s="264"/>
      <c r="J12" s="264"/>
      <c r="K12" s="264"/>
      <c r="L12" s="264"/>
      <c r="M12" s="264"/>
      <c r="N12" s="265"/>
    </row>
    <row r="13" spans="2:14" ht="15" customHeight="1" x14ac:dyDescent="0.25">
      <c r="B13" s="263"/>
      <c r="C13" s="269"/>
      <c r="D13" s="270"/>
      <c r="E13" s="271"/>
      <c r="F13" s="264"/>
      <c r="G13" s="264"/>
      <c r="H13" s="264"/>
      <c r="I13" s="264"/>
      <c r="J13" s="264"/>
      <c r="K13" s="264"/>
      <c r="L13" s="264"/>
      <c r="M13" s="264"/>
      <c r="N13" s="265"/>
    </row>
    <row r="14" spans="2:14" ht="15.75" customHeight="1" x14ac:dyDescent="0.25">
      <c r="B14" s="263"/>
      <c r="C14" s="275" t="s">
        <v>20</v>
      </c>
      <c r="D14" s="276"/>
      <c r="E14" s="277">
        <v>-5.22E-4</v>
      </c>
      <c r="F14" s="264"/>
      <c r="G14" s="264"/>
      <c r="H14" s="264"/>
      <c r="I14" s="264"/>
      <c r="J14" s="264"/>
      <c r="K14" s="264"/>
      <c r="L14" s="264"/>
      <c r="M14" s="264"/>
      <c r="N14" s="265"/>
    </row>
    <row r="15" spans="2:14" ht="15" customHeight="1" x14ac:dyDescent="0.25">
      <c r="B15" s="263"/>
      <c r="C15" s="269"/>
      <c r="D15" s="270"/>
      <c r="E15" s="271"/>
      <c r="F15" s="264"/>
      <c r="G15" s="264"/>
      <c r="H15" s="264"/>
      <c r="I15" s="264"/>
      <c r="J15" s="264"/>
      <c r="K15" s="264"/>
      <c r="L15" s="264"/>
      <c r="M15" s="264"/>
      <c r="N15" s="265"/>
    </row>
    <row r="16" spans="2:14" ht="15.75" customHeight="1" x14ac:dyDescent="0.25">
      <c r="B16" s="263"/>
      <c r="C16" s="278" t="s">
        <v>21</v>
      </c>
      <c r="D16" s="279"/>
      <c r="E16" s="280">
        <v>1</v>
      </c>
      <c r="F16" s="264"/>
      <c r="G16" s="264"/>
      <c r="H16" s="264"/>
      <c r="I16" s="264"/>
      <c r="J16" s="264"/>
      <c r="K16" s="264"/>
      <c r="L16" s="264"/>
      <c r="M16" s="264"/>
      <c r="N16" s="265"/>
    </row>
    <row r="17" spans="2:14" ht="15" customHeight="1" x14ac:dyDescent="0.25">
      <c r="B17" s="263"/>
      <c r="F17" s="264"/>
      <c r="G17" s="264"/>
      <c r="H17" s="264"/>
      <c r="I17" s="264"/>
      <c r="J17" s="264"/>
      <c r="K17" s="264"/>
      <c r="L17" s="264"/>
      <c r="M17" s="264"/>
      <c r="N17" s="265"/>
    </row>
    <row r="18" spans="2:14" ht="15" customHeight="1" x14ac:dyDescent="0.25">
      <c r="B18" s="263"/>
      <c r="F18" s="264"/>
      <c r="G18" s="264"/>
      <c r="H18" s="264"/>
      <c r="I18" s="264"/>
      <c r="J18" s="264"/>
      <c r="K18" s="264"/>
      <c r="L18" s="264"/>
      <c r="M18" s="264"/>
      <c r="N18" s="265"/>
    </row>
    <row r="19" spans="2:14" ht="15" customHeight="1" x14ac:dyDescent="0.25">
      <c r="B19" s="263"/>
      <c r="C19" s="264"/>
      <c r="D19" s="264"/>
      <c r="E19" s="264"/>
      <c r="F19" s="264"/>
      <c r="G19" s="264"/>
      <c r="H19" s="264"/>
      <c r="I19" s="264"/>
      <c r="J19" s="264"/>
      <c r="K19" s="264"/>
      <c r="L19" s="264"/>
      <c r="M19" s="264"/>
      <c r="N19" s="265"/>
    </row>
    <row r="20" spans="2:14" ht="15" customHeight="1" x14ac:dyDescent="0.25">
      <c r="B20" s="263"/>
      <c r="C20" s="264"/>
      <c r="D20" s="264"/>
      <c r="E20" s="264"/>
      <c r="F20" s="264"/>
      <c r="G20" s="264"/>
      <c r="H20" s="264"/>
      <c r="I20" s="264"/>
      <c r="J20" s="264"/>
      <c r="K20" s="264"/>
      <c r="L20" s="264"/>
      <c r="M20" s="264"/>
      <c r="N20" s="265"/>
    </row>
    <row r="21" spans="2:14" ht="15" customHeight="1" x14ac:dyDescent="0.25">
      <c r="B21" s="263"/>
      <c r="C21" s="264"/>
      <c r="D21" s="264"/>
      <c r="E21" s="264"/>
      <c r="F21" s="264"/>
      <c r="G21" s="264"/>
      <c r="H21" s="264"/>
      <c r="I21" s="264"/>
      <c r="J21" s="264"/>
      <c r="K21" s="264"/>
      <c r="L21" s="264"/>
      <c r="M21" s="264"/>
      <c r="N21" s="265"/>
    </row>
    <row r="22" spans="2:14" ht="15" customHeight="1" x14ac:dyDescent="0.25">
      <c r="B22" s="263"/>
      <c r="C22" s="264"/>
      <c r="D22" s="264"/>
      <c r="E22" s="264"/>
      <c r="F22" s="264"/>
      <c r="G22" s="264"/>
      <c r="H22" s="264"/>
      <c r="I22" s="264"/>
      <c r="J22" s="264"/>
      <c r="K22" s="264"/>
      <c r="L22" s="264"/>
      <c r="M22" s="264"/>
      <c r="N22" s="265"/>
    </row>
    <row r="23" spans="2:14" ht="15" customHeight="1" x14ac:dyDescent="0.25">
      <c r="B23" s="263"/>
      <c r="C23" s="264"/>
      <c r="D23" s="264"/>
      <c r="E23" s="264"/>
      <c r="F23" s="264"/>
      <c r="G23" s="264"/>
      <c r="H23" s="264"/>
      <c r="I23" s="264"/>
      <c r="J23" s="264"/>
      <c r="K23" s="264"/>
      <c r="L23" s="264"/>
      <c r="M23" s="264"/>
      <c r="N23" s="265"/>
    </row>
    <row r="24" spans="2:14" ht="15" customHeight="1" x14ac:dyDescent="0.25">
      <c r="B24" s="263"/>
      <c r="C24" s="264"/>
      <c r="D24" s="264"/>
      <c r="E24" s="264"/>
      <c r="F24" s="264"/>
      <c r="G24" s="332" t="s">
        <v>99</v>
      </c>
      <c r="H24" s="333"/>
      <c r="I24" s="333"/>
      <c r="J24" s="333"/>
      <c r="K24" s="333"/>
      <c r="L24" s="281">
        <v>7.3521416564185174</v>
      </c>
      <c r="M24" s="282"/>
      <c r="N24" s="283"/>
    </row>
    <row r="25" spans="2:14" ht="15" customHeight="1" x14ac:dyDescent="0.25">
      <c r="B25" s="263"/>
      <c r="C25" s="264"/>
      <c r="D25" s="264"/>
      <c r="E25" s="264"/>
      <c r="F25" s="264"/>
      <c r="G25" s="264"/>
      <c r="H25" s="264"/>
      <c r="I25" s="264"/>
      <c r="J25" s="264"/>
      <c r="K25" s="264"/>
      <c r="L25" s="264"/>
      <c r="M25" s="264"/>
      <c r="N25" s="265"/>
    </row>
    <row r="26" spans="2:14" ht="15" customHeight="1" x14ac:dyDescent="0.25">
      <c r="B26" s="263"/>
      <c r="C26" s="264"/>
      <c r="D26" s="264"/>
      <c r="E26" s="264"/>
      <c r="F26" s="264"/>
      <c r="G26" s="332" t="s">
        <v>50</v>
      </c>
      <c r="H26" s="333"/>
      <c r="I26" s="333"/>
      <c r="J26" s="333"/>
      <c r="K26" s="333"/>
      <c r="L26" s="333"/>
      <c r="M26" s="333"/>
      <c r="N26" s="334"/>
    </row>
    <row r="27" spans="2:14" ht="15" customHeight="1" x14ac:dyDescent="0.25">
      <c r="B27" s="263"/>
      <c r="C27" s="264"/>
      <c r="D27" s="264"/>
      <c r="E27" s="264"/>
      <c r="F27" s="264"/>
      <c r="G27" s="264"/>
      <c r="H27" s="264"/>
      <c r="I27" s="264"/>
      <c r="J27" s="264"/>
      <c r="K27" s="264"/>
      <c r="L27" s="264"/>
      <c r="M27" s="264"/>
      <c r="N27" s="265"/>
    </row>
    <row r="28" spans="2:14" ht="15" customHeight="1" x14ac:dyDescent="0.25">
      <c r="B28" s="263"/>
      <c r="C28" s="264"/>
      <c r="D28" s="264"/>
      <c r="E28" s="264"/>
      <c r="F28" s="264"/>
      <c r="G28" s="264"/>
      <c r="H28" s="264"/>
      <c r="I28" s="264"/>
      <c r="J28" s="264"/>
      <c r="K28" s="264"/>
      <c r="L28" s="264"/>
      <c r="M28" s="264"/>
      <c r="N28" s="265"/>
    </row>
    <row r="29" spans="2:14" ht="15" customHeight="1" x14ac:dyDescent="0.25">
      <c r="B29" s="263"/>
      <c r="C29" s="264"/>
      <c r="D29" s="264"/>
      <c r="E29" s="264"/>
      <c r="F29" s="264"/>
      <c r="G29" s="264"/>
      <c r="H29" s="264"/>
      <c r="I29" s="264"/>
      <c r="J29" s="264"/>
      <c r="K29" s="264"/>
      <c r="L29" s="264"/>
      <c r="M29" s="264"/>
      <c r="N29" s="265"/>
    </row>
    <row r="30" spans="2:14" ht="15" customHeight="1" x14ac:dyDescent="0.25">
      <c r="B30" s="263"/>
      <c r="C30" s="264"/>
      <c r="D30" s="264"/>
      <c r="E30" s="264"/>
      <c r="F30" s="264"/>
      <c r="G30" s="264"/>
      <c r="H30" s="264"/>
      <c r="I30" s="264"/>
      <c r="J30" s="264"/>
      <c r="K30" s="264"/>
      <c r="L30" s="264"/>
      <c r="M30" s="264"/>
      <c r="N30" s="265"/>
    </row>
    <row r="31" spans="2:14" ht="15" customHeight="1" x14ac:dyDescent="0.25">
      <c r="B31" s="263"/>
      <c r="C31" s="264"/>
      <c r="D31" s="264"/>
      <c r="E31" s="264"/>
      <c r="F31" s="264"/>
      <c r="G31" s="264"/>
      <c r="H31" s="264"/>
      <c r="I31" s="264"/>
      <c r="J31" s="264"/>
      <c r="K31" s="264"/>
      <c r="L31" s="264"/>
      <c r="M31" s="264"/>
      <c r="N31" s="265"/>
    </row>
    <row r="32" spans="2:14" ht="15" customHeight="1" x14ac:dyDescent="0.25">
      <c r="B32" s="263"/>
      <c r="C32" s="264"/>
      <c r="D32" s="264"/>
      <c r="E32" s="264"/>
      <c r="F32" s="264"/>
      <c r="G32" s="264"/>
      <c r="H32" s="264"/>
      <c r="I32" s="264"/>
      <c r="J32" s="264"/>
      <c r="K32" s="264"/>
      <c r="L32" s="264"/>
      <c r="M32" s="264"/>
      <c r="N32" s="265"/>
    </row>
    <row r="33" spans="2:14" ht="15" customHeight="1" x14ac:dyDescent="0.25">
      <c r="B33" s="263"/>
      <c r="C33" s="264"/>
      <c r="D33" s="264"/>
      <c r="E33" s="264"/>
      <c r="F33" s="264"/>
      <c r="G33" s="264"/>
      <c r="H33" s="264"/>
      <c r="I33" s="264"/>
      <c r="J33" s="264"/>
      <c r="K33" s="264"/>
      <c r="L33" s="264"/>
      <c r="M33" s="264"/>
      <c r="N33" s="265"/>
    </row>
    <row r="34" spans="2:14" ht="15" customHeight="1" x14ac:dyDescent="0.25">
      <c r="B34" s="263"/>
      <c r="C34" s="264"/>
      <c r="D34" s="264"/>
      <c r="E34" s="264"/>
      <c r="F34" s="264"/>
      <c r="G34" s="264"/>
      <c r="H34" s="264"/>
      <c r="I34" s="264"/>
      <c r="J34" s="264"/>
      <c r="K34" s="264"/>
      <c r="L34" s="264"/>
      <c r="M34" s="264"/>
      <c r="N34" s="265"/>
    </row>
    <row r="35" spans="2:14" ht="15" customHeight="1" x14ac:dyDescent="0.25">
      <c r="B35" s="263"/>
      <c r="C35" s="264"/>
      <c r="D35" s="264"/>
      <c r="E35" s="264"/>
      <c r="F35" s="264"/>
      <c r="G35" s="264"/>
      <c r="H35" s="264"/>
      <c r="I35" s="264"/>
      <c r="J35" s="264"/>
      <c r="K35" s="264"/>
      <c r="L35" s="264"/>
      <c r="M35" s="264"/>
      <c r="N35" s="265"/>
    </row>
    <row r="36" spans="2:14" ht="15" customHeight="1" x14ac:dyDescent="0.25">
      <c r="B36" s="263"/>
      <c r="C36" s="264"/>
      <c r="D36" s="264"/>
      <c r="E36" s="264"/>
      <c r="F36" s="264"/>
      <c r="G36" s="264"/>
      <c r="H36" s="264"/>
      <c r="I36" s="264"/>
      <c r="J36" s="264"/>
      <c r="K36" s="264"/>
      <c r="L36" s="264"/>
      <c r="M36" s="264"/>
      <c r="N36" s="265"/>
    </row>
    <row r="37" spans="2:14" ht="15" customHeight="1" x14ac:dyDescent="0.25">
      <c r="B37" s="263"/>
      <c r="C37" s="264"/>
      <c r="D37" s="264"/>
      <c r="E37" s="264"/>
      <c r="F37" s="264"/>
      <c r="G37" s="264"/>
      <c r="H37" s="264"/>
      <c r="I37" s="264"/>
      <c r="J37" s="264"/>
      <c r="K37" s="264"/>
      <c r="L37" s="264"/>
      <c r="M37" s="264"/>
      <c r="N37" s="265"/>
    </row>
    <row r="38" spans="2:14" ht="15" customHeight="1" x14ac:dyDescent="0.25">
      <c r="B38" s="263"/>
      <c r="C38" s="264"/>
      <c r="D38" s="264"/>
      <c r="E38" s="264"/>
      <c r="F38" s="264"/>
      <c r="G38" s="264"/>
      <c r="H38" s="264"/>
      <c r="I38" s="264"/>
      <c r="J38" s="264"/>
      <c r="K38" s="264"/>
      <c r="L38" s="264"/>
      <c r="M38" s="264"/>
      <c r="N38" s="265"/>
    </row>
    <row r="39" spans="2:14" ht="15" customHeight="1" x14ac:dyDescent="0.25">
      <c r="B39" s="263"/>
      <c r="C39" s="264"/>
      <c r="D39" s="264"/>
      <c r="E39" s="264"/>
      <c r="F39" s="264"/>
      <c r="G39" s="264"/>
      <c r="H39" s="264"/>
      <c r="I39" s="264"/>
      <c r="J39" s="264"/>
      <c r="K39" s="264"/>
      <c r="L39" s="264"/>
      <c r="M39" s="264"/>
      <c r="N39" s="265"/>
    </row>
    <row r="40" spans="2:14" ht="15" customHeight="1" x14ac:dyDescent="0.25">
      <c r="B40" s="263"/>
      <c r="C40" s="264"/>
      <c r="D40" s="264"/>
      <c r="E40" s="264"/>
      <c r="F40" s="264"/>
      <c r="G40" s="264"/>
      <c r="H40" s="264"/>
      <c r="I40" s="264"/>
      <c r="J40" s="264"/>
      <c r="K40" s="264"/>
      <c r="L40" s="264"/>
      <c r="M40" s="264"/>
      <c r="N40" s="265"/>
    </row>
    <row r="41" spans="2:14" ht="15" customHeight="1" x14ac:dyDescent="0.25">
      <c r="B41" s="263"/>
      <c r="C41" s="264"/>
      <c r="D41" s="264"/>
      <c r="E41" s="264"/>
      <c r="F41" s="264"/>
      <c r="G41" s="264"/>
      <c r="H41" s="264"/>
      <c r="I41" s="264"/>
      <c r="J41" s="264"/>
      <c r="K41" s="264"/>
      <c r="L41" s="264"/>
      <c r="M41" s="264"/>
      <c r="N41" s="265"/>
    </row>
    <row r="42" spans="2:14" ht="15" customHeight="1" x14ac:dyDescent="0.25">
      <c r="B42" s="263"/>
      <c r="C42" s="264"/>
      <c r="D42" s="264"/>
      <c r="E42" s="264"/>
      <c r="F42" s="264"/>
      <c r="G42" s="264"/>
      <c r="H42" s="264"/>
      <c r="I42" s="264"/>
      <c r="J42" s="264"/>
      <c r="K42" s="264"/>
      <c r="L42" s="264"/>
      <c r="M42" s="264"/>
      <c r="N42" s="265"/>
    </row>
    <row r="43" spans="2:14" ht="15.75" thickBot="1" x14ac:dyDescent="0.3">
      <c r="B43" s="284"/>
      <c r="C43" s="285"/>
      <c r="D43" s="285"/>
      <c r="E43" s="285"/>
      <c r="F43" s="285"/>
      <c r="G43" s="285"/>
      <c r="H43" s="285"/>
      <c r="I43" s="285"/>
      <c r="J43" s="285"/>
      <c r="K43" s="285"/>
      <c r="L43" s="285"/>
      <c r="M43" s="285"/>
      <c r="N43" s="286"/>
    </row>
    <row r="44" spans="2:14" ht="15.75" thickBot="1" x14ac:dyDescent="0.3"/>
    <row r="45" spans="2:14" ht="128.25" customHeight="1" thickBot="1" x14ac:dyDescent="0.3">
      <c r="B45" s="324" t="s">
        <v>369</v>
      </c>
      <c r="C45" s="325"/>
      <c r="D45" s="325"/>
      <c r="E45" s="325"/>
      <c r="F45" s="325"/>
      <c r="G45" s="325"/>
      <c r="H45" s="325"/>
      <c r="I45" s="325"/>
      <c r="J45" s="325"/>
      <c r="K45" s="325"/>
      <c r="L45" s="325"/>
      <c r="M45" s="325"/>
      <c r="N45" s="32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155</v>
      </c>
      <c r="D3" s="304"/>
      <c r="E3" s="304"/>
      <c r="F3" s="304"/>
      <c r="G3" s="304"/>
      <c r="H3" s="304"/>
      <c r="I3" s="304"/>
      <c r="J3" s="304"/>
      <c r="K3" s="304"/>
      <c r="L3" s="304"/>
      <c r="M3" s="304"/>
      <c r="N3" s="304"/>
      <c r="O3" s="304"/>
      <c r="P3" s="304"/>
      <c r="Q3" s="304"/>
      <c r="R3" s="304"/>
      <c r="S3" s="304"/>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6" t="s">
        <v>415</v>
      </c>
      <c r="E5" s="306"/>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0.12223100000000001</v>
      </c>
      <c r="F8" s="29"/>
      <c r="G8" s="29"/>
      <c r="H8" s="29"/>
      <c r="I8" s="29"/>
      <c r="J8" s="29"/>
      <c r="K8" s="29"/>
      <c r="L8" s="29"/>
      <c r="M8" s="29"/>
      <c r="N8" s="29"/>
      <c r="O8" s="29"/>
      <c r="P8" s="29"/>
      <c r="Q8" s="29"/>
      <c r="R8" s="29"/>
      <c r="S8" s="29"/>
      <c r="T8" s="22"/>
      <c r="W8" s="173" t="s">
        <v>3</v>
      </c>
      <c r="X8" s="174">
        <v>0.29324100000000003</v>
      </c>
    </row>
    <row r="9" spans="1:24" ht="15.75" customHeight="1" x14ac:dyDescent="0.25">
      <c r="B9" s="79"/>
      <c r="C9" s="187" t="s">
        <v>32</v>
      </c>
      <c r="D9" s="195" t="s">
        <v>3</v>
      </c>
      <c r="E9" s="196">
        <v>8.3643999999999996E-2</v>
      </c>
      <c r="F9" s="29"/>
      <c r="G9" s="29"/>
      <c r="H9" s="29"/>
      <c r="I9" s="29"/>
      <c r="J9" s="29"/>
      <c r="K9" s="29"/>
      <c r="L9" s="29"/>
      <c r="M9" s="29"/>
      <c r="N9" s="29"/>
      <c r="O9" s="29"/>
      <c r="P9" s="29"/>
      <c r="Q9" s="29"/>
      <c r="R9" s="29"/>
      <c r="S9" s="29"/>
      <c r="T9" s="22"/>
      <c r="W9" s="173" t="s">
        <v>106</v>
      </c>
      <c r="X9" s="174">
        <v>0.13953700000000002</v>
      </c>
    </row>
    <row r="10" spans="1:24" ht="15.75" x14ac:dyDescent="0.25">
      <c r="B10" s="79"/>
      <c r="C10" s="187" t="s">
        <v>31</v>
      </c>
      <c r="D10" s="195" t="s">
        <v>6</v>
      </c>
      <c r="E10" s="196">
        <v>8.1262000000000001E-2</v>
      </c>
      <c r="F10" s="29"/>
      <c r="G10" s="29"/>
      <c r="H10" s="29"/>
      <c r="I10" s="29"/>
      <c r="J10" s="29"/>
      <c r="K10" s="29"/>
      <c r="L10" s="29"/>
      <c r="M10" s="29"/>
      <c r="N10" s="29"/>
      <c r="O10" s="29"/>
      <c r="P10" s="29"/>
      <c r="Q10" s="29"/>
      <c r="R10" s="29"/>
      <c r="S10" s="29"/>
      <c r="T10" s="22"/>
      <c r="W10" s="173" t="s">
        <v>6</v>
      </c>
      <c r="X10" s="174">
        <v>8.6043999999999995E-2</v>
      </c>
    </row>
    <row r="11" spans="1:24" ht="15.75" customHeight="1" x14ac:dyDescent="0.25">
      <c r="B11" s="79"/>
      <c r="C11" s="187" t="s">
        <v>28</v>
      </c>
      <c r="D11" s="195" t="s">
        <v>106</v>
      </c>
      <c r="E11" s="196">
        <v>6.4072000000000004E-2</v>
      </c>
      <c r="F11" s="29"/>
      <c r="G11" s="29"/>
      <c r="H11" s="29"/>
      <c r="I11" s="29"/>
      <c r="J11" s="29"/>
      <c r="K11" s="29"/>
      <c r="L11" s="29"/>
      <c r="M11" s="29"/>
      <c r="N11" s="29"/>
      <c r="O11" s="29"/>
      <c r="P11" s="29"/>
      <c r="Q11" s="29"/>
      <c r="R11" s="29"/>
      <c r="S11" s="29"/>
      <c r="T11" s="22"/>
      <c r="W11" s="173" t="s">
        <v>111</v>
      </c>
      <c r="X11" s="174">
        <v>7.5954999999999995E-2</v>
      </c>
    </row>
    <row r="12" spans="1:24" ht="15" customHeight="1" x14ac:dyDescent="0.25">
      <c r="B12" s="79"/>
      <c r="C12" s="187" t="s">
        <v>70</v>
      </c>
      <c r="D12" s="195" t="s">
        <v>12</v>
      </c>
      <c r="E12" s="196">
        <v>4.1272000000000003E-2</v>
      </c>
      <c r="F12" s="29"/>
      <c r="G12" s="29"/>
      <c r="H12" s="29"/>
      <c r="I12" s="29"/>
      <c r="J12" s="29"/>
      <c r="K12" s="29"/>
      <c r="L12" s="29"/>
      <c r="M12" s="29"/>
      <c r="N12" s="29"/>
      <c r="O12" s="29"/>
      <c r="P12" s="29"/>
      <c r="Q12" s="29"/>
      <c r="R12" s="29"/>
      <c r="S12" s="29"/>
      <c r="T12" s="22"/>
      <c r="W12" s="173" t="s">
        <v>116</v>
      </c>
      <c r="X12" s="174">
        <v>6.0106E-2</v>
      </c>
    </row>
    <row r="13" spans="1:24" ht="15" customHeight="1" x14ac:dyDescent="0.25">
      <c r="B13" s="79"/>
      <c r="C13" s="187" t="s">
        <v>33</v>
      </c>
      <c r="D13" s="195" t="s">
        <v>106</v>
      </c>
      <c r="E13" s="196">
        <v>3.9766999999999997E-2</v>
      </c>
      <c r="F13" s="29"/>
      <c r="G13" s="29"/>
      <c r="H13" s="29"/>
      <c r="I13" s="29"/>
      <c r="J13" s="29"/>
      <c r="K13" s="29"/>
      <c r="L13" s="29"/>
      <c r="M13" s="29"/>
      <c r="N13" s="29"/>
      <c r="O13" s="29"/>
      <c r="P13" s="29"/>
      <c r="Q13" s="29"/>
      <c r="R13" s="29"/>
      <c r="S13" s="29"/>
      <c r="T13" s="22"/>
      <c r="W13" s="173" t="s">
        <v>12</v>
      </c>
      <c r="X13" s="174">
        <v>4.1272000000000003E-2</v>
      </c>
    </row>
    <row r="14" spans="1:24" ht="15" customHeight="1" x14ac:dyDescent="0.25">
      <c r="B14" s="79"/>
      <c r="C14" s="187" t="s">
        <v>34</v>
      </c>
      <c r="D14" s="195" t="s">
        <v>23</v>
      </c>
      <c r="E14" s="196">
        <v>3.9738000000000002E-2</v>
      </c>
      <c r="F14" s="29"/>
      <c r="G14" s="29"/>
      <c r="H14" s="29"/>
      <c r="I14" s="29"/>
      <c r="J14" s="29"/>
      <c r="K14" s="29"/>
      <c r="L14" s="29"/>
      <c r="M14" s="29"/>
      <c r="N14" s="29"/>
      <c r="O14" s="29"/>
      <c r="P14" s="29"/>
      <c r="Q14" s="29"/>
      <c r="R14" s="29"/>
      <c r="S14" s="29"/>
      <c r="T14" s="22"/>
      <c r="W14" s="173" t="s">
        <v>23</v>
      </c>
      <c r="X14" s="174">
        <v>3.9738000000000002E-2</v>
      </c>
    </row>
    <row r="15" spans="1:24" ht="15" customHeight="1" x14ac:dyDescent="0.25">
      <c r="B15" s="79"/>
      <c r="C15" s="187" t="s">
        <v>30</v>
      </c>
      <c r="D15" s="195" t="s">
        <v>116</v>
      </c>
      <c r="E15" s="196">
        <v>3.9368E-2</v>
      </c>
      <c r="F15" s="29"/>
      <c r="G15" s="29"/>
      <c r="H15" s="29"/>
      <c r="I15" s="29"/>
      <c r="J15" s="29"/>
      <c r="K15" s="29"/>
      <c r="L15" s="29"/>
      <c r="M15" s="29"/>
      <c r="N15" s="29"/>
      <c r="O15" s="29"/>
      <c r="P15" s="29"/>
      <c r="Q15" s="29"/>
      <c r="R15" s="29"/>
      <c r="S15" s="29"/>
      <c r="T15" s="22"/>
      <c r="W15" s="173" t="s">
        <v>4</v>
      </c>
      <c r="X15" s="174">
        <v>3.7058000000000001E-2</v>
      </c>
    </row>
    <row r="16" spans="1:24" ht="15" customHeight="1" x14ac:dyDescent="0.25">
      <c r="B16" s="79"/>
      <c r="C16" s="187" t="s">
        <v>78</v>
      </c>
      <c r="D16" s="195" t="s">
        <v>3</v>
      </c>
      <c r="E16" s="196">
        <v>2.8143999999999999E-2</v>
      </c>
      <c r="F16" s="29"/>
      <c r="G16" s="29"/>
      <c r="H16" s="29"/>
      <c r="I16" s="29"/>
      <c r="J16" s="29"/>
      <c r="K16" s="29"/>
      <c r="L16" s="29"/>
      <c r="M16" s="29"/>
      <c r="N16" s="29"/>
      <c r="O16" s="29"/>
      <c r="P16" s="29"/>
      <c r="Q16" s="29"/>
      <c r="R16" s="29"/>
      <c r="S16" s="29"/>
      <c r="T16" s="22"/>
      <c r="W16" s="173" t="s">
        <v>110</v>
      </c>
      <c r="X16" s="174">
        <v>3.2532000000000005E-2</v>
      </c>
    </row>
    <row r="17" spans="2:24" ht="15" customHeight="1" x14ac:dyDescent="0.25">
      <c r="B17" s="79"/>
      <c r="C17" s="187" t="s">
        <v>36</v>
      </c>
      <c r="D17" s="195" t="s">
        <v>3</v>
      </c>
      <c r="E17" s="196">
        <v>2.6610000000000002E-2</v>
      </c>
      <c r="F17" s="29"/>
      <c r="G17" s="29"/>
      <c r="H17" s="29"/>
      <c r="I17" s="29"/>
      <c r="J17" s="29"/>
      <c r="K17" s="29"/>
      <c r="L17" s="29"/>
      <c r="M17" s="29"/>
      <c r="N17" s="29"/>
      <c r="O17" s="29"/>
      <c r="P17" s="29"/>
      <c r="Q17" s="29"/>
      <c r="R17" s="29"/>
      <c r="S17" s="29"/>
      <c r="T17" s="22"/>
      <c r="W17" s="173" t="s">
        <v>10</v>
      </c>
      <c r="X17" s="174">
        <v>2.7445999999999998E-2</v>
      </c>
    </row>
    <row r="18" spans="2:24" ht="15" customHeight="1" x14ac:dyDescent="0.25">
      <c r="B18" s="79"/>
      <c r="C18" s="187" t="s">
        <v>35</v>
      </c>
      <c r="D18" s="195" t="s">
        <v>3</v>
      </c>
      <c r="E18" s="196">
        <v>2.6417E-2</v>
      </c>
      <c r="F18" s="29"/>
      <c r="G18" s="29"/>
      <c r="H18" s="29"/>
      <c r="I18" s="29"/>
      <c r="J18" s="29"/>
      <c r="K18" s="29"/>
      <c r="L18" s="29"/>
      <c r="M18" s="29"/>
      <c r="N18" s="29"/>
      <c r="O18" s="29"/>
      <c r="P18" s="29"/>
      <c r="Q18" s="29"/>
      <c r="R18" s="29"/>
      <c r="S18" s="29"/>
      <c r="T18" s="22"/>
      <c r="W18" s="173" t="s">
        <v>16</v>
      </c>
      <c r="X18" s="174">
        <v>2.3510000000000003E-2</v>
      </c>
    </row>
    <row r="19" spans="2:24" ht="15" customHeight="1" x14ac:dyDescent="0.25">
      <c r="B19" s="79"/>
      <c r="C19" s="187" t="s">
        <v>119</v>
      </c>
      <c r="D19" s="195" t="s">
        <v>111</v>
      </c>
      <c r="E19" s="196">
        <v>2.5047E-2</v>
      </c>
      <c r="F19" s="29"/>
      <c r="G19" s="29"/>
      <c r="H19" s="29"/>
      <c r="I19" s="29"/>
      <c r="J19" s="29"/>
      <c r="K19" s="29"/>
      <c r="L19" s="29"/>
      <c r="M19" s="29"/>
      <c r="N19" s="29"/>
      <c r="O19" s="29"/>
      <c r="P19" s="29"/>
      <c r="Q19" s="29"/>
      <c r="R19" s="29"/>
      <c r="S19" s="29"/>
      <c r="T19" s="22"/>
      <c r="W19" s="173" t="s">
        <v>82</v>
      </c>
      <c r="X19" s="174">
        <v>2.1218000000000001E-2</v>
      </c>
    </row>
    <row r="20" spans="2:24" ht="15" customHeight="1" x14ac:dyDescent="0.25">
      <c r="B20" s="79"/>
      <c r="C20" s="187" t="s">
        <v>80</v>
      </c>
      <c r="D20" s="195" t="s">
        <v>4</v>
      </c>
      <c r="E20" s="196">
        <v>2.0882999999999999E-2</v>
      </c>
      <c r="F20" s="29"/>
      <c r="G20" s="29"/>
      <c r="H20" s="29"/>
      <c r="I20" s="29"/>
      <c r="J20" s="29"/>
      <c r="K20" s="29"/>
      <c r="L20" s="29"/>
      <c r="M20" s="29"/>
      <c r="N20" s="29"/>
      <c r="O20" s="29"/>
      <c r="P20" s="29"/>
      <c r="Q20" s="29"/>
      <c r="R20" s="29"/>
      <c r="S20" s="29"/>
      <c r="T20" s="22"/>
      <c r="W20" s="173" t="s">
        <v>11</v>
      </c>
      <c r="X20" s="174">
        <v>1.9136E-2</v>
      </c>
    </row>
    <row r="21" spans="2:24" ht="15" customHeight="1" x14ac:dyDescent="0.25">
      <c r="B21" s="79"/>
      <c r="C21" s="187" t="s">
        <v>37</v>
      </c>
      <c r="D21" s="195" t="s">
        <v>116</v>
      </c>
      <c r="E21" s="196">
        <v>2.0737999999999999E-2</v>
      </c>
      <c r="F21" s="29"/>
      <c r="G21" s="29"/>
      <c r="H21" s="29"/>
      <c r="I21" s="29"/>
      <c r="J21" s="29"/>
      <c r="K21" s="29"/>
      <c r="L21" s="29"/>
      <c r="M21" s="29"/>
      <c r="N21" s="29"/>
      <c r="O21" s="29"/>
      <c r="P21" s="29"/>
      <c r="Q21" s="29"/>
      <c r="R21" s="29"/>
      <c r="S21" s="29"/>
      <c r="T21" s="22"/>
      <c r="W21" s="173" t="s">
        <v>107</v>
      </c>
      <c r="X21" s="174">
        <v>1.3559000000000002E-2</v>
      </c>
    </row>
    <row r="22" spans="2:24" ht="15" customHeight="1" x14ac:dyDescent="0.25">
      <c r="B22" s="79"/>
      <c r="C22" s="187" t="s">
        <v>256</v>
      </c>
      <c r="D22" s="195" t="s">
        <v>110</v>
      </c>
      <c r="E22" s="196">
        <v>1.7812000000000001E-2</v>
      </c>
      <c r="F22" s="29"/>
      <c r="G22" s="29"/>
      <c r="H22" s="29"/>
      <c r="I22" s="29"/>
      <c r="J22" s="29"/>
      <c r="K22" s="29"/>
      <c r="L22" s="29"/>
      <c r="M22" s="29"/>
      <c r="N22" s="29"/>
      <c r="O22" s="29"/>
      <c r="P22" s="29"/>
      <c r="Q22" s="29"/>
      <c r="R22" s="29"/>
      <c r="S22" s="29"/>
      <c r="T22" s="22"/>
      <c r="W22" s="173" t="s">
        <v>85</v>
      </c>
      <c r="X22" s="174">
        <v>1.2735E-2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26</v>
      </c>
      <c r="X23" s="174">
        <v>1.2088E-2</v>
      </c>
    </row>
    <row r="24" spans="2:24" ht="15" customHeight="1" x14ac:dyDescent="0.25">
      <c r="B24" s="79"/>
      <c r="C24" s="73" t="s">
        <v>55</v>
      </c>
      <c r="D24" s="74"/>
      <c r="E24" s="84">
        <f>SUM(E8:E22)</f>
        <v>0.67700500000000008</v>
      </c>
      <c r="F24" s="29"/>
      <c r="G24" s="29"/>
      <c r="H24" s="29"/>
      <c r="I24" s="29"/>
      <c r="J24" s="29"/>
      <c r="K24" s="29"/>
      <c r="L24" s="29"/>
      <c r="M24" s="29"/>
      <c r="N24" s="29"/>
      <c r="O24" s="29"/>
      <c r="P24" s="29"/>
      <c r="Q24" s="29"/>
      <c r="R24" s="29"/>
      <c r="S24" s="29"/>
      <c r="T24" s="22"/>
      <c r="W24" s="173" t="s">
        <v>86</v>
      </c>
      <c r="X24" s="174">
        <v>9.9030000000000003E-3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13</v>
      </c>
      <c r="X25" s="174">
        <v>9.6380000000000007E-3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130</v>
      </c>
      <c r="X26" s="174">
        <v>8.4969999999999993E-3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15</v>
      </c>
      <c r="X27" s="174">
        <v>8.1740000000000007E-3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129</v>
      </c>
      <c r="X28" s="174">
        <v>7.6670000000000002E-3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76</v>
      </c>
      <c r="X29" s="174">
        <v>6.5240000000000003E-3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114</v>
      </c>
      <c r="X30" s="62">
        <v>6.306E-3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131</v>
      </c>
      <c r="X31" s="62">
        <v>5.3899999999999998E-3</v>
      </c>
    </row>
    <row r="32" spans="2:24" ht="15" customHeight="1" thickBot="1" x14ac:dyDescent="0.3">
      <c r="W32" s="19" t="s">
        <v>83</v>
      </c>
      <c r="X32" s="62">
        <v>1.4400000000000001E-3</v>
      </c>
    </row>
    <row r="33" spans="2:18" ht="15" customHeight="1" x14ac:dyDescent="0.25">
      <c r="B33" s="295" t="s">
        <v>181</v>
      </c>
      <c r="C33" s="296"/>
      <c r="D33" s="296"/>
      <c r="E33" s="296"/>
      <c r="F33" s="296"/>
      <c r="G33" s="296"/>
      <c r="H33" s="296"/>
      <c r="I33" s="296"/>
      <c r="J33" s="296"/>
      <c r="K33" s="296"/>
      <c r="L33" s="296"/>
      <c r="M33" s="296"/>
      <c r="N33" s="296"/>
      <c r="O33" s="296"/>
      <c r="P33" s="296"/>
      <c r="Q33" s="296"/>
      <c r="R33" s="297"/>
    </row>
    <row r="34" spans="2:18" ht="15" customHeight="1" x14ac:dyDescent="0.25">
      <c r="B34" s="298"/>
      <c r="C34" s="299"/>
      <c r="D34" s="299"/>
      <c r="E34" s="299"/>
      <c r="F34" s="299"/>
      <c r="G34" s="299"/>
      <c r="H34" s="299"/>
      <c r="I34" s="299"/>
      <c r="J34" s="299"/>
      <c r="K34" s="299"/>
      <c r="L34" s="299"/>
      <c r="M34" s="299"/>
      <c r="N34" s="299"/>
      <c r="O34" s="299"/>
      <c r="P34" s="299"/>
      <c r="Q34" s="299"/>
      <c r="R34" s="300"/>
    </row>
    <row r="35" spans="2:18" ht="15" customHeight="1" x14ac:dyDescent="0.25">
      <c r="B35" s="298"/>
      <c r="C35" s="299"/>
      <c r="D35" s="299"/>
      <c r="E35" s="299"/>
      <c r="F35" s="299"/>
      <c r="G35" s="299"/>
      <c r="H35" s="299"/>
      <c r="I35" s="299"/>
      <c r="J35" s="299"/>
      <c r="K35" s="299"/>
      <c r="L35" s="299"/>
      <c r="M35" s="299"/>
      <c r="N35" s="299"/>
      <c r="O35" s="299"/>
      <c r="P35" s="299"/>
      <c r="Q35" s="299"/>
      <c r="R35" s="300"/>
    </row>
    <row r="36" spans="2:18" ht="15" customHeight="1" x14ac:dyDescent="0.25">
      <c r="B36" s="298"/>
      <c r="C36" s="299"/>
      <c r="D36" s="299"/>
      <c r="E36" s="299"/>
      <c r="F36" s="299"/>
      <c r="G36" s="299"/>
      <c r="H36" s="299"/>
      <c r="I36" s="299"/>
      <c r="J36" s="299"/>
      <c r="K36" s="299"/>
      <c r="L36" s="299"/>
      <c r="M36" s="299"/>
      <c r="N36" s="299"/>
      <c r="O36" s="299"/>
      <c r="P36" s="299"/>
      <c r="Q36" s="299"/>
      <c r="R36" s="300"/>
    </row>
    <row r="37" spans="2:18" ht="15" customHeight="1" x14ac:dyDescent="0.25">
      <c r="B37" s="298"/>
      <c r="C37" s="299"/>
      <c r="D37" s="299"/>
      <c r="E37" s="299"/>
      <c r="F37" s="299"/>
      <c r="G37" s="299"/>
      <c r="H37" s="299"/>
      <c r="I37" s="299"/>
      <c r="J37" s="299"/>
      <c r="K37" s="299"/>
      <c r="L37" s="299"/>
      <c r="M37" s="299"/>
      <c r="N37" s="299"/>
      <c r="O37" s="299"/>
      <c r="P37" s="299"/>
      <c r="Q37" s="299"/>
      <c r="R37" s="300"/>
    </row>
    <row r="38" spans="2:18" ht="15" customHeight="1" x14ac:dyDescent="0.25">
      <c r="B38" s="298"/>
      <c r="C38" s="299"/>
      <c r="D38" s="299"/>
      <c r="E38" s="299"/>
      <c r="F38" s="299"/>
      <c r="G38" s="299"/>
      <c r="H38" s="299"/>
      <c r="I38" s="299"/>
      <c r="J38" s="299"/>
      <c r="K38" s="299"/>
      <c r="L38" s="299"/>
      <c r="M38" s="299"/>
      <c r="N38" s="299"/>
      <c r="O38" s="299"/>
      <c r="P38" s="299"/>
      <c r="Q38" s="299"/>
      <c r="R38" s="300"/>
    </row>
    <row r="39" spans="2:18" ht="15" customHeight="1" thickBot="1" x14ac:dyDescent="0.3">
      <c r="B39" s="301"/>
      <c r="C39" s="302"/>
      <c r="D39" s="302"/>
      <c r="E39" s="302"/>
      <c r="F39" s="302"/>
      <c r="G39" s="302"/>
      <c r="H39" s="302"/>
      <c r="I39" s="302"/>
      <c r="J39" s="302"/>
      <c r="K39" s="302"/>
      <c r="L39" s="302"/>
      <c r="M39" s="302"/>
      <c r="N39" s="302"/>
      <c r="O39" s="302"/>
      <c r="P39" s="302"/>
      <c r="Q39" s="302"/>
      <c r="R39" s="30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323</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8" t="s">
        <v>416</v>
      </c>
      <c r="E5" s="308"/>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0.142177</v>
      </c>
      <c r="F8" s="29"/>
      <c r="G8" s="29"/>
      <c r="H8" s="29"/>
      <c r="I8" s="29"/>
      <c r="J8" s="29"/>
      <c r="K8" s="29"/>
      <c r="L8" s="29"/>
      <c r="M8" s="29"/>
      <c r="N8" s="29"/>
      <c r="O8" s="29"/>
      <c r="P8" s="29"/>
      <c r="Q8" s="29"/>
      <c r="R8" s="29"/>
      <c r="S8" s="29"/>
      <c r="T8" s="22"/>
      <c r="W8" s="56" t="s">
        <v>3</v>
      </c>
      <c r="X8" s="57">
        <v>0.342113</v>
      </c>
    </row>
    <row r="9" spans="1:24" ht="15.75" customHeight="1" x14ac:dyDescent="0.25">
      <c r="B9" s="79"/>
      <c r="C9" s="187" t="s">
        <v>32</v>
      </c>
      <c r="D9" s="195" t="s">
        <v>3</v>
      </c>
      <c r="E9" s="196">
        <v>9.7742999999999997E-2</v>
      </c>
      <c r="F9" s="29"/>
      <c r="G9" s="29"/>
      <c r="H9" s="29"/>
      <c r="I9" s="29"/>
      <c r="J9" s="29"/>
      <c r="K9" s="29"/>
      <c r="L9" s="29"/>
      <c r="M9" s="29"/>
      <c r="N9" s="29"/>
      <c r="O9" s="29"/>
      <c r="P9" s="29"/>
      <c r="Q9" s="29"/>
      <c r="R9" s="29"/>
      <c r="S9" s="29"/>
      <c r="T9" s="22"/>
      <c r="W9" s="56" t="s">
        <v>106</v>
      </c>
      <c r="X9" s="57">
        <v>0.15298</v>
      </c>
    </row>
    <row r="10" spans="1:24" ht="15.75" x14ac:dyDescent="0.25">
      <c r="B10" s="79"/>
      <c r="C10" s="187" t="s">
        <v>31</v>
      </c>
      <c r="D10" s="195" t="s">
        <v>6</v>
      </c>
      <c r="E10" s="196">
        <v>9.4711000000000004E-2</v>
      </c>
      <c r="F10" s="29"/>
      <c r="G10" s="29"/>
      <c r="H10" s="29"/>
      <c r="I10" s="29"/>
      <c r="J10" s="29"/>
      <c r="K10" s="29"/>
      <c r="L10" s="29"/>
      <c r="M10" s="29"/>
      <c r="N10" s="29"/>
      <c r="O10" s="29"/>
      <c r="P10" s="29"/>
      <c r="Q10" s="29"/>
      <c r="R10" s="29"/>
      <c r="S10" s="29"/>
      <c r="T10" s="22"/>
      <c r="W10" s="56" t="s">
        <v>6</v>
      </c>
      <c r="X10" s="57">
        <v>9.4711000000000004E-2</v>
      </c>
    </row>
    <row r="11" spans="1:24" ht="15.75" customHeight="1" x14ac:dyDescent="0.25">
      <c r="B11" s="79"/>
      <c r="C11" s="187" t="s">
        <v>28</v>
      </c>
      <c r="D11" s="195" t="s">
        <v>106</v>
      </c>
      <c r="E11" s="196">
        <v>7.5120999999999993E-2</v>
      </c>
      <c r="F11" s="29"/>
      <c r="G11" s="29"/>
      <c r="H11" s="29"/>
      <c r="I11" s="29"/>
      <c r="J11" s="29"/>
      <c r="K11" s="29"/>
      <c r="L11" s="29"/>
      <c r="M11" s="29"/>
      <c r="N11" s="29"/>
      <c r="O11" s="29"/>
      <c r="P11" s="29"/>
      <c r="Q11" s="29"/>
      <c r="R11" s="29"/>
      <c r="S11" s="29"/>
      <c r="T11" s="22"/>
      <c r="W11" s="56" t="s">
        <v>116</v>
      </c>
      <c r="X11" s="57">
        <v>7.0290000000000005E-2</v>
      </c>
    </row>
    <row r="12" spans="1:24" ht="15" customHeight="1" x14ac:dyDescent="0.25">
      <c r="B12" s="79"/>
      <c r="C12" s="187" t="s">
        <v>70</v>
      </c>
      <c r="D12" s="195" t="s">
        <v>12</v>
      </c>
      <c r="E12" s="196">
        <v>4.8194000000000001E-2</v>
      </c>
      <c r="F12" s="29"/>
      <c r="G12" s="29"/>
      <c r="H12" s="29"/>
      <c r="I12" s="29"/>
      <c r="J12" s="29"/>
      <c r="K12" s="29"/>
      <c r="L12" s="29"/>
      <c r="M12" s="29"/>
      <c r="N12" s="29"/>
      <c r="O12" s="29"/>
      <c r="P12" s="29"/>
      <c r="Q12" s="29"/>
      <c r="R12" s="29"/>
      <c r="S12" s="29"/>
      <c r="T12" s="22"/>
      <c r="W12" s="56" t="s">
        <v>111</v>
      </c>
      <c r="X12" s="57">
        <v>6.3611000000000001E-2</v>
      </c>
    </row>
    <row r="13" spans="1:24" ht="15" customHeight="1" x14ac:dyDescent="0.25">
      <c r="B13" s="79"/>
      <c r="C13" s="187" t="s">
        <v>34</v>
      </c>
      <c r="D13" s="195" t="s">
        <v>23</v>
      </c>
      <c r="E13" s="196">
        <v>4.5989000000000002E-2</v>
      </c>
      <c r="F13" s="29"/>
      <c r="G13" s="29"/>
      <c r="H13" s="29"/>
      <c r="I13" s="29"/>
      <c r="J13" s="29"/>
      <c r="K13" s="29"/>
      <c r="L13" s="29"/>
      <c r="M13" s="29"/>
      <c r="N13" s="29"/>
      <c r="O13" s="29"/>
      <c r="P13" s="29"/>
      <c r="Q13" s="29"/>
      <c r="R13" s="29"/>
      <c r="S13" s="29"/>
      <c r="T13" s="22"/>
      <c r="W13" s="56" t="s">
        <v>12</v>
      </c>
      <c r="X13" s="57">
        <v>4.8194000000000001E-2</v>
      </c>
    </row>
    <row r="14" spans="1:24" ht="15" customHeight="1" x14ac:dyDescent="0.25">
      <c r="B14" s="79"/>
      <c r="C14" s="187" t="s">
        <v>33</v>
      </c>
      <c r="D14" s="195" t="s">
        <v>106</v>
      </c>
      <c r="E14" s="196">
        <v>4.5956999999999998E-2</v>
      </c>
      <c r="F14" s="29"/>
      <c r="G14" s="29"/>
      <c r="H14" s="29"/>
      <c r="I14" s="29"/>
      <c r="J14" s="29"/>
      <c r="K14" s="29"/>
      <c r="L14" s="29"/>
      <c r="M14" s="29"/>
      <c r="N14" s="29"/>
      <c r="O14" s="29"/>
      <c r="P14" s="29"/>
      <c r="Q14" s="29"/>
      <c r="R14" s="29"/>
      <c r="S14" s="29"/>
      <c r="T14" s="22"/>
      <c r="W14" s="56" t="s">
        <v>23</v>
      </c>
      <c r="X14" s="57">
        <v>4.5989000000000002E-2</v>
      </c>
    </row>
    <row r="15" spans="1:24" ht="15" customHeight="1" x14ac:dyDescent="0.25">
      <c r="B15" s="79"/>
      <c r="C15" s="187" t="s">
        <v>30</v>
      </c>
      <c r="D15" s="195" t="s">
        <v>116</v>
      </c>
      <c r="E15" s="196">
        <v>4.5815000000000002E-2</v>
      </c>
      <c r="F15" s="29"/>
      <c r="G15" s="29"/>
      <c r="H15" s="29"/>
      <c r="I15" s="29"/>
      <c r="J15" s="29"/>
      <c r="K15" s="29"/>
      <c r="L15" s="29"/>
      <c r="M15" s="29"/>
      <c r="N15" s="29"/>
      <c r="O15" s="29"/>
      <c r="P15" s="29"/>
      <c r="Q15" s="29"/>
      <c r="R15" s="29"/>
      <c r="S15" s="29"/>
      <c r="T15" s="22"/>
      <c r="W15" s="56" t="s">
        <v>4</v>
      </c>
      <c r="X15" s="57">
        <v>3.4619000000000004E-2</v>
      </c>
    </row>
    <row r="16" spans="1:24" ht="15" customHeight="1" x14ac:dyDescent="0.25">
      <c r="B16" s="79"/>
      <c r="C16" s="187" t="s">
        <v>78</v>
      </c>
      <c r="D16" s="195" t="s">
        <v>3</v>
      </c>
      <c r="E16" s="196">
        <v>3.2805000000000001E-2</v>
      </c>
      <c r="F16" s="29"/>
      <c r="G16" s="29"/>
      <c r="H16" s="29"/>
      <c r="I16" s="29"/>
      <c r="J16" s="29"/>
      <c r="K16" s="29"/>
      <c r="L16" s="29"/>
      <c r="M16" s="29"/>
      <c r="N16" s="29"/>
      <c r="O16" s="29"/>
      <c r="P16" s="29"/>
      <c r="Q16" s="29"/>
      <c r="R16" s="29"/>
      <c r="S16" s="29"/>
      <c r="T16" s="22"/>
      <c r="W16" s="56" t="s">
        <v>10</v>
      </c>
      <c r="X16" s="57">
        <v>3.2257999999999995E-2</v>
      </c>
    </row>
    <row r="17" spans="2:24" ht="15" customHeight="1" x14ac:dyDescent="0.25">
      <c r="B17" s="79"/>
      <c r="C17" s="187" t="s">
        <v>36</v>
      </c>
      <c r="D17" s="195" t="s">
        <v>3</v>
      </c>
      <c r="E17" s="196">
        <v>3.1075999999999999E-2</v>
      </c>
      <c r="F17" s="29"/>
      <c r="G17" s="29"/>
      <c r="H17" s="29"/>
      <c r="I17" s="29"/>
      <c r="J17" s="29"/>
      <c r="K17" s="29"/>
      <c r="L17" s="29"/>
      <c r="M17" s="29"/>
      <c r="N17" s="29"/>
      <c r="O17" s="29"/>
      <c r="P17" s="29"/>
      <c r="Q17" s="29"/>
      <c r="R17" s="29"/>
      <c r="S17" s="29"/>
      <c r="T17" s="22"/>
      <c r="W17" s="56" t="s">
        <v>16</v>
      </c>
      <c r="X17" s="57">
        <v>2.7484000000000001E-2</v>
      </c>
    </row>
    <row r="18" spans="2:24" ht="15" customHeight="1" x14ac:dyDescent="0.25">
      <c r="B18" s="79"/>
      <c r="C18" s="187" t="s">
        <v>35</v>
      </c>
      <c r="D18" s="195" t="s">
        <v>3</v>
      </c>
      <c r="E18" s="196">
        <v>3.1026999999999999E-2</v>
      </c>
      <c r="F18" s="29"/>
      <c r="G18" s="29"/>
      <c r="H18" s="29"/>
      <c r="I18" s="29"/>
      <c r="J18" s="29"/>
      <c r="K18" s="29"/>
      <c r="L18" s="29"/>
      <c r="M18" s="29"/>
      <c r="N18" s="29"/>
      <c r="O18" s="29"/>
      <c r="P18" s="29"/>
      <c r="Q18" s="29"/>
      <c r="R18" s="29"/>
      <c r="S18" s="29"/>
      <c r="T18" s="22"/>
      <c r="W18" s="56" t="s">
        <v>110</v>
      </c>
      <c r="X18" s="57">
        <v>2.0834999999999999E-2</v>
      </c>
    </row>
    <row r="19" spans="2:24" ht="15" customHeight="1" x14ac:dyDescent="0.25">
      <c r="B19" s="79"/>
      <c r="C19" s="187" t="s">
        <v>119</v>
      </c>
      <c r="D19" s="195" t="s">
        <v>111</v>
      </c>
      <c r="E19" s="196">
        <v>2.9118000000000002E-2</v>
      </c>
      <c r="F19" s="29"/>
      <c r="G19" s="29"/>
      <c r="H19" s="29"/>
      <c r="I19" s="29"/>
      <c r="J19" s="29"/>
      <c r="K19" s="29"/>
      <c r="L19" s="29"/>
      <c r="M19" s="29"/>
      <c r="N19" s="29"/>
      <c r="O19" s="29"/>
      <c r="P19" s="29"/>
      <c r="Q19" s="29"/>
      <c r="R19" s="29"/>
      <c r="S19" s="29"/>
      <c r="T19" s="22"/>
      <c r="W19" s="56" t="s">
        <v>26</v>
      </c>
      <c r="X19" s="57">
        <v>1.6667999999999999E-2</v>
      </c>
    </row>
    <row r="20" spans="2:24" ht="15" customHeight="1" x14ac:dyDescent="0.25">
      <c r="B20" s="79"/>
      <c r="C20" s="187" t="s">
        <v>37</v>
      </c>
      <c r="D20" s="195" t="s">
        <v>116</v>
      </c>
      <c r="E20" s="196">
        <v>2.4475E-2</v>
      </c>
      <c r="F20" s="29"/>
      <c r="G20" s="29"/>
      <c r="H20" s="29"/>
      <c r="I20" s="29"/>
      <c r="J20" s="29"/>
      <c r="K20" s="29"/>
      <c r="L20" s="29"/>
      <c r="M20" s="29"/>
      <c r="N20" s="29"/>
      <c r="O20" s="29"/>
      <c r="P20" s="29"/>
      <c r="Q20" s="29"/>
      <c r="R20" s="29"/>
      <c r="S20" s="29"/>
      <c r="T20" s="22"/>
      <c r="W20" s="56" t="s">
        <v>82</v>
      </c>
      <c r="X20" s="57">
        <v>1.4732E-2</v>
      </c>
    </row>
    <row r="21" spans="2:24" ht="15" customHeight="1" x14ac:dyDescent="0.25">
      <c r="B21" s="79"/>
      <c r="C21" s="187" t="s">
        <v>80</v>
      </c>
      <c r="D21" s="195" t="s">
        <v>4</v>
      </c>
      <c r="E21" s="196">
        <v>2.4237000000000002E-2</v>
      </c>
      <c r="F21" s="29"/>
      <c r="G21" s="29"/>
      <c r="H21" s="29"/>
      <c r="I21" s="29"/>
      <c r="J21" s="29"/>
      <c r="K21" s="29"/>
      <c r="L21" s="29"/>
      <c r="M21" s="29"/>
      <c r="N21" s="29"/>
      <c r="O21" s="29"/>
      <c r="P21" s="29"/>
      <c r="Q21" s="29"/>
      <c r="R21" s="29"/>
      <c r="S21" s="29"/>
      <c r="T21" s="22"/>
      <c r="W21" s="56" t="s">
        <v>11</v>
      </c>
      <c r="X21" s="57">
        <v>1.2278000000000001E-2</v>
      </c>
    </row>
    <row r="22" spans="2:24" ht="15" customHeight="1" x14ac:dyDescent="0.25">
      <c r="B22" s="79"/>
      <c r="C22" s="187" t="s">
        <v>256</v>
      </c>
      <c r="D22" s="195" t="s">
        <v>110</v>
      </c>
      <c r="E22" s="196">
        <v>2.0834999999999999E-2</v>
      </c>
      <c r="F22" s="29"/>
      <c r="G22" s="29"/>
      <c r="H22" s="29"/>
      <c r="I22" s="29"/>
      <c r="J22" s="29"/>
      <c r="K22" s="29"/>
      <c r="L22" s="29"/>
      <c r="M22" s="29"/>
      <c r="N22" s="29"/>
      <c r="O22" s="29"/>
      <c r="P22" s="29"/>
      <c r="Q22" s="29"/>
      <c r="R22" s="29"/>
      <c r="S22" s="29"/>
      <c r="T22" s="22"/>
      <c r="W22" s="19" t="s">
        <v>107</v>
      </c>
      <c r="X22" s="57">
        <v>9.0840000000000001E-3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t="s">
        <v>129</v>
      </c>
      <c r="X23" s="57">
        <v>8.9189999999999998E-3</v>
      </c>
    </row>
    <row r="24" spans="2:24" ht="15" customHeight="1" x14ac:dyDescent="0.25">
      <c r="B24" s="79"/>
      <c r="C24" s="73" t="s">
        <v>55</v>
      </c>
      <c r="D24" s="74"/>
      <c r="E24" s="75">
        <f>SUM(E8:E22)</f>
        <v>0.78928000000000009</v>
      </c>
      <c r="F24" s="29"/>
      <c r="G24" s="29"/>
      <c r="H24" s="29"/>
      <c r="I24" s="29"/>
      <c r="J24" s="29"/>
      <c r="K24" s="29"/>
      <c r="L24" s="29"/>
      <c r="M24" s="29"/>
      <c r="N24" s="29"/>
      <c r="O24" s="29"/>
      <c r="P24" s="29"/>
      <c r="Q24" s="29"/>
      <c r="R24" s="29"/>
      <c r="S24" s="29"/>
      <c r="T24" s="22"/>
      <c r="W24" s="56" t="s">
        <v>83</v>
      </c>
      <c r="X24" s="57">
        <v>1.673E-3</v>
      </c>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95" t="s">
        <v>181</v>
      </c>
      <c r="C39" s="296"/>
      <c r="D39" s="296"/>
      <c r="E39" s="296"/>
      <c r="F39" s="296"/>
      <c r="G39" s="296"/>
      <c r="H39" s="296"/>
      <c r="I39" s="296"/>
      <c r="J39" s="296"/>
      <c r="K39" s="296"/>
      <c r="L39" s="296"/>
      <c r="M39" s="296"/>
      <c r="N39" s="296"/>
      <c r="O39" s="296"/>
      <c r="P39" s="296"/>
      <c r="Q39" s="296"/>
      <c r="R39" s="297"/>
    </row>
    <row r="40" spans="2:24" ht="15" customHeight="1" x14ac:dyDescent="0.25">
      <c r="B40" s="298"/>
      <c r="C40" s="299"/>
      <c r="D40" s="299"/>
      <c r="E40" s="299"/>
      <c r="F40" s="299"/>
      <c r="G40" s="299"/>
      <c r="H40" s="299"/>
      <c r="I40" s="299"/>
      <c r="J40" s="299"/>
      <c r="K40" s="299"/>
      <c r="L40" s="299"/>
      <c r="M40" s="299"/>
      <c r="N40" s="299"/>
      <c r="O40" s="299"/>
      <c r="P40" s="299"/>
      <c r="Q40" s="299"/>
      <c r="R40" s="300"/>
    </row>
    <row r="41" spans="2:24" ht="15" customHeight="1" x14ac:dyDescent="0.25">
      <c r="B41" s="298"/>
      <c r="C41" s="299"/>
      <c r="D41" s="299"/>
      <c r="E41" s="299"/>
      <c r="F41" s="299"/>
      <c r="G41" s="299"/>
      <c r="H41" s="299"/>
      <c r="I41" s="299"/>
      <c r="J41" s="299"/>
      <c r="K41" s="299"/>
      <c r="L41" s="299"/>
      <c r="M41" s="299"/>
      <c r="N41" s="299"/>
      <c r="O41" s="299"/>
      <c r="P41" s="299"/>
      <c r="Q41" s="299"/>
      <c r="R41" s="300"/>
    </row>
    <row r="42" spans="2:24" ht="15" customHeight="1" x14ac:dyDescent="0.25">
      <c r="B42" s="298"/>
      <c r="C42" s="299"/>
      <c r="D42" s="299"/>
      <c r="E42" s="299"/>
      <c r="F42" s="299"/>
      <c r="G42" s="299"/>
      <c r="H42" s="299"/>
      <c r="I42" s="299"/>
      <c r="J42" s="299"/>
      <c r="K42" s="299"/>
      <c r="L42" s="299"/>
      <c r="M42" s="299"/>
      <c r="N42" s="299"/>
      <c r="O42" s="299"/>
      <c r="P42" s="299"/>
      <c r="Q42" s="299"/>
      <c r="R42" s="300"/>
    </row>
    <row r="43" spans="2:24" ht="15" customHeight="1" x14ac:dyDescent="0.25">
      <c r="B43" s="298"/>
      <c r="C43" s="299"/>
      <c r="D43" s="299"/>
      <c r="E43" s="299"/>
      <c r="F43" s="299"/>
      <c r="G43" s="299"/>
      <c r="H43" s="299"/>
      <c r="I43" s="299"/>
      <c r="J43" s="299"/>
      <c r="K43" s="299"/>
      <c r="L43" s="299"/>
      <c r="M43" s="299"/>
      <c r="N43" s="299"/>
      <c r="O43" s="299"/>
      <c r="P43" s="299"/>
      <c r="Q43" s="299"/>
      <c r="R43" s="300"/>
    </row>
    <row r="44" spans="2:24" ht="15" customHeight="1" x14ac:dyDescent="0.25">
      <c r="B44" s="298"/>
      <c r="C44" s="299"/>
      <c r="D44" s="299"/>
      <c r="E44" s="299"/>
      <c r="F44" s="299"/>
      <c r="G44" s="299"/>
      <c r="H44" s="299"/>
      <c r="I44" s="299"/>
      <c r="J44" s="299"/>
      <c r="K44" s="299"/>
      <c r="L44" s="299"/>
      <c r="M44" s="299"/>
      <c r="N44" s="299"/>
      <c r="O44" s="299"/>
      <c r="P44" s="299"/>
      <c r="Q44" s="299"/>
      <c r="R44" s="300"/>
    </row>
    <row r="45" spans="2:24" ht="26.25" customHeight="1" thickBot="1" x14ac:dyDescent="0.3">
      <c r="B45" s="301"/>
      <c r="C45" s="302"/>
      <c r="D45" s="302"/>
      <c r="E45" s="302"/>
      <c r="F45" s="302"/>
      <c r="G45" s="302"/>
      <c r="H45" s="302"/>
      <c r="I45" s="302"/>
      <c r="J45" s="302"/>
      <c r="K45" s="302"/>
      <c r="L45" s="302"/>
      <c r="M45" s="302"/>
      <c r="N45" s="302"/>
      <c r="O45" s="302"/>
      <c r="P45" s="302"/>
      <c r="Q45" s="302"/>
      <c r="R45" s="30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4" t="s">
        <v>154</v>
      </c>
      <c r="D3" s="305"/>
      <c r="E3" s="305"/>
      <c r="F3" s="305"/>
      <c r="G3" s="305"/>
      <c r="H3" s="305"/>
      <c r="I3" s="305"/>
      <c r="J3" s="305"/>
      <c r="K3" s="305"/>
      <c r="L3" s="305"/>
      <c r="M3" s="305"/>
      <c r="N3" s="305"/>
      <c r="O3" s="305"/>
      <c r="P3" s="305"/>
      <c r="Q3" s="305"/>
      <c r="R3" s="305"/>
      <c r="S3" s="305"/>
      <c r="T3" s="22"/>
    </row>
    <row r="4" spans="1:24" ht="15.75" customHeight="1" x14ac:dyDescent="0.25">
      <c r="B4" s="79"/>
      <c r="C4" s="67" t="s">
        <v>387</v>
      </c>
      <c r="D4" s="29"/>
      <c r="E4" s="29"/>
      <c r="F4" s="29"/>
      <c r="G4" s="29"/>
      <c r="H4" s="29"/>
      <c r="I4" s="29"/>
      <c r="J4" s="29"/>
      <c r="K4" s="29"/>
      <c r="L4" s="29"/>
      <c r="M4" s="29"/>
      <c r="N4" s="29"/>
      <c r="O4" s="29"/>
      <c r="P4" s="29"/>
      <c r="Q4" s="29"/>
      <c r="R4" s="29"/>
      <c r="S4" s="29"/>
      <c r="T4" s="22"/>
    </row>
    <row r="5" spans="1:24" ht="18" customHeight="1" x14ac:dyDescent="0.25">
      <c r="B5" s="79"/>
      <c r="C5" s="220" t="s">
        <v>386</v>
      </c>
      <c r="D5" s="308" t="s">
        <v>417</v>
      </c>
      <c r="E5" s="308"/>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0.122187</v>
      </c>
      <c r="F8" s="29"/>
      <c r="G8" s="29"/>
      <c r="H8" s="29"/>
      <c r="I8" s="29"/>
      <c r="J8" s="29"/>
      <c r="K8" s="29"/>
      <c r="L8" s="29"/>
      <c r="M8" s="29"/>
      <c r="N8" s="29"/>
      <c r="O8" s="29"/>
      <c r="P8" s="29"/>
      <c r="Q8" s="29"/>
      <c r="R8" s="29"/>
      <c r="S8" s="29"/>
      <c r="T8" s="22"/>
      <c r="W8" t="s">
        <v>3</v>
      </c>
      <c r="X8" s="179">
        <v>0.29313</v>
      </c>
    </row>
    <row r="9" spans="1:24" ht="15.75" customHeight="1" x14ac:dyDescent="0.25">
      <c r="B9" s="79"/>
      <c r="C9" s="187" t="s">
        <v>32</v>
      </c>
      <c r="D9" s="195" t="s">
        <v>3</v>
      </c>
      <c r="E9" s="196">
        <v>8.3610000000000004E-2</v>
      </c>
      <c r="F9" s="29"/>
      <c r="G9" s="29"/>
      <c r="H9" s="29"/>
      <c r="I9" s="29"/>
      <c r="J9" s="29"/>
      <c r="K9" s="29"/>
      <c r="L9" s="29"/>
      <c r="M9" s="29"/>
      <c r="N9" s="29"/>
      <c r="O9" s="29"/>
      <c r="P9" s="29"/>
      <c r="Q9" s="29"/>
      <c r="R9" s="29"/>
      <c r="S9" s="29"/>
      <c r="T9" s="22"/>
      <c r="W9" t="s">
        <v>106</v>
      </c>
      <c r="X9" s="179">
        <v>0.13949900000000001</v>
      </c>
    </row>
    <row r="10" spans="1:24" ht="15.75" x14ac:dyDescent="0.25">
      <c r="B10" s="79"/>
      <c r="C10" s="187" t="s">
        <v>31</v>
      </c>
      <c r="D10" s="195" t="s">
        <v>6</v>
      </c>
      <c r="E10" s="196">
        <v>8.1237000000000004E-2</v>
      </c>
      <c r="F10" s="29"/>
      <c r="G10" s="29"/>
      <c r="H10" s="29"/>
      <c r="I10" s="29"/>
      <c r="J10" s="29"/>
      <c r="K10" s="29"/>
      <c r="L10" s="29"/>
      <c r="M10" s="29"/>
      <c r="N10" s="29"/>
      <c r="O10" s="29"/>
      <c r="P10" s="29"/>
      <c r="Q10" s="29"/>
      <c r="R10" s="29"/>
      <c r="S10" s="29"/>
      <c r="T10" s="22"/>
      <c r="W10" t="s">
        <v>6</v>
      </c>
      <c r="X10" s="179">
        <v>8.601700000000001E-2</v>
      </c>
    </row>
    <row r="11" spans="1:24" ht="15.75" customHeight="1" x14ac:dyDescent="0.25">
      <c r="B11" s="79"/>
      <c r="C11" s="187" t="s">
        <v>28</v>
      </c>
      <c r="D11" s="195" t="s">
        <v>106</v>
      </c>
      <c r="E11" s="196">
        <v>6.4051999999999998E-2</v>
      </c>
      <c r="F11" s="29"/>
      <c r="G11" s="29"/>
      <c r="H11" s="29"/>
      <c r="I11" s="29"/>
      <c r="J11" s="29"/>
      <c r="K11" s="29"/>
      <c r="L11" s="29"/>
      <c r="M11" s="29"/>
      <c r="N11" s="29"/>
      <c r="O11" s="29"/>
      <c r="P11" s="29"/>
      <c r="Q11" s="29"/>
      <c r="R11" s="29"/>
      <c r="S11" s="29"/>
      <c r="T11" s="22"/>
      <c r="W11" t="s">
        <v>111</v>
      </c>
      <c r="X11" s="179">
        <v>7.589499999999999E-2</v>
      </c>
    </row>
    <row r="12" spans="1:24" ht="15" customHeight="1" x14ac:dyDescent="0.25">
      <c r="B12" s="79"/>
      <c r="C12" s="187" t="s">
        <v>70</v>
      </c>
      <c r="D12" s="195" t="s">
        <v>12</v>
      </c>
      <c r="E12" s="196">
        <v>4.1255E-2</v>
      </c>
      <c r="F12" s="29"/>
      <c r="G12" s="29"/>
      <c r="H12" s="29"/>
      <c r="I12" s="29"/>
      <c r="J12" s="29"/>
      <c r="K12" s="29"/>
      <c r="L12" s="29"/>
      <c r="M12" s="29"/>
      <c r="N12" s="29"/>
      <c r="O12" s="29"/>
      <c r="P12" s="29"/>
      <c r="Q12" s="29"/>
      <c r="R12" s="29"/>
      <c r="S12" s="29"/>
      <c r="T12" s="22"/>
      <c r="W12" t="s">
        <v>116</v>
      </c>
      <c r="X12" s="179">
        <v>6.0088000000000003E-2</v>
      </c>
    </row>
    <row r="13" spans="1:24" ht="15" customHeight="1" x14ac:dyDescent="0.25">
      <c r="B13" s="79"/>
      <c r="C13" s="187" t="s">
        <v>33</v>
      </c>
      <c r="D13" s="195" t="s">
        <v>106</v>
      </c>
      <c r="E13" s="196">
        <v>3.9759999999999997E-2</v>
      </c>
      <c r="F13" s="29"/>
      <c r="G13" s="29"/>
      <c r="H13" s="29"/>
      <c r="I13" s="29"/>
      <c r="J13" s="29"/>
      <c r="K13" s="29"/>
      <c r="L13" s="29"/>
      <c r="M13" s="29"/>
      <c r="N13" s="29"/>
      <c r="O13" s="29"/>
      <c r="P13" s="29"/>
      <c r="Q13" s="29"/>
      <c r="R13" s="29"/>
      <c r="S13" s="29"/>
      <c r="T13" s="22"/>
      <c r="W13" t="s">
        <v>12</v>
      </c>
      <c r="X13" s="179">
        <v>4.1255E-2</v>
      </c>
    </row>
    <row r="14" spans="1:24" ht="15" customHeight="1" x14ac:dyDescent="0.25">
      <c r="B14" s="79"/>
      <c r="C14" s="187" t="s">
        <v>34</v>
      </c>
      <c r="D14" s="195" t="s">
        <v>23</v>
      </c>
      <c r="E14" s="196">
        <v>3.9718999999999997E-2</v>
      </c>
      <c r="F14" s="29"/>
      <c r="G14" s="29"/>
      <c r="H14" s="29"/>
      <c r="I14" s="29"/>
      <c r="J14" s="29"/>
      <c r="K14" s="29"/>
      <c r="L14" s="29"/>
      <c r="M14" s="29"/>
      <c r="N14" s="29"/>
      <c r="O14" s="29"/>
      <c r="P14" s="29"/>
      <c r="Q14" s="29"/>
      <c r="R14" s="29"/>
      <c r="S14" s="29"/>
      <c r="T14" s="22"/>
      <c r="W14" t="s">
        <v>23</v>
      </c>
      <c r="X14" s="179">
        <v>3.9718999999999997E-2</v>
      </c>
    </row>
    <row r="15" spans="1:24" ht="15" customHeight="1" x14ac:dyDescent="0.25">
      <c r="B15" s="79"/>
      <c r="C15" s="187" t="s">
        <v>30</v>
      </c>
      <c r="D15" s="195" t="s">
        <v>116</v>
      </c>
      <c r="E15" s="196">
        <v>3.9354E-2</v>
      </c>
      <c r="F15" s="29"/>
      <c r="G15" s="29"/>
      <c r="H15" s="29"/>
      <c r="I15" s="29"/>
      <c r="J15" s="29"/>
      <c r="K15" s="29"/>
      <c r="L15" s="29"/>
      <c r="M15" s="29"/>
      <c r="N15" s="29"/>
      <c r="O15" s="29"/>
      <c r="P15" s="29"/>
      <c r="Q15" s="29"/>
      <c r="R15" s="29"/>
      <c r="S15" s="29"/>
      <c r="T15" s="22"/>
      <c r="W15" t="s">
        <v>4</v>
      </c>
      <c r="X15" s="179">
        <v>3.7062999999999999E-2</v>
      </c>
    </row>
    <row r="16" spans="1:24" ht="15" customHeight="1" x14ac:dyDescent="0.25">
      <c r="B16" s="79"/>
      <c r="C16" s="187" t="s">
        <v>78</v>
      </c>
      <c r="D16" s="195" t="s">
        <v>3</v>
      </c>
      <c r="E16" s="196">
        <v>2.8132999999999998E-2</v>
      </c>
      <c r="F16" s="29"/>
      <c r="G16" s="29"/>
      <c r="H16" s="29"/>
      <c r="I16" s="29"/>
      <c r="J16" s="29"/>
      <c r="K16" s="29"/>
      <c r="L16" s="29"/>
      <c r="M16" s="29"/>
      <c r="N16" s="29"/>
      <c r="O16" s="29"/>
      <c r="P16" s="29"/>
      <c r="Q16" s="29"/>
      <c r="R16" s="29"/>
      <c r="S16" s="29"/>
      <c r="T16" s="22"/>
      <c r="W16" t="s">
        <v>110</v>
      </c>
      <c r="X16" s="179">
        <v>3.2521000000000001E-2</v>
      </c>
    </row>
    <row r="17" spans="2:24" ht="15" customHeight="1" x14ac:dyDescent="0.25">
      <c r="B17" s="79"/>
      <c r="C17" s="187" t="s">
        <v>36</v>
      </c>
      <c r="D17" s="195" t="s">
        <v>3</v>
      </c>
      <c r="E17" s="196">
        <v>2.6601E-2</v>
      </c>
      <c r="F17" s="29"/>
      <c r="G17" s="29"/>
      <c r="H17" s="29"/>
      <c r="I17" s="29"/>
      <c r="J17" s="29"/>
      <c r="K17" s="29"/>
      <c r="L17" s="29"/>
      <c r="M17" s="29"/>
      <c r="N17" s="29"/>
      <c r="O17" s="29"/>
      <c r="P17" s="29"/>
      <c r="Q17" s="29"/>
      <c r="R17" s="29"/>
      <c r="S17" s="29"/>
      <c r="T17" s="22"/>
      <c r="W17" t="s">
        <v>10</v>
      </c>
      <c r="X17" s="179">
        <v>2.7436000000000002E-2</v>
      </c>
    </row>
    <row r="18" spans="2:24" ht="15" customHeight="1" x14ac:dyDescent="0.25">
      <c r="B18" s="79"/>
      <c r="C18" s="187" t="s">
        <v>35</v>
      </c>
      <c r="D18" s="195" t="s">
        <v>3</v>
      </c>
      <c r="E18" s="196">
        <v>2.6405000000000001E-2</v>
      </c>
      <c r="F18" s="29"/>
      <c r="G18" s="29"/>
      <c r="H18" s="29"/>
      <c r="I18" s="29"/>
      <c r="J18" s="29"/>
      <c r="K18" s="29"/>
      <c r="L18" s="29"/>
      <c r="M18" s="29"/>
      <c r="N18" s="29"/>
      <c r="O18" s="29"/>
      <c r="P18" s="29"/>
      <c r="Q18" s="29"/>
      <c r="R18" s="29"/>
      <c r="S18" s="29"/>
      <c r="T18" s="22"/>
      <c r="W18" t="s">
        <v>16</v>
      </c>
      <c r="X18" s="179">
        <v>2.3491999999999999E-2</v>
      </c>
    </row>
    <row r="19" spans="2:24" ht="15" customHeight="1" x14ac:dyDescent="0.25">
      <c r="B19" s="79"/>
      <c r="C19" s="187" t="s">
        <v>119</v>
      </c>
      <c r="D19" s="195" t="s">
        <v>111</v>
      </c>
      <c r="E19" s="196">
        <v>2.5041999999999998E-2</v>
      </c>
      <c r="F19" s="29"/>
      <c r="G19" s="29"/>
      <c r="H19" s="29"/>
      <c r="I19" s="29"/>
      <c r="J19" s="29"/>
      <c r="K19" s="29"/>
      <c r="L19" s="29"/>
      <c r="M19" s="29"/>
      <c r="N19" s="29"/>
      <c r="O19" s="29"/>
      <c r="P19" s="29"/>
      <c r="Q19" s="29"/>
      <c r="R19" s="29"/>
      <c r="S19" s="29"/>
      <c r="T19" s="22"/>
      <c r="W19" t="s">
        <v>82</v>
      </c>
      <c r="X19" s="179">
        <v>2.1201999999999999E-2</v>
      </c>
    </row>
    <row r="20" spans="2:24" ht="15" customHeight="1" x14ac:dyDescent="0.25">
      <c r="B20" s="79"/>
      <c r="C20" s="187" t="s">
        <v>80</v>
      </c>
      <c r="D20" s="195" t="s">
        <v>4</v>
      </c>
      <c r="E20" s="196">
        <v>2.0888E-2</v>
      </c>
      <c r="F20" s="29"/>
      <c r="G20" s="29"/>
      <c r="H20" s="29"/>
      <c r="I20" s="29"/>
      <c r="J20" s="29"/>
      <c r="K20" s="29"/>
      <c r="L20" s="29"/>
      <c r="M20" s="29"/>
      <c r="N20" s="29"/>
      <c r="O20" s="29"/>
      <c r="P20" s="29"/>
      <c r="Q20" s="29"/>
      <c r="R20" s="29"/>
      <c r="S20" s="29"/>
      <c r="T20" s="22"/>
      <c r="W20" t="s">
        <v>11</v>
      </c>
      <c r="X20" s="179">
        <v>1.9130000000000001E-2</v>
      </c>
    </row>
    <row r="21" spans="2:24" ht="15" customHeight="1" x14ac:dyDescent="0.25">
      <c r="B21" s="79"/>
      <c r="C21" s="187" t="s">
        <v>37</v>
      </c>
      <c r="D21" s="195" t="s">
        <v>116</v>
      </c>
      <c r="E21" s="196">
        <v>2.0733999999999999E-2</v>
      </c>
      <c r="F21" s="29"/>
      <c r="G21" s="29"/>
      <c r="H21" s="29"/>
      <c r="I21" s="29"/>
      <c r="J21" s="29"/>
      <c r="K21" s="29"/>
      <c r="L21" s="29"/>
      <c r="M21" s="29"/>
      <c r="N21" s="29"/>
      <c r="O21" s="29"/>
      <c r="P21" s="29"/>
      <c r="Q21" s="29"/>
      <c r="R21" s="29"/>
      <c r="S21" s="29"/>
      <c r="T21" s="22"/>
      <c r="W21" t="s">
        <v>107</v>
      </c>
      <c r="X21" s="179">
        <v>1.3565000000000001E-2</v>
      </c>
    </row>
    <row r="22" spans="2:24" ht="15" customHeight="1" x14ac:dyDescent="0.25">
      <c r="B22" s="79"/>
      <c r="C22" s="187" t="s">
        <v>256</v>
      </c>
      <c r="D22" s="195" t="s">
        <v>110</v>
      </c>
      <c r="E22" s="196">
        <v>1.7805000000000001E-2</v>
      </c>
      <c r="F22" s="29"/>
      <c r="G22" s="29"/>
      <c r="H22" s="29"/>
      <c r="I22" s="29"/>
      <c r="J22" s="29"/>
      <c r="K22" s="29"/>
      <c r="L22" s="29"/>
      <c r="M22" s="29"/>
      <c r="N22" s="29"/>
      <c r="O22" s="29"/>
      <c r="P22" s="29"/>
      <c r="Q22" s="29"/>
      <c r="R22" s="29"/>
      <c r="S22" s="29"/>
      <c r="T22" s="22"/>
      <c r="W22" t="s">
        <v>85</v>
      </c>
      <c r="X22" s="179">
        <v>1.2729000000000001E-2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26</v>
      </c>
      <c r="X23" s="179">
        <v>1.2085E-2</v>
      </c>
    </row>
    <row r="24" spans="2:24" ht="15" customHeight="1" x14ac:dyDescent="0.25">
      <c r="B24" s="79"/>
      <c r="C24" s="73" t="s">
        <v>55</v>
      </c>
      <c r="D24" s="74"/>
      <c r="E24" s="75">
        <f>SUM(E8:E22)</f>
        <v>0.67678199999999999</v>
      </c>
      <c r="F24" s="29"/>
      <c r="G24" s="29"/>
      <c r="H24" s="29"/>
      <c r="I24" s="29"/>
      <c r="J24" s="29"/>
      <c r="K24" s="29"/>
      <c r="L24" s="29"/>
      <c r="M24" s="29"/>
      <c r="N24" s="29"/>
      <c r="O24" s="29"/>
      <c r="P24" s="29"/>
      <c r="Q24" s="29"/>
      <c r="R24" s="29"/>
      <c r="S24" s="29"/>
      <c r="T24" s="22"/>
      <c r="W24" t="s">
        <v>86</v>
      </c>
      <c r="X24" s="179">
        <v>9.9000000000000008E-3</v>
      </c>
    </row>
    <row r="25" spans="2:24" ht="15" customHeight="1" x14ac:dyDescent="0.25">
      <c r="B25" s="79"/>
      <c r="F25" s="29"/>
      <c r="G25" s="29"/>
      <c r="H25" s="29"/>
      <c r="I25" s="29"/>
      <c r="J25" s="29"/>
      <c r="K25" s="29"/>
      <c r="L25" s="29"/>
      <c r="M25" s="29"/>
      <c r="N25" s="29"/>
      <c r="O25" s="29"/>
      <c r="P25" s="29"/>
      <c r="Q25" s="29"/>
      <c r="R25" s="29"/>
      <c r="S25" s="29"/>
      <c r="T25" s="22"/>
      <c r="W25" t="s">
        <v>13</v>
      </c>
      <c r="X25" s="179">
        <v>9.6349999999999995E-3</v>
      </c>
    </row>
    <row r="26" spans="2:24" ht="15" customHeight="1" x14ac:dyDescent="0.25">
      <c r="B26" s="79"/>
      <c r="F26" s="29"/>
      <c r="G26" s="29"/>
      <c r="H26" s="29"/>
      <c r="I26" s="29"/>
      <c r="J26" s="29"/>
      <c r="K26" s="29"/>
      <c r="L26" s="29"/>
      <c r="M26" s="29"/>
      <c r="N26" s="29"/>
      <c r="O26" s="29"/>
      <c r="P26" s="29"/>
      <c r="Q26" s="29"/>
      <c r="R26" s="29"/>
      <c r="S26" s="29"/>
      <c r="T26" s="22"/>
      <c r="W26" t="s">
        <v>130</v>
      </c>
      <c r="X26" s="179">
        <v>8.4930000000000005E-3</v>
      </c>
    </row>
    <row r="27" spans="2:24" ht="15" customHeight="1" x14ac:dyDescent="0.25">
      <c r="B27" s="79"/>
      <c r="F27" s="29"/>
      <c r="G27" s="29"/>
      <c r="H27" s="29"/>
      <c r="I27" s="29"/>
      <c r="J27" s="29"/>
      <c r="K27" s="29"/>
      <c r="L27" s="29"/>
      <c r="M27" s="29"/>
      <c r="N27" s="29"/>
      <c r="O27" s="29"/>
      <c r="P27" s="29"/>
      <c r="Q27" s="29"/>
      <c r="R27" s="29"/>
      <c r="S27" s="29"/>
      <c r="T27" s="22"/>
      <c r="W27" t="s">
        <v>15</v>
      </c>
      <c r="X27" s="179">
        <v>8.1709999999999994E-3</v>
      </c>
    </row>
    <row r="28" spans="2:24" ht="15" customHeight="1" x14ac:dyDescent="0.25">
      <c r="B28" s="79"/>
      <c r="F28" s="29"/>
      <c r="G28" s="29"/>
      <c r="H28" s="29"/>
      <c r="I28" s="29"/>
      <c r="J28" s="29"/>
      <c r="K28" s="29"/>
      <c r="L28" s="29"/>
      <c r="M28" s="29"/>
      <c r="N28" s="29"/>
      <c r="O28" s="29"/>
      <c r="P28" s="29"/>
      <c r="Q28" s="29"/>
      <c r="R28" s="29"/>
      <c r="S28" s="29"/>
      <c r="T28" s="22"/>
      <c r="W28" t="s">
        <v>129</v>
      </c>
      <c r="X28" s="179">
        <v>7.6629999999999997E-3</v>
      </c>
    </row>
    <row r="29" spans="2:24" ht="15" customHeight="1" x14ac:dyDescent="0.25">
      <c r="B29" s="79"/>
      <c r="F29" s="29"/>
      <c r="G29" s="29"/>
      <c r="H29" s="29"/>
      <c r="I29" s="29"/>
      <c r="J29" s="29"/>
      <c r="K29" s="29"/>
      <c r="L29" s="29"/>
      <c r="M29" s="29"/>
      <c r="N29" s="29"/>
      <c r="O29" s="29"/>
      <c r="P29" s="29"/>
      <c r="Q29" s="29"/>
      <c r="R29" s="29"/>
      <c r="S29" s="29"/>
      <c r="T29" s="22"/>
      <c r="W29" t="s">
        <v>76</v>
      </c>
      <c r="X29" s="179">
        <v>6.5259999999999997E-3</v>
      </c>
    </row>
    <row r="30" spans="2:24" ht="15" customHeight="1" x14ac:dyDescent="0.25">
      <c r="B30" s="79"/>
      <c r="F30" s="29"/>
      <c r="G30" s="29"/>
      <c r="H30" s="29"/>
      <c r="I30" s="29"/>
      <c r="J30" s="29"/>
      <c r="K30" s="29"/>
      <c r="L30" s="29"/>
      <c r="M30" s="29"/>
      <c r="N30" s="29"/>
      <c r="O30" s="29"/>
      <c r="P30" s="29"/>
      <c r="Q30" s="29"/>
      <c r="R30" s="29"/>
      <c r="S30" s="29"/>
      <c r="T30" s="22"/>
      <c r="W30" s="56" t="s">
        <v>114</v>
      </c>
      <c r="X30" s="57">
        <v>6.3029999999999996E-3</v>
      </c>
    </row>
    <row r="31" spans="2:24" ht="15" customHeight="1" x14ac:dyDescent="0.25">
      <c r="B31" s="79"/>
      <c r="F31" s="29"/>
      <c r="G31" s="29"/>
      <c r="H31" s="29"/>
      <c r="I31" s="29"/>
      <c r="J31" s="29"/>
      <c r="K31" s="29"/>
      <c r="L31" s="29"/>
      <c r="M31" s="29"/>
      <c r="N31" s="29"/>
      <c r="O31" s="29"/>
      <c r="P31" s="29"/>
      <c r="Q31" s="29"/>
      <c r="R31" s="29"/>
      <c r="S31" s="29"/>
      <c r="T31" s="22"/>
      <c r="W31" s="56" t="s">
        <v>131</v>
      </c>
      <c r="X31" s="57">
        <v>5.3730000000000002E-3</v>
      </c>
    </row>
    <row r="32" spans="2:24" ht="15" customHeight="1" x14ac:dyDescent="0.25">
      <c r="B32" s="79"/>
      <c r="F32" s="29"/>
      <c r="G32" s="29"/>
      <c r="H32" s="29"/>
      <c r="I32" s="29"/>
      <c r="J32" s="29"/>
      <c r="K32" s="29"/>
      <c r="L32" s="29"/>
      <c r="M32" s="29"/>
      <c r="N32" s="29"/>
      <c r="O32" s="29"/>
      <c r="P32" s="29"/>
      <c r="Q32" s="29"/>
      <c r="R32" s="29"/>
      <c r="S32" s="29"/>
      <c r="T32" s="22"/>
      <c r="W32" s="56" t="s">
        <v>83</v>
      </c>
      <c r="X32" s="57">
        <v>1.433E-3</v>
      </c>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95" t="s">
        <v>181</v>
      </c>
      <c r="C39" s="296"/>
      <c r="D39" s="296"/>
      <c r="E39" s="296"/>
      <c r="F39" s="296"/>
      <c r="G39" s="296"/>
      <c r="H39" s="296"/>
      <c r="I39" s="296"/>
      <c r="J39" s="296"/>
      <c r="K39" s="296"/>
      <c r="L39" s="296"/>
      <c r="M39" s="296"/>
      <c r="N39" s="296"/>
      <c r="O39" s="296"/>
      <c r="P39" s="296"/>
      <c r="Q39" s="296"/>
      <c r="R39" s="297"/>
    </row>
    <row r="40" spans="2:24" ht="15" customHeight="1" x14ac:dyDescent="0.25">
      <c r="B40" s="298"/>
      <c r="C40" s="299"/>
      <c r="D40" s="299"/>
      <c r="E40" s="299"/>
      <c r="F40" s="299"/>
      <c r="G40" s="299"/>
      <c r="H40" s="299"/>
      <c r="I40" s="299"/>
      <c r="J40" s="299"/>
      <c r="K40" s="299"/>
      <c r="L40" s="299"/>
      <c r="M40" s="299"/>
      <c r="N40" s="299"/>
      <c r="O40" s="299"/>
      <c r="P40" s="299"/>
      <c r="Q40" s="299"/>
      <c r="R40" s="300"/>
    </row>
    <row r="41" spans="2:24" ht="15" customHeight="1" x14ac:dyDescent="0.25">
      <c r="B41" s="298"/>
      <c r="C41" s="299"/>
      <c r="D41" s="299"/>
      <c r="E41" s="299"/>
      <c r="F41" s="299"/>
      <c r="G41" s="299"/>
      <c r="H41" s="299"/>
      <c r="I41" s="299"/>
      <c r="J41" s="299"/>
      <c r="K41" s="299"/>
      <c r="L41" s="299"/>
      <c r="M41" s="299"/>
      <c r="N41" s="299"/>
      <c r="O41" s="299"/>
      <c r="P41" s="299"/>
      <c r="Q41" s="299"/>
      <c r="R41" s="300"/>
    </row>
    <row r="42" spans="2:24" ht="15" customHeight="1" x14ac:dyDescent="0.25">
      <c r="B42" s="298"/>
      <c r="C42" s="299"/>
      <c r="D42" s="299"/>
      <c r="E42" s="299"/>
      <c r="F42" s="299"/>
      <c r="G42" s="299"/>
      <c r="H42" s="299"/>
      <c r="I42" s="299"/>
      <c r="J42" s="299"/>
      <c r="K42" s="299"/>
      <c r="L42" s="299"/>
      <c r="M42" s="299"/>
      <c r="N42" s="299"/>
      <c r="O42" s="299"/>
      <c r="P42" s="299"/>
      <c r="Q42" s="299"/>
      <c r="R42" s="300"/>
    </row>
    <row r="43" spans="2:24" ht="15" customHeight="1" x14ac:dyDescent="0.25">
      <c r="B43" s="298"/>
      <c r="C43" s="299"/>
      <c r="D43" s="299"/>
      <c r="E43" s="299"/>
      <c r="F43" s="299"/>
      <c r="G43" s="299"/>
      <c r="H43" s="299"/>
      <c r="I43" s="299"/>
      <c r="J43" s="299"/>
      <c r="K43" s="299"/>
      <c r="L43" s="299"/>
      <c r="M43" s="299"/>
      <c r="N43" s="299"/>
      <c r="O43" s="299"/>
      <c r="P43" s="299"/>
      <c r="Q43" s="299"/>
      <c r="R43" s="300"/>
    </row>
    <row r="44" spans="2:24" ht="15" customHeight="1" x14ac:dyDescent="0.25">
      <c r="B44" s="298"/>
      <c r="C44" s="299"/>
      <c r="D44" s="299"/>
      <c r="E44" s="299"/>
      <c r="F44" s="299"/>
      <c r="G44" s="299"/>
      <c r="H44" s="299"/>
      <c r="I44" s="299"/>
      <c r="J44" s="299"/>
      <c r="K44" s="299"/>
      <c r="L44" s="299"/>
      <c r="M44" s="299"/>
      <c r="N44" s="299"/>
      <c r="O44" s="299"/>
      <c r="P44" s="299"/>
      <c r="Q44" s="299"/>
      <c r="R44" s="300"/>
    </row>
    <row r="45" spans="2:24" ht="27.75" customHeight="1" thickBot="1" x14ac:dyDescent="0.3">
      <c r="B45" s="301"/>
      <c r="C45" s="302"/>
      <c r="D45" s="302"/>
      <c r="E45" s="302"/>
      <c r="F45" s="302"/>
      <c r="G45" s="302"/>
      <c r="H45" s="302"/>
      <c r="I45" s="302"/>
      <c r="J45" s="302"/>
      <c r="K45" s="302"/>
      <c r="L45" s="302"/>
      <c r="M45" s="302"/>
      <c r="N45" s="302"/>
      <c r="O45" s="302"/>
      <c r="P45" s="302"/>
      <c r="Q45" s="302"/>
      <c r="R45" s="30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4" t="s">
        <v>153</v>
      </c>
      <c r="D3" s="305"/>
      <c r="E3" s="305"/>
      <c r="F3" s="305"/>
      <c r="G3" s="305"/>
      <c r="H3" s="305"/>
      <c r="I3" s="305"/>
      <c r="J3" s="305"/>
      <c r="K3" s="305"/>
      <c r="L3" s="305"/>
      <c r="M3" s="305"/>
      <c r="N3" s="305"/>
      <c r="O3" s="305"/>
      <c r="P3" s="305"/>
      <c r="Q3" s="305"/>
      <c r="R3" s="305"/>
      <c r="S3" s="305"/>
      <c r="T3" s="65"/>
      <c r="U3" s="66"/>
    </row>
    <row r="4" spans="1:24" ht="15.75" customHeight="1" x14ac:dyDescent="0.25">
      <c r="B4" s="64"/>
      <c r="C4" s="67" t="s">
        <v>387</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08" t="s">
        <v>418</v>
      </c>
      <c r="E5" s="308"/>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4" t="s">
        <v>29</v>
      </c>
      <c r="D8" s="205" t="s">
        <v>3</v>
      </c>
      <c r="E8" s="194">
        <v>0.10095700000000001</v>
      </c>
      <c r="F8" s="29"/>
      <c r="G8" s="29"/>
      <c r="H8" s="29"/>
      <c r="I8" s="29"/>
      <c r="J8" s="29"/>
      <c r="K8" s="29"/>
      <c r="L8" s="29"/>
      <c r="M8" s="29"/>
      <c r="N8" s="29"/>
      <c r="O8" s="29"/>
      <c r="P8" s="29"/>
      <c r="Q8" s="29"/>
      <c r="R8" s="29"/>
      <c r="S8" s="29"/>
      <c r="T8" s="29"/>
      <c r="U8" s="25"/>
      <c r="W8" s="178" t="s">
        <v>3</v>
      </c>
      <c r="X8" s="179">
        <v>0.25222899999999998</v>
      </c>
    </row>
    <row r="9" spans="1:24" ht="15.75" customHeight="1" x14ac:dyDescent="0.25">
      <c r="B9" s="64"/>
      <c r="C9" s="206" t="s">
        <v>32</v>
      </c>
      <c r="D9" s="207" t="s">
        <v>3</v>
      </c>
      <c r="E9" s="196">
        <v>6.9087999999999997E-2</v>
      </c>
      <c r="F9" s="29"/>
      <c r="G9" s="29"/>
      <c r="H9" s="29"/>
      <c r="I9" s="29"/>
      <c r="J9" s="29"/>
      <c r="K9" s="29"/>
      <c r="L9" s="29"/>
      <c r="M9" s="29"/>
      <c r="N9" s="29"/>
      <c r="O9" s="29"/>
      <c r="P9" s="29"/>
      <c r="Q9" s="29"/>
      <c r="R9" s="29"/>
      <c r="S9" s="29"/>
      <c r="T9" s="29"/>
      <c r="U9" s="25"/>
      <c r="W9" s="178" t="s">
        <v>106</v>
      </c>
      <c r="X9" s="179">
        <v>0.119523</v>
      </c>
    </row>
    <row r="10" spans="1:24" ht="15.75" x14ac:dyDescent="0.25">
      <c r="B10" s="64"/>
      <c r="C10" s="206" t="s">
        <v>31</v>
      </c>
      <c r="D10" s="207" t="s">
        <v>6</v>
      </c>
      <c r="E10" s="196">
        <v>6.7118999999999998E-2</v>
      </c>
      <c r="F10" s="29"/>
      <c r="G10" s="29"/>
      <c r="H10" s="29"/>
      <c r="I10" s="29"/>
      <c r="J10" s="29"/>
      <c r="K10" s="29"/>
      <c r="L10" s="29"/>
      <c r="M10" s="29"/>
      <c r="N10" s="29"/>
      <c r="O10" s="29"/>
      <c r="P10" s="29"/>
      <c r="Q10" s="29"/>
      <c r="R10" s="29"/>
      <c r="S10" s="29"/>
      <c r="T10" s="29"/>
      <c r="U10" s="25"/>
      <c r="W10" s="178" t="s">
        <v>6</v>
      </c>
      <c r="X10" s="179">
        <v>7.4829999999999994E-2</v>
      </c>
    </row>
    <row r="11" spans="1:24" ht="15.75" customHeight="1" x14ac:dyDescent="0.25">
      <c r="B11" s="64"/>
      <c r="C11" s="206" t="s">
        <v>28</v>
      </c>
      <c r="D11" s="207" t="s">
        <v>106</v>
      </c>
      <c r="E11" s="196">
        <v>5.2918E-2</v>
      </c>
      <c r="F11" s="29"/>
      <c r="G11" s="29"/>
      <c r="H11" s="29"/>
      <c r="I11" s="29"/>
      <c r="J11" s="29"/>
      <c r="K11" s="29"/>
      <c r="L11" s="29"/>
      <c r="M11" s="29"/>
      <c r="N11" s="29"/>
      <c r="O11" s="29"/>
      <c r="P11" s="29"/>
      <c r="Q11" s="29"/>
      <c r="R11" s="29"/>
      <c r="S11" s="29"/>
      <c r="T11" s="29"/>
      <c r="U11" s="25"/>
      <c r="W11" s="178" t="s">
        <v>111</v>
      </c>
      <c r="X11" s="179">
        <v>6.7239000000000007E-2</v>
      </c>
    </row>
    <row r="12" spans="1:24" ht="15" customHeight="1" x14ac:dyDescent="0.25">
      <c r="B12" s="64"/>
      <c r="C12" s="206" t="s">
        <v>70</v>
      </c>
      <c r="D12" s="207" t="s">
        <v>12</v>
      </c>
      <c r="E12" s="196">
        <v>3.4090000000000002E-2</v>
      </c>
      <c r="F12" s="29"/>
      <c r="G12" s="29"/>
      <c r="H12" s="29"/>
      <c r="I12" s="29"/>
      <c r="J12" s="29"/>
      <c r="K12" s="29"/>
      <c r="L12" s="29"/>
      <c r="M12" s="29"/>
      <c r="N12" s="29"/>
      <c r="O12" s="29"/>
      <c r="P12" s="29"/>
      <c r="Q12" s="29"/>
      <c r="R12" s="29"/>
      <c r="S12" s="29"/>
      <c r="T12" s="29"/>
      <c r="U12" s="25"/>
      <c r="W12" s="178" t="s">
        <v>4</v>
      </c>
      <c r="X12" s="179">
        <v>5.6204000000000004E-2</v>
      </c>
    </row>
    <row r="13" spans="1:24" ht="15" customHeight="1" x14ac:dyDescent="0.25">
      <c r="B13" s="64"/>
      <c r="C13" s="206" t="s">
        <v>33</v>
      </c>
      <c r="D13" s="207" t="s">
        <v>106</v>
      </c>
      <c r="E13" s="196">
        <v>3.2847000000000001E-2</v>
      </c>
      <c r="F13" s="29"/>
      <c r="G13" s="29"/>
      <c r="H13" s="29"/>
      <c r="I13" s="29"/>
      <c r="J13" s="29"/>
      <c r="K13" s="29"/>
      <c r="L13" s="29"/>
      <c r="M13" s="29"/>
      <c r="N13" s="29"/>
      <c r="O13" s="29"/>
      <c r="P13" s="29"/>
      <c r="Q13" s="29"/>
      <c r="R13" s="29"/>
      <c r="S13" s="29"/>
      <c r="T13" s="29"/>
      <c r="U13" s="25"/>
      <c r="W13" s="178" t="s">
        <v>116</v>
      </c>
      <c r="X13" s="179">
        <v>4.9644000000000001E-2</v>
      </c>
    </row>
    <row r="14" spans="1:24" ht="15" customHeight="1" x14ac:dyDescent="0.25">
      <c r="B14" s="64"/>
      <c r="C14" s="206" t="s">
        <v>34</v>
      </c>
      <c r="D14" s="207" t="s">
        <v>23</v>
      </c>
      <c r="E14" s="196">
        <v>3.2816999999999999E-2</v>
      </c>
      <c r="F14" s="29"/>
      <c r="G14" s="29"/>
      <c r="H14" s="29"/>
      <c r="I14" s="29"/>
      <c r="J14" s="29"/>
      <c r="K14" s="29"/>
      <c r="L14" s="29"/>
      <c r="M14" s="29"/>
      <c r="N14" s="29"/>
      <c r="O14" s="29"/>
      <c r="P14" s="29"/>
      <c r="Q14" s="29"/>
      <c r="R14" s="29"/>
      <c r="S14" s="29"/>
      <c r="T14" s="29"/>
      <c r="U14" s="25"/>
      <c r="W14" s="178" t="s">
        <v>10</v>
      </c>
      <c r="X14" s="179">
        <v>3.9239999999999997E-2</v>
      </c>
    </row>
    <row r="15" spans="1:24" ht="15" customHeight="1" x14ac:dyDescent="0.25">
      <c r="B15" s="64"/>
      <c r="C15" s="206" t="s">
        <v>30</v>
      </c>
      <c r="D15" s="207" t="s">
        <v>116</v>
      </c>
      <c r="E15" s="196">
        <v>3.2515000000000002E-2</v>
      </c>
      <c r="F15" s="29"/>
      <c r="G15" s="29"/>
      <c r="H15" s="29"/>
      <c r="I15" s="29"/>
      <c r="J15" s="29"/>
      <c r="K15" s="29"/>
      <c r="L15" s="29"/>
      <c r="M15" s="29"/>
      <c r="N15" s="29"/>
      <c r="O15" s="29"/>
      <c r="P15" s="29"/>
      <c r="Q15" s="29"/>
      <c r="R15" s="29"/>
      <c r="S15" s="29"/>
      <c r="T15" s="29"/>
      <c r="U15" s="25"/>
      <c r="W15" s="178" t="s">
        <v>110</v>
      </c>
      <c r="X15" s="179">
        <v>3.6698999999999996E-2</v>
      </c>
    </row>
    <row r="16" spans="1:24" ht="15" customHeight="1" x14ac:dyDescent="0.25">
      <c r="B16" s="64"/>
      <c r="C16" s="206" t="s">
        <v>78</v>
      </c>
      <c r="D16" s="207" t="s">
        <v>3</v>
      </c>
      <c r="E16" s="196">
        <v>2.3244999999999998E-2</v>
      </c>
      <c r="F16" s="29"/>
      <c r="G16" s="29"/>
      <c r="H16" s="29"/>
      <c r="I16" s="29"/>
      <c r="J16" s="29"/>
      <c r="K16" s="29"/>
      <c r="L16" s="29"/>
      <c r="M16" s="29"/>
      <c r="N16" s="29"/>
      <c r="O16" s="29"/>
      <c r="P16" s="29"/>
      <c r="Q16" s="29"/>
      <c r="R16" s="29"/>
      <c r="S16" s="29"/>
      <c r="T16" s="29"/>
      <c r="U16" s="25"/>
      <c r="W16" s="178" t="s">
        <v>12</v>
      </c>
      <c r="X16" s="179">
        <v>3.4090000000000002E-2</v>
      </c>
    </row>
    <row r="17" spans="2:24" ht="15" customHeight="1" x14ac:dyDescent="0.25">
      <c r="B17" s="64"/>
      <c r="C17" s="206" t="s">
        <v>36</v>
      </c>
      <c r="D17" s="207" t="s">
        <v>3</v>
      </c>
      <c r="E17" s="196">
        <v>2.1978000000000001E-2</v>
      </c>
      <c r="F17" s="29"/>
      <c r="G17" s="29"/>
      <c r="H17" s="29"/>
      <c r="I17" s="29"/>
      <c r="J17" s="29"/>
      <c r="K17" s="29"/>
      <c r="L17" s="29"/>
      <c r="M17" s="29"/>
      <c r="N17" s="29"/>
      <c r="O17" s="29"/>
      <c r="P17" s="29"/>
      <c r="Q17" s="29"/>
      <c r="R17" s="29"/>
      <c r="S17" s="29"/>
      <c r="T17" s="29"/>
      <c r="U17" s="25"/>
      <c r="W17" s="178" t="s">
        <v>23</v>
      </c>
      <c r="X17" s="179">
        <v>3.2816999999999999E-2</v>
      </c>
    </row>
    <row r="18" spans="2:24" ht="15" customHeight="1" x14ac:dyDescent="0.25">
      <c r="B18" s="64"/>
      <c r="C18" s="206" t="s">
        <v>35</v>
      </c>
      <c r="D18" s="207" t="s">
        <v>3</v>
      </c>
      <c r="E18" s="196">
        <v>2.1819999999999999E-2</v>
      </c>
      <c r="F18" s="29"/>
      <c r="G18" s="29"/>
      <c r="H18" s="29"/>
      <c r="I18" s="29"/>
      <c r="J18" s="29"/>
      <c r="K18" s="29"/>
      <c r="L18" s="29"/>
      <c r="M18" s="29"/>
      <c r="N18" s="29"/>
      <c r="O18" s="29"/>
      <c r="P18" s="29"/>
      <c r="Q18" s="29"/>
      <c r="R18" s="29"/>
      <c r="S18" s="29"/>
      <c r="T18" s="29"/>
      <c r="U18" s="25"/>
      <c r="W18" s="178" t="s">
        <v>26</v>
      </c>
      <c r="X18" s="179">
        <v>3.0879E-2</v>
      </c>
    </row>
    <row r="19" spans="2:24" ht="15" customHeight="1" x14ac:dyDescent="0.25">
      <c r="B19" s="64"/>
      <c r="C19" s="206" t="s">
        <v>119</v>
      </c>
      <c r="D19" s="207" t="s">
        <v>111</v>
      </c>
      <c r="E19" s="196">
        <v>2.0687000000000001E-2</v>
      </c>
      <c r="F19" s="29"/>
      <c r="G19" s="29"/>
      <c r="H19" s="29"/>
      <c r="I19" s="29"/>
      <c r="J19" s="29"/>
      <c r="K19" s="29"/>
      <c r="L19" s="29"/>
      <c r="M19" s="29"/>
      <c r="N19" s="29"/>
      <c r="O19" s="29"/>
      <c r="P19" s="29"/>
      <c r="Q19" s="29"/>
      <c r="R19" s="29"/>
      <c r="S19" s="29"/>
      <c r="T19" s="29"/>
      <c r="U19" s="25"/>
      <c r="W19" s="178" t="s">
        <v>82</v>
      </c>
      <c r="X19" s="179">
        <v>2.3130000000000001E-2</v>
      </c>
    </row>
    <row r="20" spans="2:24" ht="15" customHeight="1" x14ac:dyDescent="0.25">
      <c r="B20" s="64"/>
      <c r="C20" s="206" t="s">
        <v>80</v>
      </c>
      <c r="D20" s="207" t="s">
        <v>4</v>
      </c>
      <c r="E20" s="196">
        <v>1.7249E-2</v>
      </c>
      <c r="F20" s="29"/>
      <c r="G20" s="29"/>
      <c r="H20" s="29"/>
      <c r="I20" s="29"/>
      <c r="J20" s="29"/>
      <c r="K20" s="29"/>
      <c r="L20" s="29"/>
      <c r="M20" s="29"/>
      <c r="N20" s="29"/>
      <c r="O20" s="29"/>
      <c r="P20" s="29"/>
      <c r="Q20" s="29"/>
      <c r="R20" s="29"/>
      <c r="S20" s="29"/>
      <c r="T20" s="29"/>
      <c r="U20" s="25"/>
      <c r="W20" s="178" t="s">
        <v>16</v>
      </c>
      <c r="X20" s="179">
        <v>2.2511E-2</v>
      </c>
    </row>
    <row r="21" spans="2:24" ht="15" customHeight="1" x14ac:dyDescent="0.25">
      <c r="B21" s="64"/>
      <c r="C21" s="206" t="s">
        <v>37</v>
      </c>
      <c r="D21" s="207" t="s">
        <v>116</v>
      </c>
      <c r="E21" s="196">
        <v>1.7128999999999998E-2</v>
      </c>
      <c r="F21" s="29"/>
      <c r="G21" s="29"/>
      <c r="H21" s="29"/>
      <c r="I21" s="29"/>
      <c r="J21" s="29"/>
      <c r="K21" s="29"/>
      <c r="L21" s="29"/>
      <c r="M21" s="29"/>
      <c r="N21" s="29"/>
      <c r="O21" s="29"/>
      <c r="P21" s="29"/>
      <c r="Q21" s="29"/>
      <c r="R21" s="29"/>
      <c r="S21" s="29"/>
      <c r="T21" s="29"/>
      <c r="U21" s="25"/>
      <c r="W21" s="178" t="s">
        <v>11</v>
      </c>
      <c r="X21" s="179">
        <v>1.8152000000000001E-2</v>
      </c>
    </row>
    <row r="22" spans="2:24" ht="15" customHeight="1" x14ac:dyDescent="0.25">
      <c r="B22" s="64"/>
      <c r="C22" s="206" t="s">
        <v>256</v>
      </c>
      <c r="D22" s="207" t="s">
        <v>110</v>
      </c>
      <c r="E22" s="196">
        <v>1.4711999999999999E-2</v>
      </c>
      <c r="F22" s="29"/>
      <c r="G22" s="29"/>
      <c r="H22" s="29"/>
      <c r="I22" s="29"/>
      <c r="J22" s="29"/>
      <c r="K22" s="29"/>
      <c r="L22" s="29"/>
      <c r="M22" s="29"/>
      <c r="N22" s="29"/>
      <c r="O22" s="29"/>
      <c r="P22" s="29"/>
      <c r="Q22" s="29"/>
      <c r="R22" s="29"/>
      <c r="S22" s="29"/>
      <c r="T22" s="29"/>
      <c r="U22" s="25"/>
      <c r="W22" s="178" t="s">
        <v>85</v>
      </c>
      <c r="X22" s="179">
        <v>1.7329999999999998E-2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86</v>
      </c>
      <c r="X23" s="179">
        <v>1.4020000000000001E-2</v>
      </c>
    </row>
    <row r="24" spans="2:24" ht="15" customHeight="1" x14ac:dyDescent="0.25">
      <c r="B24" s="64"/>
      <c r="C24" s="73" t="s">
        <v>55</v>
      </c>
      <c r="D24" s="74"/>
      <c r="E24" s="75">
        <f>SUM(E8:E22)</f>
        <v>0.55917099999999986</v>
      </c>
      <c r="F24" s="29"/>
      <c r="G24" s="29"/>
      <c r="H24" s="29"/>
      <c r="I24" s="29"/>
      <c r="J24" s="29"/>
      <c r="K24" s="29"/>
      <c r="L24" s="29"/>
      <c r="M24" s="29"/>
      <c r="N24" s="29"/>
      <c r="O24" s="29"/>
      <c r="P24" s="29"/>
      <c r="Q24" s="29"/>
      <c r="R24" s="29"/>
      <c r="S24" s="29"/>
      <c r="T24" s="29"/>
      <c r="U24" s="25"/>
      <c r="W24" s="178" t="s">
        <v>107</v>
      </c>
      <c r="X24" s="179">
        <v>1.1196999999999999E-2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105</v>
      </c>
      <c r="X25" s="179">
        <v>8.9009999999999992E-3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118</v>
      </c>
      <c r="X26" s="179">
        <v>8.6820000000000005E-3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13</v>
      </c>
      <c r="X27" s="179">
        <v>7.9609999999999993E-3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130</v>
      </c>
      <c r="X28" s="179">
        <v>7.0169999999999998E-3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15</v>
      </c>
      <c r="X29" s="179">
        <v>6.7520000000000002E-3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123</v>
      </c>
      <c r="X30" s="179">
        <v>6.6280000000000002E-3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112</v>
      </c>
      <c r="X31" s="179">
        <v>6.3509999999999999E-3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129</v>
      </c>
      <c r="X32" s="179">
        <v>6.332E-3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132</v>
      </c>
      <c r="X33" s="179">
        <v>5.8479999999999999E-3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120</v>
      </c>
      <c r="X34" s="179">
        <v>5.7420000000000006E-3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76</v>
      </c>
      <c r="X35" s="179">
        <v>5.3880000000000004E-3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114</v>
      </c>
      <c r="X36" s="179">
        <v>5.208E-3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109</v>
      </c>
      <c r="X37" s="179">
        <v>5.2009999999999999E-3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25</v>
      </c>
      <c r="X38" s="179">
        <v>5.13E-3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131</v>
      </c>
      <c r="X39" s="179">
        <v>4.4520000000000002E-3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115</v>
      </c>
      <c r="X40" s="179">
        <v>3.4510000000000001E-3</v>
      </c>
    </row>
    <row r="41" spans="2:24" ht="15" customHeight="1" thickBot="1" x14ac:dyDescent="0.3">
      <c r="W41" s="178" t="s">
        <v>83</v>
      </c>
      <c r="X41" s="179">
        <v>3.127E-3</v>
      </c>
    </row>
    <row r="42" spans="2:24" ht="15" customHeight="1" x14ac:dyDescent="0.25">
      <c r="B42" s="295" t="s">
        <v>181</v>
      </c>
      <c r="C42" s="296"/>
      <c r="D42" s="296"/>
      <c r="E42" s="296"/>
      <c r="F42" s="296"/>
      <c r="G42" s="296"/>
      <c r="H42" s="296"/>
      <c r="I42" s="296"/>
      <c r="J42" s="296"/>
      <c r="K42" s="296"/>
      <c r="L42" s="296"/>
      <c r="M42" s="296"/>
      <c r="N42" s="296"/>
      <c r="O42" s="296"/>
      <c r="P42" s="296"/>
      <c r="Q42" s="296"/>
      <c r="R42" s="297"/>
      <c r="W42" s="178"/>
      <c r="X42" s="179"/>
    </row>
    <row r="43" spans="2:24" ht="15" customHeight="1" x14ac:dyDescent="0.25">
      <c r="B43" s="298"/>
      <c r="C43" s="299"/>
      <c r="D43" s="299"/>
      <c r="E43" s="299"/>
      <c r="F43" s="299"/>
      <c r="G43" s="299"/>
      <c r="H43" s="299"/>
      <c r="I43" s="299"/>
      <c r="J43" s="299"/>
      <c r="K43" s="299"/>
      <c r="L43" s="299"/>
      <c r="M43" s="299"/>
      <c r="N43" s="299"/>
      <c r="O43" s="299"/>
      <c r="P43" s="299"/>
      <c r="Q43" s="299"/>
      <c r="R43" s="300"/>
      <c r="W43" s="178"/>
      <c r="X43" s="179"/>
    </row>
    <row r="44" spans="2:24" ht="15" customHeight="1" x14ac:dyDescent="0.25">
      <c r="B44" s="298"/>
      <c r="C44" s="299"/>
      <c r="D44" s="299"/>
      <c r="E44" s="299"/>
      <c r="F44" s="299"/>
      <c r="G44" s="299"/>
      <c r="H44" s="299"/>
      <c r="I44" s="299"/>
      <c r="J44" s="299"/>
      <c r="K44" s="299"/>
      <c r="L44" s="299"/>
      <c r="M44" s="299"/>
      <c r="N44" s="299"/>
      <c r="O44" s="299"/>
      <c r="P44" s="299"/>
      <c r="Q44" s="299"/>
      <c r="R44" s="300"/>
      <c r="W44" s="178"/>
      <c r="X44" s="179"/>
    </row>
    <row r="45" spans="2:24" ht="15" customHeight="1" x14ac:dyDescent="0.25">
      <c r="B45" s="298"/>
      <c r="C45" s="299"/>
      <c r="D45" s="299"/>
      <c r="E45" s="299"/>
      <c r="F45" s="299"/>
      <c r="G45" s="299"/>
      <c r="H45" s="299"/>
      <c r="I45" s="299"/>
      <c r="J45" s="299"/>
      <c r="K45" s="299"/>
      <c r="L45" s="299"/>
      <c r="M45" s="299"/>
      <c r="N45" s="299"/>
      <c r="O45" s="299"/>
      <c r="P45" s="299"/>
      <c r="Q45" s="299"/>
      <c r="R45" s="300"/>
    </row>
    <row r="46" spans="2:24" ht="15" customHeight="1" x14ac:dyDescent="0.25">
      <c r="B46" s="298"/>
      <c r="C46" s="299"/>
      <c r="D46" s="299"/>
      <c r="E46" s="299"/>
      <c r="F46" s="299"/>
      <c r="G46" s="299"/>
      <c r="H46" s="299"/>
      <c r="I46" s="299"/>
      <c r="J46" s="299"/>
      <c r="K46" s="299"/>
      <c r="L46" s="299"/>
      <c r="M46" s="299"/>
      <c r="N46" s="299"/>
      <c r="O46" s="299"/>
      <c r="P46" s="299"/>
      <c r="Q46" s="299"/>
      <c r="R46" s="300"/>
    </row>
    <row r="47" spans="2:24" ht="15" customHeight="1" x14ac:dyDescent="0.25">
      <c r="B47" s="298"/>
      <c r="C47" s="299"/>
      <c r="D47" s="299"/>
      <c r="E47" s="299"/>
      <c r="F47" s="299"/>
      <c r="G47" s="299"/>
      <c r="H47" s="299"/>
      <c r="I47" s="299"/>
      <c r="J47" s="299"/>
      <c r="K47" s="299"/>
      <c r="L47" s="299"/>
      <c r="M47" s="299"/>
      <c r="N47" s="299"/>
      <c r="O47" s="299"/>
      <c r="P47" s="299"/>
      <c r="Q47" s="299"/>
      <c r="R47" s="300"/>
    </row>
    <row r="48" spans="2:24" ht="15" customHeight="1" thickBot="1" x14ac:dyDescent="0.3">
      <c r="B48" s="301"/>
      <c r="C48" s="302"/>
      <c r="D48" s="302"/>
      <c r="E48" s="302"/>
      <c r="F48" s="302"/>
      <c r="G48" s="302"/>
      <c r="H48" s="302"/>
      <c r="I48" s="302"/>
      <c r="J48" s="302"/>
      <c r="K48" s="302"/>
      <c r="L48" s="302"/>
      <c r="M48" s="302"/>
      <c r="N48" s="302"/>
      <c r="O48" s="302"/>
      <c r="P48" s="302"/>
      <c r="Q48" s="302"/>
      <c r="R48" s="30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152</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419</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70</v>
      </c>
      <c r="D8" s="193" t="s">
        <v>12</v>
      </c>
      <c r="E8" s="194">
        <v>5.5981000000000003E-2</v>
      </c>
      <c r="F8" s="29"/>
      <c r="G8" s="29"/>
      <c r="H8" s="29"/>
      <c r="I8" s="29"/>
      <c r="J8" s="29"/>
      <c r="K8" s="29"/>
      <c r="L8" s="29"/>
      <c r="M8" s="29"/>
      <c r="N8" s="29"/>
      <c r="O8" s="29"/>
      <c r="P8" s="29"/>
      <c r="Q8" s="29"/>
      <c r="R8" s="29"/>
      <c r="S8" s="29"/>
      <c r="T8" s="29"/>
      <c r="U8" s="25"/>
      <c r="W8" s="61" t="s">
        <v>106</v>
      </c>
      <c r="X8" s="62">
        <v>0.255077</v>
      </c>
    </row>
    <row r="9" spans="1:24" ht="15.75" x14ac:dyDescent="0.25">
      <c r="B9" s="64"/>
      <c r="C9" s="187" t="s">
        <v>119</v>
      </c>
      <c r="D9" s="195" t="s">
        <v>111</v>
      </c>
      <c r="E9" s="196">
        <v>5.5322000000000003E-2</v>
      </c>
      <c r="F9" s="29"/>
      <c r="G9" s="29"/>
      <c r="H9" s="29"/>
      <c r="I9" s="29"/>
      <c r="J9" s="29"/>
      <c r="K9" s="29"/>
      <c r="L9" s="29"/>
      <c r="M9" s="29"/>
      <c r="N9" s="29"/>
      <c r="O9" s="29"/>
      <c r="P9" s="29"/>
      <c r="Q9" s="29"/>
      <c r="R9" s="29"/>
      <c r="S9" s="29"/>
      <c r="T9" s="29"/>
      <c r="U9" s="25"/>
      <c r="W9" s="61" t="s">
        <v>110</v>
      </c>
      <c r="X9" s="62">
        <v>0.13930199999999998</v>
      </c>
    </row>
    <row r="10" spans="1:24" ht="15.75" x14ac:dyDescent="0.25">
      <c r="B10" s="64"/>
      <c r="C10" s="187" t="s">
        <v>28</v>
      </c>
      <c r="D10" s="195" t="s">
        <v>106</v>
      </c>
      <c r="E10" s="196">
        <v>5.4260999999999997E-2</v>
      </c>
      <c r="F10" s="29"/>
      <c r="G10" s="29"/>
      <c r="H10" s="29"/>
      <c r="I10" s="29"/>
      <c r="J10" s="29"/>
      <c r="K10" s="29"/>
      <c r="L10" s="29"/>
      <c r="M10" s="29"/>
      <c r="N10" s="29"/>
      <c r="O10" s="29"/>
      <c r="P10" s="29"/>
      <c r="Q10" s="29"/>
      <c r="R10" s="29"/>
      <c r="S10" s="29"/>
      <c r="T10" s="29"/>
      <c r="U10" s="25"/>
      <c r="W10" s="61" t="s">
        <v>26</v>
      </c>
      <c r="X10" s="62">
        <v>0.12548399999999998</v>
      </c>
    </row>
    <row r="11" spans="1:24" ht="15.75" x14ac:dyDescent="0.25">
      <c r="B11" s="64"/>
      <c r="C11" s="187" t="s">
        <v>189</v>
      </c>
      <c r="D11" s="195" t="s">
        <v>106</v>
      </c>
      <c r="E11" s="196">
        <v>5.3617999999999999E-2</v>
      </c>
      <c r="F11" s="29"/>
      <c r="G11" s="29"/>
      <c r="H11" s="29"/>
      <c r="I11" s="29"/>
      <c r="J11" s="29"/>
      <c r="K11" s="29"/>
      <c r="L11" s="29"/>
      <c r="M11" s="29"/>
      <c r="N11" s="29"/>
      <c r="O11" s="29"/>
      <c r="P11" s="29"/>
      <c r="Q11" s="29"/>
      <c r="R11" s="29"/>
      <c r="S11" s="29"/>
      <c r="T11" s="29"/>
      <c r="U11" s="25"/>
      <c r="W11" s="61" t="s">
        <v>16</v>
      </c>
      <c r="X11" s="62">
        <v>7.6654E-2</v>
      </c>
    </row>
    <row r="12" spans="1:24" ht="30" x14ac:dyDescent="0.25">
      <c r="B12" s="64"/>
      <c r="C12" s="187" t="s">
        <v>256</v>
      </c>
      <c r="D12" s="195" t="s">
        <v>110</v>
      </c>
      <c r="E12" s="196">
        <v>5.2145999999999998E-2</v>
      </c>
      <c r="F12" s="29"/>
      <c r="G12" s="29"/>
      <c r="H12" s="29"/>
      <c r="I12" s="29"/>
      <c r="J12" s="29"/>
      <c r="K12" s="29"/>
      <c r="L12" s="29"/>
      <c r="M12" s="29"/>
      <c r="N12" s="29"/>
      <c r="O12" s="29"/>
      <c r="P12" s="29"/>
      <c r="Q12" s="29"/>
      <c r="R12" s="29"/>
      <c r="S12" s="29"/>
      <c r="T12" s="29"/>
      <c r="U12" s="25"/>
      <c r="W12" s="61" t="s">
        <v>12</v>
      </c>
      <c r="X12" s="62">
        <v>5.5981000000000003E-2</v>
      </c>
    </row>
    <row r="13" spans="1:24" ht="15.75" x14ac:dyDescent="0.25">
      <c r="B13" s="64"/>
      <c r="C13" s="187" t="s">
        <v>190</v>
      </c>
      <c r="D13" s="195" t="s">
        <v>106</v>
      </c>
      <c r="E13" s="196">
        <v>4.9979999999999997E-2</v>
      </c>
      <c r="F13" s="29"/>
      <c r="G13" s="29"/>
      <c r="H13" s="29"/>
      <c r="I13" s="29"/>
      <c r="J13" s="29"/>
      <c r="K13" s="29"/>
      <c r="L13" s="29"/>
      <c r="M13" s="29"/>
      <c r="N13" s="29"/>
      <c r="O13" s="29"/>
      <c r="P13" s="29"/>
      <c r="Q13" s="29"/>
      <c r="R13" s="29"/>
      <c r="S13" s="29"/>
      <c r="T13" s="29"/>
      <c r="U13" s="25"/>
      <c r="W13" s="61" t="s">
        <v>111</v>
      </c>
      <c r="X13" s="62">
        <v>5.5322000000000003E-2</v>
      </c>
    </row>
    <row r="14" spans="1:24" ht="15.75" x14ac:dyDescent="0.25">
      <c r="B14" s="64"/>
      <c r="C14" s="187" t="s">
        <v>186</v>
      </c>
      <c r="D14" s="195" t="s">
        <v>106</v>
      </c>
      <c r="E14" s="196">
        <v>4.6462999999999997E-2</v>
      </c>
      <c r="F14" s="29"/>
      <c r="G14" s="29"/>
      <c r="H14" s="29"/>
      <c r="I14" s="29"/>
      <c r="J14" s="29"/>
      <c r="K14" s="29"/>
      <c r="L14" s="29"/>
      <c r="M14" s="29"/>
      <c r="N14" s="29"/>
      <c r="O14" s="29"/>
      <c r="P14" s="29"/>
      <c r="Q14" s="29"/>
      <c r="R14" s="29"/>
      <c r="S14" s="29"/>
      <c r="T14" s="29"/>
      <c r="U14" s="25"/>
      <c r="W14" s="61" t="s">
        <v>183</v>
      </c>
      <c r="X14" s="62">
        <v>4.5442000000000003E-2</v>
      </c>
    </row>
    <row r="15" spans="1:24" ht="30" x14ac:dyDescent="0.25">
      <c r="B15" s="64"/>
      <c r="C15" s="187" t="s">
        <v>307</v>
      </c>
      <c r="D15" s="195" t="s">
        <v>110</v>
      </c>
      <c r="E15" s="196">
        <v>4.6274999999999997E-2</v>
      </c>
      <c r="F15" s="29"/>
      <c r="G15" s="29"/>
      <c r="H15" s="29"/>
      <c r="I15" s="29"/>
      <c r="J15" s="29"/>
      <c r="K15" s="29"/>
      <c r="L15" s="29"/>
      <c r="M15" s="29"/>
      <c r="N15" s="29"/>
      <c r="O15" s="29"/>
      <c r="P15" s="29"/>
      <c r="Q15" s="29"/>
      <c r="R15" s="29"/>
      <c r="S15" s="29"/>
      <c r="T15" s="29"/>
      <c r="U15" s="25"/>
      <c r="W15" s="61" t="s">
        <v>86</v>
      </c>
      <c r="X15" s="62">
        <v>4.1642999999999999E-2</v>
      </c>
    </row>
    <row r="16" spans="1:24" ht="15.75" x14ac:dyDescent="0.25">
      <c r="B16" s="64"/>
      <c r="C16" s="187" t="s">
        <v>235</v>
      </c>
      <c r="D16" s="195" t="s">
        <v>16</v>
      </c>
      <c r="E16" s="196">
        <v>4.5740999999999997E-2</v>
      </c>
      <c r="F16" s="29"/>
      <c r="G16" s="29"/>
      <c r="H16" s="29"/>
      <c r="I16" s="29"/>
      <c r="J16" s="29"/>
      <c r="K16" s="29"/>
      <c r="L16" s="29"/>
      <c r="M16" s="29"/>
      <c r="N16" s="29"/>
      <c r="O16" s="29"/>
      <c r="P16" s="29"/>
      <c r="Q16" s="29"/>
      <c r="R16" s="29"/>
      <c r="S16" s="29"/>
      <c r="T16" s="29"/>
      <c r="U16" s="25"/>
      <c r="W16" s="61" t="s">
        <v>83</v>
      </c>
      <c r="X16" s="62">
        <v>4.0619000000000002E-2</v>
      </c>
    </row>
    <row r="17" spans="2:24" ht="15.75" x14ac:dyDescent="0.25">
      <c r="B17" s="64"/>
      <c r="C17" s="187" t="s">
        <v>137</v>
      </c>
      <c r="D17" s="195" t="s">
        <v>26</v>
      </c>
      <c r="E17" s="196">
        <v>4.4839999999999998E-2</v>
      </c>
      <c r="F17" s="29"/>
      <c r="G17" s="29"/>
      <c r="H17" s="29"/>
      <c r="I17" s="29"/>
      <c r="J17" s="29"/>
      <c r="K17" s="29"/>
      <c r="L17" s="29"/>
      <c r="M17" s="29"/>
      <c r="N17" s="29"/>
      <c r="O17" s="29"/>
      <c r="P17" s="29"/>
      <c r="Q17" s="29"/>
      <c r="R17" s="29"/>
      <c r="S17" s="29"/>
      <c r="T17" s="29"/>
      <c r="U17" s="25"/>
      <c r="W17" s="61" t="s">
        <v>84</v>
      </c>
      <c r="X17" s="62">
        <v>3.4568000000000002E-2</v>
      </c>
    </row>
    <row r="18" spans="2:24" ht="15.75" x14ac:dyDescent="0.25">
      <c r="B18" s="64"/>
      <c r="C18" s="187" t="s">
        <v>219</v>
      </c>
      <c r="D18" s="195" t="s">
        <v>26</v>
      </c>
      <c r="E18" s="196">
        <v>4.4407000000000002E-2</v>
      </c>
      <c r="F18" s="29"/>
      <c r="G18" s="29"/>
      <c r="H18" s="29"/>
      <c r="I18" s="29"/>
      <c r="J18" s="29"/>
      <c r="K18" s="29"/>
      <c r="L18" s="29"/>
      <c r="M18" s="29"/>
      <c r="N18" s="29"/>
      <c r="O18" s="29"/>
      <c r="P18" s="29"/>
      <c r="Q18" s="29"/>
      <c r="R18" s="29"/>
      <c r="S18" s="29"/>
      <c r="T18" s="29"/>
      <c r="U18" s="25"/>
      <c r="W18" s="61" t="s">
        <v>132</v>
      </c>
      <c r="X18" s="62">
        <v>2.7546999999999999E-2</v>
      </c>
    </row>
    <row r="19" spans="2:24" ht="15.75" x14ac:dyDescent="0.25">
      <c r="B19" s="64"/>
      <c r="C19" s="187" t="s">
        <v>128</v>
      </c>
      <c r="D19" s="195" t="s">
        <v>86</v>
      </c>
      <c r="E19" s="196">
        <v>4.1642999999999999E-2</v>
      </c>
      <c r="F19" s="29"/>
      <c r="G19" s="29"/>
      <c r="H19" s="29"/>
      <c r="I19" s="29"/>
      <c r="J19" s="29"/>
      <c r="K19" s="29"/>
      <c r="L19" s="29"/>
      <c r="M19" s="29"/>
      <c r="N19" s="29"/>
      <c r="O19" s="29"/>
      <c r="P19" s="29"/>
      <c r="Q19" s="29"/>
      <c r="R19" s="29"/>
      <c r="S19" s="29"/>
      <c r="T19" s="29"/>
      <c r="U19" s="25"/>
      <c r="W19" s="61" t="s">
        <v>109</v>
      </c>
      <c r="X19" s="62">
        <v>2.6225999999999999E-2</v>
      </c>
    </row>
    <row r="20" spans="2:24" ht="15.75" x14ac:dyDescent="0.25">
      <c r="B20" s="64"/>
      <c r="C20" s="187" t="s">
        <v>93</v>
      </c>
      <c r="D20" s="195" t="s">
        <v>83</v>
      </c>
      <c r="E20" s="196">
        <v>4.0619000000000002E-2</v>
      </c>
      <c r="F20" s="29"/>
      <c r="G20" s="29"/>
      <c r="H20" s="29"/>
      <c r="I20" s="29"/>
      <c r="J20" s="29"/>
      <c r="K20" s="29"/>
      <c r="L20" s="29"/>
      <c r="M20" s="29"/>
      <c r="N20" s="29"/>
      <c r="O20" s="29"/>
      <c r="P20" s="29"/>
      <c r="Q20" s="29"/>
      <c r="R20" s="29"/>
      <c r="S20" s="29"/>
      <c r="T20" s="29"/>
      <c r="U20" s="25"/>
      <c r="W20" s="61" t="s">
        <v>118</v>
      </c>
      <c r="X20" s="62">
        <v>2.4722999999999998E-2</v>
      </c>
    </row>
    <row r="21" spans="2:24" ht="15.75" x14ac:dyDescent="0.25">
      <c r="B21" s="64"/>
      <c r="C21" s="187" t="s">
        <v>230</v>
      </c>
      <c r="D21" s="195" t="s">
        <v>26</v>
      </c>
      <c r="E21" s="196">
        <v>3.6236999999999998E-2</v>
      </c>
      <c r="F21" s="29"/>
      <c r="G21" s="29"/>
      <c r="H21" s="29"/>
      <c r="I21" s="29"/>
      <c r="J21" s="29"/>
      <c r="K21" s="29"/>
      <c r="L21" s="29"/>
      <c r="M21" s="29"/>
      <c r="N21" s="29"/>
      <c r="O21" s="29"/>
      <c r="P21" s="29"/>
      <c r="Q21" s="29"/>
      <c r="R21" s="29"/>
      <c r="S21" s="29"/>
      <c r="T21" s="29"/>
      <c r="U21" s="25"/>
      <c r="W21" s="61" t="s">
        <v>105</v>
      </c>
      <c r="X21" s="62">
        <v>2.1593999999999999E-2</v>
      </c>
    </row>
    <row r="22" spans="2:24" ht="15.75" x14ac:dyDescent="0.25">
      <c r="B22" s="64"/>
      <c r="C22" s="187" t="s">
        <v>191</v>
      </c>
      <c r="D22" s="195" t="s">
        <v>106</v>
      </c>
      <c r="E22" s="196">
        <v>3.4880000000000001E-2</v>
      </c>
      <c r="F22" s="29"/>
      <c r="G22" s="29"/>
      <c r="H22" s="29"/>
      <c r="I22" s="29"/>
      <c r="J22" s="29"/>
      <c r="K22" s="29"/>
      <c r="L22" s="29"/>
      <c r="M22" s="29"/>
      <c r="N22" s="29"/>
      <c r="O22" s="29"/>
      <c r="P22" s="29"/>
      <c r="Q22" s="29"/>
      <c r="R22" s="29"/>
      <c r="S22" s="29"/>
      <c r="T22" s="29"/>
      <c r="U22" s="25"/>
      <c r="W22" s="61" t="s">
        <v>3</v>
      </c>
      <c r="X22" s="62">
        <v>2.0227999999999999E-2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13</v>
      </c>
      <c r="X23" s="62">
        <v>1.0118E-2</v>
      </c>
    </row>
    <row r="24" spans="2:24" ht="15.75" x14ac:dyDescent="0.25">
      <c r="B24" s="64"/>
      <c r="C24" s="73" t="s">
        <v>55</v>
      </c>
      <c r="D24" s="74"/>
      <c r="E24" s="75">
        <f>SUM(E8:E22)</f>
        <v>0.70241299999999995</v>
      </c>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row>
    <row r="44" spans="2:24" x14ac:dyDescent="0.25">
      <c r="B44" s="298"/>
      <c r="C44" s="299"/>
      <c r="D44" s="299"/>
      <c r="E44" s="299"/>
      <c r="F44" s="299"/>
      <c r="G44" s="299"/>
      <c r="H44" s="299"/>
      <c r="I44" s="299"/>
      <c r="J44" s="299"/>
      <c r="K44" s="299"/>
      <c r="L44" s="299"/>
      <c r="M44" s="299"/>
      <c r="N44" s="299"/>
      <c r="O44" s="299"/>
      <c r="P44" s="299"/>
      <c r="Q44" s="299"/>
      <c r="R44" s="300"/>
    </row>
    <row r="45" spans="2:24" ht="15.75" thickBot="1" x14ac:dyDescent="0.3">
      <c r="B45" s="301"/>
      <c r="C45" s="302"/>
      <c r="D45" s="302"/>
      <c r="E45" s="302"/>
      <c r="F45" s="302"/>
      <c r="G45" s="302"/>
      <c r="H45" s="302"/>
      <c r="I45" s="302"/>
      <c r="J45" s="302"/>
      <c r="K45" s="302"/>
      <c r="L45" s="302"/>
      <c r="M45" s="302"/>
      <c r="N45" s="302"/>
      <c r="O45" s="302"/>
      <c r="P45" s="302"/>
      <c r="Q45" s="302"/>
      <c r="R45" s="30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151</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420</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294</v>
      </c>
      <c r="D8" s="193" t="s">
        <v>107</v>
      </c>
      <c r="E8" s="194">
        <v>4.1468999999999999E-2</v>
      </c>
      <c r="F8" s="29"/>
      <c r="G8" s="29"/>
      <c r="H8" s="29"/>
      <c r="I8" s="29"/>
      <c r="J8" s="29"/>
      <c r="K8" s="29"/>
      <c r="L8" s="29"/>
      <c r="M8" s="29"/>
      <c r="N8" s="29"/>
      <c r="O8" s="29"/>
      <c r="P8" s="29"/>
      <c r="Q8" s="29"/>
      <c r="R8" s="29"/>
      <c r="S8" s="29"/>
      <c r="T8" s="29"/>
      <c r="U8" s="25"/>
      <c r="W8" s="180" t="s">
        <v>110</v>
      </c>
      <c r="X8" s="179">
        <v>0.130275</v>
      </c>
    </row>
    <row r="9" spans="1:24" ht="15.75" x14ac:dyDescent="0.25">
      <c r="B9" s="64"/>
      <c r="C9" s="187" t="s">
        <v>37</v>
      </c>
      <c r="D9" s="195" t="s">
        <v>116</v>
      </c>
      <c r="E9" s="196">
        <v>4.0530999999999998E-2</v>
      </c>
      <c r="F9" s="29"/>
      <c r="G9" s="29"/>
      <c r="H9" s="29"/>
      <c r="I9" s="29"/>
      <c r="J9" s="29"/>
      <c r="K9" s="29"/>
      <c r="L9" s="29"/>
      <c r="M9" s="29"/>
      <c r="N9" s="29"/>
      <c r="O9" s="29"/>
      <c r="P9" s="29"/>
      <c r="Q9" s="29"/>
      <c r="R9" s="29"/>
      <c r="S9" s="29"/>
      <c r="T9" s="29"/>
      <c r="U9" s="25"/>
      <c r="W9" s="180" t="s">
        <v>106</v>
      </c>
      <c r="X9" s="179">
        <v>0.12443499999999999</v>
      </c>
    </row>
    <row r="10" spans="1:24" ht="15.75" x14ac:dyDescent="0.25">
      <c r="B10" s="64"/>
      <c r="C10" s="187" t="s">
        <v>252</v>
      </c>
      <c r="D10" s="195" t="s">
        <v>4</v>
      </c>
      <c r="E10" s="196">
        <v>3.8386999999999998E-2</v>
      </c>
      <c r="F10" s="29"/>
      <c r="G10" s="29"/>
      <c r="H10" s="29"/>
      <c r="I10" s="29"/>
      <c r="J10" s="29"/>
      <c r="K10" s="29"/>
      <c r="L10" s="29"/>
      <c r="M10" s="29"/>
      <c r="N10" s="29"/>
      <c r="O10" s="29"/>
      <c r="P10" s="29"/>
      <c r="Q10" s="29"/>
      <c r="R10" s="29"/>
      <c r="S10" s="29"/>
      <c r="T10" s="29"/>
      <c r="U10" s="25"/>
      <c r="W10" s="180" t="s">
        <v>3</v>
      </c>
      <c r="X10" s="179">
        <v>0.101852</v>
      </c>
    </row>
    <row r="11" spans="1:24" ht="15.75" x14ac:dyDescent="0.25">
      <c r="B11" s="64"/>
      <c r="C11" s="187" t="s">
        <v>95</v>
      </c>
      <c r="D11" s="195" t="s">
        <v>111</v>
      </c>
      <c r="E11" s="196">
        <v>3.8209E-2</v>
      </c>
      <c r="F11" s="29"/>
      <c r="G11" s="29"/>
      <c r="H11" s="29"/>
      <c r="I11" s="29"/>
      <c r="J11" s="29"/>
      <c r="K11" s="29"/>
      <c r="L11" s="29"/>
      <c r="M11" s="29"/>
      <c r="N11" s="29"/>
      <c r="O11" s="29"/>
      <c r="P11" s="29"/>
      <c r="Q11" s="29"/>
      <c r="R11" s="29"/>
      <c r="S11" s="29"/>
      <c r="T11" s="29"/>
      <c r="U11" s="25"/>
      <c r="W11" s="180" t="s">
        <v>111</v>
      </c>
      <c r="X11" s="179">
        <v>9.4685999999999992E-2</v>
      </c>
    </row>
    <row r="12" spans="1:24" ht="15.75" x14ac:dyDescent="0.25">
      <c r="B12" s="64"/>
      <c r="C12" s="187" t="s">
        <v>87</v>
      </c>
      <c r="D12" s="195" t="s">
        <v>107</v>
      </c>
      <c r="E12" s="196">
        <v>3.7964999999999999E-2</v>
      </c>
      <c r="F12" s="29"/>
      <c r="G12" s="29"/>
      <c r="H12" s="29"/>
      <c r="I12" s="29"/>
      <c r="J12" s="29"/>
      <c r="K12" s="29"/>
      <c r="L12" s="29"/>
      <c r="M12" s="29"/>
      <c r="N12" s="29"/>
      <c r="O12" s="29"/>
      <c r="P12" s="29"/>
      <c r="Q12" s="29"/>
      <c r="R12" s="29"/>
      <c r="S12" s="29"/>
      <c r="T12" s="29"/>
      <c r="U12" s="25"/>
      <c r="W12" s="180" t="s">
        <v>107</v>
      </c>
      <c r="X12" s="179">
        <v>7.9434000000000005E-2</v>
      </c>
    </row>
    <row r="13" spans="1:24" ht="30" x14ac:dyDescent="0.25">
      <c r="B13" s="64"/>
      <c r="C13" s="187" t="s">
        <v>256</v>
      </c>
      <c r="D13" s="195" t="s">
        <v>110</v>
      </c>
      <c r="E13" s="196">
        <v>3.7884000000000001E-2</v>
      </c>
      <c r="F13" s="29"/>
      <c r="G13" s="29"/>
      <c r="H13" s="29"/>
      <c r="I13" s="29"/>
      <c r="J13" s="29"/>
      <c r="K13" s="29"/>
      <c r="L13" s="29"/>
      <c r="M13" s="29"/>
      <c r="N13" s="29"/>
      <c r="O13" s="29"/>
      <c r="P13" s="29"/>
      <c r="Q13" s="29"/>
      <c r="R13" s="29"/>
      <c r="S13" s="29"/>
      <c r="T13" s="29"/>
      <c r="U13" s="25"/>
      <c r="W13" s="180" t="s">
        <v>116</v>
      </c>
      <c r="X13" s="179">
        <v>7.7161000000000007E-2</v>
      </c>
    </row>
    <row r="14" spans="1:24" ht="15.75" x14ac:dyDescent="0.25">
      <c r="B14" s="64"/>
      <c r="C14" s="187" t="s">
        <v>239</v>
      </c>
      <c r="D14" s="195" t="s">
        <v>16</v>
      </c>
      <c r="E14" s="196">
        <v>3.7219000000000002E-2</v>
      </c>
      <c r="F14" s="29"/>
      <c r="G14" s="29"/>
      <c r="H14" s="29"/>
      <c r="I14" s="29"/>
      <c r="J14" s="29"/>
      <c r="K14" s="29"/>
      <c r="L14" s="29"/>
      <c r="M14" s="29"/>
      <c r="N14" s="29"/>
      <c r="O14" s="29"/>
      <c r="P14" s="29"/>
      <c r="Q14" s="29"/>
      <c r="R14" s="29"/>
      <c r="S14" s="29"/>
      <c r="T14" s="29"/>
      <c r="U14" s="25"/>
      <c r="W14" s="180" t="s">
        <v>16</v>
      </c>
      <c r="X14" s="179">
        <v>7.2104000000000001E-2</v>
      </c>
    </row>
    <row r="15" spans="1:24" ht="15.75" x14ac:dyDescent="0.25">
      <c r="B15" s="64"/>
      <c r="C15" s="187" t="s">
        <v>30</v>
      </c>
      <c r="D15" s="195" t="s">
        <v>116</v>
      </c>
      <c r="E15" s="196">
        <v>3.6630000000000003E-2</v>
      </c>
      <c r="F15" s="29"/>
      <c r="G15" s="29"/>
      <c r="H15" s="29"/>
      <c r="I15" s="29"/>
      <c r="J15" s="29"/>
      <c r="K15" s="29"/>
      <c r="L15" s="29"/>
      <c r="M15" s="29"/>
      <c r="N15" s="29"/>
      <c r="O15" s="29"/>
      <c r="P15" s="29"/>
      <c r="Q15" s="29"/>
      <c r="R15" s="29"/>
      <c r="S15" s="29"/>
      <c r="T15" s="29"/>
      <c r="U15" s="25"/>
      <c r="W15" s="180" t="s">
        <v>4</v>
      </c>
      <c r="X15" s="179">
        <v>3.8386999999999998E-2</v>
      </c>
    </row>
    <row r="16" spans="1:24" ht="15.75" x14ac:dyDescent="0.25">
      <c r="B16" s="64"/>
      <c r="C16" s="187" t="s">
        <v>33</v>
      </c>
      <c r="D16" s="195" t="s">
        <v>106</v>
      </c>
      <c r="E16" s="196">
        <v>3.5436000000000002E-2</v>
      </c>
      <c r="F16" s="29"/>
      <c r="G16" s="29"/>
      <c r="H16" s="29"/>
      <c r="I16" s="29"/>
      <c r="J16" s="29"/>
      <c r="K16" s="29"/>
      <c r="L16" s="29"/>
      <c r="M16" s="29"/>
      <c r="N16" s="29"/>
      <c r="O16" s="29"/>
      <c r="P16" s="29"/>
      <c r="Q16" s="29"/>
      <c r="R16" s="29"/>
      <c r="S16" s="29"/>
      <c r="T16" s="29"/>
      <c r="U16" s="25"/>
      <c r="W16" s="180" t="s">
        <v>6</v>
      </c>
      <c r="X16" s="179">
        <v>3.5346000000000002E-2</v>
      </c>
    </row>
    <row r="17" spans="2:24" ht="15.75" x14ac:dyDescent="0.25">
      <c r="B17" s="64"/>
      <c r="C17" s="187" t="s">
        <v>31</v>
      </c>
      <c r="D17" s="195" t="s">
        <v>6</v>
      </c>
      <c r="E17" s="196">
        <v>3.5346000000000002E-2</v>
      </c>
      <c r="F17" s="29"/>
      <c r="G17" s="29"/>
      <c r="H17" s="29"/>
      <c r="I17" s="29"/>
      <c r="J17" s="29"/>
      <c r="K17" s="29"/>
      <c r="L17" s="29"/>
      <c r="M17" s="29"/>
      <c r="N17" s="29"/>
      <c r="O17" s="29"/>
      <c r="P17" s="29"/>
      <c r="Q17" s="29"/>
      <c r="R17" s="29"/>
      <c r="S17" s="29"/>
      <c r="T17" s="29"/>
      <c r="U17" s="25"/>
      <c r="W17" s="180" t="s">
        <v>12</v>
      </c>
      <c r="X17" s="179">
        <v>3.4345000000000001E-2</v>
      </c>
    </row>
    <row r="18" spans="2:24" ht="15.75" x14ac:dyDescent="0.25">
      <c r="B18" s="64"/>
      <c r="C18" s="187" t="s">
        <v>32</v>
      </c>
      <c r="D18" s="195" t="s">
        <v>3</v>
      </c>
      <c r="E18" s="196">
        <v>3.4909000000000003E-2</v>
      </c>
      <c r="F18" s="29"/>
      <c r="G18" s="29"/>
      <c r="H18" s="29"/>
      <c r="I18" s="29"/>
      <c r="J18" s="29"/>
      <c r="K18" s="29"/>
      <c r="L18" s="29"/>
      <c r="M18" s="29"/>
      <c r="N18" s="29"/>
      <c r="O18" s="29"/>
      <c r="P18" s="29"/>
      <c r="Q18" s="29"/>
      <c r="R18" s="29"/>
      <c r="S18" s="29"/>
      <c r="T18" s="29"/>
      <c r="U18" s="25"/>
      <c r="W18" s="180" t="s">
        <v>85</v>
      </c>
      <c r="X18" s="179">
        <v>3.2957E-2</v>
      </c>
    </row>
    <row r="19" spans="2:24" ht="15.75" x14ac:dyDescent="0.25">
      <c r="B19" s="64"/>
      <c r="C19" s="187" t="s">
        <v>257</v>
      </c>
      <c r="D19" s="195" t="s">
        <v>16</v>
      </c>
      <c r="E19" s="196">
        <v>3.4884999999999999E-2</v>
      </c>
      <c r="F19" s="29"/>
      <c r="G19" s="29"/>
      <c r="H19" s="29"/>
      <c r="I19" s="29"/>
      <c r="J19" s="29"/>
      <c r="K19" s="29"/>
      <c r="L19" s="29"/>
      <c r="M19" s="29"/>
      <c r="N19" s="29"/>
      <c r="O19" s="29"/>
      <c r="P19" s="29"/>
      <c r="Q19" s="29"/>
      <c r="R19" s="29"/>
      <c r="S19" s="29"/>
      <c r="T19" s="29"/>
      <c r="U19" s="25"/>
      <c r="W19" s="180" t="s">
        <v>82</v>
      </c>
      <c r="X19" s="179">
        <v>3.2938000000000002E-2</v>
      </c>
    </row>
    <row r="20" spans="2:24" ht="15.75" x14ac:dyDescent="0.25">
      <c r="B20" s="64"/>
      <c r="C20" s="187" t="s">
        <v>35</v>
      </c>
      <c r="D20" s="195" t="s">
        <v>3</v>
      </c>
      <c r="E20" s="196">
        <v>3.4861999999999997E-2</v>
      </c>
      <c r="F20" s="29"/>
      <c r="G20" s="29"/>
      <c r="H20" s="29"/>
      <c r="I20" s="29"/>
      <c r="J20" s="29"/>
      <c r="K20" s="29"/>
      <c r="L20" s="29"/>
      <c r="M20" s="29"/>
      <c r="N20" s="29"/>
      <c r="O20" s="29"/>
      <c r="P20" s="29"/>
      <c r="Q20" s="29"/>
      <c r="R20" s="29"/>
      <c r="S20" s="29"/>
      <c r="T20" s="29"/>
      <c r="U20" s="25"/>
      <c r="W20" s="180" t="s">
        <v>76</v>
      </c>
      <c r="X20" s="179">
        <v>3.2306000000000001E-2</v>
      </c>
    </row>
    <row r="21" spans="2:24" ht="15.75" x14ac:dyDescent="0.25">
      <c r="B21" s="64"/>
      <c r="C21" s="187" t="s">
        <v>70</v>
      </c>
      <c r="D21" s="195" t="s">
        <v>12</v>
      </c>
      <c r="E21" s="196">
        <v>3.4345000000000001E-2</v>
      </c>
      <c r="F21" s="29"/>
      <c r="G21" s="29"/>
      <c r="H21" s="29"/>
      <c r="I21" s="29"/>
      <c r="J21" s="29"/>
      <c r="K21" s="29"/>
      <c r="L21" s="29"/>
      <c r="M21" s="29"/>
      <c r="N21" s="29"/>
      <c r="O21" s="29"/>
      <c r="P21" s="29"/>
      <c r="Q21" s="29"/>
      <c r="R21" s="29"/>
      <c r="S21" s="29"/>
      <c r="T21" s="29"/>
      <c r="U21" s="25"/>
      <c r="W21" s="180" t="s">
        <v>120</v>
      </c>
      <c r="X21" s="179">
        <v>3.1302999999999997E-2</v>
      </c>
    </row>
    <row r="22" spans="2:24" ht="30" x14ac:dyDescent="0.25">
      <c r="B22" s="64"/>
      <c r="C22" s="187" t="s">
        <v>141</v>
      </c>
      <c r="D22" s="195" t="s">
        <v>110</v>
      </c>
      <c r="E22" s="196">
        <v>3.39E-2</v>
      </c>
      <c r="F22" s="29"/>
      <c r="G22" s="29"/>
      <c r="H22" s="29"/>
      <c r="I22" s="29"/>
      <c r="J22" s="29"/>
      <c r="K22" s="29"/>
      <c r="L22" s="29"/>
      <c r="M22" s="29"/>
      <c r="N22" s="29"/>
      <c r="O22" s="29"/>
      <c r="P22" s="29"/>
      <c r="Q22" s="29"/>
      <c r="R22" s="29"/>
      <c r="S22" s="29"/>
      <c r="T22" s="29"/>
      <c r="U22" s="25"/>
      <c r="W22" s="61" t="s">
        <v>115</v>
      </c>
      <c r="X22" s="62">
        <v>2.9250999999999999E-2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23</v>
      </c>
      <c r="X23" s="62">
        <v>2.6155000000000001E-2</v>
      </c>
    </row>
    <row r="24" spans="2:24" ht="15.75" x14ac:dyDescent="0.25">
      <c r="B24" s="64"/>
      <c r="C24" s="73" t="s">
        <v>55</v>
      </c>
      <c r="D24" s="74"/>
      <c r="E24" s="75">
        <f>SUM(E8:E22)</f>
        <v>0.55197700000000005</v>
      </c>
      <c r="F24" s="29"/>
      <c r="G24" s="29"/>
      <c r="H24" s="29"/>
      <c r="I24" s="29"/>
      <c r="J24" s="29"/>
      <c r="K24" s="29"/>
      <c r="L24" s="29"/>
      <c r="M24" s="29"/>
      <c r="N24" s="29"/>
      <c r="O24" s="29"/>
      <c r="P24" s="29"/>
      <c r="Q24" s="29"/>
      <c r="R24" s="29"/>
      <c r="S24" s="29"/>
      <c r="T24" s="29"/>
      <c r="U24" s="25"/>
      <c r="W24" s="61" t="s">
        <v>109</v>
      </c>
      <c r="X24" s="62">
        <v>2.5100000000000001E-2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61" t="s">
        <v>83</v>
      </c>
      <c r="X25" s="62">
        <v>1.351E-3</v>
      </c>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row>
    <row r="44" spans="2:24" x14ac:dyDescent="0.25">
      <c r="B44" s="298"/>
      <c r="C44" s="299"/>
      <c r="D44" s="299"/>
      <c r="E44" s="299"/>
      <c r="F44" s="299"/>
      <c r="G44" s="299"/>
      <c r="H44" s="299"/>
      <c r="I44" s="299"/>
      <c r="J44" s="299"/>
      <c r="K44" s="299"/>
      <c r="L44" s="299"/>
      <c r="M44" s="299"/>
      <c r="N44" s="299"/>
      <c r="O44" s="299"/>
      <c r="P44" s="299"/>
      <c r="Q44" s="299"/>
      <c r="R44" s="300"/>
    </row>
    <row r="45" spans="2:24" ht="15.75" thickBot="1" x14ac:dyDescent="0.3">
      <c r="B45" s="301"/>
      <c r="C45" s="302"/>
      <c r="D45" s="302"/>
      <c r="E45" s="302"/>
      <c r="F45" s="302"/>
      <c r="G45" s="302"/>
      <c r="H45" s="302"/>
      <c r="I45" s="302"/>
      <c r="J45" s="302"/>
      <c r="K45" s="302"/>
      <c r="L45" s="302"/>
      <c r="M45" s="302"/>
      <c r="N45" s="302"/>
      <c r="O45" s="302"/>
      <c r="P45" s="302"/>
      <c r="Q45" s="302"/>
      <c r="R45" s="30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192</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421</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28</v>
      </c>
      <c r="D8" s="193" t="s">
        <v>106</v>
      </c>
      <c r="E8" s="194">
        <v>0.28092200000000001</v>
      </c>
      <c r="F8" s="29"/>
      <c r="G8" s="29"/>
      <c r="H8" s="29"/>
      <c r="I8" s="29"/>
      <c r="J8" s="29"/>
      <c r="K8" s="29"/>
      <c r="L8" s="29"/>
      <c r="M8" s="29"/>
      <c r="N8" s="29"/>
      <c r="O8" s="29"/>
      <c r="P8" s="29"/>
      <c r="Q8" s="29"/>
      <c r="R8" s="29"/>
      <c r="S8" s="29"/>
      <c r="T8" s="29"/>
      <c r="U8" s="25"/>
      <c r="W8" t="s">
        <v>106</v>
      </c>
      <c r="X8" s="179">
        <v>0.97802699999999998</v>
      </c>
    </row>
    <row r="9" spans="1:24" ht="15.75" x14ac:dyDescent="0.25">
      <c r="B9" s="64"/>
      <c r="C9" s="187" t="s">
        <v>33</v>
      </c>
      <c r="D9" s="195" t="s">
        <v>106</v>
      </c>
      <c r="E9" s="196">
        <v>0.231431</v>
      </c>
      <c r="F9" s="29"/>
      <c r="G9" s="29"/>
      <c r="H9" s="29"/>
      <c r="I9" s="29"/>
      <c r="J9" s="29"/>
      <c r="K9" s="29"/>
      <c r="L9" s="29"/>
      <c r="M9" s="29"/>
      <c r="N9" s="29"/>
      <c r="O9" s="29"/>
      <c r="P9" s="29"/>
      <c r="Q9" s="29"/>
      <c r="R9" s="29"/>
      <c r="S9" s="29"/>
      <c r="T9" s="29"/>
      <c r="U9" s="25"/>
      <c r="W9" t="s">
        <v>113</v>
      </c>
      <c r="X9" s="179">
        <v>1.3627999999999999E-2</v>
      </c>
    </row>
    <row r="10" spans="1:24" ht="15.75" x14ac:dyDescent="0.25">
      <c r="B10" s="64"/>
      <c r="C10" s="187" t="s">
        <v>190</v>
      </c>
      <c r="D10" s="195" t="s">
        <v>106</v>
      </c>
      <c r="E10" s="196">
        <v>0.100582</v>
      </c>
      <c r="F10" s="29"/>
      <c r="G10" s="29"/>
      <c r="H10" s="29"/>
      <c r="I10" s="29"/>
      <c r="J10" s="29"/>
      <c r="K10" s="29"/>
      <c r="L10" s="29"/>
      <c r="M10" s="29"/>
      <c r="N10" s="29"/>
      <c r="O10" s="29"/>
      <c r="P10" s="29"/>
      <c r="Q10" s="29"/>
      <c r="R10" s="29"/>
      <c r="S10" s="29"/>
      <c r="T10" s="29"/>
      <c r="U10" s="25"/>
      <c r="W10" s="180"/>
      <c r="X10" s="179"/>
    </row>
    <row r="11" spans="1:24" ht="15.75" x14ac:dyDescent="0.25">
      <c r="B11" s="64"/>
      <c r="C11" s="187" t="s">
        <v>189</v>
      </c>
      <c r="D11" s="195" t="s">
        <v>106</v>
      </c>
      <c r="E11" s="196">
        <v>9.6948000000000006E-2</v>
      </c>
      <c r="F11" s="29"/>
      <c r="G11" s="29"/>
      <c r="H11" s="29"/>
      <c r="I11" s="29"/>
      <c r="J11" s="29"/>
      <c r="K11" s="29"/>
      <c r="L11" s="29"/>
      <c r="M11" s="29"/>
      <c r="N11" s="29"/>
      <c r="O11" s="29"/>
      <c r="P11" s="29"/>
      <c r="Q11" s="29"/>
      <c r="R11" s="29"/>
      <c r="S11" s="29"/>
      <c r="T11" s="29"/>
      <c r="U11" s="25"/>
      <c r="W11" s="180"/>
      <c r="X11" s="179"/>
    </row>
    <row r="12" spans="1:24" ht="15.75" x14ac:dyDescent="0.25">
      <c r="B12" s="64"/>
      <c r="C12" s="187" t="s">
        <v>188</v>
      </c>
      <c r="D12" s="195" t="s">
        <v>106</v>
      </c>
      <c r="E12" s="196">
        <v>8.0551999999999999E-2</v>
      </c>
      <c r="F12" s="29"/>
      <c r="G12" s="29"/>
      <c r="H12" s="29"/>
      <c r="I12" s="29"/>
      <c r="J12" s="29"/>
      <c r="K12" s="29"/>
      <c r="L12" s="29"/>
      <c r="M12" s="29"/>
      <c r="N12" s="29"/>
      <c r="O12" s="29"/>
      <c r="P12" s="29"/>
      <c r="Q12" s="29"/>
      <c r="R12" s="29"/>
      <c r="S12" s="29"/>
      <c r="T12" s="29"/>
      <c r="U12" s="25"/>
      <c r="W12" s="180"/>
      <c r="X12" s="179"/>
    </row>
    <row r="13" spans="1:24" ht="15.75" x14ac:dyDescent="0.25">
      <c r="B13" s="64"/>
      <c r="C13" s="187" t="s">
        <v>186</v>
      </c>
      <c r="D13" s="195" t="s">
        <v>106</v>
      </c>
      <c r="E13" s="196">
        <v>5.7983E-2</v>
      </c>
      <c r="F13" s="29"/>
      <c r="G13" s="29"/>
      <c r="H13" s="29"/>
      <c r="I13" s="29"/>
      <c r="J13" s="29"/>
      <c r="K13" s="29"/>
      <c r="L13" s="29"/>
      <c r="M13" s="29"/>
      <c r="N13" s="29"/>
      <c r="O13" s="29"/>
      <c r="P13" s="29"/>
      <c r="Q13" s="29"/>
      <c r="R13" s="29"/>
      <c r="S13" s="29"/>
      <c r="T13" s="29"/>
      <c r="U13" s="25"/>
      <c r="W13" s="180"/>
      <c r="X13" s="179"/>
    </row>
    <row r="14" spans="1:24" ht="15.75" x14ac:dyDescent="0.25">
      <c r="B14" s="64"/>
      <c r="C14" s="187" t="s">
        <v>191</v>
      </c>
      <c r="D14" s="195" t="s">
        <v>106</v>
      </c>
      <c r="E14" s="196">
        <v>5.0146999999999997E-2</v>
      </c>
      <c r="F14" s="29"/>
      <c r="G14" s="29"/>
      <c r="H14" s="29"/>
      <c r="I14" s="29"/>
      <c r="J14" s="29"/>
      <c r="K14" s="29"/>
      <c r="L14" s="29"/>
      <c r="M14" s="29"/>
      <c r="N14" s="29"/>
      <c r="O14" s="29"/>
      <c r="P14" s="29"/>
      <c r="Q14" s="29"/>
      <c r="R14" s="29"/>
      <c r="S14" s="29"/>
      <c r="T14" s="29"/>
      <c r="U14" s="25"/>
      <c r="W14" s="180"/>
      <c r="X14" s="179"/>
    </row>
    <row r="15" spans="1:24" ht="15.75" x14ac:dyDescent="0.25">
      <c r="B15" s="64"/>
      <c r="C15" s="187" t="s">
        <v>147</v>
      </c>
      <c r="D15" s="195" t="s">
        <v>106</v>
      </c>
      <c r="E15" s="196">
        <v>4.9893E-2</v>
      </c>
      <c r="F15" s="29"/>
      <c r="G15" s="29"/>
      <c r="H15" s="29"/>
      <c r="I15" s="29"/>
      <c r="J15" s="29"/>
      <c r="K15" s="29"/>
      <c r="L15" s="29"/>
      <c r="M15" s="29"/>
      <c r="N15" s="29"/>
      <c r="O15" s="29"/>
      <c r="P15" s="29"/>
      <c r="Q15" s="29"/>
      <c r="R15" s="29"/>
      <c r="S15" s="29"/>
      <c r="T15" s="29"/>
      <c r="U15" s="25"/>
      <c r="W15" s="180"/>
      <c r="X15" s="179"/>
    </row>
    <row r="16" spans="1:24" ht="15.75" x14ac:dyDescent="0.25">
      <c r="B16" s="64"/>
      <c r="C16" s="187" t="s">
        <v>274</v>
      </c>
      <c r="D16" s="195" t="s">
        <v>106</v>
      </c>
      <c r="E16" s="196">
        <v>2.9569000000000002E-2</v>
      </c>
      <c r="F16" s="29"/>
      <c r="G16" s="29"/>
      <c r="H16" s="29"/>
      <c r="I16" s="29"/>
      <c r="J16" s="29"/>
      <c r="K16" s="29"/>
      <c r="L16" s="29"/>
      <c r="M16" s="29"/>
      <c r="N16" s="29"/>
      <c r="O16" s="29"/>
      <c r="P16" s="29"/>
      <c r="Q16" s="29"/>
      <c r="R16" s="29"/>
      <c r="S16" s="29"/>
      <c r="T16" s="29"/>
      <c r="U16" s="25"/>
      <c r="W16" s="180"/>
      <c r="X16" s="179"/>
    </row>
    <row r="17" spans="2:24" ht="15.75" x14ac:dyDescent="0.25">
      <c r="B17" s="64"/>
      <c r="C17" s="187" t="s">
        <v>185</v>
      </c>
      <c r="D17" s="195" t="s">
        <v>113</v>
      </c>
      <c r="E17" s="196">
        <v>1.3627999999999999E-2</v>
      </c>
      <c r="F17" s="29"/>
      <c r="G17" s="29"/>
      <c r="H17" s="29"/>
      <c r="I17" s="29"/>
      <c r="J17" s="29"/>
      <c r="K17" s="29"/>
      <c r="L17" s="29"/>
      <c r="M17" s="29"/>
      <c r="N17" s="29"/>
      <c r="O17" s="29"/>
      <c r="P17" s="29"/>
      <c r="Q17" s="29"/>
      <c r="R17" s="29"/>
      <c r="S17" s="29"/>
      <c r="T17" s="29"/>
      <c r="U17" s="25"/>
      <c r="W17" s="180"/>
      <c r="X17" s="179"/>
    </row>
    <row r="18" spans="2:24" ht="15.75" x14ac:dyDescent="0.25">
      <c r="B18" s="64"/>
      <c r="C18" s="187"/>
      <c r="D18" s="195"/>
      <c r="E18" s="196"/>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0.99165499999999995</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row>
    <row r="44" spans="2:24" x14ac:dyDescent="0.25">
      <c r="B44" s="298"/>
      <c r="C44" s="299"/>
      <c r="D44" s="299"/>
      <c r="E44" s="299"/>
      <c r="F44" s="299"/>
      <c r="G44" s="299"/>
      <c r="H44" s="299"/>
      <c r="I44" s="299"/>
      <c r="J44" s="299"/>
      <c r="K44" s="299"/>
      <c r="L44" s="299"/>
      <c r="M44" s="299"/>
      <c r="N44" s="299"/>
      <c r="O44" s="299"/>
      <c r="P44" s="299"/>
      <c r="Q44" s="299"/>
      <c r="R44" s="300"/>
    </row>
    <row r="45" spans="2:24" ht="15.75" thickBot="1" x14ac:dyDescent="0.3">
      <c r="B45" s="301"/>
      <c r="C45" s="302"/>
      <c r="D45" s="302"/>
      <c r="E45" s="302"/>
      <c r="F45" s="302"/>
      <c r="G45" s="302"/>
      <c r="H45" s="302"/>
      <c r="I45" s="302"/>
      <c r="J45" s="302"/>
      <c r="K45" s="302"/>
      <c r="L45" s="302"/>
      <c r="M45" s="302"/>
      <c r="N45" s="302"/>
      <c r="O45" s="302"/>
      <c r="P45" s="302"/>
      <c r="Q45" s="302"/>
      <c r="R45" s="30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204</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422</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355</v>
      </c>
      <c r="D8" s="193" t="s">
        <v>4</v>
      </c>
      <c r="E8" s="194">
        <v>4.2779999999999999E-2</v>
      </c>
      <c r="F8" s="29"/>
      <c r="G8" s="29"/>
      <c r="H8" s="29"/>
      <c r="I8" s="29"/>
      <c r="J8" s="29"/>
      <c r="K8" s="29"/>
      <c r="L8" s="29"/>
      <c r="M8" s="29"/>
      <c r="N8" s="29"/>
      <c r="O8" s="29"/>
      <c r="P8" s="29"/>
      <c r="Q8" s="29"/>
      <c r="R8" s="29"/>
      <c r="S8" s="29"/>
      <c r="T8" s="29"/>
      <c r="U8" s="25"/>
      <c r="W8" s="180" t="s">
        <v>84</v>
      </c>
      <c r="X8" s="179">
        <v>9.8032999999999995E-2</v>
      </c>
    </row>
    <row r="9" spans="1:24" ht="15.75" x14ac:dyDescent="0.25">
      <c r="B9" s="64"/>
      <c r="C9" s="187" t="s">
        <v>244</v>
      </c>
      <c r="D9" s="195" t="s">
        <v>23</v>
      </c>
      <c r="E9" s="196">
        <v>3.7852999999999998E-2</v>
      </c>
      <c r="F9" s="29"/>
      <c r="G9" s="29"/>
      <c r="H9" s="29"/>
      <c r="I9" s="29"/>
      <c r="J9" s="29"/>
      <c r="K9" s="29"/>
      <c r="L9" s="29"/>
      <c r="M9" s="29"/>
      <c r="N9" s="29"/>
      <c r="O9" s="29"/>
      <c r="P9" s="29"/>
      <c r="Q9" s="29"/>
      <c r="R9" s="29"/>
      <c r="S9" s="29"/>
      <c r="T9" s="29"/>
      <c r="U9" s="25"/>
      <c r="W9" s="180" t="s">
        <v>4</v>
      </c>
      <c r="X9" s="179">
        <v>9.5346E-2</v>
      </c>
    </row>
    <row r="10" spans="1:24" ht="15.75" x14ac:dyDescent="0.25">
      <c r="B10" s="64"/>
      <c r="C10" s="187" t="s">
        <v>301</v>
      </c>
      <c r="D10" s="195" t="s">
        <v>136</v>
      </c>
      <c r="E10" s="196">
        <v>3.6290999999999997E-2</v>
      </c>
      <c r="F10" s="29"/>
      <c r="G10" s="29"/>
      <c r="H10" s="29"/>
      <c r="I10" s="29"/>
      <c r="J10" s="29"/>
      <c r="K10" s="29"/>
      <c r="L10" s="29"/>
      <c r="M10" s="29"/>
      <c r="N10" s="29"/>
      <c r="O10" s="29"/>
      <c r="P10" s="29"/>
      <c r="Q10" s="29"/>
      <c r="R10" s="29"/>
      <c r="S10" s="29"/>
      <c r="T10" s="29"/>
      <c r="U10" s="25"/>
      <c r="W10" s="180" t="s">
        <v>118</v>
      </c>
      <c r="X10" s="179">
        <v>9.1121000000000008E-2</v>
      </c>
    </row>
    <row r="11" spans="1:24" ht="15.75" x14ac:dyDescent="0.25">
      <c r="B11" s="64"/>
      <c r="C11" s="187" t="s">
        <v>271</v>
      </c>
      <c r="D11" s="195" t="s">
        <v>118</v>
      </c>
      <c r="E11" s="196">
        <v>3.2506E-2</v>
      </c>
      <c r="F11" s="29"/>
      <c r="G11" s="29"/>
      <c r="H11" s="29"/>
      <c r="I11" s="29"/>
      <c r="J11" s="29"/>
      <c r="K11" s="29"/>
      <c r="L11" s="29"/>
      <c r="M11" s="29"/>
      <c r="N11" s="29"/>
      <c r="O11" s="29"/>
      <c r="P11" s="29"/>
      <c r="Q11" s="29"/>
      <c r="R11" s="29"/>
      <c r="S11" s="29"/>
      <c r="T11" s="29"/>
      <c r="U11" s="25"/>
      <c r="W11" s="180" t="s">
        <v>136</v>
      </c>
      <c r="X11" s="179">
        <v>8.4040000000000004E-2</v>
      </c>
    </row>
    <row r="12" spans="1:24" ht="15.75" x14ac:dyDescent="0.25">
      <c r="B12" s="64"/>
      <c r="C12" s="187" t="s">
        <v>262</v>
      </c>
      <c r="D12" s="195" t="s">
        <v>4</v>
      </c>
      <c r="E12" s="196">
        <v>3.2209000000000002E-2</v>
      </c>
      <c r="F12" s="29"/>
      <c r="G12" s="29"/>
      <c r="H12" s="29"/>
      <c r="I12" s="29"/>
      <c r="J12" s="29"/>
      <c r="K12" s="29"/>
      <c r="L12" s="29"/>
      <c r="M12" s="29"/>
      <c r="N12" s="29"/>
      <c r="O12" s="29"/>
      <c r="P12" s="29"/>
      <c r="Q12" s="29"/>
      <c r="R12" s="29"/>
      <c r="S12" s="29"/>
      <c r="T12" s="29"/>
      <c r="U12" s="25"/>
      <c r="W12" s="180" t="s">
        <v>110</v>
      </c>
      <c r="X12" s="179">
        <v>7.8091999999999995E-2</v>
      </c>
    </row>
    <row r="13" spans="1:24" ht="15.75" x14ac:dyDescent="0.25">
      <c r="B13" s="64"/>
      <c r="C13" s="187" t="s">
        <v>235</v>
      </c>
      <c r="D13" s="195" t="s">
        <v>16</v>
      </c>
      <c r="E13" s="196">
        <v>3.1799000000000001E-2</v>
      </c>
      <c r="F13" s="29"/>
      <c r="G13" s="29"/>
      <c r="H13" s="29"/>
      <c r="I13" s="29"/>
      <c r="J13" s="29"/>
      <c r="K13" s="29"/>
      <c r="L13" s="29"/>
      <c r="M13" s="29"/>
      <c r="N13" s="29"/>
      <c r="O13" s="29"/>
      <c r="P13" s="29"/>
      <c r="Q13" s="29"/>
      <c r="R13" s="29"/>
      <c r="S13" s="29"/>
      <c r="T13" s="29"/>
      <c r="U13" s="25"/>
      <c r="W13" s="180" t="s">
        <v>16</v>
      </c>
      <c r="X13" s="179">
        <v>7.2205000000000005E-2</v>
      </c>
    </row>
    <row r="14" spans="1:24" ht="15.75" x14ac:dyDescent="0.25">
      <c r="B14" s="64"/>
      <c r="C14" s="187" t="s">
        <v>302</v>
      </c>
      <c r="D14" s="195" t="s">
        <v>106</v>
      </c>
      <c r="E14" s="196">
        <v>3.0341E-2</v>
      </c>
      <c r="F14" s="29"/>
      <c r="G14" s="29"/>
      <c r="H14" s="29"/>
      <c r="I14" s="29"/>
      <c r="J14" s="29"/>
      <c r="K14" s="29"/>
      <c r="L14" s="29"/>
      <c r="M14" s="29"/>
      <c r="N14" s="29"/>
      <c r="O14" s="29"/>
      <c r="P14" s="29"/>
      <c r="Q14" s="29"/>
      <c r="R14" s="29"/>
      <c r="S14" s="29"/>
      <c r="T14" s="29"/>
      <c r="U14" s="25"/>
      <c r="W14" s="180" t="s">
        <v>86</v>
      </c>
      <c r="X14" s="179">
        <v>6.1474000000000001E-2</v>
      </c>
    </row>
    <row r="15" spans="1:24" ht="15.75" x14ac:dyDescent="0.25">
      <c r="B15" s="64"/>
      <c r="C15" s="187" t="s">
        <v>282</v>
      </c>
      <c r="D15" s="195" t="s">
        <v>13</v>
      </c>
      <c r="E15" s="196">
        <v>2.9642999999999999E-2</v>
      </c>
      <c r="F15" s="29"/>
      <c r="G15" s="29"/>
      <c r="H15" s="29"/>
      <c r="I15" s="29"/>
      <c r="J15" s="29"/>
      <c r="K15" s="29"/>
      <c r="L15" s="29"/>
      <c r="M15" s="29"/>
      <c r="N15" s="29"/>
      <c r="O15" s="29"/>
      <c r="P15" s="29"/>
      <c r="Q15" s="29"/>
      <c r="R15" s="29"/>
      <c r="S15" s="29"/>
      <c r="T15" s="29"/>
      <c r="U15" s="25"/>
      <c r="W15" s="180" t="s">
        <v>23</v>
      </c>
      <c r="X15" s="179">
        <v>5.8118999999999997E-2</v>
      </c>
    </row>
    <row r="16" spans="1:24" ht="15.75" x14ac:dyDescent="0.25">
      <c r="B16" s="64"/>
      <c r="C16" s="187" t="s">
        <v>295</v>
      </c>
      <c r="D16" s="195" t="s">
        <v>84</v>
      </c>
      <c r="E16" s="196">
        <v>2.7741999999999999E-2</v>
      </c>
      <c r="F16" s="29"/>
      <c r="G16" s="29"/>
      <c r="H16" s="29"/>
      <c r="I16" s="29"/>
      <c r="J16" s="29"/>
      <c r="K16" s="29"/>
      <c r="L16" s="29"/>
      <c r="M16" s="29"/>
      <c r="N16" s="29"/>
      <c r="O16" s="29"/>
      <c r="P16" s="29"/>
      <c r="Q16" s="29"/>
      <c r="R16" s="29"/>
      <c r="S16" s="29"/>
      <c r="T16" s="29"/>
      <c r="U16" s="25"/>
      <c r="W16" s="180" t="s">
        <v>26</v>
      </c>
      <c r="X16" s="179">
        <v>5.4066000000000003E-2</v>
      </c>
    </row>
    <row r="17" spans="2:24" ht="15.75" x14ac:dyDescent="0.25">
      <c r="B17" s="64"/>
      <c r="C17" s="187" t="s">
        <v>234</v>
      </c>
      <c r="D17" s="195" t="s">
        <v>15</v>
      </c>
      <c r="E17" s="196">
        <v>2.7574999999999999E-2</v>
      </c>
      <c r="F17" s="29"/>
      <c r="G17" s="29"/>
      <c r="H17" s="29"/>
      <c r="I17" s="29"/>
      <c r="J17" s="29"/>
      <c r="K17" s="29"/>
      <c r="L17" s="29"/>
      <c r="M17" s="29"/>
      <c r="N17" s="29"/>
      <c r="O17" s="29"/>
      <c r="P17" s="29"/>
      <c r="Q17" s="29"/>
      <c r="R17" s="29"/>
      <c r="S17" s="29"/>
      <c r="T17" s="29"/>
      <c r="U17" s="25"/>
      <c r="W17" s="180" t="s">
        <v>115</v>
      </c>
      <c r="X17" s="179">
        <v>3.5157000000000001E-2</v>
      </c>
    </row>
    <row r="18" spans="2:24" ht="15.75" x14ac:dyDescent="0.25">
      <c r="B18" s="64"/>
      <c r="C18" s="187" t="s">
        <v>381</v>
      </c>
      <c r="D18" s="195" t="s">
        <v>136</v>
      </c>
      <c r="E18" s="196">
        <v>2.7573E-2</v>
      </c>
      <c r="F18" s="29"/>
      <c r="G18" s="29"/>
      <c r="H18" s="29"/>
      <c r="I18" s="29"/>
      <c r="J18" s="29"/>
      <c r="K18" s="29"/>
      <c r="L18" s="29"/>
      <c r="M18" s="29"/>
      <c r="N18" s="29"/>
      <c r="O18" s="29"/>
      <c r="P18" s="29"/>
      <c r="Q18" s="29"/>
      <c r="R18" s="29"/>
      <c r="S18" s="29"/>
      <c r="T18" s="29"/>
      <c r="U18" s="25"/>
      <c r="W18" s="180" t="s">
        <v>15</v>
      </c>
      <c r="X18" s="179">
        <v>3.3160999999999996E-2</v>
      </c>
    </row>
    <row r="19" spans="2:24" ht="15.75" x14ac:dyDescent="0.25">
      <c r="B19" s="64"/>
      <c r="C19" s="187" t="s">
        <v>137</v>
      </c>
      <c r="D19" s="195" t="s">
        <v>26</v>
      </c>
      <c r="E19" s="196">
        <v>2.7133999999999998E-2</v>
      </c>
      <c r="F19" s="29"/>
      <c r="G19" s="29"/>
      <c r="H19" s="29"/>
      <c r="I19" s="29"/>
      <c r="J19" s="29"/>
      <c r="K19" s="29"/>
      <c r="L19" s="29"/>
      <c r="M19" s="29"/>
      <c r="N19" s="29"/>
      <c r="O19" s="29"/>
      <c r="P19" s="29"/>
      <c r="Q19" s="29"/>
      <c r="R19" s="29"/>
      <c r="S19" s="29"/>
      <c r="T19" s="29"/>
      <c r="U19" s="25"/>
      <c r="W19" s="180" t="s">
        <v>106</v>
      </c>
      <c r="X19" s="179">
        <v>3.0341E-2</v>
      </c>
    </row>
    <row r="20" spans="2:24" ht="15.75" x14ac:dyDescent="0.25">
      <c r="B20" s="64"/>
      <c r="C20" s="187" t="s">
        <v>219</v>
      </c>
      <c r="D20" s="195" t="s">
        <v>26</v>
      </c>
      <c r="E20" s="196">
        <v>2.6932000000000001E-2</v>
      </c>
      <c r="F20" s="29"/>
      <c r="G20" s="29"/>
      <c r="H20" s="29"/>
      <c r="I20" s="29"/>
      <c r="J20" s="29"/>
      <c r="K20" s="29"/>
      <c r="L20" s="29"/>
      <c r="M20" s="29"/>
      <c r="N20" s="29"/>
      <c r="O20" s="29"/>
      <c r="P20" s="29"/>
      <c r="Q20" s="29"/>
      <c r="R20" s="29"/>
      <c r="S20" s="29"/>
      <c r="T20" s="29"/>
      <c r="U20" s="25"/>
      <c r="W20" s="180" t="s">
        <v>13</v>
      </c>
      <c r="X20" s="179">
        <v>2.9642999999999999E-2</v>
      </c>
    </row>
    <row r="21" spans="2:24" ht="30" x14ac:dyDescent="0.25">
      <c r="B21" s="64"/>
      <c r="C21" s="187" t="s">
        <v>221</v>
      </c>
      <c r="D21" s="195" t="s">
        <v>183</v>
      </c>
      <c r="E21" s="196">
        <v>2.6721999999999999E-2</v>
      </c>
      <c r="F21" s="29"/>
      <c r="G21" s="29"/>
      <c r="H21" s="29"/>
      <c r="I21" s="29"/>
      <c r="J21" s="29"/>
      <c r="K21" s="29"/>
      <c r="L21" s="29"/>
      <c r="M21" s="29"/>
      <c r="N21" s="29"/>
      <c r="O21" s="29"/>
      <c r="P21" s="29"/>
      <c r="Q21" s="29"/>
      <c r="R21" s="29"/>
      <c r="S21" s="29"/>
      <c r="T21" s="29"/>
      <c r="U21" s="25"/>
      <c r="W21" s="180" t="s">
        <v>183</v>
      </c>
      <c r="X21" s="179">
        <v>2.6721999999999999E-2</v>
      </c>
    </row>
    <row r="22" spans="2:24" ht="30" x14ac:dyDescent="0.25">
      <c r="B22" s="64"/>
      <c r="C22" s="187" t="s">
        <v>356</v>
      </c>
      <c r="D22" s="195" t="s">
        <v>110</v>
      </c>
      <c r="E22" s="196">
        <v>2.6138999999999999E-2</v>
      </c>
      <c r="F22" s="29"/>
      <c r="G22" s="29"/>
      <c r="H22" s="29"/>
      <c r="I22" s="29"/>
      <c r="J22" s="29"/>
      <c r="K22" s="29"/>
      <c r="L22" s="29"/>
      <c r="M22" s="29"/>
      <c r="N22" s="29"/>
      <c r="O22" s="29"/>
      <c r="P22" s="29"/>
      <c r="Q22" s="29"/>
      <c r="R22" s="29"/>
      <c r="S22" s="29"/>
      <c r="T22" s="29"/>
      <c r="U22" s="25"/>
      <c r="W22" s="180" t="s">
        <v>24</v>
      </c>
      <c r="X22" s="179">
        <v>2.6013000000000001E-2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124</v>
      </c>
      <c r="X23" s="179">
        <v>2.2202E-2</v>
      </c>
    </row>
    <row r="24" spans="2:24" ht="15.75" x14ac:dyDescent="0.25">
      <c r="B24" s="64"/>
      <c r="C24" s="73" t="s">
        <v>55</v>
      </c>
      <c r="D24" s="74"/>
      <c r="E24" s="75">
        <f>SUM(E8:E22)</f>
        <v>0.46323900000000007</v>
      </c>
      <c r="F24" s="29"/>
      <c r="G24" s="29"/>
      <c r="H24" s="29"/>
      <c r="I24" s="29"/>
      <c r="J24" s="29"/>
      <c r="K24" s="29"/>
      <c r="L24" s="29"/>
      <c r="M24" s="29"/>
      <c r="N24" s="29"/>
      <c r="O24" s="29"/>
      <c r="P24" s="29"/>
      <c r="Q24" s="29"/>
      <c r="R24" s="29"/>
      <c r="S24" s="29"/>
      <c r="T24" s="29"/>
      <c r="U24" s="25"/>
      <c r="W24" s="180" t="s">
        <v>10</v>
      </c>
      <c r="X24" s="179">
        <v>2.0239E-2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12</v>
      </c>
      <c r="X25" s="179">
        <v>1.8409999999999999E-2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112</v>
      </c>
      <c r="X26" s="179">
        <v>1.8021000000000002E-2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109</v>
      </c>
      <c r="X27" s="62">
        <v>1.4232E-2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111</v>
      </c>
      <c r="X28" s="62">
        <v>1.1967E-2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6</v>
      </c>
      <c r="X29" s="62">
        <v>9.4859999999999996E-3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120</v>
      </c>
      <c r="X30" s="62">
        <v>8.2330000000000007E-3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105</v>
      </c>
      <c r="X31" s="62">
        <v>8.2179999999999996E-3</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row>
    <row r="44" spans="2:24" x14ac:dyDescent="0.25">
      <c r="B44" s="298"/>
      <c r="C44" s="299"/>
      <c r="D44" s="299"/>
      <c r="E44" s="299"/>
      <c r="F44" s="299"/>
      <c r="G44" s="299"/>
      <c r="H44" s="299"/>
      <c r="I44" s="299"/>
      <c r="J44" s="299"/>
      <c r="K44" s="299"/>
      <c r="L44" s="299"/>
      <c r="M44" s="299"/>
      <c r="N44" s="299"/>
      <c r="O44" s="299"/>
      <c r="P44" s="299"/>
      <c r="Q44" s="299"/>
      <c r="R44" s="300"/>
    </row>
    <row r="45" spans="2:24" ht="15.75" thickBot="1" x14ac:dyDescent="0.3">
      <c r="B45" s="301"/>
      <c r="C45" s="302"/>
      <c r="D45" s="302"/>
      <c r="E45" s="302"/>
      <c r="F45" s="302"/>
      <c r="G45" s="302"/>
      <c r="H45" s="302"/>
      <c r="I45" s="302"/>
      <c r="J45" s="302"/>
      <c r="K45" s="302"/>
      <c r="L45" s="302"/>
      <c r="M45" s="302"/>
      <c r="N45" s="302"/>
      <c r="O45" s="302"/>
      <c r="P45" s="302"/>
      <c r="Q45" s="302"/>
      <c r="R45" s="303"/>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213</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423</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211</v>
      </c>
      <c r="D8" s="193" t="s">
        <v>84</v>
      </c>
      <c r="E8" s="194">
        <v>1.6653000000000001E-2</v>
      </c>
      <c r="F8" s="29"/>
      <c r="G8" s="29"/>
      <c r="H8" s="29"/>
      <c r="I8" s="29"/>
      <c r="J8" s="29"/>
      <c r="K8" s="29"/>
      <c r="L8" s="29"/>
      <c r="M8" s="29"/>
      <c r="N8" s="29"/>
      <c r="O8" s="29"/>
      <c r="P8" s="29"/>
      <c r="Q8" s="29"/>
      <c r="R8" s="29"/>
      <c r="S8" s="29"/>
      <c r="T8" s="29"/>
      <c r="U8" s="25"/>
      <c r="W8" s="180" t="s">
        <v>84</v>
      </c>
      <c r="X8" s="234">
        <v>9.5383000000000009E-2</v>
      </c>
    </row>
    <row r="9" spans="1:24" ht="15.75" x14ac:dyDescent="0.25">
      <c r="B9" s="64"/>
      <c r="C9" s="187" t="s">
        <v>222</v>
      </c>
      <c r="D9" s="195" t="s">
        <v>16</v>
      </c>
      <c r="E9" s="196">
        <v>1.3434E-2</v>
      </c>
      <c r="F9" s="29"/>
      <c r="G9" s="29"/>
      <c r="H9" s="29"/>
      <c r="I9" s="29"/>
      <c r="J9" s="29"/>
      <c r="K9" s="29"/>
      <c r="L9" s="29"/>
      <c r="M9" s="29"/>
      <c r="N9" s="29"/>
      <c r="O9" s="29"/>
      <c r="P9" s="29"/>
      <c r="Q9" s="29"/>
      <c r="R9" s="29"/>
      <c r="S9" s="29"/>
      <c r="T9" s="29"/>
      <c r="U9" s="25"/>
      <c r="W9" s="180" t="s">
        <v>110</v>
      </c>
      <c r="X9" s="234">
        <v>8.8371000000000005E-2</v>
      </c>
    </row>
    <row r="10" spans="1:24" ht="15.75" x14ac:dyDescent="0.25">
      <c r="B10" s="64"/>
      <c r="C10" s="187" t="s">
        <v>215</v>
      </c>
      <c r="D10" s="195" t="s">
        <v>84</v>
      </c>
      <c r="E10" s="196">
        <v>1.328E-2</v>
      </c>
      <c r="F10" s="29"/>
      <c r="G10" s="29"/>
      <c r="H10" s="29"/>
      <c r="I10" s="29"/>
      <c r="J10" s="29"/>
      <c r="K10" s="29"/>
      <c r="L10" s="29"/>
      <c r="M10" s="29"/>
      <c r="N10" s="29"/>
      <c r="O10" s="29"/>
      <c r="P10" s="29"/>
      <c r="Q10" s="29"/>
      <c r="R10" s="29"/>
      <c r="S10" s="29"/>
      <c r="T10" s="29"/>
      <c r="U10" s="25"/>
      <c r="W10" s="180" t="s">
        <v>4</v>
      </c>
      <c r="X10" s="234">
        <v>7.6119000000000006E-2</v>
      </c>
    </row>
    <row r="11" spans="1:24" ht="30" x14ac:dyDescent="0.25">
      <c r="B11" s="64"/>
      <c r="C11" s="187" t="s">
        <v>324</v>
      </c>
      <c r="D11" s="195" t="s">
        <v>110</v>
      </c>
      <c r="E11" s="196">
        <v>1.3088000000000001E-2</v>
      </c>
      <c r="F11" s="29"/>
      <c r="G11" s="29"/>
      <c r="H11" s="29"/>
      <c r="I11" s="29"/>
      <c r="J11" s="29"/>
      <c r="K11" s="29"/>
      <c r="L11" s="29"/>
      <c r="M11" s="29"/>
      <c r="N11" s="29"/>
      <c r="O11" s="29"/>
      <c r="P11" s="29"/>
      <c r="Q11" s="29"/>
      <c r="R11" s="29"/>
      <c r="S11" s="29"/>
      <c r="T11" s="29"/>
      <c r="U11" s="25"/>
      <c r="W11" s="180" t="s">
        <v>16</v>
      </c>
      <c r="X11" s="234">
        <v>6.3664999999999999E-2</v>
      </c>
    </row>
    <row r="12" spans="1:24" ht="15.75" x14ac:dyDescent="0.25">
      <c r="B12" s="64"/>
      <c r="C12" s="187" t="s">
        <v>241</v>
      </c>
      <c r="D12" s="195" t="s">
        <v>16</v>
      </c>
      <c r="E12" s="196">
        <v>1.2595E-2</v>
      </c>
      <c r="F12" s="29"/>
      <c r="G12" s="29"/>
      <c r="H12" s="29"/>
      <c r="I12" s="29"/>
      <c r="J12" s="29"/>
      <c r="K12" s="29"/>
      <c r="L12" s="29"/>
      <c r="M12" s="29"/>
      <c r="N12" s="29"/>
      <c r="O12" s="29"/>
      <c r="P12" s="29"/>
      <c r="Q12" s="29"/>
      <c r="R12" s="29"/>
      <c r="S12" s="29"/>
      <c r="T12" s="29"/>
      <c r="U12" s="25"/>
      <c r="W12" s="180" t="s">
        <v>24</v>
      </c>
      <c r="X12" s="234">
        <v>5.9701999999999998E-2</v>
      </c>
    </row>
    <row r="13" spans="1:24" ht="30" x14ac:dyDescent="0.25">
      <c r="B13" s="64"/>
      <c r="C13" s="187" t="s">
        <v>240</v>
      </c>
      <c r="D13" s="195" t="s">
        <v>110</v>
      </c>
      <c r="E13" s="196">
        <v>1.2463E-2</v>
      </c>
      <c r="F13" s="29"/>
      <c r="G13" s="29"/>
      <c r="H13" s="29"/>
      <c r="I13" s="29"/>
      <c r="J13" s="29"/>
      <c r="K13" s="29"/>
      <c r="L13" s="29"/>
      <c r="M13" s="29"/>
      <c r="N13" s="29"/>
      <c r="O13" s="29"/>
      <c r="P13" s="29"/>
      <c r="Q13" s="29"/>
      <c r="R13" s="29"/>
      <c r="S13" s="29"/>
      <c r="T13" s="29"/>
      <c r="U13" s="25"/>
      <c r="W13" s="180" t="s">
        <v>115</v>
      </c>
      <c r="X13" s="234">
        <v>5.5003000000000003E-2</v>
      </c>
    </row>
    <row r="14" spans="1:24" ht="15.75" x14ac:dyDescent="0.25">
      <c r="B14" s="64"/>
      <c r="C14" s="187" t="s">
        <v>340</v>
      </c>
      <c r="D14" s="195" t="s">
        <v>84</v>
      </c>
      <c r="E14" s="196">
        <v>1.1164E-2</v>
      </c>
      <c r="F14" s="29"/>
      <c r="G14" s="29"/>
      <c r="H14" s="29"/>
      <c r="I14" s="29"/>
      <c r="J14" s="29"/>
      <c r="K14" s="29"/>
      <c r="L14" s="29"/>
      <c r="M14" s="29"/>
      <c r="N14" s="29"/>
      <c r="O14" s="29"/>
      <c r="P14" s="29"/>
      <c r="Q14" s="29"/>
      <c r="R14" s="29"/>
      <c r="S14" s="29"/>
      <c r="T14" s="29"/>
      <c r="U14" s="25"/>
      <c r="W14" s="180" t="s">
        <v>23</v>
      </c>
      <c r="X14" s="234">
        <v>4.5318999999999998E-2</v>
      </c>
    </row>
    <row r="15" spans="1:24" ht="15.75" x14ac:dyDescent="0.25">
      <c r="B15" s="64"/>
      <c r="C15" s="187" t="s">
        <v>382</v>
      </c>
      <c r="D15" s="195" t="s">
        <v>3</v>
      </c>
      <c r="E15" s="196">
        <v>1.0659E-2</v>
      </c>
      <c r="F15" s="29"/>
      <c r="G15" s="29"/>
      <c r="H15" s="29"/>
      <c r="I15" s="29"/>
      <c r="J15" s="29"/>
      <c r="K15" s="29"/>
      <c r="L15" s="29"/>
      <c r="M15" s="29"/>
      <c r="N15" s="29"/>
      <c r="O15" s="29"/>
      <c r="P15" s="29"/>
      <c r="Q15" s="29"/>
      <c r="R15" s="29"/>
      <c r="S15" s="29"/>
      <c r="T15" s="29"/>
      <c r="U15" s="25"/>
      <c r="W15" s="180" t="s">
        <v>109</v>
      </c>
      <c r="X15" s="234">
        <v>3.7657999999999997E-2</v>
      </c>
    </row>
    <row r="16" spans="1:24" ht="15.75" x14ac:dyDescent="0.25">
      <c r="B16" s="64"/>
      <c r="C16" s="187" t="s">
        <v>357</v>
      </c>
      <c r="D16" s="195" t="s">
        <v>118</v>
      </c>
      <c r="E16" s="196">
        <v>1.0421E-2</v>
      </c>
      <c r="F16" s="29"/>
      <c r="G16" s="29"/>
      <c r="H16" s="29"/>
      <c r="I16" s="29"/>
      <c r="J16" s="29"/>
      <c r="K16" s="29"/>
      <c r="L16" s="29"/>
      <c r="M16" s="29"/>
      <c r="N16" s="29"/>
      <c r="O16" s="29"/>
      <c r="P16" s="29"/>
      <c r="Q16" s="29"/>
      <c r="R16" s="29"/>
      <c r="S16" s="29"/>
      <c r="T16" s="29"/>
      <c r="U16" s="25"/>
      <c r="W16" s="180" t="s">
        <v>76</v>
      </c>
      <c r="X16" s="234">
        <v>3.7176999999999995E-2</v>
      </c>
    </row>
    <row r="17" spans="2:24" ht="15.75" x14ac:dyDescent="0.25">
      <c r="B17" s="64"/>
      <c r="C17" s="187" t="s">
        <v>234</v>
      </c>
      <c r="D17" s="195" t="s">
        <v>15</v>
      </c>
      <c r="E17" s="196">
        <v>1.0323000000000001E-2</v>
      </c>
      <c r="F17" s="29"/>
      <c r="G17" s="29"/>
      <c r="H17" s="29"/>
      <c r="I17" s="29"/>
      <c r="J17" s="29"/>
      <c r="K17" s="29"/>
      <c r="L17" s="29"/>
      <c r="M17" s="29"/>
      <c r="N17" s="29"/>
      <c r="O17" s="29"/>
      <c r="P17" s="29"/>
      <c r="Q17" s="29"/>
      <c r="R17" s="29"/>
      <c r="S17" s="29"/>
      <c r="T17" s="29"/>
      <c r="U17" s="25"/>
      <c r="W17" s="180" t="s">
        <v>3</v>
      </c>
      <c r="X17" s="234">
        <v>3.7108000000000002E-2</v>
      </c>
    </row>
    <row r="18" spans="2:24" ht="15.75" x14ac:dyDescent="0.25">
      <c r="B18" s="64"/>
      <c r="C18" s="187" t="s">
        <v>209</v>
      </c>
      <c r="D18" s="195" t="s">
        <v>84</v>
      </c>
      <c r="E18" s="196">
        <v>9.8219999999999991E-3</v>
      </c>
      <c r="F18" s="29"/>
      <c r="G18" s="29"/>
      <c r="H18" s="29"/>
      <c r="I18" s="29"/>
      <c r="J18" s="29"/>
      <c r="K18" s="29"/>
      <c r="L18" s="29"/>
      <c r="M18" s="29"/>
      <c r="N18" s="29"/>
      <c r="O18" s="29"/>
      <c r="P18" s="29"/>
      <c r="Q18" s="29"/>
      <c r="R18" s="29"/>
      <c r="S18" s="29"/>
      <c r="T18" s="29"/>
      <c r="U18" s="25"/>
      <c r="W18" s="180" t="s">
        <v>106</v>
      </c>
      <c r="X18" s="234">
        <v>3.5458999999999997E-2</v>
      </c>
    </row>
    <row r="19" spans="2:24" ht="15.75" x14ac:dyDescent="0.25">
      <c r="B19" s="64"/>
      <c r="C19" s="187" t="s">
        <v>303</v>
      </c>
      <c r="D19" s="195" t="s">
        <v>105</v>
      </c>
      <c r="E19" s="196">
        <v>9.6939999999999995E-3</v>
      </c>
      <c r="F19" s="29"/>
      <c r="G19" s="29"/>
      <c r="H19" s="29"/>
      <c r="I19" s="29"/>
      <c r="J19" s="29"/>
      <c r="K19" s="29"/>
      <c r="L19" s="29"/>
      <c r="M19" s="29"/>
      <c r="N19" s="29"/>
      <c r="O19" s="29"/>
      <c r="P19" s="29"/>
      <c r="Q19" s="29"/>
      <c r="R19" s="29"/>
      <c r="S19" s="29"/>
      <c r="T19" s="29"/>
      <c r="U19" s="25"/>
      <c r="W19" s="180" t="s">
        <v>118</v>
      </c>
      <c r="X19" s="234">
        <v>3.0581999999999998E-2</v>
      </c>
    </row>
    <row r="20" spans="2:24" ht="15.75" x14ac:dyDescent="0.25">
      <c r="B20" s="64"/>
      <c r="C20" s="187" t="s">
        <v>341</v>
      </c>
      <c r="D20" s="195" t="s">
        <v>112</v>
      </c>
      <c r="E20" s="196">
        <v>9.2069999999999999E-3</v>
      </c>
      <c r="F20" s="29"/>
      <c r="G20" s="29"/>
      <c r="H20" s="29"/>
      <c r="I20" s="29"/>
      <c r="J20" s="29"/>
      <c r="K20" s="29"/>
      <c r="L20" s="29"/>
      <c r="M20" s="29"/>
      <c r="N20" s="29"/>
      <c r="O20" s="29"/>
      <c r="P20" s="29"/>
      <c r="Q20" s="29"/>
      <c r="R20" s="29"/>
      <c r="S20" s="29"/>
      <c r="T20" s="29"/>
      <c r="U20" s="25"/>
      <c r="W20" s="180" t="s">
        <v>136</v>
      </c>
      <c r="X20" s="234">
        <v>2.9288000000000002E-2</v>
      </c>
    </row>
    <row r="21" spans="2:24" ht="15.75" x14ac:dyDescent="0.25">
      <c r="B21" s="64"/>
      <c r="C21" s="187" t="s">
        <v>383</v>
      </c>
      <c r="D21" s="195" t="s">
        <v>76</v>
      </c>
      <c r="E21" s="196">
        <v>8.5109999999999995E-3</v>
      </c>
      <c r="F21" s="29"/>
      <c r="G21" s="29"/>
      <c r="H21" s="29"/>
      <c r="I21" s="29"/>
      <c r="J21" s="29"/>
      <c r="K21" s="29"/>
      <c r="L21" s="29"/>
      <c r="M21" s="29"/>
      <c r="N21" s="29"/>
      <c r="O21" s="29"/>
      <c r="P21" s="29"/>
      <c r="Q21" s="29"/>
      <c r="R21" s="29"/>
      <c r="S21" s="29"/>
      <c r="T21" s="29"/>
      <c r="U21" s="25"/>
      <c r="W21" s="180" t="s">
        <v>83</v>
      </c>
      <c r="X21" s="234">
        <v>2.7882999999999998E-2</v>
      </c>
    </row>
    <row r="22" spans="2:24" ht="15.75" x14ac:dyDescent="0.25">
      <c r="B22" s="64"/>
      <c r="C22" s="187" t="s">
        <v>187</v>
      </c>
      <c r="D22" s="195" t="s">
        <v>4</v>
      </c>
      <c r="E22" s="196">
        <v>8.4969999999999993E-3</v>
      </c>
      <c r="F22" s="29"/>
      <c r="G22" s="29"/>
      <c r="H22" s="29"/>
      <c r="I22" s="29"/>
      <c r="J22" s="29"/>
      <c r="K22" s="29"/>
      <c r="L22" s="29"/>
      <c r="M22" s="29"/>
      <c r="N22" s="29"/>
      <c r="O22" s="29"/>
      <c r="P22" s="29"/>
      <c r="Q22" s="29"/>
      <c r="R22" s="29"/>
      <c r="S22" s="29"/>
      <c r="T22" s="29"/>
      <c r="U22" s="25"/>
      <c r="W22" s="180" t="s">
        <v>112</v>
      </c>
      <c r="X22" s="234">
        <v>2.6211000000000002E-2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125</v>
      </c>
      <c r="X23" s="234">
        <v>1.9503E-2</v>
      </c>
    </row>
    <row r="24" spans="2:24" ht="15.75" x14ac:dyDescent="0.25">
      <c r="B24" s="64"/>
      <c r="C24" s="73" t="s">
        <v>55</v>
      </c>
      <c r="D24" s="74"/>
      <c r="E24" s="75">
        <f>SUM(E8:E22)</f>
        <v>0.16981100000000002</v>
      </c>
      <c r="F24" s="29"/>
      <c r="G24" s="29"/>
      <c r="H24" s="29"/>
      <c r="I24" s="29"/>
      <c r="J24" s="29"/>
      <c r="K24" s="29"/>
      <c r="L24" s="29"/>
      <c r="M24" s="29"/>
      <c r="N24" s="29"/>
      <c r="O24" s="29"/>
      <c r="P24" s="29"/>
      <c r="Q24" s="29"/>
      <c r="R24" s="29"/>
      <c r="S24" s="29"/>
      <c r="T24" s="29"/>
      <c r="U24" s="25"/>
      <c r="W24" s="180" t="s">
        <v>117</v>
      </c>
      <c r="X24" s="234">
        <v>1.6583000000000001E-2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82</v>
      </c>
      <c r="X25" s="234">
        <v>1.5251000000000001E-2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25</v>
      </c>
      <c r="X26" s="234">
        <v>1.5151999999999999E-2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15</v>
      </c>
      <c r="X27" s="234">
        <v>1.4787000000000002E-2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113</v>
      </c>
      <c r="X28" s="234">
        <v>1.4066E-2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94</v>
      </c>
      <c r="X29" s="234">
        <v>1.3996999999999999E-2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123</v>
      </c>
      <c r="X30" s="234">
        <v>1.0793000000000001E-2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12</v>
      </c>
      <c r="X31" s="234">
        <v>1.0272999999999999E-2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114</v>
      </c>
      <c r="X32" s="234">
        <v>1.0205000000000001E-2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105</v>
      </c>
      <c r="X33" s="234">
        <v>9.6939999999999995E-3</v>
      </c>
    </row>
    <row r="34" spans="2:24" x14ac:dyDescent="0.25">
      <c r="B34" s="64"/>
      <c r="C34" s="29"/>
      <c r="D34" s="29"/>
      <c r="E34" s="29"/>
      <c r="F34" s="29"/>
      <c r="G34" s="29"/>
      <c r="H34" s="29"/>
      <c r="I34" s="29"/>
      <c r="J34" s="29"/>
      <c r="K34" s="29"/>
      <c r="L34" s="29"/>
      <c r="M34" s="29"/>
      <c r="N34" s="29"/>
      <c r="O34" s="29"/>
      <c r="P34" s="29"/>
      <c r="Q34" s="29"/>
      <c r="R34" s="29"/>
      <c r="S34" s="29"/>
      <c r="T34" s="29"/>
      <c r="U34" s="25"/>
      <c r="W34" s="180" t="s">
        <v>10</v>
      </c>
      <c r="X34" s="234">
        <v>9.5660000000000016E-3</v>
      </c>
    </row>
    <row r="35" spans="2:24" x14ac:dyDescent="0.25">
      <c r="B35" s="64"/>
      <c r="C35" s="29"/>
      <c r="D35" s="29"/>
      <c r="E35" s="29"/>
      <c r="F35" s="29"/>
      <c r="G35" s="29"/>
      <c r="H35" s="29"/>
      <c r="I35" s="29"/>
      <c r="J35" s="29"/>
      <c r="K35" s="29"/>
      <c r="L35" s="29"/>
      <c r="M35" s="29"/>
      <c r="N35" s="29"/>
      <c r="O35" s="29"/>
      <c r="P35" s="29"/>
      <c r="Q35" s="29"/>
      <c r="R35" s="29"/>
      <c r="S35" s="29"/>
      <c r="T35" s="29"/>
      <c r="U35" s="25"/>
      <c r="W35" s="180" t="s">
        <v>26</v>
      </c>
      <c r="X35" s="234">
        <v>9.0219999999999988E-3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121</v>
      </c>
      <c r="X36" s="234">
        <v>8.5760000000000003E-3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107</v>
      </c>
      <c r="X37" s="234">
        <v>7.7530000000000003E-3</v>
      </c>
    </row>
    <row r="38" spans="2:24" ht="15.75" thickBot="1" x14ac:dyDescent="0.3">
      <c r="W38" s="180" t="s">
        <v>126</v>
      </c>
      <c r="X38" s="234">
        <v>7.1999999999999998E-3</v>
      </c>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180" t="s">
        <v>86</v>
      </c>
      <c r="X39" s="234">
        <v>6.4250000000000002E-3</v>
      </c>
    </row>
    <row r="40" spans="2:24" x14ac:dyDescent="0.25">
      <c r="B40" s="298"/>
      <c r="C40" s="299"/>
      <c r="D40" s="299"/>
      <c r="E40" s="299"/>
      <c r="F40" s="299"/>
      <c r="G40" s="299"/>
      <c r="H40" s="299"/>
      <c r="I40" s="299"/>
      <c r="J40" s="299"/>
      <c r="K40" s="299"/>
      <c r="L40" s="299"/>
      <c r="M40" s="299"/>
      <c r="N40" s="299"/>
      <c r="O40" s="299"/>
      <c r="P40" s="299"/>
      <c r="Q40" s="299"/>
      <c r="R40" s="300"/>
      <c r="W40" s="180" t="s">
        <v>124</v>
      </c>
      <c r="X40" s="234">
        <v>6.4159999999999998E-3</v>
      </c>
    </row>
    <row r="41" spans="2:24" x14ac:dyDescent="0.25">
      <c r="B41" s="298"/>
      <c r="C41" s="299"/>
      <c r="D41" s="299"/>
      <c r="E41" s="299"/>
      <c r="F41" s="299"/>
      <c r="G41" s="299"/>
      <c r="H41" s="299"/>
      <c r="I41" s="299"/>
      <c r="J41" s="299"/>
      <c r="K41" s="299"/>
      <c r="L41" s="299"/>
      <c r="M41" s="299"/>
      <c r="N41" s="299"/>
      <c r="O41" s="299"/>
      <c r="P41" s="299"/>
      <c r="Q41" s="299"/>
      <c r="R41" s="300"/>
      <c r="W41" s="180" t="s">
        <v>6</v>
      </c>
      <c r="X41" s="234">
        <v>6.3709999999999999E-3</v>
      </c>
    </row>
    <row r="42" spans="2:24" x14ac:dyDescent="0.25">
      <c r="B42" s="298"/>
      <c r="C42" s="299"/>
      <c r="D42" s="299"/>
      <c r="E42" s="299"/>
      <c r="F42" s="299"/>
      <c r="G42" s="299"/>
      <c r="H42" s="299"/>
      <c r="I42" s="299"/>
      <c r="J42" s="299"/>
      <c r="K42" s="299"/>
      <c r="L42" s="299"/>
      <c r="M42" s="299"/>
      <c r="N42" s="299"/>
      <c r="O42" s="299"/>
      <c r="P42" s="299"/>
      <c r="Q42" s="299"/>
      <c r="R42" s="300"/>
      <c r="W42" s="180" t="s">
        <v>349</v>
      </c>
      <c r="X42" s="234">
        <v>5.8509999999999994E-3</v>
      </c>
    </row>
    <row r="43" spans="2:24" x14ac:dyDescent="0.25">
      <c r="B43" s="298"/>
      <c r="C43" s="299"/>
      <c r="D43" s="299"/>
      <c r="E43" s="299"/>
      <c r="F43" s="299"/>
      <c r="G43" s="299"/>
      <c r="H43" s="299"/>
      <c r="I43" s="299"/>
      <c r="J43" s="299"/>
      <c r="K43" s="299"/>
      <c r="L43" s="299"/>
      <c r="M43" s="299"/>
      <c r="N43" s="299"/>
      <c r="O43" s="299"/>
      <c r="P43" s="299"/>
      <c r="Q43" s="299"/>
      <c r="R43" s="300"/>
      <c r="W43" s="180" t="s">
        <v>120</v>
      </c>
      <c r="X43" s="234">
        <v>5.7009999999999995E-3</v>
      </c>
    </row>
    <row r="44" spans="2:24" x14ac:dyDescent="0.25">
      <c r="B44" s="298"/>
      <c r="C44" s="299"/>
      <c r="D44" s="299"/>
      <c r="E44" s="299"/>
      <c r="F44" s="299"/>
      <c r="G44" s="299"/>
      <c r="H44" s="299"/>
      <c r="I44" s="299"/>
      <c r="J44" s="299"/>
      <c r="K44" s="299"/>
      <c r="L44" s="299"/>
      <c r="M44" s="299"/>
      <c r="N44" s="299"/>
      <c r="O44" s="299"/>
      <c r="P44" s="299"/>
      <c r="Q44" s="299"/>
      <c r="R44" s="300"/>
      <c r="W44" s="180" t="s">
        <v>184</v>
      </c>
      <c r="X44" s="234">
        <v>5.241E-3</v>
      </c>
    </row>
    <row r="45" spans="2:24" ht="15.75" thickBot="1" x14ac:dyDescent="0.3">
      <c r="B45" s="301"/>
      <c r="C45" s="302"/>
      <c r="D45" s="302"/>
      <c r="E45" s="302"/>
      <c r="F45" s="302"/>
      <c r="G45" s="302"/>
      <c r="H45" s="302"/>
      <c r="I45" s="302"/>
      <c r="J45" s="302"/>
      <c r="K45" s="302"/>
      <c r="L45" s="302"/>
      <c r="M45" s="302"/>
      <c r="N45" s="302"/>
      <c r="O45" s="302"/>
      <c r="P45" s="302"/>
      <c r="Q45" s="302"/>
      <c r="R45" s="303"/>
      <c r="W45" s="180" t="s">
        <v>214</v>
      </c>
      <c r="X45" s="234">
        <v>5.0470000000000003E-3</v>
      </c>
    </row>
    <row r="46" spans="2:24" x14ac:dyDescent="0.25">
      <c r="W46" s="180" t="s">
        <v>122</v>
      </c>
      <c r="X46" s="234">
        <v>4.3790000000000001E-3</v>
      </c>
    </row>
    <row r="47" spans="2:24" x14ac:dyDescent="0.25">
      <c r="W47" s="180" t="s">
        <v>127</v>
      </c>
      <c r="X47" s="234">
        <v>3.5010000000000002E-3</v>
      </c>
    </row>
    <row r="48" spans="2:24" x14ac:dyDescent="0.25">
      <c r="W48" s="180" t="s">
        <v>85</v>
      </c>
      <c r="X48" s="234">
        <v>3.4810000000000002E-3</v>
      </c>
    </row>
    <row r="49" spans="23:24" x14ac:dyDescent="0.25">
      <c r="W49" s="180" t="s">
        <v>111</v>
      </c>
      <c r="X49" s="234">
        <v>3.4150000000000001E-3</v>
      </c>
    </row>
    <row r="50" spans="23:24" x14ac:dyDescent="0.25">
      <c r="W50" s="180" t="s">
        <v>11</v>
      </c>
      <c r="X50" s="234">
        <v>2.7629999999999998E-3</v>
      </c>
    </row>
    <row r="51" spans="23:24" x14ac:dyDescent="0.25">
      <c r="W51" s="180" t="s">
        <v>129</v>
      </c>
      <c r="X51" s="234">
        <v>2.343E-3</v>
      </c>
    </row>
    <row r="52" spans="23:24" x14ac:dyDescent="0.25">
      <c r="W52" s="180" t="s">
        <v>145</v>
      </c>
      <c r="X52" s="234">
        <v>1.5169999999999999E-3</v>
      </c>
    </row>
    <row r="53" spans="23:24" x14ac:dyDescent="0.25">
      <c r="W53" s="180"/>
      <c r="X53" s="234"/>
    </row>
    <row r="54" spans="23:24" x14ac:dyDescent="0.25">
      <c r="W54" s="180"/>
      <c r="X54" s="234"/>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268</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424</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v>
      </c>
      <c r="D8" s="193" t="s">
        <v>3</v>
      </c>
      <c r="E8" s="194">
        <v>6.9916000000000006E-2</v>
      </c>
      <c r="F8" s="29"/>
      <c r="G8" s="29"/>
      <c r="H8" s="29"/>
      <c r="I8" s="29"/>
      <c r="J8" s="29"/>
      <c r="K8" s="29"/>
      <c r="L8" s="29"/>
      <c r="M8" s="29"/>
      <c r="N8" s="29"/>
      <c r="O8" s="29"/>
      <c r="P8" s="29"/>
      <c r="Q8" s="29"/>
      <c r="R8" s="29"/>
      <c r="S8" s="29"/>
      <c r="T8" s="29"/>
      <c r="U8" s="25"/>
      <c r="W8" s="180" t="s">
        <v>3</v>
      </c>
      <c r="X8" s="234">
        <v>0.19123100000000001</v>
      </c>
    </row>
    <row r="9" spans="1:24" ht="15.75" x14ac:dyDescent="0.25">
      <c r="B9" s="64"/>
      <c r="C9" s="187" t="s">
        <v>32</v>
      </c>
      <c r="D9" s="195" t="s">
        <v>3</v>
      </c>
      <c r="E9" s="196">
        <v>4.7844999999999999E-2</v>
      </c>
      <c r="F9" s="29"/>
      <c r="G9" s="29"/>
      <c r="H9" s="29"/>
      <c r="I9" s="29"/>
      <c r="J9" s="29"/>
      <c r="K9" s="29"/>
      <c r="L9" s="29"/>
      <c r="M9" s="29"/>
      <c r="N9" s="29"/>
      <c r="O9" s="29"/>
      <c r="P9" s="29"/>
      <c r="Q9" s="29"/>
      <c r="R9" s="29"/>
      <c r="S9" s="29"/>
      <c r="T9" s="29"/>
      <c r="U9" s="25"/>
      <c r="W9" s="180" t="s">
        <v>106</v>
      </c>
      <c r="X9" s="234">
        <v>9.8146999999999998E-2</v>
      </c>
    </row>
    <row r="10" spans="1:24" ht="15.75" x14ac:dyDescent="0.25">
      <c r="B10" s="64"/>
      <c r="C10" s="187" t="s">
        <v>31</v>
      </c>
      <c r="D10" s="195" t="s">
        <v>6</v>
      </c>
      <c r="E10" s="196">
        <v>4.6484999999999999E-2</v>
      </c>
      <c r="F10" s="29"/>
      <c r="G10" s="29"/>
      <c r="H10" s="29"/>
      <c r="I10" s="29"/>
      <c r="J10" s="29"/>
      <c r="K10" s="29"/>
      <c r="L10" s="29"/>
      <c r="M10" s="29"/>
      <c r="N10" s="29"/>
      <c r="O10" s="29"/>
      <c r="P10" s="29"/>
      <c r="Q10" s="29"/>
      <c r="R10" s="29"/>
      <c r="S10" s="29"/>
      <c r="T10" s="29"/>
      <c r="U10" s="25"/>
      <c r="W10" s="180" t="s">
        <v>4</v>
      </c>
      <c r="X10" s="234">
        <v>5.8163000000000006E-2</v>
      </c>
    </row>
    <row r="11" spans="1:24" ht="15.75" x14ac:dyDescent="0.25">
      <c r="B11" s="64"/>
      <c r="C11" s="187" t="s">
        <v>28</v>
      </c>
      <c r="D11" s="195" t="s">
        <v>106</v>
      </c>
      <c r="E11" s="196">
        <v>3.6651999999999997E-2</v>
      </c>
      <c r="F11" s="29"/>
      <c r="G11" s="29"/>
      <c r="H11" s="29"/>
      <c r="I11" s="29"/>
      <c r="J11" s="29"/>
      <c r="K11" s="29"/>
      <c r="L11" s="29"/>
      <c r="M11" s="29"/>
      <c r="N11" s="29"/>
      <c r="O11" s="29"/>
      <c r="P11" s="29"/>
      <c r="Q11" s="29"/>
      <c r="R11" s="29"/>
      <c r="S11" s="29"/>
      <c r="T11" s="29"/>
      <c r="U11" s="25"/>
      <c r="W11" s="180" t="s">
        <v>6</v>
      </c>
      <c r="X11" s="234">
        <v>5.4550999999999995E-2</v>
      </c>
    </row>
    <row r="12" spans="1:24" ht="15.75" x14ac:dyDescent="0.25">
      <c r="B12" s="64"/>
      <c r="C12" s="187" t="s">
        <v>70</v>
      </c>
      <c r="D12" s="195" t="s">
        <v>12</v>
      </c>
      <c r="E12" s="196">
        <v>2.3609999999999999E-2</v>
      </c>
      <c r="F12" s="29"/>
      <c r="G12" s="29"/>
      <c r="H12" s="29"/>
      <c r="I12" s="29"/>
      <c r="J12" s="29"/>
      <c r="K12" s="29"/>
      <c r="L12" s="29"/>
      <c r="M12" s="29"/>
      <c r="N12" s="29"/>
      <c r="O12" s="29"/>
      <c r="P12" s="29"/>
      <c r="Q12" s="29"/>
      <c r="R12" s="29"/>
      <c r="S12" s="29"/>
      <c r="T12" s="29"/>
      <c r="U12" s="25"/>
      <c r="W12" s="180" t="s">
        <v>110</v>
      </c>
      <c r="X12" s="234">
        <v>4.9518000000000006E-2</v>
      </c>
    </row>
    <row r="13" spans="1:24" ht="15.75" x14ac:dyDescent="0.25">
      <c r="B13" s="64"/>
      <c r="C13" s="187" t="s">
        <v>33</v>
      </c>
      <c r="D13" s="195" t="s">
        <v>106</v>
      </c>
      <c r="E13" s="196">
        <v>2.2752999999999999E-2</v>
      </c>
      <c r="F13" s="29"/>
      <c r="G13" s="29"/>
      <c r="H13" s="29"/>
      <c r="I13" s="29"/>
      <c r="J13" s="29"/>
      <c r="K13" s="29"/>
      <c r="L13" s="29"/>
      <c r="M13" s="29"/>
      <c r="N13" s="29"/>
      <c r="O13" s="29"/>
      <c r="P13" s="29"/>
      <c r="Q13" s="29"/>
      <c r="R13" s="29"/>
      <c r="S13" s="29"/>
      <c r="T13" s="29"/>
      <c r="U13" s="25"/>
      <c r="W13" s="180" t="s">
        <v>111</v>
      </c>
      <c r="X13" s="234">
        <v>4.7108999999999998E-2</v>
      </c>
    </row>
    <row r="14" spans="1:24" ht="15.75" x14ac:dyDescent="0.25">
      <c r="B14" s="64"/>
      <c r="C14" s="187" t="s">
        <v>34</v>
      </c>
      <c r="D14" s="195" t="s">
        <v>23</v>
      </c>
      <c r="E14" s="196">
        <v>2.2728999999999999E-2</v>
      </c>
      <c r="F14" s="29"/>
      <c r="G14" s="29"/>
      <c r="H14" s="29"/>
      <c r="I14" s="29"/>
      <c r="J14" s="29"/>
      <c r="K14" s="29"/>
      <c r="L14" s="29"/>
      <c r="M14" s="29"/>
      <c r="N14" s="29"/>
      <c r="O14" s="29"/>
      <c r="P14" s="29"/>
      <c r="Q14" s="29"/>
      <c r="R14" s="29"/>
      <c r="S14" s="29"/>
      <c r="T14" s="29"/>
      <c r="U14" s="25"/>
      <c r="W14" s="180" t="s">
        <v>116</v>
      </c>
      <c r="X14" s="234">
        <v>3.4474999999999999E-2</v>
      </c>
    </row>
    <row r="15" spans="1:24" ht="15.75" x14ac:dyDescent="0.25">
      <c r="B15" s="64"/>
      <c r="C15" s="187" t="s">
        <v>30</v>
      </c>
      <c r="D15" s="195" t="s">
        <v>116</v>
      </c>
      <c r="E15" s="196">
        <v>2.2519000000000001E-2</v>
      </c>
      <c r="F15" s="29"/>
      <c r="G15" s="29"/>
      <c r="H15" s="29"/>
      <c r="I15" s="29"/>
      <c r="J15" s="29"/>
      <c r="K15" s="29"/>
      <c r="L15" s="29"/>
      <c r="M15" s="29"/>
      <c r="N15" s="29"/>
      <c r="O15" s="29"/>
      <c r="P15" s="29"/>
      <c r="Q15" s="29"/>
      <c r="R15" s="29"/>
      <c r="S15" s="29"/>
      <c r="T15" s="29"/>
      <c r="U15" s="25"/>
      <c r="W15" s="180" t="s">
        <v>10</v>
      </c>
      <c r="X15" s="234">
        <v>3.1278E-2</v>
      </c>
    </row>
    <row r="16" spans="1:24" ht="15.75" x14ac:dyDescent="0.25">
      <c r="B16" s="64"/>
      <c r="C16" s="187" t="s">
        <v>78</v>
      </c>
      <c r="D16" s="195" t="s">
        <v>3</v>
      </c>
      <c r="E16" s="196">
        <v>1.6098999999999999E-2</v>
      </c>
      <c r="F16" s="29"/>
      <c r="G16" s="29"/>
      <c r="H16" s="29"/>
      <c r="I16" s="29"/>
      <c r="J16" s="29"/>
      <c r="K16" s="29"/>
      <c r="L16" s="29"/>
      <c r="M16" s="29"/>
      <c r="N16" s="29"/>
      <c r="O16" s="29"/>
      <c r="P16" s="29"/>
      <c r="Q16" s="29"/>
      <c r="R16" s="29"/>
      <c r="S16" s="29"/>
      <c r="T16" s="29"/>
      <c r="U16" s="25"/>
      <c r="W16" s="180" t="s">
        <v>23</v>
      </c>
      <c r="X16" s="234">
        <v>3.1190000000000002E-2</v>
      </c>
    </row>
    <row r="17" spans="2:24" ht="15.75" x14ac:dyDescent="0.25">
      <c r="B17" s="64"/>
      <c r="C17" s="187" t="s">
        <v>36</v>
      </c>
      <c r="D17" s="195" t="s">
        <v>3</v>
      </c>
      <c r="E17" s="196">
        <v>1.5219999999999999E-2</v>
      </c>
      <c r="F17" s="29"/>
      <c r="G17" s="29"/>
      <c r="H17" s="29"/>
      <c r="I17" s="29"/>
      <c r="J17" s="29"/>
      <c r="K17" s="29"/>
      <c r="L17" s="29"/>
      <c r="M17" s="29"/>
      <c r="N17" s="29"/>
      <c r="O17" s="29"/>
      <c r="P17" s="29"/>
      <c r="Q17" s="29"/>
      <c r="R17" s="29"/>
      <c r="S17" s="29"/>
      <c r="T17" s="29"/>
      <c r="U17" s="25"/>
      <c r="W17" s="180" t="s">
        <v>16</v>
      </c>
      <c r="X17" s="234">
        <v>3.1044000000000009E-2</v>
      </c>
    </row>
    <row r="18" spans="2:24" ht="15.75" x14ac:dyDescent="0.25">
      <c r="B18" s="64"/>
      <c r="C18" s="187" t="s">
        <v>35</v>
      </c>
      <c r="D18" s="195" t="s">
        <v>3</v>
      </c>
      <c r="E18" s="196">
        <v>1.511E-2</v>
      </c>
      <c r="F18" s="29"/>
      <c r="G18" s="29"/>
      <c r="H18" s="29"/>
      <c r="I18" s="29"/>
      <c r="J18" s="29"/>
      <c r="K18" s="29"/>
      <c r="L18" s="29"/>
      <c r="M18" s="29"/>
      <c r="N18" s="29"/>
      <c r="O18" s="29"/>
      <c r="P18" s="29"/>
      <c r="Q18" s="29"/>
      <c r="R18" s="29"/>
      <c r="S18" s="29"/>
      <c r="T18" s="29"/>
      <c r="U18" s="25"/>
      <c r="W18" s="180" t="s">
        <v>12</v>
      </c>
      <c r="X18" s="234">
        <v>2.9775000000000003E-2</v>
      </c>
    </row>
    <row r="19" spans="2:24" ht="15.75" x14ac:dyDescent="0.25">
      <c r="B19" s="64"/>
      <c r="C19" s="187" t="s">
        <v>119</v>
      </c>
      <c r="D19" s="195" t="s">
        <v>111</v>
      </c>
      <c r="E19" s="196">
        <v>1.4329E-2</v>
      </c>
      <c r="F19" s="29"/>
      <c r="G19" s="29"/>
      <c r="H19" s="29"/>
      <c r="I19" s="29"/>
      <c r="J19" s="29"/>
      <c r="K19" s="29"/>
      <c r="L19" s="29"/>
      <c r="M19" s="29"/>
      <c r="N19" s="29"/>
      <c r="O19" s="29"/>
      <c r="P19" s="29"/>
      <c r="Q19" s="29"/>
      <c r="R19" s="29"/>
      <c r="S19" s="29"/>
      <c r="T19" s="29"/>
      <c r="U19" s="25"/>
      <c r="W19" s="180" t="s">
        <v>26</v>
      </c>
      <c r="X19" s="234">
        <v>2.5505E-2</v>
      </c>
    </row>
    <row r="20" spans="2:24" ht="15.75" x14ac:dyDescent="0.25">
      <c r="B20" s="64"/>
      <c r="C20" s="187" t="s">
        <v>80</v>
      </c>
      <c r="D20" s="195" t="s">
        <v>4</v>
      </c>
      <c r="E20" s="196">
        <v>1.1939999999999999E-2</v>
      </c>
      <c r="F20" s="29"/>
      <c r="G20" s="29"/>
      <c r="H20" s="29"/>
      <c r="I20" s="29"/>
      <c r="J20" s="29"/>
      <c r="K20" s="29"/>
      <c r="L20" s="29"/>
      <c r="M20" s="29"/>
      <c r="N20" s="29"/>
      <c r="O20" s="29"/>
      <c r="P20" s="29"/>
      <c r="Q20" s="29"/>
      <c r="R20" s="29"/>
      <c r="S20" s="29"/>
      <c r="T20" s="29"/>
      <c r="U20" s="25"/>
      <c r="W20" s="180" t="s">
        <v>109</v>
      </c>
      <c r="X20" s="234">
        <v>2.1645000000000008E-2</v>
      </c>
    </row>
    <row r="21" spans="2:24" ht="15.75" x14ac:dyDescent="0.25">
      <c r="B21" s="64"/>
      <c r="C21" s="187" t="s">
        <v>37</v>
      </c>
      <c r="D21" s="195" t="s">
        <v>116</v>
      </c>
      <c r="E21" s="196">
        <v>1.1859E-2</v>
      </c>
      <c r="F21" s="29"/>
      <c r="G21" s="29"/>
      <c r="H21" s="29"/>
      <c r="I21" s="29"/>
      <c r="J21" s="29"/>
      <c r="K21" s="29"/>
      <c r="L21" s="29"/>
      <c r="M21" s="29"/>
      <c r="N21" s="29"/>
      <c r="O21" s="29"/>
      <c r="P21" s="29"/>
      <c r="Q21" s="29"/>
      <c r="R21" s="29"/>
      <c r="S21" s="29"/>
      <c r="T21" s="29"/>
      <c r="U21" s="25"/>
      <c r="W21" s="180" t="s">
        <v>82</v>
      </c>
      <c r="X21" s="234">
        <v>2.0723999999999999E-2</v>
      </c>
    </row>
    <row r="22" spans="2:24" ht="30" x14ac:dyDescent="0.25">
      <c r="B22" s="64"/>
      <c r="C22" s="187" t="s">
        <v>256</v>
      </c>
      <c r="D22" s="195" t="s">
        <v>110</v>
      </c>
      <c r="E22" s="196">
        <v>1.0187E-2</v>
      </c>
      <c r="F22" s="29"/>
      <c r="G22" s="29"/>
      <c r="H22" s="29"/>
      <c r="I22" s="29"/>
      <c r="J22" s="29"/>
      <c r="K22" s="29"/>
      <c r="L22" s="29"/>
      <c r="M22" s="29"/>
      <c r="N22" s="29"/>
      <c r="O22" s="29"/>
      <c r="P22" s="29"/>
      <c r="Q22" s="29"/>
      <c r="R22" s="29"/>
      <c r="S22" s="29"/>
      <c r="T22" s="29"/>
      <c r="U22" s="25"/>
      <c r="W22" s="180" t="s">
        <v>24</v>
      </c>
      <c r="X22" s="234">
        <v>2.0514000000000001E-2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118</v>
      </c>
      <c r="X23" s="234">
        <v>1.7240999999999999E-2</v>
      </c>
    </row>
    <row r="24" spans="2:24" ht="15.75" x14ac:dyDescent="0.25">
      <c r="B24" s="64"/>
      <c r="C24" s="73" t="s">
        <v>55</v>
      </c>
      <c r="D24" s="74"/>
      <c r="E24" s="75">
        <f>SUM(E8:E22)</f>
        <v>0.38725299999999996</v>
      </c>
      <c r="F24" s="29"/>
      <c r="G24" s="29"/>
      <c r="H24" s="29"/>
      <c r="I24" s="29"/>
      <c r="J24" s="29"/>
      <c r="K24" s="29"/>
      <c r="L24" s="29"/>
      <c r="M24" s="29"/>
      <c r="N24" s="29"/>
      <c r="O24" s="29"/>
      <c r="P24" s="29"/>
      <c r="Q24" s="29"/>
      <c r="R24" s="29"/>
      <c r="S24" s="29"/>
      <c r="T24" s="29"/>
      <c r="U24" s="25"/>
      <c r="W24" s="180" t="s">
        <v>115</v>
      </c>
      <c r="X24" s="234">
        <v>1.6406999999999998E-2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v>
      </c>
      <c r="X25" s="234">
        <v>1.6261000000000001E-2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84</v>
      </c>
      <c r="X26" s="234">
        <v>1.6056000000000004E-2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85</v>
      </c>
      <c r="X27" s="62">
        <v>1.5331000000000001E-2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76</v>
      </c>
      <c r="X28" s="62">
        <v>1.5013000000000002E-2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112</v>
      </c>
      <c r="X29" s="62">
        <v>1.3710000000000002E-2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86</v>
      </c>
      <c r="X30" s="62">
        <v>1.2213E-2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83</v>
      </c>
      <c r="X31" s="62">
        <v>1.0918000000000001E-2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107</v>
      </c>
      <c r="X32" s="62">
        <v>9.2000000000000016E-3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114</v>
      </c>
      <c r="X33" s="62">
        <v>8.4609999999999998E-3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105</v>
      </c>
      <c r="X34" s="62">
        <v>8.2869999999999992E-3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120</v>
      </c>
      <c r="X35" s="62">
        <v>7.9880000000000003E-3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123</v>
      </c>
      <c r="X36" s="62">
        <v>7.9880000000000003E-3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25</v>
      </c>
      <c r="X37" s="62">
        <v>7.5300000000000011E-3</v>
      </c>
    </row>
    <row r="38" spans="2:24" ht="15.75" thickBot="1" x14ac:dyDescent="0.3">
      <c r="W38" s="61" t="s">
        <v>117</v>
      </c>
      <c r="X38" s="62">
        <v>7.1139999999999997E-3</v>
      </c>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t="s">
        <v>13</v>
      </c>
      <c r="X39" s="62">
        <v>6.8589999999999996E-3</v>
      </c>
    </row>
    <row r="40" spans="2:24" x14ac:dyDescent="0.25">
      <c r="B40" s="298"/>
      <c r="C40" s="299"/>
      <c r="D40" s="299"/>
      <c r="E40" s="299"/>
      <c r="F40" s="299"/>
      <c r="G40" s="299"/>
      <c r="H40" s="299"/>
      <c r="I40" s="299"/>
      <c r="J40" s="299"/>
      <c r="K40" s="299"/>
      <c r="L40" s="299"/>
      <c r="M40" s="299"/>
      <c r="N40" s="299"/>
      <c r="O40" s="299"/>
      <c r="P40" s="299"/>
      <c r="Q40" s="299"/>
      <c r="R40" s="300"/>
      <c r="W40" s="61" t="s">
        <v>15</v>
      </c>
      <c r="X40" s="62">
        <v>6.8059999999999996E-3</v>
      </c>
    </row>
    <row r="41" spans="2:24" x14ac:dyDescent="0.25">
      <c r="B41" s="298"/>
      <c r="C41" s="299"/>
      <c r="D41" s="299"/>
      <c r="E41" s="299"/>
      <c r="F41" s="299"/>
      <c r="G41" s="299"/>
      <c r="H41" s="299"/>
      <c r="I41" s="299"/>
      <c r="J41" s="299"/>
      <c r="K41" s="299"/>
      <c r="L41" s="299"/>
      <c r="M41" s="299"/>
      <c r="N41" s="299"/>
      <c r="O41" s="299"/>
      <c r="P41" s="299"/>
      <c r="Q41" s="299"/>
      <c r="R41" s="300"/>
      <c r="W41" s="61" t="s">
        <v>129</v>
      </c>
      <c r="X41" s="62">
        <v>6.4570000000000009E-3</v>
      </c>
    </row>
    <row r="42" spans="2:24" x14ac:dyDescent="0.25">
      <c r="B42" s="298"/>
      <c r="C42" s="299"/>
      <c r="D42" s="299"/>
      <c r="E42" s="299"/>
      <c r="F42" s="299"/>
      <c r="G42" s="299"/>
      <c r="H42" s="299"/>
      <c r="I42" s="299"/>
      <c r="J42" s="299"/>
      <c r="K42" s="299"/>
      <c r="L42" s="299"/>
      <c r="M42" s="299"/>
      <c r="N42" s="299"/>
      <c r="O42" s="299"/>
      <c r="P42" s="299"/>
      <c r="Q42" s="299"/>
      <c r="R42" s="300"/>
      <c r="W42" s="61" t="s">
        <v>136</v>
      </c>
      <c r="X42" s="62">
        <v>6.3629999999999997E-3</v>
      </c>
    </row>
    <row r="43" spans="2:24" x14ac:dyDescent="0.25">
      <c r="B43" s="298"/>
      <c r="C43" s="299"/>
      <c r="D43" s="299"/>
      <c r="E43" s="299"/>
      <c r="F43" s="299"/>
      <c r="G43" s="299"/>
      <c r="H43" s="299"/>
      <c r="I43" s="299"/>
      <c r="J43" s="299"/>
      <c r="K43" s="299"/>
      <c r="L43" s="299"/>
      <c r="M43" s="299"/>
      <c r="N43" s="299"/>
      <c r="O43" s="299"/>
      <c r="P43" s="299"/>
      <c r="Q43" s="299"/>
      <c r="R43" s="300"/>
      <c r="W43" s="61" t="s">
        <v>130</v>
      </c>
      <c r="X43" s="62">
        <v>4.9480000000000001E-3</v>
      </c>
    </row>
    <row r="44" spans="2:24" x14ac:dyDescent="0.25">
      <c r="B44" s="298"/>
      <c r="C44" s="299"/>
      <c r="D44" s="299"/>
      <c r="E44" s="299"/>
      <c r="F44" s="299"/>
      <c r="G44" s="299"/>
      <c r="H44" s="299"/>
      <c r="I44" s="299"/>
      <c r="J44" s="299"/>
      <c r="K44" s="299"/>
      <c r="L44" s="299"/>
      <c r="M44" s="299"/>
      <c r="N44" s="299"/>
      <c r="O44" s="299"/>
      <c r="P44" s="299"/>
      <c r="Q44" s="299"/>
      <c r="R44" s="300"/>
      <c r="W44" s="61" t="s">
        <v>183</v>
      </c>
      <c r="X44" s="62">
        <v>4.7010000000000003E-3</v>
      </c>
    </row>
    <row r="45" spans="2:24" ht="15.75" thickBot="1" x14ac:dyDescent="0.3">
      <c r="B45" s="301"/>
      <c r="C45" s="302"/>
      <c r="D45" s="302"/>
      <c r="E45" s="302"/>
      <c r="F45" s="302"/>
      <c r="G45" s="302"/>
      <c r="H45" s="302"/>
      <c r="I45" s="302"/>
      <c r="J45" s="302"/>
      <c r="K45" s="302"/>
      <c r="L45" s="302"/>
      <c r="M45" s="302"/>
      <c r="N45" s="302"/>
      <c r="O45" s="302"/>
      <c r="P45" s="302"/>
      <c r="Q45" s="302"/>
      <c r="R45" s="303"/>
      <c r="W45" s="61" t="s">
        <v>132</v>
      </c>
      <c r="X45" s="62">
        <v>4.0499999999999998E-3</v>
      </c>
    </row>
    <row r="46" spans="2:24" x14ac:dyDescent="0.25">
      <c r="W46" s="61" t="s">
        <v>121</v>
      </c>
      <c r="X46" s="62">
        <v>3.7669999999999999E-3</v>
      </c>
    </row>
    <row r="47" spans="2:24" x14ac:dyDescent="0.25">
      <c r="W47" s="61" t="s">
        <v>131</v>
      </c>
      <c r="X47" s="62">
        <v>3.0860000000000002E-3</v>
      </c>
    </row>
    <row r="48" spans="2:24" x14ac:dyDescent="0.25">
      <c r="W48" s="61" t="s">
        <v>113</v>
      </c>
      <c r="X48" s="62">
        <v>3.0829999999999994E-3</v>
      </c>
    </row>
    <row r="49" spans="23:24" x14ac:dyDescent="0.25">
      <c r="W49" s="61" t="s">
        <v>126</v>
      </c>
      <c r="X49" s="62">
        <v>3.075E-3</v>
      </c>
    </row>
    <row r="50" spans="23:24" x14ac:dyDescent="0.25">
      <c r="W50" s="61" t="s">
        <v>125</v>
      </c>
      <c r="X50" s="62">
        <v>2.6279999999999997E-3</v>
      </c>
    </row>
    <row r="51" spans="23:24" x14ac:dyDescent="0.25">
      <c r="W51" s="61" t="s">
        <v>94</v>
      </c>
      <c r="X51" s="62">
        <v>2.098E-3</v>
      </c>
    </row>
    <row r="52" spans="23:24" x14ac:dyDescent="0.25">
      <c r="W52" s="61" t="s">
        <v>145</v>
      </c>
      <c r="X52" s="62">
        <v>1.8919999999999998E-3</v>
      </c>
    </row>
    <row r="53" spans="23:24" x14ac:dyDescent="0.25">
      <c r="W53" s="61" t="s">
        <v>122</v>
      </c>
      <c r="X53" s="62">
        <v>1.565E-3</v>
      </c>
    </row>
    <row r="54" spans="23:24" x14ac:dyDescent="0.25">
      <c r="W54" s="61" t="s">
        <v>124</v>
      </c>
      <c r="X54" s="62">
        <v>8.4399999999999992E-4</v>
      </c>
    </row>
    <row r="55" spans="23:24" x14ac:dyDescent="0.25">
      <c r="W55" s="61" t="s">
        <v>349</v>
      </c>
      <c r="X55" s="62">
        <v>7.9000000000000001E-4</v>
      </c>
    </row>
    <row r="56" spans="23:24" x14ac:dyDescent="0.25">
      <c r="W56" s="61" t="s">
        <v>275</v>
      </c>
      <c r="X56" s="62">
        <v>7.4899999999999999E-4</v>
      </c>
    </row>
    <row r="57" spans="23:24" x14ac:dyDescent="0.25">
      <c r="W57" s="61" t="s">
        <v>184</v>
      </c>
      <c r="X57" s="62">
        <v>5.7100000000000011E-4</v>
      </c>
    </row>
    <row r="58" spans="23:24" x14ac:dyDescent="0.25">
      <c r="W58" s="61" t="s">
        <v>214</v>
      </c>
      <c r="X58" s="62">
        <v>4.7699999999999999E-4</v>
      </c>
    </row>
    <row r="59" spans="23:24" x14ac:dyDescent="0.25">
      <c r="W59" s="61" t="s">
        <v>127</v>
      </c>
      <c r="X59" s="62">
        <v>4.3499999999999995E-4</v>
      </c>
    </row>
    <row r="60" spans="23:24" x14ac:dyDescent="0.25">
      <c r="W60" s="61" t="s">
        <v>276</v>
      </c>
      <c r="X60" s="62">
        <v>2.14E-4</v>
      </c>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289</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425</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v>
      </c>
      <c r="D8" s="193" t="s">
        <v>3</v>
      </c>
      <c r="E8" s="194">
        <v>0.27556399999999998</v>
      </c>
      <c r="F8" s="29"/>
      <c r="G8" s="29"/>
      <c r="H8" s="29"/>
      <c r="I8" s="29"/>
      <c r="J8" s="29"/>
      <c r="K8" s="29"/>
      <c r="L8" s="29"/>
      <c r="M8" s="29"/>
      <c r="N8" s="29"/>
      <c r="O8" s="29"/>
      <c r="P8" s="29"/>
      <c r="Q8" s="29"/>
      <c r="R8" s="29"/>
      <c r="S8" s="29"/>
      <c r="T8" s="29"/>
      <c r="U8" s="25"/>
      <c r="W8" s="180" t="s">
        <v>3</v>
      </c>
      <c r="X8" s="234">
        <v>0.9974989999999998</v>
      </c>
    </row>
    <row r="9" spans="1:24" ht="15.75" x14ac:dyDescent="0.25">
      <c r="B9" s="64"/>
      <c r="C9" s="187" t="s">
        <v>32</v>
      </c>
      <c r="D9" s="195" t="s">
        <v>3</v>
      </c>
      <c r="E9" s="196">
        <v>0.24987000000000001</v>
      </c>
      <c r="F9" s="29"/>
      <c r="G9" s="29"/>
      <c r="H9" s="29"/>
      <c r="I9" s="29"/>
      <c r="J9" s="29"/>
      <c r="K9" s="29"/>
      <c r="L9" s="29"/>
      <c r="M9" s="29"/>
      <c r="N9" s="29"/>
      <c r="O9" s="29"/>
      <c r="P9" s="29"/>
      <c r="Q9" s="29"/>
      <c r="R9" s="29"/>
      <c r="S9" s="29"/>
      <c r="T9" s="29"/>
      <c r="U9" s="25"/>
      <c r="W9" s="180"/>
      <c r="X9" s="234"/>
    </row>
    <row r="10" spans="1:24" ht="15.75" x14ac:dyDescent="0.25">
      <c r="B10" s="64"/>
      <c r="C10" s="187" t="s">
        <v>35</v>
      </c>
      <c r="D10" s="195" t="s">
        <v>3</v>
      </c>
      <c r="E10" s="196">
        <v>9.5861000000000002E-2</v>
      </c>
      <c r="F10" s="29"/>
      <c r="G10" s="29"/>
      <c r="H10" s="29"/>
      <c r="I10" s="29"/>
      <c r="J10" s="29"/>
      <c r="K10" s="29"/>
      <c r="L10" s="29"/>
      <c r="M10" s="29"/>
      <c r="N10" s="29"/>
      <c r="O10" s="29"/>
      <c r="P10" s="29"/>
      <c r="Q10" s="29"/>
      <c r="R10" s="29"/>
      <c r="S10" s="29"/>
      <c r="T10" s="29"/>
      <c r="U10" s="25"/>
      <c r="W10" s="180"/>
      <c r="X10" s="234"/>
    </row>
    <row r="11" spans="1:24" ht="15.75" x14ac:dyDescent="0.25">
      <c r="B11" s="64"/>
      <c r="C11" s="187" t="s">
        <v>78</v>
      </c>
      <c r="D11" s="195" t="s">
        <v>3</v>
      </c>
      <c r="E11" s="196">
        <v>8.4072999999999995E-2</v>
      </c>
      <c r="F11" s="29"/>
      <c r="G11" s="29"/>
      <c r="H11" s="29"/>
      <c r="I11" s="29"/>
      <c r="J11" s="29"/>
      <c r="K11" s="29"/>
      <c r="L11" s="29"/>
      <c r="M11" s="29"/>
      <c r="N11" s="29"/>
      <c r="O11" s="29"/>
      <c r="P11" s="29"/>
      <c r="Q11" s="29"/>
      <c r="R11" s="29"/>
      <c r="S11" s="29"/>
      <c r="T11" s="29"/>
      <c r="U11" s="25"/>
      <c r="W11" s="180"/>
      <c r="X11" s="234"/>
    </row>
    <row r="12" spans="1:24" ht="15.75" x14ac:dyDescent="0.25">
      <c r="B12" s="64"/>
      <c r="C12" s="187" t="s">
        <v>36</v>
      </c>
      <c r="D12" s="195" t="s">
        <v>3</v>
      </c>
      <c r="E12" s="196">
        <v>8.0943000000000001E-2</v>
      </c>
      <c r="F12" s="29"/>
      <c r="G12" s="29"/>
      <c r="H12" s="29"/>
      <c r="I12" s="29"/>
      <c r="J12" s="29"/>
      <c r="K12" s="29"/>
      <c r="L12" s="29"/>
      <c r="M12" s="29"/>
      <c r="N12" s="29"/>
      <c r="O12" s="29"/>
      <c r="P12" s="29"/>
      <c r="Q12" s="29"/>
      <c r="R12" s="29"/>
      <c r="S12" s="29"/>
      <c r="T12" s="29"/>
      <c r="U12" s="25"/>
      <c r="W12" s="180"/>
      <c r="X12" s="234"/>
    </row>
    <row r="13" spans="1:24" ht="15.75" x14ac:dyDescent="0.25">
      <c r="B13" s="64"/>
      <c r="C13" s="187" t="s">
        <v>134</v>
      </c>
      <c r="D13" s="195" t="s">
        <v>3</v>
      </c>
      <c r="E13" s="196">
        <v>4.7666E-2</v>
      </c>
      <c r="F13" s="29"/>
      <c r="G13" s="29"/>
      <c r="H13" s="29"/>
      <c r="I13" s="29"/>
      <c r="J13" s="29"/>
      <c r="K13" s="29"/>
      <c r="L13" s="29"/>
      <c r="M13" s="29"/>
      <c r="N13" s="29"/>
      <c r="O13" s="29"/>
      <c r="P13" s="29"/>
      <c r="Q13" s="29"/>
      <c r="R13" s="29"/>
      <c r="S13" s="29"/>
      <c r="T13" s="29"/>
      <c r="U13" s="25"/>
      <c r="W13" s="180"/>
      <c r="X13" s="234"/>
    </row>
    <row r="14" spans="1:24" ht="15.75" x14ac:dyDescent="0.25">
      <c r="B14" s="64"/>
      <c r="C14" s="187" t="s">
        <v>269</v>
      </c>
      <c r="D14" s="195" t="s">
        <v>3</v>
      </c>
      <c r="E14" s="196">
        <v>3.3349999999999998E-2</v>
      </c>
      <c r="F14" s="29"/>
      <c r="G14" s="29"/>
      <c r="H14" s="29"/>
      <c r="I14" s="29"/>
      <c r="J14" s="29"/>
      <c r="K14" s="29"/>
      <c r="L14" s="29"/>
      <c r="M14" s="29"/>
      <c r="N14" s="29"/>
      <c r="O14" s="29"/>
      <c r="P14" s="29"/>
      <c r="Q14" s="29"/>
      <c r="R14" s="29"/>
      <c r="S14" s="29"/>
      <c r="T14" s="29"/>
      <c r="U14" s="25"/>
      <c r="W14" s="180"/>
      <c r="X14" s="234"/>
    </row>
    <row r="15" spans="1:24" ht="15.75" x14ac:dyDescent="0.25">
      <c r="B15" s="64"/>
      <c r="C15" s="187" t="s">
        <v>287</v>
      </c>
      <c r="D15" s="195" t="s">
        <v>3</v>
      </c>
      <c r="E15" s="196">
        <v>2.8938999999999999E-2</v>
      </c>
      <c r="F15" s="29"/>
      <c r="G15" s="29"/>
      <c r="H15" s="29"/>
      <c r="I15" s="29"/>
      <c r="J15" s="29"/>
      <c r="K15" s="29"/>
      <c r="L15" s="29"/>
      <c r="M15" s="29"/>
      <c r="N15" s="29"/>
      <c r="O15" s="29"/>
      <c r="P15" s="29"/>
      <c r="Q15" s="29"/>
      <c r="R15" s="29"/>
      <c r="S15" s="29"/>
      <c r="T15" s="29"/>
      <c r="U15" s="25"/>
      <c r="W15" s="180"/>
      <c r="X15" s="234"/>
    </row>
    <row r="16" spans="1:24" ht="15.75" x14ac:dyDescent="0.25">
      <c r="B16" s="64"/>
      <c r="C16" s="187" t="s">
        <v>288</v>
      </c>
      <c r="D16" s="195" t="s">
        <v>3</v>
      </c>
      <c r="E16" s="196">
        <v>2.8493999999999998E-2</v>
      </c>
      <c r="F16" s="29"/>
      <c r="G16" s="29"/>
      <c r="H16" s="29"/>
      <c r="I16" s="29"/>
      <c r="J16" s="29"/>
      <c r="K16" s="29"/>
      <c r="L16" s="29"/>
      <c r="M16" s="29"/>
      <c r="N16" s="29"/>
      <c r="O16" s="29"/>
      <c r="P16" s="29"/>
      <c r="Q16" s="29"/>
      <c r="R16" s="29"/>
      <c r="S16" s="29"/>
      <c r="T16" s="29"/>
      <c r="U16" s="25"/>
      <c r="W16" s="180"/>
      <c r="X16" s="234"/>
    </row>
    <row r="17" spans="2:24" ht="15.75" x14ac:dyDescent="0.25">
      <c r="B17" s="64"/>
      <c r="C17" s="187" t="s">
        <v>279</v>
      </c>
      <c r="D17" s="195" t="s">
        <v>3</v>
      </c>
      <c r="E17" s="196">
        <v>2.5368000000000002E-2</v>
      </c>
      <c r="F17" s="29"/>
      <c r="G17" s="29"/>
      <c r="H17" s="29"/>
      <c r="I17" s="29"/>
      <c r="J17" s="29"/>
      <c r="K17" s="29"/>
      <c r="L17" s="29"/>
      <c r="M17" s="29"/>
      <c r="N17" s="29"/>
      <c r="O17" s="29"/>
      <c r="P17" s="29"/>
      <c r="Q17" s="29"/>
      <c r="R17" s="29"/>
      <c r="S17" s="29"/>
      <c r="T17" s="29"/>
      <c r="U17" s="25"/>
      <c r="W17" s="180"/>
      <c r="X17" s="234"/>
    </row>
    <row r="18" spans="2:24" ht="15.75" x14ac:dyDescent="0.25">
      <c r="B18" s="64"/>
      <c r="C18" s="187" t="s">
        <v>263</v>
      </c>
      <c r="D18" s="195" t="s">
        <v>3</v>
      </c>
      <c r="E18" s="196">
        <v>2.4511000000000002E-2</v>
      </c>
      <c r="F18" s="29"/>
      <c r="G18" s="29"/>
      <c r="H18" s="29"/>
      <c r="I18" s="29"/>
      <c r="J18" s="29"/>
      <c r="K18" s="29"/>
      <c r="L18" s="29"/>
      <c r="M18" s="29"/>
      <c r="N18" s="29"/>
      <c r="O18" s="29"/>
      <c r="P18" s="29"/>
      <c r="Q18" s="29"/>
      <c r="R18" s="29"/>
      <c r="S18" s="29"/>
      <c r="T18" s="29"/>
      <c r="U18" s="25"/>
      <c r="W18" s="180"/>
      <c r="X18" s="234"/>
    </row>
    <row r="19" spans="2:24" ht="15.75" x14ac:dyDescent="0.25">
      <c r="B19" s="64"/>
      <c r="C19" s="187" t="s">
        <v>304</v>
      </c>
      <c r="D19" s="195" t="s">
        <v>3</v>
      </c>
      <c r="E19" s="196">
        <v>2.2859999999999998E-2</v>
      </c>
      <c r="F19" s="29"/>
      <c r="G19" s="29"/>
      <c r="H19" s="29"/>
      <c r="I19" s="29"/>
      <c r="J19" s="29"/>
      <c r="K19" s="29"/>
      <c r="L19" s="29"/>
      <c r="M19" s="29"/>
      <c r="N19" s="29"/>
      <c r="O19" s="29"/>
      <c r="P19" s="29"/>
      <c r="Q19" s="29"/>
      <c r="R19" s="29"/>
      <c r="S19" s="29"/>
      <c r="T19" s="29"/>
      <c r="U19" s="25"/>
      <c r="W19" s="180"/>
      <c r="X19" s="234"/>
    </row>
    <row r="20" spans="2:24" ht="15.75" x14ac:dyDescent="0.25">
      <c r="B20" s="64"/>
      <c r="C20" s="73" t="s">
        <v>55</v>
      </c>
      <c r="D20" s="74"/>
      <c r="E20" s="75">
        <f>SUM(E8:E19)</f>
        <v>0.9974989999999998</v>
      </c>
      <c r="F20" s="29"/>
      <c r="G20" s="29"/>
      <c r="H20" s="29"/>
      <c r="I20" s="29"/>
      <c r="J20" s="29"/>
      <c r="K20" s="29"/>
      <c r="L20" s="29"/>
      <c r="M20" s="29"/>
      <c r="N20" s="29"/>
      <c r="O20" s="29"/>
      <c r="P20" s="29"/>
      <c r="Q20" s="29"/>
      <c r="R20" s="29"/>
      <c r="S20" s="29"/>
      <c r="T20" s="29"/>
      <c r="U20" s="25"/>
      <c r="W20" s="180"/>
      <c r="X20" s="234"/>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34"/>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34"/>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34"/>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c r="W43" s="61"/>
      <c r="X43" s="62"/>
    </row>
    <row r="44" spans="2:24" x14ac:dyDescent="0.25">
      <c r="B44" s="298"/>
      <c r="C44" s="299"/>
      <c r="D44" s="299"/>
      <c r="E44" s="299"/>
      <c r="F44" s="299"/>
      <c r="G44" s="299"/>
      <c r="H44" s="299"/>
      <c r="I44" s="299"/>
      <c r="J44" s="299"/>
      <c r="K44" s="299"/>
      <c r="L44" s="299"/>
      <c r="M44" s="299"/>
      <c r="N44" s="299"/>
      <c r="O44" s="299"/>
      <c r="P44" s="299"/>
      <c r="Q44" s="299"/>
      <c r="R44" s="300"/>
      <c r="W44" s="61"/>
      <c r="X44" s="62"/>
    </row>
    <row r="45" spans="2:24" ht="15.75" thickBot="1" x14ac:dyDescent="0.3">
      <c r="B45" s="301"/>
      <c r="C45" s="302"/>
      <c r="D45" s="302"/>
      <c r="E45" s="302"/>
      <c r="F45" s="302"/>
      <c r="G45" s="302"/>
      <c r="H45" s="302"/>
      <c r="I45" s="302"/>
      <c r="J45" s="302"/>
      <c r="K45" s="302"/>
      <c r="L45" s="302"/>
      <c r="M45" s="302"/>
      <c r="N45" s="302"/>
      <c r="O45" s="302"/>
      <c r="P45" s="302"/>
      <c r="Q45" s="302"/>
      <c r="R45" s="303"/>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43.28515625" style="19"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305</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426</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256</v>
      </c>
      <c r="D8" s="193" t="s">
        <v>110</v>
      </c>
      <c r="E8" s="194">
        <v>0.15338499999999999</v>
      </c>
      <c r="F8" s="29"/>
      <c r="G8" s="29"/>
      <c r="H8" s="29"/>
      <c r="I8" s="29"/>
      <c r="J8" s="29"/>
      <c r="K8" s="29"/>
      <c r="L8" s="29"/>
      <c r="M8" s="29"/>
      <c r="N8" s="29"/>
      <c r="O8" s="29"/>
      <c r="P8" s="29"/>
      <c r="Q8" s="29"/>
      <c r="R8" s="29"/>
      <c r="S8" s="29"/>
      <c r="T8" s="29"/>
      <c r="U8" s="25"/>
      <c r="W8" s="180" t="s">
        <v>110</v>
      </c>
      <c r="X8" s="234">
        <v>0.75786100000000023</v>
      </c>
    </row>
    <row r="9" spans="1:24" ht="15.75" x14ac:dyDescent="0.25">
      <c r="B9" s="64"/>
      <c r="C9" s="187" t="s">
        <v>103</v>
      </c>
      <c r="D9" s="195" t="s">
        <v>110</v>
      </c>
      <c r="E9" s="196">
        <v>6.7183999999999994E-2</v>
      </c>
      <c r="F9" s="29"/>
      <c r="G9" s="29"/>
      <c r="H9" s="29"/>
      <c r="I9" s="29"/>
      <c r="J9" s="29"/>
      <c r="K9" s="29"/>
      <c r="L9" s="29"/>
      <c r="M9" s="29"/>
      <c r="N9" s="29"/>
      <c r="O9" s="29"/>
      <c r="P9" s="29"/>
      <c r="Q9" s="29"/>
      <c r="R9" s="29"/>
      <c r="S9" s="29"/>
      <c r="T9" s="29"/>
      <c r="U9" s="25"/>
      <c r="W9" s="180" t="s">
        <v>76</v>
      </c>
      <c r="X9" s="234">
        <v>0.23524400000000001</v>
      </c>
    </row>
    <row r="10" spans="1:24" ht="15.75" x14ac:dyDescent="0.25">
      <c r="B10" s="64"/>
      <c r="C10" s="187" t="s">
        <v>306</v>
      </c>
      <c r="D10" s="195" t="s">
        <v>76</v>
      </c>
      <c r="E10" s="196">
        <v>6.3959000000000002E-2</v>
      </c>
      <c r="F10" s="29"/>
      <c r="G10" s="29"/>
      <c r="H10" s="29"/>
      <c r="I10" s="29"/>
      <c r="J10" s="29"/>
      <c r="K10" s="29"/>
      <c r="L10" s="29"/>
      <c r="M10" s="29"/>
      <c r="N10" s="29"/>
      <c r="O10" s="29"/>
      <c r="P10" s="29"/>
      <c r="Q10" s="29"/>
      <c r="R10" s="29"/>
      <c r="S10" s="29"/>
      <c r="T10" s="29"/>
      <c r="U10" s="25"/>
      <c r="W10" s="180" t="s">
        <v>214</v>
      </c>
      <c r="X10" s="234">
        <v>7.5830000000000003E-3</v>
      </c>
    </row>
    <row r="11" spans="1:24" ht="15.75" x14ac:dyDescent="0.25">
      <c r="B11" s="64"/>
      <c r="C11" s="187" t="s">
        <v>141</v>
      </c>
      <c r="D11" s="195" t="s">
        <v>110</v>
      </c>
      <c r="E11" s="196">
        <v>6.0435999999999997E-2</v>
      </c>
      <c r="F11" s="29"/>
      <c r="G11" s="29"/>
      <c r="H11" s="29"/>
      <c r="I11" s="29"/>
      <c r="J11" s="29"/>
      <c r="K11" s="29"/>
      <c r="L11" s="29"/>
      <c r="M11" s="29"/>
      <c r="N11" s="29"/>
      <c r="O11" s="29"/>
      <c r="P11" s="29"/>
      <c r="Q11" s="29"/>
      <c r="R11" s="29"/>
      <c r="S11" s="29"/>
      <c r="T11" s="29"/>
      <c r="U11" s="25"/>
      <c r="W11" s="180"/>
      <c r="X11" s="234"/>
    </row>
    <row r="12" spans="1:24" ht="15.75" x14ac:dyDescent="0.25">
      <c r="B12" s="64"/>
      <c r="C12" s="187" t="s">
        <v>307</v>
      </c>
      <c r="D12" s="195" t="s">
        <v>110</v>
      </c>
      <c r="E12" s="196">
        <v>5.7905999999999999E-2</v>
      </c>
      <c r="F12" s="29"/>
      <c r="G12" s="29"/>
      <c r="H12" s="29"/>
      <c r="I12" s="29"/>
      <c r="J12" s="29"/>
      <c r="K12" s="29"/>
      <c r="L12" s="29"/>
      <c r="M12" s="29"/>
      <c r="N12" s="29"/>
      <c r="O12" s="29"/>
      <c r="P12" s="29"/>
      <c r="Q12" s="29"/>
      <c r="R12" s="29"/>
      <c r="S12" s="29"/>
      <c r="T12" s="29"/>
      <c r="U12" s="25"/>
      <c r="W12" s="180"/>
      <c r="X12" s="234"/>
    </row>
    <row r="13" spans="1:24" ht="15.75" x14ac:dyDescent="0.25">
      <c r="B13" s="64"/>
      <c r="C13" s="187" t="s">
        <v>300</v>
      </c>
      <c r="D13" s="195" t="s">
        <v>76</v>
      </c>
      <c r="E13" s="196">
        <v>5.5917000000000001E-2</v>
      </c>
      <c r="F13" s="29"/>
      <c r="G13" s="29"/>
      <c r="H13" s="29"/>
      <c r="I13" s="29"/>
      <c r="J13" s="29"/>
      <c r="K13" s="29"/>
      <c r="L13" s="29"/>
      <c r="M13" s="29"/>
      <c r="N13" s="29"/>
      <c r="O13" s="29"/>
      <c r="P13" s="29"/>
      <c r="Q13" s="29"/>
      <c r="R13" s="29"/>
      <c r="S13" s="29"/>
      <c r="T13" s="29"/>
      <c r="U13" s="25"/>
      <c r="W13" s="180"/>
      <c r="X13" s="234"/>
    </row>
    <row r="14" spans="1:24" ht="15.75" x14ac:dyDescent="0.25">
      <c r="B14" s="64"/>
      <c r="C14" s="187" t="s">
        <v>308</v>
      </c>
      <c r="D14" s="195" t="s">
        <v>110</v>
      </c>
      <c r="E14" s="196">
        <v>4.1005E-2</v>
      </c>
      <c r="F14" s="29"/>
      <c r="G14" s="29"/>
      <c r="H14" s="29"/>
      <c r="I14" s="29"/>
      <c r="J14" s="29"/>
      <c r="K14" s="29"/>
      <c r="L14" s="29"/>
      <c r="M14" s="29"/>
      <c r="N14" s="29"/>
      <c r="O14" s="29"/>
      <c r="P14" s="29"/>
      <c r="Q14" s="29"/>
      <c r="R14" s="29"/>
      <c r="S14" s="29"/>
      <c r="T14" s="29"/>
      <c r="U14" s="25"/>
      <c r="W14" s="180"/>
      <c r="X14" s="234"/>
    </row>
    <row r="15" spans="1:24" ht="15.75" x14ac:dyDescent="0.25">
      <c r="B15" s="64"/>
      <c r="C15" s="187" t="s">
        <v>309</v>
      </c>
      <c r="D15" s="195" t="s">
        <v>76</v>
      </c>
      <c r="E15" s="196">
        <v>2.7165999999999999E-2</v>
      </c>
      <c r="F15" s="29"/>
      <c r="G15" s="29"/>
      <c r="H15" s="29"/>
      <c r="I15" s="29"/>
      <c r="J15" s="29"/>
      <c r="K15" s="29"/>
      <c r="L15" s="29"/>
      <c r="M15" s="29"/>
      <c r="N15" s="29"/>
      <c r="O15" s="29"/>
      <c r="P15" s="29"/>
      <c r="Q15" s="29"/>
      <c r="R15" s="29"/>
      <c r="S15" s="29"/>
      <c r="T15" s="29"/>
      <c r="U15" s="25"/>
      <c r="W15" s="180"/>
      <c r="X15" s="234"/>
    </row>
    <row r="16" spans="1:24" ht="15.75" x14ac:dyDescent="0.25">
      <c r="B16" s="64"/>
      <c r="C16" s="187" t="s">
        <v>284</v>
      </c>
      <c r="D16" s="195" t="s">
        <v>110</v>
      </c>
      <c r="E16" s="196">
        <v>2.6627000000000001E-2</v>
      </c>
      <c r="F16" s="29"/>
      <c r="G16" s="29"/>
      <c r="H16" s="29"/>
      <c r="I16" s="29"/>
      <c r="J16" s="29"/>
      <c r="K16" s="29"/>
      <c r="L16" s="29"/>
      <c r="M16" s="29"/>
      <c r="N16" s="29"/>
      <c r="O16" s="29"/>
      <c r="P16" s="29"/>
      <c r="Q16" s="29"/>
      <c r="R16" s="29"/>
      <c r="S16" s="29"/>
      <c r="T16" s="29"/>
      <c r="U16" s="25"/>
      <c r="W16" s="180"/>
      <c r="X16" s="234"/>
    </row>
    <row r="17" spans="2:24" ht="15.75" x14ac:dyDescent="0.25">
      <c r="B17" s="64"/>
      <c r="C17" s="187" t="s">
        <v>280</v>
      </c>
      <c r="D17" s="195" t="s">
        <v>110</v>
      </c>
      <c r="E17" s="196">
        <v>2.5177999999999999E-2</v>
      </c>
      <c r="F17" s="29"/>
      <c r="G17" s="29"/>
      <c r="H17" s="29"/>
      <c r="I17" s="29"/>
      <c r="J17" s="29"/>
      <c r="K17" s="29"/>
      <c r="L17" s="29"/>
      <c r="M17" s="29"/>
      <c r="N17" s="29"/>
      <c r="O17" s="29"/>
      <c r="P17" s="29"/>
      <c r="Q17" s="29"/>
      <c r="R17" s="29"/>
      <c r="S17" s="29"/>
      <c r="T17" s="29"/>
      <c r="U17" s="25"/>
      <c r="W17" s="180"/>
      <c r="X17" s="234"/>
    </row>
    <row r="18" spans="2:24" ht="15.75" x14ac:dyDescent="0.25">
      <c r="B18" s="64"/>
      <c r="C18" s="187" t="s">
        <v>261</v>
      </c>
      <c r="D18" s="195" t="s">
        <v>110</v>
      </c>
      <c r="E18" s="196">
        <v>2.1718999999999999E-2</v>
      </c>
      <c r="F18" s="29"/>
      <c r="G18" s="29"/>
      <c r="H18" s="29"/>
      <c r="I18" s="29"/>
      <c r="J18" s="29"/>
      <c r="K18" s="29"/>
      <c r="L18" s="29"/>
      <c r="M18" s="29"/>
      <c r="N18" s="29"/>
      <c r="O18" s="29"/>
      <c r="P18" s="29"/>
      <c r="Q18" s="29"/>
      <c r="R18" s="29"/>
      <c r="S18" s="29"/>
      <c r="T18" s="29"/>
      <c r="U18" s="25"/>
      <c r="W18" s="180"/>
      <c r="X18" s="234"/>
    </row>
    <row r="19" spans="2:24" ht="15.75" x14ac:dyDescent="0.25">
      <c r="B19" s="64"/>
      <c r="C19" s="187" t="s">
        <v>208</v>
      </c>
      <c r="D19" s="195" t="s">
        <v>110</v>
      </c>
      <c r="E19" s="196">
        <v>1.9897000000000001E-2</v>
      </c>
      <c r="F19" s="29"/>
      <c r="G19" s="29"/>
      <c r="H19" s="29"/>
      <c r="I19" s="29"/>
      <c r="J19" s="29"/>
      <c r="K19" s="29"/>
      <c r="L19" s="29"/>
      <c r="M19" s="29"/>
      <c r="N19" s="29"/>
      <c r="O19" s="29"/>
      <c r="P19" s="29"/>
      <c r="Q19" s="29"/>
      <c r="R19" s="29"/>
      <c r="S19" s="29"/>
      <c r="T19" s="29"/>
      <c r="U19" s="25"/>
      <c r="W19" s="180"/>
      <c r="X19" s="234"/>
    </row>
    <row r="20" spans="2:24" ht="15.75" x14ac:dyDescent="0.25">
      <c r="B20" s="64"/>
      <c r="C20" s="187" t="s">
        <v>310</v>
      </c>
      <c r="D20" s="195" t="s">
        <v>110</v>
      </c>
      <c r="E20" s="196">
        <v>1.9883000000000001E-2</v>
      </c>
      <c r="F20" s="29"/>
      <c r="G20" s="29"/>
      <c r="H20" s="29"/>
      <c r="I20" s="29"/>
      <c r="J20" s="29"/>
      <c r="K20" s="29"/>
      <c r="L20" s="29"/>
      <c r="M20" s="29"/>
      <c r="N20" s="29"/>
      <c r="O20" s="29"/>
      <c r="P20" s="29"/>
      <c r="Q20" s="29"/>
      <c r="R20" s="29"/>
      <c r="S20" s="29"/>
      <c r="T20" s="29"/>
      <c r="U20" s="25"/>
      <c r="W20" s="180"/>
      <c r="X20" s="234"/>
    </row>
    <row r="21" spans="2:24" ht="15.75" x14ac:dyDescent="0.25">
      <c r="B21" s="64"/>
      <c r="C21" s="187" t="s">
        <v>324</v>
      </c>
      <c r="D21" s="195" t="s">
        <v>110</v>
      </c>
      <c r="E21" s="196">
        <v>1.873E-2</v>
      </c>
      <c r="F21" s="29"/>
      <c r="G21" s="29"/>
      <c r="H21" s="29"/>
      <c r="I21" s="29"/>
      <c r="J21" s="29"/>
      <c r="K21" s="29"/>
      <c r="L21" s="29"/>
      <c r="M21" s="29"/>
      <c r="N21" s="29"/>
      <c r="O21" s="29"/>
      <c r="P21" s="29"/>
      <c r="Q21" s="29"/>
      <c r="R21" s="29"/>
      <c r="S21" s="29"/>
      <c r="T21" s="29"/>
      <c r="U21" s="25"/>
      <c r="W21" s="180"/>
      <c r="X21" s="234"/>
    </row>
    <row r="22" spans="2:24" ht="15.75" x14ac:dyDescent="0.25">
      <c r="B22" s="64"/>
      <c r="C22" s="187" t="s">
        <v>240</v>
      </c>
      <c r="D22" s="195" t="s">
        <v>110</v>
      </c>
      <c r="E22" s="196">
        <v>1.7704999999999999E-2</v>
      </c>
      <c r="F22" s="29"/>
      <c r="G22" s="29"/>
      <c r="H22" s="29"/>
      <c r="I22" s="29"/>
      <c r="J22" s="29"/>
      <c r="K22" s="29"/>
      <c r="L22" s="29"/>
      <c r="M22" s="29"/>
      <c r="N22" s="29"/>
      <c r="O22" s="29"/>
      <c r="P22" s="29"/>
      <c r="Q22" s="29"/>
      <c r="R22" s="29"/>
      <c r="S22" s="29"/>
      <c r="T22" s="29"/>
      <c r="U22" s="25"/>
      <c r="W22" s="180"/>
      <c r="X22" s="234"/>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34"/>
    </row>
    <row r="24" spans="2:24" ht="15.75" x14ac:dyDescent="0.25">
      <c r="B24" s="64"/>
      <c r="C24" s="73" t="s">
        <v>55</v>
      </c>
      <c r="D24" s="74"/>
      <c r="E24" s="75">
        <f>SUM(E8:E22)</f>
        <v>0.6766970000000001</v>
      </c>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c r="W43" s="61"/>
      <c r="X43" s="62"/>
    </row>
    <row r="44" spans="2:24" x14ac:dyDescent="0.25">
      <c r="B44" s="298"/>
      <c r="C44" s="299"/>
      <c r="D44" s="299"/>
      <c r="E44" s="299"/>
      <c r="F44" s="299"/>
      <c r="G44" s="299"/>
      <c r="H44" s="299"/>
      <c r="I44" s="299"/>
      <c r="J44" s="299"/>
      <c r="K44" s="299"/>
      <c r="L44" s="299"/>
      <c r="M44" s="299"/>
      <c r="N44" s="299"/>
      <c r="O44" s="299"/>
      <c r="P44" s="299"/>
      <c r="Q44" s="299"/>
      <c r="R44" s="300"/>
      <c r="W44" s="61"/>
      <c r="X44" s="62"/>
    </row>
    <row r="45" spans="2:24" ht="15.75" thickBot="1" x14ac:dyDescent="0.3">
      <c r="B45" s="301"/>
      <c r="C45" s="302"/>
      <c r="D45" s="302"/>
      <c r="E45" s="302"/>
      <c r="F45" s="302"/>
      <c r="G45" s="302"/>
      <c r="H45" s="302"/>
      <c r="I45" s="302"/>
      <c r="J45" s="302"/>
      <c r="K45" s="302"/>
      <c r="L45" s="302"/>
      <c r="M45" s="302"/>
      <c r="N45" s="302"/>
      <c r="O45" s="302"/>
      <c r="P45" s="302"/>
      <c r="Q45" s="302"/>
      <c r="R45" s="303"/>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311</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427</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306</v>
      </c>
      <c r="D8" s="193" t="s">
        <v>76</v>
      </c>
      <c r="E8" s="194">
        <v>2.4497000000000001E-2</v>
      </c>
      <c r="F8" s="29"/>
      <c r="G8" s="29"/>
      <c r="H8" s="29"/>
      <c r="I8" s="29"/>
      <c r="J8" s="29"/>
      <c r="K8" s="29"/>
      <c r="L8" s="29"/>
      <c r="M8" s="29"/>
      <c r="N8" s="29"/>
      <c r="O8" s="29"/>
      <c r="P8" s="29"/>
      <c r="Q8" s="29"/>
      <c r="R8" s="29"/>
      <c r="S8" s="29"/>
      <c r="T8" s="29"/>
      <c r="U8" s="25"/>
      <c r="W8" s="180" t="s">
        <v>109</v>
      </c>
      <c r="X8" s="234">
        <v>7.2202999999999989E-2</v>
      </c>
    </row>
    <row r="9" spans="1:24" ht="15.75" x14ac:dyDescent="0.25">
      <c r="B9" s="64"/>
      <c r="C9" s="187" t="s">
        <v>242</v>
      </c>
      <c r="D9" s="195" t="s">
        <v>84</v>
      </c>
      <c r="E9" s="196">
        <v>2.2367999999999999E-2</v>
      </c>
      <c r="F9" s="29"/>
      <c r="G9" s="29"/>
      <c r="H9" s="29"/>
      <c r="I9" s="29"/>
      <c r="J9" s="29"/>
      <c r="K9" s="29"/>
      <c r="L9" s="29"/>
      <c r="M9" s="29"/>
      <c r="N9" s="29"/>
      <c r="O9" s="29"/>
      <c r="P9" s="29"/>
      <c r="Q9" s="29"/>
      <c r="R9" s="29"/>
      <c r="S9" s="29"/>
      <c r="T9" s="29"/>
      <c r="U9" s="25"/>
      <c r="W9" s="180" t="s">
        <v>24</v>
      </c>
      <c r="X9" s="234">
        <v>6.9076999999999986E-2</v>
      </c>
    </row>
    <row r="10" spans="1:24" ht="15.75" x14ac:dyDescent="0.25">
      <c r="B10" s="64"/>
      <c r="C10" s="187" t="s">
        <v>243</v>
      </c>
      <c r="D10" s="195" t="s">
        <v>118</v>
      </c>
      <c r="E10" s="196">
        <v>2.138E-2</v>
      </c>
      <c r="F10" s="29"/>
      <c r="G10" s="29"/>
      <c r="H10" s="29"/>
      <c r="I10" s="29"/>
      <c r="J10" s="29"/>
      <c r="K10" s="29"/>
      <c r="L10" s="29"/>
      <c r="M10" s="29"/>
      <c r="N10" s="29"/>
      <c r="O10" s="29"/>
      <c r="P10" s="29"/>
      <c r="Q10" s="29"/>
      <c r="R10" s="29"/>
      <c r="S10" s="29"/>
      <c r="T10" s="29"/>
      <c r="U10" s="25"/>
      <c r="W10" s="180" t="s">
        <v>106</v>
      </c>
      <c r="X10" s="234">
        <v>6.7646999999999999E-2</v>
      </c>
    </row>
    <row r="11" spans="1:24" ht="15.75" x14ac:dyDescent="0.25">
      <c r="B11" s="64"/>
      <c r="C11" s="187" t="s">
        <v>93</v>
      </c>
      <c r="D11" s="195" t="s">
        <v>83</v>
      </c>
      <c r="E11" s="196">
        <v>2.0912E-2</v>
      </c>
      <c r="F11" s="29"/>
      <c r="G11" s="29"/>
      <c r="H11" s="29"/>
      <c r="I11" s="29"/>
      <c r="J11" s="29"/>
      <c r="K11" s="29"/>
      <c r="L11" s="29"/>
      <c r="M11" s="29"/>
      <c r="N11" s="29"/>
      <c r="O11" s="29"/>
      <c r="P11" s="29"/>
      <c r="Q11" s="29"/>
      <c r="R11" s="29"/>
      <c r="S11" s="29"/>
      <c r="T11" s="29"/>
      <c r="U11" s="25"/>
      <c r="W11" s="180" t="s">
        <v>3</v>
      </c>
      <c r="X11" s="234">
        <v>6.7420000000000008E-2</v>
      </c>
    </row>
    <row r="12" spans="1:24" ht="15.75" x14ac:dyDescent="0.25">
      <c r="B12" s="64"/>
      <c r="C12" s="187" t="s">
        <v>186</v>
      </c>
      <c r="D12" s="195" t="s">
        <v>106</v>
      </c>
      <c r="E12" s="196">
        <v>1.9776999999999999E-2</v>
      </c>
      <c r="F12" s="29"/>
      <c r="G12" s="29"/>
      <c r="H12" s="29"/>
      <c r="I12" s="29"/>
      <c r="J12" s="29"/>
      <c r="K12" s="29"/>
      <c r="L12" s="29"/>
      <c r="M12" s="29"/>
      <c r="N12" s="29"/>
      <c r="O12" s="29"/>
      <c r="P12" s="29"/>
      <c r="Q12" s="29"/>
      <c r="R12" s="29"/>
      <c r="S12" s="29"/>
      <c r="T12" s="29"/>
      <c r="U12" s="25"/>
      <c r="W12" s="180" t="s">
        <v>110</v>
      </c>
      <c r="X12" s="234">
        <v>6.7261999999999988E-2</v>
      </c>
    </row>
    <row r="13" spans="1:24" ht="15.75" x14ac:dyDescent="0.25">
      <c r="B13" s="64"/>
      <c r="C13" s="187" t="s">
        <v>235</v>
      </c>
      <c r="D13" s="195" t="s">
        <v>16</v>
      </c>
      <c r="E13" s="196">
        <v>1.7793E-2</v>
      </c>
      <c r="F13" s="29"/>
      <c r="G13" s="29"/>
      <c r="H13" s="29"/>
      <c r="I13" s="29"/>
      <c r="J13" s="29"/>
      <c r="K13" s="29"/>
      <c r="L13" s="29"/>
      <c r="M13" s="29"/>
      <c r="N13" s="29"/>
      <c r="O13" s="29"/>
      <c r="P13" s="29"/>
      <c r="Q13" s="29"/>
      <c r="R13" s="29"/>
      <c r="S13" s="29"/>
      <c r="T13" s="29"/>
      <c r="U13" s="25"/>
      <c r="W13" s="180" t="s">
        <v>4</v>
      </c>
      <c r="X13" s="234">
        <v>6.0307000000000006E-2</v>
      </c>
    </row>
    <row r="14" spans="1:24" ht="15.75" x14ac:dyDescent="0.25">
      <c r="B14" s="64"/>
      <c r="C14" s="187" t="s">
        <v>221</v>
      </c>
      <c r="D14" s="195" t="s">
        <v>183</v>
      </c>
      <c r="E14" s="196">
        <v>1.7739000000000001E-2</v>
      </c>
      <c r="F14" s="29"/>
      <c r="G14" s="29"/>
      <c r="H14" s="29"/>
      <c r="I14" s="29"/>
      <c r="J14" s="29"/>
      <c r="K14" s="29"/>
      <c r="L14" s="29"/>
      <c r="M14" s="29"/>
      <c r="N14" s="29"/>
      <c r="O14" s="29"/>
      <c r="P14" s="29"/>
      <c r="Q14" s="29"/>
      <c r="R14" s="29"/>
      <c r="S14" s="29"/>
      <c r="T14" s="29"/>
      <c r="U14" s="25"/>
      <c r="W14" s="180" t="s">
        <v>118</v>
      </c>
      <c r="X14" s="234">
        <v>4.2853000000000002E-2</v>
      </c>
    </row>
    <row r="15" spans="1:24" ht="15.75" x14ac:dyDescent="0.25">
      <c r="B15" s="64"/>
      <c r="C15" s="187" t="s">
        <v>191</v>
      </c>
      <c r="D15" s="195" t="s">
        <v>106</v>
      </c>
      <c r="E15" s="196">
        <v>1.7121000000000001E-2</v>
      </c>
      <c r="F15" s="29"/>
      <c r="G15" s="29"/>
      <c r="H15" s="29"/>
      <c r="I15" s="29"/>
      <c r="J15" s="29"/>
      <c r="K15" s="29"/>
      <c r="L15" s="29"/>
      <c r="M15" s="29"/>
      <c r="N15" s="29"/>
      <c r="O15" s="29"/>
      <c r="P15" s="29"/>
      <c r="Q15" s="29"/>
      <c r="R15" s="29"/>
      <c r="S15" s="29"/>
      <c r="T15" s="29"/>
      <c r="U15" s="25"/>
      <c r="W15" s="180" t="s">
        <v>76</v>
      </c>
      <c r="X15" s="234">
        <v>4.1735000000000001E-2</v>
      </c>
    </row>
    <row r="16" spans="1:24" ht="15.75" x14ac:dyDescent="0.25">
      <c r="B16" s="64"/>
      <c r="C16" s="187" t="s">
        <v>308</v>
      </c>
      <c r="D16" s="195" t="s">
        <v>110</v>
      </c>
      <c r="E16" s="196">
        <v>1.5601E-2</v>
      </c>
      <c r="F16" s="29"/>
      <c r="G16" s="29"/>
      <c r="H16" s="29"/>
      <c r="I16" s="29"/>
      <c r="J16" s="29"/>
      <c r="K16" s="29"/>
      <c r="L16" s="29"/>
      <c r="M16" s="29"/>
      <c r="N16" s="29"/>
      <c r="O16" s="29"/>
      <c r="P16" s="29"/>
      <c r="Q16" s="29"/>
      <c r="R16" s="29"/>
      <c r="S16" s="29"/>
      <c r="T16" s="29"/>
      <c r="U16" s="25"/>
      <c r="W16" s="180" t="s">
        <v>115</v>
      </c>
      <c r="X16" s="234">
        <v>3.8761999999999998E-2</v>
      </c>
    </row>
    <row r="17" spans="2:24" ht="15.75" x14ac:dyDescent="0.25">
      <c r="B17" s="64"/>
      <c r="C17" s="187" t="s">
        <v>269</v>
      </c>
      <c r="D17" s="195" t="s">
        <v>3</v>
      </c>
      <c r="E17" s="196">
        <v>1.4248E-2</v>
      </c>
      <c r="F17" s="29"/>
      <c r="G17" s="29"/>
      <c r="H17" s="29"/>
      <c r="I17" s="29"/>
      <c r="J17" s="29"/>
      <c r="K17" s="29"/>
      <c r="L17" s="29"/>
      <c r="M17" s="29"/>
      <c r="N17" s="29"/>
      <c r="O17" s="29"/>
      <c r="P17" s="29"/>
      <c r="Q17" s="29"/>
      <c r="R17" s="29"/>
      <c r="S17" s="29"/>
      <c r="T17" s="29"/>
      <c r="U17" s="25"/>
      <c r="W17" s="180" t="s">
        <v>16</v>
      </c>
      <c r="X17" s="234">
        <v>3.8280000000000002E-2</v>
      </c>
    </row>
    <row r="18" spans="2:24" ht="15.75" x14ac:dyDescent="0.25">
      <c r="B18" s="64"/>
      <c r="C18" s="187" t="s">
        <v>342</v>
      </c>
      <c r="D18" s="195" t="s">
        <v>12</v>
      </c>
      <c r="E18" s="196">
        <v>1.3403999999999999E-2</v>
      </c>
      <c r="F18" s="29"/>
      <c r="G18" s="29"/>
      <c r="H18" s="29"/>
      <c r="I18" s="29"/>
      <c r="J18" s="29"/>
      <c r="K18" s="29"/>
      <c r="L18" s="29"/>
      <c r="M18" s="29"/>
      <c r="N18" s="29"/>
      <c r="O18" s="29"/>
      <c r="P18" s="29"/>
      <c r="Q18" s="29"/>
      <c r="R18" s="29"/>
      <c r="S18" s="29"/>
      <c r="T18" s="29"/>
      <c r="U18" s="25"/>
      <c r="W18" s="180" t="s">
        <v>84</v>
      </c>
      <c r="X18" s="234">
        <v>3.7713000000000003E-2</v>
      </c>
    </row>
    <row r="19" spans="2:24" ht="15.75" x14ac:dyDescent="0.25">
      <c r="B19" s="64"/>
      <c r="C19" s="187" t="s">
        <v>384</v>
      </c>
      <c r="D19" s="195" t="s">
        <v>115</v>
      </c>
      <c r="E19" s="196">
        <v>1.2669E-2</v>
      </c>
      <c r="F19" s="29"/>
      <c r="G19" s="29"/>
      <c r="H19" s="29"/>
      <c r="I19" s="29"/>
      <c r="J19" s="29"/>
      <c r="K19" s="29"/>
      <c r="L19" s="29"/>
      <c r="M19" s="29"/>
      <c r="N19" s="29"/>
      <c r="O19" s="29"/>
      <c r="P19" s="29"/>
      <c r="Q19" s="29"/>
      <c r="R19" s="29"/>
      <c r="S19" s="29"/>
      <c r="T19" s="29"/>
      <c r="U19" s="25"/>
      <c r="W19" s="180" t="s">
        <v>112</v>
      </c>
      <c r="X19" s="234">
        <v>3.4181999999999997E-2</v>
      </c>
    </row>
    <row r="20" spans="2:24" ht="15.75" x14ac:dyDescent="0.25">
      <c r="B20" s="64"/>
      <c r="C20" s="187" t="s">
        <v>97</v>
      </c>
      <c r="D20" s="195" t="s">
        <v>118</v>
      </c>
      <c r="E20" s="196">
        <v>1.2625000000000001E-2</v>
      </c>
      <c r="F20" s="29"/>
      <c r="G20" s="29"/>
      <c r="H20" s="29"/>
      <c r="I20" s="29"/>
      <c r="J20" s="29"/>
      <c r="K20" s="29"/>
      <c r="L20" s="29"/>
      <c r="M20" s="29"/>
      <c r="N20" s="29"/>
      <c r="O20" s="29"/>
      <c r="P20" s="29"/>
      <c r="Q20" s="29"/>
      <c r="R20" s="29"/>
      <c r="S20" s="29"/>
      <c r="T20" s="29"/>
      <c r="U20" s="25"/>
      <c r="W20" s="180" t="s">
        <v>12</v>
      </c>
      <c r="X20" s="234">
        <v>2.9824999999999997E-2</v>
      </c>
    </row>
    <row r="21" spans="2:24" ht="15.75" x14ac:dyDescent="0.25">
      <c r="B21" s="64"/>
      <c r="C21" s="187" t="s">
        <v>138</v>
      </c>
      <c r="D21" s="195" t="s">
        <v>24</v>
      </c>
      <c r="E21" s="196">
        <v>1.2271000000000001E-2</v>
      </c>
      <c r="F21" s="29"/>
      <c r="G21" s="29"/>
      <c r="H21" s="29"/>
      <c r="I21" s="29"/>
      <c r="J21" s="29"/>
      <c r="K21" s="29"/>
      <c r="L21" s="29"/>
      <c r="M21" s="29"/>
      <c r="N21" s="29"/>
      <c r="O21" s="29"/>
      <c r="P21" s="29"/>
      <c r="Q21" s="29"/>
      <c r="R21" s="29"/>
      <c r="S21" s="29"/>
      <c r="T21" s="29"/>
      <c r="U21" s="25"/>
      <c r="W21" s="180" t="s">
        <v>83</v>
      </c>
      <c r="X21" s="234">
        <v>2.9259E-2</v>
      </c>
    </row>
    <row r="22" spans="2:24" ht="15.75" x14ac:dyDescent="0.25">
      <c r="B22" s="64"/>
      <c r="C22" s="187" t="s">
        <v>325</v>
      </c>
      <c r="D22" s="195" t="s">
        <v>84</v>
      </c>
      <c r="E22" s="196">
        <v>1.2185E-2</v>
      </c>
      <c r="F22" s="29"/>
      <c r="G22" s="29"/>
      <c r="H22" s="29"/>
      <c r="I22" s="29"/>
      <c r="J22" s="29"/>
      <c r="K22" s="29"/>
      <c r="L22" s="29"/>
      <c r="M22" s="29"/>
      <c r="N22" s="29"/>
      <c r="O22" s="29"/>
      <c r="P22" s="29"/>
      <c r="Q22" s="29"/>
      <c r="R22" s="29"/>
      <c r="S22" s="29"/>
      <c r="T22" s="29"/>
      <c r="U22" s="25"/>
      <c r="W22" s="180" t="s">
        <v>117</v>
      </c>
      <c r="X22" s="234">
        <v>2.8693999999999997E-2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183</v>
      </c>
      <c r="X23" s="234">
        <v>2.5928E-2</v>
      </c>
    </row>
    <row r="24" spans="2:24" ht="15.75" x14ac:dyDescent="0.25">
      <c r="B24" s="64"/>
      <c r="C24" s="73" t="s">
        <v>55</v>
      </c>
      <c r="D24" s="74"/>
      <c r="E24" s="75">
        <f>SUM(E8:E22)</f>
        <v>0.25458999999999998</v>
      </c>
      <c r="F24" s="29"/>
      <c r="G24" s="29"/>
      <c r="H24" s="29"/>
      <c r="I24" s="29"/>
      <c r="J24" s="29"/>
      <c r="K24" s="29"/>
      <c r="L24" s="29"/>
      <c r="M24" s="29"/>
      <c r="N24" s="29"/>
      <c r="O24" s="29"/>
      <c r="P24" s="29"/>
      <c r="Q24" s="29"/>
      <c r="R24" s="29"/>
      <c r="S24" s="29"/>
      <c r="T24" s="29"/>
      <c r="U24" s="25"/>
      <c r="W24" s="180" t="s">
        <v>120</v>
      </c>
      <c r="X24" s="234">
        <v>1.9473000000000001E-2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114</v>
      </c>
      <c r="X25" s="234">
        <v>1.8519999999999998E-2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85</v>
      </c>
      <c r="X26" s="234">
        <v>1.7210999999999997E-2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1.6114E-2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82</v>
      </c>
      <c r="X28" s="62">
        <v>1.5158999999999999E-2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25</v>
      </c>
      <c r="X29" s="62">
        <v>1.4364E-2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126</v>
      </c>
      <c r="X30" s="62">
        <v>1.3391999999999999E-2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v>
      </c>
      <c r="X31" s="62">
        <v>1.3061E-2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23</v>
      </c>
      <c r="X32" s="62">
        <v>1.1932999999999999E-2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123</v>
      </c>
      <c r="X33" s="62">
        <v>1.1762999999999999E-2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136</v>
      </c>
      <c r="X34" s="62">
        <v>1.1521E-2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121</v>
      </c>
      <c r="X35" s="62">
        <v>1.1507E-2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6</v>
      </c>
      <c r="X36" s="62">
        <v>1.1426E-2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26</v>
      </c>
      <c r="X37" s="62">
        <v>1.0765E-2</v>
      </c>
    </row>
    <row r="38" spans="2:24" ht="15.75" thickBot="1" x14ac:dyDescent="0.3">
      <c r="W38" s="61" t="s">
        <v>129</v>
      </c>
      <c r="X38" s="62">
        <v>1.0404E-2</v>
      </c>
    </row>
    <row r="39" spans="2:24" x14ac:dyDescent="0.25">
      <c r="B39" s="295" t="s">
        <v>181</v>
      </c>
      <c r="C39" s="296"/>
      <c r="D39" s="296"/>
      <c r="E39" s="296"/>
      <c r="F39" s="296"/>
      <c r="G39" s="296"/>
      <c r="H39" s="296"/>
      <c r="I39" s="296"/>
      <c r="J39" s="296"/>
      <c r="K39" s="296"/>
      <c r="L39" s="296"/>
      <c r="M39" s="296"/>
      <c r="N39" s="296"/>
      <c r="O39" s="296"/>
      <c r="P39" s="296"/>
      <c r="Q39" s="296"/>
      <c r="R39" s="297"/>
      <c r="W39" s="61" t="s">
        <v>113</v>
      </c>
      <c r="X39" s="62">
        <v>8.4070000000000013E-3</v>
      </c>
    </row>
    <row r="40" spans="2:24" x14ac:dyDescent="0.25">
      <c r="B40" s="298"/>
      <c r="C40" s="299"/>
      <c r="D40" s="299"/>
      <c r="E40" s="299"/>
      <c r="F40" s="299"/>
      <c r="G40" s="299"/>
      <c r="H40" s="299"/>
      <c r="I40" s="299"/>
      <c r="J40" s="299"/>
      <c r="K40" s="299"/>
      <c r="L40" s="299"/>
      <c r="M40" s="299"/>
      <c r="N40" s="299"/>
      <c r="O40" s="299"/>
      <c r="P40" s="299"/>
      <c r="Q40" s="299"/>
      <c r="R40" s="300"/>
      <c r="W40" s="61" t="s">
        <v>13</v>
      </c>
      <c r="X40" s="62">
        <v>7.1219999999999999E-3</v>
      </c>
    </row>
    <row r="41" spans="2:24" x14ac:dyDescent="0.25">
      <c r="B41" s="298"/>
      <c r="C41" s="299"/>
      <c r="D41" s="299"/>
      <c r="E41" s="299"/>
      <c r="F41" s="299"/>
      <c r="G41" s="299"/>
      <c r="H41" s="299"/>
      <c r="I41" s="299"/>
      <c r="J41" s="299"/>
      <c r="K41" s="299"/>
      <c r="L41" s="299"/>
      <c r="M41" s="299"/>
      <c r="N41" s="299"/>
      <c r="O41" s="299"/>
      <c r="P41" s="299"/>
      <c r="Q41" s="299"/>
      <c r="R41" s="300"/>
      <c r="W41" s="61" t="s">
        <v>145</v>
      </c>
      <c r="X41" s="62">
        <v>6.7289999999999997E-3</v>
      </c>
    </row>
    <row r="42" spans="2:24" x14ac:dyDescent="0.25">
      <c r="B42" s="298"/>
      <c r="C42" s="299"/>
      <c r="D42" s="299"/>
      <c r="E42" s="299"/>
      <c r="F42" s="299"/>
      <c r="G42" s="299"/>
      <c r="H42" s="299"/>
      <c r="I42" s="299"/>
      <c r="J42" s="299"/>
      <c r="K42" s="299"/>
      <c r="L42" s="299"/>
      <c r="M42" s="299"/>
      <c r="N42" s="299"/>
      <c r="O42" s="299"/>
      <c r="P42" s="299"/>
      <c r="Q42" s="299"/>
      <c r="R42" s="300"/>
      <c r="W42" s="61" t="s">
        <v>105</v>
      </c>
      <c r="X42" s="62">
        <v>5.0130000000000001E-3</v>
      </c>
    </row>
    <row r="43" spans="2:24" x14ac:dyDescent="0.25">
      <c r="B43" s="298"/>
      <c r="C43" s="299"/>
      <c r="D43" s="299"/>
      <c r="E43" s="299"/>
      <c r="F43" s="299"/>
      <c r="G43" s="299"/>
      <c r="H43" s="299"/>
      <c r="I43" s="299"/>
      <c r="J43" s="299"/>
      <c r="K43" s="299"/>
      <c r="L43" s="299"/>
      <c r="M43" s="299"/>
      <c r="N43" s="299"/>
      <c r="O43" s="299"/>
      <c r="P43" s="299"/>
      <c r="Q43" s="299"/>
      <c r="R43" s="300"/>
      <c r="W43" s="61" t="s">
        <v>122</v>
      </c>
      <c r="X43" s="62">
        <v>4.3540000000000002E-3</v>
      </c>
    </row>
    <row r="44" spans="2:24" x14ac:dyDescent="0.25">
      <c r="B44" s="298"/>
      <c r="C44" s="299"/>
      <c r="D44" s="299"/>
      <c r="E44" s="299"/>
      <c r="F44" s="299"/>
      <c r="G44" s="299"/>
      <c r="H44" s="299"/>
      <c r="I44" s="299"/>
      <c r="J44" s="299"/>
      <c r="K44" s="299"/>
      <c r="L44" s="299"/>
      <c r="M44" s="299"/>
      <c r="N44" s="299"/>
      <c r="O44" s="299"/>
      <c r="P44" s="299"/>
      <c r="Q44" s="299"/>
      <c r="R44" s="300"/>
      <c r="W44" s="61" t="s">
        <v>15</v>
      </c>
      <c r="X44" s="62">
        <v>4.1700000000000001E-3</v>
      </c>
    </row>
    <row r="45" spans="2:24" ht="15.75" thickBot="1" x14ac:dyDescent="0.3">
      <c r="B45" s="301"/>
      <c r="C45" s="302"/>
      <c r="D45" s="302"/>
      <c r="E45" s="302"/>
      <c r="F45" s="302"/>
      <c r="G45" s="302"/>
      <c r="H45" s="302"/>
      <c r="I45" s="302"/>
      <c r="J45" s="302"/>
      <c r="K45" s="302"/>
      <c r="L45" s="302"/>
      <c r="M45" s="302"/>
      <c r="N45" s="302"/>
      <c r="O45" s="302"/>
      <c r="P45" s="302"/>
      <c r="Q45" s="302"/>
      <c r="R45" s="303"/>
      <c r="W45" s="61" t="s">
        <v>86</v>
      </c>
      <c r="X45" s="62">
        <v>3.7390000000000001E-3</v>
      </c>
    </row>
    <row r="46" spans="2:24" x14ac:dyDescent="0.25">
      <c r="W46" s="61" t="s">
        <v>94</v>
      </c>
      <c r="X46" s="62">
        <v>1.6329999999999999E-3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317</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428</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328</v>
      </c>
      <c r="D8" s="193" t="s">
        <v>13</v>
      </c>
      <c r="E8" s="194">
        <v>5.6987000000000003E-2</v>
      </c>
      <c r="F8" s="29"/>
      <c r="G8" s="29"/>
      <c r="H8" s="29"/>
      <c r="I8" s="29"/>
      <c r="J8" s="29"/>
      <c r="K8" s="29"/>
      <c r="L8" s="29"/>
      <c r="M8" s="29"/>
      <c r="N8" s="29"/>
      <c r="O8" s="29"/>
      <c r="P8" s="29"/>
      <c r="Q8" s="29"/>
      <c r="R8" s="29"/>
      <c r="S8" s="29"/>
      <c r="T8" s="29"/>
      <c r="U8" s="25"/>
      <c r="W8" s="180" t="s">
        <v>3</v>
      </c>
      <c r="X8" s="234">
        <v>0.18035499999999999</v>
      </c>
    </row>
    <row r="9" spans="1:24" ht="15.75" x14ac:dyDescent="0.25">
      <c r="B9" s="64"/>
      <c r="C9" s="187" t="s">
        <v>200</v>
      </c>
      <c r="D9" s="195" t="s">
        <v>130</v>
      </c>
      <c r="E9" s="196">
        <v>5.3386000000000003E-2</v>
      </c>
      <c r="F9" s="29"/>
      <c r="G9" s="29"/>
      <c r="H9" s="29"/>
      <c r="I9" s="29"/>
      <c r="J9" s="29"/>
      <c r="K9" s="29"/>
      <c r="L9" s="29"/>
      <c r="M9" s="29"/>
      <c r="N9" s="29"/>
      <c r="O9" s="29"/>
      <c r="P9" s="29"/>
      <c r="Q9" s="29"/>
      <c r="R9" s="29"/>
      <c r="S9" s="29"/>
      <c r="T9" s="29"/>
      <c r="U9" s="25"/>
      <c r="W9" s="180" t="s">
        <v>6</v>
      </c>
      <c r="X9" s="234">
        <v>0.11402200000000001</v>
      </c>
    </row>
    <row r="10" spans="1:24" ht="15.75" x14ac:dyDescent="0.25">
      <c r="B10" s="64"/>
      <c r="C10" s="187" t="s">
        <v>253</v>
      </c>
      <c r="D10" s="195" t="s">
        <v>82</v>
      </c>
      <c r="E10" s="196">
        <v>5.2708999999999999E-2</v>
      </c>
      <c r="F10" s="29"/>
      <c r="G10" s="29"/>
      <c r="H10" s="29"/>
      <c r="I10" s="29"/>
      <c r="J10" s="29"/>
      <c r="K10" s="29"/>
      <c r="L10" s="29"/>
      <c r="M10" s="29"/>
      <c r="N10" s="29"/>
      <c r="O10" s="29"/>
      <c r="P10" s="29"/>
      <c r="Q10" s="29"/>
      <c r="R10" s="29"/>
      <c r="S10" s="29"/>
      <c r="T10" s="29"/>
      <c r="U10" s="25"/>
      <c r="W10" s="180" t="s">
        <v>10</v>
      </c>
      <c r="X10" s="234">
        <v>0.10988000000000001</v>
      </c>
    </row>
    <row r="11" spans="1:24" ht="15.75" x14ac:dyDescent="0.25">
      <c r="B11" s="64"/>
      <c r="C11" s="187" t="s">
        <v>326</v>
      </c>
      <c r="D11" s="195" t="s">
        <v>10</v>
      </c>
      <c r="E11" s="196">
        <v>5.0685000000000001E-2</v>
      </c>
      <c r="F11" s="29"/>
      <c r="G11" s="29"/>
      <c r="H11" s="29"/>
      <c r="I11" s="29"/>
      <c r="J11" s="29"/>
      <c r="K11" s="29"/>
      <c r="L11" s="29"/>
      <c r="M11" s="29"/>
      <c r="N11" s="29"/>
      <c r="O11" s="29"/>
      <c r="P11" s="29"/>
      <c r="Q11" s="29"/>
      <c r="R11" s="29"/>
      <c r="S11" s="29"/>
      <c r="T11" s="29"/>
      <c r="U11" s="25"/>
      <c r="W11" s="180" t="s">
        <v>11</v>
      </c>
      <c r="X11" s="234">
        <v>7.1139999999999995E-2</v>
      </c>
    </row>
    <row r="12" spans="1:24" ht="15.75" x14ac:dyDescent="0.25">
      <c r="B12" s="64"/>
      <c r="C12" s="187" t="s">
        <v>62</v>
      </c>
      <c r="D12" s="195" t="s">
        <v>10</v>
      </c>
      <c r="E12" s="196">
        <v>5.0491000000000001E-2</v>
      </c>
      <c r="F12" s="29"/>
      <c r="G12" s="29"/>
      <c r="H12" s="29"/>
      <c r="I12" s="29"/>
      <c r="J12" s="29"/>
      <c r="K12" s="29"/>
      <c r="L12" s="29"/>
      <c r="M12" s="29"/>
      <c r="N12" s="29"/>
      <c r="O12" s="29"/>
      <c r="P12" s="29"/>
      <c r="Q12" s="29"/>
      <c r="R12" s="29"/>
      <c r="S12" s="29"/>
      <c r="T12" s="29"/>
      <c r="U12" s="25"/>
      <c r="W12" s="180" t="s">
        <v>4</v>
      </c>
      <c r="X12" s="234">
        <v>6.8527000000000005E-2</v>
      </c>
    </row>
    <row r="13" spans="1:24" ht="15.75" x14ac:dyDescent="0.25">
      <c r="B13" s="64"/>
      <c r="C13" s="187" t="s">
        <v>79</v>
      </c>
      <c r="D13" s="195" t="s">
        <v>111</v>
      </c>
      <c r="E13" s="196">
        <v>5.0391999999999999E-2</v>
      </c>
      <c r="F13" s="29"/>
      <c r="G13" s="29"/>
      <c r="H13" s="29"/>
      <c r="I13" s="29"/>
      <c r="J13" s="29"/>
      <c r="K13" s="29"/>
      <c r="L13" s="29"/>
      <c r="M13" s="29"/>
      <c r="N13" s="29"/>
      <c r="O13" s="29"/>
      <c r="P13" s="29"/>
      <c r="Q13" s="29"/>
      <c r="R13" s="29"/>
      <c r="S13" s="29"/>
      <c r="T13" s="29"/>
      <c r="U13" s="25"/>
      <c r="W13" s="180" t="s">
        <v>13</v>
      </c>
      <c r="X13" s="234">
        <v>6.2370000000000002E-2</v>
      </c>
    </row>
    <row r="14" spans="1:24" ht="15.75" x14ac:dyDescent="0.25">
      <c r="B14" s="64"/>
      <c r="C14" s="187" t="s">
        <v>329</v>
      </c>
      <c r="D14" s="195" t="s">
        <v>11</v>
      </c>
      <c r="E14" s="196">
        <v>5.0000999999999997E-2</v>
      </c>
      <c r="F14" s="29"/>
      <c r="G14" s="29"/>
      <c r="H14" s="29"/>
      <c r="I14" s="29"/>
      <c r="J14" s="29"/>
      <c r="K14" s="29"/>
      <c r="L14" s="29"/>
      <c r="M14" s="29"/>
      <c r="N14" s="29"/>
      <c r="O14" s="29"/>
      <c r="P14" s="29"/>
      <c r="Q14" s="29"/>
      <c r="R14" s="29"/>
      <c r="S14" s="29"/>
      <c r="T14" s="29"/>
      <c r="U14" s="25"/>
      <c r="W14" s="180" t="s">
        <v>15</v>
      </c>
      <c r="X14" s="234">
        <v>6.0747000000000002E-2</v>
      </c>
    </row>
    <row r="15" spans="1:24" ht="15.75" x14ac:dyDescent="0.25">
      <c r="B15" s="64"/>
      <c r="C15" s="187" t="s">
        <v>290</v>
      </c>
      <c r="D15" s="195" t="s">
        <v>132</v>
      </c>
      <c r="E15" s="196">
        <v>4.9980999999999998E-2</v>
      </c>
      <c r="F15" s="29"/>
      <c r="G15" s="29"/>
      <c r="H15" s="29"/>
      <c r="I15" s="29"/>
      <c r="J15" s="29"/>
      <c r="K15" s="29"/>
      <c r="L15" s="29"/>
      <c r="M15" s="29"/>
      <c r="N15" s="29"/>
      <c r="O15" s="29"/>
      <c r="P15" s="29"/>
      <c r="Q15" s="29"/>
      <c r="R15" s="29"/>
      <c r="S15" s="29"/>
      <c r="T15" s="29"/>
      <c r="U15" s="25"/>
      <c r="W15" s="180" t="s">
        <v>130</v>
      </c>
      <c r="X15" s="234">
        <v>5.3386000000000003E-2</v>
      </c>
    </row>
    <row r="16" spans="1:24" ht="15.75" x14ac:dyDescent="0.25">
      <c r="B16" s="64"/>
      <c r="C16" s="187" t="s">
        <v>78</v>
      </c>
      <c r="D16" s="195" t="s">
        <v>3</v>
      </c>
      <c r="E16" s="196">
        <v>4.9600999999999999E-2</v>
      </c>
      <c r="F16" s="29"/>
      <c r="G16" s="29"/>
      <c r="H16" s="29"/>
      <c r="I16" s="29"/>
      <c r="J16" s="29"/>
      <c r="K16" s="29"/>
      <c r="L16" s="29"/>
      <c r="M16" s="29"/>
      <c r="N16" s="29"/>
      <c r="O16" s="29"/>
      <c r="P16" s="29"/>
      <c r="Q16" s="29"/>
      <c r="R16" s="29"/>
      <c r="S16" s="29"/>
      <c r="T16" s="29"/>
      <c r="U16" s="25"/>
      <c r="W16" s="180" t="s">
        <v>82</v>
      </c>
      <c r="X16" s="234">
        <v>5.2708999999999999E-2</v>
      </c>
    </row>
    <row r="17" spans="2:24" ht="15.75" x14ac:dyDescent="0.25">
      <c r="B17" s="64"/>
      <c r="C17" s="187" t="s">
        <v>327</v>
      </c>
      <c r="D17" s="195" t="s">
        <v>15</v>
      </c>
      <c r="E17" s="196">
        <v>4.9286000000000003E-2</v>
      </c>
      <c r="F17" s="29"/>
      <c r="G17" s="29"/>
      <c r="H17" s="29"/>
      <c r="I17" s="29"/>
      <c r="J17" s="29"/>
      <c r="K17" s="29"/>
      <c r="L17" s="29"/>
      <c r="M17" s="29"/>
      <c r="N17" s="29"/>
      <c r="O17" s="29"/>
      <c r="P17" s="29"/>
      <c r="Q17" s="29"/>
      <c r="R17" s="29"/>
      <c r="S17" s="29"/>
      <c r="T17" s="29"/>
      <c r="U17" s="25"/>
      <c r="W17" s="180" t="s">
        <v>111</v>
      </c>
      <c r="X17" s="234">
        <v>5.0391999999999999E-2</v>
      </c>
    </row>
    <row r="18" spans="2:24" ht="15.75" x14ac:dyDescent="0.25">
      <c r="B18" s="64"/>
      <c r="C18" s="187" t="s">
        <v>330</v>
      </c>
      <c r="D18" s="195" t="s">
        <v>6</v>
      </c>
      <c r="E18" s="196">
        <v>4.8604000000000001E-2</v>
      </c>
      <c r="F18" s="29"/>
      <c r="G18" s="29"/>
      <c r="H18" s="29"/>
      <c r="I18" s="29"/>
      <c r="J18" s="29"/>
      <c r="K18" s="29"/>
      <c r="L18" s="29"/>
      <c r="M18" s="29"/>
      <c r="N18" s="29"/>
      <c r="O18" s="29"/>
      <c r="P18" s="29"/>
      <c r="Q18" s="29"/>
      <c r="R18" s="29"/>
      <c r="S18" s="29"/>
      <c r="T18" s="29"/>
      <c r="U18" s="25"/>
      <c r="W18" s="180" t="s">
        <v>132</v>
      </c>
      <c r="X18" s="234">
        <v>4.9980999999999998E-2</v>
      </c>
    </row>
    <row r="19" spans="2:24" ht="15.75" x14ac:dyDescent="0.25">
      <c r="B19" s="64"/>
      <c r="C19" s="187" t="s">
        <v>331</v>
      </c>
      <c r="D19" s="195" t="s">
        <v>6</v>
      </c>
      <c r="E19" s="196">
        <v>4.6056E-2</v>
      </c>
      <c r="F19" s="29"/>
      <c r="G19" s="29"/>
      <c r="H19" s="29"/>
      <c r="I19" s="29"/>
      <c r="J19" s="29"/>
      <c r="K19" s="29"/>
      <c r="L19" s="29"/>
      <c r="M19" s="29"/>
      <c r="N19" s="29"/>
      <c r="O19" s="29"/>
      <c r="P19" s="29"/>
      <c r="Q19" s="29"/>
      <c r="R19" s="29"/>
      <c r="S19" s="29"/>
      <c r="T19" s="29"/>
      <c r="U19" s="25"/>
      <c r="W19" s="180" t="s">
        <v>117</v>
      </c>
      <c r="X19" s="234">
        <v>4.2187000000000002E-2</v>
      </c>
    </row>
    <row r="20" spans="2:24" ht="15.75" x14ac:dyDescent="0.25">
      <c r="B20" s="64"/>
      <c r="C20" s="187" t="s">
        <v>75</v>
      </c>
      <c r="D20" s="195" t="s">
        <v>4</v>
      </c>
      <c r="E20" s="196">
        <v>2.7751000000000001E-2</v>
      </c>
      <c r="F20" s="29"/>
      <c r="G20" s="29"/>
      <c r="H20" s="29"/>
      <c r="I20" s="29"/>
      <c r="J20" s="29"/>
      <c r="K20" s="29"/>
      <c r="L20" s="29"/>
      <c r="M20" s="29"/>
      <c r="N20" s="29"/>
      <c r="O20" s="29"/>
      <c r="P20" s="29"/>
      <c r="Q20" s="29"/>
      <c r="R20" s="29"/>
      <c r="S20" s="29"/>
      <c r="T20" s="29"/>
      <c r="U20" s="25"/>
      <c r="W20" s="180" t="s">
        <v>145</v>
      </c>
      <c r="X20" s="234">
        <v>2.2818000000000001E-2</v>
      </c>
    </row>
    <row r="21" spans="2:24" ht="15.75" x14ac:dyDescent="0.25">
      <c r="B21" s="64"/>
      <c r="C21" s="187" t="s">
        <v>332</v>
      </c>
      <c r="D21" s="195" t="s">
        <v>117</v>
      </c>
      <c r="E21" s="196">
        <v>2.5902999999999999E-2</v>
      </c>
      <c r="F21" s="29"/>
      <c r="G21" s="29"/>
      <c r="H21" s="29"/>
      <c r="I21" s="29"/>
      <c r="J21" s="29"/>
      <c r="K21" s="29"/>
      <c r="L21" s="29"/>
      <c r="M21" s="29"/>
      <c r="N21" s="29"/>
      <c r="O21" s="29"/>
      <c r="P21" s="29"/>
      <c r="Q21" s="29"/>
      <c r="R21" s="29"/>
      <c r="S21" s="29"/>
      <c r="T21" s="29"/>
      <c r="U21" s="25"/>
      <c r="W21" s="180" t="s">
        <v>25</v>
      </c>
      <c r="X21" s="234">
        <v>2.2137E-2</v>
      </c>
    </row>
    <row r="22" spans="2:24" ht="15.75" x14ac:dyDescent="0.25">
      <c r="B22" s="64"/>
      <c r="C22" s="187" t="s">
        <v>134</v>
      </c>
      <c r="D22" s="195" t="s">
        <v>3</v>
      </c>
      <c r="E22" s="196">
        <v>2.3805E-2</v>
      </c>
      <c r="F22" s="29"/>
      <c r="G22" s="29"/>
      <c r="H22" s="29"/>
      <c r="I22" s="29"/>
      <c r="J22" s="29"/>
      <c r="K22" s="29"/>
      <c r="L22" s="29"/>
      <c r="M22" s="29"/>
      <c r="N22" s="29"/>
      <c r="O22" s="29"/>
      <c r="P22" s="29"/>
      <c r="Q22" s="29"/>
      <c r="R22" s="29"/>
      <c r="S22" s="29"/>
      <c r="T22" s="29"/>
      <c r="U22" s="25"/>
      <c r="W22" s="180" t="s">
        <v>115</v>
      </c>
      <c r="X22" s="234">
        <v>1.7147000000000003E-2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123</v>
      </c>
      <c r="X23" s="234">
        <v>1.2834999999999999E-2</v>
      </c>
    </row>
    <row r="24" spans="2:24" ht="15.75" x14ac:dyDescent="0.25">
      <c r="B24" s="64"/>
      <c r="C24" s="73" t="s">
        <v>55</v>
      </c>
      <c r="D24" s="74"/>
      <c r="E24" s="75">
        <f>SUM(E8:E22)</f>
        <v>0.68563799999999997</v>
      </c>
      <c r="F24" s="29"/>
      <c r="G24" s="29"/>
      <c r="H24" s="29"/>
      <c r="I24" s="29"/>
      <c r="J24" s="29"/>
      <c r="K24" s="29"/>
      <c r="L24" s="29"/>
      <c r="M24" s="29"/>
      <c r="N24" s="29"/>
      <c r="O24" s="29"/>
      <c r="P24" s="29"/>
      <c r="Q24" s="29"/>
      <c r="R24" s="29"/>
      <c r="S24" s="29"/>
      <c r="T24" s="29"/>
      <c r="U24" s="25"/>
      <c r="W24" s="180" t="s">
        <v>23</v>
      </c>
      <c r="X24" s="234">
        <v>7.0109999999999999E-3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94</v>
      </c>
      <c r="X25" s="234">
        <v>6.5849999999999997E-3</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c r="W43" s="61"/>
      <c r="X43" s="62"/>
    </row>
    <row r="44" spans="2:24" x14ac:dyDescent="0.25">
      <c r="B44" s="298"/>
      <c r="C44" s="299"/>
      <c r="D44" s="299"/>
      <c r="E44" s="299"/>
      <c r="F44" s="299"/>
      <c r="G44" s="299"/>
      <c r="H44" s="299"/>
      <c r="I44" s="299"/>
      <c r="J44" s="299"/>
      <c r="K44" s="299"/>
      <c r="L44" s="299"/>
      <c r="M44" s="299"/>
      <c r="N44" s="299"/>
      <c r="O44" s="299"/>
      <c r="P44" s="299"/>
      <c r="Q44" s="299"/>
      <c r="R44" s="300"/>
      <c r="W44" s="61"/>
      <c r="X44" s="62"/>
    </row>
    <row r="45" spans="2:24" ht="15.75" thickBot="1" x14ac:dyDescent="0.3">
      <c r="B45" s="301"/>
      <c r="C45" s="302"/>
      <c r="D45" s="302"/>
      <c r="E45" s="302"/>
      <c r="F45" s="302"/>
      <c r="G45" s="302"/>
      <c r="H45" s="302"/>
      <c r="I45" s="302"/>
      <c r="J45" s="302"/>
      <c r="K45" s="302"/>
      <c r="L45" s="302"/>
      <c r="M45" s="302"/>
      <c r="N45" s="302"/>
      <c r="O45" s="302"/>
      <c r="P45" s="302"/>
      <c r="Q45" s="302"/>
      <c r="R45" s="303"/>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318</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429</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119</v>
      </c>
      <c r="D8" s="193" t="s">
        <v>111</v>
      </c>
      <c r="E8" s="194">
        <v>5.6805000000000001E-2</v>
      </c>
      <c r="F8" s="29"/>
      <c r="G8" s="29"/>
      <c r="H8" s="29"/>
      <c r="I8" s="29"/>
      <c r="J8" s="29"/>
      <c r="K8" s="29"/>
      <c r="L8" s="29"/>
      <c r="M8" s="29"/>
      <c r="N8" s="29"/>
      <c r="O8" s="29"/>
      <c r="P8" s="29"/>
      <c r="Q8" s="29"/>
      <c r="R8" s="29"/>
      <c r="S8" s="29"/>
      <c r="T8" s="29"/>
      <c r="U8" s="25"/>
      <c r="W8" s="180" t="s">
        <v>106</v>
      </c>
      <c r="X8" s="234">
        <v>0.16892799999999999</v>
      </c>
    </row>
    <row r="9" spans="1:24" ht="15.75" x14ac:dyDescent="0.25">
      <c r="B9" s="64"/>
      <c r="C9" s="187" t="s">
        <v>189</v>
      </c>
      <c r="D9" s="195" t="s">
        <v>106</v>
      </c>
      <c r="E9" s="196">
        <v>5.5742E-2</v>
      </c>
      <c r="F9" s="29"/>
      <c r="G9" s="29"/>
      <c r="H9" s="29"/>
      <c r="I9" s="29"/>
      <c r="J9" s="29"/>
      <c r="K9" s="29"/>
      <c r="L9" s="29"/>
      <c r="M9" s="29"/>
      <c r="N9" s="29"/>
      <c r="O9" s="29"/>
      <c r="P9" s="29"/>
      <c r="Q9" s="29"/>
      <c r="R9" s="29"/>
      <c r="S9" s="29"/>
      <c r="T9" s="29"/>
      <c r="U9" s="25"/>
      <c r="W9" s="180" t="s">
        <v>110</v>
      </c>
      <c r="X9" s="234">
        <v>0.14202199999999998</v>
      </c>
    </row>
    <row r="10" spans="1:24" ht="15.75" x14ac:dyDescent="0.25">
      <c r="B10" s="64"/>
      <c r="C10" s="187" t="s">
        <v>307</v>
      </c>
      <c r="D10" s="195" t="s">
        <v>110</v>
      </c>
      <c r="E10" s="196">
        <v>5.3546999999999997E-2</v>
      </c>
      <c r="F10" s="29"/>
      <c r="G10" s="29"/>
      <c r="H10" s="29"/>
      <c r="I10" s="29"/>
      <c r="J10" s="29"/>
      <c r="K10" s="29"/>
      <c r="L10" s="29"/>
      <c r="M10" s="29"/>
      <c r="N10" s="29"/>
      <c r="O10" s="29"/>
      <c r="P10" s="29"/>
      <c r="Q10" s="29"/>
      <c r="R10" s="29"/>
      <c r="S10" s="29"/>
      <c r="T10" s="29"/>
      <c r="U10" s="25"/>
      <c r="W10" s="180" t="s">
        <v>26</v>
      </c>
      <c r="X10" s="234">
        <v>0.13446</v>
      </c>
    </row>
    <row r="11" spans="1:24" ht="15.75" x14ac:dyDescent="0.25">
      <c r="B11" s="64"/>
      <c r="C11" s="187" t="s">
        <v>186</v>
      </c>
      <c r="D11" s="195" t="s">
        <v>106</v>
      </c>
      <c r="E11" s="196">
        <v>5.3381999999999999E-2</v>
      </c>
      <c r="F11" s="29"/>
      <c r="G11" s="29"/>
      <c r="H11" s="29"/>
      <c r="I11" s="29"/>
      <c r="J11" s="29"/>
      <c r="K11" s="29"/>
      <c r="L11" s="29"/>
      <c r="M11" s="29"/>
      <c r="N11" s="29"/>
      <c r="O11" s="29"/>
      <c r="P11" s="29"/>
      <c r="Q11" s="29"/>
      <c r="R11" s="29"/>
      <c r="S11" s="29"/>
      <c r="T11" s="29"/>
      <c r="U11" s="25"/>
      <c r="W11" s="180" t="s">
        <v>84</v>
      </c>
      <c r="X11" s="234">
        <v>9.4209000000000015E-2</v>
      </c>
    </row>
    <row r="12" spans="1:24" ht="15.75" x14ac:dyDescent="0.25">
      <c r="B12" s="64"/>
      <c r="C12" s="187" t="s">
        <v>93</v>
      </c>
      <c r="D12" s="195" t="s">
        <v>83</v>
      </c>
      <c r="E12" s="196">
        <v>4.8086999999999998E-2</v>
      </c>
      <c r="F12" s="29"/>
      <c r="G12" s="29"/>
      <c r="H12" s="29"/>
      <c r="I12" s="29"/>
      <c r="J12" s="29"/>
      <c r="K12" s="29"/>
      <c r="L12" s="29"/>
      <c r="M12" s="29"/>
      <c r="N12" s="29"/>
      <c r="O12" s="29"/>
      <c r="P12" s="29"/>
      <c r="Q12" s="29"/>
      <c r="R12" s="29"/>
      <c r="S12" s="29"/>
      <c r="T12" s="29"/>
      <c r="U12" s="25"/>
      <c r="W12" s="180" t="s">
        <v>16</v>
      </c>
      <c r="X12" s="234">
        <v>9.1637999999999997E-2</v>
      </c>
    </row>
    <row r="13" spans="1:24" ht="15.75" x14ac:dyDescent="0.25">
      <c r="B13" s="64"/>
      <c r="C13" s="187" t="s">
        <v>235</v>
      </c>
      <c r="D13" s="195" t="s">
        <v>16</v>
      </c>
      <c r="E13" s="196">
        <v>4.6981000000000002E-2</v>
      </c>
      <c r="F13" s="29"/>
      <c r="G13" s="29"/>
      <c r="H13" s="29"/>
      <c r="I13" s="29"/>
      <c r="J13" s="29"/>
      <c r="K13" s="29"/>
      <c r="L13" s="29"/>
      <c r="M13" s="29"/>
      <c r="N13" s="29"/>
      <c r="O13" s="29"/>
      <c r="P13" s="29"/>
      <c r="Q13" s="29"/>
      <c r="R13" s="29"/>
      <c r="S13" s="29"/>
      <c r="T13" s="29"/>
      <c r="U13" s="25"/>
      <c r="W13" s="180" t="s">
        <v>111</v>
      </c>
      <c r="X13" s="234">
        <v>5.6805000000000001E-2</v>
      </c>
    </row>
    <row r="14" spans="1:24" ht="15.75" x14ac:dyDescent="0.25">
      <c r="B14" s="64"/>
      <c r="C14" s="187" t="s">
        <v>137</v>
      </c>
      <c r="D14" s="195" t="s">
        <v>26</v>
      </c>
      <c r="E14" s="196">
        <v>4.6077E-2</v>
      </c>
      <c r="F14" s="29"/>
      <c r="G14" s="29"/>
      <c r="H14" s="29"/>
      <c r="I14" s="29"/>
      <c r="J14" s="29"/>
      <c r="K14" s="29"/>
      <c r="L14" s="29"/>
      <c r="M14" s="29"/>
      <c r="N14" s="29"/>
      <c r="O14" s="29"/>
      <c r="P14" s="29"/>
      <c r="Q14" s="29"/>
      <c r="R14" s="29"/>
      <c r="S14" s="29"/>
      <c r="T14" s="29"/>
      <c r="U14" s="25"/>
      <c r="W14" s="180" t="s">
        <v>83</v>
      </c>
      <c r="X14" s="234">
        <v>4.8086999999999998E-2</v>
      </c>
    </row>
    <row r="15" spans="1:24" ht="15.75" x14ac:dyDescent="0.25">
      <c r="B15" s="64"/>
      <c r="C15" s="187" t="s">
        <v>219</v>
      </c>
      <c r="D15" s="195" t="s">
        <v>26</v>
      </c>
      <c r="E15" s="196">
        <v>4.5621000000000002E-2</v>
      </c>
      <c r="F15" s="29"/>
      <c r="G15" s="29"/>
      <c r="H15" s="29"/>
      <c r="I15" s="29"/>
      <c r="J15" s="29"/>
      <c r="K15" s="29"/>
      <c r="L15" s="29"/>
      <c r="M15" s="29"/>
      <c r="N15" s="29"/>
      <c r="O15" s="29"/>
      <c r="P15" s="29"/>
      <c r="Q15" s="29"/>
      <c r="R15" s="29"/>
      <c r="S15" s="29"/>
      <c r="T15" s="29"/>
      <c r="U15" s="25"/>
      <c r="W15" s="180" t="s">
        <v>183</v>
      </c>
      <c r="X15" s="234">
        <v>3.9609999999999999E-2</v>
      </c>
    </row>
    <row r="16" spans="1:24" ht="15.75" x14ac:dyDescent="0.25">
      <c r="B16" s="64"/>
      <c r="C16" s="187" t="s">
        <v>230</v>
      </c>
      <c r="D16" s="195" t="s">
        <v>26</v>
      </c>
      <c r="E16" s="196">
        <v>4.2762000000000001E-2</v>
      </c>
      <c r="F16" s="29"/>
      <c r="G16" s="29"/>
      <c r="H16" s="29"/>
      <c r="I16" s="29"/>
      <c r="J16" s="29"/>
      <c r="K16" s="29"/>
      <c r="L16" s="29"/>
      <c r="M16" s="29"/>
      <c r="N16" s="29"/>
      <c r="O16" s="29"/>
      <c r="P16" s="29"/>
      <c r="Q16" s="29"/>
      <c r="R16" s="29"/>
      <c r="S16" s="29"/>
      <c r="T16" s="29"/>
      <c r="U16" s="25"/>
      <c r="W16" s="180" t="s">
        <v>105</v>
      </c>
      <c r="X16" s="234">
        <v>3.6949999999999997E-2</v>
      </c>
    </row>
    <row r="17" spans="2:24" ht="15.75" x14ac:dyDescent="0.25">
      <c r="B17" s="64"/>
      <c r="C17" s="187" t="s">
        <v>191</v>
      </c>
      <c r="D17" s="195" t="s">
        <v>106</v>
      </c>
      <c r="E17" s="196">
        <v>4.0864999999999999E-2</v>
      </c>
      <c r="F17" s="29"/>
      <c r="G17" s="29"/>
      <c r="H17" s="29"/>
      <c r="I17" s="29"/>
      <c r="J17" s="29"/>
      <c r="K17" s="29"/>
      <c r="L17" s="29"/>
      <c r="M17" s="29"/>
      <c r="N17" s="29"/>
      <c r="O17" s="29"/>
      <c r="P17" s="29"/>
      <c r="Q17" s="29"/>
      <c r="R17" s="29"/>
      <c r="S17" s="29"/>
      <c r="T17" s="29"/>
      <c r="U17" s="25"/>
      <c r="W17" s="180" t="s">
        <v>118</v>
      </c>
      <c r="X17" s="234">
        <v>3.6493999999999999E-2</v>
      </c>
    </row>
    <row r="18" spans="2:24" ht="15.75" x14ac:dyDescent="0.25">
      <c r="B18" s="64"/>
      <c r="C18" s="187" t="s">
        <v>242</v>
      </c>
      <c r="D18" s="195" t="s">
        <v>84</v>
      </c>
      <c r="E18" s="196">
        <v>4.0517999999999998E-2</v>
      </c>
      <c r="F18" s="29"/>
      <c r="G18" s="29"/>
      <c r="H18" s="29"/>
      <c r="I18" s="29"/>
      <c r="J18" s="29"/>
      <c r="K18" s="29"/>
      <c r="L18" s="29"/>
      <c r="M18" s="29"/>
      <c r="N18" s="29"/>
      <c r="O18" s="29"/>
      <c r="P18" s="29"/>
      <c r="Q18" s="29"/>
      <c r="R18" s="29"/>
      <c r="S18" s="29"/>
      <c r="T18" s="29"/>
      <c r="U18" s="25"/>
      <c r="W18" s="180" t="s">
        <v>76</v>
      </c>
      <c r="X18" s="234">
        <v>2.1793E-2</v>
      </c>
    </row>
    <row r="19" spans="2:24" ht="15.75" x14ac:dyDescent="0.25">
      <c r="B19" s="64"/>
      <c r="C19" s="187" t="s">
        <v>221</v>
      </c>
      <c r="D19" s="195" t="s">
        <v>183</v>
      </c>
      <c r="E19" s="196">
        <v>3.9609999999999999E-2</v>
      </c>
      <c r="F19" s="29"/>
      <c r="G19" s="29"/>
      <c r="H19" s="29"/>
      <c r="I19" s="29"/>
      <c r="J19" s="29"/>
      <c r="K19" s="29"/>
      <c r="L19" s="29"/>
      <c r="M19" s="29"/>
      <c r="N19" s="29"/>
      <c r="O19" s="29"/>
      <c r="P19" s="29"/>
      <c r="Q19" s="29"/>
      <c r="R19" s="29"/>
      <c r="S19" s="29"/>
      <c r="T19" s="29"/>
      <c r="U19" s="25"/>
      <c r="W19" s="180" t="s">
        <v>115</v>
      </c>
      <c r="X19" s="234">
        <v>1.9335999999999999E-2</v>
      </c>
    </row>
    <row r="20" spans="2:24" ht="15.75" x14ac:dyDescent="0.25">
      <c r="B20" s="64"/>
      <c r="C20" s="187" t="s">
        <v>308</v>
      </c>
      <c r="D20" s="195" t="s">
        <v>110</v>
      </c>
      <c r="E20" s="196">
        <v>3.0359000000000001E-2</v>
      </c>
      <c r="F20" s="29"/>
      <c r="G20" s="29"/>
      <c r="H20" s="29"/>
      <c r="I20" s="29"/>
      <c r="J20" s="29"/>
      <c r="K20" s="29"/>
      <c r="L20" s="29"/>
      <c r="M20" s="29"/>
      <c r="N20" s="29"/>
      <c r="O20" s="29"/>
      <c r="P20" s="29"/>
      <c r="Q20" s="29"/>
      <c r="R20" s="29"/>
      <c r="S20" s="29"/>
      <c r="T20" s="29"/>
      <c r="U20" s="25"/>
      <c r="W20" s="180" t="s">
        <v>136</v>
      </c>
      <c r="X20" s="234">
        <v>1.7564999999999997E-2</v>
      </c>
    </row>
    <row r="21" spans="2:24" ht="15.75" x14ac:dyDescent="0.25">
      <c r="B21" s="64"/>
      <c r="C21" s="187" t="s">
        <v>238</v>
      </c>
      <c r="D21" s="195" t="s">
        <v>118</v>
      </c>
      <c r="E21" s="196">
        <v>2.9493999999999999E-2</v>
      </c>
      <c r="F21" s="29"/>
      <c r="G21" s="29"/>
      <c r="H21" s="29"/>
      <c r="I21" s="29"/>
      <c r="J21" s="29"/>
      <c r="K21" s="29"/>
      <c r="L21" s="29"/>
      <c r="M21" s="29"/>
      <c r="N21" s="29"/>
      <c r="O21" s="29"/>
      <c r="P21" s="29"/>
      <c r="Q21" s="29"/>
      <c r="R21" s="29"/>
      <c r="S21" s="29"/>
      <c r="T21" s="29"/>
      <c r="U21" s="25"/>
      <c r="W21" s="180" t="s">
        <v>117</v>
      </c>
      <c r="X21" s="234">
        <v>1.2684000000000001E-2</v>
      </c>
    </row>
    <row r="22" spans="2:24" ht="15.75" x14ac:dyDescent="0.25">
      <c r="B22" s="64"/>
      <c r="C22" s="187" t="s">
        <v>354</v>
      </c>
      <c r="D22" s="195" t="s">
        <v>105</v>
      </c>
      <c r="E22" s="196">
        <v>2.5378999999999999E-2</v>
      </c>
      <c r="F22" s="29"/>
      <c r="G22" s="29"/>
      <c r="H22" s="29"/>
      <c r="I22" s="29"/>
      <c r="J22" s="29"/>
      <c r="K22" s="29"/>
      <c r="L22" s="29"/>
      <c r="M22" s="29"/>
      <c r="N22" s="29"/>
      <c r="O22" s="29"/>
      <c r="P22" s="29"/>
      <c r="Q22" s="29"/>
      <c r="R22" s="29"/>
      <c r="S22" s="29"/>
      <c r="T22" s="29"/>
      <c r="U22" s="25"/>
      <c r="W22" s="180" t="s">
        <v>13</v>
      </c>
      <c r="X22" s="234">
        <v>1.2042000000000001E-2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15</v>
      </c>
      <c r="X23" s="234">
        <v>1.0963000000000001E-2</v>
      </c>
    </row>
    <row r="24" spans="2:24" ht="15.75" x14ac:dyDescent="0.25">
      <c r="B24" s="64"/>
      <c r="C24" s="73" t="s">
        <v>55</v>
      </c>
      <c r="D24" s="74"/>
      <c r="E24" s="75">
        <f>SUM(E8:E22)</f>
        <v>0.65522900000000006</v>
      </c>
      <c r="F24" s="29"/>
      <c r="G24" s="29"/>
      <c r="H24" s="29"/>
      <c r="I24" s="29"/>
      <c r="J24" s="29"/>
      <c r="K24" s="29"/>
      <c r="L24" s="29"/>
      <c r="M24" s="29"/>
      <c r="N24" s="29"/>
      <c r="O24" s="29"/>
      <c r="P24" s="29"/>
      <c r="Q24" s="29"/>
      <c r="R24" s="29"/>
      <c r="S24" s="29"/>
      <c r="T24" s="29"/>
      <c r="U24" s="25"/>
      <c r="W24" s="180" t="s">
        <v>11</v>
      </c>
      <c r="X24" s="234">
        <v>1.0371E-2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4</v>
      </c>
      <c r="X25" s="234">
        <v>9.1629999999999993E-3</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125</v>
      </c>
      <c r="X26" s="234">
        <v>8.8599999999999998E-3</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112</v>
      </c>
      <c r="X27" s="62">
        <v>6.7949999999999998E-3</v>
      </c>
    </row>
    <row r="28" spans="2:24" x14ac:dyDescent="0.25">
      <c r="B28" s="64"/>
      <c r="C28" s="29"/>
      <c r="D28" s="29"/>
      <c r="E28" s="29"/>
      <c r="F28" s="29"/>
      <c r="G28" s="29"/>
      <c r="H28" s="29"/>
      <c r="I28" s="29"/>
      <c r="J28" s="29"/>
      <c r="K28" s="29"/>
      <c r="L28" s="29"/>
      <c r="M28" s="29"/>
      <c r="N28" s="29"/>
      <c r="O28" s="29"/>
      <c r="P28" s="29"/>
      <c r="Q28" s="29"/>
      <c r="R28" s="29"/>
      <c r="S28" s="29"/>
      <c r="T28" s="29"/>
      <c r="U28" s="25"/>
      <c r="W28" s="61" t="s">
        <v>23</v>
      </c>
      <c r="X28" s="62">
        <v>6.5050000000000004E-3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214</v>
      </c>
      <c r="X29" s="62">
        <v>5.5399999999999998E-3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127</v>
      </c>
      <c r="X30" s="62">
        <v>4.0080000000000003E-3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113</v>
      </c>
      <c r="X31" s="62">
        <v>2.101E-3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82</v>
      </c>
      <c r="X32" s="62">
        <v>2.0609999999999999E-3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c r="W43" s="61"/>
      <c r="X43" s="62"/>
    </row>
    <row r="44" spans="2:24" x14ac:dyDescent="0.25">
      <c r="B44" s="298"/>
      <c r="C44" s="299"/>
      <c r="D44" s="299"/>
      <c r="E44" s="299"/>
      <c r="F44" s="299"/>
      <c r="G44" s="299"/>
      <c r="H44" s="299"/>
      <c r="I44" s="299"/>
      <c r="J44" s="299"/>
      <c r="K44" s="299"/>
      <c r="L44" s="299"/>
      <c r="M44" s="299"/>
      <c r="N44" s="299"/>
      <c r="O44" s="299"/>
      <c r="P44" s="299"/>
      <c r="Q44" s="299"/>
      <c r="R44" s="300"/>
      <c r="W44" s="61"/>
      <c r="X44" s="62"/>
    </row>
    <row r="45" spans="2:24" ht="15.75" thickBot="1" x14ac:dyDescent="0.3">
      <c r="B45" s="301"/>
      <c r="C45" s="302"/>
      <c r="D45" s="302"/>
      <c r="E45" s="302"/>
      <c r="F45" s="302"/>
      <c r="G45" s="302"/>
      <c r="H45" s="302"/>
      <c r="I45" s="302"/>
      <c r="J45" s="302"/>
      <c r="K45" s="302"/>
      <c r="L45" s="302"/>
      <c r="M45" s="302"/>
      <c r="N45" s="302"/>
      <c r="O45" s="302"/>
      <c r="P45" s="302"/>
      <c r="Q45" s="302"/>
      <c r="R45" s="303"/>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4" t="s">
        <v>350</v>
      </c>
      <c r="D3" s="305"/>
      <c r="E3" s="305"/>
      <c r="F3" s="305"/>
      <c r="G3" s="305"/>
      <c r="H3" s="305"/>
      <c r="I3" s="305"/>
      <c r="J3" s="305"/>
      <c r="K3" s="305"/>
      <c r="L3" s="305"/>
      <c r="M3" s="305"/>
      <c r="N3" s="305"/>
      <c r="O3" s="305"/>
      <c r="P3" s="305"/>
      <c r="Q3" s="305"/>
      <c r="R3" s="305"/>
      <c r="S3" s="305"/>
      <c r="T3" s="65"/>
      <c r="U3" s="66"/>
    </row>
    <row r="4" spans="1:24" ht="15.75" x14ac:dyDescent="0.25">
      <c r="B4" s="64"/>
      <c r="C4" s="67" t="s">
        <v>387</v>
      </c>
      <c r="D4" s="29"/>
      <c r="E4" s="29"/>
      <c r="F4" s="29"/>
      <c r="G4" s="29"/>
      <c r="H4" s="29"/>
      <c r="I4" s="29"/>
      <c r="J4" s="29"/>
      <c r="K4" s="29"/>
      <c r="L4" s="29"/>
      <c r="M4" s="29"/>
      <c r="N4" s="29"/>
      <c r="O4" s="29"/>
      <c r="P4" s="29"/>
      <c r="Q4" s="29"/>
      <c r="R4" s="29"/>
      <c r="S4" s="29"/>
      <c r="T4" s="29"/>
      <c r="U4" s="25"/>
    </row>
    <row r="5" spans="1:24" ht="20.25" x14ac:dyDescent="0.25">
      <c r="B5" s="64"/>
      <c r="C5" s="220" t="s">
        <v>386</v>
      </c>
      <c r="D5" s="308" t="s">
        <v>430</v>
      </c>
      <c r="E5" s="308"/>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294</v>
      </c>
      <c r="D8" s="193" t="s">
        <v>107</v>
      </c>
      <c r="E8" s="194">
        <v>5.4581999999999999E-2</v>
      </c>
      <c r="F8" s="29"/>
      <c r="G8" s="29"/>
      <c r="H8" s="29"/>
      <c r="I8" s="29"/>
      <c r="J8" s="29"/>
      <c r="K8" s="29"/>
      <c r="L8" s="29"/>
      <c r="M8" s="29"/>
      <c r="N8" s="29"/>
      <c r="O8" s="29"/>
      <c r="P8" s="29"/>
      <c r="Q8" s="29"/>
      <c r="R8" s="29"/>
      <c r="S8" s="29"/>
      <c r="T8" s="29"/>
      <c r="U8" s="25"/>
      <c r="W8" s="180" t="s">
        <v>106</v>
      </c>
      <c r="X8" s="234">
        <v>0.26094200000000001</v>
      </c>
    </row>
    <row r="9" spans="1:24" ht="15.75" x14ac:dyDescent="0.25">
      <c r="B9" s="64"/>
      <c r="C9" s="187" t="s">
        <v>37</v>
      </c>
      <c r="D9" s="195" t="s">
        <v>116</v>
      </c>
      <c r="E9" s="196">
        <v>5.3700999999999999E-2</v>
      </c>
      <c r="F9" s="29"/>
      <c r="G9" s="29"/>
      <c r="H9" s="29"/>
      <c r="I9" s="29"/>
      <c r="J9" s="29"/>
      <c r="K9" s="29"/>
      <c r="L9" s="29"/>
      <c r="M9" s="29"/>
      <c r="N9" s="29"/>
      <c r="O9" s="29"/>
      <c r="P9" s="29"/>
      <c r="Q9" s="29"/>
      <c r="R9" s="29"/>
      <c r="S9" s="29"/>
      <c r="T9" s="29"/>
      <c r="U9" s="25"/>
      <c r="W9" s="180" t="s">
        <v>116</v>
      </c>
      <c r="X9" s="234">
        <v>0.101308</v>
      </c>
    </row>
    <row r="10" spans="1:24" ht="15.75" x14ac:dyDescent="0.25">
      <c r="B10" s="64"/>
      <c r="C10" s="187" t="s">
        <v>200</v>
      </c>
      <c r="D10" s="195" t="s">
        <v>130</v>
      </c>
      <c r="E10" s="196">
        <v>5.0757999999999998E-2</v>
      </c>
      <c r="F10" s="29"/>
      <c r="G10" s="29"/>
      <c r="H10" s="29"/>
      <c r="I10" s="29"/>
      <c r="J10" s="29"/>
      <c r="K10" s="29"/>
      <c r="L10" s="29"/>
      <c r="M10" s="29"/>
      <c r="N10" s="29"/>
      <c r="O10" s="29"/>
      <c r="P10" s="29"/>
      <c r="Q10" s="29"/>
      <c r="R10" s="29"/>
      <c r="S10" s="29"/>
      <c r="T10" s="29"/>
      <c r="U10" s="25"/>
      <c r="W10" s="180" t="s">
        <v>107</v>
      </c>
      <c r="X10" s="234">
        <v>0.100005</v>
      </c>
    </row>
    <row r="11" spans="1:24" ht="15.75" x14ac:dyDescent="0.25">
      <c r="B11" s="64"/>
      <c r="C11" s="187" t="s">
        <v>33</v>
      </c>
      <c r="D11" s="195" t="s">
        <v>106</v>
      </c>
      <c r="E11" s="196">
        <v>5.0039E-2</v>
      </c>
      <c r="F11" s="29"/>
      <c r="G11" s="29"/>
      <c r="H11" s="29"/>
      <c r="I11" s="29"/>
      <c r="J11" s="29"/>
      <c r="K11" s="29"/>
      <c r="L11" s="29"/>
      <c r="M11" s="29"/>
      <c r="N11" s="29"/>
      <c r="O11" s="29"/>
      <c r="P11" s="29"/>
      <c r="Q11" s="29"/>
      <c r="R11" s="29"/>
      <c r="S11" s="29"/>
      <c r="T11" s="29"/>
      <c r="U11" s="25"/>
      <c r="W11" s="180" t="s">
        <v>86</v>
      </c>
      <c r="X11" s="234">
        <v>7.2182999999999997E-2</v>
      </c>
    </row>
    <row r="12" spans="1:24" ht="15.75" x14ac:dyDescent="0.25">
      <c r="B12" s="64"/>
      <c r="C12" s="187" t="s">
        <v>28</v>
      </c>
      <c r="D12" s="195" t="s">
        <v>106</v>
      </c>
      <c r="E12" s="196">
        <v>4.9994999999999998E-2</v>
      </c>
      <c r="F12" s="29"/>
      <c r="G12" s="29"/>
      <c r="H12" s="29"/>
      <c r="I12" s="29"/>
      <c r="J12" s="29"/>
      <c r="K12" s="29"/>
      <c r="L12" s="29"/>
      <c r="M12" s="29"/>
      <c r="N12" s="29"/>
      <c r="O12" s="29"/>
      <c r="P12" s="29"/>
      <c r="Q12" s="29"/>
      <c r="R12" s="29"/>
      <c r="S12" s="29"/>
      <c r="T12" s="29"/>
      <c r="U12" s="25"/>
      <c r="W12" s="180" t="s">
        <v>111</v>
      </c>
      <c r="X12" s="234">
        <v>6.8433999999999995E-2</v>
      </c>
    </row>
    <row r="13" spans="1:24" ht="15.75" x14ac:dyDescent="0.25">
      <c r="B13" s="64"/>
      <c r="C13" s="187" t="s">
        <v>30</v>
      </c>
      <c r="D13" s="195" t="s">
        <v>116</v>
      </c>
      <c r="E13" s="196">
        <v>4.7606999999999997E-2</v>
      </c>
      <c r="F13" s="29"/>
      <c r="G13" s="29"/>
      <c r="H13" s="29"/>
      <c r="I13" s="29"/>
      <c r="J13" s="29"/>
      <c r="K13" s="29"/>
      <c r="L13" s="29"/>
      <c r="M13" s="29"/>
      <c r="N13" s="29"/>
      <c r="O13" s="29"/>
      <c r="P13" s="29"/>
      <c r="Q13" s="29"/>
      <c r="R13" s="29"/>
      <c r="S13" s="29"/>
      <c r="T13" s="29"/>
      <c r="U13" s="25"/>
      <c r="W13" s="180" t="s">
        <v>120</v>
      </c>
      <c r="X13" s="234">
        <v>6.5935999999999995E-2</v>
      </c>
    </row>
    <row r="14" spans="1:24" ht="15.75" x14ac:dyDescent="0.25">
      <c r="B14" s="64"/>
      <c r="C14" s="187" t="s">
        <v>359</v>
      </c>
      <c r="D14" s="195" t="s">
        <v>120</v>
      </c>
      <c r="E14" s="196">
        <v>4.6588999999999998E-2</v>
      </c>
      <c r="F14" s="29"/>
      <c r="G14" s="29"/>
      <c r="H14" s="29"/>
      <c r="I14" s="29"/>
      <c r="J14" s="29"/>
      <c r="K14" s="29"/>
      <c r="L14" s="29"/>
      <c r="M14" s="29"/>
      <c r="N14" s="29"/>
      <c r="O14" s="29"/>
      <c r="P14" s="29"/>
      <c r="Q14" s="29"/>
      <c r="R14" s="29"/>
      <c r="S14" s="29"/>
      <c r="T14" s="29"/>
      <c r="U14" s="25"/>
      <c r="W14" s="180" t="s">
        <v>16</v>
      </c>
      <c r="X14" s="234">
        <v>6.4087000000000005E-2</v>
      </c>
    </row>
    <row r="15" spans="1:24" ht="15.75" x14ac:dyDescent="0.25">
      <c r="B15" s="64"/>
      <c r="C15" s="187" t="s">
        <v>190</v>
      </c>
      <c r="D15" s="195" t="s">
        <v>106</v>
      </c>
      <c r="E15" s="196">
        <v>4.6052000000000003E-2</v>
      </c>
      <c r="F15" s="29"/>
      <c r="G15" s="29"/>
      <c r="H15" s="29"/>
      <c r="I15" s="29"/>
      <c r="J15" s="29"/>
      <c r="K15" s="29"/>
      <c r="L15" s="29"/>
      <c r="M15" s="29"/>
      <c r="N15" s="29"/>
      <c r="O15" s="29"/>
      <c r="P15" s="29"/>
      <c r="Q15" s="29"/>
      <c r="R15" s="29"/>
      <c r="S15" s="29"/>
      <c r="T15" s="29"/>
      <c r="U15" s="25"/>
      <c r="W15" s="180" t="s">
        <v>130</v>
      </c>
      <c r="X15" s="234">
        <v>5.0757999999999998E-2</v>
      </c>
    </row>
    <row r="16" spans="1:24" ht="15.75" x14ac:dyDescent="0.25">
      <c r="B16" s="64"/>
      <c r="C16" s="187" t="s">
        <v>87</v>
      </c>
      <c r="D16" s="195" t="s">
        <v>107</v>
      </c>
      <c r="E16" s="196">
        <v>4.5422999999999998E-2</v>
      </c>
      <c r="F16" s="29"/>
      <c r="G16" s="29"/>
      <c r="H16" s="29"/>
      <c r="I16" s="29"/>
      <c r="J16" s="29"/>
      <c r="K16" s="29"/>
      <c r="L16" s="29"/>
      <c r="M16" s="29"/>
      <c r="N16" s="29"/>
      <c r="O16" s="29"/>
      <c r="P16" s="29"/>
      <c r="Q16" s="29"/>
      <c r="R16" s="29"/>
      <c r="S16" s="29"/>
      <c r="T16" s="29"/>
      <c r="U16" s="25"/>
      <c r="W16" s="180" t="s">
        <v>24</v>
      </c>
      <c r="X16" s="234">
        <v>4.2460999999999999E-2</v>
      </c>
    </row>
    <row r="17" spans="2:24" ht="15.75" x14ac:dyDescent="0.25">
      <c r="B17" s="64"/>
      <c r="C17" s="187" t="s">
        <v>239</v>
      </c>
      <c r="D17" s="195" t="s">
        <v>16</v>
      </c>
      <c r="E17" s="196">
        <v>4.3071999999999999E-2</v>
      </c>
      <c r="F17" s="29"/>
      <c r="G17" s="29"/>
      <c r="H17" s="29"/>
      <c r="I17" s="29"/>
      <c r="J17" s="29"/>
      <c r="K17" s="29"/>
      <c r="L17" s="29"/>
      <c r="M17" s="29"/>
      <c r="N17" s="29"/>
      <c r="O17" s="29"/>
      <c r="P17" s="29"/>
      <c r="Q17" s="29"/>
      <c r="R17" s="29"/>
      <c r="S17" s="29"/>
      <c r="T17" s="29"/>
      <c r="U17" s="25"/>
      <c r="W17" s="180" t="s">
        <v>114</v>
      </c>
      <c r="X17" s="234">
        <v>2.8617E-2</v>
      </c>
    </row>
    <row r="18" spans="2:24" ht="15.75" x14ac:dyDescent="0.25">
      <c r="B18" s="64"/>
      <c r="C18" s="187" t="s">
        <v>128</v>
      </c>
      <c r="D18" s="195" t="s">
        <v>86</v>
      </c>
      <c r="E18" s="196">
        <v>4.1218999999999999E-2</v>
      </c>
      <c r="F18" s="29"/>
      <c r="G18" s="29"/>
      <c r="H18" s="29"/>
      <c r="I18" s="29"/>
      <c r="J18" s="29"/>
      <c r="K18" s="29"/>
      <c r="L18" s="29"/>
      <c r="M18" s="29"/>
      <c r="N18" s="29"/>
      <c r="O18" s="29"/>
      <c r="P18" s="29"/>
      <c r="Q18" s="29"/>
      <c r="R18" s="29"/>
      <c r="S18" s="29"/>
      <c r="T18" s="29"/>
      <c r="U18" s="25"/>
      <c r="W18" s="180" t="s">
        <v>83</v>
      </c>
      <c r="X18" s="234">
        <v>2.7493000000000004E-2</v>
      </c>
    </row>
    <row r="19" spans="2:24" ht="15.75" x14ac:dyDescent="0.25">
      <c r="B19" s="64"/>
      <c r="C19" s="187" t="s">
        <v>142</v>
      </c>
      <c r="D19" s="195" t="s">
        <v>111</v>
      </c>
      <c r="E19" s="196">
        <v>3.9911000000000002E-2</v>
      </c>
      <c r="F19" s="29"/>
      <c r="G19" s="29"/>
      <c r="H19" s="29"/>
      <c r="I19" s="29"/>
      <c r="J19" s="29"/>
      <c r="K19" s="29"/>
      <c r="L19" s="29"/>
      <c r="M19" s="29"/>
      <c r="N19" s="29"/>
      <c r="O19" s="29"/>
      <c r="P19" s="29"/>
      <c r="Q19" s="29"/>
      <c r="R19" s="29"/>
      <c r="S19" s="29"/>
      <c r="T19" s="29"/>
      <c r="U19" s="25"/>
      <c r="W19" s="180" t="s">
        <v>6</v>
      </c>
      <c r="X19" s="234">
        <v>2.6606999999999999E-2</v>
      </c>
    </row>
    <row r="20" spans="2:24" ht="15.75" x14ac:dyDescent="0.25">
      <c r="B20" s="64"/>
      <c r="C20" s="187" t="s">
        <v>148</v>
      </c>
      <c r="D20" s="195" t="s">
        <v>86</v>
      </c>
      <c r="E20" s="196">
        <v>3.0963999999999998E-2</v>
      </c>
      <c r="F20" s="29"/>
      <c r="G20" s="29"/>
      <c r="H20" s="29"/>
      <c r="I20" s="29"/>
      <c r="J20" s="29"/>
      <c r="K20" s="29"/>
      <c r="L20" s="29"/>
      <c r="M20" s="29"/>
      <c r="N20" s="29"/>
      <c r="O20" s="29"/>
      <c r="P20" s="29"/>
      <c r="Q20" s="29"/>
      <c r="R20" s="29"/>
      <c r="S20" s="29"/>
      <c r="T20" s="29"/>
      <c r="U20" s="25"/>
      <c r="W20" s="180" t="s">
        <v>115</v>
      </c>
      <c r="X20" s="234">
        <v>2.5010000000000001E-2</v>
      </c>
    </row>
    <row r="21" spans="2:24" ht="15.75" x14ac:dyDescent="0.25">
      <c r="B21" s="64"/>
      <c r="C21" s="187" t="s">
        <v>186</v>
      </c>
      <c r="D21" s="195" t="s">
        <v>106</v>
      </c>
      <c r="E21" s="196">
        <v>2.9097000000000001E-2</v>
      </c>
      <c r="F21" s="29"/>
      <c r="G21" s="29"/>
      <c r="H21" s="29"/>
      <c r="I21" s="29"/>
      <c r="J21" s="29"/>
      <c r="K21" s="29"/>
      <c r="L21" s="29"/>
      <c r="M21" s="29"/>
      <c r="N21" s="29"/>
      <c r="O21" s="29"/>
      <c r="P21" s="29"/>
      <c r="Q21" s="29"/>
      <c r="R21" s="29"/>
      <c r="S21" s="29"/>
      <c r="T21" s="29"/>
      <c r="U21" s="25"/>
      <c r="W21" s="180" t="s">
        <v>84</v>
      </c>
      <c r="X21" s="234">
        <v>2.4874E-2</v>
      </c>
    </row>
    <row r="22" spans="2:24" ht="30" x14ac:dyDescent="0.25">
      <c r="B22" s="64"/>
      <c r="C22" s="187" t="s">
        <v>385</v>
      </c>
      <c r="D22" s="195" t="s">
        <v>114</v>
      </c>
      <c r="E22" s="196">
        <v>2.8617E-2</v>
      </c>
      <c r="F22" s="29"/>
      <c r="G22" s="29"/>
      <c r="H22" s="29"/>
      <c r="I22" s="29"/>
      <c r="J22" s="29"/>
      <c r="K22" s="29"/>
      <c r="L22" s="29"/>
      <c r="M22" s="29"/>
      <c r="N22" s="29"/>
      <c r="O22" s="29"/>
      <c r="P22" s="29"/>
      <c r="Q22" s="29"/>
      <c r="R22" s="29"/>
      <c r="S22" s="29"/>
      <c r="T22" s="29"/>
      <c r="U22" s="25"/>
      <c r="W22" s="180" t="s">
        <v>121</v>
      </c>
      <c r="X22" s="234">
        <v>2.4693E-2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25</v>
      </c>
      <c r="X23" s="234">
        <v>1.353E-2</v>
      </c>
    </row>
    <row r="24" spans="2:24" ht="15.75" x14ac:dyDescent="0.25">
      <c r="B24" s="64"/>
      <c r="C24" s="73" t="s">
        <v>55</v>
      </c>
      <c r="D24" s="74"/>
      <c r="E24" s="75">
        <f>SUM(E8:E22)</f>
        <v>0.65762600000000004</v>
      </c>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5" t="s">
        <v>181</v>
      </c>
      <c r="C39" s="296"/>
      <c r="D39" s="296"/>
      <c r="E39" s="296"/>
      <c r="F39" s="296"/>
      <c r="G39" s="296"/>
      <c r="H39" s="296"/>
      <c r="I39" s="296"/>
      <c r="J39" s="296"/>
      <c r="K39" s="296"/>
      <c r="L39" s="296"/>
      <c r="M39" s="296"/>
      <c r="N39" s="296"/>
      <c r="O39" s="296"/>
      <c r="P39" s="296"/>
      <c r="Q39" s="296"/>
      <c r="R39" s="297"/>
      <c r="W39" s="61"/>
      <c r="X39" s="62"/>
    </row>
    <row r="40" spans="2:24" x14ac:dyDescent="0.25">
      <c r="B40" s="298"/>
      <c r="C40" s="299"/>
      <c r="D40" s="299"/>
      <c r="E40" s="299"/>
      <c r="F40" s="299"/>
      <c r="G40" s="299"/>
      <c r="H40" s="299"/>
      <c r="I40" s="299"/>
      <c r="J40" s="299"/>
      <c r="K40" s="299"/>
      <c r="L40" s="299"/>
      <c r="M40" s="299"/>
      <c r="N40" s="299"/>
      <c r="O40" s="299"/>
      <c r="P40" s="299"/>
      <c r="Q40" s="299"/>
      <c r="R40" s="300"/>
      <c r="W40" s="61"/>
      <c r="X40" s="62"/>
    </row>
    <row r="41" spans="2:24" x14ac:dyDescent="0.25">
      <c r="B41" s="298"/>
      <c r="C41" s="299"/>
      <c r="D41" s="299"/>
      <c r="E41" s="299"/>
      <c r="F41" s="299"/>
      <c r="G41" s="299"/>
      <c r="H41" s="299"/>
      <c r="I41" s="299"/>
      <c r="J41" s="299"/>
      <c r="K41" s="299"/>
      <c r="L41" s="299"/>
      <c r="M41" s="299"/>
      <c r="N41" s="299"/>
      <c r="O41" s="299"/>
      <c r="P41" s="299"/>
      <c r="Q41" s="299"/>
      <c r="R41" s="300"/>
      <c r="W41" s="61"/>
      <c r="X41" s="62"/>
    </row>
    <row r="42" spans="2:24" x14ac:dyDescent="0.25">
      <c r="B42" s="298"/>
      <c r="C42" s="299"/>
      <c r="D42" s="299"/>
      <c r="E42" s="299"/>
      <c r="F42" s="299"/>
      <c r="G42" s="299"/>
      <c r="H42" s="299"/>
      <c r="I42" s="299"/>
      <c r="J42" s="299"/>
      <c r="K42" s="299"/>
      <c r="L42" s="299"/>
      <c r="M42" s="299"/>
      <c r="N42" s="299"/>
      <c r="O42" s="299"/>
      <c r="P42" s="299"/>
      <c r="Q42" s="299"/>
      <c r="R42" s="300"/>
      <c r="W42" s="61"/>
      <c r="X42" s="62"/>
    </row>
    <row r="43" spans="2:24" x14ac:dyDescent="0.25">
      <c r="B43" s="298"/>
      <c r="C43" s="299"/>
      <c r="D43" s="299"/>
      <c r="E43" s="299"/>
      <c r="F43" s="299"/>
      <c r="G43" s="299"/>
      <c r="H43" s="299"/>
      <c r="I43" s="299"/>
      <c r="J43" s="299"/>
      <c r="K43" s="299"/>
      <c r="L43" s="299"/>
      <c r="M43" s="299"/>
      <c r="N43" s="299"/>
      <c r="O43" s="299"/>
      <c r="P43" s="299"/>
      <c r="Q43" s="299"/>
      <c r="R43" s="300"/>
      <c r="W43" s="61"/>
      <c r="X43" s="62"/>
    </row>
    <row r="44" spans="2:24" x14ac:dyDescent="0.25">
      <c r="B44" s="298"/>
      <c r="C44" s="299"/>
      <c r="D44" s="299"/>
      <c r="E44" s="299"/>
      <c r="F44" s="299"/>
      <c r="G44" s="299"/>
      <c r="H44" s="299"/>
      <c r="I44" s="299"/>
      <c r="J44" s="299"/>
      <c r="K44" s="299"/>
      <c r="L44" s="299"/>
      <c r="M44" s="299"/>
      <c r="N44" s="299"/>
      <c r="O44" s="299"/>
      <c r="P44" s="299"/>
      <c r="Q44" s="299"/>
      <c r="R44" s="300"/>
      <c r="W44" s="61"/>
      <c r="X44" s="62"/>
    </row>
    <row r="45" spans="2:24" ht="15.75" thickBot="1" x14ac:dyDescent="0.3">
      <c r="B45" s="301"/>
      <c r="C45" s="302"/>
      <c r="D45" s="302"/>
      <c r="E45" s="302"/>
      <c r="F45" s="302"/>
      <c r="G45" s="302"/>
      <c r="H45" s="302"/>
      <c r="I45" s="302"/>
      <c r="J45" s="302"/>
      <c r="K45" s="302"/>
      <c r="L45" s="302"/>
      <c r="M45" s="302"/>
      <c r="N45" s="302"/>
      <c r="O45" s="302"/>
      <c r="P45" s="302"/>
      <c r="Q45" s="302"/>
      <c r="R45" s="303"/>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D8F1-3477-4C73-AE5F-9027EB971870}">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60.57031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89" t="s">
        <v>432</v>
      </c>
      <c r="D3" s="289"/>
      <c r="E3" s="289"/>
      <c r="F3" s="289"/>
      <c r="G3" s="289"/>
      <c r="H3" s="289"/>
      <c r="I3" s="289"/>
      <c r="J3" s="289"/>
      <c r="K3" s="289"/>
      <c r="L3" s="289"/>
      <c r="M3" s="290"/>
    </row>
    <row r="4" spans="2:24" ht="15.75" x14ac:dyDescent="0.25">
      <c r="B4" s="93"/>
      <c r="C4" s="67" t="s">
        <v>387</v>
      </c>
      <c r="D4" s="29"/>
      <c r="E4" s="29"/>
      <c r="F4" s="5"/>
      <c r="G4" s="5"/>
      <c r="H4" s="5"/>
      <c r="I4" s="5"/>
      <c r="J4" s="5"/>
      <c r="K4" s="5"/>
      <c r="L4" s="5"/>
      <c r="M4" s="20"/>
    </row>
    <row r="5" spans="2:24" ht="20.25" customHeight="1" x14ac:dyDescent="0.25">
      <c r="B5" s="93"/>
      <c r="C5" s="220" t="s">
        <v>363</v>
      </c>
      <c r="D5" s="94" t="s">
        <v>431</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91" t="s">
        <v>50</v>
      </c>
      <c r="G7" s="291"/>
      <c r="H7" s="291"/>
      <c r="I7" s="291"/>
      <c r="J7" s="291"/>
      <c r="K7" s="291"/>
      <c r="L7" s="291"/>
      <c r="M7" s="292"/>
    </row>
    <row r="8" spans="2:24" x14ac:dyDescent="0.2">
      <c r="B8" s="93"/>
      <c r="C8" s="287" t="s">
        <v>370</v>
      </c>
      <c r="D8" s="181">
        <v>0.99231800000000003</v>
      </c>
      <c r="E8" s="5"/>
      <c r="F8" s="5"/>
      <c r="G8" s="31"/>
      <c r="H8" s="5"/>
      <c r="I8" s="5" t="s">
        <v>91</v>
      </c>
      <c r="J8" s="47">
        <f>D9</f>
        <v>0.99231800000000003</v>
      </c>
      <c r="K8" s="5"/>
      <c r="L8" s="5"/>
      <c r="M8" s="20"/>
      <c r="S8" s="49"/>
      <c r="W8" s="3" t="s">
        <v>3</v>
      </c>
      <c r="X8" s="3">
        <v>0.25058799999999998</v>
      </c>
    </row>
    <row r="9" spans="2:24" ht="15.75" x14ac:dyDescent="0.25">
      <c r="B9" s="93"/>
      <c r="C9" s="60" t="s">
        <v>91</v>
      </c>
      <c r="D9" s="182">
        <v>0.99231800000000003</v>
      </c>
      <c r="E9" s="5"/>
      <c r="F9" s="5"/>
      <c r="G9" s="5"/>
      <c r="H9" s="5"/>
      <c r="I9" s="5" t="s">
        <v>20</v>
      </c>
      <c r="J9" s="47">
        <f>D13</f>
        <v>-3.4E-5</v>
      </c>
      <c r="K9" s="5"/>
      <c r="L9" s="5"/>
      <c r="M9" s="20"/>
      <c r="S9" s="49"/>
      <c r="W9" s="3" t="s">
        <v>9</v>
      </c>
      <c r="X9" s="3">
        <v>6.1296999999999997E-2</v>
      </c>
    </row>
    <row r="10" spans="2:24" x14ac:dyDescent="0.2">
      <c r="B10" s="93"/>
      <c r="C10" s="168" t="s">
        <v>100</v>
      </c>
      <c r="D10" s="183">
        <v>7.7159999999999998E-3</v>
      </c>
      <c r="E10" s="5"/>
      <c r="F10" s="5"/>
      <c r="G10" s="5"/>
      <c r="I10" s="3" t="s">
        <v>101</v>
      </c>
      <c r="J10" s="47">
        <f>D11</f>
        <v>7.7159999999999998E-3</v>
      </c>
      <c r="K10" s="5"/>
      <c r="L10" s="5"/>
      <c r="M10" s="20"/>
      <c r="S10" s="49"/>
      <c r="W10" s="3" t="s">
        <v>10</v>
      </c>
      <c r="X10" s="3">
        <v>3.0130999999999998E-2</v>
      </c>
    </row>
    <row r="11" spans="2:24" ht="15.75" x14ac:dyDescent="0.2">
      <c r="B11" s="93"/>
      <c r="C11" s="169" t="s">
        <v>101</v>
      </c>
      <c r="D11" s="184">
        <v>7.7159999999999998E-3</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4">
        <v>-3.4E-5</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93"/>
      <c r="D22" s="293"/>
      <c r="E22" s="293"/>
      <c r="F22" s="293"/>
      <c r="G22" s="293"/>
      <c r="H22" s="293"/>
      <c r="I22" s="293"/>
      <c r="J22" s="293"/>
      <c r="K22" s="293"/>
      <c r="L22" s="293"/>
      <c r="M22" s="294"/>
      <c r="S22" s="49"/>
    </row>
    <row r="23" spans="2:24" ht="15.75" thickBot="1" x14ac:dyDescent="0.25">
      <c r="S23" s="49"/>
    </row>
    <row r="24" spans="2:24" ht="15" customHeight="1" x14ac:dyDescent="0.2">
      <c r="B24" s="295" t="s">
        <v>181</v>
      </c>
      <c r="C24" s="296"/>
      <c r="D24" s="296"/>
      <c r="E24" s="296"/>
      <c r="F24" s="296"/>
      <c r="G24" s="296"/>
      <c r="H24" s="296"/>
      <c r="I24" s="296"/>
      <c r="J24" s="296"/>
      <c r="K24" s="296"/>
      <c r="L24" s="296"/>
      <c r="M24" s="296"/>
      <c r="N24" s="297"/>
      <c r="S24" s="49"/>
    </row>
    <row r="25" spans="2:24" ht="15.75" customHeight="1" x14ac:dyDescent="0.2">
      <c r="B25" s="298"/>
      <c r="C25" s="299"/>
      <c r="D25" s="299"/>
      <c r="E25" s="299"/>
      <c r="F25" s="299"/>
      <c r="G25" s="299"/>
      <c r="H25" s="299"/>
      <c r="I25" s="299"/>
      <c r="J25" s="299"/>
      <c r="K25" s="299"/>
      <c r="L25" s="299"/>
      <c r="M25" s="299"/>
      <c r="N25" s="300"/>
      <c r="S25" s="49"/>
    </row>
    <row r="26" spans="2:24" ht="15.75" customHeight="1" x14ac:dyDescent="0.2">
      <c r="B26" s="298"/>
      <c r="C26" s="299"/>
      <c r="D26" s="299"/>
      <c r="E26" s="299"/>
      <c r="F26" s="299"/>
      <c r="G26" s="299"/>
      <c r="H26" s="299"/>
      <c r="I26" s="299"/>
      <c r="J26" s="299"/>
      <c r="K26" s="299"/>
      <c r="L26" s="299"/>
      <c r="M26" s="299"/>
      <c r="N26" s="300"/>
      <c r="S26" s="49"/>
    </row>
    <row r="27" spans="2:24" ht="15.75" customHeight="1" x14ac:dyDescent="0.2">
      <c r="B27" s="298"/>
      <c r="C27" s="299"/>
      <c r="D27" s="299"/>
      <c r="E27" s="299"/>
      <c r="F27" s="299"/>
      <c r="G27" s="299"/>
      <c r="H27" s="299"/>
      <c r="I27" s="299"/>
      <c r="J27" s="299"/>
      <c r="K27" s="299"/>
      <c r="L27" s="299"/>
      <c r="M27" s="299"/>
      <c r="N27" s="300"/>
      <c r="S27" s="49"/>
    </row>
    <row r="28" spans="2:24" ht="15.75" customHeight="1" x14ac:dyDescent="0.2">
      <c r="B28" s="298"/>
      <c r="C28" s="299"/>
      <c r="D28" s="299"/>
      <c r="E28" s="299"/>
      <c r="F28" s="299"/>
      <c r="G28" s="299"/>
      <c r="H28" s="299"/>
      <c r="I28" s="299"/>
      <c r="J28" s="299"/>
      <c r="K28" s="299"/>
      <c r="L28" s="299"/>
      <c r="M28" s="299"/>
      <c r="N28" s="300"/>
      <c r="S28" s="49"/>
    </row>
    <row r="29" spans="2:24" ht="15.75" customHeight="1" x14ac:dyDescent="0.2">
      <c r="B29" s="298"/>
      <c r="C29" s="299"/>
      <c r="D29" s="299"/>
      <c r="E29" s="299"/>
      <c r="F29" s="299"/>
      <c r="G29" s="299"/>
      <c r="H29" s="299"/>
      <c r="I29" s="299"/>
      <c r="J29" s="299"/>
      <c r="K29" s="299"/>
      <c r="L29" s="299"/>
      <c r="M29" s="299"/>
      <c r="N29" s="300"/>
      <c r="S29" s="49"/>
    </row>
    <row r="30" spans="2:24" ht="28.5" customHeight="1" thickBot="1" x14ac:dyDescent="0.25">
      <c r="B30" s="301"/>
      <c r="C30" s="302"/>
      <c r="D30" s="302"/>
      <c r="E30" s="302"/>
      <c r="F30" s="302"/>
      <c r="G30" s="302"/>
      <c r="H30" s="302"/>
      <c r="I30" s="302"/>
      <c r="J30" s="302"/>
      <c r="K30" s="302"/>
      <c r="L30" s="302"/>
      <c r="M30" s="302"/>
      <c r="N30" s="303"/>
      <c r="S30" s="49"/>
    </row>
    <row r="31" spans="2:24" ht="15.75" thickBot="1" x14ac:dyDescent="0.25">
      <c r="S31" s="49"/>
    </row>
    <row r="32" spans="2:24" x14ac:dyDescent="0.2">
      <c r="B32" s="295" t="s">
        <v>92</v>
      </c>
      <c r="C32" s="296"/>
      <c r="D32" s="296"/>
      <c r="E32" s="296"/>
      <c r="F32" s="296"/>
      <c r="G32" s="296"/>
      <c r="H32" s="296"/>
      <c r="I32" s="296"/>
      <c r="J32" s="296"/>
      <c r="K32" s="296"/>
      <c r="L32" s="296"/>
      <c r="M32" s="296"/>
      <c r="N32" s="297"/>
      <c r="S32" s="49"/>
    </row>
    <row r="33" spans="2:19" x14ac:dyDescent="0.2">
      <c r="B33" s="298"/>
      <c r="C33" s="299"/>
      <c r="D33" s="299"/>
      <c r="E33" s="299"/>
      <c r="F33" s="299"/>
      <c r="G33" s="299"/>
      <c r="H33" s="299"/>
      <c r="I33" s="299"/>
      <c r="J33" s="299"/>
      <c r="K33" s="299"/>
      <c r="L33" s="299"/>
      <c r="M33" s="299"/>
      <c r="N33" s="300"/>
      <c r="S33" s="49"/>
    </row>
    <row r="34" spans="2:19" x14ac:dyDescent="0.2">
      <c r="B34" s="298"/>
      <c r="C34" s="299"/>
      <c r="D34" s="299"/>
      <c r="E34" s="299"/>
      <c r="F34" s="299"/>
      <c r="G34" s="299"/>
      <c r="H34" s="299"/>
      <c r="I34" s="299"/>
      <c r="J34" s="299"/>
      <c r="K34" s="299"/>
      <c r="L34" s="299"/>
      <c r="M34" s="299"/>
      <c r="N34" s="300"/>
      <c r="S34" s="49"/>
    </row>
    <row r="35" spans="2:19" x14ac:dyDescent="0.2">
      <c r="B35" s="298"/>
      <c r="C35" s="299"/>
      <c r="D35" s="299"/>
      <c r="E35" s="299"/>
      <c r="F35" s="299"/>
      <c r="G35" s="299"/>
      <c r="H35" s="299"/>
      <c r="I35" s="299"/>
      <c r="J35" s="299"/>
      <c r="K35" s="299"/>
      <c r="L35" s="299"/>
      <c r="M35" s="299"/>
      <c r="N35" s="300"/>
      <c r="S35" s="49"/>
    </row>
    <row r="36" spans="2:19" x14ac:dyDescent="0.2">
      <c r="B36" s="298"/>
      <c r="C36" s="299"/>
      <c r="D36" s="299"/>
      <c r="E36" s="299"/>
      <c r="F36" s="299"/>
      <c r="G36" s="299"/>
      <c r="H36" s="299"/>
      <c r="I36" s="299"/>
      <c r="J36" s="299"/>
      <c r="K36" s="299"/>
      <c r="L36" s="299"/>
      <c r="M36" s="299"/>
      <c r="N36" s="300"/>
      <c r="S36" s="49"/>
    </row>
    <row r="37" spans="2:19" x14ac:dyDescent="0.2">
      <c r="B37" s="298"/>
      <c r="C37" s="299"/>
      <c r="D37" s="299"/>
      <c r="E37" s="299"/>
      <c r="F37" s="299"/>
      <c r="G37" s="299"/>
      <c r="H37" s="299"/>
      <c r="I37" s="299"/>
      <c r="J37" s="299"/>
      <c r="K37" s="299"/>
      <c r="L37" s="299"/>
      <c r="M37" s="299"/>
      <c r="N37" s="300"/>
      <c r="S37" s="49"/>
    </row>
    <row r="38" spans="2:19" ht="15.75" thickBot="1" x14ac:dyDescent="0.25">
      <c r="B38" s="301"/>
      <c r="C38" s="302"/>
      <c r="D38" s="302"/>
      <c r="E38" s="302"/>
      <c r="F38" s="302"/>
      <c r="G38" s="302"/>
      <c r="H38" s="302"/>
      <c r="I38" s="302"/>
      <c r="J38" s="302"/>
      <c r="K38" s="302"/>
      <c r="L38" s="302"/>
      <c r="M38" s="302"/>
      <c r="N38" s="303"/>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 IPAFOFs</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 US TB 0-1yr FOF</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2025-02-04T08:18:44Z</dcterms:modified>
</cp:coreProperties>
</file>