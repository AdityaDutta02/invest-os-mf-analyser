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mc:AlternateContent xmlns:mc="http://schemas.openxmlformats.org/markup-compatibility/2006">
    <mc:Choice Requires="x15">
      <x15ac:absPath xmlns:x15ac="http://schemas.microsoft.com/office/spreadsheetml/2010/11/ac" url="C:\Users\Divya.Menon\AppData\Local\Microsoft\Windows\INetCache\Content.Outlook\0UIDSBO3\"/>
    </mc:Choice>
  </mc:AlternateContent>
  <xr:revisionPtr revIDLastSave="0" documentId="13_ncr:1_{67F5276F-58AE-4DBE-BD16-CDCAABE9E028}" xr6:coauthVersionLast="36" xr6:coauthVersionMax="36" xr10:uidLastSave="{00000000-0000-0000-0000-000000000000}"/>
  <bookViews>
    <workbookView xWindow="0" yWindow="0" windowWidth="14370" windowHeight="7440" xr2:uid="{00000000-000D-0000-FFFF-FFFF00000000}"/>
  </bookViews>
  <sheets>
    <sheet name="IDFC OF" sheetId="15" r:id="rId1"/>
    <sheet name="IDFC CF" sheetId="7" r:id="rId2"/>
    <sheet name="IDFC LDF" sheetId="13" r:id="rId3"/>
    <sheet name="IDFC MMF" sheetId="14" r:id="rId4"/>
    <sheet name="IDFC USTF" sheetId="16" r:id="rId5"/>
    <sheet name="IDFC DBF" sheetId="10" r:id="rId6"/>
    <sheet name="IDFC BOND IP" sheetId="4" r:id="rId7"/>
    <sheet name="IDFC BOND MT" sheetId="5" r:id="rId8"/>
    <sheet name="IDFC BOND ST" sheetId="6" r:id="rId9"/>
    <sheet name="IDFC BPDF" sheetId="3" r:id="rId10"/>
    <sheet name="IDFC-CBF" sheetId="8" r:id="rId11"/>
    <sheet name="IDFC CRF" sheetId="9" r:id="rId12"/>
    <sheet name="IDFC GSF-IP" sheetId="11" r:id="rId13"/>
    <sheet name="IDFC GSF - CMP" sheetId="12" r:id="rId14"/>
    <sheet name="IDFC ASBF" sheetId="2" r:id="rId15"/>
    <sheet name="IDFC FRF" sheetId="17" r:id="rId16"/>
    <sheet name="Disclaimer" sheetId="18" r:id="rId1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9" l="1"/>
  <c r="H9" i="9"/>
  <c r="H8" i="9"/>
</calcChain>
</file>

<file path=xl/sharedStrings.xml><?xml version="1.0" encoding="utf-8"?>
<sst xmlns="http://schemas.openxmlformats.org/spreadsheetml/2006/main" count="1052" uniqueCount="220">
  <si>
    <t>IDFC ALL SEASONS BOND FUND (26 February,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</si>
  <si>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</si>
  <si>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</si>
  <si>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</si>
  <si>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</si>
  <si>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</si>
  <si>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</si>
  <si>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</si>
  <si>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</si>
  <si>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</si>
  <si>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</si>
  <si>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</si>
  <si>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</si>
  <si>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</si>
  <si>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</si>
  <si>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</si>
  <si>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</si>
  <si>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</si>
  <si>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(26 February, 2021 )</t>
  </si>
  <si>
    <t>Export Import Bank of India</t>
  </si>
  <si>
    <t xml:space="preserve"> A1+</t>
  </si>
  <si>
    <t>Axis Bank Limited</t>
  </si>
  <si>
    <t>Bank of Baroda</t>
  </si>
  <si>
    <t>Certificate of Deposit Total</t>
  </si>
  <si>
    <t>National Bank For Agriculture and Rural Development</t>
  </si>
  <si>
    <t>Reliance Industries Limited</t>
  </si>
  <si>
    <t>Commercial Paper Total</t>
  </si>
  <si>
    <t xml:space="preserve"> AAA</t>
  </si>
  <si>
    <t>Power Finance Corporation Limited</t>
  </si>
  <si>
    <t>Indian Railway Finance Corporation Limited</t>
  </si>
  <si>
    <t>REC Limited</t>
  </si>
  <si>
    <t>Housing Development Finance Corporation Limited</t>
  </si>
  <si>
    <t>National Highways Auth Of Ind</t>
  </si>
  <si>
    <t>Hindustan Petroleum Corporation Limited</t>
  </si>
  <si>
    <t>LIC Housing Finance Limited</t>
  </si>
  <si>
    <t>Small Industries Dev Bank of India</t>
  </si>
  <si>
    <t>National Housing Bank</t>
  </si>
  <si>
    <t>ICICI Bank Limited</t>
  </si>
  <si>
    <t>Power Grid Corporation of India Limited</t>
  </si>
  <si>
    <t>Housing &amp; Urban Development Corporation Limited</t>
  </si>
  <si>
    <t>NTPC Limited</t>
  </si>
  <si>
    <t>NHPC Limited</t>
  </si>
  <si>
    <t>Larsen &amp; Toubro Limited</t>
  </si>
  <si>
    <t>Indian Oil Corporation Limited</t>
  </si>
  <si>
    <t>Tata Sons Private Ltd</t>
  </si>
  <si>
    <t>Corporate Bond Total</t>
  </si>
  <si>
    <t>7.37% GOI (MD 16/04/2023)</t>
  </si>
  <si>
    <t>SOV</t>
  </si>
  <si>
    <t>7.16% GOI (MD 20/05/2023)</t>
  </si>
  <si>
    <t>7.32% GOI (MD 28/01/2024)</t>
  </si>
  <si>
    <t>6.84% GOI (MD 19/12/2022)</t>
  </si>
  <si>
    <t>5.22% GOI (MD 15/06/2025)</t>
  </si>
  <si>
    <t>6.18% GOI (MD 04/11/2024)</t>
  </si>
  <si>
    <t>8.13% GOI (MD 21/09/2022)</t>
  </si>
  <si>
    <t>7.68% GOI (MD 15/12/2023)</t>
  </si>
  <si>
    <t>7.72% GOI (MD 25/05/2025)</t>
  </si>
  <si>
    <t>7.8% GOI (MD 11/04/2021)</t>
  </si>
  <si>
    <t>Government Bond Total</t>
  </si>
  <si>
    <t>State Government Bond Total</t>
  </si>
  <si>
    <t>Zero Coupon Bond Total</t>
  </si>
  <si>
    <t>Certificate of Deposit</t>
  </si>
  <si>
    <t>Corporate Bond</t>
  </si>
  <si>
    <t>Commercial Paper</t>
  </si>
  <si>
    <t>Government Bond</t>
  </si>
  <si>
    <t>State Government Bond</t>
  </si>
  <si>
    <t>Zero Coupon Bond</t>
  </si>
  <si>
    <t>IDFC BOND FUND - INCOME PLAN (26 February, 2021 )</t>
  </si>
  <si>
    <t>6.79% GOI (MD 15/05/2027)</t>
  </si>
  <si>
    <t>8.24% GOI (MD 15/02/2027)</t>
  </si>
  <si>
    <t>7.26% GOI (MD 14/01/2029)</t>
  </si>
  <si>
    <t>5.15% GOI (MD 09/11/2025)</t>
  </si>
  <si>
    <t>6.97% GOI (MD 06/09/2026)</t>
  </si>
  <si>
    <t>7.73% GOI (MD 19/12/2034)</t>
  </si>
  <si>
    <t>IDFC BOND FUND - MEDIUM TERM PLAN (26 February, 2021 )</t>
  </si>
  <si>
    <t>8.15% GOI (MD 24/11/2026)</t>
  </si>
  <si>
    <t>8.33% GOI 2026 (M/D 09/07/2026)</t>
  </si>
  <si>
    <t xml:space="preserve"> AAA(SO)</t>
  </si>
  <si>
    <t>PTC Total</t>
  </si>
  <si>
    <t>182 Days Tbill (MD 11/03/2021)</t>
  </si>
  <si>
    <t>364 Days Tbill (MD 04/03/2021)</t>
  </si>
  <si>
    <t>364 Days Tbill (MD 30/03/2021)</t>
  </si>
  <si>
    <t>182 Days Tbill (MD 18/03/2021)</t>
  </si>
  <si>
    <t>182 Days Tbill (MD 25/03/2021)</t>
  </si>
  <si>
    <t>364 Days Tbill (MD 18/03/2021)</t>
  </si>
  <si>
    <t>Treasury Bill Total</t>
  </si>
  <si>
    <t>PTC</t>
  </si>
  <si>
    <t>Treasury Bill</t>
  </si>
  <si>
    <t>IDFC BOND FUND - SHORT TERM PLAN (26 February, 2021 )</t>
  </si>
  <si>
    <t>Bajaj Finance Limited</t>
  </si>
  <si>
    <t>182 Days Tbill (MD 04/03/2021)</t>
  </si>
  <si>
    <t>91 Days Tbill (MD 18/03/2021)</t>
  </si>
  <si>
    <t>IDFC CASH FUND (26 February, 2021 )</t>
  </si>
  <si>
    <t>UltraTech Cement Limited</t>
  </si>
  <si>
    <t>ICICI Securities Limited</t>
  </si>
  <si>
    <t>Kotak Mahindra Prime Limited</t>
  </si>
  <si>
    <t>Reliance Retail Ventures Limited</t>
  </si>
  <si>
    <t>91 Days Tbill (MD 11/03/2021)</t>
  </si>
  <si>
    <t>IDFC CORPORATE BOND FUND (26 February, 2021 )</t>
  </si>
  <si>
    <t>HDB Financial Services Limited</t>
  </si>
  <si>
    <t>Mahindra &amp; Mahindra Limited</t>
  </si>
  <si>
    <t>IDFC CREDIT RISK FUND (26 February, 2021 )</t>
  </si>
  <si>
    <t>Afcons Infrastructure Limited</t>
  </si>
  <si>
    <t xml:space="preserve"> A+</t>
  </si>
  <si>
    <t xml:space="preserve"> AA(CE)</t>
  </si>
  <si>
    <t xml:space="preserve"> AA</t>
  </si>
  <si>
    <t xml:space="preserve"> AA+</t>
  </si>
  <si>
    <t>Tata Steel Limited</t>
  </si>
  <si>
    <t xml:space="preserve"> AA-</t>
  </si>
  <si>
    <t>Tata Power Company Limited</t>
  </si>
  <si>
    <t>7.17% GOI (MD 08/01/2028)</t>
  </si>
  <si>
    <t>7.59% GOI(MD 11/01/2026)</t>
  </si>
  <si>
    <t>Aditya Birla Fashion and Retail Limited</t>
  </si>
  <si>
    <t>AA</t>
  </si>
  <si>
    <t>AA+</t>
  </si>
  <si>
    <t>AA-</t>
  </si>
  <si>
    <t>IDFC DYNAMIC BOND FUND (26 February, 2021 )</t>
  </si>
  <si>
    <t>7.27% GOI (MD 08/04/2026)</t>
  </si>
  <si>
    <t>8.20% GOI (MD 24/09/2025)</t>
  </si>
  <si>
    <t>IDFC GOVERNMENT SECURITIES FUND - INVESTMENT PLAN (26 February, 2021 )</t>
  </si>
  <si>
    <t>IDFC GOVERNMENT SECURITIES FUND-CONSTANT MATURITY (26 February, 2021 )</t>
  </si>
  <si>
    <t>6.19% GOI (MD 16/09/2034)</t>
  </si>
  <si>
    <t>6.68% GOI (MD 17/09/2031)</t>
  </si>
  <si>
    <t>IDFC LOW DURATION FUND (26 February, 2021 )</t>
  </si>
  <si>
    <t>Kotak Mahindra Investments Limited</t>
  </si>
  <si>
    <t>Grasim Industries Limited</t>
  </si>
  <si>
    <t>8.15% GOI (MD 11/06/2022)</t>
  </si>
  <si>
    <t>7.94% GOI (MD 24/05/2021)</t>
  </si>
  <si>
    <t>Sundaram Finance Limited</t>
  </si>
  <si>
    <t>IDFC MONEY MANAGER FUND (26 February, 2021 )</t>
  </si>
  <si>
    <t>364 Days Tbill (MD 11/03/2021)</t>
  </si>
  <si>
    <t>IDFC OVERNIGHT FUND (26 February, 2021 )</t>
  </si>
  <si>
    <t>IDFC ULTRA SHORT TERM FUND (26 February, 2021 )</t>
  </si>
  <si>
    <t>364 Days Tbill (MD 25/03/2021)</t>
  </si>
  <si>
    <t xml:space="preserve"> IDFC FLOATING RATE FUND (26 February, 2021 )</t>
  </si>
  <si>
    <t>The Federal Bank  Limited</t>
  </si>
  <si>
    <t>RBL Bank Limited</t>
  </si>
  <si>
    <t>AAA</t>
  </si>
  <si>
    <t>Jamnagar Utilities &amp; Power Private Limited</t>
  </si>
  <si>
    <t>Floating Rate Note</t>
  </si>
  <si>
    <t>8.20% GOI (MD 15/02/2022)</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</si>
  <si>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</si>
  <si>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7.55% Maharastra SDL (MD 21/03/2021)</t>
  </si>
  <si>
    <t>8.90% TAMILNADU SDL(MD/20/09/2022)</t>
  </si>
  <si>
    <t>8.48% Karnataka SDL (MD 17/10/2022)</t>
  </si>
  <si>
    <t>8.38% Haryana SDL (MD 27/01/2026)</t>
  </si>
  <si>
    <t>8.05% Gujarat SDL (MD 25/02/2025)</t>
  </si>
  <si>
    <t>8.99% Gujrat SDL (MD 14/03/2022)</t>
  </si>
  <si>
    <t>9.20% Andhra Pradesh SDL (MD 11/04/2022)</t>
  </si>
  <si>
    <t>9.23% Gujarat SDL (MD 23/11/2021)</t>
  </si>
  <si>
    <t>9.22% Tamil Nadu SDL (MD 23/11/2021)</t>
  </si>
  <si>
    <t>8.56% Andhra Pradesh SDL (MD 10/08/2021)</t>
  </si>
  <si>
    <t>8.59% Gujrat SDL (MD 24/08/2021)</t>
  </si>
  <si>
    <t>8.66% Andhra Pradesh SDL (MD 06/07/2021)</t>
  </si>
  <si>
    <t>8.36% Madhya Pradesh SDL (MD 16/03/2021)</t>
  </si>
  <si>
    <t>7.64% Andhra Pradesh SDL (MD 14/03/2021)</t>
  </si>
  <si>
    <t>7.62% Odisha SDL (MD 14/03/2021)</t>
  </si>
  <si>
    <t>7.62% Maharastra SDL (MD 14/03/2021)</t>
  </si>
  <si>
    <t>8.67% Andhra Pradesh SDL(MD 26/05/2021)</t>
  </si>
  <si>
    <t>6.92% MAHARASTRA SDL(MD 11/01/2022)</t>
  </si>
  <si>
    <t>7.55% Odisha SDL (MD 11/04/2021)</t>
  </si>
  <si>
    <t>8.31% Karnataka SDL (MD 14/11/2022)</t>
  </si>
  <si>
    <t>8.38% Karnataka SDL (MD 31/10/2022)</t>
  </si>
  <si>
    <t>7.03% Gujarat SDL (MD 26/10/2021)</t>
  </si>
  <si>
    <t>7.9% CHHATISGARH SDL (MD 28/11/2021)</t>
  </si>
  <si>
    <t>8.79% Maharashtra SDL (MD 21/12/2021)</t>
  </si>
  <si>
    <t>8.90% Andhra pradesh SDL (MD 04/07/2022)</t>
  </si>
  <si>
    <t>8.84% Gujrat SDL (MD 17/10/2022)</t>
  </si>
  <si>
    <t>8.25% Maharastra SDL  ( MD 13/05/2025)</t>
  </si>
  <si>
    <t>8.2% Gujarat SDL (MD 24/06/2025)</t>
  </si>
  <si>
    <t>8.37% Tamil Nadu SDL (MD 05/12/2028)</t>
  </si>
  <si>
    <t>8.25% Andhra PradeshSDL (MD 25/04/2023)</t>
  </si>
  <si>
    <t>8.68% Gujarat SDL (MD 06/02/2023)</t>
  </si>
  <si>
    <t>8.10% TAMIL NADU SDL (MD 08/05/2023)</t>
  </si>
  <si>
    <t>9.25% Haryana SDL (MD 09-Oct-2023)</t>
  </si>
  <si>
    <t>5.41% Andhra Pradesh SDL (MD 12/08/2024)</t>
  </si>
  <si>
    <t>5.68% Maharashtra SDL (MD 23/09/2024)</t>
  </si>
  <si>
    <t>8.62% Maharashtra SDL (MD 06/03/2023)</t>
  </si>
  <si>
    <t>7.93% Chattisgarh SDL (MD 13/02/2024)</t>
  </si>
  <si>
    <t>7.77% Gujarat SDL (MD 19/06/2023)</t>
  </si>
  <si>
    <t>5.93% ODISHA SDL (MD 08/04/2022)</t>
  </si>
  <si>
    <t>8.48% Tamilnadu SDL (MD 04/07/2023)</t>
  </si>
  <si>
    <t>8.08% Haryana SDL (MD 28/01/2025)</t>
  </si>
  <si>
    <t>9.22% Gujarat SDL (MD 09/10/2023)</t>
  </si>
  <si>
    <t>7.68% Chattisgarh SDL (MD 20/03/2024)</t>
  </si>
  <si>
    <t>8.14% Gujarat SDL (MD 14/01/2025)</t>
  </si>
  <si>
    <t>6.49% Madhya Pradesh SDL (MD 31/03/2024)</t>
  </si>
  <si>
    <t>8.06% Maharastra SDL (MD 11/02/2025)</t>
  </si>
  <si>
    <t>6.68% Andhra Pradesh SDL (MD 15/04/2024)</t>
  </si>
  <si>
    <t>6.64% Rajasthan SDL (MD 05/02/2024)</t>
  </si>
  <si>
    <t>8.83% Tamilnadu SDL (MD 11/06/2024)</t>
  </si>
  <si>
    <t>8.13% TAMIL NADU SDL MAT - 14-Jan-2025</t>
  </si>
  <si>
    <t>6.99% Madhya Pradesh SDL (MD 24/03/2024)</t>
  </si>
  <si>
    <t>6.7% Odisha SDL (MD 08/04/2024)</t>
  </si>
  <si>
    <t>9.55% Karnataka SDL (MD 12/02/2024)</t>
  </si>
  <si>
    <t>5.6% Haryana SDL (MD 20/05/2024)</t>
  </si>
  <si>
    <t>9.47% Haryana SDL (MD 26/03/2024)</t>
  </si>
  <si>
    <t>9.63% Andhra Pradesh SDL (MD 12/02/2024)</t>
  </si>
  <si>
    <t>9.80% Haryana SDL (MD 26/02/2024)</t>
  </si>
  <si>
    <t>8.96% Maharashtra SDL  (MD 09/07/2024)</t>
  </si>
  <si>
    <t>9.48% Andhra Pradesh SDL (MD 26/03/2024)</t>
  </si>
  <si>
    <t>8.05% Maharashtra SDL (MD 28/01/2025)</t>
  </si>
  <si>
    <t>9.5% Gujrat SDL (MD 11/09/2023)</t>
  </si>
  <si>
    <t>9.71% Haryana SDL (MD 12/03/2024)</t>
  </si>
  <si>
    <t>9.24% Haryana SDL (MD 16/01/2024)</t>
  </si>
  <si>
    <t>9.37% Gujarat SDL (MD 30/01/2024)</t>
  </si>
  <si>
    <t>9.11% Maharashtra SDL (MD 28/05/2024)</t>
  </si>
  <si>
    <t>8.07% Gujrat SDL (MD 11/02/2025)</t>
  </si>
  <si>
    <t>5.75% Tamilnadu SDL (MD 27/05/2025)</t>
  </si>
  <si>
    <t>5.6% Maharashtra SDL (MD 09/09/2024)</t>
  </si>
  <si>
    <t>A+</t>
  </si>
  <si>
    <t>^PTC originated by Reliance Industries Limited</t>
  </si>
  <si>
    <t>First Business Receivables Trust^</t>
  </si>
  <si>
    <t>* Corporate Guarantee from Tata Power</t>
  </si>
  <si>
    <t>^^AT1 Bonds under Basel III</t>
  </si>
  <si>
    <t>Tata Power Renewable Energy Limited*</t>
  </si>
  <si>
    <t>IndusInd Bank Limited^^</t>
  </si>
  <si>
    <t>Indian Bank^^</t>
  </si>
  <si>
    <t>Bank of Baroda^^</t>
  </si>
  <si>
    <t>State Bank of India^^</t>
  </si>
  <si>
    <t>HDFC Bank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</si>
</sst>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6">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3" fillId="3" borderId="0" xfId="0" applyFont="1" applyFill="1" applyBorder="1" applyAlignment="1">
      <alignment horizontal="left" vertical="center"/>
    </xf>
    <xf numFmtId="0" fontId="4" fillId="3" borderId="0" xfId="0" applyFont="1" applyFill="1" applyBorder="1" applyAlignment="1">
      <alignment horizontal="left"/>
    </xf>
    <xf numFmtId="0" fontId="0" fillId="3" borderId="0" xfId="0" applyFill="1" applyBorder="1"/>
    <xf numFmtId="0" fontId="3" fillId="3" borderId="0" xfId="0" applyFont="1" applyFill="1" applyBorder="1" applyAlignment="1">
      <alignment horizontal="right" vertical="center"/>
    </xf>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0" fillId="4" borderId="12" xfId="0" applyFill="1" applyBorder="1"/>
    <xf numFmtId="0" fontId="0" fillId="4" borderId="14" xfId="0" applyFill="1" applyBorder="1"/>
    <xf numFmtId="0" fontId="0" fillId="0" borderId="0" xfId="0" applyFill="1" applyBorder="1"/>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3" borderId="0" xfId="0" applyFont="1" applyFill="1" applyBorder="1" applyAlignment="1">
      <alignment horizontal="right" vertical="center"/>
    </xf>
    <xf numFmtId="0" fontId="0" fillId="3" borderId="0" xfId="0" applyFill="1"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3" fillId="2" borderId="0" xfId="0" applyFont="1" applyFill="1" applyBorder="1" applyAlignment="1">
      <alignment horizontal="center" vertical="center"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3" borderId="0" xfId="0" applyFill="1"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28257937243926"/>
                  <c:y val="-5.72687224669603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51-4EB9-9F50-34F04C4995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8951-4EB9-9F50-34F04C4995A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manualLayout>
                  <c:x val="0.10935304928425703"/>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DD-4B59-829A-4471840E333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5DD-4B59-829A-4471840E333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TRI Party Repo</c:v>
                </c:pt>
                <c:pt idx="1">
                  <c:v>Net Current Asset</c:v>
                </c:pt>
              </c:strCache>
            </c:strRef>
          </c:cat>
          <c:val>
            <c:numRef>
              <c:f>'IDFC OF'!$K$9:$K$10</c:f>
              <c:numCache>
                <c:formatCode>0.00%</c:formatCode>
                <c:ptCount val="2"/>
                <c:pt idx="0">
                  <c:v>0.99333800000000005</c:v>
                </c:pt>
                <c:pt idx="1">
                  <c:v>6.6620000000000004E-3</c:v>
                </c:pt>
              </c:numCache>
            </c:numRef>
          </c:val>
          <c:extLst>
            <c:ext xmlns:c16="http://schemas.microsoft.com/office/drawing/2014/chart" uri="{C3380CC4-5D6E-409C-BE32-E72D297353CC}">
              <c16:uniqueId val="{0000000C-55DD-4B59-829A-4471840E333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7F-4D9F-B8B7-6EC87C756DE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897F-4D9F-B8B7-6EC87C756DE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manualLayout>
                  <c:x val="-5.1535517375103271E-2"/>
                  <c:y val="-8.87864345904130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159-4215-8E1E-241BE1B4CD4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159-4215-8E1E-241BE1B4CD4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159-4215-8E1E-241BE1B4CD45}"/>
                </c:ext>
              </c:extLst>
            </c:dLbl>
            <c:dLbl>
              <c:idx val="3"/>
              <c:layout>
                <c:manualLayout>
                  <c:x val="-2.4483299330624358E-2"/>
                  <c:y val="1.20296311645254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159-4215-8E1E-241BE1B4CD4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159-4215-8E1E-241BE1B4CD45}"/>
                </c:ext>
              </c:extLst>
            </c:dLbl>
            <c:dLbl>
              <c:idx val="5"/>
              <c:layout>
                <c:manualLayout>
                  <c:x val="0.12827935052015715"/>
                  <c:y val="-0.10532014090343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159-4215-8E1E-241BE1B4CD4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159-4215-8E1E-241BE1B4CD4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TRI Party Repo</c:v>
                </c:pt>
                <c:pt idx="1">
                  <c:v>Certificate of Deposit</c:v>
                </c:pt>
                <c:pt idx="2">
                  <c:v>Corporate Bond</c:v>
                </c:pt>
                <c:pt idx="3">
                  <c:v>Commercial Paper</c:v>
                </c:pt>
                <c:pt idx="4">
                  <c:v>State Government Bond</c:v>
                </c:pt>
                <c:pt idx="5">
                  <c:v>Treasury Bill</c:v>
                </c:pt>
                <c:pt idx="6">
                  <c:v>Net Current Asset</c:v>
                </c:pt>
              </c:strCache>
            </c:strRef>
          </c:cat>
          <c:val>
            <c:numRef>
              <c:f>'IDFC CF'!$K$9:$K$15</c:f>
              <c:numCache>
                <c:formatCode>0.00%</c:formatCode>
                <c:ptCount val="7"/>
                <c:pt idx="0">
                  <c:v>0.305454</c:v>
                </c:pt>
                <c:pt idx="1">
                  <c:v>1.1657000000000001E-2</c:v>
                </c:pt>
                <c:pt idx="2">
                  <c:v>2.1507999999999999E-2</c:v>
                </c:pt>
                <c:pt idx="3">
                  <c:v>0.28502100000000002</c:v>
                </c:pt>
                <c:pt idx="4">
                  <c:v>1.4041E-2</c:v>
                </c:pt>
                <c:pt idx="5">
                  <c:v>0.36089900000000003</c:v>
                </c:pt>
                <c:pt idx="6">
                  <c:v>1.42E-3</c:v>
                </c:pt>
              </c:numCache>
            </c:numRef>
          </c:val>
          <c:extLst>
            <c:ext xmlns:c16="http://schemas.microsoft.com/office/drawing/2014/chart" uri="{C3380CC4-5D6E-409C-BE32-E72D297353CC}">
              <c16:uniqueId val="{0000000C-B159-4215-8E1E-241BE1B4CD4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638039757878234"/>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EA6-4724-A6AF-F81D090372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4EA6-4724-A6AF-F81D0903720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1.3038830531622598E-2"/>
                  <c:y val="-3.4340453299691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CC1-4BC6-8CD6-0842170DABC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CC1-4BC6-8CD6-0842170DABC8}"/>
                </c:ext>
              </c:extLst>
            </c:dLbl>
            <c:dLbl>
              <c:idx val="2"/>
              <c:layout>
                <c:manualLayout>
                  <c:x val="3.6320794483130719E-2"/>
                  <c:y val="1.19037716970461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CC1-4BC6-8CD6-0842170DABC8}"/>
                </c:ext>
              </c:extLst>
            </c:dLbl>
            <c:dLbl>
              <c:idx val="3"/>
              <c:layout>
                <c:manualLayout>
                  <c:x val="-4.7403429496366487E-3"/>
                  <c:y val="0.220116761647887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CC1-4BC6-8CD6-0842170DABC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CC1-4BC6-8CD6-0842170DABC8}"/>
                </c:ext>
              </c:extLst>
            </c:dLbl>
            <c:dLbl>
              <c:idx val="5"/>
              <c:layout>
                <c:manualLayout>
                  <c:x val="-5.0506415552445665E-2"/>
                  <c:y val="-0.135862182972984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CC1-4BC6-8CD6-0842170DABC8}"/>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CC1-4BC6-8CD6-0842170DABC8}"/>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CC1-4BC6-8CD6-0842170DABC8}"/>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1CC1-4BC6-8CD6-0842170DAB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LDF'!$J$9:$J$17</c:f>
              <c:strCache>
                <c:ptCount val="9"/>
                <c:pt idx="0">
                  <c:v>TRI Party Repo</c:v>
                </c:pt>
                <c:pt idx="1">
                  <c:v>Certificate of Deposit</c:v>
                </c:pt>
                <c:pt idx="2">
                  <c:v>Corporate Bond</c:v>
                </c:pt>
                <c:pt idx="3">
                  <c:v>Commercial Paper</c:v>
                </c:pt>
                <c:pt idx="4">
                  <c:v>Government Bond</c:v>
                </c:pt>
                <c:pt idx="5">
                  <c:v>State Government Bond</c:v>
                </c:pt>
                <c:pt idx="6">
                  <c:v>Treasury Bill</c:v>
                </c:pt>
                <c:pt idx="7">
                  <c:v>Zero Coupon Bond</c:v>
                </c:pt>
                <c:pt idx="8">
                  <c:v>Net Current Asset</c:v>
                </c:pt>
              </c:strCache>
            </c:strRef>
          </c:cat>
          <c:val>
            <c:numRef>
              <c:f>'IDFC LDF'!$K$9:$K$17</c:f>
              <c:numCache>
                <c:formatCode>0.00%</c:formatCode>
                <c:ptCount val="9"/>
                <c:pt idx="0">
                  <c:v>0.116314</c:v>
                </c:pt>
                <c:pt idx="1">
                  <c:v>0.21526600000000001</c:v>
                </c:pt>
                <c:pt idx="2">
                  <c:v>0.33234900000000001</c:v>
                </c:pt>
                <c:pt idx="3">
                  <c:v>0.15562200000000001</c:v>
                </c:pt>
                <c:pt idx="4">
                  <c:v>2.3053000000000001E-2</c:v>
                </c:pt>
                <c:pt idx="5">
                  <c:v>1.521E-2</c:v>
                </c:pt>
                <c:pt idx="6">
                  <c:v>0.11378099999999999</c:v>
                </c:pt>
                <c:pt idx="7">
                  <c:v>1.8366E-2</c:v>
                </c:pt>
                <c:pt idx="8">
                  <c:v>1.0038999999999999E-2</c:v>
                </c:pt>
              </c:numCache>
            </c:numRef>
          </c:val>
          <c:extLst>
            <c:ext xmlns:c16="http://schemas.microsoft.com/office/drawing/2014/chart" uri="{C3380CC4-5D6E-409C-BE32-E72D297353CC}">
              <c16:uniqueId val="{0000000C-1CC1-4BC6-8CD6-0842170DABC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00-48CD-AE5D-7A87BBEB0A7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B700-48CD-AE5D-7A87BBEB0A7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D31-459B-B6A4-9F39317EDF50}"/>
                </c:ext>
              </c:extLst>
            </c:dLbl>
            <c:dLbl>
              <c:idx val="1"/>
              <c:layout>
                <c:manualLayout>
                  <c:x val="-1.6705053195973631E-2"/>
                  <c:y val="0.317752388794537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D31-459B-B6A4-9F39317EDF50}"/>
                </c:ext>
              </c:extLst>
            </c:dLbl>
            <c:dLbl>
              <c:idx val="2"/>
              <c:layout>
                <c:manualLayout>
                  <c:x val="8.2915409128462791E-2"/>
                  <c:y val="8.04902818520233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D31-459B-B6A4-9F39317EDF5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D31-459B-B6A4-9F39317EDF5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D31-459B-B6A4-9F39317EDF5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D31-459B-B6A4-9F39317EDF5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D31-459B-B6A4-9F39317EDF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TRI Party Repo</c:v>
                </c:pt>
                <c:pt idx="1">
                  <c:v>Certificate of Deposit</c:v>
                </c:pt>
                <c:pt idx="2">
                  <c:v>Commercial Paper</c:v>
                </c:pt>
                <c:pt idx="3">
                  <c:v>Government Bond</c:v>
                </c:pt>
                <c:pt idx="4">
                  <c:v>State Government Bond</c:v>
                </c:pt>
                <c:pt idx="5">
                  <c:v>Treasury Bill</c:v>
                </c:pt>
                <c:pt idx="6">
                  <c:v>Net Current Asset</c:v>
                </c:pt>
              </c:strCache>
            </c:strRef>
          </c:cat>
          <c:val>
            <c:numRef>
              <c:f>'IDFC MMF'!$K$9:$K$15</c:f>
              <c:numCache>
                <c:formatCode>0.00%</c:formatCode>
                <c:ptCount val="7"/>
                <c:pt idx="0">
                  <c:v>0.155058</c:v>
                </c:pt>
                <c:pt idx="1">
                  <c:v>0.229713</c:v>
                </c:pt>
                <c:pt idx="2">
                  <c:v>0.48282700000000001</c:v>
                </c:pt>
                <c:pt idx="3">
                  <c:v>6.8199999999999999E-4</c:v>
                </c:pt>
                <c:pt idx="4">
                  <c:v>4.3104999999999997E-2</c:v>
                </c:pt>
                <c:pt idx="5">
                  <c:v>0.111743</c:v>
                </c:pt>
                <c:pt idx="6">
                  <c:v>-2.3127999999999999E-2</c:v>
                </c:pt>
              </c:numCache>
            </c:numRef>
          </c:val>
          <c:extLst>
            <c:ext xmlns:c16="http://schemas.microsoft.com/office/drawing/2014/chart" uri="{C3380CC4-5D6E-409C-BE32-E72D297353CC}">
              <c16:uniqueId val="{0000000C-FD31-459B-B6A4-9F39317EDF5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924977659377161"/>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A22-4404-A33F-8D57CD814A4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1A22-4404-A33F-8D57CD814A4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630-4D46-BDDF-72F5956395E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630-4D46-BDDF-72F5956395E2}"/>
                </c:ext>
              </c:extLst>
            </c:dLbl>
            <c:dLbl>
              <c:idx val="2"/>
              <c:layout>
                <c:manualLayout>
                  <c:x val="-0.22419969987691582"/>
                  <c:y val="0.155113956909232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630-4D46-BDDF-72F5956395E2}"/>
                </c:ext>
              </c:extLst>
            </c:dLbl>
            <c:dLbl>
              <c:idx val="3"/>
              <c:layout>
                <c:manualLayout>
                  <c:x val="0.12435153180798866"/>
                  <c:y val="3.77973522540451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630-4D46-BDDF-72F5956395E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630-4D46-BDDF-72F5956395E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630-4D46-BDDF-72F5956395E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630-4D46-BDDF-72F5956395E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USTF'!$J$9:$J$15</c:f>
              <c:strCache>
                <c:ptCount val="7"/>
                <c:pt idx="0">
                  <c:v>TRI Party Repo</c:v>
                </c:pt>
                <c:pt idx="1">
                  <c:v>Certificate of Deposit</c:v>
                </c:pt>
                <c:pt idx="2">
                  <c:v>Corporate Bond</c:v>
                </c:pt>
                <c:pt idx="3">
                  <c:v>Commercial Paper</c:v>
                </c:pt>
                <c:pt idx="4">
                  <c:v>State Government Bond</c:v>
                </c:pt>
                <c:pt idx="5">
                  <c:v>Treasury Bill</c:v>
                </c:pt>
                <c:pt idx="6">
                  <c:v>Net Current Asset</c:v>
                </c:pt>
              </c:strCache>
            </c:strRef>
          </c:cat>
          <c:val>
            <c:numRef>
              <c:f>'IDFC USTF'!$K$9:$K$15</c:f>
              <c:numCache>
                <c:formatCode>0.00%</c:formatCode>
                <c:ptCount val="7"/>
                <c:pt idx="0">
                  <c:v>0.34090999999999999</c:v>
                </c:pt>
                <c:pt idx="1">
                  <c:v>4.3090999999999997E-2</c:v>
                </c:pt>
                <c:pt idx="2">
                  <c:v>0.18513199999999999</c:v>
                </c:pt>
                <c:pt idx="3">
                  <c:v>0.28486600000000001</c:v>
                </c:pt>
                <c:pt idx="4">
                  <c:v>6.7005999999999996E-2</c:v>
                </c:pt>
                <c:pt idx="5">
                  <c:v>0.21199100000000001</c:v>
                </c:pt>
                <c:pt idx="6">
                  <c:v>-0.132996</c:v>
                </c:pt>
              </c:numCache>
            </c:numRef>
          </c:val>
          <c:extLst>
            <c:ext xmlns:c16="http://schemas.microsoft.com/office/drawing/2014/chart" uri="{C3380CC4-5D6E-409C-BE32-E72D297353CC}">
              <c16:uniqueId val="{0000000C-C630-4D46-BDDF-72F5956395E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C90-4AC8-A525-6F521DF99B6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CC90-4AC8-A525-6F521DF99B6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93-4B73-AA51-8B8250B65D77}"/>
                </c:ext>
              </c:extLst>
            </c:dLbl>
            <c:dLbl>
              <c:idx val="1"/>
              <c:layout>
                <c:manualLayout>
                  <c:x val="0.21684769596519912"/>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C93-4B73-AA51-8B8250B65D77}"/>
                </c:ext>
              </c:extLst>
            </c:dLbl>
            <c:dLbl>
              <c:idx val="2"/>
              <c:layout>
                <c:manualLayout>
                  <c:x val="0.26221113153147085"/>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C93-4B73-AA51-8B8250B65D7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TRI Party Repo</c:v>
                </c:pt>
                <c:pt idx="1">
                  <c:v>Government Bond</c:v>
                </c:pt>
                <c:pt idx="2">
                  <c:v>Net Current Asset</c:v>
                </c:pt>
              </c:strCache>
            </c:strRef>
          </c:cat>
          <c:val>
            <c:numRef>
              <c:f>'IDFC DBF'!$K$9:$K$11</c:f>
              <c:numCache>
                <c:formatCode>0.00%</c:formatCode>
                <c:ptCount val="3"/>
                <c:pt idx="0">
                  <c:v>1.6050000000000001E-3</c:v>
                </c:pt>
                <c:pt idx="1">
                  <c:v>0.98336000000000001</c:v>
                </c:pt>
                <c:pt idx="2">
                  <c:v>1.5035E-2</c:v>
                </c:pt>
              </c:numCache>
            </c:numRef>
          </c:val>
          <c:extLst>
            <c:ext xmlns:c16="http://schemas.microsoft.com/office/drawing/2014/chart" uri="{C3380CC4-5D6E-409C-BE32-E72D297353CC}">
              <c16:uniqueId val="{0000000C-6C93-4B73-AA51-8B8250B65D7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6BC-473B-ABD7-C0506B58EB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26BC-473B-ABD7-C0506B58EBD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5D-4D8B-8E60-96D99D06A68B}"/>
                </c:ext>
              </c:extLst>
            </c:dLbl>
            <c:dLbl>
              <c:idx val="1"/>
              <c:layout>
                <c:manualLayout>
                  <c:x val="7.1368257768635451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15D-4D8B-8E60-96D99D06A68B}"/>
                </c:ext>
              </c:extLst>
            </c:dLbl>
            <c:dLbl>
              <c:idx val="2"/>
              <c:layout>
                <c:manualLayout>
                  <c:x val="-4.5511642415147786E-3"/>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15D-4D8B-8E60-96D99D06A68B}"/>
                </c:ext>
              </c:extLst>
            </c:dLbl>
            <c:dLbl>
              <c:idx val="3"/>
              <c:layout>
                <c:manualLayout>
                  <c:x val="-0.10223018428906237"/>
                  <c:y val="-3.60335958005249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15D-4D8B-8E60-96D99D06A68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IP'!$J$9:$J$12</c:f>
              <c:strCache>
                <c:ptCount val="4"/>
                <c:pt idx="0">
                  <c:v>TRI Party Repo</c:v>
                </c:pt>
                <c:pt idx="1">
                  <c:v>Corporate Bond</c:v>
                </c:pt>
                <c:pt idx="2">
                  <c:v>Government Bond</c:v>
                </c:pt>
                <c:pt idx="3">
                  <c:v>Net Current Asset</c:v>
                </c:pt>
              </c:strCache>
            </c:strRef>
          </c:cat>
          <c:val>
            <c:numRef>
              <c:f>'IDFC BOND IP'!$K$9:$K$12</c:f>
              <c:numCache>
                <c:formatCode>0.00%</c:formatCode>
                <c:ptCount val="4"/>
                <c:pt idx="0">
                  <c:v>1.3749999999999999E-3</c:v>
                </c:pt>
                <c:pt idx="1">
                  <c:v>7.9970000000000006E-3</c:v>
                </c:pt>
                <c:pt idx="2">
                  <c:v>0.98019900000000004</c:v>
                </c:pt>
                <c:pt idx="3">
                  <c:v>1.0429000000000001E-2</c:v>
                </c:pt>
              </c:numCache>
            </c:numRef>
          </c:val>
          <c:extLst>
            <c:ext xmlns:c16="http://schemas.microsoft.com/office/drawing/2014/chart" uri="{C3380CC4-5D6E-409C-BE32-E72D297353CC}">
              <c16:uniqueId val="{0000000C-915D-4D8B-8E60-96D99D06A68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57-4938-9437-7DA769BE8A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F357-4938-9437-7DA769BE8AB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7.1406278979581517E-2"/>
                  <c:y val="-8.21570861857719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D53-4D82-ABFA-681C919DF71F}"/>
                </c:ext>
              </c:extLst>
            </c:dLbl>
            <c:dLbl>
              <c:idx val="1"/>
              <c:layout>
                <c:manualLayout>
                  <c:x val="1.3335159925137837E-2"/>
                  <c:y val="-5.05592350466529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D53-4D82-ABFA-681C919DF71F}"/>
                </c:ext>
              </c:extLst>
            </c:dLbl>
            <c:dLbl>
              <c:idx val="2"/>
              <c:layout>
                <c:manualLayout>
                  <c:x val="0.11052293918292333"/>
                  <c:y val="4.0809164360439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D53-4D82-ABFA-681C919DF71F}"/>
                </c:ext>
              </c:extLst>
            </c:dLbl>
            <c:dLbl>
              <c:idx val="3"/>
              <c:layout>
                <c:manualLayout>
                  <c:x val="-0.12748056787334131"/>
                  <c:y val="1.0491033560957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D53-4D82-ABFA-681C919DF71F}"/>
                </c:ext>
              </c:extLst>
            </c:dLbl>
            <c:dLbl>
              <c:idx val="4"/>
              <c:layout>
                <c:manualLayout>
                  <c:x val="5.363604174745823E-2"/>
                  <c:y val="-6.9337263201185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D53-4D82-ABFA-681C919DF71F}"/>
                </c:ext>
              </c:extLst>
            </c:dLbl>
            <c:dLbl>
              <c:idx val="5"/>
              <c:layout>
                <c:manualLayout>
                  <c:x val="-0.18511431654554958"/>
                  <c:y val="-0.211508229588820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D53-4D82-ABFA-681C919DF71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D53-4D82-ABFA-681C919DF7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TRI Party Repo</c:v>
                </c:pt>
                <c:pt idx="1">
                  <c:v>Corporate Bond</c:v>
                </c:pt>
                <c:pt idx="2">
                  <c:v>Government Bond</c:v>
                </c:pt>
                <c:pt idx="3">
                  <c:v>PTC</c:v>
                </c:pt>
                <c:pt idx="4">
                  <c:v>State Government Bond</c:v>
                </c:pt>
                <c:pt idx="5">
                  <c:v>Treasury Bill</c:v>
                </c:pt>
                <c:pt idx="6">
                  <c:v>Net Current Asset</c:v>
                </c:pt>
              </c:strCache>
            </c:strRef>
          </c:cat>
          <c:val>
            <c:numRef>
              <c:f>'IDFC BOND MT'!$K$9:$K$15</c:f>
              <c:numCache>
                <c:formatCode>0.00%</c:formatCode>
                <c:ptCount val="7"/>
                <c:pt idx="0">
                  <c:v>3.5950000000000001E-3</c:v>
                </c:pt>
                <c:pt idx="1">
                  <c:v>0.223634</c:v>
                </c:pt>
                <c:pt idx="2">
                  <c:v>0.65077700000000005</c:v>
                </c:pt>
                <c:pt idx="3">
                  <c:v>8.7349999999999997E-3</c:v>
                </c:pt>
                <c:pt idx="4">
                  <c:v>8.4410000000000006E-3</c:v>
                </c:pt>
                <c:pt idx="5">
                  <c:v>8.7729000000000001E-2</c:v>
                </c:pt>
                <c:pt idx="6">
                  <c:v>1.7089E-2</c:v>
                </c:pt>
              </c:numCache>
            </c:numRef>
          </c:val>
          <c:extLst>
            <c:ext xmlns:c16="http://schemas.microsoft.com/office/drawing/2014/chart" uri="{C3380CC4-5D6E-409C-BE32-E72D297353CC}">
              <c16:uniqueId val="{0000000C-1D53-4D82-ABFA-681C919DF71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66666666666666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25-4CEA-B512-53105156DE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9F25-4CEA-B512-53105156DE5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9.6626650255441843E-2"/>
                  <c:y val="9.151816549247133E-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965-4807-BAA8-52D6DF347114}"/>
                </c:ext>
              </c:extLst>
            </c:dLbl>
            <c:dLbl>
              <c:idx val="1"/>
              <c:layout>
                <c:manualLayout>
                  <c:x val="-0.15192989259640183"/>
                  <c:y val="0.139453653819588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965-4807-BAA8-52D6DF34711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965-4807-BAA8-52D6DF34711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965-4807-BAA8-52D6DF34711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965-4807-BAA8-52D6DF34711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965-4807-BAA8-52D6DF3471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TRI Party Repo</c:v>
                </c:pt>
                <c:pt idx="1">
                  <c:v>Corporate Bond</c:v>
                </c:pt>
                <c:pt idx="2">
                  <c:v>Government Bond</c:v>
                </c:pt>
                <c:pt idx="3">
                  <c:v>PTC</c:v>
                </c:pt>
                <c:pt idx="4">
                  <c:v>Treasury Bill</c:v>
                </c:pt>
                <c:pt idx="5">
                  <c:v>Net Current Asset</c:v>
                </c:pt>
              </c:strCache>
            </c:strRef>
          </c:cat>
          <c:val>
            <c:numRef>
              <c:f>'IDFC BOND ST'!$K$9:$K$14</c:f>
              <c:numCache>
                <c:formatCode>0.00%</c:formatCode>
                <c:ptCount val="6"/>
                <c:pt idx="0">
                  <c:v>1.078E-3</c:v>
                </c:pt>
                <c:pt idx="1">
                  <c:v>0.754274</c:v>
                </c:pt>
                <c:pt idx="2">
                  <c:v>0.170849</c:v>
                </c:pt>
                <c:pt idx="3">
                  <c:v>5.7759999999999999E-3</c:v>
                </c:pt>
                <c:pt idx="4">
                  <c:v>3.456E-2</c:v>
                </c:pt>
                <c:pt idx="5">
                  <c:v>3.3463E-2</c:v>
                </c:pt>
              </c:numCache>
            </c:numRef>
          </c:val>
          <c:extLst>
            <c:ext xmlns:c16="http://schemas.microsoft.com/office/drawing/2014/chart" uri="{C3380CC4-5D6E-409C-BE32-E72D297353CC}">
              <c16:uniqueId val="{0000000C-4965-4807-BAA8-52D6DF34711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353243184002426"/>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60-4182-A843-31B5F363BB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8660-4182-A843-31B5F363BBF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0.37655330556913791"/>
                  <c:y val="-2.20371402689708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F48-47AD-BD38-D4A98B140DE5}"/>
                </c:ext>
              </c:extLst>
            </c:dLbl>
            <c:dLbl>
              <c:idx val="1"/>
              <c:layout>
                <c:manualLayout>
                  <c:x val="5.630907619416952E-2"/>
                  <c:y val="-1.65061668176433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F48-47AD-BD38-D4A98B140DE5}"/>
                </c:ext>
              </c:extLst>
            </c:dLbl>
            <c:dLbl>
              <c:idx val="2"/>
              <c:layout>
                <c:manualLayout>
                  <c:x val="8.0111787418435648E-3"/>
                  <c:y val="4.37084523726569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F48-47AD-BD38-D4A98B140DE5}"/>
                </c:ext>
              </c:extLst>
            </c:dLbl>
            <c:dLbl>
              <c:idx val="3"/>
              <c:layout>
                <c:manualLayout>
                  <c:x val="-7.8852197811462008E-2"/>
                  <c:y val="-2.49637655912479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F48-47AD-BD38-D4A98B140DE5}"/>
                </c:ext>
              </c:extLst>
            </c:dLbl>
            <c:dLbl>
              <c:idx val="4"/>
              <c:layout>
                <c:manualLayout>
                  <c:x val="-1.7729686894063276E-2"/>
                  <c:y val="-3.30457807818270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F48-47AD-BD38-D4A98B140DE5}"/>
                </c:ext>
              </c:extLst>
            </c:dLbl>
            <c:dLbl>
              <c:idx val="5"/>
              <c:layout>
                <c:manualLayout>
                  <c:x val="-0.20499409870340082"/>
                  <c:y val="-0.156096439272524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F48-47AD-BD38-D4A98B140DE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F48-47AD-BD38-D4A98B140DE5}"/>
                </c:ext>
              </c:extLst>
            </c:dLbl>
            <c:dLbl>
              <c:idx val="7"/>
              <c:layout>
                <c:manualLayout>
                  <c:x val="0.14332403176583655"/>
                  <c:y val="-2.125635844192042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F48-47AD-BD38-D4A98B140D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TRI Party Repo</c:v>
                </c:pt>
                <c:pt idx="1">
                  <c:v>Certificate of Deposit</c:v>
                </c:pt>
                <c:pt idx="2">
                  <c:v>Corporate Bond</c:v>
                </c:pt>
                <c:pt idx="3">
                  <c:v>Commercial Paper</c:v>
                </c:pt>
                <c:pt idx="4">
                  <c:v>Government Bond</c:v>
                </c:pt>
                <c:pt idx="5">
                  <c:v>State Government Bond</c:v>
                </c:pt>
                <c:pt idx="6">
                  <c:v>Zero Coupon Bond</c:v>
                </c:pt>
                <c:pt idx="7">
                  <c:v>Net Current Asset</c:v>
                </c:pt>
              </c:strCache>
            </c:strRef>
          </c:cat>
          <c:val>
            <c:numRef>
              <c:f>'IDFC BPDF'!$K$9:$K$16</c:f>
              <c:numCache>
                <c:formatCode>0.00%</c:formatCode>
                <c:ptCount val="8"/>
                <c:pt idx="0">
                  <c:v>8.8660000000000006E-3</c:v>
                </c:pt>
                <c:pt idx="1">
                  <c:v>1.7964000000000001E-2</c:v>
                </c:pt>
                <c:pt idx="2">
                  <c:v>0.83134799999999998</c:v>
                </c:pt>
                <c:pt idx="3">
                  <c:v>8.6789999999999992E-3</c:v>
                </c:pt>
                <c:pt idx="4">
                  <c:v>8.8554999999999995E-2</c:v>
                </c:pt>
                <c:pt idx="5">
                  <c:v>7.228E-3</c:v>
                </c:pt>
                <c:pt idx="6">
                  <c:v>6.3049999999999998E-3</c:v>
                </c:pt>
                <c:pt idx="7">
                  <c:v>3.1054999999999999E-2</c:v>
                </c:pt>
              </c:numCache>
            </c:numRef>
          </c:val>
          <c:extLst>
            <c:ext xmlns:c16="http://schemas.microsoft.com/office/drawing/2014/chart" uri="{C3380CC4-5D6E-409C-BE32-E72D297353CC}">
              <c16:uniqueId val="{0000000C-EF48-47AD-BD38-D4A98B140DE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FB-4F31-863A-59A063DA6B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29FB-4F31-863A-59A063DA6BF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17-45DD-B389-BB746AFB8688}"/>
                </c:ext>
              </c:extLst>
            </c:dLbl>
            <c:dLbl>
              <c:idx val="1"/>
              <c:layout>
                <c:manualLayout>
                  <c:x val="0.13996130435515688"/>
                  <c:y val="-9.671612830574395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17-45DD-B389-BB746AFB8688}"/>
                </c:ext>
              </c:extLst>
            </c:dLbl>
            <c:dLbl>
              <c:idx val="2"/>
              <c:layout>
                <c:manualLayout>
                  <c:x val="-0.17842882193259033"/>
                  <c:y val="0.147832956523998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17-45DD-B389-BB746AFB8688}"/>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17-45DD-B389-BB746AFB868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717-45DD-B389-BB746AFB8688}"/>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717-45DD-B389-BB746AFB8688}"/>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717-45DD-B389-BB746AFB86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TRI Party Repo</c:v>
                </c:pt>
                <c:pt idx="1">
                  <c:v>Certificate of Deposit</c:v>
                </c:pt>
                <c:pt idx="2">
                  <c:v>Corporate Bond</c:v>
                </c:pt>
                <c:pt idx="3">
                  <c:v>Commercial Paper</c:v>
                </c:pt>
                <c:pt idx="4">
                  <c:v>Government Bond</c:v>
                </c:pt>
                <c:pt idx="5">
                  <c:v>State Government Bond</c:v>
                </c:pt>
                <c:pt idx="6">
                  <c:v>Net Current Asset</c:v>
                </c:pt>
              </c:strCache>
            </c:strRef>
          </c:cat>
          <c:val>
            <c:numRef>
              <c:f>'IDFC-CBF'!$K$9:$K$15</c:f>
              <c:numCache>
                <c:formatCode>0.00%</c:formatCode>
                <c:ptCount val="7"/>
                <c:pt idx="0">
                  <c:v>3.6700000000000001E-3</c:v>
                </c:pt>
                <c:pt idx="1">
                  <c:v>2.173E-3</c:v>
                </c:pt>
                <c:pt idx="2">
                  <c:v>0.69613000000000003</c:v>
                </c:pt>
                <c:pt idx="3">
                  <c:v>5.3150000000000003E-3</c:v>
                </c:pt>
                <c:pt idx="4">
                  <c:v>0.186057</c:v>
                </c:pt>
                <c:pt idx="5">
                  <c:v>7.4172000000000002E-2</c:v>
                </c:pt>
                <c:pt idx="6">
                  <c:v>3.2482999999999998E-2</c:v>
                </c:pt>
              </c:numCache>
            </c:numRef>
          </c:val>
          <c:extLst>
            <c:ext xmlns:c16="http://schemas.microsoft.com/office/drawing/2014/chart" uri="{C3380CC4-5D6E-409C-BE32-E72D297353CC}">
              <c16:uniqueId val="{0000000C-F717-45DD-B389-BB746AFB868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6.8899829705441076E-2"/>
                  <c:y val="0.256321162288342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763914414338464"/>
                      <c:h val="0.16592920353982302"/>
                    </c:manualLayout>
                  </c15:layout>
                </c:ext>
                <c:ext xmlns:c16="http://schemas.microsoft.com/office/drawing/2014/chart" uri="{C3380CC4-5D6E-409C-BE32-E72D297353CC}">
                  <c16:uniqueId val="{0000000D-A58C-4B33-8D79-8F47E5946D05}"/>
                </c:ext>
              </c:extLst>
            </c:dLbl>
            <c:dLbl>
              <c:idx val="1"/>
              <c:layout>
                <c:manualLayout>
                  <c:x val="4.3373349744558157E-2"/>
                  <c:y val="0.233781269597937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58C-4B33-8D79-8F47E5946D05}"/>
                </c:ext>
              </c:extLst>
            </c:dLbl>
            <c:dLbl>
              <c:idx val="2"/>
              <c:layout>
                <c:manualLayout>
                  <c:x val="-1.4399669527390446E-2"/>
                  <c:y val="-3.56288760365131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58C-4B33-8D79-8F47E5946D05}"/>
                </c:ext>
              </c:extLst>
            </c:dLbl>
            <c:dLbl>
              <c:idx val="3"/>
              <c:layout>
                <c:manualLayout>
                  <c:x val="-1.0799625689187138E-2"/>
                  <c:y val="-0.125822939168002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58C-4B33-8D79-8F47E5946D05}"/>
                </c:ext>
              </c:extLst>
            </c:dLbl>
            <c:dLbl>
              <c:idx val="4"/>
              <c:layout>
                <c:manualLayout>
                  <c:x val="5.7235579760238749E-2"/>
                  <c:y val="-3.6588042645111819E-2"/>
                </c:manualLayout>
              </c:layout>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7FC9-43E6-9D97-D2D6650D744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CRF'!$G$8:$G$12</c:f>
              <c:strCache>
                <c:ptCount val="5"/>
                <c:pt idx="0">
                  <c:v>AAA EQUIVALENT</c:v>
                </c:pt>
                <c:pt idx="1">
                  <c:v>AA</c:v>
                </c:pt>
                <c:pt idx="2">
                  <c:v>AA+</c:v>
                </c:pt>
                <c:pt idx="3">
                  <c:v>AA-</c:v>
                </c:pt>
                <c:pt idx="4">
                  <c:v>A+</c:v>
                </c:pt>
              </c:strCache>
            </c:strRef>
          </c:cat>
          <c:val>
            <c:numRef>
              <c:f>'IDFC CRF'!$H$8:$H$12</c:f>
              <c:numCache>
                <c:formatCode>0.00%</c:formatCode>
                <c:ptCount val="5"/>
                <c:pt idx="0">
                  <c:v>0.56574799999999992</c:v>
                </c:pt>
                <c:pt idx="1">
                  <c:v>0.29918100000000003</c:v>
                </c:pt>
                <c:pt idx="2">
                  <c:v>4.2473999999999998E-2</c:v>
                </c:pt>
                <c:pt idx="3">
                  <c:v>3.0308000000000002E-2</c:v>
                </c:pt>
                <c:pt idx="4">
                  <c:v>6.2288999999999997E-2</c:v>
                </c:pt>
              </c:numCache>
            </c:numRef>
          </c:val>
          <c:extLst>
            <c:ext xmlns:c16="http://schemas.microsoft.com/office/drawing/2014/chart" uri="{C3380CC4-5D6E-409C-BE32-E72D297353CC}">
              <c16:uniqueId val="{0000000C-A58C-4B33-8D79-8F47E5946D0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D7-423B-B106-46DE8B54314D}"/>
                </c:ext>
              </c:extLst>
            </c:dLbl>
            <c:dLbl>
              <c:idx val="1"/>
              <c:layout>
                <c:manualLayout>
                  <c:x val="-0.11445665919169097"/>
                  <c:y val="0.158111264383573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D7-423B-B106-46DE8B54314D}"/>
                </c:ext>
              </c:extLst>
            </c:dLbl>
            <c:dLbl>
              <c:idx val="2"/>
              <c:layout>
                <c:manualLayout>
                  <c:x val="2.5323896879057142E-2"/>
                  <c:y val="0.198117433362179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D7-423B-B106-46DE8B54314D}"/>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BD7-423B-B106-46DE8B54314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BD7-423B-B106-46DE8B54314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BD7-423B-B106-46DE8B54314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TRI Party Repo</c:v>
                </c:pt>
                <c:pt idx="1">
                  <c:v>Corporate Bond</c:v>
                </c:pt>
                <c:pt idx="2">
                  <c:v>Government Bond</c:v>
                </c:pt>
                <c:pt idx="3">
                  <c:v>PTC</c:v>
                </c:pt>
                <c:pt idx="4">
                  <c:v>Zero Coupon Bond</c:v>
                </c:pt>
                <c:pt idx="5">
                  <c:v>Net Current Asset</c:v>
                </c:pt>
              </c:strCache>
            </c:strRef>
          </c:cat>
          <c:val>
            <c:numRef>
              <c:f>'IDFC CRF'!$K$9:$K$14</c:f>
              <c:numCache>
                <c:formatCode>0.00%</c:formatCode>
                <c:ptCount val="6"/>
                <c:pt idx="0">
                  <c:v>0.107142</c:v>
                </c:pt>
                <c:pt idx="1">
                  <c:v>0.48142299999999999</c:v>
                </c:pt>
                <c:pt idx="2">
                  <c:v>0.215444</c:v>
                </c:pt>
                <c:pt idx="3">
                  <c:v>8.5127999999999995E-2</c:v>
                </c:pt>
                <c:pt idx="4">
                  <c:v>8.8899000000000006E-2</c:v>
                </c:pt>
                <c:pt idx="5">
                  <c:v>2.1964000000000001E-2</c:v>
                </c:pt>
              </c:numCache>
            </c:numRef>
          </c:val>
          <c:extLst>
            <c:ext xmlns:c16="http://schemas.microsoft.com/office/drawing/2014/chart" uri="{C3380CC4-5D6E-409C-BE32-E72D297353CC}">
              <c16:uniqueId val="{0000000C-EBD7-423B-B106-46DE8B54314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80438044816134"/>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4E-42B9-BDC4-8733CEA148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F04E-42B9-BDC4-8733CEA1484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0.15230116845672664"/>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CD-44A3-9498-10863629C862}"/>
                </c:ext>
              </c:extLst>
            </c:dLbl>
            <c:dLbl>
              <c:idx val="1"/>
              <c:layout>
                <c:manualLayout>
                  <c:x val="4.9021143502672442E-2"/>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FCD-44A3-9498-10863629C862}"/>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FCD-44A3-9498-10863629C86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TRI Party Repo</c:v>
                </c:pt>
                <c:pt idx="1">
                  <c:v>Government Bond</c:v>
                </c:pt>
                <c:pt idx="2">
                  <c:v>Net Current Asset</c:v>
                </c:pt>
              </c:strCache>
            </c:strRef>
          </c:cat>
          <c:val>
            <c:numRef>
              <c:f>'IDFC GSF-IP'!$K$9:$K$11</c:f>
              <c:numCache>
                <c:formatCode>0.00%</c:formatCode>
                <c:ptCount val="3"/>
                <c:pt idx="0">
                  <c:v>1.5579999999999999E-3</c:v>
                </c:pt>
                <c:pt idx="1">
                  <c:v>0.98390500000000003</c:v>
                </c:pt>
                <c:pt idx="2">
                  <c:v>1.4537E-2</c:v>
                </c:pt>
              </c:numCache>
            </c:numRef>
          </c:val>
          <c:extLst>
            <c:ext xmlns:c16="http://schemas.microsoft.com/office/drawing/2014/chart" uri="{C3380CC4-5D6E-409C-BE32-E72D297353CC}">
              <c16:uniqueId val="{0000000C-1FCD-44A3-9498-10863629C86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353243184002426"/>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137-483A-B781-54F79BD86D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3137-483A-B781-54F79BD86DD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19084506567300072"/>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04-4DBC-BF2F-EC9E0A546311}"/>
                </c:ext>
              </c:extLst>
            </c:dLbl>
            <c:dLbl>
              <c:idx val="1"/>
              <c:layout>
                <c:manualLayout>
                  <c:x val="7.8395353150449345E-3"/>
                  <c:y val="-5.819072615923009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D04-4DBC-BF2F-EC9E0A54631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D04-4DBC-BF2F-EC9E0A54631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TRI Party Repo</c:v>
                </c:pt>
                <c:pt idx="1">
                  <c:v>Government Bond</c:v>
                </c:pt>
                <c:pt idx="2">
                  <c:v>Net Current Asset</c:v>
                </c:pt>
              </c:strCache>
            </c:strRef>
          </c:cat>
          <c:val>
            <c:numRef>
              <c:f>'IDFC GSF - CMP'!$K$9:$K$11</c:f>
              <c:numCache>
                <c:formatCode>0.00%</c:formatCode>
                <c:ptCount val="3"/>
                <c:pt idx="0">
                  <c:v>7.5299999999999998E-4</c:v>
                </c:pt>
                <c:pt idx="1">
                  <c:v>0.97223300000000001</c:v>
                </c:pt>
                <c:pt idx="2">
                  <c:v>2.7014E-2</c:v>
                </c:pt>
              </c:numCache>
            </c:numRef>
          </c:val>
          <c:extLst>
            <c:ext xmlns:c16="http://schemas.microsoft.com/office/drawing/2014/chart" uri="{C3380CC4-5D6E-409C-BE32-E72D297353CC}">
              <c16:uniqueId val="{0000000C-4D04-4DBC-BF2F-EC9E0A54631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353243184002426"/>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904-43A5-BDE0-EF64BA8710F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9904-43A5-BDE0-EF64BA8710F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433-49EA-BA55-7C01A619FAE9}"/>
                </c:ext>
              </c:extLst>
            </c:dLbl>
            <c:dLbl>
              <c:idx val="1"/>
              <c:layout>
                <c:manualLayout>
                  <c:x val="2.6447588055775684E-2"/>
                  <c:y val="-4.70796150481189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433-49EA-BA55-7C01A619FAE9}"/>
                </c:ext>
              </c:extLst>
            </c:dLbl>
            <c:dLbl>
              <c:idx val="2"/>
              <c:layout>
                <c:manualLayout>
                  <c:x val="0.19271872734323628"/>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433-49EA-BA55-7C01A619FAE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TRI Party Repo</c:v>
                </c:pt>
                <c:pt idx="1">
                  <c:v>Mutual Fund Units</c:v>
                </c:pt>
                <c:pt idx="2">
                  <c:v>Net Current Asset</c:v>
                </c:pt>
              </c:strCache>
            </c:strRef>
          </c:cat>
          <c:val>
            <c:numRef>
              <c:f>'IDFC ASBF'!$K$9:$K$11</c:f>
              <c:numCache>
                <c:formatCode>0.00%</c:formatCode>
                <c:ptCount val="3"/>
                <c:pt idx="0">
                  <c:v>4.1999999999999997E-3</c:v>
                </c:pt>
                <c:pt idx="1">
                  <c:v>0.996614</c:v>
                </c:pt>
                <c:pt idx="2">
                  <c:v>-8.1400000000000005E-4</c:v>
                </c:pt>
              </c:numCache>
            </c:numRef>
          </c:val>
          <c:extLst>
            <c:ext xmlns:c16="http://schemas.microsoft.com/office/drawing/2014/chart" uri="{C3380CC4-5D6E-409C-BE32-E72D297353CC}">
              <c16:uniqueId val="{0000000C-D433-49EA-BA55-7C01A619FAE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1.9255593586133567E-2"/>
                  <c:y val="3.2894736842105261E-3"/>
                </c:manualLayout>
              </c:layout>
              <c:tx>
                <c:rich>
                  <a:bodyPr wrap="square" lIns="38100" tIns="19050" rIns="38100" bIns="19050" anchor="ctr">
                    <a:spAutoFit/>
                  </a:bodyPr>
                  <a:lstStyle/>
                  <a:p>
                    <a:pPr>
                      <a:defRPr b="0">
                        <a:latin typeface="Arial" panose="020B0604020202020204" pitchFamily="34" charset="0"/>
                        <a:ea typeface="Arial"/>
                        <a:cs typeface="Arial" panose="020B0604020202020204" pitchFamily="34" charset="0"/>
                      </a:defRPr>
                    </a:pPr>
                    <a:fld id="{9D99FC13-8DA9-46F1-A04C-5C906DB30A74}" type="CATEGORYNAME">
                      <a:rPr lang="en-US">
                        <a:latin typeface="Arial" panose="020B0604020202020204" pitchFamily="34" charset="0"/>
                        <a:cs typeface="Arial" panose="020B0604020202020204" pitchFamily="34" charset="0"/>
                      </a:rPr>
                      <a:pPr>
                        <a:defRPr b="0">
                          <a:latin typeface="Arial" panose="020B0604020202020204" pitchFamily="34" charset="0"/>
                          <a:ea typeface="Arial"/>
                          <a:cs typeface="Arial" panose="020B0604020202020204" pitchFamily="34" charset="0"/>
                        </a:defRPr>
                      </a:pPr>
                      <a:t>[CATEGORY NAME]</a:t>
                    </a:fld>
                    <a:r>
                      <a:rPr lang="en-US" baseline="0">
                        <a:latin typeface="Arial" panose="020B0604020202020204" pitchFamily="34" charset="0"/>
                        <a:cs typeface="Arial" panose="020B0604020202020204" pitchFamily="34" charset="0"/>
                      </a:rPr>
                      <a:t>,88.26%</a:t>
                    </a:r>
                  </a:p>
                </c:rich>
              </c:tx>
              <c:spPr>
                <a:noFill/>
                <a:ln>
                  <a:noFill/>
                </a:ln>
                <a:effectLst/>
              </c:sp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952351245173583"/>
                      <c:h val="0.11403508771929824"/>
                    </c:manualLayout>
                  </c15:layout>
                  <c15:dlblFieldTable/>
                  <c15:showDataLabelsRange val="0"/>
                </c:ext>
                <c:ext xmlns:c16="http://schemas.microsoft.com/office/drawing/2014/chart" uri="{C3380CC4-5D6E-409C-BE32-E72D297353CC}">
                  <c16:uniqueId val="{00000000-4E40-4F01-8AEE-0AC921530B97}"/>
                </c:ext>
              </c:extLst>
            </c:dLbl>
            <c:dLbl>
              <c:idx val="1"/>
              <c:layout>
                <c:manualLayout>
                  <c:x val="4.2391626903168153E-2"/>
                  <c:y val="-5.6571349633927341E-2"/>
                </c:manualLayout>
              </c:layout>
              <c:tx>
                <c:rich>
                  <a:bodyPr wrap="square" lIns="38100" tIns="19050" rIns="38100" bIns="19050" anchor="ctr">
                    <a:noAutofit/>
                  </a:bodyPr>
                  <a:lstStyle/>
                  <a:p>
                    <a:pPr>
                      <a:defRPr>
                        <a:latin typeface="Arial" panose="020B0604020202020204" pitchFamily="34" charset="0"/>
                        <a:cs typeface="Arial" panose="020B0604020202020204" pitchFamily="34" charset="0"/>
                      </a:defRPr>
                    </a:pPr>
                    <a:fld id="{A64AEB77-6193-4768-9DEB-BA55F4320FDE}" type="CATEGORYNAME">
                      <a:rPr lang="en-US">
                        <a:latin typeface="Arial" panose="020B0604020202020204" pitchFamily="34" charset="0"/>
                        <a:cs typeface="Arial" panose="020B0604020202020204" pitchFamily="34" charset="0"/>
                      </a:rPr>
                      <a:pPr>
                        <a:defRPr>
                          <a:latin typeface="Arial" panose="020B0604020202020204" pitchFamily="34" charset="0"/>
                          <a:cs typeface="Arial" panose="020B0604020202020204" pitchFamily="34" charset="0"/>
                        </a:defRPr>
                      </a:pPr>
                      <a:t>[CATEGORY NAME]</a:t>
                    </a:fld>
                    <a:r>
                      <a:rPr lang="en-US" baseline="0">
                        <a:latin typeface="Arial" panose="020B0604020202020204" pitchFamily="34" charset="0"/>
                        <a:cs typeface="Arial" panose="020B0604020202020204" pitchFamily="34" charset="0"/>
                      </a:rPr>
                      <a:t>,11.74%</a:t>
                    </a:r>
                  </a:p>
                </c:rich>
              </c:tx>
              <c:spPr>
                <a:noFill/>
                <a:ln>
                  <a:noFill/>
                </a:ln>
                <a:effectLst/>
              </c:spPr>
              <c:showLegendKey val="1"/>
              <c:showVal val="1"/>
              <c:showCatName val="1"/>
              <c:showSerName val="0"/>
              <c:showPercent val="0"/>
              <c:showBubbleSize val="0"/>
              <c:separator>,</c:separator>
              <c:extLst>
                <c:ext xmlns:c15="http://schemas.microsoft.com/office/drawing/2012/chart" uri="{CE6537A1-D6FC-4f65-9D91-7224C49458BB}">
                  <c15:layout>
                    <c:manualLayout>
                      <c:w val="0.14843581918427221"/>
                      <c:h val="0.12370631302666114"/>
                    </c:manualLayout>
                  </c15:layout>
                  <c15:dlblFieldTable/>
                  <c15:showDataLabelsRange val="0"/>
                </c:ext>
                <c:ext xmlns:c16="http://schemas.microsoft.com/office/drawing/2014/chart" uri="{C3380CC4-5D6E-409C-BE32-E72D297353CC}">
                  <c16:uniqueId val="{00000001-4E40-4F01-8AEE-0AC921530B97}"/>
                </c:ext>
              </c:extLst>
            </c:dLbl>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c:formatCode>
                <c:ptCount val="2"/>
                <c:pt idx="0">
                  <c:v>0.88262200000000002</c:v>
                </c:pt>
                <c:pt idx="1">
                  <c:v>0.11737800000000001</c:v>
                </c:pt>
              </c:numCache>
            </c:numRef>
          </c:val>
          <c:extLst>
            <c:ext xmlns:c16="http://schemas.microsoft.com/office/drawing/2014/chart" uri="{C3380CC4-5D6E-409C-BE32-E72D297353CC}">
              <c16:uniqueId val="{00000002-4E40-4F01-8AEE-0AC921530B9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Asset Allocation</a:t>
            </a:r>
          </a:p>
        </c:rich>
      </c:tx>
      <c:overlay val="0"/>
      <c:spPr>
        <a:noFill/>
        <a:ln>
          <a:noFill/>
        </a:ln>
        <a:effectLst/>
      </c:spPr>
    </c:title>
    <c:autoTitleDeleted val="0"/>
    <c:view3D>
      <c:rotX val="2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144936428400999E-2"/>
          <c:y val="0.26508836444474537"/>
          <c:w val="0.8663421617752326"/>
          <c:h val="0.58532526197789614"/>
        </c:manualLayout>
      </c:layout>
      <c:pie3DChart>
        <c:varyColors val="1"/>
        <c:ser>
          <c:idx val="0"/>
          <c:order val="0"/>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extLst>
              <c:ext xmlns:c16="http://schemas.microsoft.com/office/drawing/2014/chart" uri="{C3380CC4-5D6E-409C-BE32-E72D297353CC}">
                <c16:uniqueId val="{00000001-C603-4BCC-8E16-80E477D1401C}"/>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sp3d/>
            </c:spPr>
            <c:extLst>
              <c:ext xmlns:c16="http://schemas.microsoft.com/office/drawing/2014/chart" uri="{C3380CC4-5D6E-409C-BE32-E72D297353CC}">
                <c16:uniqueId val="{00000003-C603-4BCC-8E16-80E477D1401C}"/>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sp3d/>
            </c:spPr>
            <c:extLst>
              <c:ext xmlns:c16="http://schemas.microsoft.com/office/drawing/2014/chart" uri="{C3380CC4-5D6E-409C-BE32-E72D297353CC}">
                <c16:uniqueId val="{00000005-C603-4BCC-8E16-80E477D1401C}"/>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sp3d/>
            </c:spPr>
            <c:extLst>
              <c:ext xmlns:c16="http://schemas.microsoft.com/office/drawing/2014/chart" uri="{C3380CC4-5D6E-409C-BE32-E72D297353CC}">
                <c16:uniqueId val="{00000007-C603-4BCC-8E16-80E477D1401C}"/>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09-C603-4BCC-8E16-80E477D1401C}"/>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C603-4BCC-8E16-80E477D1401C}"/>
              </c:ext>
            </c:extLst>
          </c:dPt>
          <c:dLbls>
            <c:dLbl>
              <c:idx val="0"/>
              <c:layout>
                <c:manualLayout>
                  <c:x val="1.948051948051948E-2"/>
                  <c:y val="-4.339249145273526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aseline="0">
                        <a:latin typeface="Arial" panose="020B0604020202020204" pitchFamily="34" charset="0"/>
                        <a:cs typeface="Arial" panose="020B0604020202020204" pitchFamily="34" charset="0"/>
                      </a:rPr>
                      <a:t>Certificate of Deposit
18.60%</a:t>
                    </a: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C603-4BCC-8E16-80E477D1401C}"/>
                </c:ext>
              </c:extLst>
            </c:dLbl>
            <c:dLbl>
              <c:idx val="1"/>
              <c:layout>
                <c:manualLayout>
                  <c:x val="-1.1904761904761911E-2"/>
                  <c:y val="0.12623270240795714"/>
                </c:manualLayout>
              </c:layout>
              <c:tx>
                <c:rich>
                  <a:bodyPr/>
                  <a:lstStyle/>
                  <a:p>
                    <a:r>
                      <a:rPr lang="en-US" baseline="0"/>
                      <a:t>Corporate Bond
29.36%</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19517316017316017"/>
                      <c:h val="0.18520704306417457"/>
                    </c:manualLayout>
                  </c15:layout>
                </c:ext>
                <c:ext xmlns:c16="http://schemas.microsoft.com/office/drawing/2014/chart" uri="{C3380CC4-5D6E-409C-BE32-E72D297353CC}">
                  <c16:uniqueId val="{00000003-C603-4BCC-8E16-80E477D1401C}"/>
                </c:ext>
              </c:extLst>
            </c:dLbl>
            <c:dLbl>
              <c:idx val="2"/>
              <c:layout>
                <c:manualLayout>
                  <c:x val="4.7619047619047616E-2"/>
                  <c:y val="4.3392491452735119E-2"/>
                </c:manualLayout>
              </c:layout>
              <c:tx>
                <c:rich>
                  <a:bodyPr/>
                  <a:lstStyle/>
                  <a:p>
                    <a:fld id="{89DB8D92-6CCD-4DA5-A5DC-E67904170672}" type="CATEGORYNAME">
                      <a:rPr lang="en-US"/>
                      <a:pPr/>
                      <a:t>[CATEGORY NAME]</a:t>
                    </a:fld>
                    <a:r>
                      <a:rPr lang="en-US" baseline="0"/>
                      <a:t>
9.90%</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603-4BCC-8E16-80E477D1401C}"/>
                </c:ext>
              </c:extLst>
            </c:dLbl>
            <c:dLbl>
              <c:idx val="3"/>
              <c:layout>
                <c:manualLayout>
                  <c:x val="0"/>
                  <c:y val="5.522680730348124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fld id="{B79EFFE4-F130-4A40-A469-3C50F64024EB}" type="CATEGORYNAME">
                      <a:rPr lang="en-US">
                        <a:latin typeface="Arial" panose="020B0604020202020204" pitchFamily="34" charset="0"/>
                        <a:cs typeface="Arial" panose="020B0604020202020204" pitchFamily="34" charset="0"/>
                      </a:rPr>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t>[CATEGORY NAME]</a:t>
                    </a:fld>
                    <a:r>
                      <a:rPr lang="en-US" baseline="0">
                        <a:latin typeface="Arial" panose="020B0604020202020204" pitchFamily="34" charset="0"/>
                        <a:cs typeface="Arial" panose="020B0604020202020204" pitchFamily="34" charset="0"/>
                      </a:rPr>
                      <a:t>
7.35%</a:t>
                    </a: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layout>
                    <c:manualLayout>
                      <c:w val="0.20645021645021644"/>
                      <c:h val="0.21676521866616388"/>
                    </c:manualLayout>
                  </c15:layout>
                  <c15:dlblFieldTable/>
                  <c15:showDataLabelsRange val="0"/>
                </c:ext>
                <c:ext xmlns:c16="http://schemas.microsoft.com/office/drawing/2014/chart" uri="{C3380CC4-5D6E-409C-BE32-E72D297353CC}">
                  <c16:uniqueId val="{00000007-C603-4BCC-8E16-80E477D1401C}"/>
                </c:ext>
              </c:extLst>
            </c:dLbl>
            <c:dLbl>
              <c:idx val="4"/>
              <c:tx>
                <c:rich>
                  <a:bodyPr/>
                  <a:lstStyle/>
                  <a:p>
                    <a:r>
                      <a:rPr lang="en-US" baseline="0"/>
                      <a:t>TRI Party Repo
31.55%</a:t>
                    </a:r>
                  </a:p>
                </c:rich>
              </c:tx>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03-4BCC-8E16-80E477D1401C}"/>
                </c:ext>
              </c:extLst>
            </c:dLbl>
            <c:dLbl>
              <c:idx val="5"/>
              <c:layout>
                <c:manualLayout>
                  <c:x val="8.008666530320073E-2"/>
                  <c:y val="-7.8893885945150455E-3"/>
                </c:manualLayout>
              </c:layout>
              <c:tx>
                <c:rich>
                  <a:bodyPr/>
                  <a:lstStyle/>
                  <a:p>
                    <a:fld id="{39FA4DFD-9518-4AEE-9E3C-00072ED8CF48}" type="CATEGORYNAME">
                      <a:rPr lang="en-US"/>
                      <a:pPr/>
                      <a:t>[CATEGORY NAME]</a:t>
                    </a:fld>
                    <a:r>
                      <a:rPr lang="en-US" baseline="0"/>
                      <a:t>
3.24%</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29758649486995942"/>
                      <c:h val="0.18520704306417457"/>
                    </c:manualLayout>
                  </c15:layout>
                  <c15:dlblFieldTable/>
                  <c15:showDataLabelsRange val="0"/>
                </c:ext>
                <c:ext xmlns:c16="http://schemas.microsoft.com/office/drawing/2014/chart" uri="{C3380CC4-5D6E-409C-BE32-E72D297353CC}">
                  <c16:uniqueId val="{0000000B-C603-4BCC-8E16-80E477D1401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('IDFC FRF'!$C$12,'IDFC FRF'!$C$20,'IDFC FRF'!$C$22,'IDFC FRF'!$C$24,'IDFC FRF'!$C$26,'IDFC FRF'!$C$28)</c:f>
              <c:strCache>
                <c:ptCount val="6"/>
                <c:pt idx="0">
                  <c:v>Certificate of Deposit Total</c:v>
                </c:pt>
                <c:pt idx="1">
                  <c:v>Corporate Bond Total</c:v>
                </c:pt>
                <c:pt idx="2">
                  <c:v>Floating Rate Note</c:v>
                </c:pt>
                <c:pt idx="3">
                  <c:v>Government Bond</c:v>
                </c:pt>
                <c:pt idx="4">
                  <c:v>TRI Party Repo Total</c:v>
                </c:pt>
                <c:pt idx="5">
                  <c:v>Net Current Asset</c:v>
                </c:pt>
              </c:strCache>
            </c:strRef>
          </c:cat>
          <c:val>
            <c:numRef>
              <c:f>('IDFC FRF'!$E$12,'IDFC FRF'!$E$20,'IDFC FRF'!$E$22,'IDFC FRF'!$E$24,'IDFC FRF'!$E$26,'IDFC FRF'!$E$28)</c:f>
              <c:numCache>
                <c:formatCode>0.00%;[Black]\(0.00%\)</c:formatCode>
                <c:ptCount val="6"/>
                <c:pt idx="0">
                  <c:v>0.18604399999999999</c:v>
                </c:pt>
                <c:pt idx="1">
                  <c:v>0.29360599999999998</c:v>
                </c:pt>
                <c:pt idx="2">
                  <c:v>9.8969000000000001E-2</c:v>
                </c:pt>
                <c:pt idx="3">
                  <c:v>7.3494000000000004E-2</c:v>
                </c:pt>
                <c:pt idx="4">
                  <c:v>0.31548100000000001</c:v>
                </c:pt>
                <c:pt idx="5">
                  <c:v>3.2405999999999997E-2</c:v>
                </c:pt>
              </c:numCache>
            </c:numRef>
          </c:val>
          <c:extLst>
            <c:ext xmlns:c16="http://schemas.microsoft.com/office/drawing/2014/chart" uri="{C3380CC4-5D6E-409C-BE32-E72D297353CC}">
              <c16:uniqueId val="{0000000C-C603-4BCC-8E16-80E477D1401C}"/>
            </c:ext>
          </c:extLst>
        </c:ser>
        <c:dLbls>
          <c:dLblPos val="outEnd"/>
          <c:showLegendKey val="0"/>
          <c:showVal val="0"/>
          <c:showCatName val="1"/>
          <c:showSerName val="0"/>
          <c:showPercent val="0"/>
          <c:showBubbleSize val="0"/>
          <c:showLeaderLines val="1"/>
        </c:dLbls>
      </c:pie3DChart>
      <c:spPr>
        <a:noFill/>
        <a:ln>
          <a:noFill/>
        </a:ln>
        <a:effectLst>
          <a:softEdge rad="1270000"/>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63501</xdr:rowOff>
    </xdr:from>
    <xdr:to>
      <xdr:col>13</xdr:col>
      <xdr:colOff>546100</xdr:colOff>
      <xdr:row>22</xdr:row>
      <xdr:rowOff>63501</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38100</xdr:colOff>
      <xdr:row>7</xdr:row>
      <xdr:rowOff>1</xdr:rowOff>
    </xdr:from>
    <xdr:to>
      <xdr:col>13</xdr:col>
      <xdr:colOff>584200</xdr:colOff>
      <xdr:row>22</xdr:row>
      <xdr:rowOff>1</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26</xdr:row>
      <xdr:rowOff>107948</xdr:rowOff>
    </xdr:from>
    <xdr:to>
      <xdr:col>13</xdr:col>
      <xdr:colOff>495300</xdr:colOff>
      <xdr:row>43</xdr:row>
      <xdr:rowOff>50799</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53"/>
  <sheetViews>
    <sheetView showGridLines="0" tabSelected="1" zoomScale="75" zoomScaleNormal="75" workbookViewId="0"/>
  </sheetViews>
  <sheetFormatPr defaultRowHeight="15" x14ac:dyDescent="0.25"/>
  <cols>
    <col min="1" max="1" width="2.85546875" customWidth="1"/>
    <col min="2" max="2" width="3.85546875" customWidth="1"/>
    <col min="3" max="3" width="54.285156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130</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8</v>
      </c>
      <c r="D8" s="6"/>
      <c r="E8" s="11">
        <v>0.99333800000000005</v>
      </c>
      <c r="F8" s="1"/>
      <c r="G8" s="23" t="s">
        <v>15</v>
      </c>
      <c r="H8" s="24">
        <v>1</v>
      </c>
      <c r="I8" s="1"/>
      <c r="J8" s="23" t="s">
        <v>12</v>
      </c>
      <c r="K8" s="23" t="s">
        <v>3</v>
      </c>
      <c r="L8" s="1"/>
      <c r="M8" s="1"/>
      <c r="N8" s="17"/>
    </row>
    <row r="9" spans="2:14" ht="15.75" customHeight="1" x14ac:dyDescent="0.25">
      <c r="B9" s="19"/>
      <c r="C9" s="7" t="s">
        <v>9</v>
      </c>
      <c r="D9" s="8"/>
      <c r="E9" s="12">
        <v>0.99333800000000005</v>
      </c>
      <c r="F9" s="1"/>
      <c r="G9" s="1"/>
      <c r="H9" s="1"/>
      <c r="I9" s="1"/>
      <c r="J9" s="23" t="s">
        <v>13</v>
      </c>
      <c r="K9" s="25">
        <v>0.99333800000000005</v>
      </c>
      <c r="L9" s="1"/>
      <c r="M9" s="1"/>
      <c r="N9" s="17"/>
    </row>
    <row r="10" spans="2:14" ht="15" customHeight="1" x14ac:dyDescent="0.25">
      <c r="B10" s="19"/>
      <c r="C10" s="5"/>
      <c r="D10" s="6"/>
      <c r="E10" s="11"/>
      <c r="F10" s="1"/>
      <c r="G10" s="1"/>
      <c r="H10" s="1"/>
      <c r="I10" s="1"/>
      <c r="J10" s="23" t="s">
        <v>10</v>
      </c>
      <c r="K10" s="25">
        <v>6.6620000000000004E-3</v>
      </c>
      <c r="L10" s="1"/>
      <c r="M10" s="1"/>
      <c r="N10" s="17"/>
    </row>
    <row r="11" spans="2:14" ht="15.75" customHeight="1" x14ac:dyDescent="0.25">
      <c r="B11" s="19"/>
      <c r="C11" s="7" t="s">
        <v>10</v>
      </c>
      <c r="D11" s="8"/>
      <c r="E11" s="12">
        <v>6.6620000000000004E-3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0" t="s">
        <v>17</v>
      </c>
      <c r="H26" s="41"/>
      <c r="I26" s="41"/>
      <c r="J26" s="41"/>
      <c r="K26" s="41"/>
      <c r="L26" s="41"/>
      <c r="M26" s="41"/>
      <c r="N26" s="42"/>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x14ac:dyDescent="0.25">
      <c r="B44" s="19"/>
      <c r="C44" s="1"/>
      <c r="D44" s="1"/>
      <c r="E44" s="1"/>
      <c r="F44" s="1"/>
      <c r="G44" s="1"/>
      <c r="H44" s="1"/>
      <c r="I44" s="1"/>
      <c r="J44" s="1"/>
      <c r="K44" s="1"/>
      <c r="L44" s="1"/>
      <c r="M44" s="1"/>
      <c r="N44" s="17"/>
    </row>
    <row r="45" spans="2:14" x14ac:dyDescent="0.25">
      <c r="B45" s="19"/>
      <c r="C45" s="1"/>
      <c r="D45" s="1"/>
      <c r="E45" s="1"/>
      <c r="F45" s="1"/>
      <c r="G45" s="1"/>
      <c r="H45" s="1"/>
      <c r="I45" s="1"/>
      <c r="J45" s="1"/>
      <c r="K45" s="1"/>
      <c r="L45" s="1"/>
      <c r="M45" s="1"/>
      <c r="N45" s="17"/>
    </row>
    <row r="46" spans="2:14" x14ac:dyDescent="0.25">
      <c r="B46" s="19"/>
      <c r="C46" s="1"/>
      <c r="D46" s="1"/>
      <c r="E46" s="1"/>
      <c r="F46" s="1"/>
      <c r="G46" s="1"/>
      <c r="H46" s="1"/>
      <c r="I46" s="1"/>
      <c r="J46" s="1"/>
      <c r="K46" s="1"/>
      <c r="L46" s="1"/>
      <c r="M46" s="1"/>
      <c r="N46" s="17"/>
    </row>
    <row r="47" spans="2:14" x14ac:dyDescent="0.25">
      <c r="B47" s="19"/>
      <c r="C47" s="1"/>
      <c r="D47" s="1"/>
      <c r="E47" s="1"/>
      <c r="F47" s="1"/>
      <c r="G47" s="1"/>
      <c r="H47" s="1"/>
      <c r="I47" s="1"/>
      <c r="J47" s="1"/>
      <c r="K47" s="1"/>
      <c r="L47" s="1"/>
      <c r="M47" s="1"/>
      <c r="N47" s="17"/>
    </row>
    <row r="48" spans="2:14" x14ac:dyDescent="0.25">
      <c r="B48" s="19"/>
      <c r="C48" s="1"/>
      <c r="D48" s="1"/>
      <c r="E48" s="1"/>
      <c r="F48" s="1"/>
      <c r="G48" s="1"/>
      <c r="H48" s="1"/>
      <c r="I48" s="1"/>
      <c r="J48" s="1"/>
      <c r="K48" s="1"/>
      <c r="L48" s="1"/>
      <c r="M48" s="1"/>
      <c r="N48" s="17"/>
    </row>
    <row r="49" spans="2:14"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4">
    <mergeCell ref="C3:N3"/>
    <mergeCell ref="D5:E5"/>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91</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8"/>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22</v>
      </c>
      <c r="D8" s="6" t="s">
        <v>20</v>
      </c>
      <c r="E8" s="11">
        <v>1.1657000000000001E-2</v>
      </c>
      <c r="F8" s="1"/>
      <c r="G8" s="23" t="s">
        <v>15</v>
      </c>
      <c r="H8" s="24">
        <v>1</v>
      </c>
      <c r="I8" s="1"/>
      <c r="J8" s="23" t="s">
        <v>12</v>
      </c>
      <c r="K8" s="23" t="s">
        <v>3</v>
      </c>
      <c r="L8" s="1"/>
      <c r="M8" s="1"/>
      <c r="N8" s="17"/>
    </row>
    <row r="9" spans="2:14" ht="15.75" customHeight="1" x14ac:dyDescent="0.25">
      <c r="B9" s="19"/>
      <c r="C9" s="7" t="s">
        <v>23</v>
      </c>
      <c r="D9" s="8"/>
      <c r="E9" s="12">
        <v>1.1657000000000001E-2</v>
      </c>
      <c r="F9" s="1"/>
      <c r="G9" s="1"/>
      <c r="H9" s="1"/>
      <c r="I9" s="1"/>
      <c r="J9" s="23" t="s">
        <v>13</v>
      </c>
      <c r="K9" s="25">
        <v>0.305454</v>
      </c>
      <c r="L9" s="1"/>
      <c r="M9" s="1"/>
      <c r="N9" s="17"/>
    </row>
    <row r="10" spans="2:14" ht="15" customHeight="1" x14ac:dyDescent="0.25">
      <c r="B10" s="19"/>
      <c r="C10" s="5" t="s">
        <v>88</v>
      </c>
      <c r="D10" s="6" t="s">
        <v>20</v>
      </c>
      <c r="E10" s="11">
        <v>0.11616899999999999</v>
      </c>
      <c r="F10" s="1"/>
      <c r="G10" s="1"/>
      <c r="H10" s="1"/>
      <c r="I10" s="1"/>
      <c r="J10" s="23" t="s">
        <v>60</v>
      </c>
      <c r="K10" s="25">
        <v>1.1657000000000001E-2</v>
      </c>
      <c r="L10" s="1"/>
      <c r="M10" s="1"/>
      <c r="N10" s="17"/>
    </row>
    <row r="11" spans="2:14" ht="15" customHeight="1" x14ac:dyDescent="0.25">
      <c r="B11" s="19"/>
      <c r="C11" s="5" t="s">
        <v>24</v>
      </c>
      <c r="D11" s="6" t="s">
        <v>20</v>
      </c>
      <c r="E11" s="11">
        <v>5.2389999999999999E-2</v>
      </c>
      <c r="F11" s="1"/>
      <c r="G11" s="1"/>
      <c r="H11" s="1"/>
      <c r="I11" s="1"/>
      <c r="J11" s="23" t="s">
        <v>61</v>
      </c>
      <c r="K11" s="25">
        <v>2.1507999999999999E-2</v>
      </c>
      <c r="L11" s="1"/>
      <c r="M11" s="1"/>
      <c r="N11" s="17"/>
    </row>
    <row r="12" spans="2:14" ht="15" customHeight="1" x14ac:dyDescent="0.25">
      <c r="B12" s="19"/>
      <c r="C12" s="5" t="s">
        <v>92</v>
      </c>
      <c r="D12" s="6" t="s">
        <v>20</v>
      </c>
      <c r="E12" s="11">
        <v>4.9574E-2</v>
      </c>
      <c r="F12" s="1"/>
      <c r="G12" s="1"/>
      <c r="H12" s="1"/>
      <c r="I12" s="1"/>
      <c r="J12" s="23" t="s">
        <v>62</v>
      </c>
      <c r="K12" s="25">
        <v>0.28502100000000002</v>
      </c>
      <c r="L12" s="1"/>
      <c r="M12" s="1"/>
      <c r="N12" s="17"/>
    </row>
    <row r="13" spans="2:14" ht="15" customHeight="1" x14ac:dyDescent="0.25">
      <c r="B13" s="19"/>
      <c r="C13" s="5" t="s">
        <v>25</v>
      </c>
      <c r="D13" s="6" t="s">
        <v>20</v>
      </c>
      <c r="E13" s="11">
        <v>2.3300999999999999E-2</v>
      </c>
      <c r="F13" s="1"/>
      <c r="G13" s="1"/>
      <c r="H13" s="1"/>
      <c r="I13" s="1"/>
      <c r="J13" s="23" t="s">
        <v>64</v>
      </c>
      <c r="K13" s="25">
        <v>1.4041E-2</v>
      </c>
      <c r="L13" s="1"/>
      <c r="M13" s="1"/>
      <c r="N13" s="17"/>
    </row>
    <row r="14" spans="2:14" ht="15" customHeight="1" x14ac:dyDescent="0.25">
      <c r="B14" s="19"/>
      <c r="C14" s="5" t="s">
        <v>93</v>
      </c>
      <c r="D14" s="6" t="s">
        <v>20</v>
      </c>
      <c r="E14" s="11">
        <v>1.7350000000000001E-2</v>
      </c>
      <c r="F14" s="1"/>
      <c r="G14" s="1"/>
      <c r="H14" s="1"/>
      <c r="I14" s="1"/>
      <c r="J14" s="23" t="s">
        <v>86</v>
      </c>
      <c r="K14" s="25">
        <v>0.36089900000000003</v>
      </c>
      <c r="L14" s="1"/>
      <c r="M14" s="1"/>
      <c r="N14" s="17"/>
    </row>
    <row r="15" spans="2:14" ht="15" customHeight="1" x14ac:dyDescent="0.25">
      <c r="B15" s="19"/>
      <c r="C15" s="5" t="s">
        <v>19</v>
      </c>
      <c r="D15" s="6" t="s">
        <v>20</v>
      </c>
      <c r="E15" s="11">
        <v>1.1662E-2</v>
      </c>
      <c r="F15" s="1"/>
      <c r="G15" s="1"/>
      <c r="H15" s="1"/>
      <c r="I15" s="1"/>
      <c r="J15" s="23" t="s">
        <v>10</v>
      </c>
      <c r="K15" s="25">
        <v>1.42E-3</v>
      </c>
      <c r="L15" s="1"/>
      <c r="M15" s="1"/>
      <c r="N15" s="17"/>
    </row>
    <row r="16" spans="2:14" ht="15" customHeight="1" x14ac:dyDescent="0.25">
      <c r="B16" s="19"/>
      <c r="C16" s="5" t="s">
        <v>94</v>
      </c>
      <c r="D16" s="6" t="s">
        <v>20</v>
      </c>
      <c r="E16" s="11">
        <v>1.166E-2</v>
      </c>
      <c r="F16" s="1"/>
      <c r="G16" s="1"/>
      <c r="H16" s="1"/>
      <c r="I16" s="1"/>
      <c r="J16" s="1"/>
      <c r="K16" s="1"/>
      <c r="L16" s="1"/>
      <c r="M16" s="1"/>
      <c r="N16" s="17"/>
    </row>
    <row r="17" spans="2:14" ht="15" customHeight="1" x14ac:dyDescent="0.25">
      <c r="B17" s="19"/>
      <c r="C17" s="5" t="s">
        <v>95</v>
      </c>
      <c r="D17" s="6" t="s">
        <v>20</v>
      </c>
      <c r="E17" s="11">
        <v>2.9150000000000001E-3</v>
      </c>
      <c r="F17" s="1"/>
      <c r="G17" s="1"/>
      <c r="H17" s="1"/>
      <c r="I17" s="1"/>
      <c r="J17" s="1"/>
      <c r="K17" s="1"/>
      <c r="L17" s="1"/>
      <c r="M17" s="1"/>
      <c r="N17" s="17"/>
    </row>
    <row r="18" spans="2:14" ht="15.75" customHeight="1" x14ac:dyDescent="0.25">
      <c r="B18" s="19"/>
      <c r="C18" s="7" t="s">
        <v>26</v>
      </c>
      <c r="D18" s="8"/>
      <c r="E18" s="12">
        <v>0.28502100000000002</v>
      </c>
      <c r="F18" s="1"/>
      <c r="G18" s="1"/>
      <c r="H18" s="1"/>
      <c r="I18" s="1"/>
      <c r="J18" s="1"/>
      <c r="K18" s="1"/>
      <c r="L18" s="1"/>
      <c r="M18" s="1"/>
      <c r="N18" s="17"/>
    </row>
    <row r="19" spans="2:14" ht="15" customHeight="1" x14ac:dyDescent="0.25">
      <c r="B19" s="19"/>
      <c r="C19" s="5" t="s">
        <v>29</v>
      </c>
      <c r="D19" s="6" t="s">
        <v>27</v>
      </c>
      <c r="E19" s="11">
        <v>2.1507999999999999E-2</v>
      </c>
      <c r="F19" s="1"/>
      <c r="G19" s="1"/>
      <c r="H19" s="1"/>
      <c r="I19" s="1"/>
      <c r="J19" s="1"/>
      <c r="K19" s="1"/>
      <c r="L19" s="1"/>
      <c r="M19" s="1"/>
      <c r="N19" s="17"/>
    </row>
    <row r="20" spans="2:14" ht="15.75" customHeight="1" x14ac:dyDescent="0.25">
      <c r="B20" s="19"/>
      <c r="C20" s="7" t="s">
        <v>45</v>
      </c>
      <c r="D20" s="8"/>
      <c r="E20" s="12">
        <v>2.1507999999999999E-2</v>
      </c>
      <c r="F20" s="1"/>
      <c r="G20" s="1"/>
      <c r="H20" s="1"/>
      <c r="I20" s="1"/>
      <c r="J20" s="1"/>
      <c r="K20" s="1"/>
      <c r="L20" s="1"/>
      <c r="M20" s="1"/>
      <c r="N20" s="17"/>
    </row>
    <row r="21" spans="2:14" ht="15" customHeight="1" x14ac:dyDescent="0.25">
      <c r="B21" s="19"/>
      <c r="C21" s="5" t="s">
        <v>141</v>
      </c>
      <c r="D21" s="6" t="s">
        <v>47</v>
      </c>
      <c r="E21" s="11">
        <v>1.4041E-2</v>
      </c>
      <c r="F21" s="1"/>
      <c r="G21" s="1"/>
      <c r="H21" s="1"/>
      <c r="I21" s="1"/>
      <c r="J21" s="1"/>
      <c r="K21" s="1"/>
      <c r="L21" s="1"/>
      <c r="M21" s="1"/>
      <c r="N21" s="17"/>
    </row>
    <row r="22" spans="2:14" ht="15.75" customHeight="1" x14ac:dyDescent="0.25">
      <c r="B22" s="19"/>
      <c r="C22" s="7" t="s">
        <v>58</v>
      </c>
      <c r="D22" s="8"/>
      <c r="E22" s="12">
        <v>1.4041E-2</v>
      </c>
      <c r="F22" s="1"/>
      <c r="G22" s="1"/>
      <c r="H22" s="1"/>
      <c r="I22" s="1"/>
      <c r="J22" s="1"/>
      <c r="K22" s="1"/>
      <c r="L22" s="1"/>
      <c r="M22" s="1"/>
      <c r="N22" s="17"/>
    </row>
    <row r="23" spans="2:14" ht="15" customHeight="1" x14ac:dyDescent="0.25">
      <c r="B23" s="19"/>
      <c r="C23" s="5" t="s">
        <v>96</v>
      </c>
      <c r="D23" s="6" t="s">
        <v>47</v>
      </c>
      <c r="E23" s="11">
        <v>0.24099300000000001</v>
      </c>
      <c r="F23" s="1"/>
      <c r="G23" s="1"/>
      <c r="H23" s="1"/>
      <c r="I23" s="1"/>
      <c r="J23" s="1"/>
      <c r="K23" s="1"/>
      <c r="L23" s="1"/>
      <c r="M23" s="1"/>
      <c r="N23" s="17"/>
    </row>
    <row r="24" spans="2:14" ht="15" customHeight="1" x14ac:dyDescent="0.25">
      <c r="B24" s="19"/>
      <c r="C24" s="5" t="s">
        <v>80</v>
      </c>
      <c r="D24" s="6" t="s">
        <v>47</v>
      </c>
      <c r="E24" s="11">
        <v>6.1670000000000003E-2</v>
      </c>
      <c r="F24" s="1"/>
      <c r="G24" s="1"/>
      <c r="H24" s="1"/>
      <c r="I24" s="1"/>
      <c r="J24" s="1"/>
      <c r="K24" s="1"/>
      <c r="L24" s="1"/>
      <c r="M24" s="1"/>
      <c r="N24" s="17"/>
    </row>
    <row r="25" spans="2:14" ht="15" customHeight="1" x14ac:dyDescent="0.25">
      <c r="B25" s="19"/>
      <c r="C25" s="5" t="s">
        <v>81</v>
      </c>
      <c r="D25" s="6" t="s">
        <v>47</v>
      </c>
      <c r="E25" s="11">
        <v>4.6588999999999998E-2</v>
      </c>
      <c r="F25" s="1"/>
      <c r="G25" s="1"/>
      <c r="H25" s="1"/>
      <c r="I25" s="1"/>
      <c r="J25" s="1"/>
      <c r="K25" s="1"/>
      <c r="L25" s="1"/>
      <c r="M25" s="1"/>
      <c r="N25" s="17"/>
    </row>
    <row r="26" spans="2:14" ht="15" customHeight="1" x14ac:dyDescent="0.25">
      <c r="B26" s="19"/>
      <c r="C26" s="5" t="s">
        <v>90</v>
      </c>
      <c r="D26" s="6" t="s">
        <v>47</v>
      </c>
      <c r="E26" s="11">
        <v>1.1646999999999999E-2</v>
      </c>
      <c r="F26" s="1"/>
      <c r="G26" s="40" t="s">
        <v>17</v>
      </c>
      <c r="H26" s="41"/>
      <c r="I26" s="41"/>
      <c r="J26" s="41"/>
      <c r="K26" s="41"/>
      <c r="L26" s="41"/>
      <c r="M26" s="41"/>
      <c r="N26" s="42"/>
    </row>
    <row r="27" spans="2:14" ht="15.75" customHeight="1" x14ac:dyDescent="0.25">
      <c r="B27" s="19"/>
      <c r="C27" s="7" t="s">
        <v>84</v>
      </c>
      <c r="D27" s="8"/>
      <c r="E27" s="12">
        <v>0.36089900000000003</v>
      </c>
      <c r="F27" s="1"/>
      <c r="G27" s="1"/>
      <c r="H27" s="1"/>
      <c r="I27" s="1"/>
      <c r="J27" s="1"/>
      <c r="K27" s="1"/>
      <c r="L27" s="1"/>
      <c r="M27" s="1"/>
      <c r="N27" s="17"/>
    </row>
    <row r="28" spans="2:14" ht="15" customHeight="1" x14ac:dyDescent="0.25">
      <c r="B28" s="19"/>
      <c r="C28" s="5" t="s">
        <v>8</v>
      </c>
      <c r="D28" s="6"/>
      <c r="E28" s="11">
        <v>0.305454</v>
      </c>
      <c r="F28" s="1"/>
      <c r="G28" s="1"/>
      <c r="H28" s="1"/>
      <c r="I28" s="1"/>
      <c r="J28" s="1"/>
      <c r="K28" s="1"/>
      <c r="L28" s="1"/>
      <c r="M28" s="1"/>
      <c r="N28" s="17"/>
    </row>
    <row r="29" spans="2:14" ht="15.75" customHeight="1" x14ac:dyDescent="0.25">
      <c r="B29" s="19"/>
      <c r="C29" s="7" t="s">
        <v>9</v>
      </c>
      <c r="D29" s="8"/>
      <c r="E29" s="12">
        <v>0.305454</v>
      </c>
      <c r="F29" s="1"/>
      <c r="G29" s="1"/>
      <c r="H29" s="1"/>
      <c r="I29" s="1"/>
      <c r="J29" s="1"/>
      <c r="K29" s="1"/>
      <c r="L29" s="1"/>
      <c r="M29" s="1"/>
      <c r="N29" s="17"/>
    </row>
    <row r="30" spans="2:14" ht="15" customHeight="1" x14ac:dyDescent="0.25">
      <c r="B30" s="19"/>
      <c r="C30" s="5"/>
      <c r="D30" s="6"/>
      <c r="E30" s="11"/>
      <c r="F30" s="1"/>
      <c r="G30" s="1"/>
      <c r="H30" s="1"/>
      <c r="I30" s="1"/>
      <c r="J30" s="1"/>
      <c r="K30" s="1"/>
      <c r="L30" s="1"/>
      <c r="M30" s="1"/>
      <c r="N30" s="17"/>
    </row>
    <row r="31" spans="2:14" ht="15.75" customHeight="1" x14ac:dyDescent="0.25">
      <c r="B31" s="19"/>
      <c r="C31" s="7" t="s">
        <v>10</v>
      </c>
      <c r="D31" s="8"/>
      <c r="E31" s="12">
        <v>1.42E-3</v>
      </c>
      <c r="F31" s="1"/>
      <c r="G31" s="1"/>
      <c r="H31" s="1"/>
      <c r="I31" s="1"/>
      <c r="J31" s="1"/>
      <c r="K31" s="1"/>
      <c r="L31" s="1"/>
      <c r="M31" s="1"/>
      <c r="N31" s="17"/>
    </row>
    <row r="32" spans="2:14" ht="15" customHeight="1" x14ac:dyDescent="0.25">
      <c r="B32" s="19"/>
      <c r="C32" s="5"/>
      <c r="D32" s="6"/>
      <c r="E32" s="11"/>
      <c r="F32" s="1"/>
      <c r="G32" s="1"/>
      <c r="H32" s="1"/>
      <c r="I32" s="1"/>
      <c r="J32" s="1"/>
      <c r="K32" s="1"/>
      <c r="L32" s="1"/>
      <c r="M32" s="1"/>
      <c r="N32" s="17"/>
    </row>
    <row r="33" spans="2:14" ht="15" customHeight="1" x14ac:dyDescent="0.25">
      <c r="B33" s="19"/>
      <c r="C33" s="9" t="s">
        <v>11</v>
      </c>
      <c r="D33" s="10"/>
      <c r="E33" s="13">
        <v>1</v>
      </c>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sheetData>
  <mergeCells count="4">
    <mergeCell ref="C3:N3"/>
    <mergeCell ref="D5:E5"/>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122</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21</v>
      </c>
      <c r="D8" s="6" t="s">
        <v>20</v>
      </c>
      <c r="E8" s="11">
        <v>0.12556700000000001</v>
      </c>
      <c r="F8" s="1"/>
      <c r="G8" s="23" t="s">
        <v>15</v>
      </c>
      <c r="H8" s="24">
        <v>1</v>
      </c>
      <c r="I8" s="1"/>
      <c r="J8" s="23" t="s">
        <v>12</v>
      </c>
      <c r="K8" s="23" t="s">
        <v>3</v>
      </c>
      <c r="L8" s="1"/>
      <c r="M8" s="1"/>
      <c r="N8" s="17"/>
    </row>
    <row r="9" spans="2:14" ht="15" customHeight="1" x14ac:dyDescent="0.25">
      <c r="B9" s="19"/>
      <c r="C9" s="5" t="s">
        <v>24</v>
      </c>
      <c r="D9" s="6" t="s">
        <v>20</v>
      </c>
      <c r="E9" s="11">
        <v>4.6878000000000003E-2</v>
      </c>
      <c r="F9" s="1"/>
      <c r="G9" s="1"/>
      <c r="H9" s="1"/>
      <c r="I9" s="1"/>
      <c r="J9" s="23" t="s">
        <v>13</v>
      </c>
      <c r="K9" s="25">
        <v>0.116314</v>
      </c>
      <c r="L9" s="1"/>
      <c r="M9" s="1"/>
      <c r="N9" s="17"/>
    </row>
    <row r="10" spans="2:14" ht="15" customHeight="1" x14ac:dyDescent="0.25">
      <c r="B10" s="19"/>
      <c r="C10" s="5" t="s">
        <v>22</v>
      </c>
      <c r="D10" s="6" t="s">
        <v>20</v>
      </c>
      <c r="E10" s="11">
        <v>4.2820999999999998E-2</v>
      </c>
      <c r="F10" s="1"/>
      <c r="G10" s="1"/>
      <c r="H10" s="1"/>
      <c r="I10" s="1"/>
      <c r="J10" s="23" t="s">
        <v>60</v>
      </c>
      <c r="K10" s="25">
        <v>0.21526600000000001</v>
      </c>
      <c r="L10" s="1"/>
      <c r="M10" s="1"/>
      <c r="N10" s="17"/>
    </row>
    <row r="11" spans="2:14" ht="15.75" customHeight="1" x14ac:dyDescent="0.25">
      <c r="B11" s="19"/>
      <c r="C11" s="7" t="s">
        <v>23</v>
      </c>
      <c r="D11" s="8"/>
      <c r="E11" s="12">
        <v>0.21526600000000001</v>
      </c>
      <c r="F11" s="1"/>
      <c r="G11" s="1"/>
      <c r="H11" s="1"/>
      <c r="I11" s="1"/>
      <c r="J11" s="23" t="s">
        <v>61</v>
      </c>
      <c r="K11" s="25">
        <v>0.33234900000000001</v>
      </c>
      <c r="L11" s="1"/>
      <c r="M11" s="1"/>
      <c r="N11" s="17"/>
    </row>
    <row r="12" spans="2:14" ht="15" customHeight="1" x14ac:dyDescent="0.25">
      <c r="B12" s="19"/>
      <c r="C12" s="5" t="s">
        <v>24</v>
      </c>
      <c r="D12" s="6" t="s">
        <v>20</v>
      </c>
      <c r="E12" s="11">
        <v>5.9844000000000001E-2</v>
      </c>
      <c r="F12" s="1"/>
      <c r="G12" s="1"/>
      <c r="H12" s="1"/>
      <c r="I12" s="1"/>
      <c r="J12" s="23" t="s">
        <v>62</v>
      </c>
      <c r="K12" s="25">
        <v>0.15562200000000001</v>
      </c>
      <c r="L12" s="1"/>
      <c r="M12" s="1"/>
      <c r="N12" s="17"/>
    </row>
    <row r="13" spans="2:14" ht="15" customHeight="1" x14ac:dyDescent="0.25">
      <c r="B13" s="19"/>
      <c r="C13" s="5" t="s">
        <v>123</v>
      </c>
      <c r="D13" s="6" t="s">
        <v>20</v>
      </c>
      <c r="E13" s="11">
        <v>3.6539000000000002E-2</v>
      </c>
      <c r="F13" s="1"/>
      <c r="G13" s="1"/>
      <c r="H13" s="1"/>
      <c r="I13" s="1"/>
      <c r="J13" s="23" t="s">
        <v>63</v>
      </c>
      <c r="K13" s="25">
        <v>2.3053000000000001E-2</v>
      </c>
      <c r="L13" s="1"/>
      <c r="M13" s="1"/>
      <c r="N13" s="17"/>
    </row>
    <row r="14" spans="2:14" ht="15" customHeight="1" x14ac:dyDescent="0.25">
      <c r="B14" s="19"/>
      <c r="C14" s="5" t="s">
        <v>94</v>
      </c>
      <c r="D14" s="6" t="s">
        <v>20</v>
      </c>
      <c r="E14" s="11">
        <v>1.9216E-2</v>
      </c>
      <c r="F14" s="1"/>
      <c r="G14" s="1"/>
      <c r="H14" s="1"/>
      <c r="I14" s="1"/>
      <c r="J14" s="23" t="s">
        <v>64</v>
      </c>
      <c r="K14" s="25">
        <v>1.521E-2</v>
      </c>
      <c r="L14" s="1"/>
      <c r="M14" s="1"/>
      <c r="N14" s="17"/>
    </row>
    <row r="15" spans="2:14" ht="15" customHeight="1" x14ac:dyDescent="0.25">
      <c r="B15" s="19"/>
      <c r="C15" s="5" t="s">
        <v>31</v>
      </c>
      <c r="D15" s="6" t="s">
        <v>20</v>
      </c>
      <c r="E15" s="11">
        <v>1.6837999999999999E-2</v>
      </c>
      <c r="F15" s="1"/>
      <c r="G15" s="1"/>
      <c r="H15" s="1"/>
      <c r="I15" s="1"/>
      <c r="J15" s="23" t="s">
        <v>86</v>
      </c>
      <c r="K15" s="25">
        <v>0.11378099999999999</v>
      </c>
      <c r="L15" s="1"/>
      <c r="M15" s="1"/>
      <c r="N15" s="17"/>
    </row>
    <row r="16" spans="2:14" ht="15" customHeight="1" x14ac:dyDescent="0.25">
      <c r="B16" s="19"/>
      <c r="C16" s="5" t="s">
        <v>42</v>
      </c>
      <c r="D16" s="6" t="s">
        <v>20</v>
      </c>
      <c r="E16" s="11">
        <v>1.5436E-2</v>
      </c>
      <c r="F16" s="1"/>
      <c r="G16" s="1"/>
      <c r="H16" s="1"/>
      <c r="I16" s="1"/>
      <c r="J16" s="23" t="s">
        <v>65</v>
      </c>
      <c r="K16" s="25">
        <v>1.8366E-2</v>
      </c>
      <c r="L16" s="1"/>
      <c r="M16" s="1"/>
      <c r="N16" s="17"/>
    </row>
    <row r="17" spans="2:14" ht="15" customHeight="1" x14ac:dyDescent="0.25">
      <c r="B17" s="19"/>
      <c r="C17" s="5" t="s">
        <v>88</v>
      </c>
      <c r="D17" s="6" t="s">
        <v>20</v>
      </c>
      <c r="E17" s="11">
        <v>7.7489999999999998E-3</v>
      </c>
      <c r="F17" s="1"/>
      <c r="G17" s="1"/>
      <c r="H17" s="1"/>
      <c r="I17" s="1"/>
      <c r="J17" s="23" t="s">
        <v>10</v>
      </c>
      <c r="K17" s="25">
        <v>1.0038999999999999E-2</v>
      </c>
      <c r="L17" s="1"/>
      <c r="M17" s="1"/>
      <c r="N17" s="17"/>
    </row>
    <row r="18" spans="2:14" ht="15.75" customHeight="1" x14ac:dyDescent="0.25">
      <c r="B18" s="19"/>
      <c r="C18" s="7" t="s">
        <v>26</v>
      </c>
      <c r="D18" s="8"/>
      <c r="E18" s="12">
        <v>0.15562200000000001</v>
      </c>
      <c r="F18" s="1"/>
      <c r="G18" s="1"/>
      <c r="H18" s="1"/>
      <c r="I18" s="1"/>
      <c r="J18" s="1"/>
      <c r="K18" s="1"/>
      <c r="L18" s="1"/>
      <c r="M18" s="1"/>
      <c r="N18" s="17"/>
    </row>
    <row r="19" spans="2:14" ht="15" customHeight="1" x14ac:dyDescent="0.25">
      <c r="B19" s="19"/>
      <c r="C19" s="5" t="s">
        <v>31</v>
      </c>
      <c r="D19" s="6" t="s">
        <v>27</v>
      </c>
      <c r="E19" s="11">
        <v>6.8836999999999995E-2</v>
      </c>
      <c r="F19" s="1"/>
      <c r="G19" s="1"/>
      <c r="H19" s="1"/>
      <c r="I19" s="1"/>
      <c r="J19" s="1"/>
      <c r="K19" s="1"/>
      <c r="L19" s="1"/>
      <c r="M19" s="1"/>
      <c r="N19" s="17"/>
    </row>
    <row r="20" spans="2:14" ht="15" customHeight="1" x14ac:dyDescent="0.25">
      <c r="B20" s="19"/>
      <c r="C20" s="5" t="s">
        <v>30</v>
      </c>
      <c r="D20" s="6" t="s">
        <v>27</v>
      </c>
      <c r="E20" s="11">
        <v>6.6188999999999998E-2</v>
      </c>
      <c r="F20" s="1"/>
      <c r="G20" s="1"/>
      <c r="H20" s="1"/>
      <c r="I20" s="1"/>
      <c r="J20" s="1"/>
      <c r="K20" s="1"/>
      <c r="L20" s="1"/>
      <c r="M20" s="1"/>
      <c r="N20" s="17"/>
    </row>
    <row r="21" spans="2:14" ht="15" customHeight="1" x14ac:dyDescent="0.25">
      <c r="B21" s="19"/>
      <c r="C21" s="5" t="s">
        <v>28</v>
      </c>
      <c r="D21" s="6" t="s">
        <v>27</v>
      </c>
      <c r="E21" s="11">
        <v>5.3601000000000003E-2</v>
      </c>
      <c r="F21" s="1"/>
      <c r="G21" s="1"/>
      <c r="H21" s="1"/>
      <c r="I21" s="1"/>
      <c r="J21" s="1"/>
      <c r="K21" s="1"/>
      <c r="L21" s="1"/>
      <c r="M21" s="1"/>
      <c r="N21" s="17"/>
    </row>
    <row r="22" spans="2:14" ht="15" customHeight="1" x14ac:dyDescent="0.25">
      <c r="B22" s="19"/>
      <c r="C22" s="5" t="s">
        <v>34</v>
      </c>
      <c r="D22" s="6" t="s">
        <v>27</v>
      </c>
      <c r="E22" s="11">
        <v>4.7729000000000001E-2</v>
      </c>
      <c r="F22" s="1"/>
      <c r="G22" s="1"/>
      <c r="H22" s="1"/>
      <c r="I22" s="1"/>
      <c r="J22" s="1"/>
      <c r="K22" s="1"/>
      <c r="L22" s="1"/>
      <c r="M22" s="1"/>
      <c r="N22" s="17"/>
    </row>
    <row r="23" spans="2:14" ht="15" customHeight="1" x14ac:dyDescent="0.25">
      <c r="B23" s="19"/>
      <c r="C23" s="5" t="s">
        <v>42</v>
      </c>
      <c r="D23" s="6" t="s">
        <v>27</v>
      </c>
      <c r="E23" s="11">
        <v>3.5644000000000002E-2</v>
      </c>
      <c r="F23" s="1"/>
      <c r="G23" s="1"/>
      <c r="H23" s="1"/>
      <c r="I23" s="1"/>
      <c r="J23" s="1"/>
      <c r="K23" s="1"/>
      <c r="L23" s="1"/>
      <c r="M23" s="1"/>
      <c r="N23" s="17"/>
    </row>
    <row r="24" spans="2:14" ht="15" customHeight="1" x14ac:dyDescent="0.25">
      <c r="B24" s="19"/>
      <c r="C24" s="5" t="s">
        <v>25</v>
      </c>
      <c r="D24" s="6" t="s">
        <v>27</v>
      </c>
      <c r="E24" s="11">
        <v>2.2452E-2</v>
      </c>
      <c r="F24" s="1"/>
      <c r="G24" s="1"/>
      <c r="H24" s="1"/>
      <c r="I24" s="1"/>
      <c r="J24" s="1"/>
      <c r="K24" s="1"/>
      <c r="L24" s="1"/>
      <c r="M24" s="1"/>
      <c r="N24" s="17"/>
    </row>
    <row r="25" spans="2:14" ht="15" customHeight="1" x14ac:dyDescent="0.25">
      <c r="B25" s="19"/>
      <c r="C25" s="5" t="s">
        <v>94</v>
      </c>
      <c r="D25" s="6" t="s">
        <v>27</v>
      </c>
      <c r="E25" s="11">
        <v>1.1769999999999999E-2</v>
      </c>
      <c r="F25" s="1"/>
      <c r="G25" s="1"/>
      <c r="H25" s="1"/>
      <c r="I25" s="1"/>
      <c r="J25" s="1"/>
      <c r="K25" s="1"/>
      <c r="L25" s="1"/>
      <c r="M25" s="1"/>
      <c r="N25" s="17"/>
    </row>
    <row r="26" spans="2:14" ht="15" customHeight="1" x14ac:dyDescent="0.25">
      <c r="B26" s="19"/>
      <c r="C26" s="5" t="s">
        <v>24</v>
      </c>
      <c r="D26" s="6" t="s">
        <v>27</v>
      </c>
      <c r="E26" s="11">
        <v>9.5029999999999993E-3</v>
      </c>
      <c r="F26" s="1"/>
      <c r="G26" s="40" t="s">
        <v>17</v>
      </c>
      <c r="H26" s="41"/>
      <c r="I26" s="41"/>
      <c r="J26" s="41"/>
      <c r="K26" s="41"/>
      <c r="L26" s="41"/>
      <c r="M26" s="41"/>
      <c r="N26" s="42"/>
    </row>
    <row r="27" spans="2:14" ht="15" customHeight="1" x14ac:dyDescent="0.25">
      <c r="B27" s="19"/>
      <c r="C27" s="5" t="s">
        <v>92</v>
      </c>
      <c r="D27" s="6" t="s">
        <v>27</v>
      </c>
      <c r="E27" s="11">
        <v>8.0059999999999992E-3</v>
      </c>
      <c r="F27" s="1"/>
      <c r="G27" s="1"/>
      <c r="H27" s="1"/>
      <c r="I27" s="1"/>
      <c r="J27" s="1"/>
      <c r="K27" s="1"/>
      <c r="L27" s="1"/>
      <c r="M27" s="1"/>
      <c r="N27" s="17"/>
    </row>
    <row r="28" spans="2:14" ht="15" customHeight="1" x14ac:dyDescent="0.25">
      <c r="B28" s="19"/>
      <c r="C28" s="5" t="s">
        <v>124</v>
      </c>
      <c r="D28" s="6" t="s">
        <v>27</v>
      </c>
      <c r="E28" s="11">
        <v>4.8589999999999996E-3</v>
      </c>
      <c r="F28" s="1"/>
      <c r="G28" s="1"/>
      <c r="H28" s="1"/>
      <c r="I28" s="1"/>
      <c r="J28" s="1"/>
      <c r="K28" s="1"/>
      <c r="L28" s="1"/>
      <c r="M28" s="1"/>
      <c r="N28" s="17"/>
    </row>
    <row r="29" spans="2:14" ht="15" customHeight="1" x14ac:dyDescent="0.25">
      <c r="B29" s="19"/>
      <c r="C29" s="5" t="s">
        <v>33</v>
      </c>
      <c r="D29" s="6" t="s">
        <v>27</v>
      </c>
      <c r="E29" s="11">
        <v>1.668E-3</v>
      </c>
      <c r="F29" s="1"/>
      <c r="G29" s="1"/>
      <c r="H29" s="1"/>
      <c r="I29" s="1"/>
      <c r="J29" s="1"/>
      <c r="K29" s="1"/>
      <c r="L29" s="1"/>
      <c r="M29" s="1"/>
      <c r="N29" s="17"/>
    </row>
    <row r="30" spans="2:14" ht="15" customHeight="1" x14ac:dyDescent="0.25">
      <c r="B30" s="19"/>
      <c r="C30" s="5" t="s">
        <v>88</v>
      </c>
      <c r="D30" s="6" t="s">
        <v>27</v>
      </c>
      <c r="E30" s="11">
        <v>1.5920000000000001E-3</v>
      </c>
      <c r="F30" s="1"/>
      <c r="G30" s="1"/>
      <c r="H30" s="1"/>
      <c r="I30" s="1"/>
      <c r="J30" s="1"/>
      <c r="K30" s="1"/>
      <c r="L30" s="1"/>
      <c r="M30" s="1"/>
      <c r="N30" s="17"/>
    </row>
    <row r="31" spans="2:14" ht="15" customHeight="1" x14ac:dyDescent="0.25">
      <c r="B31" s="19"/>
      <c r="C31" s="5" t="s">
        <v>29</v>
      </c>
      <c r="D31" s="6" t="s">
        <v>27</v>
      </c>
      <c r="E31" s="11">
        <v>1.8900000000000001E-4</v>
      </c>
      <c r="F31" s="1"/>
      <c r="G31" s="1"/>
      <c r="H31" s="1"/>
      <c r="I31" s="1"/>
      <c r="J31" s="1"/>
      <c r="K31" s="1"/>
      <c r="L31" s="1"/>
      <c r="M31" s="1"/>
      <c r="N31" s="17"/>
    </row>
    <row r="32" spans="2:14" ht="15" customHeight="1" x14ac:dyDescent="0.25">
      <c r="B32" s="19"/>
      <c r="C32" s="5" t="s">
        <v>98</v>
      </c>
      <c r="D32" s="6" t="s">
        <v>27</v>
      </c>
      <c r="E32" s="11">
        <v>1.63E-4</v>
      </c>
      <c r="F32" s="1"/>
      <c r="G32" s="1"/>
      <c r="H32" s="1"/>
      <c r="I32" s="1"/>
      <c r="J32" s="1"/>
      <c r="K32" s="1"/>
      <c r="L32" s="1"/>
      <c r="M32" s="1"/>
      <c r="N32" s="17"/>
    </row>
    <row r="33" spans="2:14" ht="15" customHeight="1" x14ac:dyDescent="0.25">
      <c r="B33" s="19"/>
      <c r="C33" s="5" t="s">
        <v>35</v>
      </c>
      <c r="D33" s="6" t="s">
        <v>27</v>
      </c>
      <c r="E33" s="11">
        <v>1.47E-4</v>
      </c>
      <c r="F33" s="1"/>
      <c r="G33" s="1"/>
      <c r="H33" s="1"/>
      <c r="I33" s="1"/>
      <c r="J33" s="1"/>
      <c r="K33" s="1"/>
      <c r="L33" s="1"/>
      <c r="M33" s="1"/>
      <c r="N33" s="17"/>
    </row>
    <row r="34" spans="2:14" ht="15.75" customHeight="1" x14ac:dyDescent="0.25">
      <c r="B34" s="19"/>
      <c r="C34" s="7" t="s">
        <v>45</v>
      </c>
      <c r="D34" s="8"/>
      <c r="E34" s="12">
        <v>0.33234900000000001</v>
      </c>
      <c r="F34" s="1"/>
      <c r="G34" s="1"/>
      <c r="H34" s="1"/>
      <c r="I34" s="1"/>
      <c r="J34" s="1"/>
      <c r="K34" s="1"/>
      <c r="L34" s="1"/>
      <c r="M34" s="1"/>
      <c r="N34" s="17"/>
    </row>
    <row r="35" spans="2:14" ht="15" customHeight="1" x14ac:dyDescent="0.25">
      <c r="B35" s="19"/>
      <c r="C35" s="5" t="s">
        <v>54</v>
      </c>
      <c r="D35" s="6" t="s">
        <v>47</v>
      </c>
      <c r="E35" s="11">
        <v>2.0945999999999999E-2</v>
      </c>
      <c r="F35" s="1"/>
      <c r="G35" s="1"/>
      <c r="H35" s="1"/>
      <c r="I35" s="1"/>
      <c r="J35" s="1"/>
      <c r="K35" s="1"/>
      <c r="L35" s="1"/>
      <c r="M35" s="1"/>
      <c r="N35" s="17"/>
    </row>
    <row r="36" spans="2:14" ht="15" customHeight="1" x14ac:dyDescent="0.25">
      <c r="B36" s="19"/>
      <c r="C36" s="5" t="s">
        <v>75</v>
      </c>
      <c r="D36" s="6" t="s">
        <v>47</v>
      </c>
      <c r="E36" s="11">
        <v>8.6300000000000005E-4</v>
      </c>
      <c r="F36" s="1"/>
      <c r="G36" s="1"/>
      <c r="H36" s="1"/>
      <c r="I36" s="1"/>
      <c r="J36" s="1"/>
      <c r="K36" s="1"/>
      <c r="L36" s="1"/>
      <c r="M36" s="1"/>
      <c r="N36" s="17"/>
    </row>
    <row r="37" spans="2:14" ht="15" customHeight="1" x14ac:dyDescent="0.25">
      <c r="B37" s="19"/>
      <c r="C37" s="5" t="s">
        <v>125</v>
      </c>
      <c r="D37" s="6" t="s">
        <v>47</v>
      </c>
      <c r="E37" s="11">
        <v>8.2399999999999997E-4</v>
      </c>
      <c r="F37" s="1"/>
      <c r="G37" s="1"/>
      <c r="H37" s="1"/>
      <c r="I37" s="1"/>
      <c r="J37" s="1"/>
      <c r="K37" s="1"/>
      <c r="L37" s="1"/>
      <c r="M37" s="1"/>
      <c r="N37" s="17"/>
    </row>
    <row r="38" spans="2:14" ht="15" customHeight="1" x14ac:dyDescent="0.25">
      <c r="B38" s="19"/>
      <c r="C38" s="5" t="s">
        <v>126</v>
      </c>
      <c r="D38" s="6" t="s">
        <v>47</v>
      </c>
      <c r="E38" s="11">
        <v>2.5599999999999999E-4</v>
      </c>
      <c r="F38" s="1"/>
      <c r="G38" s="1"/>
      <c r="H38" s="1"/>
      <c r="I38" s="1"/>
      <c r="J38" s="1"/>
      <c r="K38" s="1"/>
      <c r="L38" s="1"/>
      <c r="M38" s="1"/>
      <c r="N38" s="17"/>
    </row>
    <row r="39" spans="2:14" ht="15" customHeight="1" x14ac:dyDescent="0.25">
      <c r="B39" s="19"/>
      <c r="C39" s="5" t="s">
        <v>50</v>
      </c>
      <c r="D39" s="6" t="s">
        <v>47</v>
      </c>
      <c r="E39" s="11">
        <v>1.64E-4</v>
      </c>
      <c r="F39" s="1"/>
      <c r="G39" s="1"/>
      <c r="H39" s="1"/>
      <c r="I39" s="1"/>
      <c r="J39" s="1"/>
      <c r="K39" s="1"/>
      <c r="L39" s="1"/>
      <c r="M39" s="1"/>
      <c r="N39" s="17"/>
    </row>
    <row r="40" spans="2:14" ht="15.75" customHeight="1" x14ac:dyDescent="0.25">
      <c r="B40" s="19"/>
      <c r="C40" s="7" t="s">
        <v>57</v>
      </c>
      <c r="D40" s="8"/>
      <c r="E40" s="12">
        <v>2.3053000000000001E-2</v>
      </c>
      <c r="F40" s="1"/>
      <c r="G40" s="1"/>
      <c r="H40" s="1"/>
      <c r="I40" s="1"/>
      <c r="J40" s="1"/>
      <c r="K40" s="1"/>
      <c r="L40" s="1"/>
      <c r="M40" s="1"/>
      <c r="N40" s="17"/>
    </row>
    <row r="41" spans="2:14" ht="15" customHeight="1" x14ac:dyDescent="0.25">
      <c r="B41" s="19"/>
      <c r="C41" s="5" t="s">
        <v>142</v>
      </c>
      <c r="D41" s="6" t="s">
        <v>47</v>
      </c>
      <c r="E41" s="11">
        <v>5.0029999999999996E-3</v>
      </c>
      <c r="F41" s="1"/>
      <c r="G41" s="1"/>
      <c r="H41" s="1"/>
      <c r="I41" s="1"/>
      <c r="J41" s="1"/>
      <c r="K41" s="1"/>
      <c r="L41" s="1"/>
      <c r="M41" s="1"/>
      <c r="N41" s="17"/>
    </row>
    <row r="42" spans="2:14" ht="15.75" customHeight="1" x14ac:dyDescent="0.25">
      <c r="B42" s="19"/>
      <c r="C42" s="5" t="s">
        <v>143</v>
      </c>
      <c r="D42" s="6" t="s">
        <v>47</v>
      </c>
      <c r="E42" s="11">
        <v>4.9810000000000002E-3</v>
      </c>
      <c r="F42" s="1"/>
      <c r="G42" s="1"/>
      <c r="H42" s="1"/>
      <c r="I42" s="1"/>
      <c r="J42" s="1"/>
      <c r="K42" s="1"/>
      <c r="L42" s="1"/>
      <c r="M42" s="1"/>
      <c r="N42" s="17"/>
    </row>
    <row r="43" spans="2:14" ht="15" customHeight="1" x14ac:dyDescent="0.25">
      <c r="B43" s="19"/>
      <c r="C43" s="5" t="s">
        <v>144</v>
      </c>
      <c r="D43" s="6" t="s">
        <v>47</v>
      </c>
      <c r="E43" s="11">
        <v>2.5469999999999998E-3</v>
      </c>
      <c r="F43" s="1"/>
      <c r="G43" s="1"/>
      <c r="H43" s="1"/>
      <c r="I43" s="1"/>
      <c r="J43" s="1"/>
      <c r="K43" s="1"/>
      <c r="L43" s="1"/>
      <c r="M43" s="1"/>
      <c r="N43" s="17"/>
    </row>
    <row r="44" spans="2:14" ht="15" customHeight="1" x14ac:dyDescent="0.25">
      <c r="B44" s="19"/>
      <c r="C44" s="5" t="s">
        <v>145</v>
      </c>
      <c r="D44" s="6" t="s">
        <v>47</v>
      </c>
      <c r="E44" s="11">
        <v>8.43E-4</v>
      </c>
      <c r="F44" s="1"/>
      <c r="G44" s="1"/>
      <c r="H44" s="1"/>
      <c r="I44" s="1"/>
      <c r="J44" s="1"/>
      <c r="K44" s="1"/>
      <c r="L44" s="1"/>
      <c r="M44" s="1"/>
      <c r="N44" s="17"/>
    </row>
    <row r="45" spans="2:14" ht="15" customHeight="1" x14ac:dyDescent="0.25">
      <c r="B45" s="19"/>
      <c r="C45" s="5" t="s">
        <v>146</v>
      </c>
      <c r="D45" s="6" t="s">
        <v>47</v>
      </c>
      <c r="E45" s="11">
        <v>7.5900000000000002E-4</v>
      </c>
      <c r="F45" s="1"/>
      <c r="G45" s="1"/>
      <c r="H45" s="1"/>
      <c r="I45" s="1"/>
      <c r="J45" s="1"/>
      <c r="K45" s="1"/>
      <c r="L45" s="1"/>
      <c r="M45" s="1"/>
      <c r="N45" s="17"/>
    </row>
    <row r="46" spans="2:14" ht="15" customHeight="1" x14ac:dyDescent="0.25">
      <c r="B46" s="19"/>
      <c r="C46" s="5" t="s">
        <v>147</v>
      </c>
      <c r="D46" s="6" t="s">
        <v>47</v>
      </c>
      <c r="E46" s="11">
        <v>4.4700000000000002E-4</v>
      </c>
      <c r="F46" s="1"/>
      <c r="G46" s="1"/>
      <c r="H46" s="1"/>
      <c r="I46" s="1"/>
      <c r="J46" s="1"/>
      <c r="K46" s="1"/>
      <c r="L46" s="1"/>
      <c r="M46" s="1"/>
      <c r="N46" s="17"/>
    </row>
    <row r="47" spans="2:14" ht="15.75" customHeight="1" x14ac:dyDescent="0.25">
      <c r="B47" s="19"/>
      <c r="C47" s="5" t="s">
        <v>141</v>
      </c>
      <c r="D47" s="6" t="s">
        <v>47</v>
      </c>
      <c r="E47" s="11">
        <v>2.2499999999999999E-4</v>
      </c>
      <c r="F47" s="1"/>
      <c r="G47" s="1"/>
      <c r="H47" s="1"/>
      <c r="I47" s="1"/>
      <c r="J47" s="1"/>
      <c r="K47" s="1"/>
      <c r="L47" s="1"/>
      <c r="M47" s="1"/>
      <c r="N47" s="17"/>
    </row>
    <row r="48" spans="2:14" ht="15" customHeight="1" x14ac:dyDescent="0.25">
      <c r="B48" s="19"/>
      <c r="C48" s="5" t="s">
        <v>148</v>
      </c>
      <c r="D48" s="6" t="s">
        <v>47</v>
      </c>
      <c r="E48" s="11">
        <v>1.63E-4</v>
      </c>
      <c r="F48" s="1"/>
      <c r="G48" s="1"/>
      <c r="H48" s="1"/>
      <c r="I48" s="1"/>
      <c r="J48" s="1"/>
      <c r="K48" s="1"/>
      <c r="L48" s="1"/>
      <c r="M48" s="1"/>
      <c r="N48" s="17"/>
    </row>
    <row r="49" spans="2:14" ht="15.75" customHeight="1" x14ac:dyDescent="0.25">
      <c r="B49" s="19"/>
      <c r="C49" s="5" t="s">
        <v>149</v>
      </c>
      <c r="D49" s="6" t="s">
        <v>47</v>
      </c>
      <c r="E49" s="11">
        <v>8.2000000000000001E-5</v>
      </c>
      <c r="F49" s="1"/>
      <c r="G49" s="1"/>
      <c r="H49" s="1"/>
      <c r="I49" s="1"/>
      <c r="J49" s="1"/>
      <c r="K49" s="1"/>
      <c r="L49" s="1"/>
      <c r="M49" s="1"/>
      <c r="N49" s="17"/>
    </row>
    <row r="50" spans="2:14" ht="15" customHeight="1" x14ac:dyDescent="0.25">
      <c r="B50" s="19"/>
      <c r="C50" s="5" t="s">
        <v>150</v>
      </c>
      <c r="D50" s="6" t="s">
        <v>47</v>
      </c>
      <c r="E50" s="11">
        <v>8.0000000000000007E-5</v>
      </c>
      <c r="F50" s="1"/>
      <c r="G50" s="1"/>
      <c r="H50" s="1"/>
      <c r="I50" s="1"/>
      <c r="J50" s="1"/>
      <c r="K50" s="1"/>
      <c r="L50" s="1"/>
      <c r="M50" s="1"/>
      <c r="N50" s="17"/>
    </row>
    <row r="51" spans="2:14" ht="15" customHeight="1" x14ac:dyDescent="0.25">
      <c r="B51" s="19"/>
      <c r="C51" s="5" t="s">
        <v>151</v>
      </c>
      <c r="D51" s="6" t="s">
        <v>47</v>
      </c>
      <c r="E51" s="11">
        <v>8.0000000000000007E-5</v>
      </c>
      <c r="F51" s="1"/>
      <c r="G51" s="1"/>
      <c r="H51" s="1"/>
      <c r="I51" s="1"/>
      <c r="J51" s="1"/>
      <c r="K51" s="1"/>
      <c r="L51" s="1"/>
      <c r="M51" s="1"/>
      <c r="N51" s="17"/>
    </row>
    <row r="52" spans="2:14" ht="15" customHeight="1" x14ac:dyDescent="0.25">
      <c r="B52" s="19"/>
      <c r="C52" s="7" t="s">
        <v>58</v>
      </c>
      <c r="D52" s="8"/>
      <c r="E52" s="12">
        <v>1.521E-2</v>
      </c>
      <c r="F52" s="1"/>
      <c r="G52" s="1"/>
      <c r="H52" s="1"/>
      <c r="I52" s="1"/>
      <c r="J52" s="1"/>
      <c r="K52" s="1"/>
      <c r="L52" s="1"/>
      <c r="M52" s="1"/>
      <c r="N52" s="17"/>
    </row>
    <row r="53" spans="2:14" ht="15.75" customHeight="1" x14ac:dyDescent="0.25">
      <c r="B53" s="19"/>
      <c r="C53" s="5" t="s">
        <v>81</v>
      </c>
      <c r="D53" s="6" t="s">
        <v>47</v>
      </c>
      <c r="E53" s="11">
        <v>5.1840999999999998E-2</v>
      </c>
      <c r="F53" s="1"/>
      <c r="G53" s="1"/>
      <c r="H53" s="1"/>
      <c r="I53" s="1"/>
      <c r="J53" s="1"/>
      <c r="K53" s="1"/>
      <c r="L53" s="1"/>
      <c r="M53" s="1"/>
      <c r="N53" s="17"/>
    </row>
    <row r="54" spans="2:14" ht="15" customHeight="1" x14ac:dyDescent="0.25">
      <c r="B54" s="19"/>
      <c r="C54" s="5" t="s">
        <v>89</v>
      </c>
      <c r="D54" s="6" t="s">
        <v>47</v>
      </c>
      <c r="E54" s="11">
        <v>2.6675000000000001E-2</v>
      </c>
      <c r="F54" s="1"/>
      <c r="G54" s="1"/>
      <c r="H54" s="1"/>
      <c r="I54" s="1"/>
      <c r="J54" s="1"/>
      <c r="K54" s="1"/>
      <c r="L54" s="1"/>
      <c r="M54" s="1"/>
      <c r="N54" s="17"/>
    </row>
    <row r="55" spans="2:14" ht="15.75" customHeight="1" x14ac:dyDescent="0.25">
      <c r="B55" s="19"/>
      <c r="C55" s="5" t="s">
        <v>78</v>
      </c>
      <c r="D55" s="6" t="s">
        <v>47</v>
      </c>
      <c r="E55" s="11">
        <v>1.9602000000000001E-2</v>
      </c>
      <c r="F55" s="1"/>
      <c r="G55" s="1"/>
      <c r="H55" s="1"/>
      <c r="I55" s="1"/>
      <c r="J55" s="1"/>
      <c r="K55" s="1"/>
      <c r="L55" s="1"/>
      <c r="M55" s="1"/>
      <c r="N55" s="17"/>
    </row>
    <row r="56" spans="2:14" ht="15" customHeight="1" x14ac:dyDescent="0.25">
      <c r="B56" s="19"/>
      <c r="C56" s="5" t="s">
        <v>82</v>
      </c>
      <c r="D56" s="6" t="s">
        <v>47</v>
      </c>
      <c r="E56" s="11">
        <v>1.5663E-2</v>
      </c>
      <c r="F56" s="1"/>
      <c r="G56" s="1"/>
      <c r="H56" s="1"/>
      <c r="I56" s="1"/>
      <c r="J56" s="1"/>
      <c r="K56" s="1"/>
      <c r="L56" s="1"/>
      <c r="M56" s="1"/>
      <c r="N56" s="17"/>
    </row>
    <row r="57" spans="2:14" ht="15" customHeight="1" x14ac:dyDescent="0.25">
      <c r="B57" s="19"/>
      <c r="C57" s="7" t="s">
        <v>84</v>
      </c>
      <c r="D57" s="8"/>
      <c r="E57" s="12">
        <v>0.11378099999999999</v>
      </c>
      <c r="F57" s="1"/>
      <c r="G57" s="1"/>
      <c r="H57" s="1"/>
      <c r="I57" s="1"/>
      <c r="J57" s="1"/>
      <c r="K57" s="1"/>
      <c r="L57" s="1"/>
      <c r="M57" s="1"/>
      <c r="N57" s="17"/>
    </row>
    <row r="58" spans="2:14" ht="15" customHeight="1" x14ac:dyDescent="0.25">
      <c r="B58" s="19"/>
      <c r="C58" s="5" t="s">
        <v>8</v>
      </c>
      <c r="D58" s="6"/>
      <c r="E58" s="11">
        <v>0.116314</v>
      </c>
      <c r="F58" s="1"/>
      <c r="G58" s="1"/>
      <c r="H58" s="1"/>
      <c r="I58" s="1"/>
      <c r="J58" s="1"/>
      <c r="K58" s="1"/>
      <c r="L58" s="1"/>
      <c r="M58" s="1"/>
      <c r="N58" s="17"/>
    </row>
    <row r="59" spans="2:14" ht="15" customHeight="1" x14ac:dyDescent="0.25">
      <c r="B59" s="19"/>
      <c r="C59" s="7" t="s">
        <v>9</v>
      </c>
      <c r="D59" s="8"/>
      <c r="E59" s="12">
        <v>0.116314</v>
      </c>
      <c r="F59" s="1"/>
      <c r="G59" s="1"/>
      <c r="H59" s="1"/>
      <c r="I59" s="1"/>
      <c r="J59" s="1"/>
      <c r="K59" s="1"/>
      <c r="L59" s="1"/>
      <c r="M59" s="1"/>
      <c r="N59" s="17"/>
    </row>
    <row r="60" spans="2:14" ht="15" customHeight="1" x14ac:dyDescent="0.25">
      <c r="B60" s="19"/>
      <c r="C60" s="5" t="s">
        <v>34</v>
      </c>
      <c r="D60" s="6" t="s">
        <v>27</v>
      </c>
      <c r="E60" s="11">
        <v>1.6064999999999999E-2</v>
      </c>
      <c r="F60" s="1"/>
      <c r="G60" s="1"/>
      <c r="H60" s="1"/>
      <c r="I60" s="1"/>
      <c r="J60" s="1"/>
      <c r="K60" s="1"/>
      <c r="L60" s="1"/>
      <c r="M60" s="1"/>
      <c r="N60" s="17"/>
    </row>
    <row r="61" spans="2:14" ht="15" customHeight="1" x14ac:dyDescent="0.25">
      <c r="B61" s="19"/>
      <c r="C61" s="5" t="s">
        <v>94</v>
      </c>
      <c r="D61" s="6" t="s">
        <v>27</v>
      </c>
      <c r="E61" s="11">
        <v>1.555E-3</v>
      </c>
      <c r="F61" s="1"/>
      <c r="G61" s="1"/>
      <c r="H61" s="1"/>
      <c r="I61" s="1"/>
      <c r="J61" s="1"/>
      <c r="K61" s="1"/>
      <c r="L61" s="1"/>
      <c r="M61" s="1"/>
      <c r="N61" s="17"/>
    </row>
    <row r="62" spans="2:14" ht="15" customHeight="1" x14ac:dyDescent="0.25">
      <c r="B62" s="19"/>
      <c r="C62" s="5" t="s">
        <v>127</v>
      </c>
      <c r="D62" s="6" t="s">
        <v>27</v>
      </c>
      <c r="E62" s="11">
        <v>7.4600000000000003E-4</v>
      </c>
      <c r="F62" s="1"/>
      <c r="G62" s="1"/>
      <c r="H62" s="1"/>
      <c r="I62" s="1"/>
      <c r="J62" s="1"/>
      <c r="K62" s="1"/>
      <c r="L62" s="1"/>
      <c r="M62" s="1"/>
      <c r="N62" s="17"/>
    </row>
    <row r="63" spans="2:14" ht="15" customHeight="1" x14ac:dyDescent="0.25">
      <c r="B63" s="19"/>
      <c r="C63" s="7" t="s">
        <v>59</v>
      </c>
      <c r="D63" s="8"/>
      <c r="E63" s="12">
        <v>1.8366E-2</v>
      </c>
      <c r="F63" s="1"/>
      <c r="G63" s="1"/>
      <c r="H63" s="1"/>
      <c r="I63" s="1"/>
      <c r="J63" s="1"/>
      <c r="K63" s="1"/>
      <c r="L63" s="1"/>
      <c r="M63" s="1"/>
      <c r="N63" s="17"/>
    </row>
    <row r="64" spans="2:14" ht="15" customHeight="1" x14ac:dyDescent="0.25">
      <c r="B64" s="19"/>
      <c r="C64" s="5"/>
      <c r="D64" s="6"/>
      <c r="E64" s="11"/>
      <c r="F64" s="1"/>
      <c r="G64" s="1"/>
      <c r="H64" s="1"/>
      <c r="I64" s="1"/>
      <c r="J64" s="1"/>
      <c r="K64" s="1"/>
      <c r="L64" s="1"/>
      <c r="M64" s="1"/>
      <c r="N64" s="17"/>
    </row>
    <row r="65" spans="2:14" ht="15" customHeight="1" x14ac:dyDescent="0.25">
      <c r="B65" s="19"/>
      <c r="C65" s="7" t="s">
        <v>10</v>
      </c>
      <c r="D65" s="8"/>
      <c r="E65" s="12">
        <v>1.0038999999999999E-2</v>
      </c>
      <c r="F65" s="1"/>
      <c r="G65" s="1"/>
      <c r="H65" s="1"/>
      <c r="I65" s="1"/>
      <c r="J65" s="1"/>
      <c r="K65" s="1"/>
      <c r="L65" s="1"/>
      <c r="M65" s="1"/>
      <c r="N65" s="17"/>
    </row>
    <row r="66" spans="2:14" ht="15" customHeight="1" x14ac:dyDescent="0.25">
      <c r="B66" s="19"/>
      <c r="C66" s="5"/>
      <c r="D66" s="6"/>
      <c r="E66" s="11"/>
      <c r="F66" s="1"/>
      <c r="G66" s="1"/>
      <c r="H66" s="1"/>
      <c r="I66" s="1"/>
      <c r="J66" s="1"/>
      <c r="K66" s="1"/>
      <c r="L66" s="1"/>
      <c r="M66" s="1"/>
      <c r="N66" s="17"/>
    </row>
    <row r="67" spans="2:14" ht="15" customHeight="1" x14ac:dyDescent="0.25">
      <c r="B67" s="19"/>
      <c r="C67" s="9" t="s">
        <v>11</v>
      </c>
      <c r="D67" s="10"/>
      <c r="E67" s="13">
        <v>1</v>
      </c>
      <c r="F67" s="1"/>
      <c r="G67" s="1"/>
      <c r="H67" s="1"/>
      <c r="I67" s="1"/>
      <c r="J67" s="1"/>
      <c r="K67" s="1"/>
      <c r="L67" s="1"/>
      <c r="M67" s="1"/>
      <c r="N67" s="17"/>
    </row>
    <row r="68" spans="2:14" ht="15" customHeight="1" x14ac:dyDescent="0.25">
      <c r="B68" s="19"/>
      <c r="C68" s="1"/>
      <c r="D68" s="1"/>
      <c r="E68" s="1"/>
      <c r="F68" s="1"/>
      <c r="G68" s="1"/>
      <c r="H68" s="1"/>
      <c r="I68" s="1"/>
      <c r="J68" s="1"/>
      <c r="K68" s="1"/>
      <c r="L68" s="1"/>
      <c r="M68" s="1"/>
      <c r="N68" s="17"/>
    </row>
    <row r="69" spans="2:14" ht="15" customHeight="1" x14ac:dyDescent="0.25">
      <c r="B69" s="19"/>
      <c r="C69" s="1"/>
      <c r="D69" s="1"/>
      <c r="E69" s="1"/>
      <c r="F69" s="1"/>
      <c r="G69" s="1"/>
      <c r="H69" s="1"/>
      <c r="I69" s="1"/>
      <c r="J69" s="1"/>
      <c r="K69" s="1"/>
      <c r="L69" s="1"/>
      <c r="M69" s="1"/>
      <c r="N69" s="17"/>
    </row>
    <row r="70" spans="2:14" ht="15" customHeight="1" thickBot="1" x14ac:dyDescent="0.3">
      <c r="B70" s="20"/>
      <c r="C70" s="21"/>
      <c r="D70" s="21"/>
      <c r="E70" s="21"/>
      <c r="F70" s="21"/>
      <c r="G70" s="21"/>
      <c r="H70" s="21"/>
      <c r="I70" s="21"/>
      <c r="J70" s="21"/>
      <c r="K70" s="21"/>
      <c r="L70" s="21"/>
      <c r="M70" s="21"/>
      <c r="N70" s="22"/>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2:E51">
    <sortCondition descending="1" ref="E41"/>
  </sortState>
  <mergeCells count="4">
    <mergeCell ref="C3:N3"/>
    <mergeCell ref="D5:E5"/>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6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128</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21</v>
      </c>
      <c r="D8" s="6" t="s">
        <v>20</v>
      </c>
      <c r="E8" s="11">
        <v>0.10557900000000001</v>
      </c>
      <c r="F8" s="1"/>
      <c r="G8" s="23" t="s">
        <v>15</v>
      </c>
      <c r="H8" s="24">
        <v>1</v>
      </c>
      <c r="I8" s="1"/>
      <c r="J8" s="23" t="s">
        <v>12</v>
      </c>
      <c r="K8" s="23" t="s">
        <v>3</v>
      </c>
      <c r="L8" s="1"/>
      <c r="M8" s="1"/>
      <c r="N8" s="17"/>
    </row>
    <row r="9" spans="2:14" ht="15" customHeight="1" x14ac:dyDescent="0.25">
      <c r="B9" s="19"/>
      <c r="C9" s="5" t="s">
        <v>19</v>
      </c>
      <c r="D9" s="6" t="s">
        <v>20</v>
      </c>
      <c r="E9" s="11">
        <v>5.6753999999999999E-2</v>
      </c>
      <c r="F9" s="1"/>
      <c r="G9" s="1"/>
      <c r="H9" s="1"/>
      <c r="I9" s="1"/>
      <c r="J9" s="23" t="s">
        <v>13</v>
      </c>
      <c r="K9" s="25">
        <v>0.155058</v>
      </c>
      <c r="L9" s="1"/>
      <c r="M9" s="1"/>
      <c r="N9" s="17"/>
    </row>
    <row r="10" spans="2:14" ht="15" customHeight="1" x14ac:dyDescent="0.25">
      <c r="B10" s="19"/>
      <c r="C10" s="5" t="s">
        <v>24</v>
      </c>
      <c r="D10" s="6" t="s">
        <v>20</v>
      </c>
      <c r="E10" s="11">
        <v>5.0989E-2</v>
      </c>
      <c r="F10" s="1"/>
      <c r="G10" s="1"/>
      <c r="H10" s="1"/>
      <c r="I10" s="1"/>
      <c r="J10" s="23" t="s">
        <v>60</v>
      </c>
      <c r="K10" s="25">
        <v>0.229713</v>
      </c>
      <c r="L10" s="1"/>
      <c r="M10" s="1"/>
      <c r="N10" s="17"/>
    </row>
    <row r="11" spans="2:14" ht="15" customHeight="1" x14ac:dyDescent="0.25">
      <c r="B11" s="19"/>
      <c r="C11" s="5" t="s">
        <v>22</v>
      </c>
      <c r="D11" s="6" t="s">
        <v>20</v>
      </c>
      <c r="E11" s="11">
        <v>1.6390999999999999E-2</v>
      </c>
      <c r="F11" s="1"/>
      <c r="G11" s="1"/>
      <c r="H11" s="1"/>
      <c r="I11" s="1"/>
      <c r="J11" s="23" t="s">
        <v>62</v>
      </c>
      <c r="K11" s="25">
        <v>0.48282700000000001</v>
      </c>
      <c r="L11" s="1"/>
      <c r="M11" s="1"/>
      <c r="N11" s="17"/>
    </row>
    <row r="12" spans="2:14" ht="15.75" customHeight="1" x14ac:dyDescent="0.25">
      <c r="B12" s="19"/>
      <c r="C12" s="7" t="s">
        <v>23</v>
      </c>
      <c r="D12" s="8"/>
      <c r="E12" s="12">
        <v>0.229713</v>
      </c>
      <c r="F12" s="1"/>
      <c r="G12" s="1"/>
      <c r="H12" s="1"/>
      <c r="I12" s="1"/>
      <c r="J12" s="23" t="s">
        <v>63</v>
      </c>
      <c r="K12" s="25">
        <v>6.8199999999999999E-4</v>
      </c>
      <c r="L12" s="1"/>
      <c r="M12" s="1"/>
      <c r="N12" s="17"/>
    </row>
    <row r="13" spans="2:14" ht="15" customHeight="1" x14ac:dyDescent="0.25">
      <c r="B13" s="19"/>
      <c r="C13" s="5" t="s">
        <v>34</v>
      </c>
      <c r="D13" s="6" t="s">
        <v>20</v>
      </c>
      <c r="E13" s="11">
        <v>9.1276999999999997E-2</v>
      </c>
      <c r="F13" s="1"/>
      <c r="G13" s="1"/>
      <c r="H13" s="1"/>
      <c r="I13" s="1"/>
      <c r="J13" s="23" t="s">
        <v>64</v>
      </c>
      <c r="K13" s="25">
        <v>4.3104999999999997E-2</v>
      </c>
      <c r="L13" s="1"/>
      <c r="M13" s="1"/>
      <c r="N13" s="17"/>
    </row>
    <row r="14" spans="2:14" ht="15" customHeight="1" x14ac:dyDescent="0.25">
      <c r="B14" s="19"/>
      <c r="C14" s="5" t="s">
        <v>124</v>
      </c>
      <c r="D14" s="6" t="s">
        <v>20</v>
      </c>
      <c r="E14" s="11">
        <v>6.7736000000000005E-2</v>
      </c>
      <c r="F14" s="1"/>
      <c r="G14" s="1"/>
      <c r="H14" s="1"/>
      <c r="I14" s="1"/>
      <c r="J14" s="23" t="s">
        <v>86</v>
      </c>
      <c r="K14" s="25">
        <v>0.111743</v>
      </c>
      <c r="L14" s="1"/>
      <c r="M14" s="1"/>
      <c r="N14" s="17"/>
    </row>
    <row r="15" spans="2:14" ht="15" customHeight="1" x14ac:dyDescent="0.25">
      <c r="B15" s="19"/>
      <c r="C15" s="5" t="s">
        <v>31</v>
      </c>
      <c r="D15" s="6" t="s">
        <v>20</v>
      </c>
      <c r="E15" s="11">
        <v>6.3183000000000003E-2</v>
      </c>
      <c r="F15" s="1"/>
      <c r="G15" s="1"/>
      <c r="H15" s="1"/>
      <c r="I15" s="1"/>
      <c r="J15" s="23" t="s">
        <v>10</v>
      </c>
      <c r="K15" s="25">
        <v>-2.3127999999999999E-2</v>
      </c>
      <c r="L15" s="1"/>
      <c r="M15" s="1"/>
      <c r="N15" s="17"/>
    </row>
    <row r="16" spans="2:14" ht="15" customHeight="1" x14ac:dyDescent="0.25">
      <c r="B16" s="19"/>
      <c r="C16" s="5" t="s">
        <v>24</v>
      </c>
      <c r="D16" s="6" t="s">
        <v>20</v>
      </c>
      <c r="E16" s="11">
        <v>5.8533000000000002E-2</v>
      </c>
      <c r="F16" s="1"/>
      <c r="G16" s="1"/>
      <c r="H16" s="1"/>
      <c r="I16" s="1"/>
      <c r="J16" s="1"/>
      <c r="K16" s="1"/>
      <c r="L16" s="1"/>
      <c r="M16" s="1"/>
      <c r="N16" s="17"/>
    </row>
    <row r="17" spans="2:14" ht="15" customHeight="1" x14ac:dyDescent="0.25">
      <c r="B17" s="19"/>
      <c r="C17" s="5" t="s">
        <v>123</v>
      </c>
      <c r="D17" s="6" t="s">
        <v>20</v>
      </c>
      <c r="E17" s="11">
        <v>5.2687999999999999E-2</v>
      </c>
      <c r="F17" s="1"/>
      <c r="G17" s="1"/>
      <c r="H17" s="1"/>
      <c r="I17" s="1"/>
      <c r="J17" s="1"/>
      <c r="K17" s="1"/>
      <c r="L17" s="1"/>
      <c r="M17" s="1"/>
      <c r="N17" s="17"/>
    </row>
    <row r="18" spans="2:14" ht="15" customHeight="1" x14ac:dyDescent="0.25">
      <c r="B18" s="19"/>
      <c r="C18" s="5" t="s">
        <v>25</v>
      </c>
      <c r="D18" s="6" t="s">
        <v>20</v>
      </c>
      <c r="E18" s="11">
        <v>4.5569999999999999E-2</v>
      </c>
      <c r="F18" s="1"/>
      <c r="G18" s="1"/>
      <c r="H18" s="1"/>
      <c r="I18" s="1"/>
      <c r="J18" s="1"/>
      <c r="K18" s="1"/>
      <c r="L18" s="1"/>
      <c r="M18" s="1"/>
      <c r="N18" s="17"/>
    </row>
    <row r="19" spans="2:14" ht="15" customHeight="1" x14ac:dyDescent="0.25">
      <c r="B19" s="19"/>
      <c r="C19" s="5" t="s">
        <v>94</v>
      </c>
      <c r="D19" s="6" t="s">
        <v>20</v>
      </c>
      <c r="E19" s="11">
        <v>3.6651000000000003E-2</v>
      </c>
      <c r="F19" s="1"/>
      <c r="G19" s="1"/>
      <c r="H19" s="1"/>
      <c r="I19" s="1"/>
      <c r="J19" s="1"/>
      <c r="K19" s="1"/>
      <c r="L19" s="1"/>
      <c r="M19" s="1"/>
      <c r="N19" s="17"/>
    </row>
    <row r="20" spans="2:14" ht="15" customHeight="1" x14ac:dyDescent="0.25">
      <c r="B20" s="19"/>
      <c r="C20" s="5" t="s">
        <v>95</v>
      </c>
      <c r="D20" s="6" t="s">
        <v>20</v>
      </c>
      <c r="E20" s="11">
        <v>3.3853000000000001E-2</v>
      </c>
      <c r="F20" s="1"/>
      <c r="G20" s="1"/>
      <c r="H20" s="1"/>
      <c r="I20" s="1"/>
      <c r="J20" s="1"/>
      <c r="K20" s="1"/>
      <c r="L20" s="1"/>
      <c r="M20" s="1"/>
      <c r="N20" s="17"/>
    </row>
    <row r="21" spans="2:14" ht="15" customHeight="1" x14ac:dyDescent="0.25">
      <c r="B21" s="19"/>
      <c r="C21" s="5" t="s">
        <v>42</v>
      </c>
      <c r="D21" s="6" t="s">
        <v>20</v>
      </c>
      <c r="E21" s="11">
        <v>3.3335999999999998E-2</v>
      </c>
      <c r="F21" s="1"/>
      <c r="G21" s="1"/>
      <c r="H21" s="1"/>
      <c r="I21" s="1"/>
      <c r="J21" s="1"/>
      <c r="K21" s="1"/>
      <c r="L21" s="1"/>
      <c r="M21" s="1"/>
      <c r="N21" s="17"/>
    </row>
    <row r="22" spans="2:14" ht="15.75" customHeight="1" x14ac:dyDescent="0.25">
      <c r="B22" s="19"/>
      <c r="C22" s="7" t="s">
        <v>26</v>
      </c>
      <c r="D22" s="8"/>
      <c r="E22" s="12">
        <v>0.48282700000000001</v>
      </c>
      <c r="F22" s="1"/>
      <c r="G22" s="1"/>
      <c r="H22" s="1"/>
      <c r="I22" s="1"/>
      <c r="J22" s="1"/>
      <c r="K22" s="1"/>
      <c r="L22" s="1"/>
      <c r="M22" s="1"/>
      <c r="N22" s="17"/>
    </row>
    <row r="23" spans="2:14" ht="15" customHeight="1" x14ac:dyDescent="0.25">
      <c r="B23" s="19"/>
      <c r="C23" s="5" t="s">
        <v>56</v>
      </c>
      <c r="D23" s="6" t="s">
        <v>47</v>
      </c>
      <c r="E23" s="11">
        <v>6.8199999999999999E-4</v>
      </c>
      <c r="F23" s="1"/>
      <c r="G23" s="1"/>
      <c r="H23" s="1"/>
      <c r="I23" s="1"/>
      <c r="J23" s="1"/>
      <c r="K23" s="1"/>
      <c r="L23" s="1"/>
      <c r="M23" s="1"/>
      <c r="N23" s="17"/>
    </row>
    <row r="24" spans="2:14" ht="15.75" customHeight="1" x14ac:dyDescent="0.25">
      <c r="B24" s="19"/>
      <c r="C24" s="7" t="s">
        <v>57</v>
      </c>
      <c r="D24" s="8"/>
      <c r="E24" s="12">
        <v>6.8199999999999999E-4</v>
      </c>
      <c r="F24" s="1"/>
      <c r="G24" s="1"/>
      <c r="H24" s="1"/>
      <c r="I24" s="1"/>
      <c r="J24" s="1"/>
      <c r="K24" s="1"/>
      <c r="L24" s="1"/>
      <c r="M24" s="1"/>
      <c r="N24" s="17"/>
    </row>
    <row r="25" spans="2:14" ht="15" customHeight="1" x14ac:dyDescent="0.25">
      <c r="B25" s="19"/>
      <c r="C25" s="5" t="s">
        <v>152</v>
      </c>
      <c r="D25" s="6" t="s">
        <v>47</v>
      </c>
      <c r="E25" s="11">
        <v>1.7250000000000001E-2</v>
      </c>
      <c r="F25" s="1"/>
      <c r="G25" s="1"/>
      <c r="H25" s="1"/>
      <c r="I25" s="1"/>
      <c r="J25" s="1"/>
      <c r="K25" s="1"/>
      <c r="L25" s="1"/>
      <c r="M25" s="1"/>
      <c r="N25" s="17"/>
    </row>
    <row r="26" spans="2:14" ht="15.75" customHeight="1" x14ac:dyDescent="0.25">
      <c r="B26" s="19"/>
      <c r="C26" s="5" t="s">
        <v>153</v>
      </c>
      <c r="D26" s="6" t="s">
        <v>47</v>
      </c>
      <c r="E26" s="11">
        <v>1.6997000000000002E-2</v>
      </c>
      <c r="F26" s="1"/>
      <c r="G26" s="40" t="s">
        <v>17</v>
      </c>
      <c r="H26" s="41"/>
      <c r="I26" s="41"/>
      <c r="J26" s="41"/>
      <c r="K26" s="41"/>
      <c r="L26" s="41"/>
      <c r="M26" s="41"/>
      <c r="N26" s="42"/>
    </row>
    <row r="27" spans="2:14" ht="15" customHeight="1" x14ac:dyDescent="0.25">
      <c r="B27" s="19"/>
      <c r="C27" s="5" t="s">
        <v>154</v>
      </c>
      <c r="D27" s="6" t="s">
        <v>47</v>
      </c>
      <c r="E27" s="11">
        <v>5.0959999999999998E-3</v>
      </c>
      <c r="F27" s="1"/>
      <c r="G27" s="1"/>
      <c r="H27" s="1"/>
      <c r="I27" s="1"/>
      <c r="J27" s="1"/>
      <c r="K27" s="1"/>
      <c r="L27" s="1"/>
      <c r="M27" s="1"/>
      <c r="N27" s="17"/>
    </row>
    <row r="28" spans="2:14" ht="15" customHeight="1" x14ac:dyDescent="0.25">
      <c r="B28" s="19"/>
      <c r="C28" s="5" t="s">
        <v>155</v>
      </c>
      <c r="D28" s="6" t="s">
        <v>47</v>
      </c>
      <c r="E28" s="11">
        <v>1.699E-3</v>
      </c>
      <c r="F28" s="1"/>
      <c r="G28" s="1"/>
      <c r="H28" s="1"/>
      <c r="I28" s="1"/>
      <c r="J28" s="1"/>
      <c r="K28" s="1"/>
      <c r="L28" s="1"/>
      <c r="M28" s="1"/>
      <c r="N28" s="17"/>
    </row>
    <row r="29" spans="2:14" ht="15" customHeight="1" x14ac:dyDescent="0.25">
      <c r="B29" s="19"/>
      <c r="C29" s="5" t="s">
        <v>156</v>
      </c>
      <c r="D29" s="6" t="s">
        <v>47</v>
      </c>
      <c r="E29" s="11">
        <v>1.699E-3</v>
      </c>
      <c r="F29" s="1"/>
      <c r="G29" s="1"/>
      <c r="H29" s="1"/>
      <c r="I29" s="1"/>
      <c r="J29" s="1"/>
      <c r="K29" s="1"/>
      <c r="L29" s="1"/>
      <c r="M29" s="1"/>
      <c r="N29" s="17"/>
    </row>
    <row r="30" spans="2:14" ht="15" customHeight="1" x14ac:dyDescent="0.25">
      <c r="B30" s="19"/>
      <c r="C30" s="5" t="s">
        <v>157</v>
      </c>
      <c r="D30" s="6" t="s">
        <v>47</v>
      </c>
      <c r="E30" s="11">
        <v>3.6400000000000001E-4</v>
      </c>
      <c r="F30" s="1"/>
      <c r="G30" s="1"/>
      <c r="H30" s="1"/>
      <c r="I30" s="1"/>
      <c r="J30" s="1"/>
      <c r="K30" s="1"/>
      <c r="L30" s="1"/>
      <c r="M30" s="1"/>
      <c r="N30" s="17"/>
    </row>
    <row r="31" spans="2:14" ht="15" customHeight="1" x14ac:dyDescent="0.25">
      <c r="B31" s="19"/>
      <c r="C31" s="7" t="s">
        <v>58</v>
      </c>
      <c r="D31" s="8"/>
      <c r="E31" s="12">
        <v>4.3104999999999997E-2</v>
      </c>
      <c r="F31" s="1"/>
      <c r="G31" s="1"/>
      <c r="H31" s="1"/>
      <c r="I31" s="1"/>
      <c r="J31" s="1"/>
      <c r="K31" s="1"/>
      <c r="L31" s="1"/>
      <c r="M31" s="1"/>
      <c r="N31" s="17"/>
    </row>
    <row r="32" spans="2:14" ht="15.75" customHeight="1" x14ac:dyDescent="0.25">
      <c r="B32" s="19"/>
      <c r="C32" s="5" t="s">
        <v>89</v>
      </c>
      <c r="D32" s="6" t="s">
        <v>47</v>
      </c>
      <c r="E32" s="11">
        <v>2.8804E-2</v>
      </c>
      <c r="F32" s="1"/>
      <c r="G32" s="1"/>
      <c r="H32" s="1"/>
      <c r="I32" s="1"/>
      <c r="J32" s="1"/>
      <c r="K32" s="1"/>
      <c r="L32" s="1"/>
      <c r="M32" s="1"/>
      <c r="N32" s="17"/>
    </row>
    <row r="33" spans="2:14" ht="15" customHeight="1" x14ac:dyDescent="0.25">
      <c r="B33" s="19"/>
      <c r="C33" s="5" t="s">
        <v>78</v>
      </c>
      <c r="D33" s="6" t="s">
        <v>47</v>
      </c>
      <c r="E33" s="11">
        <v>2.5399999999999999E-2</v>
      </c>
      <c r="F33" s="1"/>
      <c r="G33" s="1"/>
      <c r="H33" s="1"/>
      <c r="I33" s="1"/>
      <c r="J33" s="1"/>
      <c r="K33" s="1"/>
      <c r="L33" s="1"/>
      <c r="M33" s="1"/>
      <c r="N33" s="17"/>
    </row>
    <row r="34" spans="2:14" ht="15.75" customHeight="1" x14ac:dyDescent="0.25">
      <c r="B34" s="19"/>
      <c r="C34" s="5" t="s">
        <v>83</v>
      </c>
      <c r="D34" s="6" t="s">
        <v>47</v>
      </c>
      <c r="E34" s="11">
        <v>2.5382999999999999E-2</v>
      </c>
      <c r="F34" s="1"/>
      <c r="G34" s="1"/>
      <c r="H34" s="1"/>
      <c r="I34" s="1"/>
      <c r="J34" s="1"/>
      <c r="K34" s="1"/>
      <c r="L34" s="1"/>
      <c r="M34" s="1"/>
      <c r="N34" s="17"/>
    </row>
    <row r="35" spans="2:14" ht="15" customHeight="1" x14ac:dyDescent="0.25">
      <c r="B35" s="19"/>
      <c r="C35" s="5" t="s">
        <v>81</v>
      </c>
      <c r="D35" s="6" t="s">
        <v>47</v>
      </c>
      <c r="E35" s="11">
        <v>2.5382999999999999E-2</v>
      </c>
      <c r="F35" s="1"/>
      <c r="G35" s="1"/>
      <c r="H35" s="1"/>
      <c r="I35" s="1"/>
      <c r="J35" s="1"/>
      <c r="K35" s="1"/>
      <c r="L35" s="1"/>
      <c r="M35" s="1"/>
      <c r="N35" s="17"/>
    </row>
    <row r="36" spans="2:14" ht="15.75" customHeight="1" x14ac:dyDescent="0.25">
      <c r="B36" s="19"/>
      <c r="C36" s="5" t="s">
        <v>129</v>
      </c>
      <c r="D36" s="6" t="s">
        <v>47</v>
      </c>
      <c r="E36" s="11">
        <v>6.7730000000000004E-3</v>
      </c>
      <c r="F36" s="1"/>
      <c r="G36" s="1"/>
      <c r="H36" s="1"/>
      <c r="I36" s="1"/>
      <c r="J36" s="1"/>
      <c r="K36" s="1"/>
      <c r="L36" s="1"/>
      <c r="M36" s="1"/>
      <c r="N36" s="17"/>
    </row>
    <row r="37" spans="2:14" ht="15" customHeight="1" x14ac:dyDescent="0.25">
      <c r="B37" s="19"/>
      <c r="C37" s="7" t="s">
        <v>84</v>
      </c>
      <c r="D37" s="8"/>
      <c r="E37" s="12">
        <v>0.111743</v>
      </c>
      <c r="F37" s="1"/>
      <c r="G37" s="1"/>
      <c r="H37" s="1"/>
      <c r="I37" s="1"/>
      <c r="J37" s="1"/>
      <c r="K37" s="1"/>
      <c r="L37" s="1"/>
      <c r="M37" s="1"/>
      <c r="N37" s="17"/>
    </row>
    <row r="38" spans="2:14" ht="15" customHeight="1" x14ac:dyDescent="0.25">
      <c r="B38" s="19"/>
      <c r="C38" s="5" t="s">
        <v>8</v>
      </c>
      <c r="D38" s="6"/>
      <c r="E38" s="11">
        <v>0.155058</v>
      </c>
      <c r="F38" s="1"/>
      <c r="G38" s="1"/>
      <c r="H38" s="1"/>
      <c r="I38" s="1"/>
      <c r="J38" s="1"/>
      <c r="K38" s="1"/>
      <c r="L38" s="1"/>
      <c r="M38" s="1"/>
      <c r="N38" s="17"/>
    </row>
    <row r="39" spans="2:14" ht="15" customHeight="1" x14ac:dyDescent="0.25">
      <c r="B39" s="19"/>
      <c r="C39" s="7" t="s">
        <v>9</v>
      </c>
      <c r="D39" s="8"/>
      <c r="E39" s="12">
        <v>0.155058</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 customHeight="1" x14ac:dyDescent="0.25">
      <c r="B41" s="19"/>
      <c r="C41" s="7" t="s">
        <v>10</v>
      </c>
      <c r="D41" s="8"/>
      <c r="E41" s="12">
        <v>-2.3127999999999999E-2</v>
      </c>
      <c r="F41" s="1"/>
      <c r="G41" s="1"/>
      <c r="H41" s="1"/>
      <c r="I41" s="1"/>
      <c r="J41" s="1"/>
      <c r="K41" s="1"/>
      <c r="L41" s="1"/>
      <c r="M41" s="1"/>
      <c r="N41" s="17"/>
    </row>
    <row r="42" spans="2:14" ht="15" customHeight="1" x14ac:dyDescent="0.25">
      <c r="B42" s="19"/>
      <c r="C42" s="5"/>
      <c r="D42" s="6"/>
      <c r="E42" s="11"/>
      <c r="F42" s="1"/>
      <c r="G42" s="1"/>
      <c r="H42" s="1"/>
      <c r="I42" s="1"/>
      <c r="J42" s="1"/>
      <c r="K42" s="1"/>
      <c r="L42" s="1"/>
      <c r="M42" s="1"/>
      <c r="N42" s="17"/>
    </row>
    <row r="43" spans="2:14" ht="15" customHeight="1" x14ac:dyDescent="0.25">
      <c r="B43" s="19"/>
      <c r="C43" s="9" t="s">
        <v>11</v>
      </c>
      <c r="D43" s="10"/>
      <c r="E43" s="13">
        <v>1</v>
      </c>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sheetData>
  <mergeCells count="4">
    <mergeCell ref="C3:N3"/>
    <mergeCell ref="D5:E5"/>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77"/>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131</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21</v>
      </c>
      <c r="D8" s="6" t="s">
        <v>20</v>
      </c>
      <c r="E8" s="11">
        <v>2.1765E-2</v>
      </c>
      <c r="F8" s="1"/>
      <c r="G8" s="23" t="s">
        <v>15</v>
      </c>
      <c r="H8" s="24">
        <v>1</v>
      </c>
      <c r="I8" s="1"/>
      <c r="J8" s="23" t="s">
        <v>12</v>
      </c>
      <c r="K8" s="23" t="s">
        <v>3</v>
      </c>
      <c r="L8" s="1"/>
      <c r="M8" s="1"/>
      <c r="N8" s="17"/>
    </row>
    <row r="9" spans="2:14" ht="15" customHeight="1" x14ac:dyDescent="0.25">
      <c r="B9" s="19"/>
      <c r="C9" s="5" t="s">
        <v>24</v>
      </c>
      <c r="D9" s="6" t="s">
        <v>20</v>
      </c>
      <c r="E9" s="11">
        <v>2.1326000000000001E-2</v>
      </c>
      <c r="F9" s="1"/>
      <c r="G9" s="1"/>
      <c r="H9" s="1"/>
      <c r="I9" s="1"/>
      <c r="J9" s="23" t="s">
        <v>13</v>
      </c>
      <c r="K9" s="25">
        <v>0.34090999999999999</v>
      </c>
      <c r="L9" s="1"/>
      <c r="M9" s="1"/>
      <c r="N9" s="17"/>
    </row>
    <row r="10" spans="2:14" ht="15.75" customHeight="1" x14ac:dyDescent="0.25">
      <c r="B10" s="19"/>
      <c r="C10" s="7" t="s">
        <v>23</v>
      </c>
      <c r="D10" s="8"/>
      <c r="E10" s="12">
        <v>4.3090999999999997E-2</v>
      </c>
      <c r="F10" s="1"/>
      <c r="G10" s="1"/>
      <c r="H10" s="1"/>
      <c r="I10" s="1"/>
      <c r="J10" s="23" t="s">
        <v>60</v>
      </c>
      <c r="K10" s="25">
        <v>4.3090999999999997E-2</v>
      </c>
      <c r="L10" s="1"/>
      <c r="M10" s="1"/>
      <c r="N10" s="17"/>
    </row>
    <row r="11" spans="2:14" ht="15" customHeight="1" x14ac:dyDescent="0.25">
      <c r="B11" s="19"/>
      <c r="C11" s="5" t="s">
        <v>34</v>
      </c>
      <c r="D11" s="6" t="s">
        <v>20</v>
      </c>
      <c r="E11" s="11">
        <v>8.1659999999999996E-2</v>
      </c>
      <c r="F11" s="1"/>
      <c r="G11" s="1"/>
      <c r="H11" s="1"/>
      <c r="I11" s="1"/>
      <c r="J11" s="23" t="s">
        <v>61</v>
      </c>
      <c r="K11" s="25">
        <v>0.18513199999999999</v>
      </c>
      <c r="L11" s="1"/>
      <c r="M11" s="1"/>
      <c r="N11" s="17"/>
    </row>
    <row r="12" spans="2:14" ht="15" customHeight="1" x14ac:dyDescent="0.25">
      <c r="B12" s="19"/>
      <c r="C12" s="5" t="s">
        <v>88</v>
      </c>
      <c r="D12" s="6" t="s">
        <v>20</v>
      </c>
      <c r="E12" s="11">
        <v>5.5433999999999997E-2</v>
      </c>
      <c r="F12" s="1"/>
      <c r="G12" s="1"/>
      <c r="H12" s="1"/>
      <c r="I12" s="1"/>
      <c r="J12" s="23" t="s">
        <v>62</v>
      </c>
      <c r="K12" s="25">
        <v>0.28486600000000001</v>
      </c>
      <c r="L12" s="1"/>
      <c r="M12" s="1"/>
      <c r="N12" s="17"/>
    </row>
    <row r="13" spans="2:14" ht="15" customHeight="1" x14ac:dyDescent="0.25">
      <c r="B13" s="19"/>
      <c r="C13" s="5" t="s">
        <v>31</v>
      </c>
      <c r="D13" s="6" t="s">
        <v>20</v>
      </c>
      <c r="E13" s="11">
        <v>4.9158E-2</v>
      </c>
      <c r="F13" s="1"/>
      <c r="G13" s="1"/>
      <c r="H13" s="1"/>
      <c r="I13" s="1"/>
      <c r="J13" s="23" t="s">
        <v>64</v>
      </c>
      <c r="K13" s="25">
        <v>6.7005999999999996E-2</v>
      </c>
      <c r="L13" s="1"/>
      <c r="M13" s="1"/>
      <c r="N13" s="17"/>
    </row>
    <row r="14" spans="2:14" ht="15" customHeight="1" x14ac:dyDescent="0.25">
      <c r="B14" s="19"/>
      <c r="C14" s="5" t="s">
        <v>25</v>
      </c>
      <c r="D14" s="6" t="s">
        <v>20</v>
      </c>
      <c r="E14" s="11">
        <v>4.4332999999999997E-2</v>
      </c>
      <c r="F14" s="1"/>
      <c r="G14" s="1"/>
      <c r="H14" s="1"/>
      <c r="I14" s="1"/>
      <c r="J14" s="23" t="s">
        <v>86</v>
      </c>
      <c r="K14" s="25">
        <v>0.21199100000000001</v>
      </c>
      <c r="L14" s="1"/>
      <c r="M14" s="1"/>
      <c r="N14" s="17"/>
    </row>
    <row r="15" spans="2:14" ht="15" customHeight="1" x14ac:dyDescent="0.25">
      <c r="B15" s="19"/>
      <c r="C15" s="5" t="s">
        <v>123</v>
      </c>
      <c r="D15" s="6" t="s">
        <v>20</v>
      </c>
      <c r="E15" s="11">
        <v>3.2354000000000001E-2</v>
      </c>
      <c r="F15" s="1"/>
      <c r="G15" s="1"/>
      <c r="H15" s="1"/>
      <c r="I15" s="1"/>
      <c r="J15" s="23" t="s">
        <v>10</v>
      </c>
      <c r="K15" s="25">
        <v>-0.132996</v>
      </c>
      <c r="L15" s="1"/>
      <c r="M15" s="1"/>
      <c r="N15" s="17"/>
    </row>
    <row r="16" spans="2:14" ht="15" customHeight="1" x14ac:dyDescent="0.25">
      <c r="B16" s="19"/>
      <c r="C16" s="5" t="s">
        <v>24</v>
      </c>
      <c r="D16" s="6" t="s">
        <v>20</v>
      </c>
      <c r="E16" s="11">
        <v>2.1926999999999999E-2</v>
      </c>
      <c r="F16" s="1"/>
      <c r="G16" s="1"/>
      <c r="H16" s="1"/>
      <c r="I16" s="1"/>
      <c r="J16" s="1"/>
      <c r="K16" s="1"/>
      <c r="L16" s="1"/>
      <c r="M16" s="1"/>
      <c r="N16" s="17"/>
    </row>
    <row r="17" spans="2:14" ht="15.75" customHeight="1" x14ac:dyDescent="0.25">
      <c r="B17" s="19"/>
      <c r="C17" s="7" t="s">
        <v>26</v>
      </c>
      <c r="D17" s="8"/>
      <c r="E17" s="12">
        <v>0.28486600000000001</v>
      </c>
      <c r="F17" s="1"/>
      <c r="G17" s="1"/>
      <c r="H17" s="1"/>
      <c r="I17" s="1"/>
      <c r="J17" s="1"/>
      <c r="K17" s="1"/>
      <c r="L17" s="1"/>
      <c r="M17" s="1"/>
      <c r="N17" s="17"/>
    </row>
    <row r="18" spans="2:14" ht="15" customHeight="1" x14ac:dyDescent="0.25">
      <c r="B18" s="19"/>
      <c r="C18" s="5" t="s">
        <v>35</v>
      </c>
      <c r="D18" s="6" t="s">
        <v>27</v>
      </c>
      <c r="E18" s="11">
        <v>5.4199999999999998E-2</v>
      </c>
      <c r="F18" s="1"/>
      <c r="G18" s="1"/>
      <c r="H18" s="1"/>
      <c r="I18" s="1"/>
      <c r="J18" s="1"/>
      <c r="K18" s="1"/>
      <c r="L18" s="1"/>
      <c r="M18" s="1"/>
      <c r="N18" s="17"/>
    </row>
    <row r="19" spans="2:14" ht="15" customHeight="1" x14ac:dyDescent="0.25">
      <c r="B19" s="19"/>
      <c r="C19" s="5" t="s">
        <v>34</v>
      </c>
      <c r="D19" s="6" t="s">
        <v>27</v>
      </c>
      <c r="E19" s="11">
        <v>3.6040000000000003E-2</v>
      </c>
      <c r="F19" s="1"/>
      <c r="G19" s="1"/>
      <c r="H19" s="1"/>
      <c r="I19" s="1"/>
      <c r="J19" s="1"/>
      <c r="K19" s="1"/>
      <c r="L19" s="1"/>
      <c r="M19" s="1"/>
      <c r="N19" s="17"/>
    </row>
    <row r="20" spans="2:14" ht="15" customHeight="1" x14ac:dyDescent="0.25">
      <c r="B20" s="19"/>
      <c r="C20" s="5" t="s">
        <v>30</v>
      </c>
      <c r="D20" s="6" t="s">
        <v>27</v>
      </c>
      <c r="E20" s="11">
        <v>3.2777000000000001E-2</v>
      </c>
      <c r="F20" s="1"/>
      <c r="G20" s="1"/>
      <c r="H20" s="1"/>
      <c r="I20" s="1"/>
      <c r="J20" s="1"/>
      <c r="K20" s="1"/>
      <c r="L20" s="1"/>
      <c r="M20" s="1"/>
      <c r="N20" s="17"/>
    </row>
    <row r="21" spans="2:14" ht="15" customHeight="1" x14ac:dyDescent="0.25">
      <c r="B21" s="19"/>
      <c r="C21" s="5" t="s">
        <v>24</v>
      </c>
      <c r="D21" s="6" t="s">
        <v>27</v>
      </c>
      <c r="E21" s="11">
        <v>2.6041999999999999E-2</v>
      </c>
      <c r="F21" s="1"/>
      <c r="G21" s="1"/>
      <c r="H21" s="1"/>
      <c r="I21" s="1"/>
      <c r="J21" s="1"/>
      <c r="K21" s="1"/>
      <c r="L21" s="1"/>
      <c r="M21" s="1"/>
      <c r="N21" s="17"/>
    </row>
    <row r="22" spans="2:14" ht="15" customHeight="1" x14ac:dyDescent="0.25">
      <c r="B22" s="19"/>
      <c r="C22" s="5" t="s">
        <v>28</v>
      </c>
      <c r="D22" s="6" t="s">
        <v>27</v>
      </c>
      <c r="E22" s="11">
        <v>1.4718999999999999E-2</v>
      </c>
      <c r="F22" s="1"/>
      <c r="G22" s="1"/>
      <c r="H22" s="1"/>
      <c r="I22" s="1"/>
      <c r="J22" s="1"/>
      <c r="K22" s="1"/>
      <c r="L22" s="1"/>
      <c r="M22" s="1"/>
      <c r="N22" s="17"/>
    </row>
    <row r="23" spans="2:14" ht="15" customHeight="1" x14ac:dyDescent="0.25">
      <c r="B23" s="19"/>
      <c r="C23" s="5" t="s">
        <v>31</v>
      </c>
      <c r="D23" s="6" t="s">
        <v>27</v>
      </c>
      <c r="E23" s="11">
        <v>1.1169999999999999E-2</v>
      </c>
      <c r="F23" s="1"/>
      <c r="G23" s="1"/>
      <c r="H23" s="1"/>
      <c r="I23" s="1"/>
      <c r="J23" s="1"/>
      <c r="K23" s="1"/>
      <c r="L23" s="1"/>
      <c r="M23" s="1"/>
      <c r="N23" s="17"/>
    </row>
    <row r="24" spans="2:14" ht="15" customHeight="1" x14ac:dyDescent="0.25">
      <c r="B24" s="19"/>
      <c r="C24" s="5" t="s">
        <v>127</v>
      </c>
      <c r="D24" s="6" t="s">
        <v>27</v>
      </c>
      <c r="E24" s="11">
        <v>6.7279999999999996E-3</v>
      </c>
      <c r="F24" s="1"/>
      <c r="G24" s="1"/>
      <c r="H24" s="1"/>
      <c r="I24" s="1"/>
      <c r="J24" s="1"/>
      <c r="K24" s="1"/>
      <c r="L24" s="1"/>
      <c r="M24" s="1"/>
      <c r="N24" s="17"/>
    </row>
    <row r="25" spans="2:14" ht="15" customHeight="1" x14ac:dyDescent="0.25">
      <c r="B25" s="19"/>
      <c r="C25" s="5" t="s">
        <v>29</v>
      </c>
      <c r="D25" s="6" t="s">
        <v>27</v>
      </c>
      <c r="E25" s="11">
        <v>1.1919999999999999E-3</v>
      </c>
      <c r="F25" s="1"/>
      <c r="G25" s="1"/>
      <c r="H25" s="1"/>
      <c r="I25" s="1"/>
      <c r="J25" s="1"/>
      <c r="K25" s="1"/>
      <c r="L25" s="1"/>
      <c r="M25" s="1"/>
      <c r="N25" s="17"/>
    </row>
    <row r="26" spans="2:14" ht="15" customHeight="1" x14ac:dyDescent="0.25">
      <c r="B26" s="19"/>
      <c r="C26" s="5" t="s">
        <v>98</v>
      </c>
      <c r="D26" s="6" t="s">
        <v>27</v>
      </c>
      <c r="E26" s="11">
        <v>1.1349999999999999E-3</v>
      </c>
      <c r="F26" s="1"/>
      <c r="G26" s="40" t="s">
        <v>17</v>
      </c>
      <c r="H26" s="41"/>
      <c r="I26" s="41"/>
      <c r="J26" s="41"/>
      <c r="K26" s="41"/>
      <c r="L26" s="41"/>
      <c r="M26" s="41"/>
      <c r="N26" s="42"/>
    </row>
    <row r="27" spans="2:14" ht="15" customHeight="1" x14ac:dyDescent="0.25">
      <c r="B27" s="19"/>
      <c r="C27" s="5" t="s">
        <v>25</v>
      </c>
      <c r="D27" s="6" t="s">
        <v>27</v>
      </c>
      <c r="E27" s="11">
        <v>1.129E-3</v>
      </c>
      <c r="F27" s="1"/>
      <c r="G27" s="1"/>
      <c r="H27" s="1"/>
      <c r="I27" s="1"/>
      <c r="J27" s="1"/>
      <c r="K27" s="1"/>
      <c r="L27" s="1"/>
      <c r="M27" s="1"/>
      <c r="N27" s="17"/>
    </row>
    <row r="28" spans="2:14" ht="15.75" customHeight="1" x14ac:dyDescent="0.25">
      <c r="B28" s="19"/>
      <c r="C28" s="7" t="s">
        <v>45</v>
      </c>
      <c r="D28" s="8"/>
      <c r="E28" s="12">
        <v>0.18513199999999999</v>
      </c>
      <c r="F28" s="1"/>
      <c r="G28" s="1"/>
      <c r="H28" s="1"/>
      <c r="I28" s="1"/>
      <c r="J28" s="1"/>
      <c r="K28" s="1"/>
      <c r="L28" s="1"/>
      <c r="M28" s="1"/>
      <c r="N28" s="17"/>
    </row>
    <row r="29" spans="2:14" ht="15" customHeight="1" x14ac:dyDescent="0.25">
      <c r="B29" s="19"/>
      <c r="C29" s="5" t="s">
        <v>158</v>
      </c>
      <c r="D29" s="6" t="s">
        <v>47</v>
      </c>
      <c r="E29" s="11">
        <v>2.4986999999999999E-2</v>
      </c>
      <c r="F29" s="1"/>
      <c r="G29" s="1"/>
      <c r="H29" s="1"/>
      <c r="I29" s="1"/>
      <c r="J29" s="1"/>
      <c r="K29" s="1"/>
      <c r="L29" s="1"/>
      <c r="M29" s="1"/>
      <c r="N29" s="17"/>
    </row>
    <row r="30" spans="2:14" ht="15.75" customHeight="1" x14ac:dyDescent="0.25">
      <c r="B30" s="19"/>
      <c r="C30" s="5" t="s">
        <v>161</v>
      </c>
      <c r="D30" s="6" t="s">
        <v>47</v>
      </c>
      <c r="E30" s="11">
        <v>1.9937E-2</v>
      </c>
      <c r="F30" s="1"/>
      <c r="G30" s="1"/>
      <c r="H30" s="1"/>
      <c r="I30" s="1"/>
      <c r="J30" s="1"/>
      <c r="K30" s="1"/>
      <c r="L30" s="1"/>
      <c r="M30" s="1"/>
      <c r="N30" s="17"/>
    </row>
    <row r="31" spans="2:14" ht="15" customHeight="1" x14ac:dyDescent="0.25">
      <c r="B31" s="19"/>
      <c r="C31" s="5" t="s">
        <v>160</v>
      </c>
      <c r="D31" s="6" t="s">
        <v>47</v>
      </c>
      <c r="E31" s="11">
        <v>1.2902E-2</v>
      </c>
      <c r="F31" s="1"/>
      <c r="G31" s="1"/>
      <c r="H31" s="1"/>
      <c r="I31" s="1"/>
      <c r="J31" s="1"/>
      <c r="K31" s="1"/>
      <c r="L31" s="1"/>
      <c r="M31" s="1"/>
      <c r="N31" s="17"/>
    </row>
    <row r="32" spans="2:14" ht="15" customHeight="1" x14ac:dyDescent="0.25">
      <c r="B32" s="19"/>
      <c r="C32" s="5" t="s">
        <v>163</v>
      </c>
      <c r="D32" s="6" t="s">
        <v>47</v>
      </c>
      <c r="E32" s="11">
        <v>3.4290000000000002E-3</v>
      </c>
      <c r="F32" s="1"/>
      <c r="G32" s="1"/>
      <c r="H32" s="1"/>
      <c r="I32" s="1"/>
      <c r="J32" s="1"/>
      <c r="K32" s="1"/>
      <c r="L32" s="1"/>
      <c r="M32" s="1"/>
      <c r="N32" s="17"/>
    </row>
    <row r="33" spans="2:14" ht="15" customHeight="1" x14ac:dyDescent="0.25">
      <c r="B33" s="19"/>
      <c r="C33" s="5" t="s">
        <v>166</v>
      </c>
      <c r="D33" s="6" t="s">
        <v>47</v>
      </c>
      <c r="E33" s="11">
        <v>1.1800000000000001E-3</v>
      </c>
      <c r="F33" s="1"/>
      <c r="G33" s="1"/>
      <c r="H33" s="1"/>
      <c r="I33" s="1"/>
      <c r="J33" s="1"/>
      <c r="K33" s="1"/>
      <c r="L33" s="1"/>
      <c r="M33" s="1"/>
      <c r="N33" s="17"/>
    </row>
    <row r="34" spans="2:14" ht="15" customHeight="1" x14ac:dyDescent="0.25">
      <c r="B34" s="19"/>
      <c r="C34" s="5" t="s">
        <v>165</v>
      </c>
      <c r="D34" s="6" t="s">
        <v>47</v>
      </c>
      <c r="E34" s="11">
        <v>1.1689999999999999E-3</v>
      </c>
      <c r="F34" s="1"/>
      <c r="G34" s="1"/>
      <c r="H34" s="1"/>
      <c r="I34" s="1"/>
      <c r="J34" s="1"/>
      <c r="K34" s="1"/>
      <c r="L34" s="1"/>
      <c r="M34" s="1"/>
      <c r="N34" s="17"/>
    </row>
    <row r="35" spans="2:14" ht="15" customHeight="1" x14ac:dyDescent="0.25">
      <c r="B35" s="19"/>
      <c r="C35" s="5" t="s">
        <v>164</v>
      </c>
      <c r="D35" s="6" t="s">
        <v>47</v>
      </c>
      <c r="E35" s="11">
        <v>1.1540000000000001E-3</v>
      </c>
      <c r="F35" s="1"/>
      <c r="G35" s="1"/>
      <c r="H35" s="1"/>
      <c r="I35" s="1"/>
      <c r="J35" s="1"/>
      <c r="K35" s="1"/>
      <c r="L35" s="1"/>
      <c r="M35" s="1"/>
      <c r="N35" s="17"/>
    </row>
    <row r="36" spans="2:14" ht="15" customHeight="1" x14ac:dyDescent="0.25">
      <c r="B36" s="19"/>
      <c r="C36" s="5" t="s">
        <v>162</v>
      </c>
      <c r="D36" s="6" t="s">
        <v>47</v>
      </c>
      <c r="E36" s="11">
        <v>1.1329999999999999E-3</v>
      </c>
      <c r="F36" s="1"/>
      <c r="G36" s="1"/>
      <c r="H36" s="1"/>
      <c r="I36" s="1"/>
      <c r="J36" s="1"/>
      <c r="K36" s="1"/>
      <c r="L36" s="1"/>
      <c r="M36" s="1"/>
      <c r="N36" s="17"/>
    </row>
    <row r="37" spans="2:14" ht="15" customHeight="1" x14ac:dyDescent="0.25">
      <c r="B37" s="19"/>
      <c r="C37" s="5" t="s">
        <v>159</v>
      </c>
      <c r="D37" s="6" t="s">
        <v>47</v>
      </c>
      <c r="E37" s="11">
        <v>1.1150000000000001E-3</v>
      </c>
      <c r="F37" s="1"/>
      <c r="G37" s="1"/>
      <c r="H37" s="1"/>
      <c r="I37" s="1"/>
      <c r="J37" s="1"/>
      <c r="K37" s="1"/>
      <c r="L37" s="1"/>
      <c r="M37" s="1"/>
      <c r="N37" s="17"/>
    </row>
    <row r="38" spans="2:14" ht="15" customHeight="1" x14ac:dyDescent="0.25">
      <c r="B38" s="19"/>
      <c r="C38" s="7" t="s">
        <v>58</v>
      </c>
      <c r="D38" s="8"/>
      <c r="E38" s="12">
        <v>6.7005999999999996E-2</v>
      </c>
      <c r="F38" s="1"/>
      <c r="G38" s="1"/>
      <c r="H38" s="1"/>
      <c r="I38" s="1"/>
      <c r="J38" s="1"/>
      <c r="K38" s="1"/>
      <c r="L38" s="1"/>
      <c r="M38" s="1"/>
      <c r="N38" s="17"/>
    </row>
    <row r="39" spans="2:14" ht="15.75" customHeight="1" x14ac:dyDescent="0.25">
      <c r="B39" s="19"/>
      <c r="C39" s="5" t="s">
        <v>83</v>
      </c>
      <c r="D39" s="6" t="s">
        <v>47</v>
      </c>
      <c r="E39" s="11">
        <v>8.8594000000000006E-2</v>
      </c>
      <c r="F39" s="1"/>
      <c r="G39" s="1"/>
      <c r="H39" s="1"/>
      <c r="I39" s="1"/>
      <c r="J39" s="1"/>
      <c r="K39" s="1"/>
      <c r="L39" s="1"/>
      <c r="M39" s="1"/>
      <c r="N39" s="17"/>
    </row>
    <row r="40" spans="2:14" ht="15" customHeight="1" x14ac:dyDescent="0.25">
      <c r="B40" s="19"/>
      <c r="C40" s="5" t="s">
        <v>96</v>
      </c>
      <c r="D40" s="6" t="s">
        <v>47</v>
      </c>
      <c r="E40" s="11">
        <v>4.3219E-2</v>
      </c>
      <c r="F40" s="1"/>
      <c r="G40" s="1"/>
      <c r="H40" s="1"/>
      <c r="I40" s="1"/>
      <c r="J40" s="1"/>
      <c r="K40" s="1"/>
      <c r="L40" s="1"/>
      <c r="M40" s="1"/>
      <c r="N40" s="17"/>
    </row>
    <row r="41" spans="2:14" ht="15.75" customHeight="1" x14ac:dyDescent="0.25">
      <c r="B41" s="19"/>
      <c r="C41" s="5" t="s">
        <v>81</v>
      </c>
      <c r="D41" s="6" t="s">
        <v>47</v>
      </c>
      <c r="E41" s="11">
        <v>2.7685999999999999E-2</v>
      </c>
      <c r="F41" s="1"/>
      <c r="G41" s="1"/>
      <c r="H41" s="1"/>
      <c r="I41" s="1"/>
      <c r="J41" s="1"/>
      <c r="K41" s="1"/>
      <c r="L41" s="1"/>
      <c r="M41" s="1"/>
      <c r="N41" s="17"/>
    </row>
    <row r="42" spans="2:14" ht="15" customHeight="1" x14ac:dyDescent="0.25">
      <c r="B42" s="19"/>
      <c r="C42" s="5" t="s">
        <v>82</v>
      </c>
      <c r="D42" s="6" t="s">
        <v>47</v>
      </c>
      <c r="E42" s="11">
        <v>1.7045000000000001E-2</v>
      </c>
      <c r="F42" s="1"/>
      <c r="G42" s="1"/>
      <c r="H42" s="1"/>
      <c r="I42" s="1"/>
      <c r="J42" s="1"/>
      <c r="K42" s="1"/>
      <c r="L42" s="1"/>
      <c r="M42" s="1"/>
      <c r="N42" s="17"/>
    </row>
    <row r="43" spans="2:14" ht="15.75" customHeight="1" x14ac:dyDescent="0.25">
      <c r="B43" s="19"/>
      <c r="C43" s="5" t="s">
        <v>132</v>
      </c>
      <c r="D43" s="6" t="s">
        <v>47</v>
      </c>
      <c r="E43" s="11">
        <v>1.3282E-2</v>
      </c>
      <c r="F43" s="1"/>
      <c r="G43" s="1"/>
      <c r="H43" s="1"/>
      <c r="I43" s="1"/>
      <c r="J43" s="1"/>
      <c r="K43" s="1"/>
      <c r="L43" s="1"/>
      <c r="M43" s="1"/>
      <c r="N43" s="17"/>
    </row>
    <row r="44" spans="2:14" ht="15" customHeight="1" x14ac:dyDescent="0.25">
      <c r="B44" s="19"/>
      <c r="C44" s="5" t="s">
        <v>79</v>
      </c>
      <c r="D44" s="6" t="s">
        <v>47</v>
      </c>
      <c r="E44" s="11">
        <v>9.979E-3</v>
      </c>
      <c r="F44" s="1"/>
      <c r="G44" s="1"/>
      <c r="H44" s="1"/>
      <c r="I44" s="1"/>
      <c r="J44" s="1"/>
      <c r="K44" s="1"/>
      <c r="L44" s="1"/>
      <c r="M44" s="1"/>
      <c r="N44" s="17"/>
    </row>
    <row r="45" spans="2:14" ht="15" customHeight="1" x14ac:dyDescent="0.25">
      <c r="B45" s="19"/>
      <c r="C45" s="5" t="s">
        <v>129</v>
      </c>
      <c r="D45" s="6" t="s">
        <v>47</v>
      </c>
      <c r="E45" s="11">
        <v>6.6490000000000004E-3</v>
      </c>
      <c r="F45" s="1"/>
      <c r="G45" s="1"/>
      <c r="H45" s="1"/>
      <c r="I45" s="1"/>
      <c r="J45" s="1"/>
      <c r="K45" s="1"/>
      <c r="L45" s="1"/>
      <c r="M45" s="1"/>
      <c r="N45" s="17"/>
    </row>
    <row r="46" spans="2:14" ht="15" customHeight="1" x14ac:dyDescent="0.25">
      <c r="B46" s="19"/>
      <c r="C46" s="5" t="s">
        <v>90</v>
      </c>
      <c r="D46" s="6" t="s">
        <v>47</v>
      </c>
      <c r="E46" s="11">
        <v>5.5370000000000003E-3</v>
      </c>
      <c r="F46" s="1"/>
      <c r="G46" s="1"/>
      <c r="H46" s="1"/>
      <c r="I46" s="1"/>
      <c r="J46" s="1"/>
      <c r="K46" s="1"/>
      <c r="L46" s="1"/>
      <c r="M46" s="1"/>
      <c r="N46" s="17"/>
    </row>
    <row r="47" spans="2:14" ht="15" customHeight="1" x14ac:dyDescent="0.25">
      <c r="B47" s="19"/>
      <c r="C47" s="7" t="s">
        <v>84</v>
      </c>
      <c r="D47" s="8"/>
      <c r="E47" s="12">
        <v>0.21199100000000001</v>
      </c>
      <c r="F47" s="1"/>
      <c r="G47" s="1"/>
      <c r="H47" s="1"/>
      <c r="I47" s="1"/>
      <c r="J47" s="1"/>
      <c r="K47" s="1"/>
      <c r="L47" s="1"/>
      <c r="M47" s="1"/>
      <c r="N47" s="17"/>
    </row>
    <row r="48" spans="2:14" ht="15" customHeight="1" x14ac:dyDescent="0.25">
      <c r="B48" s="19"/>
      <c r="C48" s="5" t="s">
        <v>8</v>
      </c>
      <c r="D48" s="6"/>
      <c r="E48" s="11">
        <v>0.34090999999999999</v>
      </c>
      <c r="F48" s="1"/>
      <c r="G48" s="1"/>
      <c r="H48" s="1"/>
      <c r="I48" s="1"/>
      <c r="J48" s="1"/>
      <c r="K48" s="1"/>
      <c r="L48" s="1"/>
      <c r="M48" s="1"/>
      <c r="N48" s="17"/>
    </row>
    <row r="49" spans="2:14" ht="15" customHeight="1" x14ac:dyDescent="0.25">
      <c r="B49" s="19"/>
      <c r="C49" s="7" t="s">
        <v>9</v>
      </c>
      <c r="D49" s="8"/>
      <c r="E49" s="12">
        <v>0.34090999999999999</v>
      </c>
      <c r="F49" s="1"/>
      <c r="G49" s="1"/>
      <c r="H49" s="1"/>
      <c r="I49" s="1"/>
      <c r="J49" s="1"/>
      <c r="K49" s="1"/>
      <c r="L49" s="1"/>
      <c r="M49" s="1"/>
      <c r="N49" s="17"/>
    </row>
    <row r="50" spans="2:14" ht="15" customHeight="1" x14ac:dyDescent="0.25">
      <c r="B50" s="19"/>
      <c r="C50" s="5"/>
      <c r="D50" s="6"/>
      <c r="E50" s="11"/>
      <c r="F50" s="1"/>
      <c r="G50" s="1"/>
      <c r="H50" s="1"/>
      <c r="I50" s="1"/>
      <c r="J50" s="1"/>
      <c r="K50" s="1"/>
      <c r="L50" s="1"/>
      <c r="M50" s="1"/>
      <c r="N50" s="17"/>
    </row>
    <row r="51" spans="2:14" ht="15" customHeight="1" x14ac:dyDescent="0.25">
      <c r="B51" s="19"/>
      <c r="C51" s="7" t="s">
        <v>10</v>
      </c>
      <c r="D51" s="8"/>
      <c r="E51" s="12">
        <v>-0.132996</v>
      </c>
      <c r="F51" s="1"/>
      <c r="G51" s="1"/>
      <c r="H51" s="1"/>
      <c r="I51" s="1"/>
      <c r="J51" s="1"/>
      <c r="K51" s="1"/>
      <c r="L51" s="1"/>
      <c r="M51" s="1"/>
      <c r="N51" s="17"/>
    </row>
    <row r="52" spans="2:14" ht="15" customHeight="1" x14ac:dyDescent="0.25">
      <c r="B52" s="19"/>
      <c r="C52" s="5"/>
      <c r="D52" s="6"/>
      <c r="E52" s="11"/>
      <c r="F52" s="1"/>
      <c r="G52" s="1"/>
      <c r="H52" s="1"/>
      <c r="I52" s="1"/>
      <c r="J52" s="1"/>
      <c r="K52" s="1"/>
      <c r="L52" s="1"/>
      <c r="M52" s="1"/>
      <c r="N52" s="17"/>
    </row>
    <row r="53" spans="2:14" ht="15" customHeight="1" x14ac:dyDescent="0.25">
      <c r="B53" s="19"/>
      <c r="C53" s="9" t="s">
        <v>11</v>
      </c>
      <c r="D53" s="10"/>
      <c r="E53" s="13">
        <v>1</v>
      </c>
      <c r="F53" s="1"/>
      <c r="G53" s="1"/>
      <c r="H53" s="1"/>
      <c r="I53" s="1"/>
      <c r="J53" s="1"/>
      <c r="K53" s="1"/>
      <c r="L53" s="1"/>
      <c r="M53" s="1"/>
      <c r="N53" s="17"/>
    </row>
    <row r="54" spans="2:14" ht="15" customHeight="1" x14ac:dyDescent="0.25">
      <c r="B54" s="19"/>
      <c r="C54" s="1"/>
      <c r="D54" s="1"/>
      <c r="E54" s="1"/>
      <c r="F54" s="1"/>
      <c r="G54" s="1"/>
      <c r="H54" s="1"/>
      <c r="I54" s="1"/>
      <c r="J54" s="1"/>
      <c r="K54" s="1"/>
      <c r="L54" s="1"/>
      <c r="M54" s="1"/>
      <c r="N54" s="17"/>
    </row>
    <row r="55" spans="2:14" ht="15" customHeight="1" thickBot="1" x14ac:dyDescent="0.3">
      <c r="B55" s="20"/>
      <c r="C55" s="21"/>
      <c r="D55" s="21"/>
      <c r="E55" s="21"/>
      <c r="F55" s="21"/>
      <c r="G55" s="21"/>
      <c r="H55" s="21"/>
      <c r="I55" s="21"/>
      <c r="J55" s="21"/>
      <c r="K55" s="21"/>
      <c r="L55" s="21"/>
      <c r="M55" s="21"/>
      <c r="N55" s="22"/>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sortState ref="C30:E37">
    <sortCondition descending="1" ref="E29"/>
  </sortState>
  <mergeCells count="4">
    <mergeCell ref="C3:N3"/>
    <mergeCell ref="D5:E5"/>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54.285156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115</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67</v>
      </c>
      <c r="D8" s="6" t="s">
        <v>47</v>
      </c>
      <c r="E8" s="11">
        <v>0.477466</v>
      </c>
      <c r="F8" s="1"/>
      <c r="G8" s="23" t="s">
        <v>15</v>
      </c>
      <c r="H8" s="24">
        <v>1</v>
      </c>
      <c r="I8" s="1"/>
      <c r="J8" s="23" t="s">
        <v>12</v>
      </c>
      <c r="K8" s="23" t="s">
        <v>3</v>
      </c>
      <c r="L8" s="1"/>
      <c r="M8" s="1"/>
      <c r="N8" s="17"/>
    </row>
    <row r="9" spans="2:14" ht="15" customHeight="1" x14ac:dyDescent="0.25">
      <c r="B9" s="19"/>
      <c r="C9" s="5" t="s">
        <v>69</v>
      </c>
      <c r="D9" s="6" t="s">
        <v>47</v>
      </c>
      <c r="E9" s="11">
        <v>0.15174699999999999</v>
      </c>
      <c r="F9" s="1"/>
      <c r="G9" s="1"/>
      <c r="H9" s="1"/>
      <c r="I9" s="1"/>
      <c r="J9" s="23" t="s">
        <v>13</v>
      </c>
      <c r="K9" s="25">
        <v>1.6050000000000001E-3</v>
      </c>
      <c r="L9" s="1"/>
      <c r="M9" s="1"/>
      <c r="N9" s="17"/>
    </row>
    <row r="10" spans="2:14" ht="15" customHeight="1" x14ac:dyDescent="0.25">
      <c r="B10" s="19"/>
      <c r="C10" s="5" t="s">
        <v>68</v>
      </c>
      <c r="D10" s="6" t="s">
        <v>47</v>
      </c>
      <c r="E10" s="11">
        <v>0.149948</v>
      </c>
      <c r="F10" s="1"/>
      <c r="G10" s="1"/>
      <c r="H10" s="1"/>
      <c r="I10" s="1"/>
      <c r="J10" s="23" t="s">
        <v>63</v>
      </c>
      <c r="K10" s="25">
        <v>0.98336000000000001</v>
      </c>
      <c r="L10" s="1"/>
      <c r="M10" s="1"/>
      <c r="N10" s="17"/>
    </row>
    <row r="11" spans="2:14" ht="15" customHeight="1" x14ac:dyDescent="0.25">
      <c r="B11" s="19"/>
      <c r="C11" s="5" t="s">
        <v>71</v>
      </c>
      <c r="D11" s="6" t="s">
        <v>47</v>
      </c>
      <c r="E11" s="11">
        <v>0.11512699999999999</v>
      </c>
      <c r="F11" s="1"/>
      <c r="G11" s="1"/>
      <c r="H11" s="1"/>
      <c r="I11" s="1"/>
      <c r="J11" s="23" t="s">
        <v>10</v>
      </c>
      <c r="K11" s="25">
        <v>1.5035E-2</v>
      </c>
      <c r="L11" s="1"/>
      <c r="M11" s="1"/>
      <c r="N11" s="17"/>
    </row>
    <row r="12" spans="2:14" ht="15" customHeight="1" x14ac:dyDescent="0.25">
      <c r="B12" s="19"/>
      <c r="C12" s="5" t="s">
        <v>74</v>
      </c>
      <c r="D12" s="6" t="s">
        <v>47</v>
      </c>
      <c r="E12" s="11">
        <v>7.5526999999999997E-2</v>
      </c>
      <c r="F12" s="1"/>
      <c r="G12" s="1"/>
      <c r="H12" s="1"/>
      <c r="I12" s="1"/>
      <c r="J12" s="1"/>
      <c r="K12" s="1"/>
      <c r="L12" s="1"/>
      <c r="M12" s="1"/>
      <c r="N12" s="17"/>
    </row>
    <row r="13" spans="2:14" ht="15" customHeight="1" x14ac:dyDescent="0.25">
      <c r="B13" s="19"/>
      <c r="C13" s="5" t="s">
        <v>116</v>
      </c>
      <c r="D13" s="6" t="s">
        <v>47</v>
      </c>
      <c r="E13" s="11">
        <v>8.4639999999999993E-3</v>
      </c>
      <c r="F13" s="1"/>
      <c r="G13" s="1"/>
      <c r="H13" s="1"/>
      <c r="I13" s="1"/>
      <c r="J13" s="1"/>
      <c r="K13" s="1"/>
      <c r="L13" s="1"/>
      <c r="M13" s="1"/>
      <c r="N13" s="17"/>
    </row>
    <row r="14" spans="2:14" ht="15" customHeight="1" x14ac:dyDescent="0.25">
      <c r="B14" s="19"/>
      <c r="C14" s="5" t="s">
        <v>70</v>
      </c>
      <c r="D14" s="6" t="s">
        <v>47</v>
      </c>
      <c r="E14" s="11">
        <v>5.012E-3</v>
      </c>
      <c r="F14" s="1"/>
      <c r="G14" s="1"/>
      <c r="H14" s="1"/>
      <c r="I14" s="1"/>
      <c r="J14" s="1"/>
      <c r="K14" s="1"/>
      <c r="L14" s="1"/>
      <c r="M14" s="1"/>
      <c r="N14" s="17"/>
    </row>
    <row r="15" spans="2:14" ht="15" customHeight="1" x14ac:dyDescent="0.25">
      <c r="B15" s="19"/>
      <c r="C15" s="5" t="s">
        <v>117</v>
      </c>
      <c r="D15" s="6" t="s">
        <v>47</v>
      </c>
      <c r="E15" s="11">
        <v>3.4999999999999997E-5</v>
      </c>
      <c r="F15" s="1"/>
      <c r="G15" s="1"/>
      <c r="H15" s="1"/>
      <c r="I15" s="1"/>
      <c r="J15" s="1"/>
      <c r="K15" s="1"/>
      <c r="L15" s="1"/>
      <c r="M15" s="1"/>
      <c r="N15" s="17"/>
    </row>
    <row r="16" spans="2:14" ht="15" customHeight="1" x14ac:dyDescent="0.25">
      <c r="B16" s="19"/>
      <c r="C16" s="5" t="s">
        <v>109</v>
      </c>
      <c r="D16" s="6" t="s">
        <v>47</v>
      </c>
      <c r="E16" s="11">
        <v>3.4E-5</v>
      </c>
      <c r="F16" s="1"/>
      <c r="G16" s="1"/>
      <c r="H16" s="1"/>
      <c r="I16" s="1"/>
      <c r="J16" s="1"/>
      <c r="K16" s="1"/>
      <c r="L16" s="1"/>
      <c r="M16" s="1"/>
      <c r="N16" s="17"/>
    </row>
    <row r="17" spans="2:14" ht="15.75" customHeight="1" x14ac:dyDescent="0.25">
      <c r="B17" s="19"/>
      <c r="C17" s="7" t="s">
        <v>57</v>
      </c>
      <c r="D17" s="8"/>
      <c r="E17" s="12">
        <v>0.98336000000000001</v>
      </c>
      <c r="F17" s="1"/>
      <c r="G17" s="1"/>
      <c r="H17" s="1"/>
      <c r="I17" s="1"/>
      <c r="J17" s="1"/>
      <c r="K17" s="1"/>
      <c r="L17" s="1"/>
      <c r="M17" s="1"/>
      <c r="N17" s="17"/>
    </row>
    <row r="18" spans="2:14" ht="15" customHeight="1" x14ac:dyDescent="0.25">
      <c r="B18" s="19"/>
      <c r="C18" s="5" t="s">
        <v>8</v>
      </c>
      <c r="D18" s="6"/>
      <c r="E18" s="11">
        <v>1.6050000000000001E-3</v>
      </c>
      <c r="F18" s="1"/>
      <c r="G18" s="1"/>
      <c r="H18" s="1"/>
      <c r="I18" s="1"/>
      <c r="J18" s="1"/>
      <c r="K18" s="1"/>
      <c r="L18" s="1"/>
      <c r="M18" s="1"/>
      <c r="N18" s="17"/>
    </row>
    <row r="19" spans="2:14" ht="15.75" customHeight="1" x14ac:dyDescent="0.25">
      <c r="B19" s="19"/>
      <c r="C19" s="7" t="s">
        <v>9</v>
      </c>
      <c r="D19" s="8"/>
      <c r="E19" s="12">
        <v>1.6050000000000001E-3</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75" customHeight="1" x14ac:dyDescent="0.25">
      <c r="B21" s="19"/>
      <c r="C21" s="7" t="s">
        <v>10</v>
      </c>
      <c r="D21" s="8"/>
      <c r="E21" s="12">
        <v>1.5035E-2</v>
      </c>
      <c r="F21" s="1"/>
      <c r="G21" s="1"/>
      <c r="H21" s="1"/>
      <c r="I21" s="1"/>
      <c r="J21" s="1"/>
      <c r="K21" s="1"/>
      <c r="L21" s="1"/>
      <c r="M21" s="1"/>
      <c r="N21" s="17"/>
    </row>
    <row r="22" spans="2:14" ht="15" customHeight="1" x14ac:dyDescent="0.25">
      <c r="B22" s="19"/>
      <c r="C22" s="5"/>
      <c r="D22" s="6"/>
      <c r="E22" s="11"/>
      <c r="F22" s="1"/>
      <c r="G22" s="1"/>
      <c r="H22" s="1"/>
      <c r="I22" s="1"/>
      <c r="J22" s="1"/>
      <c r="K22" s="1"/>
      <c r="L22" s="1"/>
      <c r="M22" s="1"/>
      <c r="N22" s="17"/>
    </row>
    <row r="23" spans="2:14" ht="15" customHeight="1" x14ac:dyDescent="0.25">
      <c r="B23" s="19"/>
      <c r="C23" s="9" t="s">
        <v>11</v>
      </c>
      <c r="D23" s="10"/>
      <c r="E23" s="13">
        <v>1</v>
      </c>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0" t="s">
        <v>17</v>
      </c>
      <c r="H26" s="41"/>
      <c r="I26" s="41"/>
      <c r="J26" s="41"/>
      <c r="K26" s="41"/>
      <c r="L26" s="41"/>
      <c r="M26" s="41"/>
      <c r="N26" s="42"/>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sheetData>
  <mergeCells count="4">
    <mergeCell ref="C3:N3"/>
    <mergeCell ref="D5:E5"/>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54.285156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66</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30</v>
      </c>
      <c r="D8" s="6" t="s">
        <v>27</v>
      </c>
      <c r="E8" s="11">
        <v>7.9970000000000006E-3</v>
      </c>
      <c r="F8" s="1"/>
      <c r="G8" s="23" t="s">
        <v>15</v>
      </c>
      <c r="H8" s="24">
        <v>1</v>
      </c>
      <c r="I8" s="1"/>
      <c r="J8" s="23" t="s">
        <v>12</v>
      </c>
      <c r="K8" s="23" t="s">
        <v>3</v>
      </c>
      <c r="L8" s="1"/>
      <c r="M8" s="1"/>
      <c r="N8" s="17"/>
    </row>
    <row r="9" spans="2:14" ht="15.75" customHeight="1" x14ac:dyDescent="0.25">
      <c r="B9" s="19"/>
      <c r="C9" s="7" t="s">
        <v>45</v>
      </c>
      <c r="D9" s="8"/>
      <c r="E9" s="12">
        <v>7.9970000000000006E-3</v>
      </c>
      <c r="F9" s="1"/>
      <c r="G9" s="1"/>
      <c r="H9" s="1"/>
      <c r="I9" s="1"/>
      <c r="J9" s="23" t="s">
        <v>13</v>
      </c>
      <c r="K9" s="25">
        <v>1.3749999999999999E-3</v>
      </c>
      <c r="L9" s="1"/>
      <c r="M9" s="1"/>
      <c r="N9" s="17"/>
    </row>
    <row r="10" spans="2:14" ht="15" customHeight="1" x14ac:dyDescent="0.25">
      <c r="B10" s="19"/>
      <c r="C10" s="5" t="s">
        <v>67</v>
      </c>
      <c r="D10" s="6" t="s">
        <v>47</v>
      </c>
      <c r="E10" s="11">
        <v>0.44374999999999998</v>
      </c>
      <c r="F10" s="1"/>
      <c r="G10" s="1"/>
      <c r="H10" s="1"/>
      <c r="I10" s="1"/>
      <c r="J10" s="23" t="s">
        <v>61</v>
      </c>
      <c r="K10" s="25">
        <v>7.9970000000000006E-3</v>
      </c>
      <c r="L10" s="1"/>
      <c r="M10" s="1"/>
      <c r="N10" s="17"/>
    </row>
    <row r="11" spans="2:14" ht="15" customHeight="1" x14ac:dyDescent="0.25">
      <c r="B11" s="19"/>
      <c r="C11" s="5" t="s">
        <v>68</v>
      </c>
      <c r="D11" s="6" t="s">
        <v>47</v>
      </c>
      <c r="E11" s="11">
        <v>0.349742</v>
      </c>
      <c r="F11" s="1"/>
      <c r="G11" s="1"/>
      <c r="H11" s="1"/>
      <c r="I11" s="1"/>
      <c r="J11" s="23" t="s">
        <v>63</v>
      </c>
      <c r="K11" s="25">
        <v>0.98019900000000004</v>
      </c>
      <c r="L11" s="1"/>
      <c r="M11" s="1"/>
      <c r="N11" s="17"/>
    </row>
    <row r="12" spans="2:14" ht="15" customHeight="1" x14ac:dyDescent="0.25">
      <c r="B12" s="19"/>
      <c r="C12" s="5" t="s">
        <v>69</v>
      </c>
      <c r="D12" s="6" t="s">
        <v>47</v>
      </c>
      <c r="E12" s="11">
        <v>0.14622599999999999</v>
      </c>
      <c r="F12" s="1"/>
      <c r="G12" s="1"/>
      <c r="H12" s="1"/>
      <c r="I12" s="1"/>
      <c r="J12" s="23" t="s">
        <v>10</v>
      </c>
      <c r="K12" s="25">
        <v>1.0429000000000001E-2</v>
      </c>
      <c r="L12" s="1"/>
      <c r="M12" s="1"/>
      <c r="N12" s="17"/>
    </row>
    <row r="13" spans="2:14" ht="15" customHeight="1" x14ac:dyDescent="0.25">
      <c r="B13" s="19"/>
      <c r="C13" s="5" t="s">
        <v>70</v>
      </c>
      <c r="D13" s="6" t="s">
        <v>47</v>
      </c>
      <c r="E13" s="11">
        <v>3.8372000000000003E-2</v>
      </c>
      <c r="F13" s="1"/>
      <c r="G13" s="1"/>
      <c r="H13" s="1"/>
      <c r="I13" s="1"/>
      <c r="J13" s="1"/>
      <c r="K13" s="1"/>
      <c r="L13" s="1"/>
      <c r="M13" s="1"/>
      <c r="N13" s="17"/>
    </row>
    <row r="14" spans="2:14" ht="15" customHeight="1" x14ac:dyDescent="0.25">
      <c r="B14" s="19"/>
      <c r="C14" s="5" t="s">
        <v>71</v>
      </c>
      <c r="D14" s="6" t="s">
        <v>47</v>
      </c>
      <c r="E14" s="11">
        <v>1.518E-3</v>
      </c>
      <c r="F14" s="1"/>
      <c r="G14" s="1"/>
      <c r="H14" s="1"/>
      <c r="I14" s="1"/>
      <c r="J14" s="1"/>
      <c r="K14" s="1"/>
      <c r="L14" s="1"/>
      <c r="M14" s="1"/>
      <c r="N14" s="17"/>
    </row>
    <row r="15" spans="2:14" ht="15" customHeight="1" x14ac:dyDescent="0.25">
      <c r="B15" s="19"/>
      <c r="C15" s="5" t="s">
        <v>72</v>
      </c>
      <c r="D15" s="6" t="s">
        <v>47</v>
      </c>
      <c r="E15" s="11">
        <v>5.9100000000000005E-4</v>
      </c>
      <c r="F15" s="1"/>
      <c r="G15" s="1"/>
      <c r="H15" s="1"/>
      <c r="I15" s="1"/>
      <c r="J15" s="1"/>
      <c r="K15" s="1"/>
      <c r="L15" s="1"/>
      <c r="M15" s="1"/>
      <c r="N15" s="17"/>
    </row>
    <row r="16" spans="2:14" ht="15.75" customHeight="1" x14ac:dyDescent="0.25">
      <c r="B16" s="19"/>
      <c r="C16" s="7" t="s">
        <v>57</v>
      </c>
      <c r="D16" s="8"/>
      <c r="E16" s="12">
        <v>0.98019900000000004</v>
      </c>
      <c r="F16" s="1"/>
      <c r="G16" s="1"/>
      <c r="H16" s="1"/>
      <c r="I16" s="1"/>
      <c r="J16" s="1"/>
      <c r="K16" s="1"/>
      <c r="L16" s="1"/>
      <c r="M16" s="1"/>
      <c r="N16" s="17"/>
    </row>
    <row r="17" spans="2:14" ht="15" customHeight="1" x14ac:dyDescent="0.25">
      <c r="B17" s="19"/>
      <c r="C17" s="5" t="s">
        <v>8</v>
      </c>
      <c r="D17" s="6"/>
      <c r="E17" s="11">
        <v>1.3749999999999999E-3</v>
      </c>
      <c r="F17" s="1"/>
      <c r="G17" s="1"/>
      <c r="H17" s="1"/>
      <c r="I17" s="1"/>
      <c r="J17" s="1"/>
      <c r="K17" s="1"/>
      <c r="L17" s="1"/>
      <c r="M17" s="1"/>
      <c r="N17" s="17"/>
    </row>
    <row r="18" spans="2:14" ht="15.75" customHeight="1" x14ac:dyDescent="0.25">
      <c r="B18" s="19"/>
      <c r="C18" s="7" t="s">
        <v>9</v>
      </c>
      <c r="D18" s="8"/>
      <c r="E18" s="12">
        <v>1.3749999999999999E-3</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75" customHeight="1" x14ac:dyDescent="0.25">
      <c r="B20" s="19"/>
      <c r="C20" s="7" t="s">
        <v>10</v>
      </c>
      <c r="D20" s="8"/>
      <c r="E20" s="12">
        <v>1.0429000000000001E-2</v>
      </c>
      <c r="F20" s="1"/>
      <c r="G20" s="1"/>
      <c r="H20" s="1"/>
      <c r="I20" s="1"/>
      <c r="J20" s="1"/>
      <c r="K20" s="1"/>
      <c r="L20" s="1"/>
      <c r="M20" s="1"/>
      <c r="N20" s="17"/>
    </row>
    <row r="21" spans="2:14" ht="15" customHeight="1" x14ac:dyDescent="0.25">
      <c r="B21" s="19"/>
      <c r="C21" s="5"/>
      <c r="D21" s="6"/>
      <c r="E21" s="11"/>
      <c r="F21" s="1"/>
      <c r="G21" s="1"/>
      <c r="H21" s="1"/>
      <c r="I21" s="1"/>
      <c r="J21" s="1"/>
      <c r="K21" s="1"/>
      <c r="L21" s="1"/>
      <c r="M21" s="1"/>
      <c r="N21" s="17"/>
    </row>
    <row r="22" spans="2:14" ht="15" customHeight="1" x14ac:dyDescent="0.25">
      <c r="B22" s="19"/>
      <c r="C22" s="9" t="s">
        <v>11</v>
      </c>
      <c r="D22" s="10"/>
      <c r="E22" s="13">
        <v>1</v>
      </c>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0" t="s">
        <v>17</v>
      </c>
      <c r="H26" s="41"/>
      <c r="I26" s="41"/>
      <c r="J26" s="41"/>
      <c r="K26" s="41"/>
      <c r="L26" s="41"/>
      <c r="M26" s="41"/>
      <c r="N26" s="42"/>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4">
    <mergeCell ref="C3:N3"/>
    <mergeCell ref="D5:E5"/>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7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73</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28</v>
      </c>
      <c r="D8" s="6" t="s">
        <v>27</v>
      </c>
      <c r="E8" s="11">
        <v>7.3369000000000004E-2</v>
      </c>
      <c r="F8" s="1"/>
      <c r="G8" s="23" t="s">
        <v>15</v>
      </c>
      <c r="H8" s="24">
        <v>1</v>
      </c>
      <c r="I8" s="1"/>
      <c r="J8" s="23" t="s">
        <v>12</v>
      </c>
      <c r="K8" s="23" t="s">
        <v>3</v>
      </c>
      <c r="L8" s="1"/>
      <c r="M8" s="1"/>
      <c r="N8" s="17"/>
    </row>
    <row r="9" spans="2:14" ht="15" customHeight="1" x14ac:dyDescent="0.25">
      <c r="B9" s="19"/>
      <c r="C9" s="5" t="s">
        <v>25</v>
      </c>
      <c r="D9" s="6" t="s">
        <v>27</v>
      </c>
      <c r="E9" s="11">
        <v>6.8451999999999999E-2</v>
      </c>
      <c r="F9" s="1"/>
      <c r="G9" s="1"/>
      <c r="H9" s="1"/>
      <c r="I9" s="1"/>
      <c r="J9" s="23" t="s">
        <v>13</v>
      </c>
      <c r="K9" s="25">
        <v>3.5950000000000001E-3</v>
      </c>
      <c r="L9" s="1"/>
      <c r="M9" s="1"/>
      <c r="N9" s="17"/>
    </row>
    <row r="10" spans="2:14" ht="15" customHeight="1" x14ac:dyDescent="0.25">
      <c r="B10" s="19"/>
      <c r="C10" s="5" t="s">
        <v>34</v>
      </c>
      <c r="D10" s="6" t="s">
        <v>27</v>
      </c>
      <c r="E10" s="11">
        <v>2.8459000000000002E-2</v>
      </c>
      <c r="F10" s="1"/>
      <c r="G10" s="1"/>
      <c r="H10" s="1"/>
      <c r="I10" s="1"/>
      <c r="J10" s="23" t="s">
        <v>61</v>
      </c>
      <c r="K10" s="25">
        <v>0.223634</v>
      </c>
      <c r="L10" s="1"/>
      <c r="M10" s="1"/>
      <c r="N10" s="17"/>
    </row>
    <row r="11" spans="2:14" ht="15" customHeight="1" x14ac:dyDescent="0.25">
      <c r="B11" s="19"/>
      <c r="C11" s="5" t="s">
        <v>31</v>
      </c>
      <c r="D11" s="6" t="s">
        <v>27</v>
      </c>
      <c r="E11" s="11">
        <v>2.4112000000000001E-2</v>
      </c>
      <c r="F11" s="1"/>
      <c r="G11" s="1"/>
      <c r="H11" s="1"/>
      <c r="I11" s="1"/>
      <c r="J11" s="23" t="s">
        <v>63</v>
      </c>
      <c r="K11" s="25">
        <v>0.65077700000000005</v>
      </c>
      <c r="L11" s="1"/>
      <c r="M11" s="1"/>
      <c r="N11" s="17"/>
    </row>
    <row r="12" spans="2:14" ht="15" customHeight="1" x14ac:dyDescent="0.25">
      <c r="B12" s="19"/>
      <c r="C12" s="5" t="s">
        <v>30</v>
      </c>
      <c r="D12" s="6" t="s">
        <v>27</v>
      </c>
      <c r="E12" s="11">
        <v>2.2737E-2</v>
      </c>
      <c r="F12" s="1"/>
      <c r="G12" s="1"/>
      <c r="H12" s="1"/>
      <c r="I12" s="1"/>
      <c r="J12" s="23" t="s">
        <v>85</v>
      </c>
      <c r="K12" s="25">
        <v>8.7349999999999997E-3</v>
      </c>
      <c r="L12" s="1"/>
      <c r="M12" s="1"/>
      <c r="N12" s="17"/>
    </row>
    <row r="13" spans="2:14" ht="15" customHeight="1" x14ac:dyDescent="0.25">
      <c r="B13" s="19"/>
      <c r="C13" s="5" t="s">
        <v>29</v>
      </c>
      <c r="D13" s="6" t="s">
        <v>27</v>
      </c>
      <c r="E13" s="11">
        <v>6.2459999999999998E-3</v>
      </c>
      <c r="F13" s="1"/>
      <c r="G13" s="1"/>
      <c r="H13" s="1"/>
      <c r="I13" s="1"/>
      <c r="J13" s="23" t="s">
        <v>64</v>
      </c>
      <c r="K13" s="25">
        <v>8.4410000000000006E-3</v>
      </c>
      <c r="L13" s="1"/>
      <c r="M13" s="1"/>
      <c r="N13" s="17"/>
    </row>
    <row r="14" spans="2:14" ht="15" customHeight="1" x14ac:dyDescent="0.25">
      <c r="B14" s="19"/>
      <c r="C14" s="5" t="s">
        <v>24</v>
      </c>
      <c r="D14" s="6" t="s">
        <v>27</v>
      </c>
      <c r="E14" s="11">
        <v>2.5900000000000001E-4</v>
      </c>
      <c r="F14" s="1"/>
      <c r="G14" s="1"/>
      <c r="H14" s="1"/>
      <c r="I14" s="1"/>
      <c r="J14" s="23" t="s">
        <v>86</v>
      </c>
      <c r="K14" s="25">
        <v>8.7729000000000001E-2</v>
      </c>
      <c r="L14" s="1"/>
      <c r="M14" s="1"/>
      <c r="N14" s="17"/>
    </row>
    <row r="15" spans="2:14" ht="15.75" customHeight="1" x14ac:dyDescent="0.25">
      <c r="B15" s="19"/>
      <c r="C15" s="7" t="s">
        <v>45</v>
      </c>
      <c r="D15" s="8"/>
      <c r="E15" s="12">
        <v>0.223634</v>
      </c>
      <c r="F15" s="1"/>
      <c r="G15" s="1"/>
      <c r="H15" s="1"/>
      <c r="I15" s="1"/>
      <c r="J15" s="23" t="s">
        <v>10</v>
      </c>
      <c r="K15" s="25">
        <v>1.7089E-2</v>
      </c>
      <c r="L15" s="1"/>
      <c r="M15" s="1"/>
      <c r="N15" s="17"/>
    </row>
    <row r="16" spans="2:14" ht="15" customHeight="1" x14ac:dyDescent="0.25">
      <c r="B16" s="19"/>
      <c r="C16" s="5" t="s">
        <v>67</v>
      </c>
      <c r="D16" s="6" t="s">
        <v>47</v>
      </c>
      <c r="E16" s="11">
        <v>0.31750299999999998</v>
      </c>
      <c r="F16" s="1"/>
      <c r="G16" s="1"/>
      <c r="H16" s="1"/>
      <c r="I16" s="1"/>
      <c r="J16" s="1"/>
      <c r="K16" s="1"/>
      <c r="L16" s="1"/>
      <c r="M16" s="1"/>
      <c r="N16" s="17"/>
    </row>
    <row r="17" spans="2:14" ht="15" customHeight="1" x14ac:dyDescent="0.25">
      <c r="B17" s="19"/>
      <c r="C17" s="5" t="s">
        <v>68</v>
      </c>
      <c r="D17" s="6" t="s">
        <v>47</v>
      </c>
      <c r="E17" s="11">
        <v>0.14411299999999999</v>
      </c>
      <c r="F17" s="1"/>
      <c r="G17" s="1"/>
      <c r="H17" s="1"/>
      <c r="I17" s="1"/>
      <c r="J17" s="1"/>
      <c r="K17" s="1"/>
      <c r="L17" s="1"/>
      <c r="M17" s="1"/>
      <c r="N17" s="17"/>
    </row>
    <row r="18" spans="2:14" ht="15" customHeight="1" x14ac:dyDescent="0.25">
      <c r="B18" s="19"/>
      <c r="C18" s="5" t="s">
        <v>74</v>
      </c>
      <c r="D18" s="6" t="s">
        <v>47</v>
      </c>
      <c r="E18" s="11">
        <v>8.5388000000000006E-2</v>
      </c>
      <c r="F18" s="1"/>
      <c r="G18" s="1"/>
      <c r="H18" s="1"/>
      <c r="I18" s="1"/>
      <c r="J18" s="1"/>
      <c r="K18" s="1"/>
      <c r="L18" s="1"/>
      <c r="M18" s="1"/>
      <c r="N18" s="17"/>
    </row>
    <row r="19" spans="2:14" ht="15" customHeight="1" x14ac:dyDescent="0.25">
      <c r="B19" s="19"/>
      <c r="C19" s="5" t="s">
        <v>51</v>
      </c>
      <c r="D19" s="6" t="s">
        <v>47</v>
      </c>
      <c r="E19" s="11">
        <v>4.3396999999999998E-2</v>
      </c>
      <c r="F19" s="1"/>
      <c r="G19" s="1"/>
      <c r="H19" s="1"/>
      <c r="I19" s="1"/>
      <c r="J19" s="1"/>
      <c r="K19" s="1"/>
      <c r="L19" s="1"/>
      <c r="M19" s="1"/>
      <c r="N19" s="17"/>
    </row>
    <row r="20" spans="2:14" ht="15" customHeight="1" x14ac:dyDescent="0.25">
      <c r="B20" s="19"/>
      <c r="C20" s="5" t="s">
        <v>71</v>
      </c>
      <c r="D20" s="6" t="s">
        <v>47</v>
      </c>
      <c r="E20" s="11">
        <v>3.3811000000000001E-2</v>
      </c>
      <c r="F20" s="1"/>
      <c r="G20" s="1"/>
      <c r="H20" s="1"/>
      <c r="I20" s="1"/>
      <c r="J20" s="1"/>
      <c r="K20" s="1"/>
      <c r="L20" s="1"/>
      <c r="M20" s="1"/>
      <c r="N20" s="17"/>
    </row>
    <row r="21" spans="2:14" ht="15" customHeight="1" x14ac:dyDescent="0.25">
      <c r="B21" s="19"/>
      <c r="C21" s="5" t="s">
        <v>69</v>
      </c>
      <c r="D21" s="6" t="s">
        <v>47</v>
      </c>
      <c r="E21" s="11">
        <v>1.4791E-2</v>
      </c>
      <c r="F21" s="1"/>
      <c r="G21" s="1"/>
      <c r="H21" s="1"/>
      <c r="I21" s="1"/>
      <c r="J21" s="1"/>
      <c r="K21" s="1"/>
      <c r="L21" s="1"/>
      <c r="M21" s="1"/>
      <c r="N21" s="17"/>
    </row>
    <row r="22" spans="2:14" ht="15" customHeight="1" x14ac:dyDescent="0.25">
      <c r="B22" s="19"/>
      <c r="C22" s="5" t="s">
        <v>75</v>
      </c>
      <c r="D22" s="6" t="s">
        <v>47</v>
      </c>
      <c r="E22" s="11">
        <v>1.1535999999999999E-2</v>
      </c>
      <c r="F22" s="1"/>
      <c r="G22" s="1"/>
      <c r="H22" s="1"/>
      <c r="I22" s="1"/>
      <c r="J22" s="1"/>
      <c r="K22" s="1"/>
      <c r="L22" s="1"/>
      <c r="M22" s="1"/>
      <c r="N22" s="17"/>
    </row>
    <row r="23" spans="2:14" ht="15" customHeight="1" x14ac:dyDescent="0.25">
      <c r="B23" s="19"/>
      <c r="C23" s="5" t="s">
        <v>70</v>
      </c>
      <c r="D23" s="6" t="s">
        <v>47</v>
      </c>
      <c r="E23" s="11">
        <v>2.3800000000000001E-4</v>
      </c>
      <c r="F23" s="1"/>
      <c r="G23" s="1"/>
      <c r="H23" s="1"/>
      <c r="I23" s="1"/>
      <c r="J23" s="1"/>
      <c r="K23" s="1"/>
      <c r="L23" s="1"/>
      <c r="M23" s="1"/>
      <c r="N23" s="17"/>
    </row>
    <row r="24" spans="2:14" ht="15.75" customHeight="1" x14ac:dyDescent="0.25">
      <c r="B24" s="19"/>
      <c r="C24" s="7" t="s">
        <v>57</v>
      </c>
      <c r="D24" s="8"/>
      <c r="E24" s="12">
        <v>0.65077700000000005</v>
      </c>
      <c r="F24" s="1"/>
      <c r="G24" s="1"/>
      <c r="H24" s="1"/>
      <c r="I24" s="1"/>
      <c r="J24" s="1"/>
      <c r="K24" s="1"/>
      <c r="L24" s="1"/>
      <c r="M24" s="1"/>
      <c r="N24" s="17"/>
    </row>
    <row r="25" spans="2:14" ht="15" customHeight="1" x14ac:dyDescent="0.25">
      <c r="B25" s="19"/>
      <c r="C25" s="5" t="s">
        <v>211</v>
      </c>
      <c r="D25" s="6" t="s">
        <v>76</v>
      </c>
      <c r="E25" s="11">
        <v>8.7349999999999997E-3</v>
      </c>
      <c r="F25" s="1"/>
      <c r="G25" s="1"/>
      <c r="H25" s="1"/>
      <c r="I25" s="1"/>
      <c r="J25" s="1"/>
      <c r="K25" s="1"/>
      <c r="L25" s="1"/>
      <c r="M25" s="1"/>
      <c r="N25" s="17"/>
    </row>
    <row r="26" spans="2:14" ht="15.75" customHeight="1" x14ac:dyDescent="0.25">
      <c r="B26" s="19"/>
      <c r="C26" s="7" t="s">
        <v>77</v>
      </c>
      <c r="D26" s="8"/>
      <c r="E26" s="12">
        <v>8.7349999999999997E-3</v>
      </c>
      <c r="F26" s="1"/>
      <c r="G26" s="40" t="s">
        <v>17</v>
      </c>
      <c r="H26" s="41"/>
      <c r="I26" s="41"/>
      <c r="J26" s="41"/>
      <c r="K26" s="41"/>
      <c r="L26" s="41"/>
      <c r="M26" s="41"/>
      <c r="N26" s="42"/>
    </row>
    <row r="27" spans="2:14" ht="15" customHeight="1" x14ac:dyDescent="0.25">
      <c r="B27" s="19"/>
      <c r="C27" s="5" t="s">
        <v>167</v>
      </c>
      <c r="D27" s="6" t="s">
        <v>47</v>
      </c>
      <c r="E27" s="11">
        <v>3.9620000000000002E-3</v>
      </c>
      <c r="F27" s="1"/>
      <c r="G27" s="1"/>
      <c r="H27" s="1"/>
      <c r="I27" s="1"/>
      <c r="J27" s="1"/>
      <c r="K27" s="1"/>
      <c r="L27" s="1"/>
      <c r="M27" s="1"/>
      <c r="N27" s="17"/>
    </row>
    <row r="28" spans="2:14" ht="15.75" customHeight="1" x14ac:dyDescent="0.25">
      <c r="B28" s="19"/>
      <c r="C28" s="5" t="s">
        <v>168</v>
      </c>
      <c r="D28" s="6" t="s">
        <v>47</v>
      </c>
      <c r="E28" s="11">
        <v>3.9620000000000002E-3</v>
      </c>
      <c r="F28" s="1"/>
      <c r="G28" s="1"/>
      <c r="H28" s="1"/>
      <c r="I28" s="1"/>
      <c r="J28" s="1"/>
      <c r="K28" s="1"/>
      <c r="L28" s="1"/>
      <c r="M28" s="1"/>
      <c r="N28" s="17"/>
    </row>
    <row r="29" spans="2:14" ht="15" customHeight="1" x14ac:dyDescent="0.25">
      <c r="B29" s="19"/>
      <c r="C29" s="5" t="s">
        <v>169</v>
      </c>
      <c r="D29" s="6" t="s">
        <v>47</v>
      </c>
      <c r="E29" s="11">
        <v>5.1099999999999995E-4</v>
      </c>
      <c r="F29" s="1"/>
      <c r="G29" s="1"/>
      <c r="H29" s="1"/>
      <c r="I29" s="1"/>
      <c r="J29" s="1"/>
      <c r="K29" s="1"/>
      <c r="L29" s="1"/>
      <c r="M29" s="1"/>
      <c r="N29" s="17"/>
    </row>
    <row r="30" spans="2:14" ht="15" customHeight="1" x14ac:dyDescent="0.25">
      <c r="B30" s="19"/>
      <c r="C30" s="5" t="s">
        <v>170</v>
      </c>
      <c r="D30" s="6" t="s">
        <v>47</v>
      </c>
      <c r="E30" s="30">
        <v>5.0000000000000004E-6</v>
      </c>
      <c r="F30" s="1"/>
      <c r="G30" s="1"/>
      <c r="H30" s="1"/>
      <c r="I30" s="1"/>
      <c r="J30" s="1"/>
      <c r="K30" s="1"/>
      <c r="L30" s="1"/>
      <c r="M30" s="1"/>
      <c r="N30" s="17"/>
    </row>
    <row r="31" spans="2:14" ht="15" customHeight="1" x14ac:dyDescent="0.25">
      <c r="B31" s="19"/>
      <c r="C31" s="5" t="s">
        <v>171</v>
      </c>
      <c r="D31" s="6" t="s">
        <v>47</v>
      </c>
      <c r="E31" s="31">
        <v>9.9999999999999995E-7</v>
      </c>
      <c r="F31" s="1"/>
      <c r="G31" s="1"/>
      <c r="H31" s="1"/>
      <c r="I31" s="1"/>
      <c r="J31" s="1"/>
      <c r="K31" s="1"/>
      <c r="L31" s="1"/>
      <c r="M31" s="1"/>
      <c r="N31" s="17"/>
    </row>
    <row r="32" spans="2:14" ht="15" customHeight="1" x14ac:dyDescent="0.25">
      <c r="B32" s="19"/>
      <c r="C32" s="7" t="s">
        <v>58</v>
      </c>
      <c r="D32" s="8"/>
      <c r="E32" s="12">
        <v>8.4410000000000006E-3</v>
      </c>
      <c r="F32" s="1"/>
      <c r="G32" s="1"/>
      <c r="H32" s="1"/>
      <c r="I32" s="1"/>
      <c r="J32" s="1"/>
      <c r="K32" s="1"/>
      <c r="L32" s="1"/>
      <c r="M32" s="1"/>
      <c r="N32" s="17"/>
    </row>
    <row r="33" spans="2:14" ht="15" customHeight="1" x14ac:dyDescent="0.25">
      <c r="B33" s="19"/>
      <c r="C33" s="5" t="s">
        <v>78</v>
      </c>
      <c r="D33" s="6" t="s">
        <v>47</v>
      </c>
      <c r="E33" s="11">
        <v>3.2911999999999997E-2</v>
      </c>
      <c r="F33" s="1"/>
      <c r="G33" s="1"/>
      <c r="H33" s="1"/>
      <c r="I33" s="1"/>
      <c r="J33" s="1"/>
      <c r="K33" s="1"/>
      <c r="L33" s="1"/>
      <c r="M33" s="1"/>
      <c r="N33" s="17"/>
    </row>
    <row r="34" spans="2:14" ht="15" customHeight="1" x14ac:dyDescent="0.25">
      <c r="B34" s="19"/>
      <c r="C34" s="5" t="s">
        <v>79</v>
      </c>
      <c r="D34" s="6" t="s">
        <v>47</v>
      </c>
      <c r="E34" s="11">
        <v>1.8294999999999999E-2</v>
      </c>
      <c r="F34" s="1"/>
      <c r="G34" s="1"/>
      <c r="H34" s="1"/>
      <c r="I34" s="1"/>
      <c r="J34" s="1"/>
      <c r="K34" s="1"/>
      <c r="L34" s="1"/>
      <c r="M34" s="1"/>
      <c r="N34" s="17"/>
    </row>
    <row r="35" spans="2:14" ht="15.75" customHeight="1" x14ac:dyDescent="0.25">
      <c r="B35" s="19"/>
      <c r="C35" s="5" t="s">
        <v>80</v>
      </c>
      <c r="D35" s="6" t="s">
        <v>47</v>
      </c>
      <c r="E35" s="11">
        <v>1.8253999999999999E-2</v>
      </c>
      <c r="F35" s="1"/>
      <c r="G35" s="1"/>
      <c r="H35" s="1"/>
      <c r="I35" s="1"/>
      <c r="J35" s="1"/>
      <c r="K35" s="1"/>
      <c r="L35" s="1"/>
      <c r="M35" s="1"/>
      <c r="N35" s="17"/>
    </row>
    <row r="36" spans="2:14" ht="15" customHeight="1" x14ac:dyDescent="0.25">
      <c r="B36" s="19"/>
      <c r="C36" s="5" t="s">
        <v>81</v>
      </c>
      <c r="D36" s="6" t="s">
        <v>47</v>
      </c>
      <c r="E36" s="11">
        <v>1.0963000000000001E-2</v>
      </c>
      <c r="F36" s="1"/>
      <c r="G36" s="1"/>
      <c r="H36" s="1"/>
      <c r="I36" s="1"/>
      <c r="J36" s="1"/>
      <c r="K36" s="1"/>
      <c r="L36" s="1"/>
      <c r="M36" s="1"/>
      <c r="N36" s="17"/>
    </row>
    <row r="37" spans="2:14" ht="15.75" customHeight="1" x14ac:dyDescent="0.25">
      <c r="B37" s="19"/>
      <c r="C37" s="5" t="s">
        <v>82</v>
      </c>
      <c r="D37" s="6" t="s">
        <v>47</v>
      </c>
      <c r="E37" s="11">
        <v>6.0870000000000004E-3</v>
      </c>
      <c r="F37" s="1"/>
      <c r="G37" s="1"/>
      <c r="H37" s="1"/>
      <c r="I37" s="1"/>
      <c r="J37" s="1"/>
      <c r="K37" s="1"/>
      <c r="L37" s="1"/>
      <c r="M37" s="1"/>
      <c r="N37" s="17"/>
    </row>
    <row r="38" spans="2:14" ht="15" customHeight="1" x14ac:dyDescent="0.25">
      <c r="B38" s="19"/>
      <c r="C38" s="5" t="s">
        <v>83</v>
      </c>
      <c r="D38" s="6" t="s">
        <v>47</v>
      </c>
      <c r="E38" s="11">
        <v>1.2179999999999999E-3</v>
      </c>
      <c r="F38" s="1"/>
      <c r="G38" s="1"/>
      <c r="H38" s="1"/>
      <c r="I38" s="1"/>
      <c r="J38" s="1"/>
      <c r="K38" s="1"/>
      <c r="L38" s="1"/>
      <c r="M38" s="1"/>
      <c r="N38" s="17"/>
    </row>
    <row r="39" spans="2:14" ht="15.75" customHeight="1" x14ac:dyDescent="0.25">
      <c r="B39" s="19"/>
      <c r="C39" s="7" t="s">
        <v>84</v>
      </c>
      <c r="D39" s="8"/>
      <c r="E39" s="12">
        <v>8.7729000000000001E-2</v>
      </c>
      <c r="F39" s="1"/>
      <c r="G39" s="1"/>
      <c r="H39" s="1"/>
      <c r="I39" s="1"/>
      <c r="J39" s="1"/>
      <c r="K39" s="1"/>
      <c r="L39" s="1"/>
      <c r="M39" s="1"/>
      <c r="N39" s="17"/>
    </row>
    <row r="40" spans="2:14" ht="15" customHeight="1" x14ac:dyDescent="0.25">
      <c r="B40" s="19"/>
      <c r="C40" s="5" t="s">
        <v>8</v>
      </c>
      <c r="D40" s="6"/>
      <c r="E40" s="11">
        <v>3.5950000000000001E-3</v>
      </c>
      <c r="F40" s="1"/>
      <c r="G40" s="1"/>
      <c r="H40" s="1"/>
      <c r="I40" s="1"/>
      <c r="J40" s="1"/>
      <c r="K40" s="1"/>
      <c r="L40" s="1"/>
      <c r="M40" s="1"/>
      <c r="N40" s="17"/>
    </row>
    <row r="41" spans="2:14" ht="15" customHeight="1" x14ac:dyDescent="0.25">
      <c r="B41" s="19"/>
      <c r="C41" s="7" t="s">
        <v>9</v>
      </c>
      <c r="D41" s="8"/>
      <c r="E41" s="12">
        <v>3.5950000000000001E-3</v>
      </c>
      <c r="F41" s="1"/>
      <c r="G41" s="1"/>
      <c r="H41" s="1"/>
      <c r="I41" s="1"/>
      <c r="J41" s="1"/>
      <c r="K41" s="1"/>
      <c r="L41" s="1"/>
      <c r="M41" s="1"/>
      <c r="N41" s="17"/>
    </row>
    <row r="42" spans="2:14" ht="15" customHeight="1" x14ac:dyDescent="0.25">
      <c r="B42" s="19"/>
      <c r="C42" s="5"/>
      <c r="D42" s="6"/>
      <c r="E42" s="11"/>
      <c r="F42" s="1"/>
      <c r="G42" s="1"/>
      <c r="H42" s="1"/>
      <c r="I42" s="1"/>
      <c r="J42" s="1"/>
      <c r="K42" s="1"/>
      <c r="L42" s="1"/>
      <c r="M42" s="1"/>
      <c r="N42" s="17"/>
    </row>
    <row r="43" spans="2:14" ht="15" customHeight="1" x14ac:dyDescent="0.25">
      <c r="B43" s="19"/>
      <c r="C43" s="7" t="s">
        <v>10</v>
      </c>
      <c r="D43" s="8"/>
      <c r="E43" s="12">
        <v>1.7089E-2</v>
      </c>
      <c r="F43" s="1"/>
      <c r="G43" s="1"/>
      <c r="H43" s="1"/>
      <c r="I43" s="1"/>
      <c r="J43" s="1"/>
      <c r="K43" s="1"/>
      <c r="L43" s="1"/>
      <c r="M43" s="1"/>
      <c r="N43" s="17"/>
    </row>
    <row r="44" spans="2:14" ht="15" customHeight="1" x14ac:dyDescent="0.25">
      <c r="B44" s="19"/>
      <c r="C44" s="5"/>
      <c r="D44" s="6"/>
      <c r="E44" s="11"/>
      <c r="F44" s="1"/>
      <c r="G44" s="1"/>
      <c r="H44" s="1"/>
      <c r="I44" s="1"/>
      <c r="J44" s="1"/>
      <c r="K44" s="1"/>
      <c r="L44" s="1"/>
      <c r="M44" s="1"/>
      <c r="N44" s="17"/>
    </row>
    <row r="45" spans="2:14" ht="15" customHeight="1" x14ac:dyDescent="0.25">
      <c r="B45" s="19"/>
      <c r="C45" s="9" t="s">
        <v>11</v>
      </c>
      <c r="D45" s="10"/>
      <c r="E45" s="13">
        <v>1</v>
      </c>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t="s">
        <v>210</v>
      </c>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mergeCells count="4">
    <mergeCell ref="C3:N3"/>
    <mergeCell ref="D5:E5"/>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N76"/>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87</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24</v>
      </c>
      <c r="D8" s="6" t="s">
        <v>27</v>
      </c>
      <c r="E8" s="11">
        <v>0.101003</v>
      </c>
      <c r="F8" s="1"/>
      <c r="G8" s="23" t="s">
        <v>15</v>
      </c>
      <c r="H8" s="24">
        <v>1</v>
      </c>
      <c r="I8" s="1"/>
      <c r="J8" s="23" t="s">
        <v>12</v>
      </c>
      <c r="K8" s="23" t="s">
        <v>3</v>
      </c>
      <c r="L8" s="1"/>
      <c r="M8" s="1"/>
      <c r="N8" s="17"/>
    </row>
    <row r="9" spans="2:14" ht="15" customHeight="1" x14ac:dyDescent="0.25">
      <c r="B9" s="19"/>
      <c r="C9" s="5" t="s">
        <v>25</v>
      </c>
      <c r="D9" s="6" t="s">
        <v>27</v>
      </c>
      <c r="E9" s="11">
        <v>9.9081000000000002E-2</v>
      </c>
      <c r="F9" s="1"/>
      <c r="G9" s="1"/>
      <c r="H9" s="1"/>
      <c r="I9" s="1"/>
      <c r="J9" s="23" t="s">
        <v>13</v>
      </c>
      <c r="K9" s="25">
        <v>1.078E-3</v>
      </c>
      <c r="L9" s="1"/>
      <c r="M9" s="1"/>
      <c r="N9" s="17"/>
    </row>
    <row r="10" spans="2:14" ht="15" customHeight="1" x14ac:dyDescent="0.25">
      <c r="B10" s="19"/>
      <c r="C10" s="5" t="s">
        <v>34</v>
      </c>
      <c r="D10" s="6" t="s">
        <v>27</v>
      </c>
      <c r="E10" s="11">
        <v>8.7723999999999996E-2</v>
      </c>
      <c r="F10" s="1"/>
      <c r="G10" s="1"/>
      <c r="H10" s="1"/>
      <c r="I10" s="1"/>
      <c r="J10" s="23" t="s">
        <v>61</v>
      </c>
      <c r="K10" s="25">
        <v>0.754274</v>
      </c>
      <c r="L10" s="1"/>
      <c r="M10" s="1"/>
      <c r="N10" s="17"/>
    </row>
    <row r="11" spans="2:14" ht="15" customHeight="1" x14ac:dyDescent="0.25">
      <c r="B11" s="19"/>
      <c r="C11" s="5" t="s">
        <v>28</v>
      </c>
      <c r="D11" s="6" t="s">
        <v>27</v>
      </c>
      <c r="E11" s="11">
        <v>8.6698999999999998E-2</v>
      </c>
      <c r="F11" s="1"/>
      <c r="G11" s="1"/>
      <c r="H11" s="1"/>
      <c r="I11" s="1"/>
      <c r="J11" s="23" t="s">
        <v>63</v>
      </c>
      <c r="K11" s="25">
        <v>0.170849</v>
      </c>
      <c r="L11" s="1"/>
      <c r="M11" s="1"/>
      <c r="N11" s="17"/>
    </row>
    <row r="12" spans="2:14" ht="15" customHeight="1" x14ac:dyDescent="0.25">
      <c r="B12" s="19"/>
      <c r="C12" s="5" t="s">
        <v>31</v>
      </c>
      <c r="D12" s="6" t="s">
        <v>27</v>
      </c>
      <c r="E12" s="11">
        <v>6.8628999999999996E-2</v>
      </c>
      <c r="F12" s="1"/>
      <c r="G12" s="1"/>
      <c r="H12" s="1"/>
      <c r="I12" s="1"/>
      <c r="J12" s="23" t="s">
        <v>85</v>
      </c>
      <c r="K12" s="25">
        <v>5.7759999999999999E-3</v>
      </c>
      <c r="L12" s="1"/>
      <c r="M12" s="1"/>
      <c r="N12" s="17"/>
    </row>
    <row r="13" spans="2:14" ht="15" customHeight="1" x14ac:dyDescent="0.25">
      <c r="B13" s="19"/>
      <c r="C13" s="5" t="s">
        <v>30</v>
      </c>
      <c r="D13" s="6" t="s">
        <v>27</v>
      </c>
      <c r="E13" s="11">
        <v>6.7032999999999995E-2</v>
      </c>
      <c r="F13" s="1"/>
      <c r="G13" s="1"/>
      <c r="H13" s="1"/>
      <c r="I13" s="1"/>
      <c r="J13" s="23" t="s">
        <v>86</v>
      </c>
      <c r="K13" s="25">
        <v>3.456E-2</v>
      </c>
      <c r="L13" s="1"/>
      <c r="M13" s="1"/>
      <c r="N13" s="17"/>
    </row>
    <row r="14" spans="2:14" ht="15" customHeight="1" x14ac:dyDescent="0.25">
      <c r="B14" s="19"/>
      <c r="C14" s="5" t="s">
        <v>29</v>
      </c>
      <c r="D14" s="6" t="s">
        <v>27</v>
      </c>
      <c r="E14" s="11">
        <v>6.6969000000000001E-2</v>
      </c>
      <c r="F14" s="1"/>
      <c r="G14" s="1"/>
      <c r="H14" s="1"/>
      <c r="I14" s="1"/>
      <c r="J14" s="23" t="s">
        <v>10</v>
      </c>
      <c r="K14" s="25">
        <v>3.3463E-2</v>
      </c>
      <c r="L14" s="1"/>
      <c r="M14" s="1"/>
      <c r="N14" s="17"/>
    </row>
    <row r="15" spans="2:14" ht="15" customHeight="1" x14ac:dyDescent="0.25">
      <c r="B15" s="19"/>
      <c r="C15" s="5" t="s">
        <v>35</v>
      </c>
      <c r="D15" s="6" t="s">
        <v>27</v>
      </c>
      <c r="E15" s="11">
        <v>3.6700999999999998E-2</v>
      </c>
      <c r="F15" s="1"/>
      <c r="G15" s="1"/>
      <c r="H15" s="1"/>
      <c r="I15" s="1"/>
      <c r="J15" s="1"/>
      <c r="K15" s="1"/>
      <c r="L15" s="1"/>
      <c r="M15" s="1"/>
      <c r="N15" s="17"/>
    </row>
    <row r="16" spans="2:14" ht="15" customHeight="1" x14ac:dyDescent="0.25">
      <c r="B16" s="19"/>
      <c r="C16" s="5" t="s">
        <v>36</v>
      </c>
      <c r="D16" s="6" t="s">
        <v>27</v>
      </c>
      <c r="E16" s="11">
        <v>3.6340999999999998E-2</v>
      </c>
      <c r="F16" s="1"/>
      <c r="G16" s="1"/>
      <c r="H16" s="1"/>
      <c r="I16" s="1"/>
      <c r="J16" s="1"/>
      <c r="K16" s="1"/>
      <c r="L16" s="1"/>
      <c r="M16" s="1"/>
      <c r="N16" s="17"/>
    </row>
    <row r="17" spans="2:14" ht="15" customHeight="1" x14ac:dyDescent="0.25">
      <c r="B17" s="19"/>
      <c r="C17" s="5" t="s">
        <v>32</v>
      </c>
      <c r="D17" s="6" t="s">
        <v>27</v>
      </c>
      <c r="E17" s="11">
        <v>3.5485000000000003E-2</v>
      </c>
      <c r="F17" s="1"/>
      <c r="G17" s="1"/>
      <c r="H17" s="1"/>
      <c r="I17" s="1"/>
      <c r="J17" s="1"/>
      <c r="K17" s="1"/>
      <c r="L17" s="1"/>
      <c r="M17" s="1"/>
      <c r="N17" s="17"/>
    </row>
    <row r="18" spans="2:14" ht="15" customHeight="1" x14ac:dyDescent="0.25">
      <c r="B18" s="19"/>
      <c r="C18" s="5" t="s">
        <v>42</v>
      </c>
      <c r="D18" s="6" t="s">
        <v>27</v>
      </c>
      <c r="E18" s="11">
        <v>2.1780999999999998E-2</v>
      </c>
      <c r="F18" s="1"/>
      <c r="G18" s="1"/>
      <c r="H18" s="1"/>
      <c r="I18" s="1"/>
      <c r="J18" s="1"/>
      <c r="K18" s="1"/>
      <c r="L18" s="1"/>
      <c r="M18" s="1"/>
      <c r="N18" s="17"/>
    </row>
    <row r="19" spans="2:14" ht="15" customHeight="1" x14ac:dyDescent="0.25">
      <c r="B19" s="19"/>
      <c r="C19" s="5" t="s">
        <v>38</v>
      </c>
      <c r="D19" s="6" t="s">
        <v>27</v>
      </c>
      <c r="E19" s="11">
        <v>2.1184000000000001E-2</v>
      </c>
      <c r="F19" s="1"/>
      <c r="G19" s="1"/>
      <c r="H19" s="1"/>
      <c r="I19" s="1"/>
      <c r="J19" s="1"/>
      <c r="K19" s="1"/>
      <c r="L19" s="1"/>
      <c r="M19" s="1"/>
      <c r="N19" s="17"/>
    </row>
    <row r="20" spans="2:14" ht="15" customHeight="1" x14ac:dyDescent="0.25">
      <c r="B20" s="19"/>
      <c r="C20" s="5" t="s">
        <v>40</v>
      </c>
      <c r="D20" s="6" t="s">
        <v>27</v>
      </c>
      <c r="E20" s="11">
        <v>1.8082000000000001E-2</v>
      </c>
      <c r="F20" s="1"/>
      <c r="G20" s="1"/>
      <c r="H20" s="1"/>
      <c r="I20" s="1"/>
      <c r="J20" s="1"/>
      <c r="K20" s="1"/>
      <c r="L20" s="1"/>
      <c r="M20" s="1"/>
      <c r="N20" s="17"/>
    </row>
    <row r="21" spans="2:14" ht="15" customHeight="1" x14ac:dyDescent="0.25">
      <c r="B21" s="19"/>
      <c r="C21" s="5" t="s">
        <v>43</v>
      </c>
      <c r="D21" s="6" t="s">
        <v>27</v>
      </c>
      <c r="E21" s="11">
        <v>6.4219999999999998E-3</v>
      </c>
      <c r="F21" s="1"/>
      <c r="G21" s="1"/>
      <c r="H21" s="1"/>
      <c r="I21" s="1"/>
      <c r="J21" s="1"/>
      <c r="K21" s="1"/>
      <c r="L21" s="1"/>
      <c r="M21" s="1"/>
      <c r="N21" s="17"/>
    </row>
    <row r="22" spans="2:14" ht="15" customHeight="1" x14ac:dyDescent="0.25">
      <c r="B22" s="19"/>
      <c r="C22" s="5" t="s">
        <v>88</v>
      </c>
      <c r="D22" s="6" t="s">
        <v>27</v>
      </c>
      <c r="E22" s="11">
        <v>7.4899999999999999E-4</v>
      </c>
      <c r="F22" s="1"/>
      <c r="G22" s="1"/>
      <c r="H22" s="1"/>
      <c r="I22" s="1"/>
      <c r="J22" s="1"/>
      <c r="K22" s="1"/>
      <c r="L22" s="1"/>
      <c r="M22" s="1"/>
      <c r="N22" s="17"/>
    </row>
    <row r="23" spans="2:14" ht="15" customHeight="1" x14ac:dyDescent="0.25">
      <c r="B23" s="19"/>
      <c r="C23" s="5" t="s">
        <v>19</v>
      </c>
      <c r="D23" s="6" t="s">
        <v>27</v>
      </c>
      <c r="E23" s="11">
        <v>3.9100000000000002E-4</v>
      </c>
      <c r="F23" s="1"/>
      <c r="G23" s="1"/>
      <c r="H23" s="1"/>
      <c r="I23" s="1"/>
      <c r="J23" s="1"/>
      <c r="K23" s="1"/>
      <c r="L23" s="1"/>
      <c r="M23" s="1"/>
      <c r="N23" s="17"/>
    </row>
    <row r="24" spans="2:14" ht="15.75" customHeight="1" x14ac:dyDescent="0.25">
      <c r="B24" s="19"/>
      <c r="C24" s="7" t="s">
        <v>45</v>
      </c>
      <c r="D24" s="8"/>
      <c r="E24" s="12">
        <v>0.754274</v>
      </c>
      <c r="F24" s="1"/>
      <c r="G24" s="1"/>
      <c r="H24" s="1"/>
      <c r="I24" s="1"/>
      <c r="J24" s="1"/>
      <c r="K24" s="1"/>
      <c r="L24" s="1"/>
      <c r="M24" s="1"/>
      <c r="N24" s="17"/>
    </row>
    <row r="25" spans="2:14" ht="15" customHeight="1" x14ac:dyDescent="0.25">
      <c r="B25" s="19"/>
      <c r="C25" s="5" t="s">
        <v>51</v>
      </c>
      <c r="D25" s="6" t="s">
        <v>47</v>
      </c>
      <c r="E25" s="11">
        <v>0.100898</v>
      </c>
      <c r="F25" s="1"/>
      <c r="G25" s="1"/>
      <c r="H25" s="1"/>
      <c r="I25" s="1"/>
      <c r="J25" s="1"/>
      <c r="K25" s="1"/>
      <c r="L25" s="1"/>
      <c r="M25" s="1"/>
      <c r="N25" s="17"/>
    </row>
    <row r="26" spans="2:14" ht="15" customHeight="1" x14ac:dyDescent="0.25">
      <c r="B26" s="19"/>
      <c r="C26" s="5" t="s">
        <v>68</v>
      </c>
      <c r="D26" s="6" t="s">
        <v>47</v>
      </c>
      <c r="E26" s="11">
        <v>2.3810999999999999E-2</v>
      </c>
      <c r="F26" s="1"/>
      <c r="G26" s="40" t="s">
        <v>17</v>
      </c>
      <c r="H26" s="41"/>
      <c r="I26" s="41"/>
      <c r="J26" s="41"/>
      <c r="K26" s="41"/>
      <c r="L26" s="41"/>
      <c r="M26" s="41"/>
      <c r="N26" s="42"/>
    </row>
    <row r="27" spans="2:14" ht="15" customHeight="1" x14ac:dyDescent="0.25">
      <c r="B27" s="19"/>
      <c r="C27" s="5" t="s">
        <v>75</v>
      </c>
      <c r="D27" s="6" t="s">
        <v>47</v>
      </c>
      <c r="E27" s="11">
        <v>1.8789E-2</v>
      </c>
      <c r="F27" s="1"/>
      <c r="G27" s="1"/>
      <c r="H27" s="1"/>
      <c r="I27" s="1"/>
      <c r="J27" s="1"/>
      <c r="K27" s="1"/>
      <c r="L27" s="1"/>
      <c r="M27" s="1"/>
      <c r="N27" s="17"/>
    </row>
    <row r="28" spans="2:14" ht="15" customHeight="1" x14ac:dyDescent="0.25">
      <c r="B28" s="19"/>
      <c r="C28" s="5" t="s">
        <v>74</v>
      </c>
      <c r="D28" s="6" t="s">
        <v>47</v>
      </c>
      <c r="E28" s="11">
        <v>1.1679999999999999E-2</v>
      </c>
      <c r="F28" s="1"/>
      <c r="G28" s="1"/>
      <c r="H28" s="1"/>
      <c r="I28" s="1"/>
      <c r="J28" s="1"/>
      <c r="K28" s="1"/>
      <c r="L28" s="1"/>
      <c r="M28" s="1"/>
      <c r="N28" s="17"/>
    </row>
    <row r="29" spans="2:14" ht="15" customHeight="1" x14ac:dyDescent="0.25">
      <c r="B29" s="19"/>
      <c r="C29" s="5" t="s">
        <v>55</v>
      </c>
      <c r="D29" s="6" t="s">
        <v>47</v>
      </c>
      <c r="E29" s="11">
        <v>8.6920000000000001E-3</v>
      </c>
      <c r="F29" s="1"/>
      <c r="G29" s="1"/>
      <c r="H29" s="1"/>
      <c r="I29" s="1"/>
      <c r="J29" s="1"/>
      <c r="K29" s="1"/>
      <c r="L29" s="1"/>
      <c r="M29" s="1"/>
      <c r="N29" s="17"/>
    </row>
    <row r="30" spans="2:14" ht="15" customHeight="1" x14ac:dyDescent="0.25">
      <c r="B30" s="19"/>
      <c r="C30" s="5" t="s">
        <v>71</v>
      </c>
      <c r="D30" s="6" t="s">
        <v>47</v>
      </c>
      <c r="E30" s="11">
        <v>6.9069999999999999E-3</v>
      </c>
      <c r="F30" s="1"/>
      <c r="G30" s="1"/>
      <c r="H30" s="1"/>
      <c r="I30" s="1"/>
      <c r="J30" s="1"/>
      <c r="K30" s="1"/>
      <c r="L30" s="1"/>
      <c r="M30" s="1"/>
      <c r="N30" s="17"/>
    </row>
    <row r="31" spans="2:14" ht="15" customHeight="1" x14ac:dyDescent="0.25">
      <c r="B31" s="19"/>
      <c r="C31" s="5" t="s">
        <v>70</v>
      </c>
      <c r="D31" s="6" t="s">
        <v>47</v>
      </c>
      <c r="E31" s="11">
        <v>7.2000000000000002E-5</v>
      </c>
      <c r="F31" s="1"/>
      <c r="G31" s="1"/>
      <c r="H31" s="1"/>
      <c r="I31" s="1"/>
      <c r="J31" s="1"/>
      <c r="K31" s="1"/>
      <c r="L31" s="1"/>
      <c r="M31" s="1"/>
      <c r="N31" s="17"/>
    </row>
    <row r="32" spans="2:14" ht="15.75" customHeight="1" x14ac:dyDescent="0.25">
      <c r="B32" s="19"/>
      <c r="C32" s="7" t="s">
        <v>57</v>
      </c>
      <c r="D32" s="8"/>
      <c r="E32" s="12">
        <v>0.170849</v>
      </c>
      <c r="F32" s="1"/>
      <c r="G32" s="1"/>
      <c r="H32" s="1"/>
      <c r="I32" s="1"/>
      <c r="J32" s="1"/>
      <c r="K32" s="1"/>
      <c r="L32" s="1"/>
      <c r="M32" s="1"/>
      <c r="N32" s="17"/>
    </row>
    <row r="33" spans="2:14" ht="15" customHeight="1" x14ac:dyDescent="0.25">
      <c r="B33" s="19"/>
      <c r="C33" s="5" t="s">
        <v>211</v>
      </c>
      <c r="D33" s="6" t="s">
        <v>76</v>
      </c>
      <c r="E33" s="11">
        <v>5.7759999999999999E-3</v>
      </c>
      <c r="F33" s="1"/>
      <c r="G33" s="1"/>
      <c r="H33" s="1"/>
      <c r="I33" s="1"/>
      <c r="J33" s="1"/>
      <c r="K33" s="1"/>
      <c r="L33" s="1"/>
      <c r="M33" s="1"/>
      <c r="N33" s="17"/>
    </row>
    <row r="34" spans="2:14" ht="15.75" customHeight="1" x14ac:dyDescent="0.25">
      <c r="B34" s="19"/>
      <c r="C34" s="7" t="s">
        <v>77</v>
      </c>
      <c r="D34" s="8"/>
      <c r="E34" s="12">
        <v>5.7759999999999999E-3</v>
      </c>
      <c r="F34" s="1"/>
      <c r="G34" s="1"/>
      <c r="H34" s="1"/>
      <c r="I34" s="1"/>
      <c r="J34" s="1"/>
      <c r="K34" s="1"/>
      <c r="L34" s="1"/>
      <c r="M34" s="1"/>
      <c r="N34" s="17"/>
    </row>
    <row r="35" spans="2:14" ht="15" customHeight="1" x14ac:dyDescent="0.25">
      <c r="B35" s="19"/>
      <c r="C35" s="5" t="s">
        <v>81</v>
      </c>
      <c r="D35" s="6" t="s">
        <v>47</v>
      </c>
      <c r="E35" s="11">
        <v>1.5813000000000001E-2</v>
      </c>
      <c r="F35" s="1"/>
      <c r="G35" s="1"/>
      <c r="H35" s="1"/>
      <c r="I35" s="1"/>
      <c r="J35" s="1"/>
      <c r="K35" s="1"/>
      <c r="L35" s="1"/>
      <c r="M35" s="1"/>
      <c r="N35" s="17"/>
    </row>
    <row r="36" spans="2:14" ht="15" customHeight="1" x14ac:dyDescent="0.25">
      <c r="B36" s="19"/>
      <c r="C36" s="5" t="s">
        <v>80</v>
      </c>
      <c r="D36" s="6" t="s">
        <v>47</v>
      </c>
      <c r="E36" s="11">
        <v>1.0654E-2</v>
      </c>
      <c r="F36" s="1"/>
      <c r="G36" s="1"/>
      <c r="H36" s="1"/>
      <c r="I36" s="1"/>
      <c r="J36" s="1"/>
      <c r="K36" s="1"/>
      <c r="L36" s="1"/>
      <c r="M36" s="1"/>
      <c r="N36" s="17"/>
    </row>
    <row r="37" spans="2:14" ht="15" customHeight="1" x14ac:dyDescent="0.25">
      <c r="B37" s="19"/>
      <c r="C37" s="5" t="s">
        <v>83</v>
      </c>
      <c r="D37" s="6" t="s">
        <v>47</v>
      </c>
      <c r="E37" s="11">
        <v>4.4130000000000003E-3</v>
      </c>
      <c r="F37" s="1"/>
      <c r="G37" s="1"/>
      <c r="H37" s="1"/>
      <c r="I37" s="1"/>
      <c r="J37" s="1"/>
      <c r="K37" s="1"/>
      <c r="L37" s="1"/>
      <c r="M37" s="1"/>
      <c r="N37" s="17"/>
    </row>
    <row r="38" spans="2:14" ht="15" customHeight="1" x14ac:dyDescent="0.25">
      <c r="B38" s="19"/>
      <c r="C38" s="5" t="s">
        <v>89</v>
      </c>
      <c r="D38" s="6" t="s">
        <v>47</v>
      </c>
      <c r="E38" s="11">
        <v>1.841E-3</v>
      </c>
      <c r="F38" s="1"/>
      <c r="G38" s="1"/>
      <c r="H38" s="1"/>
      <c r="I38" s="1"/>
      <c r="J38" s="1"/>
      <c r="K38" s="1"/>
      <c r="L38" s="1"/>
      <c r="M38" s="1"/>
      <c r="N38" s="17"/>
    </row>
    <row r="39" spans="2:14" ht="15" customHeight="1" x14ac:dyDescent="0.25">
      <c r="B39" s="19"/>
      <c r="C39" s="5" t="s">
        <v>90</v>
      </c>
      <c r="D39" s="6" t="s">
        <v>47</v>
      </c>
      <c r="E39" s="11">
        <v>1.8389999999999999E-3</v>
      </c>
      <c r="F39" s="1"/>
      <c r="G39" s="1"/>
      <c r="H39" s="1"/>
      <c r="I39" s="1"/>
      <c r="J39" s="1"/>
      <c r="K39" s="1"/>
      <c r="L39" s="1"/>
      <c r="M39" s="1"/>
      <c r="N39" s="17"/>
    </row>
    <row r="40" spans="2:14" ht="15.75" customHeight="1" x14ac:dyDescent="0.25">
      <c r="B40" s="19"/>
      <c r="C40" s="7" t="s">
        <v>84</v>
      </c>
      <c r="D40" s="8"/>
      <c r="E40" s="12">
        <v>3.456E-2</v>
      </c>
      <c r="F40" s="1"/>
      <c r="G40" s="1"/>
      <c r="H40" s="1"/>
      <c r="I40" s="1"/>
      <c r="J40" s="1"/>
      <c r="K40" s="1"/>
      <c r="L40" s="1"/>
      <c r="M40" s="1"/>
      <c r="N40" s="17"/>
    </row>
    <row r="41" spans="2:14" ht="15" customHeight="1" x14ac:dyDescent="0.25">
      <c r="B41" s="19"/>
      <c r="C41" s="5" t="s">
        <v>8</v>
      </c>
      <c r="D41" s="6"/>
      <c r="E41" s="11">
        <v>1.078E-3</v>
      </c>
      <c r="F41" s="1"/>
      <c r="G41" s="1"/>
      <c r="H41" s="1"/>
      <c r="I41" s="1"/>
      <c r="J41" s="1"/>
      <c r="K41" s="1"/>
      <c r="L41" s="1"/>
      <c r="M41" s="1"/>
      <c r="N41" s="17"/>
    </row>
    <row r="42" spans="2:14" ht="15.75" customHeight="1" x14ac:dyDescent="0.25">
      <c r="B42" s="19"/>
      <c r="C42" s="7" t="s">
        <v>9</v>
      </c>
      <c r="D42" s="8"/>
      <c r="E42" s="12">
        <v>1.078E-3</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75" customHeight="1" x14ac:dyDescent="0.25">
      <c r="B44" s="19"/>
      <c r="C44" s="7" t="s">
        <v>10</v>
      </c>
      <c r="D44" s="8"/>
      <c r="E44" s="12">
        <v>3.3463E-2</v>
      </c>
      <c r="F44" s="1"/>
      <c r="G44" s="1"/>
      <c r="H44" s="1"/>
      <c r="I44" s="1"/>
      <c r="J44" s="1"/>
      <c r="K44" s="1"/>
      <c r="L44" s="1"/>
      <c r="M44" s="1"/>
      <c r="N44" s="17"/>
    </row>
    <row r="45" spans="2:14" ht="15" customHeight="1" x14ac:dyDescent="0.25">
      <c r="B45" s="19"/>
      <c r="C45" s="5"/>
      <c r="D45" s="6"/>
      <c r="E45" s="11"/>
      <c r="F45" s="1"/>
      <c r="G45" s="1"/>
      <c r="H45" s="1"/>
      <c r="I45" s="1"/>
      <c r="J45" s="1"/>
      <c r="K45" s="1"/>
      <c r="L45" s="1"/>
      <c r="M45" s="1"/>
      <c r="N45" s="17"/>
    </row>
    <row r="46" spans="2:14" ht="15" customHeight="1" x14ac:dyDescent="0.25">
      <c r="B46" s="19"/>
      <c r="C46" s="9" t="s">
        <v>11</v>
      </c>
      <c r="D46" s="10"/>
      <c r="E46" s="13">
        <v>1</v>
      </c>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t="s">
        <v>210</v>
      </c>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x14ac:dyDescent="0.25">
      <c r="B53" s="19"/>
      <c r="C53" s="1"/>
      <c r="D53" s="1"/>
      <c r="E53" s="1"/>
      <c r="F53" s="1"/>
      <c r="G53" s="1"/>
      <c r="H53" s="1"/>
      <c r="I53" s="1"/>
      <c r="J53" s="1"/>
      <c r="K53" s="1"/>
      <c r="L53" s="1"/>
      <c r="M53" s="1"/>
      <c r="N53" s="17"/>
    </row>
    <row r="54" spans="2:14" ht="15" customHeight="1" thickBot="1" x14ac:dyDescent="0.3">
      <c r="B54" s="20"/>
      <c r="C54" s="21"/>
      <c r="D54" s="21"/>
      <c r="E54" s="21"/>
      <c r="F54" s="21"/>
      <c r="G54" s="21"/>
      <c r="H54" s="21"/>
      <c r="I54" s="21"/>
      <c r="J54" s="21"/>
      <c r="K54" s="21"/>
      <c r="L54" s="21"/>
      <c r="M54" s="21"/>
      <c r="N54" s="22"/>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mergeCells count="4">
    <mergeCell ref="C3:N3"/>
    <mergeCell ref="D5:E5"/>
    <mergeCell ref="G7:N7"/>
    <mergeCell ref="G26:N2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18</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19</v>
      </c>
      <c r="D8" s="6" t="s">
        <v>20</v>
      </c>
      <c r="E8" s="11">
        <v>8.7510000000000001E-3</v>
      </c>
      <c r="F8" s="1"/>
      <c r="G8" s="23" t="s">
        <v>15</v>
      </c>
      <c r="H8" s="24">
        <v>1</v>
      </c>
      <c r="I8" s="1"/>
      <c r="J8" s="23" t="s">
        <v>12</v>
      </c>
      <c r="K8" s="23" t="s">
        <v>3</v>
      </c>
      <c r="L8" s="1"/>
      <c r="M8" s="1"/>
      <c r="N8" s="17"/>
    </row>
    <row r="9" spans="2:14" ht="15" customHeight="1" x14ac:dyDescent="0.25">
      <c r="B9" s="19"/>
      <c r="C9" s="5" t="s">
        <v>21</v>
      </c>
      <c r="D9" s="6" t="s">
        <v>20</v>
      </c>
      <c r="E9" s="11">
        <v>7.803E-3</v>
      </c>
      <c r="F9" s="1"/>
      <c r="G9" s="1"/>
      <c r="H9" s="1"/>
      <c r="I9" s="1"/>
      <c r="J9" s="23" t="s">
        <v>13</v>
      </c>
      <c r="K9" s="25">
        <v>8.8660000000000006E-3</v>
      </c>
      <c r="L9" s="1"/>
      <c r="M9" s="1"/>
      <c r="N9" s="17"/>
    </row>
    <row r="10" spans="2:14" ht="15" customHeight="1" x14ac:dyDescent="0.25">
      <c r="B10" s="19"/>
      <c r="C10" s="5" t="s">
        <v>22</v>
      </c>
      <c r="D10" s="6" t="s">
        <v>20</v>
      </c>
      <c r="E10" s="11">
        <v>1.41E-3</v>
      </c>
      <c r="F10" s="1"/>
      <c r="G10" s="1"/>
      <c r="H10" s="1"/>
      <c r="I10" s="1"/>
      <c r="J10" s="23" t="s">
        <v>60</v>
      </c>
      <c r="K10" s="25">
        <v>1.7964000000000001E-2</v>
      </c>
      <c r="L10" s="1"/>
      <c r="M10" s="1"/>
      <c r="N10" s="17"/>
    </row>
    <row r="11" spans="2:14" ht="15.75" customHeight="1" x14ac:dyDescent="0.25">
      <c r="B11" s="19"/>
      <c r="C11" s="7" t="s">
        <v>23</v>
      </c>
      <c r="D11" s="8"/>
      <c r="E11" s="12">
        <v>1.7964000000000001E-2</v>
      </c>
      <c r="F11" s="1"/>
      <c r="G11" s="1"/>
      <c r="H11" s="1"/>
      <c r="I11" s="1"/>
      <c r="J11" s="23" t="s">
        <v>61</v>
      </c>
      <c r="K11" s="25">
        <v>0.83134799999999998</v>
      </c>
      <c r="L11" s="1"/>
      <c r="M11" s="1"/>
      <c r="N11" s="17"/>
    </row>
    <row r="12" spans="2:14" ht="15" customHeight="1" x14ac:dyDescent="0.25">
      <c r="B12" s="19"/>
      <c r="C12" s="5" t="s">
        <v>19</v>
      </c>
      <c r="D12" s="6" t="s">
        <v>20</v>
      </c>
      <c r="E12" s="11">
        <v>5.6389999999999999E-3</v>
      </c>
      <c r="F12" s="1"/>
      <c r="G12" s="1"/>
      <c r="H12" s="1"/>
      <c r="I12" s="1"/>
      <c r="J12" s="23" t="s">
        <v>62</v>
      </c>
      <c r="K12" s="25">
        <v>8.6789999999999992E-3</v>
      </c>
      <c r="L12" s="1"/>
      <c r="M12" s="1"/>
      <c r="N12" s="17"/>
    </row>
    <row r="13" spans="2:14" ht="15" customHeight="1" x14ac:dyDescent="0.25">
      <c r="B13" s="19"/>
      <c r="C13" s="5" t="s">
        <v>24</v>
      </c>
      <c r="D13" s="6" t="s">
        <v>20</v>
      </c>
      <c r="E13" s="11">
        <v>2.8119999999999998E-3</v>
      </c>
      <c r="F13" s="1"/>
      <c r="G13" s="1"/>
      <c r="H13" s="1"/>
      <c r="I13" s="1"/>
      <c r="J13" s="23" t="s">
        <v>63</v>
      </c>
      <c r="K13" s="25">
        <v>8.8554999999999995E-2</v>
      </c>
      <c r="L13" s="1"/>
      <c r="M13" s="1"/>
      <c r="N13" s="17"/>
    </row>
    <row r="14" spans="2:14" ht="15" customHeight="1" x14ac:dyDescent="0.25">
      <c r="B14" s="19"/>
      <c r="C14" s="5" t="s">
        <v>25</v>
      </c>
      <c r="D14" s="6" t="s">
        <v>20</v>
      </c>
      <c r="E14" s="11">
        <v>2.2800000000000001E-4</v>
      </c>
      <c r="F14" s="1"/>
      <c r="G14" s="1"/>
      <c r="H14" s="1"/>
      <c r="I14" s="1"/>
      <c r="J14" s="23" t="s">
        <v>64</v>
      </c>
      <c r="K14" s="25">
        <v>7.228E-3</v>
      </c>
      <c r="L14" s="1"/>
      <c r="M14" s="1"/>
      <c r="N14" s="17"/>
    </row>
    <row r="15" spans="2:14" ht="15.75" customHeight="1" x14ac:dyDescent="0.25">
      <c r="B15" s="19"/>
      <c r="C15" s="7" t="s">
        <v>26</v>
      </c>
      <c r="D15" s="8"/>
      <c r="E15" s="12">
        <v>8.6789999999999992E-3</v>
      </c>
      <c r="F15" s="1"/>
      <c r="G15" s="1"/>
      <c r="H15" s="1"/>
      <c r="I15" s="1"/>
      <c r="J15" s="23" t="s">
        <v>65</v>
      </c>
      <c r="K15" s="25">
        <v>6.3049999999999998E-3</v>
      </c>
      <c r="L15" s="1"/>
      <c r="M15" s="1"/>
      <c r="N15" s="17"/>
    </row>
    <row r="16" spans="2:14" ht="15" customHeight="1" x14ac:dyDescent="0.25">
      <c r="B16" s="19"/>
      <c r="C16" s="5" t="s">
        <v>24</v>
      </c>
      <c r="D16" s="6" t="s">
        <v>27</v>
      </c>
      <c r="E16" s="11">
        <v>9.4380000000000006E-2</v>
      </c>
      <c r="F16" s="1"/>
      <c r="G16" s="1"/>
      <c r="H16" s="1"/>
      <c r="I16" s="1"/>
      <c r="J16" s="23" t="s">
        <v>10</v>
      </c>
      <c r="K16" s="25">
        <v>3.1054999999999999E-2</v>
      </c>
      <c r="L16" s="1"/>
      <c r="M16" s="1"/>
      <c r="N16" s="17"/>
    </row>
    <row r="17" spans="2:14" ht="15" customHeight="1" x14ac:dyDescent="0.25">
      <c r="B17" s="19"/>
      <c r="C17" s="5" t="s">
        <v>28</v>
      </c>
      <c r="D17" s="6" t="s">
        <v>27</v>
      </c>
      <c r="E17" s="11">
        <v>7.9379000000000005E-2</v>
      </c>
      <c r="F17" s="1"/>
      <c r="G17" s="1"/>
      <c r="H17" s="1"/>
      <c r="I17" s="1"/>
      <c r="J17" s="1"/>
      <c r="K17" s="1"/>
      <c r="L17" s="1"/>
      <c r="M17" s="1"/>
      <c r="N17" s="17"/>
    </row>
    <row r="18" spans="2:14" ht="15" customHeight="1" x14ac:dyDescent="0.25">
      <c r="B18" s="19"/>
      <c r="C18" s="5" t="s">
        <v>29</v>
      </c>
      <c r="D18" s="6" t="s">
        <v>27</v>
      </c>
      <c r="E18" s="11">
        <v>6.1941000000000003E-2</v>
      </c>
      <c r="F18" s="1"/>
      <c r="G18" s="1"/>
      <c r="H18" s="1"/>
      <c r="I18" s="1"/>
      <c r="J18" s="1"/>
      <c r="K18" s="1"/>
      <c r="L18" s="1"/>
      <c r="M18" s="1"/>
      <c r="N18" s="17"/>
    </row>
    <row r="19" spans="2:14" ht="15" customHeight="1" x14ac:dyDescent="0.25">
      <c r="B19" s="19"/>
      <c r="C19" s="5" t="s">
        <v>30</v>
      </c>
      <c r="D19" s="6" t="s">
        <v>27</v>
      </c>
      <c r="E19" s="11">
        <v>6.0037E-2</v>
      </c>
      <c r="F19" s="1"/>
      <c r="G19" s="1"/>
      <c r="H19" s="1"/>
      <c r="I19" s="1"/>
      <c r="J19" s="1"/>
      <c r="K19" s="1"/>
      <c r="L19" s="1"/>
      <c r="M19" s="1"/>
      <c r="N19" s="17"/>
    </row>
    <row r="20" spans="2:14" ht="15" customHeight="1" x14ac:dyDescent="0.25">
      <c r="B20" s="19"/>
      <c r="C20" s="5" t="s">
        <v>31</v>
      </c>
      <c r="D20" s="6" t="s">
        <v>27</v>
      </c>
      <c r="E20" s="11">
        <v>5.9791999999999998E-2</v>
      </c>
      <c r="F20" s="1"/>
      <c r="G20" s="1"/>
      <c r="H20" s="1"/>
      <c r="I20" s="1"/>
      <c r="J20" s="1"/>
      <c r="K20" s="1"/>
      <c r="L20" s="1"/>
      <c r="M20" s="1"/>
      <c r="N20" s="17"/>
    </row>
    <row r="21" spans="2:14" ht="15" customHeight="1" x14ac:dyDescent="0.25">
      <c r="B21" s="19"/>
      <c r="C21" s="5" t="s">
        <v>21</v>
      </c>
      <c r="D21" s="6" t="s">
        <v>27</v>
      </c>
      <c r="E21" s="11">
        <v>5.7266999999999998E-2</v>
      </c>
      <c r="F21" s="1"/>
      <c r="G21" s="1"/>
      <c r="H21" s="1"/>
      <c r="I21" s="1"/>
      <c r="J21" s="1"/>
      <c r="K21" s="1"/>
      <c r="L21" s="1"/>
      <c r="M21" s="1"/>
      <c r="N21" s="17"/>
    </row>
    <row r="22" spans="2:14" ht="15" customHeight="1" x14ac:dyDescent="0.25">
      <c r="B22" s="19"/>
      <c r="C22" s="5" t="s">
        <v>32</v>
      </c>
      <c r="D22" s="6" t="s">
        <v>27</v>
      </c>
      <c r="E22" s="11">
        <v>5.5598000000000002E-2</v>
      </c>
      <c r="F22" s="1"/>
      <c r="G22" s="1"/>
      <c r="H22" s="1"/>
      <c r="I22" s="1"/>
      <c r="J22" s="1"/>
      <c r="K22" s="1"/>
      <c r="L22" s="1"/>
      <c r="M22" s="1"/>
      <c r="N22" s="17"/>
    </row>
    <row r="23" spans="2:14" ht="15" customHeight="1" x14ac:dyDescent="0.25">
      <c r="B23" s="19"/>
      <c r="C23" s="5" t="s">
        <v>33</v>
      </c>
      <c r="D23" s="6" t="s">
        <v>27</v>
      </c>
      <c r="E23" s="11">
        <v>5.5030000000000003E-2</v>
      </c>
      <c r="F23" s="1"/>
      <c r="G23" s="1"/>
      <c r="H23" s="1"/>
      <c r="I23" s="1"/>
      <c r="J23" s="1"/>
      <c r="K23" s="1"/>
      <c r="L23" s="1"/>
      <c r="M23" s="1"/>
      <c r="N23" s="17"/>
    </row>
    <row r="24" spans="2:14" ht="15" customHeight="1" x14ac:dyDescent="0.25">
      <c r="B24" s="19"/>
      <c r="C24" s="5" t="s">
        <v>34</v>
      </c>
      <c r="D24" s="6" t="s">
        <v>27</v>
      </c>
      <c r="E24" s="11">
        <v>5.2791999999999999E-2</v>
      </c>
      <c r="F24" s="1"/>
      <c r="G24" s="1"/>
      <c r="H24" s="1"/>
      <c r="I24" s="1"/>
      <c r="J24" s="1"/>
      <c r="K24" s="1"/>
      <c r="L24" s="1"/>
      <c r="M24" s="1"/>
      <c r="N24" s="17"/>
    </row>
    <row r="25" spans="2:14" ht="15" customHeight="1" x14ac:dyDescent="0.25">
      <c r="B25" s="19"/>
      <c r="C25" s="5" t="s">
        <v>35</v>
      </c>
      <c r="D25" s="6" t="s">
        <v>27</v>
      </c>
      <c r="E25" s="11">
        <v>5.0381000000000002E-2</v>
      </c>
      <c r="F25" s="1"/>
      <c r="G25" s="1"/>
      <c r="H25" s="1"/>
      <c r="I25" s="1"/>
      <c r="J25" s="1"/>
      <c r="K25" s="1"/>
      <c r="L25" s="1"/>
      <c r="M25" s="1"/>
      <c r="N25" s="17"/>
    </row>
    <row r="26" spans="2:14" ht="15" customHeight="1" x14ac:dyDescent="0.25">
      <c r="B26" s="19"/>
      <c r="C26" s="5" t="s">
        <v>36</v>
      </c>
      <c r="D26" s="6" t="s">
        <v>27</v>
      </c>
      <c r="E26" s="11">
        <v>3.7490999999999997E-2</v>
      </c>
      <c r="F26" s="1"/>
      <c r="G26" s="40" t="s">
        <v>17</v>
      </c>
      <c r="H26" s="41"/>
      <c r="I26" s="41"/>
      <c r="J26" s="41"/>
      <c r="K26" s="41"/>
      <c r="L26" s="41"/>
      <c r="M26" s="41"/>
      <c r="N26" s="42"/>
    </row>
    <row r="27" spans="2:14" ht="15" customHeight="1" x14ac:dyDescent="0.25">
      <c r="B27" s="19"/>
      <c r="C27" s="5" t="s">
        <v>25</v>
      </c>
      <c r="D27" s="6" t="s">
        <v>27</v>
      </c>
      <c r="E27" s="11">
        <v>3.2927999999999999E-2</v>
      </c>
      <c r="F27" s="1"/>
      <c r="G27" s="1"/>
      <c r="H27" s="1"/>
      <c r="I27" s="1"/>
      <c r="J27" s="1"/>
      <c r="K27" s="1"/>
      <c r="L27" s="1"/>
      <c r="M27" s="1"/>
      <c r="N27" s="17"/>
    </row>
    <row r="28" spans="2:14" ht="15" customHeight="1" x14ac:dyDescent="0.25">
      <c r="B28" s="19"/>
      <c r="C28" s="5" t="s">
        <v>19</v>
      </c>
      <c r="D28" s="6" t="s">
        <v>27</v>
      </c>
      <c r="E28" s="11">
        <v>2.8833000000000001E-2</v>
      </c>
      <c r="F28" s="1"/>
      <c r="G28" s="1"/>
      <c r="H28" s="1"/>
      <c r="I28" s="1"/>
      <c r="J28" s="1"/>
      <c r="K28" s="1"/>
      <c r="L28" s="1"/>
      <c r="M28" s="1"/>
      <c r="N28" s="17"/>
    </row>
    <row r="29" spans="2:14" ht="15" customHeight="1" x14ac:dyDescent="0.25">
      <c r="B29" s="19"/>
      <c r="C29" s="5" t="s">
        <v>37</v>
      </c>
      <c r="D29" s="6" t="s">
        <v>27</v>
      </c>
      <c r="E29" s="11">
        <v>2.7061000000000002E-2</v>
      </c>
      <c r="F29" s="1"/>
      <c r="G29" s="1"/>
      <c r="H29" s="1"/>
      <c r="I29" s="1"/>
      <c r="J29" s="1"/>
      <c r="K29" s="1"/>
      <c r="L29" s="1"/>
      <c r="M29" s="1"/>
      <c r="N29" s="17"/>
    </row>
    <row r="30" spans="2:14" ht="15" customHeight="1" x14ac:dyDescent="0.25">
      <c r="B30" s="19"/>
      <c r="C30" s="5" t="s">
        <v>38</v>
      </c>
      <c r="D30" s="6" t="s">
        <v>27</v>
      </c>
      <c r="E30" s="11">
        <v>2.2623000000000001E-2</v>
      </c>
      <c r="F30" s="1"/>
      <c r="G30" s="1"/>
      <c r="H30" s="1"/>
      <c r="I30" s="1"/>
      <c r="J30" s="1"/>
      <c r="K30" s="1"/>
      <c r="L30" s="1"/>
      <c r="M30" s="1"/>
      <c r="N30" s="17"/>
    </row>
    <row r="31" spans="2:14" ht="15" customHeight="1" x14ac:dyDescent="0.25">
      <c r="B31" s="19"/>
      <c r="C31" s="5" t="s">
        <v>39</v>
      </c>
      <c r="D31" s="6" t="s">
        <v>27</v>
      </c>
      <c r="E31" s="11">
        <v>1.7809999999999999E-2</v>
      </c>
      <c r="F31" s="1"/>
      <c r="G31" s="1"/>
      <c r="H31" s="1"/>
      <c r="I31" s="1"/>
      <c r="J31" s="1"/>
      <c r="K31" s="1"/>
      <c r="L31" s="1"/>
      <c r="M31" s="1"/>
      <c r="N31" s="17"/>
    </row>
    <row r="32" spans="2:14" ht="15" customHeight="1" x14ac:dyDescent="0.25">
      <c r="B32" s="19"/>
      <c r="C32" s="5" t="s">
        <v>40</v>
      </c>
      <c r="D32" s="6" t="s">
        <v>27</v>
      </c>
      <c r="E32" s="11">
        <v>1.4142E-2</v>
      </c>
      <c r="F32" s="1"/>
      <c r="G32" s="1"/>
      <c r="H32" s="1"/>
      <c r="I32" s="1"/>
      <c r="J32" s="1"/>
      <c r="K32" s="1"/>
      <c r="L32" s="1"/>
      <c r="M32" s="1"/>
      <c r="N32" s="17"/>
    </row>
    <row r="33" spans="2:14" ht="15" customHeight="1" x14ac:dyDescent="0.25">
      <c r="B33" s="19"/>
      <c r="C33" s="5" t="s">
        <v>41</v>
      </c>
      <c r="D33" s="6" t="s">
        <v>27</v>
      </c>
      <c r="E33" s="11">
        <v>9.9000000000000008E-3</v>
      </c>
      <c r="F33" s="1"/>
      <c r="G33" s="1"/>
      <c r="H33" s="1"/>
      <c r="I33" s="1"/>
      <c r="J33" s="1"/>
      <c r="K33" s="1"/>
      <c r="L33" s="1"/>
      <c r="M33" s="1"/>
      <c r="N33" s="17"/>
    </row>
    <row r="34" spans="2:14" ht="15" customHeight="1" x14ac:dyDescent="0.25">
      <c r="B34" s="19"/>
      <c r="C34" s="5" t="s">
        <v>42</v>
      </c>
      <c r="D34" s="6" t="s">
        <v>27</v>
      </c>
      <c r="E34" s="11">
        <v>8.8610000000000008E-3</v>
      </c>
      <c r="F34" s="1"/>
      <c r="G34" s="1"/>
      <c r="H34" s="1"/>
      <c r="I34" s="1"/>
      <c r="J34" s="1"/>
      <c r="K34" s="1"/>
      <c r="L34" s="1"/>
      <c r="M34" s="1"/>
      <c r="N34" s="17"/>
    </row>
    <row r="35" spans="2:14" ht="15" customHeight="1" x14ac:dyDescent="0.25">
      <c r="B35" s="19"/>
      <c r="C35" s="5" t="s">
        <v>43</v>
      </c>
      <c r="D35" s="6" t="s">
        <v>27</v>
      </c>
      <c r="E35" s="11">
        <v>4.8690000000000001E-3</v>
      </c>
      <c r="F35" s="1"/>
      <c r="G35" s="1"/>
      <c r="H35" s="1"/>
      <c r="I35" s="1"/>
      <c r="J35" s="1"/>
      <c r="K35" s="1"/>
      <c r="L35" s="1"/>
      <c r="M35" s="1"/>
      <c r="N35" s="17"/>
    </row>
    <row r="36" spans="2:14" ht="15" customHeight="1" x14ac:dyDescent="0.25">
      <c r="B36" s="19"/>
      <c r="C36" s="5" t="s">
        <v>44</v>
      </c>
      <c r="D36" s="6" t="s">
        <v>27</v>
      </c>
      <c r="E36" s="11">
        <v>2.33E-4</v>
      </c>
      <c r="F36" s="1"/>
      <c r="G36" s="1"/>
      <c r="H36" s="1"/>
      <c r="I36" s="1"/>
      <c r="J36" s="1"/>
      <c r="K36" s="1"/>
      <c r="L36" s="1"/>
      <c r="M36" s="1"/>
      <c r="N36" s="17"/>
    </row>
    <row r="37" spans="2:14" ht="15.75" customHeight="1" x14ac:dyDescent="0.25">
      <c r="B37" s="19"/>
      <c r="C37" s="7" t="s">
        <v>45</v>
      </c>
      <c r="D37" s="8"/>
      <c r="E37" s="12">
        <v>0.83134799999999998</v>
      </c>
      <c r="F37" s="1"/>
      <c r="G37" s="1"/>
      <c r="H37" s="1"/>
      <c r="I37" s="1"/>
      <c r="J37" s="1"/>
      <c r="K37" s="1"/>
      <c r="L37" s="1"/>
      <c r="M37" s="1"/>
      <c r="N37" s="17"/>
    </row>
    <row r="38" spans="2:14" ht="15" customHeight="1" x14ac:dyDescent="0.25">
      <c r="B38" s="19"/>
      <c r="C38" s="5" t="s">
        <v>46</v>
      </c>
      <c r="D38" s="6" t="s">
        <v>47</v>
      </c>
      <c r="E38" s="11">
        <v>2.6669999999999999E-2</v>
      </c>
      <c r="F38" s="1"/>
      <c r="G38" s="1"/>
      <c r="H38" s="1"/>
      <c r="I38" s="1"/>
      <c r="J38" s="1"/>
      <c r="K38" s="1"/>
      <c r="L38" s="1"/>
      <c r="M38" s="1"/>
      <c r="N38" s="17"/>
    </row>
    <row r="39" spans="2:14" ht="15" customHeight="1" x14ac:dyDescent="0.25">
      <c r="B39" s="19"/>
      <c r="C39" s="5" t="s">
        <v>48</v>
      </c>
      <c r="D39" s="6" t="s">
        <v>47</v>
      </c>
      <c r="E39" s="11">
        <v>1.6459999999999999E-2</v>
      </c>
      <c r="F39" s="1"/>
      <c r="G39" s="1"/>
      <c r="H39" s="1"/>
      <c r="I39" s="1"/>
      <c r="J39" s="1"/>
      <c r="K39" s="1"/>
      <c r="L39" s="1"/>
      <c r="M39" s="1"/>
      <c r="N39" s="17"/>
    </row>
    <row r="40" spans="2:14" ht="15" customHeight="1" x14ac:dyDescent="0.25">
      <c r="B40" s="19"/>
      <c r="C40" s="5" t="s">
        <v>49</v>
      </c>
      <c r="D40" s="6" t="s">
        <v>47</v>
      </c>
      <c r="E40" s="11">
        <v>1.3283E-2</v>
      </c>
      <c r="F40" s="1"/>
      <c r="G40" s="1"/>
      <c r="H40" s="1"/>
      <c r="I40" s="1"/>
      <c r="J40" s="1"/>
      <c r="K40" s="1"/>
      <c r="L40" s="1"/>
      <c r="M40" s="1"/>
      <c r="N40" s="17"/>
    </row>
    <row r="41" spans="2:14" ht="15" customHeight="1" x14ac:dyDescent="0.25">
      <c r="B41" s="19"/>
      <c r="C41" s="5" t="s">
        <v>50</v>
      </c>
      <c r="D41" s="6" t="s">
        <v>47</v>
      </c>
      <c r="E41" s="11">
        <v>1.2168E-2</v>
      </c>
      <c r="F41" s="1"/>
      <c r="G41" s="1"/>
      <c r="H41" s="1"/>
      <c r="I41" s="1"/>
      <c r="J41" s="1"/>
      <c r="K41" s="1"/>
      <c r="L41" s="1"/>
      <c r="M41" s="1"/>
      <c r="N41" s="17"/>
    </row>
    <row r="42" spans="2:14" ht="15" customHeight="1" x14ac:dyDescent="0.25">
      <c r="B42" s="19"/>
      <c r="C42" s="5" t="s">
        <v>51</v>
      </c>
      <c r="D42" s="6" t="s">
        <v>47</v>
      </c>
      <c r="E42" s="11">
        <v>9.7839999999999993E-3</v>
      </c>
      <c r="F42" s="1"/>
      <c r="G42" s="1"/>
      <c r="H42" s="1"/>
      <c r="I42" s="1"/>
      <c r="J42" s="1"/>
      <c r="K42" s="1"/>
      <c r="L42" s="1"/>
      <c r="M42" s="1"/>
      <c r="N42" s="17"/>
    </row>
    <row r="43" spans="2:14" ht="15" customHeight="1" x14ac:dyDescent="0.25">
      <c r="B43" s="19"/>
      <c r="C43" s="5" t="s">
        <v>52</v>
      </c>
      <c r="D43" s="6" t="s">
        <v>47</v>
      </c>
      <c r="E43" s="11">
        <v>3.5079999999999998E-3</v>
      </c>
      <c r="F43" s="1"/>
      <c r="G43" s="1"/>
      <c r="H43" s="1"/>
      <c r="I43" s="1"/>
      <c r="J43" s="1"/>
      <c r="K43" s="1"/>
      <c r="L43" s="1"/>
      <c r="M43" s="1"/>
      <c r="N43" s="17"/>
    </row>
    <row r="44" spans="2:14" ht="15" customHeight="1" x14ac:dyDescent="0.25">
      <c r="B44" s="19"/>
      <c r="C44" s="5" t="s">
        <v>53</v>
      </c>
      <c r="D44" s="6" t="s">
        <v>47</v>
      </c>
      <c r="E44" s="11">
        <v>3.009E-3</v>
      </c>
      <c r="F44" s="1"/>
      <c r="G44" s="1"/>
      <c r="H44" s="1"/>
      <c r="I44" s="1"/>
      <c r="J44" s="1"/>
      <c r="K44" s="1"/>
      <c r="L44" s="1"/>
      <c r="M44" s="1"/>
      <c r="N44" s="17"/>
    </row>
    <row r="45" spans="2:14" ht="15" customHeight="1" x14ac:dyDescent="0.25">
      <c r="B45" s="19"/>
      <c r="C45" s="5" t="s">
        <v>54</v>
      </c>
      <c r="D45" s="6" t="s">
        <v>47</v>
      </c>
      <c r="E45" s="11">
        <v>1.8220000000000001E-3</v>
      </c>
      <c r="F45" s="1"/>
      <c r="G45" s="1"/>
      <c r="H45" s="1"/>
      <c r="I45" s="1"/>
      <c r="J45" s="1"/>
      <c r="K45" s="1"/>
      <c r="L45" s="1"/>
      <c r="M45" s="1"/>
      <c r="N45" s="17"/>
    </row>
    <row r="46" spans="2:14" ht="15" customHeight="1" x14ac:dyDescent="0.25">
      <c r="B46" s="19"/>
      <c r="C46" s="5" t="s">
        <v>55</v>
      </c>
      <c r="D46" s="6" t="s">
        <v>47</v>
      </c>
      <c r="E46" s="11">
        <v>1.2210000000000001E-3</v>
      </c>
      <c r="F46" s="1"/>
      <c r="G46" s="1"/>
      <c r="H46" s="1"/>
      <c r="I46" s="1"/>
      <c r="J46" s="1"/>
      <c r="K46" s="1"/>
      <c r="L46" s="1"/>
      <c r="M46" s="1"/>
      <c r="N46" s="17"/>
    </row>
    <row r="47" spans="2:14" ht="15" customHeight="1" x14ac:dyDescent="0.25">
      <c r="B47" s="19"/>
      <c r="C47" s="5" t="s">
        <v>56</v>
      </c>
      <c r="D47" s="6" t="s">
        <v>47</v>
      </c>
      <c r="E47" s="11">
        <v>6.3000000000000003E-4</v>
      </c>
      <c r="F47" s="1"/>
      <c r="G47" s="1"/>
      <c r="H47" s="1"/>
      <c r="I47" s="1"/>
      <c r="J47" s="1"/>
      <c r="K47" s="1"/>
      <c r="L47" s="1"/>
      <c r="M47" s="1"/>
      <c r="N47" s="17"/>
    </row>
    <row r="48" spans="2:14" ht="15.75" customHeight="1" x14ac:dyDescent="0.25">
      <c r="B48" s="19"/>
      <c r="C48" s="7" t="s">
        <v>57</v>
      </c>
      <c r="D48" s="8"/>
      <c r="E48" s="12">
        <v>8.8554999999999995E-2</v>
      </c>
      <c r="F48" s="1"/>
      <c r="G48" s="1"/>
      <c r="H48" s="1"/>
      <c r="I48" s="1"/>
      <c r="J48" s="1"/>
      <c r="K48" s="1"/>
      <c r="L48" s="1"/>
      <c r="M48" s="1"/>
      <c r="N48" s="17"/>
    </row>
    <row r="49" spans="2:14" ht="15.75" customHeight="1" x14ac:dyDescent="0.25">
      <c r="B49" s="19"/>
      <c r="C49" s="5" t="s">
        <v>173</v>
      </c>
      <c r="D49" s="6" t="s">
        <v>47</v>
      </c>
      <c r="E49" s="11">
        <v>3.114E-3</v>
      </c>
      <c r="F49" s="1"/>
      <c r="G49" s="1"/>
      <c r="H49" s="1"/>
      <c r="I49" s="1"/>
      <c r="J49" s="1"/>
      <c r="K49" s="1"/>
      <c r="L49" s="1"/>
      <c r="M49" s="1"/>
      <c r="N49" s="17"/>
    </row>
    <row r="50" spans="2:14" ht="15" customHeight="1" x14ac:dyDescent="0.25">
      <c r="B50" s="19"/>
      <c r="C50" s="5" t="s">
        <v>174</v>
      </c>
      <c r="D50" s="6" t="s">
        <v>47</v>
      </c>
      <c r="E50" s="11">
        <v>1.41E-3</v>
      </c>
      <c r="F50" s="1"/>
      <c r="G50" s="1"/>
      <c r="H50" s="1"/>
      <c r="I50" s="1"/>
      <c r="J50" s="1"/>
      <c r="K50" s="1"/>
      <c r="L50" s="1"/>
      <c r="M50" s="1"/>
      <c r="N50" s="17"/>
    </row>
    <row r="51" spans="2:14" ht="15.75" customHeight="1" x14ac:dyDescent="0.25">
      <c r="B51" s="19"/>
      <c r="C51" s="5" t="s">
        <v>175</v>
      </c>
      <c r="D51" s="6" t="s">
        <v>47</v>
      </c>
      <c r="E51" s="11">
        <v>8.5400000000000005E-4</v>
      </c>
      <c r="F51" s="1"/>
      <c r="G51" s="1"/>
      <c r="H51" s="1"/>
      <c r="I51" s="1"/>
      <c r="J51" s="1"/>
      <c r="K51" s="1"/>
      <c r="L51" s="1"/>
      <c r="M51" s="1"/>
      <c r="N51" s="17"/>
    </row>
    <row r="52" spans="2:14" ht="15" customHeight="1" x14ac:dyDescent="0.25">
      <c r="B52" s="19"/>
      <c r="C52" s="5" t="s">
        <v>176</v>
      </c>
      <c r="D52" s="6" t="s">
        <v>47</v>
      </c>
      <c r="E52" s="11">
        <v>6.0800000000000003E-4</v>
      </c>
      <c r="F52" s="1"/>
      <c r="G52" s="1"/>
      <c r="H52" s="1"/>
      <c r="I52" s="1"/>
      <c r="J52" s="1"/>
      <c r="K52" s="1"/>
      <c r="L52" s="1"/>
      <c r="M52" s="1"/>
      <c r="N52" s="17"/>
    </row>
    <row r="53" spans="2:14" ht="15.75" customHeight="1" x14ac:dyDescent="0.25">
      <c r="B53" s="19"/>
      <c r="C53" s="5" t="s">
        <v>177</v>
      </c>
      <c r="D53" s="6" t="s">
        <v>47</v>
      </c>
      <c r="E53" s="11">
        <v>6.0599999999999998E-4</v>
      </c>
      <c r="F53" s="1"/>
      <c r="G53" s="1"/>
      <c r="H53" s="1"/>
      <c r="I53" s="1"/>
      <c r="J53" s="1"/>
      <c r="K53" s="1"/>
      <c r="L53" s="1"/>
      <c r="M53" s="1"/>
      <c r="N53" s="17"/>
    </row>
    <row r="54" spans="2:14" ht="15" customHeight="1" x14ac:dyDescent="0.25">
      <c r="B54" s="19"/>
      <c r="C54" s="5" t="s">
        <v>178</v>
      </c>
      <c r="D54" s="6" t="s">
        <v>47</v>
      </c>
      <c r="E54" s="11">
        <v>3.01E-4</v>
      </c>
      <c r="F54" s="1"/>
      <c r="G54" s="1"/>
      <c r="H54" s="1"/>
      <c r="I54" s="1"/>
      <c r="J54" s="1"/>
      <c r="K54" s="1"/>
      <c r="L54" s="1"/>
      <c r="M54" s="1"/>
      <c r="N54" s="17"/>
    </row>
    <row r="55" spans="2:14" ht="15.75" customHeight="1" x14ac:dyDescent="0.25">
      <c r="B55" s="19"/>
      <c r="C55" s="5" t="s">
        <v>179</v>
      </c>
      <c r="D55" s="6" t="s">
        <v>47</v>
      </c>
      <c r="E55" s="11">
        <v>1.73E-4</v>
      </c>
      <c r="F55" s="1"/>
      <c r="G55" s="1"/>
      <c r="H55" s="1"/>
      <c r="I55" s="1"/>
      <c r="J55" s="1"/>
      <c r="K55" s="1"/>
      <c r="L55" s="1"/>
      <c r="M55" s="1"/>
      <c r="N55" s="17"/>
    </row>
    <row r="56" spans="2:14" ht="15" customHeight="1" x14ac:dyDescent="0.25">
      <c r="B56" s="19"/>
      <c r="C56" s="5" t="s">
        <v>180</v>
      </c>
      <c r="D56" s="6" t="s">
        <v>47</v>
      </c>
      <c r="E56" s="11">
        <v>1.3300000000000001E-4</v>
      </c>
      <c r="F56" s="1"/>
      <c r="G56" s="1"/>
      <c r="H56" s="1"/>
      <c r="I56" s="1"/>
      <c r="J56" s="1"/>
      <c r="K56" s="1"/>
      <c r="L56" s="1"/>
      <c r="M56" s="1"/>
      <c r="N56" s="17"/>
    </row>
    <row r="57" spans="2:14" ht="15" customHeight="1" x14ac:dyDescent="0.25">
      <c r="B57" s="19"/>
      <c r="C57" s="5" t="s">
        <v>172</v>
      </c>
      <c r="D57" s="6" t="s">
        <v>47</v>
      </c>
      <c r="E57" s="30">
        <v>2.9E-5</v>
      </c>
      <c r="F57" s="1"/>
      <c r="G57" s="1"/>
      <c r="H57" s="1"/>
      <c r="I57" s="1"/>
      <c r="J57" s="1"/>
      <c r="K57" s="1"/>
      <c r="L57" s="1"/>
      <c r="M57" s="1"/>
      <c r="N57" s="17"/>
    </row>
    <row r="58" spans="2:14" ht="15" customHeight="1" x14ac:dyDescent="0.25">
      <c r="B58" s="19"/>
      <c r="C58" s="7" t="s">
        <v>58</v>
      </c>
      <c r="D58" s="8"/>
      <c r="E58" s="12">
        <v>7.228E-3</v>
      </c>
      <c r="F58" s="1"/>
      <c r="G58" s="1"/>
      <c r="H58" s="1"/>
      <c r="I58" s="1"/>
      <c r="J58" s="1"/>
      <c r="K58" s="1"/>
      <c r="L58" s="1"/>
      <c r="M58" s="1"/>
      <c r="N58" s="17"/>
    </row>
    <row r="59" spans="2:14" ht="15" customHeight="1" x14ac:dyDescent="0.25">
      <c r="B59" s="19"/>
      <c r="C59" s="5" t="s">
        <v>8</v>
      </c>
      <c r="D59" s="6"/>
      <c r="E59" s="11">
        <v>8.8660000000000006E-3</v>
      </c>
      <c r="F59" s="1"/>
      <c r="G59" s="1"/>
      <c r="H59" s="1"/>
      <c r="I59" s="1"/>
      <c r="J59" s="1"/>
      <c r="K59" s="1"/>
      <c r="L59" s="1"/>
      <c r="M59" s="1"/>
      <c r="N59" s="17"/>
    </row>
    <row r="60" spans="2:14" ht="15" customHeight="1" x14ac:dyDescent="0.25">
      <c r="B60" s="19"/>
      <c r="C60" s="7" t="s">
        <v>9</v>
      </c>
      <c r="D60" s="8"/>
      <c r="E60" s="12">
        <v>8.8660000000000006E-3</v>
      </c>
      <c r="F60" s="1"/>
      <c r="G60" s="1"/>
      <c r="H60" s="1"/>
      <c r="I60" s="1"/>
      <c r="J60" s="1"/>
      <c r="K60" s="1"/>
      <c r="L60" s="1"/>
      <c r="M60" s="1"/>
      <c r="N60" s="17"/>
    </row>
    <row r="61" spans="2:14" ht="15" customHeight="1" x14ac:dyDescent="0.25">
      <c r="B61" s="19"/>
      <c r="C61" s="5" t="s">
        <v>34</v>
      </c>
      <c r="D61" s="6" t="s">
        <v>27</v>
      </c>
      <c r="E61" s="11">
        <v>6.3049999999999998E-3</v>
      </c>
      <c r="F61" s="1"/>
      <c r="G61" s="1"/>
      <c r="H61" s="1"/>
      <c r="I61" s="1"/>
      <c r="J61" s="1"/>
      <c r="K61" s="1"/>
      <c r="L61" s="1"/>
      <c r="M61" s="1"/>
      <c r="N61" s="17"/>
    </row>
    <row r="62" spans="2:14" ht="15" customHeight="1" x14ac:dyDescent="0.25">
      <c r="B62" s="19"/>
      <c r="C62" s="7" t="s">
        <v>59</v>
      </c>
      <c r="D62" s="8"/>
      <c r="E62" s="12">
        <v>6.3049999999999998E-3</v>
      </c>
      <c r="F62" s="1"/>
      <c r="G62" s="1"/>
      <c r="H62" s="1"/>
      <c r="I62" s="1"/>
      <c r="J62" s="1"/>
      <c r="K62" s="1"/>
      <c r="L62" s="1"/>
      <c r="M62" s="1"/>
      <c r="N62" s="17"/>
    </row>
    <row r="63" spans="2:14" ht="15" customHeight="1" x14ac:dyDescent="0.25">
      <c r="B63" s="19"/>
      <c r="C63" s="5"/>
      <c r="D63" s="6"/>
      <c r="E63" s="11"/>
      <c r="F63" s="1"/>
      <c r="G63" s="1"/>
      <c r="H63" s="1"/>
      <c r="I63" s="1"/>
      <c r="J63" s="1"/>
      <c r="K63" s="1"/>
      <c r="L63" s="1"/>
      <c r="M63" s="1"/>
      <c r="N63" s="17"/>
    </row>
    <row r="64" spans="2:14" ht="15" customHeight="1" x14ac:dyDescent="0.25">
      <c r="B64" s="19"/>
      <c r="C64" s="7" t="s">
        <v>10</v>
      </c>
      <c r="D64" s="8"/>
      <c r="E64" s="12">
        <v>3.1054999999999999E-2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9" t="s">
        <v>11</v>
      </c>
      <c r="D66" s="10"/>
      <c r="E66" s="13">
        <v>1</v>
      </c>
      <c r="F66" s="1"/>
      <c r="G66" s="1"/>
      <c r="H66" s="1"/>
      <c r="I66" s="1"/>
      <c r="J66" s="1"/>
      <c r="K66" s="1"/>
      <c r="L66" s="1"/>
      <c r="M66" s="1"/>
      <c r="N66" s="17"/>
    </row>
    <row r="67" spans="2:14" ht="15" customHeight="1" x14ac:dyDescent="0.25">
      <c r="B67" s="19"/>
      <c r="C67" s="1"/>
      <c r="D67" s="1"/>
      <c r="E67" s="1"/>
      <c r="F67" s="1"/>
      <c r="G67" s="1"/>
      <c r="H67" s="1"/>
      <c r="I67" s="1"/>
      <c r="J67" s="1"/>
      <c r="K67" s="1"/>
      <c r="L67" s="1"/>
      <c r="M67" s="1"/>
      <c r="N67" s="17"/>
    </row>
    <row r="68" spans="2:14" ht="15" customHeight="1" x14ac:dyDescent="0.25">
      <c r="B68" s="19"/>
      <c r="C68" s="1"/>
      <c r="D68" s="1"/>
      <c r="E68" s="1"/>
      <c r="F68" s="1"/>
      <c r="G68" s="1"/>
      <c r="H68" s="1"/>
      <c r="I68" s="1"/>
      <c r="J68" s="1"/>
      <c r="K68" s="1"/>
      <c r="L68" s="1"/>
      <c r="M68" s="1"/>
      <c r="N68" s="17"/>
    </row>
    <row r="69" spans="2:14" ht="15" customHeight="1" x14ac:dyDescent="0.25">
      <c r="B69" s="19"/>
      <c r="C69" s="1"/>
      <c r="D69" s="1"/>
      <c r="E69" s="1"/>
      <c r="F69" s="1"/>
      <c r="G69" s="1"/>
      <c r="H69" s="1"/>
      <c r="I69" s="1"/>
      <c r="J69" s="1"/>
      <c r="K69" s="1"/>
      <c r="L69" s="1"/>
      <c r="M69" s="1"/>
      <c r="N69" s="17"/>
    </row>
    <row r="70" spans="2:14" ht="15" customHeight="1" thickBot="1" x14ac:dyDescent="0.3">
      <c r="B70" s="20"/>
      <c r="C70" s="21"/>
      <c r="D70" s="21"/>
      <c r="E70" s="21"/>
      <c r="F70" s="21"/>
      <c r="G70" s="21"/>
      <c r="H70" s="21"/>
      <c r="I70" s="21"/>
      <c r="J70" s="21"/>
      <c r="K70" s="21"/>
      <c r="L70" s="21"/>
      <c r="M70" s="21"/>
      <c r="N70" s="22"/>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9:E57">
    <sortCondition descending="1" ref="E49"/>
  </sortState>
  <mergeCells count="4">
    <mergeCell ref="C3:N3"/>
    <mergeCell ref="D5:E5"/>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10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97</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21</v>
      </c>
      <c r="D8" s="6" t="s">
        <v>20</v>
      </c>
      <c r="E8" s="11">
        <v>2.173E-3</v>
      </c>
      <c r="F8" s="1"/>
      <c r="G8" s="23" t="s">
        <v>15</v>
      </c>
      <c r="H8" s="24">
        <v>1</v>
      </c>
      <c r="I8" s="1"/>
      <c r="J8" s="23" t="s">
        <v>12</v>
      </c>
      <c r="K8" s="23" t="s">
        <v>3</v>
      </c>
      <c r="L8" s="1"/>
      <c r="M8" s="1"/>
      <c r="N8" s="17"/>
    </row>
    <row r="9" spans="2:14" ht="15.75" customHeight="1" x14ac:dyDescent="0.25">
      <c r="B9" s="19"/>
      <c r="C9" s="7" t="s">
        <v>23</v>
      </c>
      <c r="D9" s="8"/>
      <c r="E9" s="12">
        <v>2.173E-3</v>
      </c>
      <c r="F9" s="1"/>
      <c r="G9" s="1"/>
      <c r="H9" s="1"/>
      <c r="I9" s="1"/>
      <c r="J9" s="23" t="s">
        <v>13</v>
      </c>
      <c r="K9" s="25">
        <v>3.6700000000000001E-3</v>
      </c>
      <c r="L9" s="1"/>
      <c r="M9" s="1"/>
      <c r="N9" s="17"/>
    </row>
    <row r="10" spans="2:14" ht="15" customHeight="1" x14ac:dyDescent="0.25">
      <c r="B10" s="19"/>
      <c r="C10" s="5" t="s">
        <v>98</v>
      </c>
      <c r="D10" s="6" t="s">
        <v>20</v>
      </c>
      <c r="E10" s="11">
        <v>3.1879999999999999E-3</v>
      </c>
      <c r="F10" s="1"/>
      <c r="G10" s="1"/>
      <c r="H10" s="1"/>
      <c r="I10" s="1"/>
      <c r="J10" s="23" t="s">
        <v>60</v>
      </c>
      <c r="K10" s="25">
        <v>2.173E-3</v>
      </c>
      <c r="L10" s="1"/>
      <c r="M10" s="1"/>
      <c r="N10" s="17"/>
    </row>
    <row r="11" spans="2:14" ht="15" customHeight="1" x14ac:dyDescent="0.25">
      <c r="B11" s="19"/>
      <c r="C11" s="5" t="s">
        <v>31</v>
      </c>
      <c r="D11" s="6" t="s">
        <v>20</v>
      </c>
      <c r="E11" s="11">
        <v>2.127E-3</v>
      </c>
      <c r="F11" s="1"/>
      <c r="G11" s="1"/>
      <c r="H11" s="1"/>
      <c r="I11" s="1"/>
      <c r="J11" s="23" t="s">
        <v>61</v>
      </c>
      <c r="K11" s="25">
        <v>0.69613000000000003</v>
      </c>
      <c r="L11" s="1"/>
      <c r="M11" s="1"/>
      <c r="N11" s="17"/>
    </row>
    <row r="12" spans="2:14" ht="15.75" customHeight="1" x14ac:dyDescent="0.25">
      <c r="B12" s="19"/>
      <c r="C12" s="7" t="s">
        <v>26</v>
      </c>
      <c r="D12" s="8"/>
      <c r="E12" s="12">
        <v>5.3150000000000003E-3</v>
      </c>
      <c r="F12" s="1"/>
      <c r="G12" s="1"/>
      <c r="H12" s="1"/>
      <c r="I12" s="1"/>
      <c r="J12" s="23" t="s">
        <v>62</v>
      </c>
      <c r="K12" s="25">
        <v>5.3150000000000003E-3</v>
      </c>
      <c r="L12" s="1"/>
      <c r="M12" s="1"/>
      <c r="N12" s="17"/>
    </row>
    <row r="13" spans="2:14" ht="15" customHeight="1" x14ac:dyDescent="0.25">
      <c r="B13" s="19"/>
      <c r="C13" s="5" t="s">
        <v>24</v>
      </c>
      <c r="D13" s="6" t="s">
        <v>27</v>
      </c>
      <c r="E13" s="11">
        <v>9.7115000000000007E-2</v>
      </c>
      <c r="F13" s="1"/>
      <c r="G13" s="1"/>
      <c r="H13" s="1"/>
      <c r="I13" s="1"/>
      <c r="J13" s="23" t="s">
        <v>63</v>
      </c>
      <c r="K13" s="25">
        <v>0.186057</v>
      </c>
      <c r="L13" s="1"/>
      <c r="M13" s="1"/>
      <c r="N13" s="17"/>
    </row>
    <row r="14" spans="2:14" ht="15" customHeight="1" x14ac:dyDescent="0.25">
      <c r="B14" s="19"/>
      <c r="C14" s="5" t="s">
        <v>31</v>
      </c>
      <c r="D14" s="6" t="s">
        <v>27</v>
      </c>
      <c r="E14" s="11">
        <v>8.8290999999999994E-2</v>
      </c>
      <c r="F14" s="1"/>
      <c r="G14" s="1"/>
      <c r="H14" s="1"/>
      <c r="I14" s="1"/>
      <c r="J14" s="23" t="s">
        <v>64</v>
      </c>
      <c r="K14" s="25">
        <v>7.4172000000000002E-2</v>
      </c>
      <c r="L14" s="1"/>
      <c r="M14" s="1"/>
      <c r="N14" s="17"/>
    </row>
    <row r="15" spans="2:14" ht="15" customHeight="1" x14ac:dyDescent="0.25">
      <c r="B15" s="19"/>
      <c r="C15" s="5" t="s">
        <v>34</v>
      </c>
      <c r="D15" s="6" t="s">
        <v>27</v>
      </c>
      <c r="E15" s="11">
        <v>8.5884000000000002E-2</v>
      </c>
      <c r="F15" s="1"/>
      <c r="G15" s="1"/>
      <c r="H15" s="1"/>
      <c r="I15" s="1"/>
      <c r="J15" s="23" t="s">
        <v>10</v>
      </c>
      <c r="K15" s="25">
        <v>3.2482999999999998E-2</v>
      </c>
      <c r="L15" s="1"/>
      <c r="M15" s="1"/>
      <c r="N15" s="17"/>
    </row>
    <row r="16" spans="2:14" ht="15" customHeight="1" x14ac:dyDescent="0.25">
      <c r="B16" s="19"/>
      <c r="C16" s="5" t="s">
        <v>30</v>
      </c>
      <c r="D16" s="6" t="s">
        <v>27</v>
      </c>
      <c r="E16" s="11">
        <v>8.2821000000000006E-2</v>
      </c>
      <c r="F16" s="1"/>
      <c r="G16" s="1"/>
      <c r="H16" s="1"/>
      <c r="I16" s="1"/>
      <c r="J16" s="1"/>
      <c r="K16" s="1"/>
      <c r="L16" s="1"/>
      <c r="M16" s="1"/>
      <c r="N16" s="17"/>
    </row>
    <row r="17" spans="2:14" ht="15" customHeight="1" x14ac:dyDescent="0.25">
      <c r="B17" s="19"/>
      <c r="C17" s="5" t="s">
        <v>25</v>
      </c>
      <c r="D17" s="6" t="s">
        <v>27</v>
      </c>
      <c r="E17" s="11">
        <v>8.1864000000000006E-2</v>
      </c>
      <c r="F17" s="1"/>
      <c r="G17" s="1"/>
      <c r="H17" s="1"/>
      <c r="I17" s="1"/>
      <c r="J17" s="1"/>
      <c r="K17" s="1"/>
      <c r="L17" s="1"/>
      <c r="M17" s="1"/>
      <c r="N17" s="17"/>
    </row>
    <row r="18" spans="2:14" ht="15" customHeight="1" x14ac:dyDescent="0.25">
      <c r="B18" s="19"/>
      <c r="C18" s="5" t="s">
        <v>28</v>
      </c>
      <c r="D18" s="6" t="s">
        <v>27</v>
      </c>
      <c r="E18" s="11">
        <v>5.2805999999999999E-2</v>
      </c>
      <c r="F18" s="1"/>
      <c r="G18" s="1"/>
      <c r="H18" s="1"/>
      <c r="I18" s="1"/>
      <c r="J18" s="1"/>
      <c r="K18" s="1"/>
      <c r="L18" s="1"/>
      <c r="M18" s="1"/>
      <c r="N18" s="17"/>
    </row>
    <row r="19" spans="2:14" ht="15" customHeight="1" x14ac:dyDescent="0.25">
      <c r="B19" s="19"/>
      <c r="C19" s="5" t="s">
        <v>42</v>
      </c>
      <c r="D19" s="6" t="s">
        <v>27</v>
      </c>
      <c r="E19" s="11">
        <v>4.7992E-2</v>
      </c>
      <c r="F19" s="1"/>
      <c r="G19" s="1"/>
      <c r="H19" s="1"/>
      <c r="I19" s="1"/>
      <c r="J19" s="1"/>
      <c r="K19" s="1"/>
      <c r="L19" s="1"/>
      <c r="M19" s="1"/>
      <c r="N19" s="17"/>
    </row>
    <row r="20" spans="2:14" ht="15" customHeight="1" x14ac:dyDescent="0.25">
      <c r="B20" s="19"/>
      <c r="C20" s="5" t="s">
        <v>36</v>
      </c>
      <c r="D20" s="6" t="s">
        <v>27</v>
      </c>
      <c r="E20" s="11">
        <v>4.2901000000000002E-2</v>
      </c>
      <c r="F20" s="1"/>
      <c r="G20" s="1"/>
      <c r="H20" s="1"/>
      <c r="I20" s="1"/>
      <c r="J20" s="1"/>
      <c r="K20" s="1"/>
      <c r="L20" s="1"/>
      <c r="M20" s="1"/>
      <c r="N20" s="17"/>
    </row>
    <row r="21" spans="2:14" ht="15" customHeight="1" x14ac:dyDescent="0.25">
      <c r="B21" s="19"/>
      <c r="C21" s="5" t="s">
        <v>33</v>
      </c>
      <c r="D21" s="6" t="s">
        <v>27</v>
      </c>
      <c r="E21" s="11">
        <v>2.708E-2</v>
      </c>
      <c r="F21" s="1"/>
      <c r="G21" s="1"/>
      <c r="H21" s="1"/>
      <c r="I21" s="1"/>
      <c r="J21" s="1"/>
      <c r="K21" s="1"/>
      <c r="L21" s="1"/>
      <c r="M21" s="1"/>
      <c r="N21" s="17"/>
    </row>
    <row r="22" spans="2:14" ht="15" customHeight="1" x14ac:dyDescent="0.25">
      <c r="B22" s="19"/>
      <c r="C22" s="5" t="s">
        <v>29</v>
      </c>
      <c r="D22" s="6" t="s">
        <v>27</v>
      </c>
      <c r="E22" s="11">
        <v>1.6164999999999999E-2</v>
      </c>
      <c r="F22" s="1"/>
      <c r="G22" s="1"/>
      <c r="H22" s="1"/>
      <c r="I22" s="1"/>
      <c r="J22" s="1"/>
      <c r="K22" s="1"/>
      <c r="L22" s="1"/>
      <c r="M22" s="1"/>
      <c r="N22" s="17"/>
    </row>
    <row r="23" spans="2:14" ht="15" customHeight="1" x14ac:dyDescent="0.25">
      <c r="B23" s="19"/>
      <c r="C23" s="5" t="s">
        <v>43</v>
      </c>
      <c r="D23" s="6" t="s">
        <v>27</v>
      </c>
      <c r="E23" s="11">
        <v>1.3443E-2</v>
      </c>
      <c r="F23" s="1"/>
      <c r="G23" s="1"/>
      <c r="H23" s="1"/>
      <c r="I23" s="1"/>
      <c r="J23" s="1"/>
      <c r="K23" s="1"/>
      <c r="L23" s="1"/>
      <c r="M23" s="1"/>
      <c r="N23" s="17"/>
    </row>
    <row r="24" spans="2:14" ht="15" customHeight="1" x14ac:dyDescent="0.25">
      <c r="B24" s="19"/>
      <c r="C24" s="5" t="s">
        <v>21</v>
      </c>
      <c r="D24" s="6" t="s">
        <v>27</v>
      </c>
      <c r="E24" s="11">
        <v>1.3051E-2</v>
      </c>
      <c r="F24" s="1"/>
      <c r="G24" s="1"/>
      <c r="H24" s="1"/>
      <c r="I24" s="1"/>
      <c r="J24" s="1"/>
      <c r="K24" s="1"/>
      <c r="L24" s="1"/>
      <c r="M24" s="1"/>
      <c r="N24" s="17"/>
    </row>
    <row r="25" spans="2:14" ht="15" customHeight="1" x14ac:dyDescent="0.25">
      <c r="B25" s="19"/>
      <c r="C25" s="5" t="s">
        <v>92</v>
      </c>
      <c r="D25" s="6" t="s">
        <v>27</v>
      </c>
      <c r="E25" s="11">
        <v>1.2695E-2</v>
      </c>
      <c r="F25" s="1"/>
      <c r="G25" s="1"/>
      <c r="H25" s="1"/>
      <c r="I25" s="1"/>
      <c r="J25" s="1"/>
      <c r="K25" s="1"/>
      <c r="L25" s="1"/>
      <c r="M25" s="1"/>
      <c r="N25" s="17"/>
    </row>
    <row r="26" spans="2:14" ht="15" customHeight="1" x14ac:dyDescent="0.25">
      <c r="B26" s="19"/>
      <c r="C26" s="5" t="s">
        <v>37</v>
      </c>
      <c r="D26" s="6" t="s">
        <v>27</v>
      </c>
      <c r="E26" s="11">
        <v>1.111E-2</v>
      </c>
      <c r="F26" s="1"/>
      <c r="G26" s="40" t="s">
        <v>17</v>
      </c>
      <c r="H26" s="41"/>
      <c r="I26" s="41"/>
      <c r="J26" s="41"/>
      <c r="K26" s="41"/>
      <c r="L26" s="41"/>
      <c r="M26" s="41"/>
      <c r="N26" s="42"/>
    </row>
    <row r="27" spans="2:14" ht="15" customHeight="1" x14ac:dyDescent="0.25">
      <c r="B27" s="19"/>
      <c r="C27" s="5" t="s">
        <v>99</v>
      </c>
      <c r="D27" s="6" t="s">
        <v>27</v>
      </c>
      <c r="E27" s="11">
        <v>9.0500000000000008E-3</v>
      </c>
      <c r="F27" s="1"/>
      <c r="G27" s="1"/>
      <c r="H27" s="1"/>
      <c r="I27" s="1"/>
      <c r="J27" s="1"/>
      <c r="K27" s="1"/>
      <c r="L27" s="1"/>
      <c r="M27" s="1"/>
      <c r="N27" s="17"/>
    </row>
    <row r="28" spans="2:14" ht="15" customHeight="1" x14ac:dyDescent="0.25">
      <c r="B28" s="19"/>
      <c r="C28" s="5" t="s">
        <v>35</v>
      </c>
      <c r="D28" s="6" t="s">
        <v>27</v>
      </c>
      <c r="E28" s="11">
        <v>4.9329999999999999E-3</v>
      </c>
      <c r="F28" s="1"/>
      <c r="G28" s="1"/>
      <c r="H28" s="1"/>
      <c r="I28" s="1"/>
      <c r="J28" s="1"/>
      <c r="K28" s="1"/>
      <c r="L28" s="1"/>
      <c r="M28" s="1"/>
      <c r="N28" s="17"/>
    </row>
    <row r="29" spans="2:14" ht="15" customHeight="1" x14ac:dyDescent="0.25">
      <c r="B29" s="19"/>
      <c r="C29" s="5" t="s">
        <v>38</v>
      </c>
      <c r="D29" s="6" t="s">
        <v>27</v>
      </c>
      <c r="E29" s="11">
        <v>3.5370000000000002E-3</v>
      </c>
      <c r="F29" s="1"/>
      <c r="G29" s="1"/>
      <c r="H29" s="1"/>
      <c r="I29" s="1"/>
      <c r="J29" s="1"/>
      <c r="K29" s="1"/>
      <c r="L29" s="1"/>
      <c r="M29" s="1"/>
      <c r="N29" s="17"/>
    </row>
    <row r="30" spans="2:14" ht="15" customHeight="1" x14ac:dyDescent="0.25">
      <c r="B30" s="19"/>
      <c r="C30" s="5" t="s">
        <v>19</v>
      </c>
      <c r="D30" s="6" t="s">
        <v>27</v>
      </c>
      <c r="E30" s="11">
        <v>2.9099999999999998E-3</v>
      </c>
      <c r="F30" s="1"/>
      <c r="G30" s="1"/>
      <c r="H30" s="1"/>
      <c r="I30" s="1"/>
      <c r="J30" s="1"/>
      <c r="K30" s="1"/>
      <c r="L30" s="1"/>
      <c r="M30" s="1"/>
      <c r="N30" s="17"/>
    </row>
    <row r="31" spans="2:14" ht="15" customHeight="1" x14ac:dyDescent="0.25">
      <c r="B31" s="19"/>
      <c r="C31" s="5" t="s">
        <v>40</v>
      </c>
      <c r="D31" s="6" t="s">
        <v>27</v>
      </c>
      <c r="E31" s="11">
        <v>1.354E-3</v>
      </c>
      <c r="F31" s="1"/>
      <c r="G31" s="1"/>
      <c r="H31" s="1"/>
      <c r="I31" s="1"/>
      <c r="J31" s="1"/>
      <c r="K31" s="1"/>
      <c r="L31" s="1"/>
      <c r="M31" s="1"/>
      <c r="N31" s="17"/>
    </row>
    <row r="32" spans="2:14" ht="15" customHeight="1" x14ac:dyDescent="0.25">
      <c r="B32" s="19"/>
      <c r="C32" s="5" t="s">
        <v>32</v>
      </c>
      <c r="D32" s="6" t="s">
        <v>27</v>
      </c>
      <c r="E32" s="11">
        <v>6.8199999999999999E-4</v>
      </c>
      <c r="F32" s="1"/>
      <c r="G32" s="1"/>
      <c r="H32" s="1"/>
      <c r="I32" s="1"/>
      <c r="J32" s="1"/>
      <c r="K32" s="1"/>
      <c r="L32" s="1"/>
      <c r="M32" s="1"/>
      <c r="N32" s="17"/>
    </row>
    <row r="33" spans="2:14" ht="15" customHeight="1" x14ac:dyDescent="0.25">
      <c r="B33" s="19"/>
      <c r="C33" s="5" t="s">
        <v>98</v>
      </c>
      <c r="D33" s="6" t="s">
        <v>27</v>
      </c>
      <c r="E33" s="11">
        <v>4.46E-4</v>
      </c>
      <c r="F33" s="1"/>
      <c r="G33" s="1"/>
      <c r="H33" s="1"/>
      <c r="I33" s="1"/>
      <c r="J33" s="1"/>
      <c r="K33" s="1"/>
      <c r="L33" s="1"/>
      <c r="M33" s="1"/>
      <c r="N33" s="17"/>
    </row>
    <row r="34" spans="2:14" ht="15.75" customHeight="1" x14ac:dyDescent="0.25">
      <c r="B34" s="19"/>
      <c r="C34" s="7" t="s">
        <v>45</v>
      </c>
      <c r="D34" s="8"/>
      <c r="E34" s="12">
        <v>0.69613000000000003</v>
      </c>
      <c r="F34" s="1"/>
      <c r="G34" s="1"/>
      <c r="H34" s="1"/>
      <c r="I34" s="1"/>
      <c r="J34" s="1"/>
      <c r="K34" s="1"/>
      <c r="L34" s="1"/>
      <c r="M34" s="1"/>
      <c r="N34" s="17"/>
    </row>
    <row r="35" spans="2:14" ht="15" customHeight="1" x14ac:dyDescent="0.25">
      <c r="B35" s="19"/>
      <c r="C35" s="5" t="s">
        <v>51</v>
      </c>
      <c r="D35" s="6" t="s">
        <v>47</v>
      </c>
      <c r="E35" s="11">
        <v>0.139047</v>
      </c>
      <c r="F35" s="1"/>
      <c r="G35" s="1"/>
      <c r="H35" s="1"/>
      <c r="I35" s="1"/>
      <c r="J35" s="1"/>
      <c r="K35" s="1"/>
      <c r="L35" s="1"/>
      <c r="M35" s="1"/>
      <c r="N35" s="17"/>
    </row>
    <row r="36" spans="2:14" ht="15" customHeight="1" x14ac:dyDescent="0.25">
      <c r="B36" s="19"/>
      <c r="C36" s="5" t="s">
        <v>49</v>
      </c>
      <c r="D36" s="6" t="s">
        <v>47</v>
      </c>
      <c r="E36" s="11">
        <v>4.4701999999999999E-2</v>
      </c>
      <c r="F36" s="1"/>
      <c r="G36" s="1"/>
      <c r="H36" s="1"/>
      <c r="I36" s="1"/>
      <c r="J36" s="1"/>
      <c r="K36" s="1"/>
      <c r="L36" s="1"/>
      <c r="M36" s="1"/>
      <c r="N36" s="17"/>
    </row>
    <row r="37" spans="2:14" ht="15" customHeight="1" x14ac:dyDescent="0.25">
      <c r="B37" s="19"/>
      <c r="C37" s="5" t="s">
        <v>48</v>
      </c>
      <c r="D37" s="6" t="s">
        <v>47</v>
      </c>
      <c r="E37" s="11">
        <v>2.3080000000000002E-3</v>
      </c>
      <c r="F37" s="1"/>
      <c r="G37" s="1"/>
      <c r="H37" s="1"/>
      <c r="I37" s="1"/>
      <c r="J37" s="1"/>
      <c r="K37" s="1"/>
      <c r="L37" s="1"/>
      <c r="M37" s="1"/>
      <c r="N37" s="17"/>
    </row>
    <row r="38" spans="2:14" ht="15.75" customHeight="1" x14ac:dyDescent="0.25">
      <c r="B38" s="19"/>
      <c r="C38" s="7" t="s">
        <v>57</v>
      </c>
      <c r="D38" s="8"/>
      <c r="E38" s="12">
        <v>0.186057</v>
      </c>
      <c r="F38" s="1"/>
      <c r="G38" s="1"/>
      <c r="H38" s="1"/>
      <c r="I38" s="1"/>
      <c r="J38" s="1"/>
      <c r="K38" s="1"/>
      <c r="L38" s="1"/>
      <c r="M38" s="1"/>
      <c r="N38" s="17"/>
    </row>
    <row r="39" spans="2:14" ht="15" customHeight="1" x14ac:dyDescent="0.25">
      <c r="B39" s="19"/>
      <c r="C39" s="5" t="s">
        <v>177</v>
      </c>
      <c r="D39" s="6" t="s">
        <v>47</v>
      </c>
      <c r="E39" s="11">
        <v>1.0045999999999999E-2</v>
      </c>
      <c r="F39" s="1"/>
      <c r="G39" s="1"/>
      <c r="H39" s="1"/>
      <c r="I39" s="1"/>
      <c r="J39" s="1"/>
      <c r="K39" s="1"/>
      <c r="L39" s="1"/>
      <c r="M39" s="1"/>
      <c r="N39" s="17"/>
    </row>
    <row r="40" spans="2:14" ht="15.75" customHeight="1" x14ac:dyDescent="0.25">
      <c r="B40" s="19"/>
      <c r="C40" s="5" t="s">
        <v>181</v>
      </c>
      <c r="D40" s="6" t="s">
        <v>47</v>
      </c>
      <c r="E40" s="11">
        <v>7.0730000000000003E-3</v>
      </c>
      <c r="F40" s="1"/>
      <c r="G40" s="1"/>
      <c r="H40" s="1"/>
      <c r="I40" s="1"/>
      <c r="J40" s="1"/>
      <c r="K40" s="1"/>
      <c r="L40" s="1"/>
      <c r="M40" s="1"/>
      <c r="N40" s="17"/>
    </row>
    <row r="41" spans="2:14" ht="15" customHeight="1" x14ac:dyDescent="0.25">
      <c r="B41" s="19"/>
      <c r="C41" s="5" t="s">
        <v>182</v>
      </c>
      <c r="D41" s="6" t="s">
        <v>47</v>
      </c>
      <c r="E41" s="11">
        <v>6.7239999999999999E-3</v>
      </c>
      <c r="F41" s="1"/>
      <c r="G41" s="1"/>
      <c r="H41" s="1"/>
      <c r="I41" s="1"/>
      <c r="J41" s="1"/>
      <c r="K41" s="1"/>
      <c r="L41" s="1"/>
      <c r="M41" s="1"/>
      <c r="N41" s="17"/>
    </row>
    <row r="42" spans="2:14" ht="15.75" customHeight="1" x14ac:dyDescent="0.25">
      <c r="B42" s="19"/>
      <c r="C42" s="5" t="s">
        <v>183</v>
      </c>
      <c r="D42" s="6" t="s">
        <v>47</v>
      </c>
      <c r="E42" s="11">
        <v>6.2119999999999996E-3</v>
      </c>
      <c r="F42" s="1"/>
      <c r="G42" s="1"/>
      <c r="H42" s="1"/>
      <c r="I42" s="1"/>
      <c r="J42" s="1"/>
      <c r="K42" s="1"/>
      <c r="L42" s="1"/>
      <c r="M42" s="1"/>
      <c r="N42" s="17"/>
    </row>
    <row r="43" spans="2:14" ht="15" customHeight="1" x14ac:dyDescent="0.25">
      <c r="B43" s="19"/>
      <c r="C43" s="5" t="s">
        <v>184</v>
      </c>
      <c r="D43" s="6" t="s">
        <v>47</v>
      </c>
      <c r="E43" s="11">
        <v>4.0080000000000003E-3</v>
      </c>
      <c r="F43" s="1"/>
      <c r="G43" s="1"/>
      <c r="H43" s="1"/>
      <c r="I43" s="1"/>
      <c r="J43" s="1"/>
      <c r="K43" s="1"/>
      <c r="L43" s="1"/>
      <c r="M43" s="1"/>
      <c r="N43" s="17"/>
    </row>
    <row r="44" spans="2:14" ht="15.75" customHeight="1" x14ac:dyDescent="0.25">
      <c r="B44" s="19"/>
      <c r="C44" s="5" t="s">
        <v>185</v>
      </c>
      <c r="D44" s="6" t="s">
        <v>47</v>
      </c>
      <c r="E44" s="11">
        <v>3.3769999999999998E-3</v>
      </c>
      <c r="F44" s="1"/>
      <c r="G44" s="1"/>
      <c r="H44" s="1"/>
      <c r="I44" s="1"/>
      <c r="J44" s="1"/>
      <c r="K44" s="1"/>
      <c r="L44" s="1"/>
      <c r="M44" s="1"/>
      <c r="N44" s="17"/>
    </row>
    <row r="45" spans="2:14" ht="15" customHeight="1" x14ac:dyDescent="0.25">
      <c r="B45" s="19"/>
      <c r="C45" s="5" t="s">
        <v>186</v>
      </c>
      <c r="D45" s="6" t="s">
        <v>47</v>
      </c>
      <c r="E45" s="11">
        <v>3.2980000000000002E-3</v>
      </c>
      <c r="F45" s="1"/>
      <c r="G45" s="1"/>
      <c r="H45" s="1"/>
      <c r="I45" s="1"/>
      <c r="J45" s="1"/>
      <c r="K45" s="1"/>
      <c r="L45" s="1"/>
      <c r="M45" s="1"/>
      <c r="N45" s="17"/>
    </row>
    <row r="46" spans="2:14" ht="15" customHeight="1" x14ac:dyDescent="0.25">
      <c r="B46" s="19"/>
      <c r="C46" s="5" t="s">
        <v>187</v>
      </c>
      <c r="D46" s="6" t="s">
        <v>47</v>
      </c>
      <c r="E46" s="11">
        <v>3.1640000000000001E-3</v>
      </c>
      <c r="F46" s="1"/>
      <c r="G46" s="1"/>
      <c r="H46" s="1"/>
      <c r="I46" s="1"/>
      <c r="J46" s="1"/>
      <c r="K46" s="1"/>
      <c r="L46" s="1"/>
      <c r="M46" s="1"/>
      <c r="N46" s="17"/>
    </row>
    <row r="47" spans="2:14" ht="15" customHeight="1" x14ac:dyDescent="0.25">
      <c r="B47" s="19"/>
      <c r="C47" s="5" t="s">
        <v>188</v>
      </c>
      <c r="D47" s="6" t="s">
        <v>47</v>
      </c>
      <c r="E47" s="11">
        <v>3.16E-3</v>
      </c>
      <c r="F47" s="1"/>
      <c r="G47" s="1"/>
      <c r="H47" s="1"/>
      <c r="I47" s="1"/>
      <c r="J47" s="1"/>
      <c r="K47" s="1"/>
      <c r="L47" s="1"/>
      <c r="M47" s="1"/>
      <c r="N47" s="17"/>
    </row>
    <row r="48" spans="2:14" ht="15" customHeight="1" x14ac:dyDescent="0.25">
      <c r="B48" s="19"/>
      <c r="C48" s="5" t="s">
        <v>173</v>
      </c>
      <c r="D48" s="6" t="s">
        <v>47</v>
      </c>
      <c r="E48" s="11">
        <v>2.4020000000000001E-3</v>
      </c>
      <c r="F48" s="1"/>
      <c r="G48" s="1"/>
      <c r="H48" s="1"/>
      <c r="I48" s="1"/>
      <c r="J48" s="1"/>
      <c r="K48" s="1"/>
      <c r="L48" s="1"/>
      <c r="M48" s="1"/>
      <c r="N48" s="17"/>
    </row>
    <row r="49" spans="2:14" ht="15" customHeight="1" x14ac:dyDescent="0.25">
      <c r="B49" s="19"/>
      <c r="C49" s="5" t="s">
        <v>189</v>
      </c>
      <c r="D49" s="6" t="s">
        <v>47</v>
      </c>
      <c r="E49" s="11">
        <v>2.3990000000000001E-3</v>
      </c>
      <c r="F49" s="1"/>
      <c r="G49" s="1"/>
      <c r="H49" s="1"/>
      <c r="I49" s="1"/>
      <c r="J49" s="1"/>
      <c r="K49" s="1"/>
      <c r="L49" s="1"/>
      <c r="M49" s="1"/>
      <c r="N49" s="17"/>
    </row>
    <row r="50" spans="2:14" ht="15" customHeight="1" x14ac:dyDescent="0.25">
      <c r="B50" s="19"/>
      <c r="C50" s="5" t="s">
        <v>190</v>
      </c>
      <c r="D50" s="6" t="s">
        <v>47</v>
      </c>
      <c r="E50" s="11">
        <v>2.3570000000000002E-3</v>
      </c>
      <c r="F50" s="1"/>
      <c r="G50" s="1"/>
      <c r="H50" s="1"/>
      <c r="I50" s="1"/>
      <c r="J50" s="1"/>
      <c r="K50" s="1"/>
      <c r="L50" s="1"/>
      <c r="M50" s="1"/>
      <c r="N50" s="17"/>
    </row>
    <row r="51" spans="2:14" ht="15" customHeight="1" x14ac:dyDescent="0.25">
      <c r="B51" s="19"/>
      <c r="C51" s="5" t="s">
        <v>191</v>
      </c>
      <c r="D51" s="6" t="s">
        <v>47</v>
      </c>
      <c r="E51" s="11">
        <v>2.2820000000000002E-3</v>
      </c>
      <c r="F51" s="1"/>
      <c r="G51" s="1"/>
      <c r="H51" s="1"/>
      <c r="I51" s="1"/>
      <c r="J51" s="1"/>
      <c r="K51" s="1"/>
      <c r="L51" s="1"/>
      <c r="M51" s="1"/>
      <c r="N51" s="17"/>
    </row>
    <row r="52" spans="2:14" ht="15" customHeight="1" x14ac:dyDescent="0.25">
      <c r="B52" s="19"/>
      <c r="C52" s="5" t="s">
        <v>192</v>
      </c>
      <c r="D52" s="6" t="s">
        <v>47</v>
      </c>
      <c r="E52" s="11">
        <v>2.2620000000000001E-3</v>
      </c>
      <c r="F52" s="1"/>
      <c r="G52" s="1"/>
      <c r="H52" s="1"/>
      <c r="I52" s="1"/>
      <c r="J52" s="1"/>
      <c r="K52" s="1"/>
      <c r="L52" s="1"/>
      <c r="M52" s="1"/>
      <c r="N52" s="17"/>
    </row>
    <row r="53" spans="2:14" ht="15" customHeight="1" x14ac:dyDescent="0.25">
      <c r="B53" s="19"/>
      <c r="C53" s="5" t="s">
        <v>193</v>
      </c>
      <c r="D53" s="6" t="s">
        <v>47</v>
      </c>
      <c r="E53" s="11">
        <v>1.9430000000000001E-3</v>
      </c>
      <c r="F53" s="1"/>
      <c r="G53" s="1"/>
      <c r="H53" s="1"/>
      <c r="I53" s="1"/>
      <c r="J53" s="1"/>
      <c r="K53" s="1"/>
      <c r="L53" s="1"/>
      <c r="M53" s="1"/>
      <c r="N53" s="17"/>
    </row>
    <row r="54" spans="2:14" ht="15" customHeight="1" x14ac:dyDescent="0.25">
      <c r="B54" s="19"/>
      <c r="C54" s="5" t="s">
        <v>194</v>
      </c>
      <c r="D54" s="6" t="s">
        <v>47</v>
      </c>
      <c r="E54" s="11">
        <v>1.8730000000000001E-3</v>
      </c>
      <c r="F54" s="1"/>
      <c r="G54" s="1"/>
      <c r="H54" s="1"/>
      <c r="I54" s="1"/>
      <c r="J54" s="1"/>
      <c r="K54" s="1"/>
      <c r="L54" s="1"/>
      <c r="M54" s="1"/>
      <c r="N54" s="17"/>
    </row>
    <row r="55" spans="2:14" ht="15" customHeight="1" x14ac:dyDescent="0.25">
      <c r="B55" s="19"/>
      <c r="C55" s="5" t="s">
        <v>195</v>
      </c>
      <c r="D55" s="6" t="s">
        <v>47</v>
      </c>
      <c r="E55" s="11">
        <v>1.7030000000000001E-3</v>
      </c>
      <c r="F55" s="1"/>
      <c r="G55" s="1"/>
      <c r="H55" s="1"/>
      <c r="I55" s="1"/>
      <c r="J55" s="1"/>
      <c r="K55" s="1"/>
      <c r="L55" s="1"/>
      <c r="M55" s="1"/>
      <c r="N55" s="17"/>
    </row>
    <row r="56" spans="2:14" ht="15" customHeight="1" x14ac:dyDescent="0.25">
      <c r="B56" s="19"/>
      <c r="C56" s="5" t="s">
        <v>196</v>
      </c>
      <c r="D56" s="6" t="s">
        <v>47</v>
      </c>
      <c r="E56" s="11">
        <v>1.4599999999999999E-3</v>
      </c>
      <c r="F56" s="1"/>
      <c r="G56" s="1"/>
      <c r="H56" s="1"/>
      <c r="I56" s="1"/>
      <c r="J56" s="1"/>
      <c r="K56" s="1"/>
      <c r="L56" s="1"/>
      <c r="M56" s="1"/>
      <c r="N56" s="17"/>
    </row>
    <row r="57" spans="2:14" ht="15" customHeight="1" x14ac:dyDescent="0.25">
      <c r="B57" s="19"/>
      <c r="C57" s="5" t="s">
        <v>197</v>
      </c>
      <c r="D57" s="6" t="s">
        <v>47</v>
      </c>
      <c r="E57" s="11">
        <v>1.2229999999999999E-3</v>
      </c>
      <c r="F57" s="1"/>
      <c r="G57" s="1"/>
      <c r="H57" s="1"/>
      <c r="I57" s="1"/>
      <c r="J57" s="1"/>
      <c r="K57" s="1"/>
      <c r="L57" s="1"/>
      <c r="M57" s="1"/>
      <c r="N57" s="17"/>
    </row>
    <row r="58" spans="2:14" ht="15" customHeight="1" x14ac:dyDescent="0.25">
      <c r="B58" s="19"/>
      <c r="C58" s="5" t="s">
        <v>198</v>
      </c>
      <c r="D58" s="6" t="s">
        <v>47</v>
      </c>
      <c r="E58" s="11">
        <v>1.204E-3</v>
      </c>
      <c r="F58" s="1"/>
      <c r="G58" s="1"/>
      <c r="H58" s="1"/>
      <c r="I58" s="1"/>
      <c r="J58" s="1"/>
      <c r="K58" s="1"/>
      <c r="L58" s="1"/>
      <c r="M58" s="1"/>
      <c r="N58" s="17"/>
    </row>
    <row r="59" spans="2:14" ht="15" customHeight="1" x14ac:dyDescent="0.25">
      <c r="B59" s="19"/>
      <c r="C59" s="5" t="s">
        <v>199</v>
      </c>
      <c r="D59" s="6" t="s">
        <v>47</v>
      </c>
      <c r="E59" s="11">
        <v>9.7400000000000004E-4</v>
      </c>
      <c r="F59" s="1"/>
      <c r="G59" s="1"/>
      <c r="H59" s="1"/>
      <c r="I59" s="1"/>
      <c r="J59" s="1"/>
      <c r="K59" s="1"/>
      <c r="L59" s="1"/>
      <c r="M59" s="1"/>
      <c r="N59" s="17"/>
    </row>
    <row r="60" spans="2:14" ht="15" customHeight="1" x14ac:dyDescent="0.25">
      <c r="B60" s="19"/>
      <c r="C60" s="5" t="s">
        <v>200</v>
      </c>
      <c r="D60" s="6" t="s">
        <v>47</v>
      </c>
      <c r="E60" s="11">
        <v>9.41E-4</v>
      </c>
      <c r="F60" s="1"/>
      <c r="G60" s="1"/>
      <c r="H60" s="1"/>
      <c r="I60" s="1"/>
      <c r="J60" s="1"/>
      <c r="K60" s="1"/>
      <c r="L60" s="1"/>
      <c r="M60" s="1"/>
      <c r="N60" s="17"/>
    </row>
    <row r="61" spans="2:14" ht="15" customHeight="1" x14ac:dyDescent="0.25">
      <c r="B61" s="19"/>
      <c r="C61" s="5" t="s">
        <v>201</v>
      </c>
      <c r="D61" s="6" t="s">
        <v>47</v>
      </c>
      <c r="E61" s="11">
        <v>7.2300000000000001E-4</v>
      </c>
      <c r="F61" s="1"/>
      <c r="G61" s="1"/>
      <c r="H61" s="1"/>
      <c r="I61" s="1"/>
      <c r="J61" s="1"/>
      <c r="K61" s="1"/>
      <c r="L61" s="1"/>
      <c r="M61" s="1"/>
      <c r="N61" s="17"/>
    </row>
    <row r="62" spans="2:14" ht="15" customHeight="1" x14ac:dyDescent="0.25">
      <c r="B62" s="19"/>
      <c r="C62" s="5" t="s">
        <v>202</v>
      </c>
      <c r="D62" s="6" t="s">
        <v>47</v>
      </c>
      <c r="E62" s="11">
        <v>4.8899999999999996E-4</v>
      </c>
      <c r="F62" s="1"/>
      <c r="G62" s="1"/>
      <c r="H62" s="1"/>
      <c r="I62" s="1"/>
      <c r="J62" s="1"/>
      <c r="K62" s="1"/>
      <c r="L62" s="1"/>
      <c r="M62" s="1"/>
      <c r="N62" s="17"/>
    </row>
    <row r="63" spans="2:14" ht="15" customHeight="1" x14ac:dyDescent="0.25">
      <c r="B63" s="19"/>
      <c r="C63" s="5" t="s">
        <v>203</v>
      </c>
      <c r="D63" s="6" t="s">
        <v>47</v>
      </c>
      <c r="E63" s="11">
        <v>4.8099999999999998E-4</v>
      </c>
      <c r="F63" s="1"/>
      <c r="G63" s="1"/>
      <c r="H63" s="1"/>
      <c r="I63" s="1"/>
      <c r="J63" s="1"/>
      <c r="K63" s="1"/>
      <c r="L63" s="1"/>
      <c r="M63" s="1"/>
      <c r="N63" s="17"/>
    </row>
    <row r="64" spans="2:14" ht="15" customHeight="1" x14ac:dyDescent="0.25">
      <c r="B64" s="19"/>
      <c r="C64" s="5" t="s">
        <v>145</v>
      </c>
      <c r="D64" s="6" t="s">
        <v>47</v>
      </c>
      <c r="E64" s="11">
        <v>4.7100000000000001E-4</v>
      </c>
      <c r="F64" s="1"/>
      <c r="G64" s="1"/>
      <c r="H64" s="1"/>
      <c r="I64" s="1"/>
      <c r="J64" s="1"/>
      <c r="K64" s="1"/>
      <c r="L64" s="1"/>
      <c r="M64" s="1"/>
      <c r="N64" s="17"/>
    </row>
    <row r="65" spans="2:14" ht="15" customHeight="1" x14ac:dyDescent="0.25">
      <c r="B65" s="19"/>
      <c r="C65" s="5" t="s">
        <v>204</v>
      </c>
      <c r="D65" s="6" t="s">
        <v>47</v>
      </c>
      <c r="E65" s="11">
        <v>2.42E-4</v>
      </c>
      <c r="F65" s="1"/>
      <c r="G65" s="1"/>
      <c r="H65" s="1"/>
      <c r="I65" s="1"/>
      <c r="J65" s="1"/>
      <c r="K65" s="1"/>
      <c r="L65" s="1"/>
      <c r="M65" s="1"/>
      <c r="N65" s="17"/>
    </row>
    <row r="66" spans="2:14" ht="15" customHeight="1" x14ac:dyDescent="0.25">
      <c r="B66" s="19"/>
      <c r="C66" s="5" t="s">
        <v>205</v>
      </c>
      <c r="D66" s="6" t="s">
        <v>47</v>
      </c>
      <c r="E66" s="11">
        <v>2.41E-4</v>
      </c>
      <c r="F66" s="1"/>
      <c r="G66" s="1"/>
      <c r="H66" s="1"/>
      <c r="I66" s="1"/>
      <c r="J66" s="1"/>
      <c r="K66" s="1"/>
      <c r="L66" s="1"/>
      <c r="M66" s="1"/>
      <c r="N66" s="17"/>
    </row>
    <row r="67" spans="2:14" ht="15" customHeight="1" x14ac:dyDescent="0.25">
      <c r="B67" s="19"/>
      <c r="C67" s="5" t="s">
        <v>206</v>
      </c>
      <c r="D67" s="6" t="s">
        <v>47</v>
      </c>
      <c r="E67" s="11">
        <v>2.3599999999999999E-4</v>
      </c>
      <c r="F67" s="1"/>
      <c r="G67" s="1"/>
      <c r="H67" s="1"/>
      <c r="I67" s="1"/>
      <c r="J67" s="1"/>
      <c r="K67" s="1"/>
      <c r="L67" s="1"/>
      <c r="M67" s="1"/>
      <c r="N67" s="17"/>
    </row>
    <row r="68" spans="2:14" ht="15" customHeight="1" x14ac:dyDescent="0.25">
      <c r="B68" s="19"/>
      <c r="C68" s="5" t="s">
        <v>207</v>
      </c>
      <c r="D68" s="6" t="s">
        <v>47</v>
      </c>
      <c r="E68" s="11">
        <v>1.0900000000000001E-4</v>
      </c>
      <c r="F68" s="1"/>
      <c r="G68" s="1"/>
      <c r="H68" s="1"/>
      <c r="I68" s="1"/>
      <c r="J68" s="1"/>
      <c r="K68" s="1"/>
      <c r="L68" s="1"/>
      <c r="M68" s="1"/>
      <c r="N68" s="17"/>
    </row>
    <row r="69" spans="2:14" ht="15" customHeight="1" x14ac:dyDescent="0.25">
      <c r="B69" s="19"/>
      <c r="C69" s="5" t="s">
        <v>208</v>
      </c>
      <c r="D69" s="6" t="s">
        <v>47</v>
      </c>
      <c r="E69" s="11">
        <v>1.0950000000000001E-3</v>
      </c>
      <c r="F69" s="1"/>
      <c r="G69" s="1"/>
      <c r="H69" s="1"/>
      <c r="I69" s="1"/>
      <c r="J69" s="1"/>
      <c r="K69" s="1"/>
      <c r="L69" s="1"/>
      <c r="M69" s="1"/>
      <c r="N69" s="17"/>
    </row>
    <row r="70" spans="2:14" ht="15" customHeight="1" x14ac:dyDescent="0.25">
      <c r="B70" s="19"/>
      <c r="C70" s="7" t="s">
        <v>58</v>
      </c>
      <c r="D70" s="8"/>
      <c r="E70" s="12">
        <v>7.4172000000000002E-2</v>
      </c>
      <c r="F70" s="1"/>
      <c r="G70" s="1"/>
      <c r="H70" s="1"/>
      <c r="I70" s="1"/>
      <c r="J70" s="1"/>
      <c r="K70" s="1"/>
      <c r="L70" s="1"/>
      <c r="M70" s="1"/>
      <c r="N70" s="17"/>
    </row>
    <row r="71" spans="2:14" ht="15" customHeight="1" x14ac:dyDescent="0.25">
      <c r="B71" s="19"/>
      <c r="C71" s="5" t="s">
        <v>8</v>
      </c>
      <c r="D71" s="6"/>
      <c r="E71" s="11">
        <v>3.6700000000000001E-3</v>
      </c>
      <c r="F71" s="1"/>
      <c r="G71" s="1"/>
      <c r="H71" s="1"/>
      <c r="I71" s="1"/>
      <c r="J71" s="1"/>
      <c r="K71" s="1"/>
      <c r="L71" s="1"/>
      <c r="M71" s="1"/>
      <c r="N71" s="17"/>
    </row>
    <row r="72" spans="2:14" ht="15" customHeight="1" x14ac:dyDescent="0.25">
      <c r="B72" s="19"/>
      <c r="C72" s="7" t="s">
        <v>9</v>
      </c>
      <c r="D72" s="8"/>
      <c r="E72" s="12">
        <v>3.6700000000000001E-3</v>
      </c>
      <c r="F72" s="1"/>
      <c r="G72" s="1"/>
      <c r="H72" s="1"/>
      <c r="I72" s="1"/>
      <c r="J72" s="1"/>
      <c r="K72" s="1"/>
      <c r="L72" s="1"/>
      <c r="M72" s="1"/>
      <c r="N72" s="17"/>
    </row>
    <row r="73" spans="2:14" ht="15" customHeight="1" x14ac:dyDescent="0.25">
      <c r="B73" s="19"/>
      <c r="C73" s="5"/>
      <c r="D73" s="6"/>
      <c r="E73" s="11"/>
      <c r="F73" s="1"/>
      <c r="G73" s="1"/>
      <c r="H73" s="1"/>
      <c r="I73" s="1"/>
      <c r="J73" s="1"/>
      <c r="K73" s="1"/>
      <c r="L73" s="1"/>
      <c r="M73" s="1"/>
      <c r="N73" s="17"/>
    </row>
    <row r="74" spans="2:14" ht="15" customHeight="1" x14ac:dyDescent="0.25">
      <c r="B74" s="19"/>
      <c r="C74" s="7" t="s">
        <v>10</v>
      </c>
      <c r="D74" s="8"/>
      <c r="E74" s="12">
        <v>3.2482999999999998E-2</v>
      </c>
      <c r="F74" s="1"/>
      <c r="G74" s="1"/>
      <c r="H74" s="1"/>
      <c r="I74" s="1"/>
      <c r="J74" s="1"/>
      <c r="K74" s="1"/>
      <c r="L74" s="1"/>
      <c r="M74" s="1"/>
      <c r="N74" s="17"/>
    </row>
    <row r="75" spans="2:14" ht="15" customHeight="1" x14ac:dyDescent="0.25">
      <c r="B75" s="19"/>
      <c r="C75" s="5"/>
      <c r="D75" s="6"/>
      <c r="E75" s="11"/>
      <c r="F75" s="1"/>
      <c r="G75" s="1"/>
      <c r="H75" s="1"/>
      <c r="I75" s="1"/>
      <c r="J75" s="1"/>
      <c r="K75" s="1"/>
      <c r="L75" s="1"/>
      <c r="M75" s="1"/>
      <c r="N75" s="17"/>
    </row>
    <row r="76" spans="2:14" ht="15" customHeight="1" x14ac:dyDescent="0.25">
      <c r="B76" s="19"/>
      <c r="C76" s="9" t="s">
        <v>11</v>
      </c>
      <c r="D76" s="10"/>
      <c r="E76" s="13">
        <v>1</v>
      </c>
      <c r="F76" s="1"/>
      <c r="G76" s="1"/>
      <c r="H76" s="1"/>
      <c r="I76" s="1"/>
      <c r="J76" s="1"/>
      <c r="K76" s="1"/>
      <c r="L76" s="1"/>
      <c r="M76" s="1"/>
      <c r="N76" s="17"/>
    </row>
    <row r="77" spans="2:14" ht="15" customHeight="1" x14ac:dyDescent="0.25">
      <c r="B77" s="19"/>
      <c r="C77" s="1"/>
      <c r="D77" s="1"/>
      <c r="E77" s="1"/>
      <c r="F77" s="1"/>
      <c r="G77" s="1"/>
      <c r="H77" s="1"/>
      <c r="I77" s="1"/>
      <c r="J77" s="1"/>
      <c r="K77" s="1"/>
      <c r="L77" s="1"/>
      <c r="M77" s="1"/>
      <c r="N77" s="17"/>
    </row>
    <row r="78" spans="2:14" ht="15" customHeight="1" x14ac:dyDescent="0.25">
      <c r="B78" s="19"/>
      <c r="C78" s="1"/>
      <c r="D78" s="1"/>
      <c r="E78" s="1"/>
      <c r="F78" s="1"/>
      <c r="G78" s="1"/>
      <c r="H78" s="1"/>
      <c r="I78" s="1"/>
      <c r="J78" s="1"/>
      <c r="K78" s="1"/>
      <c r="L78" s="1"/>
      <c r="M78" s="1"/>
      <c r="N78" s="17"/>
    </row>
    <row r="79" spans="2:14" ht="15" customHeight="1" x14ac:dyDescent="0.25">
      <c r="B79" s="19"/>
      <c r="C79" s="1"/>
      <c r="D79" s="1"/>
      <c r="E79" s="1"/>
      <c r="F79" s="1"/>
      <c r="G79" s="1"/>
      <c r="H79" s="1"/>
      <c r="I79" s="1"/>
      <c r="J79" s="1"/>
      <c r="K79" s="1"/>
      <c r="L79" s="1"/>
      <c r="M79" s="1"/>
      <c r="N79" s="17"/>
    </row>
    <row r="80" spans="2:14" ht="15" customHeight="1" thickBot="1" x14ac:dyDescent="0.3">
      <c r="B80" s="20"/>
      <c r="C80" s="21"/>
      <c r="D80" s="21"/>
      <c r="E80" s="21"/>
      <c r="F80" s="21"/>
      <c r="G80" s="21"/>
      <c r="H80" s="21"/>
      <c r="I80" s="21"/>
      <c r="J80" s="21"/>
      <c r="K80" s="21"/>
      <c r="L80" s="21"/>
      <c r="M80" s="21"/>
      <c r="N80" s="22"/>
    </row>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sheetData>
  <mergeCells count="4">
    <mergeCell ref="C3:N3"/>
    <mergeCell ref="D5:E5"/>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N66"/>
  <sheetViews>
    <sheetView showGridLines="0" zoomScale="75" zoomScaleNormal="75" workbookViewId="0"/>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100</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101</v>
      </c>
      <c r="D8" s="6" t="s">
        <v>102</v>
      </c>
      <c r="E8" s="11">
        <v>6.2288999999999997E-2</v>
      </c>
      <c r="F8" s="1"/>
      <c r="G8" s="23" t="s">
        <v>15</v>
      </c>
      <c r="H8" s="25">
        <f>68.979%-E9-E8</f>
        <v>0.56574799999999992</v>
      </c>
      <c r="I8" s="1"/>
      <c r="J8" s="23" t="s">
        <v>12</v>
      </c>
      <c r="K8" s="23" t="s">
        <v>3</v>
      </c>
      <c r="L8" s="1"/>
      <c r="M8" s="1"/>
      <c r="N8" s="17"/>
    </row>
    <row r="9" spans="2:14" ht="15" customHeight="1" x14ac:dyDescent="0.25">
      <c r="B9" s="19"/>
      <c r="C9" s="5" t="s">
        <v>214</v>
      </c>
      <c r="D9" s="6" t="s">
        <v>103</v>
      </c>
      <c r="E9" s="11">
        <v>6.1753000000000002E-2</v>
      </c>
      <c r="F9" s="1"/>
      <c r="G9" s="23" t="s">
        <v>112</v>
      </c>
      <c r="H9" s="25">
        <f>23.7428%+E9</f>
        <v>0.29918100000000003</v>
      </c>
      <c r="I9" s="1"/>
      <c r="J9" s="23" t="s">
        <v>13</v>
      </c>
      <c r="K9" s="25">
        <v>0.107142</v>
      </c>
      <c r="L9" s="1"/>
      <c r="M9" s="1"/>
      <c r="N9" s="17"/>
    </row>
    <row r="10" spans="2:14" ht="15" customHeight="1" x14ac:dyDescent="0.25">
      <c r="B10" s="19"/>
      <c r="C10" s="5" t="s">
        <v>25</v>
      </c>
      <c r="D10" s="6" t="s">
        <v>27</v>
      </c>
      <c r="E10" s="11">
        <v>6.0058E-2</v>
      </c>
      <c r="F10" s="1"/>
      <c r="G10" s="23" t="s">
        <v>113</v>
      </c>
      <c r="H10" s="25">
        <v>4.2473999999999998E-2</v>
      </c>
      <c r="I10" s="1"/>
      <c r="J10" s="23" t="s">
        <v>61</v>
      </c>
      <c r="K10" s="25">
        <v>0.48142299999999999</v>
      </c>
      <c r="L10" s="1"/>
      <c r="M10" s="1"/>
      <c r="N10" s="17"/>
    </row>
    <row r="11" spans="2:14" ht="15" customHeight="1" x14ac:dyDescent="0.25">
      <c r="B11" s="19"/>
      <c r="C11" s="5" t="s">
        <v>215</v>
      </c>
      <c r="D11" s="6" t="s">
        <v>104</v>
      </c>
      <c r="E11" s="11">
        <v>5.8153999999999997E-2</v>
      </c>
      <c r="F11" s="1"/>
      <c r="G11" s="23" t="s">
        <v>114</v>
      </c>
      <c r="H11" s="25">
        <v>3.0308000000000002E-2</v>
      </c>
      <c r="I11" s="1"/>
      <c r="J11" s="23" t="s">
        <v>63</v>
      </c>
      <c r="K11" s="25">
        <v>0.215444</v>
      </c>
      <c r="L11" s="1"/>
      <c r="M11" s="1"/>
      <c r="N11" s="17"/>
    </row>
    <row r="12" spans="2:14" ht="15" customHeight="1" x14ac:dyDescent="0.25">
      <c r="B12" s="19"/>
      <c r="C12" s="5" t="s">
        <v>32</v>
      </c>
      <c r="D12" s="6" t="s">
        <v>27</v>
      </c>
      <c r="E12" s="11">
        <v>5.6758000000000003E-2</v>
      </c>
      <c r="F12" s="1"/>
      <c r="G12" s="23" t="s">
        <v>209</v>
      </c>
      <c r="H12" s="25">
        <f>E8</f>
        <v>6.2288999999999997E-2</v>
      </c>
      <c r="I12" s="1"/>
      <c r="J12" s="23" t="s">
        <v>85</v>
      </c>
      <c r="K12" s="25">
        <v>8.5127999999999995E-2</v>
      </c>
      <c r="L12" s="1"/>
      <c r="M12" s="1"/>
      <c r="N12" s="17"/>
    </row>
    <row r="13" spans="2:14" ht="15" customHeight="1" x14ac:dyDescent="0.25">
      <c r="B13" s="19"/>
      <c r="C13" s="5" t="s">
        <v>216</v>
      </c>
      <c r="D13" s="6" t="s">
        <v>104</v>
      </c>
      <c r="E13" s="11">
        <v>5.3582999999999999E-2</v>
      </c>
      <c r="F13" s="1"/>
      <c r="G13" s="1"/>
      <c r="H13" s="1"/>
      <c r="I13" s="1"/>
      <c r="J13" s="23" t="s">
        <v>65</v>
      </c>
      <c r="K13" s="25">
        <v>8.8899000000000006E-2</v>
      </c>
      <c r="L13" s="1"/>
      <c r="M13" s="1"/>
      <c r="N13" s="17"/>
    </row>
    <row r="14" spans="2:14" ht="15" customHeight="1" x14ac:dyDescent="0.25">
      <c r="B14" s="19"/>
      <c r="C14" s="5" t="s">
        <v>217</v>
      </c>
      <c r="D14" s="6" t="s">
        <v>105</v>
      </c>
      <c r="E14" s="11">
        <v>3.6388999999999998E-2</v>
      </c>
      <c r="F14" s="1"/>
      <c r="G14" s="1"/>
      <c r="H14" s="1"/>
      <c r="I14" s="1"/>
      <c r="J14" s="23" t="s">
        <v>10</v>
      </c>
      <c r="K14" s="25">
        <v>2.1964000000000001E-2</v>
      </c>
      <c r="L14" s="1"/>
      <c r="M14" s="1"/>
      <c r="N14" s="17"/>
    </row>
    <row r="15" spans="2:14" ht="15" customHeight="1" x14ac:dyDescent="0.25">
      <c r="B15" s="19"/>
      <c r="C15" s="5" t="s">
        <v>217</v>
      </c>
      <c r="D15" s="6" t="s">
        <v>104</v>
      </c>
      <c r="E15" s="11">
        <v>3.0572999999999999E-2</v>
      </c>
      <c r="F15" s="1"/>
      <c r="G15" s="1"/>
      <c r="H15" s="1"/>
      <c r="I15" s="1"/>
      <c r="J15" s="1"/>
      <c r="K15" s="1"/>
      <c r="L15" s="1"/>
      <c r="M15" s="1"/>
      <c r="N15" s="17"/>
    </row>
    <row r="16" spans="2:14" ht="15" customHeight="1" x14ac:dyDescent="0.25">
      <c r="B16" s="19"/>
      <c r="C16" s="5" t="s">
        <v>106</v>
      </c>
      <c r="D16" s="6" t="s">
        <v>107</v>
      </c>
      <c r="E16" s="11">
        <v>3.0308000000000002E-2</v>
      </c>
      <c r="F16" s="1"/>
      <c r="G16" s="1"/>
      <c r="H16" s="1"/>
      <c r="I16" s="1"/>
      <c r="J16" s="1"/>
      <c r="K16" s="1"/>
      <c r="L16" s="1"/>
      <c r="M16" s="1"/>
      <c r="N16" s="17"/>
    </row>
    <row r="17" spans="2:14" ht="15" customHeight="1" x14ac:dyDescent="0.25">
      <c r="B17" s="19"/>
      <c r="C17" s="5" t="s">
        <v>29</v>
      </c>
      <c r="D17" s="6" t="s">
        <v>27</v>
      </c>
      <c r="E17" s="11">
        <v>1.274E-2</v>
      </c>
      <c r="F17" s="1"/>
      <c r="G17" s="1"/>
      <c r="H17" s="1"/>
      <c r="I17" s="1"/>
      <c r="J17" s="1"/>
      <c r="K17" s="1"/>
      <c r="L17" s="1"/>
      <c r="M17" s="1"/>
      <c r="N17" s="17"/>
    </row>
    <row r="18" spans="2:14" ht="15" customHeight="1" x14ac:dyDescent="0.25">
      <c r="B18" s="19"/>
      <c r="C18" s="5" t="s">
        <v>31</v>
      </c>
      <c r="D18" s="6" t="s">
        <v>27</v>
      </c>
      <c r="E18" s="11">
        <v>6.5139999999999998E-3</v>
      </c>
      <c r="F18" s="1"/>
      <c r="G18" s="1"/>
      <c r="H18" s="1"/>
      <c r="I18" s="1"/>
      <c r="J18" s="1"/>
      <c r="K18" s="1"/>
      <c r="L18" s="1"/>
      <c r="M18" s="1"/>
      <c r="N18" s="17"/>
    </row>
    <row r="19" spans="2:14" ht="15" customHeight="1" x14ac:dyDescent="0.25">
      <c r="B19" s="19"/>
      <c r="C19" s="5" t="s">
        <v>108</v>
      </c>
      <c r="D19" s="6" t="s">
        <v>104</v>
      </c>
      <c r="E19" s="11">
        <v>6.2189999999999997E-3</v>
      </c>
      <c r="F19" s="1"/>
      <c r="G19" s="1"/>
      <c r="H19" s="1"/>
      <c r="I19" s="1"/>
      <c r="J19" s="1"/>
      <c r="K19" s="1"/>
      <c r="L19" s="1"/>
      <c r="M19" s="1"/>
      <c r="N19" s="17"/>
    </row>
    <row r="20" spans="2:14" ht="15" customHeight="1" x14ac:dyDescent="0.25">
      <c r="B20" s="19"/>
      <c r="C20" s="5" t="s">
        <v>218</v>
      </c>
      <c r="D20" s="6" t="s">
        <v>105</v>
      </c>
      <c r="E20" s="11">
        <v>6.0850000000000001E-3</v>
      </c>
      <c r="F20" s="1"/>
      <c r="G20" s="1"/>
      <c r="H20" s="1"/>
      <c r="I20" s="1"/>
      <c r="J20" s="1"/>
      <c r="K20" s="1"/>
      <c r="L20" s="1"/>
      <c r="M20" s="1"/>
      <c r="N20" s="17"/>
    </row>
    <row r="21" spans="2:14" ht="15.75" customHeight="1" x14ac:dyDescent="0.25">
      <c r="B21" s="19"/>
      <c r="C21" s="7" t="s">
        <v>45</v>
      </c>
      <c r="D21" s="8"/>
      <c r="E21" s="12">
        <v>0.48142299999999999</v>
      </c>
      <c r="F21" s="1"/>
      <c r="G21" s="1"/>
      <c r="H21" s="1"/>
      <c r="I21" s="1"/>
      <c r="J21" s="1"/>
      <c r="K21" s="1"/>
      <c r="L21" s="1"/>
      <c r="M21" s="1"/>
      <c r="N21" s="17"/>
    </row>
    <row r="22" spans="2:14" ht="15" customHeight="1" x14ac:dyDescent="0.25">
      <c r="B22" s="19"/>
      <c r="C22" s="5" t="s">
        <v>109</v>
      </c>
      <c r="D22" s="6" t="s">
        <v>47</v>
      </c>
      <c r="E22" s="11">
        <v>0.14874599999999999</v>
      </c>
      <c r="F22" s="1"/>
      <c r="G22" s="1"/>
      <c r="H22" s="1"/>
      <c r="I22" s="1"/>
      <c r="J22" s="1"/>
      <c r="K22" s="1"/>
      <c r="L22" s="1"/>
      <c r="M22" s="1"/>
      <c r="N22" s="17"/>
    </row>
    <row r="23" spans="2:14" ht="15" customHeight="1" x14ac:dyDescent="0.25">
      <c r="B23" s="19"/>
      <c r="C23" s="5" t="s">
        <v>51</v>
      </c>
      <c r="D23" s="6" t="s">
        <v>47</v>
      </c>
      <c r="E23" s="11">
        <v>3.5312000000000003E-2</v>
      </c>
      <c r="F23" s="1"/>
      <c r="G23" s="1"/>
      <c r="H23" s="1"/>
      <c r="I23" s="1"/>
      <c r="J23" s="1"/>
      <c r="K23" s="1"/>
      <c r="L23" s="1"/>
      <c r="M23" s="1"/>
      <c r="N23" s="17"/>
    </row>
    <row r="24" spans="2:14" ht="15" customHeight="1" x14ac:dyDescent="0.25">
      <c r="B24" s="19"/>
      <c r="C24" s="5" t="s">
        <v>110</v>
      </c>
      <c r="D24" s="6" t="s">
        <v>47</v>
      </c>
      <c r="E24" s="11">
        <v>2.5545000000000002E-2</v>
      </c>
      <c r="F24" s="1"/>
      <c r="G24" s="1"/>
      <c r="H24" s="1"/>
      <c r="I24" s="1"/>
      <c r="J24" s="1"/>
      <c r="K24" s="1"/>
      <c r="L24" s="1"/>
      <c r="M24" s="1"/>
      <c r="N24" s="17"/>
    </row>
    <row r="25" spans="2:14" ht="15" customHeight="1" x14ac:dyDescent="0.25">
      <c r="B25" s="19"/>
      <c r="C25" s="5" t="s">
        <v>70</v>
      </c>
      <c r="D25" s="6" t="s">
        <v>47</v>
      </c>
      <c r="E25" s="11">
        <v>5.8409999999999998E-3</v>
      </c>
      <c r="F25" s="1"/>
      <c r="G25" s="1"/>
      <c r="H25" s="1"/>
      <c r="I25" s="1"/>
      <c r="J25" s="1"/>
      <c r="K25" s="1"/>
      <c r="L25" s="1"/>
      <c r="M25" s="1"/>
      <c r="N25" s="17"/>
    </row>
    <row r="26" spans="2:14" ht="15.75" customHeight="1" x14ac:dyDescent="0.25">
      <c r="B26" s="19"/>
      <c r="C26" s="7" t="s">
        <v>57</v>
      </c>
      <c r="D26" s="8"/>
      <c r="E26" s="12">
        <v>0.215444</v>
      </c>
      <c r="F26" s="1"/>
      <c r="G26" s="40" t="s">
        <v>17</v>
      </c>
      <c r="H26" s="41"/>
      <c r="I26" s="41"/>
      <c r="J26" s="41"/>
      <c r="K26" s="41"/>
      <c r="L26" s="41"/>
      <c r="M26" s="41"/>
      <c r="N26" s="42"/>
    </row>
    <row r="27" spans="2:14" ht="15" customHeight="1" x14ac:dyDescent="0.25">
      <c r="B27" s="19"/>
      <c r="C27" s="5" t="s">
        <v>211</v>
      </c>
      <c r="D27" s="6" t="s">
        <v>76</v>
      </c>
      <c r="E27" s="11">
        <v>8.5127999999999995E-2</v>
      </c>
      <c r="F27" s="1"/>
      <c r="G27" s="1"/>
      <c r="H27" s="1"/>
      <c r="I27" s="1"/>
      <c r="J27" s="1"/>
      <c r="K27" s="1"/>
      <c r="L27" s="1"/>
      <c r="M27" s="1"/>
      <c r="N27" s="17"/>
    </row>
    <row r="28" spans="2:14" ht="15.75" customHeight="1" x14ac:dyDescent="0.25">
      <c r="B28" s="19"/>
      <c r="C28" s="7" t="s">
        <v>77</v>
      </c>
      <c r="D28" s="8"/>
      <c r="E28" s="12">
        <v>8.5127999999999995E-2</v>
      </c>
      <c r="F28" s="1"/>
      <c r="G28" s="1"/>
      <c r="H28" s="1"/>
      <c r="I28" s="1"/>
      <c r="J28" s="1"/>
      <c r="K28" s="1"/>
      <c r="L28" s="1"/>
      <c r="M28" s="1"/>
      <c r="N28" s="17"/>
    </row>
    <row r="29" spans="2:14" ht="15" customHeight="1" x14ac:dyDescent="0.25">
      <c r="B29" s="19"/>
      <c r="C29" s="5" t="s">
        <v>8</v>
      </c>
      <c r="D29" s="6"/>
      <c r="E29" s="11">
        <v>0.107142</v>
      </c>
      <c r="F29" s="1"/>
      <c r="G29" s="1"/>
      <c r="H29" s="1"/>
      <c r="I29" s="1"/>
      <c r="J29" s="1"/>
      <c r="K29" s="1"/>
      <c r="L29" s="1"/>
      <c r="M29" s="1"/>
      <c r="N29" s="17"/>
    </row>
    <row r="30" spans="2:14" ht="15.75" customHeight="1" x14ac:dyDescent="0.25">
      <c r="B30" s="19"/>
      <c r="C30" s="7" t="s">
        <v>9</v>
      </c>
      <c r="D30" s="8"/>
      <c r="E30" s="12">
        <v>0.107142</v>
      </c>
      <c r="F30" s="1"/>
      <c r="G30" s="1"/>
      <c r="H30" s="1"/>
      <c r="I30" s="1"/>
      <c r="J30" s="1"/>
      <c r="K30" s="1"/>
      <c r="L30" s="1"/>
      <c r="M30" s="1"/>
      <c r="N30" s="17"/>
    </row>
    <row r="31" spans="2:14" ht="15" customHeight="1" x14ac:dyDescent="0.25">
      <c r="B31" s="19"/>
      <c r="C31" s="5" t="s">
        <v>111</v>
      </c>
      <c r="D31" s="6" t="s">
        <v>104</v>
      </c>
      <c r="E31" s="11">
        <v>8.8899000000000006E-2</v>
      </c>
      <c r="F31" s="1"/>
      <c r="G31" s="1"/>
      <c r="H31" s="1"/>
      <c r="I31" s="1"/>
      <c r="J31" s="1"/>
      <c r="K31" s="1"/>
      <c r="L31" s="1"/>
      <c r="M31" s="1"/>
      <c r="N31" s="17"/>
    </row>
    <row r="32" spans="2:14" ht="15.75" customHeight="1" x14ac:dyDescent="0.25">
      <c r="B32" s="19"/>
      <c r="C32" s="7" t="s">
        <v>59</v>
      </c>
      <c r="D32" s="8"/>
      <c r="E32" s="12">
        <v>8.8899000000000006E-2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75" customHeight="1" x14ac:dyDescent="0.25">
      <c r="B34" s="19"/>
      <c r="C34" s="7" t="s">
        <v>10</v>
      </c>
      <c r="D34" s="8"/>
      <c r="E34" s="12">
        <v>2.1964000000000001E-2</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 customHeight="1" x14ac:dyDescent="0.25">
      <c r="B36" s="19"/>
      <c r="C36" s="9" t="s">
        <v>11</v>
      </c>
      <c r="D36" s="10"/>
      <c r="E36" s="13">
        <v>1</v>
      </c>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t="s">
        <v>212</v>
      </c>
      <c r="D38" s="1"/>
      <c r="E38" s="1"/>
      <c r="F38" s="1"/>
      <c r="G38" s="1"/>
      <c r="H38" s="1"/>
      <c r="I38" s="1"/>
      <c r="J38" s="1"/>
      <c r="K38" s="1"/>
      <c r="L38" s="1"/>
      <c r="M38" s="1"/>
      <c r="N38" s="17"/>
    </row>
    <row r="39" spans="2:14" ht="15" customHeight="1" x14ac:dyDescent="0.25">
      <c r="B39" s="19"/>
      <c r="C39" s="1" t="s">
        <v>210</v>
      </c>
      <c r="D39" s="1"/>
      <c r="E39" s="1"/>
      <c r="F39" s="1"/>
      <c r="G39" s="1"/>
      <c r="H39" s="1"/>
      <c r="I39" s="1"/>
      <c r="J39" s="1"/>
      <c r="K39" s="1"/>
      <c r="L39" s="1"/>
      <c r="M39" s="1"/>
      <c r="N39" s="17"/>
    </row>
    <row r="40" spans="2:14" ht="15" customHeight="1" x14ac:dyDescent="0.25">
      <c r="B40" s="19"/>
      <c r="C40" s="34" t="s">
        <v>213</v>
      </c>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sheetData>
  <mergeCells count="4">
    <mergeCell ref="C3:N3"/>
    <mergeCell ref="D5:E5"/>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54.285156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118</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67</v>
      </c>
      <c r="D8" s="6" t="s">
        <v>47</v>
      </c>
      <c r="E8" s="11">
        <v>0.51805299999999999</v>
      </c>
      <c r="F8" s="1"/>
      <c r="G8" s="23" t="s">
        <v>15</v>
      </c>
      <c r="H8" s="24">
        <v>1</v>
      </c>
      <c r="I8" s="1"/>
      <c r="J8" s="23" t="s">
        <v>12</v>
      </c>
      <c r="K8" s="23" t="s">
        <v>3</v>
      </c>
      <c r="L8" s="1"/>
      <c r="M8" s="1"/>
      <c r="N8" s="17"/>
    </row>
    <row r="9" spans="2:14" ht="15" customHeight="1" x14ac:dyDescent="0.25">
      <c r="B9" s="19"/>
      <c r="C9" s="5" t="s">
        <v>69</v>
      </c>
      <c r="D9" s="6" t="s">
        <v>47</v>
      </c>
      <c r="E9" s="11">
        <v>0.207123</v>
      </c>
      <c r="F9" s="1"/>
      <c r="G9" s="1"/>
      <c r="H9" s="1"/>
      <c r="I9" s="1"/>
      <c r="J9" s="23" t="s">
        <v>13</v>
      </c>
      <c r="K9" s="25">
        <v>1.5579999999999999E-3</v>
      </c>
      <c r="L9" s="1"/>
      <c r="M9" s="1"/>
      <c r="N9" s="17"/>
    </row>
    <row r="10" spans="2:14" ht="15" customHeight="1" x14ac:dyDescent="0.25">
      <c r="B10" s="19"/>
      <c r="C10" s="5" t="s">
        <v>68</v>
      </c>
      <c r="D10" s="6" t="s">
        <v>47</v>
      </c>
      <c r="E10" s="11">
        <v>0.150085</v>
      </c>
      <c r="F10" s="1"/>
      <c r="G10" s="1"/>
      <c r="H10" s="1"/>
      <c r="I10" s="1"/>
      <c r="J10" s="23" t="s">
        <v>63</v>
      </c>
      <c r="K10" s="25">
        <v>0.98390500000000003</v>
      </c>
      <c r="L10" s="1"/>
      <c r="M10" s="1"/>
      <c r="N10" s="17"/>
    </row>
    <row r="11" spans="2:14" ht="15" customHeight="1" x14ac:dyDescent="0.25">
      <c r="B11" s="19"/>
      <c r="C11" s="5" t="s">
        <v>71</v>
      </c>
      <c r="D11" s="6" t="s">
        <v>47</v>
      </c>
      <c r="E11" s="11">
        <v>0.10860400000000001</v>
      </c>
      <c r="F11" s="1"/>
      <c r="G11" s="1"/>
      <c r="H11" s="1"/>
      <c r="I11" s="1"/>
      <c r="J11" s="23" t="s">
        <v>10</v>
      </c>
      <c r="K11" s="25">
        <v>1.4537E-2</v>
      </c>
      <c r="L11" s="1"/>
      <c r="M11" s="1"/>
      <c r="N11" s="17"/>
    </row>
    <row r="12" spans="2:14" ht="15" customHeight="1" x14ac:dyDescent="0.25">
      <c r="B12" s="19"/>
      <c r="C12" s="5" t="s">
        <v>109</v>
      </c>
      <c r="D12" s="6" t="s">
        <v>47</v>
      </c>
      <c r="E12" s="11">
        <v>4.0000000000000003E-5</v>
      </c>
      <c r="F12" s="1"/>
      <c r="G12" s="1"/>
      <c r="H12" s="1"/>
      <c r="I12" s="1"/>
      <c r="J12" s="1"/>
      <c r="K12" s="1"/>
      <c r="L12" s="1"/>
      <c r="M12" s="1"/>
      <c r="N12" s="17"/>
    </row>
    <row r="13" spans="2:14" ht="15.75" customHeight="1" x14ac:dyDescent="0.25">
      <c r="B13" s="19"/>
      <c r="C13" s="7" t="s">
        <v>57</v>
      </c>
      <c r="D13" s="8"/>
      <c r="E13" s="12">
        <v>0.98390500000000003</v>
      </c>
      <c r="F13" s="1"/>
      <c r="G13" s="1"/>
      <c r="H13" s="1"/>
      <c r="I13" s="1"/>
      <c r="J13" s="1"/>
      <c r="K13" s="1"/>
      <c r="L13" s="1"/>
      <c r="M13" s="1"/>
      <c r="N13" s="17"/>
    </row>
    <row r="14" spans="2:14" ht="15" customHeight="1" x14ac:dyDescent="0.25">
      <c r="B14" s="19"/>
      <c r="C14" s="5" t="s">
        <v>8</v>
      </c>
      <c r="D14" s="6"/>
      <c r="E14" s="11">
        <v>1.5579999999999999E-3</v>
      </c>
      <c r="F14" s="1"/>
      <c r="G14" s="1"/>
      <c r="H14" s="1"/>
      <c r="I14" s="1"/>
      <c r="J14" s="1"/>
      <c r="K14" s="1"/>
      <c r="L14" s="1"/>
      <c r="M14" s="1"/>
      <c r="N14" s="17"/>
    </row>
    <row r="15" spans="2:14" ht="15.75" customHeight="1" x14ac:dyDescent="0.25">
      <c r="B15" s="19"/>
      <c r="C15" s="7" t="s">
        <v>9</v>
      </c>
      <c r="D15" s="8"/>
      <c r="E15" s="12">
        <v>1.5579999999999999E-3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1.4537E-2</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0" t="s">
        <v>17</v>
      </c>
      <c r="H26" s="41"/>
      <c r="I26" s="41"/>
      <c r="J26" s="41"/>
      <c r="K26" s="41"/>
      <c r="L26" s="41"/>
      <c r="M26" s="41"/>
      <c r="N26" s="42"/>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4">
    <mergeCell ref="C3:N3"/>
    <mergeCell ref="D5:E5"/>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54.285156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119</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6"/>
      <c r="D5" s="38"/>
      <c r="E5" s="39"/>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69</v>
      </c>
      <c r="D8" s="6" t="s">
        <v>47</v>
      </c>
      <c r="E8" s="11">
        <v>0.76755099999999998</v>
      </c>
      <c r="F8" s="1"/>
      <c r="G8" s="23" t="s">
        <v>15</v>
      </c>
      <c r="H8" s="24">
        <v>1</v>
      </c>
      <c r="I8" s="1"/>
      <c r="J8" s="23" t="s">
        <v>12</v>
      </c>
      <c r="K8" s="23" t="s">
        <v>3</v>
      </c>
      <c r="L8" s="1"/>
      <c r="M8" s="1"/>
      <c r="N8" s="17"/>
    </row>
    <row r="9" spans="2:14" ht="15" customHeight="1" x14ac:dyDescent="0.25">
      <c r="B9" s="19"/>
      <c r="C9" s="5" t="s">
        <v>120</v>
      </c>
      <c r="D9" s="6" t="s">
        <v>47</v>
      </c>
      <c r="E9" s="11">
        <v>0.14718000000000001</v>
      </c>
      <c r="F9" s="1"/>
      <c r="G9" s="1"/>
      <c r="H9" s="1"/>
      <c r="I9" s="1"/>
      <c r="J9" s="23" t="s">
        <v>13</v>
      </c>
      <c r="K9" s="25">
        <v>7.5299999999999998E-4</v>
      </c>
      <c r="L9" s="1"/>
      <c r="M9" s="1"/>
      <c r="N9" s="17"/>
    </row>
    <row r="10" spans="2:14" ht="15" customHeight="1" x14ac:dyDescent="0.25">
      <c r="B10" s="19"/>
      <c r="C10" s="5" t="s">
        <v>121</v>
      </c>
      <c r="D10" s="6" t="s">
        <v>47</v>
      </c>
      <c r="E10" s="11">
        <v>3.1127999999999999E-2</v>
      </c>
      <c r="F10" s="1"/>
      <c r="G10" s="1"/>
      <c r="H10" s="1"/>
      <c r="I10" s="1"/>
      <c r="J10" s="23" t="s">
        <v>63</v>
      </c>
      <c r="K10" s="25">
        <v>0.97223300000000001</v>
      </c>
      <c r="L10" s="1"/>
      <c r="M10" s="1"/>
      <c r="N10" s="17"/>
    </row>
    <row r="11" spans="2:14" ht="15" customHeight="1" x14ac:dyDescent="0.25">
      <c r="B11" s="19"/>
      <c r="C11" s="5" t="s">
        <v>72</v>
      </c>
      <c r="D11" s="6" t="s">
        <v>47</v>
      </c>
      <c r="E11" s="11">
        <v>1.6766E-2</v>
      </c>
      <c r="F11" s="1"/>
      <c r="G11" s="1"/>
      <c r="H11" s="1"/>
      <c r="I11" s="1"/>
      <c r="J11" s="23" t="s">
        <v>10</v>
      </c>
      <c r="K11" s="25">
        <v>2.7014E-2</v>
      </c>
      <c r="L11" s="1"/>
      <c r="M11" s="1"/>
      <c r="N11" s="17"/>
    </row>
    <row r="12" spans="2:14" ht="15" customHeight="1" x14ac:dyDescent="0.25">
      <c r="B12" s="19"/>
      <c r="C12" s="5" t="s">
        <v>67</v>
      </c>
      <c r="D12" s="6" t="s">
        <v>47</v>
      </c>
      <c r="E12" s="11">
        <v>6.3749999999999996E-3</v>
      </c>
      <c r="F12" s="1"/>
      <c r="G12" s="1"/>
      <c r="H12" s="1"/>
      <c r="I12" s="1"/>
      <c r="J12" s="1"/>
      <c r="K12" s="1"/>
      <c r="L12" s="1"/>
      <c r="M12" s="1"/>
      <c r="N12" s="17"/>
    </row>
    <row r="13" spans="2:14" ht="15" customHeight="1" x14ac:dyDescent="0.25">
      <c r="B13" s="19"/>
      <c r="C13" s="5" t="s">
        <v>109</v>
      </c>
      <c r="D13" s="6" t="s">
        <v>47</v>
      </c>
      <c r="E13" s="11">
        <v>3.2330000000000002E-3</v>
      </c>
      <c r="F13" s="1"/>
      <c r="G13" s="1"/>
      <c r="H13" s="1"/>
      <c r="I13" s="1"/>
      <c r="J13" s="1"/>
      <c r="K13" s="1"/>
      <c r="L13" s="1"/>
      <c r="M13" s="1"/>
      <c r="N13" s="17"/>
    </row>
    <row r="14" spans="2:14" ht="15.75" customHeight="1" x14ac:dyDescent="0.25">
      <c r="B14" s="19"/>
      <c r="C14" s="7" t="s">
        <v>57</v>
      </c>
      <c r="D14" s="8"/>
      <c r="E14" s="12">
        <v>0.97223300000000001</v>
      </c>
      <c r="F14" s="1"/>
      <c r="G14" s="1"/>
      <c r="H14" s="1"/>
      <c r="I14" s="1"/>
      <c r="J14" s="1"/>
      <c r="K14" s="1"/>
      <c r="L14" s="1"/>
      <c r="M14" s="1"/>
      <c r="N14" s="17"/>
    </row>
    <row r="15" spans="2:14" ht="15" customHeight="1" x14ac:dyDescent="0.25">
      <c r="B15" s="19"/>
      <c r="C15" s="5" t="s">
        <v>8</v>
      </c>
      <c r="D15" s="6"/>
      <c r="E15" s="11">
        <v>7.5299999999999998E-4</v>
      </c>
      <c r="F15" s="1"/>
      <c r="G15" s="1"/>
      <c r="H15" s="1"/>
      <c r="I15" s="1"/>
      <c r="J15" s="1"/>
      <c r="K15" s="1"/>
      <c r="L15" s="1"/>
      <c r="M15" s="1"/>
      <c r="N15" s="17"/>
    </row>
    <row r="16" spans="2:14" ht="15.75" customHeight="1" x14ac:dyDescent="0.25">
      <c r="B16" s="19"/>
      <c r="C16" s="7" t="s">
        <v>9</v>
      </c>
      <c r="D16" s="8"/>
      <c r="E16" s="12">
        <v>7.5299999999999998E-4</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75" customHeight="1" x14ac:dyDescent="0.25">
      <c r="B18" s="19"/>
      <c r="C18" s="7" t="s">
        <v>10</v>
      </c>
      <c r="D18" s="8"/>
      <c r="E18" s="12">
        <v>2.7014E-2</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 customHeight="1" x14ac:dyDescent="0.25">
      <c r="B20" s="19"/>
      <c r="C20" s="9" t="s">
        <v>11</v>
      </c>
      <c r="D20" s="10"/>
      <c r="E20" s="13">
        <v>1</v>
      </c>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0" t="s">
        <v>17</v>
      </c>
      <c r="H26" s="41"/>
      <c r="I26" s="41"/>
      <c r="J26" s="41"/>
      <c r="K26" s="41"/>
      <c r="L26" s="41"/>
      <c r="M26" s="41"/>
      <c r="N26" s="42"/>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4">
    <mergeCell ref="C3:N3"/>
    <mergeCell ref="D5:E5"/>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33"/>
      <c r="C3" s="43" t="s">
        <v>0</v>
      </c>
      <c r="D3" s="43"/>
      <c r="E3" s="43"/>
      <c r="F3" s="43"/>
      <c r="G3" s="43"/>
      <c r="H3" s="43"/>
      <c r="I3" s="43"/>
      <c r="J3" s="43"/>
      <c r="K3" s="43"/>
      <c r="L3" s="43"/>
      <c r="M3" s="43"/>
      <c r="N3" s="32"/>
    </row>
    <row r="4" spans="2:14" ht="15.75" customHeight="1" x14ac:dyDescent="0.25">
      <c r="B4" s="19"/>
      <c r="C4" s="14"/>
      <c r="D4" s="1"/>
      <c r="E4" s="1"/>
      <c r="F4" s="1"/>
      <c r="G4" s="1"/>
      <c r="H4" s="1"/>
      <c r="I4" s="1"/>
      <c r="J4" s="1"/>
      <c r="K4" s="1"/>
      <c r="L4" s="1"/>
      <c r="M4" s="1"/>
      <c r="N4" s="17"/>
    </row>
    <row r="5" spans="2:14" ht="18" customHeight="1" x14ac:dyDescent="0.25">
      <c r="B5" s="19"/>
      <c r="C5" s="26"/>
      <c r="D5" s="29"/>
      <c r="E5" s="28"/>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4</v>
      </c>
      <c r="D8" s="6"/>
      <c r="E8" s="11">
        <v>0.62121800000000005</v>
      </c>
      <c r="F8" s="1"/>
      <c r="G8" s="23" t="s">
        <v>15</v>
      </c>
      <c r="H8" s="24">
        <v>1</v>
      </c>
      <c r="I8" s="1"/>
      <c r="J8" s="23" t="s">
        <v>12</v>
      </c>
      <c r="K8" s="23" t="s">
        <v>3</v>
      </c>
      <c r="L8" s="1"/>
      <c r="M8" s="1"/>
      <c r="N8" s="17"/>
    </row>
    <row r="9" spans="2:14" ht="15" customHeight="1" x14ac:dyDescent="0.25">
      <c r="B9" s="19"/>
      <c r="C9" s="5" t="s">
        <v>5</v>
      </c>
      <c r="D9" s="6"/>
      <c r="E9" s="11">
        <v>0.30989899999999998</v>
      </c>
      <c r="F9" s="1"/>
      <c r="G9" s="1"/>
      <c r="H9" s="1"/>
      <c r="I9" s="1"/>
      <c r="J9" s="23" t="s">
        <v>13</v>
      </c>
      <c r="K9" s="25">
        <v>4.1999999999999997E-3</v>
      </c>
      <c r="L9" s="1"/>
      <c r="M9" s="1"/>
      <c r="N9" s="17"/>
    </row>
    <row r="10" spans="2:14" ht="15" customHeight="1" x14ac:dyDescent="0.25">
      <c r="B10" s="19"/>
      <c r="C10" s="5" t="s">
        <v>6</v>
      </c>
      <c r="D10" s="6"/>
      <c r="E10" s="11">
        <v>6.5497E-2</v>
      </c>
      <c r="F10" s="1"/>
      <c r="G10" s="1"/>
      <c r="H10" s="1"/>
      <c r="I10" s="1"/>
      <c r="J10" s="23" t="s">
        <v>14</v>
      </c>
      <c r="K10" s="25">
        <v>0.996614</v>
      </c>
      <c r="L10" s="1"/>
      <c r="M10" s="1"/>
      <c r="N10" s="17"/>
    </row>
    <row r="11" spans="2:14" ht="15.75" customHeight="1" x14ac:dyDescent="0.25">
      <c r="B11" s="19"/>
      <c r="C11" s="7" t="s">
        <v>7</v>
      </c>
      <c r="D11" s="8"/>
      <c r="E11" s="12">
        <v>0.996614</v>
      </c>
      <c r="F11" s="1"/>
      <c r="G11" s="1"/>
      <c r="H11" s="1"/>
      <c r="I11" s="1"/>
      <c r="J11" s="23" t="s">
        <v>10</v>
      </c>
      <c r="K11" s="25">
        <v>-8.1400000000000005E-4</v>
      </c>
      <c r="L11" s="1"/>
      <c r="M11" s="1"/>
      <c r="N11" s="17"/>
    </row>
    <row r="12" spans="2:14" ht="15" customHeight="1" x14ac:dyDescent="0.25">
      <c r="B12" s="19"/>
      <c r="C12" s="5" t="s">
        <v>8</v>
      </c>
      <c r="D12" s="6"/>
      <c r="E12" s="11">
        <v>4.1999999999999997E-3</v>
      </c>
      <c r="F12" s="1"/>
      <c r="G12" s="1"/>
      <c r="H12" s="1"/>
      <c r="I12" s="1"/>
      <c r="J12" s="1"/>
      <c r="K12" s="1"/>
      <c r="L12" s="1"/>
      <c r="M12" s="1"/>
      <c r="N12" s="17"/>
    </row>
    <row r="13" spans="2:14" ht="15.75" customHeight="1" x14ac:dyDescent="0.25">
      <c r="B13" s="19"/>
      <c r="C13" s="7" t="s">
        <v>9</v>
      </c>
      <c r="D13" s="8"/>
      <c r="E13" s="12">
        <v>4.1999999999999997E-3</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-8.1400000000000005E-4</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0" t="s">
        <v>17</v>
      </c>
      <c r="H26" s="41"/>
      <c r="I26" s="41"/>
      <c r="J26" s="41"/>
      <c r="K26" s="41"/>
      <c r="L26" s="41"/>
      <c r="M26" s="41"/>
      <c r="N26" s="42"/>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x14ac:dyDescent="0.25">
      <c r="B48" s="19"/>
      <c r="C48" s="1"/>
      <c r="D48" s="1"/>
      <c r="E48" s="1"/>
      <c r="F48" s="1"/>
      <c r="G48" s="1"/>
      <c r="H48" s="1"/>
      <c r="I48" s="1"/>
      <c r="J48" s="1"/>
      <c r="K48" s="1"/>
      <c r="L48" s="1"/>
      <c r="M48" s="1"/>
      <c r="N48" s="17"/>
    </row>
    <row r="49" spans="2:14"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G7:N7"/>
    <mergeCell ref="G26:N26"/>
    <mergeCell ref="C3:M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N66"/>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5" t="s">
        <v>133</v>
      </c>
      <c r="D3" s="36"/>
      <c r="E3" s="36"/>
      <c r="F3" s="36"/>
      <c r="G3" s="36"/>
      <c r="H3" s="36"/>
      <c r="I3" s="36"/>
      <c r="J3" s="36"/>
      <c r="K3" s="36"/>
      <c r="L3" s="36"/>
      <c r="M3" s="36"/>
      <c r="N3" s="37"/>
    </row>
    <row r="4" spans="2:14" ht="15.75" customHeight="1" x14ac:dyDescent="0.25">
      <c r="B4" s="19"/>
      <c r="C4" s="14"/>
      <c r="D4" s="1"/>
      <c r="E4" s="1"/>
      <c r="F4" s="1"/>
      <c r="G4" s="1"/>
      <c r="H4" s="1"/>
      <c r="I4" s="1"/>
      <c r="J4" s="1"/>
      <c r="K4" s="1"/>
      <c r="L4" s="1"/>
      <c r="M4" s="1"/>
      <c r="N4" s="17"/>
    </row>
    <row r="5" spans="2:14" ht="18" customHeight="1" x14ac:dyDescent="0.25">
      <c r="B5" s="19"/>
      <c r="C5" s="27"/>
      <c r="D5" s="28"/>
      <c r="E5" s="28"/>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0" t="s">
        <v>16</v>
      </c>
      <c r="H7" s="41"/>
      <c r="I7" s="41"/>
      <c r="J7" s="41"/>
      <c r="K7" s="41"/>
      <c r="L7" s="41"/>
      <c r="M7" s="41"/>
      <c r="N7" s="42"/>
    </row>
    <row r="8" spans="2:14" ht="15" customHeight="1" x14ac:dyDescent="0.25">
      <c r="B8" s="19"/>
      <c r="C8" s="5" t="s">
        <v>24</v>
      </c>
      <c r="D8" s="6" t="s">
        <v>20</v>
      </c>
      <c r="E8" s="11">
        <v>9.4932000000000002E-2</v>
      </c>
      <c r="F8" s="1"/>
      <c r="G8" s="23" t="s">
        <v>15</v>
      </c>
      <c r="H8" s="24">
        <v>0.88262200000000002</v>
      </c>
      <c r="I8" s="1"/>
      <c r="J8" s="23" t="s">
        <v>12</v>
      </c>
      <c r="K8" s="23" t="s">
        <v>3</v>
      </c>
      <c r="L8" s="1"/>
      <c r="M8" s="1"/>
      <c r="N8" s="17"/>
    </row>
    <row r="9" spans="2:14" ht="15.75" customHeight="1" x14ac:dyDescent="0.25">
      <c r="B9" s="19"/>
      <c r="C9" s="5" t="s">
        <v>134</v>
      </c>
      <c r="D9" s="6" t="s">
        <v>20</v>
      </c>
      <c r="E9" s="11">
        <v>4.2056000000000003E-2</v>
      </c>
      <c r="F9" s="1"/>
      <c r="G9" s="23" t="s">
        <v>113</v>
      </c>
      <c r="H9" s="24">
        <v>0.11737800000000001</v>
      </c>
      <c r="I9" s="1"/>
      <c r="J9" s="23" t="s">
        <v>13</v>
      </c>
      <c r="K9" s="25">
        <v>0.219386</v>
      </c>
      <c r="L9" s="1"/>
      <c r="M9" s="1"/>
      <c r="N9" s="17"/>
    </row>
    <row r="10" spans="2:14" ht="15" customHeight="1" x14ac:dyDescent="0.25">
      <c r="B10" s="19"/>
      <c r="C10" s="5" t="s">
        <v>135</v>
      </c>
      <c r="D10" s="6" t="s">
        <v>20</v>
      </c>
      <c r="E10" s="11">
        <v>3.5042999999999998E-2</v>
      </c>
      <c r="F10" s="1"/>
      <c r="G10" s="1"/>
      <c r="H10" s="1"/>
      <c r="I10" s="1"/>
      <c r="J10" s="23" t="s">
        <v>60</v>
      </c>
      <c r="K10" s="25">
        <v>1.1691999999999999E-2</v>
      </c>
      <c r="L10" s="1"/>
      <c r="M10" s="1"/>
      <c r="N10" s="17"/>
    </row>
    <row r="11" spans="2:14" ht="15" customHeight="1" x14ac:dyDescent="0.25">
      <c r="B11" s="19"/>
      <c r="C11" s="5" t="s">
        <v>22</v>
      </c>
      <c r="D11" s="6" t="s">
        <v>20</v>
      </c>
      <c r="E11" s="11">
        <v>1.4012999999999999E-2</v>
      </c>
      <c r="F11" s="1"/>
      <c r="G11" s="1"/>
      <c r="H11" s="1"/>
      <c r="I11" s="1"/>
      <c r="J11" s="23" t="s">
        <v>61</v>
      </c>
      <c r="K11" s="25">
        <v>2.1600999999999999E-2</v>
      </c>
      <c r="L11" s="1"/>
      <c r="M11" s="1"/>
      <c r="N11" s="17"/>
    </row>
    <row r="12" spans="2:14" ht="15" customHeight="1" x14ac:dyDescent="0.25">
      <c r="B12" s="19"/>
      <c r="C12" s="7" t="s">
        <v>23</v>
      </c>
      <c r="D12" s="8"/>
      <c r="E12" s="12">
        <v>0.18604399999999999</v>
      </c>
      <c r="F12" s="1"/>
      <c r="G12" s="1"/>
      <c r="H12" s="1"/>
      <c r="I12" s="1"/>
      <c r="J12" s="23" t="s">
        <v>62</v>
      </c>
      <c r="K12" s="25">
        <v>0.36452099999999998</v>
      </c>
      <c r="L12" s="1"/>
      <c r="M12" s="1"/>
      <c r="N12" s="17"/>
    </row>
    <row r="13" spans="2:14" ht="15" customHeight="1" x14ac:dyDescent="0.25">
      <c r="B13" s="19"/>
      <c r="C13" s="5" t="s">
        <v>30</v>
      </c>
      <c r="D13" s="6" t="s">
        <v>136</v>
      </c>
      <c r="E13" s="11">
        <v>7.3485999999999996E-2</v>
      </c>
      <c r="F13" s="1"/>
      <c r="G13" s="1"/>
      <c r="H13" s="1"/>
      <c r="I13" s="1"/>
      <c r="J13" s="23" t="s">
        <v>64</v>
      </c>
      <c r="K13" s="25">
        <v>1.4102E-2</v>
      </c>
      <c r="L13" s="1"/>
      <c r="M13" s="1"/>
      <c r="N13" s="17"/>
    </row>
    <row r="14" spans="2:14" ht="15" customHeight="1" x14ac:dyDescent="0.25">
      <c r="B14" s="19"/>
      <c r="C14" s="5" t="s">
        <v>218</v>
      </c>
      <c r="D14" s="6" t="s">
        <v>113</v>
      </c>
      <c r="E14" s="11">
        <v>5.1732E-2</v>
      </c>
      <c r="F14" s="1"/>
      <c r="G14" s="1"/>
      <c r="H14" s="1"/>
      <c r="I14" s="1"/>
      <c r="J14" s="23" t="s">
        <v>86</v>
      </c>
      <c r="K14" s="25">
        <v>0.367811</v>
      </c>
      <c r="L14" s="1"/>
      <c r="M14" s="1"/>
      <c r="N14" s="17"/>
    </row>
    <row r="15" spans="2:14" ht="15" customHeight="1" x14ac:dyDescent="0.25">
      <c r="B15" s="19"/>
      <c r="C15" s="5" t="s">
        <v>217</v>
      </c>
      <c r="D15" s="6" t="s">
        <v>113</v>
      </c>
      <c r="E15" s="11">
        <v>5.1018000000000001E-2</v>
      </c>
      <c r="F15" s="1"/>
      <c r="G15" s="1"/>
      <c r="H15" s="1"/>
      <c r="I15" s="1"/>
      <c r="J15" s="23" t="s">
        <v>10</v>
      </c>
      <c r="K15" s="25">
        <v>8.8699999999999998E-4</v>
      </c>
      <c r="L15" s="1"/>
      <c r="M15" s="1"/>
      <c r="N15" s="17"/>
    </row>
    <row r="16" spans="2:14" ht="15" customHeight="1" x14ac:dyDescent="0.25">
      <c r="B16" s="19"/>
      <c r="C16" s="5" t="s">
        <v>28</v>
      </c>
      <c r="D16" s="6" t="s">
        <v>136</v>
      </c>
      <c r="E16" s="11">
        <v>4.3473999999999999E-2</v>
      </c>
      <c r="F16" s="1"/>
      <c r="G16" s="1"/>
      <c r="H16" s="1"/>
      <c r="I16" s="1"/>
      <c r="J16" s="1"/>
      <c r="K16" s="1"/>
      <c r="L16" s="1"/>
      <c r="M16" s="1"/>
      <c r="N16" s="17"/>
    </row>
    <row r="17" spans="2:14" ht="15" customHeight="1" x14ac:dyDescent="0.25">
      <c r="B17" s="19"/>
      <c r="C17" s="5" t="s">
        <v>137</v>
      </c>
      <c r="D17" s="6" t="s">
        <v>136</v>
      </c>
      <c r="E17" s="11">
        <v>3.0121999999999999E-2</v>
      </c>
      <c r="F17" s="1"/>
      <c r="G17" s="1"/>
      <c r="H17" s="1"/>
      <c r="I17" s="1"/>
      <c r="J17" s="1"/>
      <c r="K17" s="1"/>
      <c r="L17" s="1"/>
      <c r="M17" s="1"/>
      <c r="N17" s="17"/>
    </row>
    <row r="18" spans="2:14" ht="15" customHeight="1" x14ac:dyDescent="0.25">
      <c r="B18" s="19"/>
      <c r="C18" s="5" t="s">
        <v>31</v>
      </c>
      <c r="D18" s="6" t="s">
        <v>136</v>
      </c>
      <c r="E18" s="11">
        <v>2.9145999999999998E-2</v>
      </c>
      <c r="F18" s="1"/>
      <c r="G18" s="1"/>
      <c r="H18" s="1"/>
      <c r="I18" s="1"/>
      <c r="J18" s="1"/>
      <c r="K18" s="1"/>
      <c r="L18" s="1"/>
      <c r="M18" s="1"/>
      <c r="N18" s="17"/>
    </row>
    <row r="19" spans="2:14" ht="15" customHeight="1" x14ac:dyDescent="0.25">
      <c r="B19" s="19"/>
      <c r="C19" s="5" t="s">
        <v>219</v>
      </c>
      <c r="D19" s="6" t="s">
        <v>113</v>
      </c>
      <c r="E19" s="11">
        <v>1.4628E-2</v>
      </c>
      <c r="F19" s="1"/>
      <c r="G19" s="1"/>
      <c r="H19" s="1"/>
      <c r="I19" s="1"/>
      <c r="J19" s="1"/>
      <c r="K19" s="1"/>
      <c r="L19" s="1"/>
      <c r="M19" s="1"/>
      <c r="N19" s="17"/>
    </row>
    <row r="20" spans="2:14" ht="15.75" customHeight="1" x14ac:dyDescent="0.25">
      <c r="B20" s="19"/>
      <c r="C20" s="7" t="s">
        <v>45</v>
      </c>
      <c r="D20" s="8"/>
      <c r="E20" s="12">
        <v>0.29360599999999998</v>
      </c>
      <c r="F20" s="1"/>
      <c r="G20" s="1"/>
      <c r="H20" s="1"/>
      <c r="I20" s="1"/>
      <c r="J20" s="1"/>
      <c r="K20" s="1"/>
      <c r="L20" s="1"/>
      <c r="M20" s="1"/>
      <c r="N20" s="17"/>
    </row>
    <row r="21" spans="2:14" ht="15" customHeight="1" x14ac:dyDescent="0.25">
      <c r="B21" s="19"/>
      <c r="C21" s="5" t="s">
        <v>21</v>
      </c>
      <c r="D21" s="6" t="s">
        <v>20</v>
      </c>
      <c r="E21" s="11">
        <v>9.8969000000000001E-2</v>
      </c>
      <c r="F21" s="1"/>
      <c r="G21" s="1"/>
      <c r="H21" s="1"/>
      <c r="I21" s="1"/>
      <c r="J21" s="1"/>
      <c r="K21" s="1"/>
      <c r="L21" s="1"/>
      <c r="M21" s="1"/>
      <c r="N21" s="17"/>
    </row>
    <row r="22" spans="2:14" ht="15.75" customHeight="1" x14ac:dyDescent="0.25">
      <c r="B22" s="19"/>
      <c r="C22" s="7" t="s">
        <v>138</v>
      </c>
      <c r="D22" s="8"/>
      <c r="E22" s="12">
        <v>9.8969000000000001E-2</v>
      </c>
      <c r="F22" s="1"/>
      <c r="G22" s="1"/>
      <c r="H22" s="1"/>
      <c r="I22" s="1"/>
      <c r="J22" s="1"/>
      <c r="K22" s="1"/>
      <c r="L22" s="1"/>
      <c r="M22" s="1"/>
      <c r="N22" s="17"/>
    </row>
    <row r="23" spans="2:14" ht="15" customHeight="1" x14ac:dyDescent="0.25">
      <c r="B23" s="19"/>
      <c r="C23" s="5" t="s">
        <v>139</v>
      </c>
      <c r="D23" s="6" t="s">
        <v>47</v>
      </c>
      <c r="E23" s="11">
        <v>7.3494000000000004E-2</v>
      </c>
      <c r="F23" s="1"/>
      <c r="G23" s="1"/>
      <c r="H23" s="1"/>
      <c r="I23" s="1"/>
      <c r="J23" s="1"/>
      <c r="K23" s="1"/>
      <c r="L23" s="1"/>
      <c r="M23" s="1"/>
      <c r="N23" s="17"/>
    </row>
    <row r="24" spans="2:14" ht="15.75" customHeight="1" x14ac:dyDescent="0.25">
      <c r="B24" s="19"/>
      <c r="C24" s="7" t="s">
        <v>63</v>
      </c>
      <c r="D24" s="8"/>
      <c r="E24" s="12">
        <v>7.3494000000000004E-2</v>
      </c>
      <c r="F24" s="1"/>
      <c r="G24" s="1"/>
      <c r="H24" s="1"/>
      <c r="I24" s="1"/>
      <c r="J24" s="1"/>
      <c r="K24" s="1"/>
      <c r="L24" s="1"/>
      <c r="M24" s="1"/>
      <c r="N24" s="17"/>
    </row>
    <row r="25" spans="2:14" ht="15" customHeight="1" x14ac:dyDescent="0.25">
      <c r="B25" s="19"/>
      <c r="C25" s="5" t="s">
        <v>8</v>
      </c>
      <c r="D25" s="6"/>
      <c r="E25" s="11">
        <v>0.31548100000000001</v>
      </c>
      <c r="F25" s="1"/>
      <c r="G25" s="1"/>
      <c r="H25" s="1"/>
      <c r="I25" s="1"/>
      <c r="J25" s="1"/>
      <c r="K25" s="1"/>
      <c r="L25" s="1"/>
      <c r="M25" s="1"/>
      <c r="N25" s="17"/>
    </row>
    <row r="26" spans="2:14" ht="15" customHeight="1" x14ac:dyDescent="0.25">
      <c r="B26" s="19"/>
      <c r="C26" s="7" t="s">
        <v>9</v>
      </c>
      <c r="D26" s="8"/>
      <c r="E26" s="12">
        <v>0.31548100000000001</v>
      </c>
      <c r="F26" s="1"/>
      <c r="G26" s="40" t="s">
        <v>17</v>
      </c>
      <c r="H26" s="41"/>
      <c r="I26" s="41"/>
      <c r="J26" s="41"/>
      <c r="K26" s="41"/>
      <c r="L26" s="41"/>
      <c r="M26" s="41"/>
      <c r="N26" s="42"/>
    </row>
    <row r="27" spans="2:14" ht="15" customHeight="1" x14ac:dyDescent="0.25">
      <c r="B27" s="19"/>
      <c r="C27" s="5"/>
      <c r="D27" s="6"/>
      <c r="E27" s="11"/>
      <c r="F27" s="1"/>
      <c r="G27" s="1"/>
      <c r="H27" s="1"/>
      <c r="I27" s="1"/>
      <c r="J27" s="1"/>
      <c r="K27" s="1"/>
      <c r="L27" s="1"/>
      <c r="M27" s="1"/>
      <c r="N27" s="17"/>
    </row>
    <row r="28" spans="2:14" ht="15" customHeight="1" x14ac:dyDescent="0.25">
      <c r="B28" s="19"/>
      <c r="C28" s="7" t="s">
        <v>10</v>
      </c>
      <c r="D28" s="8"/>
      <c r="E28" s="12">
        <v>3.2405999999999997E-2</v>
      </c>
      <c r="F28" s="1"/>
      <c r="G28" s="1"/>
      <c r="H28" s="1"/>
      <c r="I28" s="1"/>
      <c r="J28" s="1"/>
      <c r="K28" s="1"/>
      <c r="L28" s="1"/>
      <c r="M28" s="1"/>
      <c r="N28" s="17"/>
    </row>
    <row r="29" spans="2:14" ht="15" customHeight="1" x14ac:dyDescent="0.25">
      <c r="B29" s="19"/>
      <c r="C29" s="5"/>
      <c r="D29" s="6"/>
      <c r="E29" s="11"/>
      <c r="F29" s="1"/>
      <c r="G29" s="1"/>
      <c r="H29" s="1"/>
      <c r="I29" s="1"/>
      <c r="J29" s="1"/>
      <c r="K29" s="1"/>
      <c r="L29" s="1"/>
      <c r="M29" s="1"/>
      <c r="N29" s="17"/>
    </row>
    <row r="30" spans="2:14" ht="15.75" customHeight="1" x14ac:dyDescent="0.25">
      <c r="B30" s="19"/>
      <c r="C30" s="9" t="s">
        <v>11</v>
      </c>
      <c r="D30" s="10"/>
      <c r="E30" s="13">
        <v>1</v>
      </c>
      <c r="F30" s="1"/>
      <c r="G30" s="1"/>
      <c r="H30" s="1"/>
      <c r="I30" s="1"/>
      <c r="J30" s="1"/>
      <c r="K30" s="1"/>
      <c r="L30" s="1"/>
      <c r="M30" s="1"/>
      <c r="N30" s="17"/>
    </row>
    <row r="31" spans="2:14" ht="15" customHeight="1" x14ac:dyDescent="0.25">
      <c r="B31" s="19"/>
      <c r="C31" s="34" t="s">
        <v>213</v>
      </c>
      <c r="D31" s="1"/>
      <c r="E31" s="1"/>
      <c r="F31" s="1"/>
      <c r="G31" s="1"/>
      <c r="H31" s="1"/>
      <c r="I31" s="1"/>
      <c r="J31" s="1"/>
      <c r="K31" s="1"/>
      <c r="L31" s="1"/>
      <c r="M31" s="1"/>
      <c r="N31" s="17"/>
    </row>
    <row r="32" spans="2:14" ht="15.75" customHeight="1" x14ac:dyDescent="0.25">
      <c r="B32" s="19"/>
      <c r="C32" s="1"/>
      <c r="D32" s="1"/>
      <c r="E32" s="1"/>
      <c r="F32" s="1"/>
      <c r="G32" s="1"/>
      <c r="H32" s="1"/>
      <c r="I32" s="1"/>
      <c r="J32" s="1"/>
      <c r="K32" s="1"/>
      <c r="L32" s="1"/>
      <c r="M32" s="1"/>
      <c r="N32" s="17"/>
    </row>
    <row r="33" spans="2:14" ht="15" customHeight="1" x14ac:dyDescent="0.25">
      <c r="B33" s="19"/>
      <c r="D33" s="1"/>
      <c r="E33" s="1"/>
      <c r="F33" s="1"/>
      <c r="G33" s="1"/>
      <c r="H33" s="1"/>
      <c r="I33" s="1"/>
      <c r="J33" s="1"/>
      <c r="K33" s="1"/>
      <c r="L33" s="1"/>
      <c r="M33" s="1"/>
      <c r="N33" s="17"/>
    </row>
    <row r="34" spans="2:14" ht="15.7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F47" s="1"/>
      <c r="G47" s="1"/>
      <c r="H47" s="1"/>
      <c r="I47" s="1"/>
      <c r="J47" s="1"/>
      <c r="K47" s="1"/>
      <c r="L47" s="1"/>
      <c r="M47" s="1"/>
      <c r="N47" s="17"/>
    </row>
    <row r="48" spans="2:14" ht="15" customHeight="1" x14ac:dyDescent="0.25">
      <c r="B48" s="19"/>
      <c r="F48" s="1"/>
      <c r="G48" s="1"/>
      <c r="H48" s="1"/>
      <c r="I48" s="1"/>
      <c r="J48" s="1"/>
      <c r="K48" s="1"/>
      <c r="L48" s="1"/>
      <c r="M48" s="1"/>
      <c r="N48" s="17"/>
    </row>
    <row r="49" spans="2:14" ht="15" customHeight="1" x14ac:dyDescent="0.25">
      <c r="B49" s="19"/>
      <c r="F49" s="1"/>
      <c r="G49" s="1"/>
      <c r="H49" s="1"/>
      <c r="I49" s="1"/>
      <c r="J49" s="1"/>
      <c r="K49" s="1"/>
      <c r="L49" s="1"/>
      <c r="M49" s="1"/>
      <c r="N49" s="17"/>
    </row>
    <row r="50" spans="2:14" ht="15" customHeight="1" x14ac:dyDescent="0.25">
      <c r="B50" s="19"/>
      <c r="F50" s="1"/>
      <c r="G50" s="1"/>
      <c r="H50" s="1"/>
      <c r="I50" s="1"/>
      <c r="J50" s="1"/>
      <c r="K50" s="1"/>
      <c r="L50" s="1"/>
      <c r="M50" s="1"/>
      <c r="N50" s="17"/>
    </row>
    <row r="51" spans="2:14" ht="15" customHeight="1" x14ac:dyDescent="0.25">
      <c r="B51" s="19"/>
      <c r="F51" s="1"/>
      <c r="G51" s="1"/>
      <c r="H51" s="1"/>
      <c r="I51" s="1"/>
      <c r="J51" s="1"/>
      <c r="K51" s="1"/>
      <c r="L51" s="1"/>
      <c r="M51" s="1"/>
      <c r="N51" s="17"/>
    </row>
    <row r="52" spans="2:14" ht="15" customHeight="1" x14ac:dyDescent="0.25">
      <c r="B52" s="19"/>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sheetData>
  <mergeCells count="3">
    <mergeCell ref="C3:N3"/>
    <mergeCell ref="G7:N7"/>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5"/>
  <sheetViews>
    <sheetView showGridLines="0" workbookViewId="0"/>
  </sheetViews>
  <sheetFormatPr defaultRowHeight="15" x14ac:dyDescent="0.25"/>
  <sheetData>
    <row r="1" spans="1:12" ht="15.75" thickBot="1" x14ac:dyDescent="0.3"/>
    <row r="2" spans="1:12" x14ac:dyDescent="0.25">
      <c r="A2" s="44" t="s">
        <v>140</v>
      </c>
      <c r="B2" s="45"/>
      <c r="C2" s="45"/>
      <c r="D2" s="45"/>
      <c r="E2" s="45"/>
      <c r="F2" s="45"/>
      <c r="G2" s="45"/>
      <c r="H2" s="45"/>
      <c r="I2" s="45"/>
      <c r="J2" s="45"/>
      <c r="K2" s="45"/>
      <c r="L2" s="46"/>
    </row>
    <row r="3" spans="1:12" x14ac:dyDescent="0.25">
      <c r="A3" s="47"/>
      <c r="B3" s="48"/>
      <c r="C3" s="48"/>
      <c r="D3" s="48"/>
      <c r="E3" s="48"/>
      <c r="F3" s="48"/>
      <c r="G3" s="48"/>
      <c r="H3" s="48"/>
      <c r="I3" s="48"/>
      <c r="J3" s="48"/>
      <c r="K3" s="48"/>
      <c r="L3" s="49"/>
    </row>
    <row r="4" spans="1:12" x14ac:dyDescent="0.25">
      <c r="A4" s="47"/>
      <c r="B4" s="48"/>
      <c r="C4" s="48"/>
      <c r="D4" s="48"/>
      <c r="E4" s="48"/>
      <c r="F4" s="48"/>
      <c r="G4" s="48"/>
      <c r="H4" s="48"/>
      <c r="I4" s="48"/>
      <c r="J4" s="48"/>
      <c r="K4" s="48"/>
      <c r="L4" s="49"/>
    </row>
    <row r="5" spans="1:12" x14ac:dyDescent="0.25">
      <c r="A5" s="47"/>
      <c r="B5" s="48"/>
      <c r="C5" s="50"/>
      <c r="D5" s="50"/>
      <c r="E5" s="50"/>
      <c r="F5" s="48"/>
      <c r="G5" s="48"/>
      <c r="H5" s="48"/>
      <c r="I5" s="48"/>
      <c r="J5" s="48"/>
      <c r="K5" s="48"/>
      <c r="L5" s="49"/>
    </row>
    <row r="6" spans="1:12" x14ac:dyDescent="0.25">
      <c r="A6" s="47"/>
      <c r="B6" s="48"/>
      <c r="C6" s="48"/>
      <c r="D6" s="48"/>
      <c r="E6" s="48"/>
      <c r="F6" s="48"/>
      <c r="G6" s="48"/>
      <c r="H6" s="48"/>
      <c r="I6" s="48"/>
      <c r="J6" s="48"/>
      <c r="K6" s="48"/>
      <c r="L6" s="49"/>
    </row>
    <row r="7" spans="1:12" x14ac:dyDescent="0.25">
      <c r="A7" s="47"/>
      <c r="B7" s="48"/>
      <c r="C7" s="48"/>
      <c r="D7" s="48"/>
      <c r="E7" s="48"/>
      <c r="F7" s="48"/>
      <c r="G7" s="48"/>
      <c r="H7" s="48"/>
      <c r="I7" s="48"/>
      <c r="J7" s="48"/>
      <c r="K7" s="48"/>
      <c r="L7" s="49"/>
    </row>
    <row r="8" spans="1:12" x14ac:dyDescent="0.25">
      <c r="A8" s="47"/>
      <c r="B8" s="48"/>
      <c r="C8" s="48"/>
      <c r="D8" s="48"/>
      <c r="E8" s="48"/>
      <c r="F8" s="48"/>
      <c r="G8" s="48"/>
      <c r="H8" s="48"/>
      <c r="I8" s="48"/>
      <c r="J8" s="48"/>
      <c r="K8" s="48"/>
      <c r="L8" s="49"/>
    </row>
    <row r="9" spans="1:12" x14ac:dyDescent="0.25">
      <c r="A9" s="47"/>
      <c r="B9" s="48"/>
      <c r="C9" s="48"/>
      <c r="D9" s="48"/>
      <c r="E9" s="48"/>
      <c r="F9" s="48"/>
      <c r="G9" s="48"/>
      <c r="H9" s="48"/>
      <c r="I9" s="48"/>
      <c r="J9" s="48"/>
      <c r="K9" s="48"/>
      <c r="L9" s="49"/>
    </row>
    <row r="10" spans="1:12" x14ac:dyDescent="0.25">
      <c r="A10" s="47"/>
      <c r="B10" s="48"/>
      <c r="C10" s="48"/>
      <c r="D10" s="48"/>
      <c r="E10" s="48"/>
      <c r="F10" s="48"/>
      <c r="G10" s="48"/>
      <c r="H10" s="48"/>
      <c r="I10" s="48"/>
      <c r="J10" s="48"/>
      <c r="K10" s="48"/>
      <c r="L10" s="49"/>
    </row>
    <row r="11" spans="1:12" x14ac:dyDescent="0.25">
      <c r="A11" s="47"/>
      <c r="B11" s="48"/>
      <c r="C11" s="48"/>
      <c r="D11" s="48"/>
      <c r="E11" s="48"/>
      <c r="F11" s="48"/>
      <c r="G11" s="48"/>
      <c r="H11" s="48"/>
      <c r="I11" s="48"/>
      <c r="J11" s="48"/>
      <c r="K11" s="48"/>
      <c r="L11" s="49"/>
    </row>
    <row r="12" spans="1:12" x14ac:dyDescent="0.25">
      <c r="A12" s="47"/>
      <c r="B12" s="48"/>
      <c r="C12" s="48"/>
      <c r="D12" s="48"/>
      <c r="E12" s="48"/>
      <c r="F12" s="48"/>
      <c r="G12" s="48"/>
      <c r="H12" s="48"/>
      <c r="I12" s="48"/>
      <c r="J12" s="48"/>
      <c r="K12" s="48"/>
      <c r="L12" s="49"/>
    </row>
    <row r="13" spans="1:12" x14ac:dyDescent="0.25">
      <c r="A13" s="47"/>
      <c r="B13" s="48"/>
      <c r="C13" s="48"/>
      <c r="D13" s="48"/>
      <c r="E13" s="48"/>
      <c r="F13" s="48"/>
      <c r="G13" s="48"/>
      <c r="H13" s="48"/>
      <c r="I13" s="48"/>
      <c r="J13" s="48"/>
      <c r="K13" s="48"/>
      <c r="L13" s="49"/>
    </row>
    <row r="14" spans="1:12" x14ac:dyDescent="0.25">
      <c r="A14" s="47"/>
      <c r="B14" s="48"/>
      <c r="C14" s="48"/>
      <c r="D14" s="48"/>
      <c r="E14" s="48"/>
      <c r="F14" s="48"/>
      <c r="G14" s="48"/>
      <c r="H14" s="48"/>
      <c r="I14" s="48"/>
      <c r="J14" s="48"/>
      <c r="K14" s="48"/>
      <c r="L14" s="49"/>
    </row>
    <row r="15" spans="1:12" ht="15.75" thickBot="1" x14ac:dyDescent="0.3">
      <c r="A15" s="51"/>
      <c r="B15" s="52"/>
      <c r="C15" s="52"/>
      <c r="D15" s="52"/>
      <c r="E15" s="52"/>
      <c r="F15" s="52"/>
      <c r="G15" s="52"/>
      <c r="H15" s="52"/>
      <c r="I15" s="52"/>
      <c r="J15" s="52"/>
      <c r="K15" s="52"/>
      <c r="L15" s="53"/>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CRF</vt:lpstr>
      <vt:lpstr>IDFC GSF-IP</vt:lpstr>
      <vt:lpstr>IDFC GSF - CMP</vt:lpstr>
      <vt:lpstr>IDFC ASBF</vt:lpstr>
      <vt:lpstr>IDFC FRF</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Divya Menon</cp:lastModifiedBy>
  <dcterms:created xsi:type="dcterms:W3CDTF">2021-02-27T02:55:13Z</dcterms:created>
  <dcterms:modified xsi:type="dcterms:W3CDTF">2021-02-27T03:42:30Z</dcterms:modified>
</cp:coreProperties>
</file>