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Y:\Product_Team\MONTH END DELIVERABLES-1\Portfolios_All\2024\April 2024\"/>
    </mc:Choice>
  </mc:AlternateContent>
  <xr:revisionPtr revIDLastSave="0" documentId="13_ncr:1_{18331F13-1B8A-4318-A322-6980BF1018A4}" xr6:coauthVersionLast="36" xr6:coauthVersionMax="36" xr10:uidLastSave="{00000000-0000-0000-0000-000000000000}"/>
  <bookViews>
    <workbookView xWindow="0" yWindow="0" windowWidth="20460" windowHeight="7515" xr2:uid="{A4B2F5A5-34AC-4B28-85AD-D0B9027E331D}"/>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Long Dur Fund" sheetId="25" r:id="rId13"/>
    <sheet name="BANDHAN CRF" sheetId="8"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alcChain>
</file>

<file path=xl/sharedStrings.xml><?xml version="1.0" encoding="utf-8"?>
<sst xmlns="http://schemas.openxmlformats.org/spreadsheetml/2006/main" count="1353" uniqueCount="297">
  <si>
    <t>Bandhan All Seasons Bond Fund (31 March, 2024 )</t>
  </si>
  <si>
    <t>Net Assets as on 31 March, 2024</t>
  </si>
  <si>
    <t>119.89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</si>
  <si>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</si>
  <si>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</si>
  <si>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</si>
  <si>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</si>
  <si>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</si>
  <si>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</si>
  <si>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</si>
  <si>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</si>
  <si>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</si>
  <si>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</si>
  <si>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</si>
  <si>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</si>
  <si>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</si>
  <si>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</si>
  <si>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</si>
  <si>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</si>
  <si>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March, 2024 )</t>
  </si>
  <si>
    <t>14384.47 crs</t>
  </si>
  <si>
    <t>Axis Bank Limited</t>
  </si>
  <si>
    <t xml:space="preserve"> A1+</t>
  </si>
  <si>
    <t>ICICI Bank Limited</t>
  </si>
  <si>
    <t>Kotak Mahindra Bank Limited</t>
  </si>
  <si>
    <t>Small Industries Dev Bank of India</t>
  </si>
  <si>
    <t>Certificate of Deposit Total</t>
  </si>
  <si>
    <t>HDFC Bank Limited</t>
  </si>
  <si>
    <t xml:space="preserve"> AAA</t>
  </si>
  <si>
    <t>National Bank For Agriculture and Rural Development</t>
  </si>
  <si>
    <t>Indian Railway Finance Corporation Limited</t>
  </si>
  <si>
    <t>Power Finance Corporation Limited</t>
  </si>
  <si>
    <t>Bajaj Housing Finance Limited</t>
  </si>
  <si>
    <t>REC Limited</t>
  </si>
  <si>
    <t>Hindustan Petroleum Corporation Limited</t>
  </si>
  <si>
    <t>NTPC Limited</t>
  </si>
  <si>
    <t>Nuclear Power Corporation Of India Limited</t>
  </si>
  <si>
    <t>Indian Oil Corporation Limited</t>
  </si>
  <si>
    <t>National Housing Bank</t>
  </si>
  <si>
    <t>Power Grid Corporation of India Limited</t>
  </si>
  <si>
    <t>Export Import Bank of India</t>
  </si>
  <si>
    <t>NHPC Limited</t>
  </si>
  <si>
    <t>Reliance Jio Infocomm Limited</t>
  </si>
  <si>
    <t>Corporate Bond Total</t>
  </si>
  <si>
    <t>Corporate Debt Market Development Fund</t>
  </si>
  <si>
    <t>Corporate Debt Market Development Fund Total</t>
  </si>
  <si>
    <t>7.1% GOI (MD 18/04/2029)</t>
  </si>
  <si>
    <t>7.17% GOI (MD 17/04/2030)</t>
  </si>
  <si>
    <t>7.26% GOI (MD 22/08/2032)</t>
  </si>
  <si>
    <t>6.54% GOI (MD 17/01/2032)</t>
  </si>
  <si>
    <t>7.26% GOI (MD 06/02/2033)</t>
  </si>
  <si>
    <t>Government Bond Total</t>
  </si>
  <si>
    <t>State Government Bond Total</t>
  </si>
  <si>
    <t>Certificate of Deposit</t>
  </si>
  <si>
    <t>Corporate Bond</t>
  </si>
  <si>
    <t>Government Bond</t>
  </si>
  <si>
    <t>State Government Bond</t>
  </si>
  <si>
    <t>Bandhan Bond Fund - Income Plan (31 March, 2024 )</t>
  </si>
  <si>
    <t>495.10 crs</t>
  </si>
  <si>
    <t>7.18% GOI (MD 24/07/2037)</t>
  </si>
  <si>
    <t>7.3% GOI (MD 19/06/2053)</t>
  </si>
  <si>
    <t>7.06% GOI (MD 10/04/2028)</t>
  </si>
  <si>
    <t>6.79% GOI (MD 15/05/2027)</t>
  </si>
  <si>
    <t>7.73% GOI (MD 19/12/2034)</t>
  </si>
  <si>
    <t>Bandhan Bond Fund - Medium Term Plan (31 March, 2024 )</t>
  </si>
  <si>
    <t>1643.53 crs</t>
  </si>
  <si>
    <t>7.38% GOI (MD 20/06/2027)</t>
  </si>
  <si>
    <t>8.24% GOI (MD 15/02/2027)</t>
  </si>
  <si>
    <t xml:space="preserve"> AAA(SO)</t>
  </si>
  <si>
    <t>PTC Total</t>
  </si>
  <si>
    <t>PTC</t>
  </si>
  <si>
    <t>Bandhan Bond Fund - Short Term Plan (31 March, 2024 )</t>
  </si>
  <si>
    <t>8711.61 crs</t>
  </si>
  <si>
    <t>Commercial Paper Total</t>
  </si>
  <si>
    <t>Bajaj Finance Limited</t>
  </si>
  <si>
    <t>Sundaram Finance Limited</t>
  </si>
  <si>
    <t>Kotak Mahindra Prime Limited</t>
  </si>
  <si>
    <t>7.32% GOI (MD 13/11/2030)</t>
  </si>
  <si>
    <t>5.63% GOI (MD 12/04/2026)</t>
  </si>
  <si>
    <t>Commercial Paper</t>
  </si>
  <si>
    <t>Bandhan Corporate Bond Fund (31 March, 2024 )</t>
  </si>
  <si>
    <t>13763.85 crs</t>
  </si>
  <si>
    <t>Grasim Industries Limited</t>
  </si>
  <si>
    <t>National Highways Auth Of Ind</t>
  </si>
  <si>
    <t>Zero Coupon Bond Total</t>
  </si>
  <si>
    <t>Zero Coupon Bond</t>
  </si>
  <si>
    <t>Bandhan Credit Risk Fund (31 March, 2024 )</t>
  </si>
  <si>
    <t>359.23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</si>
  <si>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</si>
  <si>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</si>
  <si>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</si>
  <si>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</si>
  <si>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</si>
  <si>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</si>
  <si>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</si>
  <si>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</si>
  <si>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Nirma Limited</t>
  </si>
  <si>
    <t>Aadhar Housing Finance Limited</t>
  </si>
  <si>
    <t>Tata Power Company Limited</t>
  </si>
  <si>
    <t>Godrej Housing Finance Limited</t>
  </si>
  <si>
    <t>7.18% GOI (MD 14/08/2033)</t>
  </si>
  <si>
    <t>AA</t>
  </si>
  <si>
    <t>AA+</t>
  </si>
  <si>
    <t>Bandhan CRISIL IBX 90:10 SDL+Gilt Apr32 Index Fund (31 March, 2024 )</t>
  </si>
  <si>
    <t>352.11 crs</t>
  </si>
  <si>
    <t>6.1% GOI (MD 12/07/2031)</t>
  </si>
  <si>
    <t>Bandhan CRISIL IBX 90:10 SDL+Gilt Nov26 Index Fund (31 March, 2024 )</t>
  </si>
  <si>
    <t>113.64 crs</t>
  </si>
  <si>
    <t>5.74% GOI (MD 15/11/2026)</t>
  </si>
  <si>
    <t>Bandhan CRISIL IBX 90:10 SDL+Gilt Sep27 Index Fund (31 March, 2024 )</t>
  </si>
  <si>
    <t>167.42 crs</t>
  </si>
  <si>
    <t>Bandhan CRISIL IBX Gilt April 2026 Index Fund (31 March, 2024 )</t>
  </si>
  <si>
    <t>480.65 crs</t>
  </si>
  <si>
    <t>6.99% GOI (MD 17/04/2026)</t>
  </si>
  <si>
    <t>7.59% GOI(MD 11/01/2026)</t>
  </si>
  <si>
    <t>5.15% GOI (MD 09/11/2025)</t>
  </si>
  <si>
    <t>7.27% GOI (MD 08/04/2026)</t>
  </si>
  <si>
    <t>Bandhan CRISIL IBX Gilt April 2028 Index Fund (31 March, 2024 )</t>
  </si>
  <si>
    <t>4923.33 crs</t>
  </si>
  <si>
    <t>7.17% GOI (MD 08/01/2028)</t>
  </si>
  <si>
    <t>8.28% GOI (M/D 21/09/2027)</t>
  </si>
  <si>
    <t>Bandhan CRISIL IBX GILT APRIL 2032 INDEX FUND (31 March, 2024 )</t>
  </si>
  <si>
    <t>385.01 crs</t>
  </si>
  <si>
    <t>Average Maturity in Days</t>
  </si>
  <si>
    <t>Bandhan CRISIL IBX Gilt June 2027 Index Fund (31 March, 2024 )</t>
  </si>
  <si>
    <t>8347.92 crs</t>
  </si>
  <si>
    <t>Bandhan Dynamic Bond Fund (31 March, 2024 )</t>
  </si>
  <si>
    <t>2337.12 crs</t>
  </si>
  <si>
    <t>8.20% GOI (MD 24/09/2025)</t>
  </si>
  <si>
    <t>Bandhan Floating Rate Fund (31 March, 2024 )</t>
  </si>
  <si>
    <t>213.67 crs</t>
  </si>
  <si>
    <t>IndusInd Bank Limited</t>
  </si>
  <si>
    <t>Interest Rate Swaps</t>
  </si>
  <si>
    <t>Bandhan Government Sec Fund-Constant Maturity Plan (31 March, 2024 )</t>
  </si>
  <si>
    <t>341.17 crs</t>
  </si>
  <si>
    <t>Bandhan Government Securities Fund-Investment Plan (31 March, 2024 )</t>
  </si>
  <si>
    <t>1661.19 crs</t>
  </si>
  <si>
    <t>Bandhan Liquid Fund (31 March, 2024 )</t>
  </si>
  <si>
    <t>10444.18 crs</t>
  </si>
  <si>
    <t>Canara Bank</t>
  </si>
  <si>
    <t>Bank of Baroda</t>
  </si>
  <si>
    <t>Reliance Retail Ventures Limited</t>
  </si>
  <si>
    <t>Tata Capital Limited</t>
  </si>
  <si>
    <t>Kotak Securities Limited</t>
  </si>
  <si>
    <t>Cholamandalam Investment and Finance Company Ltd</t>
  </si>
  <si>
    <t>Mahindra &amp; Mahindra Financial Services Limited</t>
  </si>
  <si>
    <t>HDFC Securities Limited</t>
  </si>
  <si>
    <t>ICICI Securities Limited</t>
  </si>
  <si>
    <t>L&amp;T Finance Holdings Limited</t>
  </si>
  <si>
    <t>91 Days Tbill (MD 06/06/2024)</t>
  </si>
  <si>
    <t>91 Days Tbill (MD 09/05/2024)</t>
  </si>
  <si>
    <t>91 Days Tbill (MD 23/05/2024)</t>
  </si>
  <si>
    <t>91 Days Tbill (MD 13/06/2024)</t>
  </si>
  <si>
    <t>182 Days Tbill (MD 06/06/2024)</t>
  </si>
  <si>
    <t>Treasury Bill Total</t>
  </si>
  <si>
    <t>Treasury Bill</t>
  </si>
  <si>
    <t>Bandhan Low Duration Fund (31 March, 2024 )</t>
  </si>
  <si>
    <t>5077.10 crs</t>
  </si>
  <si>
    <t>Punjab National Bank</t>
  </si>
  <si>
    <t>Tata Capital Housing Finance Limited</t>
  </si>
  <si>
    <t>Larsen &amp; Toubro Limited</t>
  </si>
  <si>
    <t>182 Days Tbill (MD 25/07/2024)</t>
  </si>
  <si>
    <t>182 Days Tbill (MD 15/08/2024)</t>
  </si>
  <si>
    <t>182 Days Tbill (MD 08/08/2024)</t>
  </si>
  <si>
    <t>Bandhan Money Manager Fund (31 March, 2024 )</t>
  </si>
  <si>
    <t>4386.58 crs</t>
  </si>
  <si>
    <t>Panatone Finvest Limited</t>
  </si>
  <si>
    <t>Kotak Mahindra Investments Limited</t>
  </si>
  <si>
    <t>Government Bond Strips Total</t>
  </si>
  <si>
    <t>364 Days Tbill (MD 23/01/2025)</t>
  </si>
  <si>
    <t>364 Days Tbill (MD 06/03/2025)</t>
  </si>
  <si>
    <t>364 Days Tbill (MD 26/12/2024)</t>
  </si>
  <si>
    <t>364 Days Tbill (MD 13/03/2025)</t>
  </si>
  <si>
    <t>Government Bond Strips</t>
  </si>
  <si>
    <t>Bandhan Overnight Fund (31 March, 2024 )</t>
  </si>
  <si>
    <t>1098.41 crs</t>
  </si>
  <si>
    <t>REPO Total</t>
  </si>
  <si>
    <t>91 Days Tbill (MD 11/04/2024)</t>
  </si>
  <si>
    <t>91 Days Tbill (MD 04/04/2024)</t>
  </si>
  <si>
    <t>182 Days Tbill (MD 04/04/2024)</t>
  </si>
  <si>
    <t>91 Days Tbill (MD 18/04/2024)</t>
  </si>
  <si>
    <t>182 Days Tbill (MD 18/04/2024)</t>
  </si>
  <si>
    <t>91 Days Tbill (MD 25/04/2024)</t>
  </si>
  <si>
    <t>REPO</t>
  </si>
  <si>
    <t>Bandhan Ultra Short Term Fund (31 March, 2024 )</t>
  </si>
  <si>
    <t>3633.48 crs</t>
  </si>
  <si>
    <t>Reliance Industries Limited</t>
  </si>
  <si>
    <t>364 Days Tbill (MD 13/06/2024)</t>
  </si>
  <si>
    <t xml:space="preserve"> </t>
  </si>
  <si>
    <t xml:space="preserve">SOV </t>
  </si>
  <si>
    <t>8.27% Haryana SDL (MD 13/05/2025)</t>
  </si>
  <si>
    <t>7.41% Uttar Pradesh SDL (MD 09/11/2026)</t>
  </si>
  <si>
    <t>GOI Strips (MD 12/12/2024 )</t>
  </si>
  <si>
    <t>GOI Strips (MD 19/12/2024)</t>
  </si>
  <si>
    <t>8.07% Gujrat SDL (MD 11/02/2025)</t>
  </si>
  <si>
    <t>8.72% Tamil Nadu SDL (MD 29/10/2024)</t>
  </si>
  <si>
    <t>8.24% Maharashtra SDL (MD 24/12/2024)</t>
  </si>
  <si>
    <t>8.09% Andhra Pradesh SDL (MD 28/01/2025)</t>
  </si>
  <si>
    <t>5.8% Maharashtra SDL (MD 02/02/2025)</t>
  </si>
  <si>
    <t>8.05% Gujarat SDL (MD 28/01/2025)</t>
  </si>
  <si>
    <t>8.43% Maharashtra SDL (MD 12/11/2024)</t>
  </si>
  <si>
    <t>8.25% Maharastra SDL  ( MD 13/05/2025)</t>
  </si>
  <si>
    <t>8.2% Gujarat SDL (MD 24/06/2025)</t>
  </si>
  <si>
    <t>8.37% Tamil Nadu SDL (MD 05/12/2028)</t>
  </si>
  <si>
    <t>8.27% Tamilnadu SDL (MD 13/01/2026)</t>
  </si>
  <si>
    <t>7.99% Karnatak SDL (MD 28/10/2025)</t>
  </si>
  <si>
    <t>7.18% Tamilnadu SDL (MD 26/07/2027)</t>
  </si>
  <si>
    <t>8.03% Gujarat SDL (MD 16/04/2025)</t>
  </si>
  <si>
    <t>8.27% Haryana SDL (MD 09/12/2025)</t>
  </si>
  <si>
    <t>8.27% Haryana SDL (MD 23/12/2025)</t>
  </si>
  <si>
    <t>Power Grid Corporation of India Limited*</t>
  </si>
  <si>
    <t>8.96% Maharashtra SDL  (MD 09/07/2024)</t>
  </si>
  <si>
    <t>5.75% Tamilnadu SDL (MD 27/05/2025)</t>
  </si>
  <si>
    <t xml:space="preserve">SOV  </t>
  </si>
  <si>
    <t>7.46% GOI (MD 06/11/2073)</t>
  </si>
  <si>
    <t>7.25% GOI (MD 12/06/2063)</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</si>
  <si>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</si>
  <si>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</si>
  <si>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</si>
  <si>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</si>
  <si>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</si>
  <si>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</si>
  <si>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</si>
  <si>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</si>
  <si>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</si>
  <si>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</si>
  <si>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</si>
  <si>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</si>
  <si>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</si>
  <si>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</si>
  <si>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</si>
  <si>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</si>
  <si>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</si>
  <si>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</si>
  <si>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</si>
  <si>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</si>
  <si>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</si>
  <si>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</si>
  <si>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</si>
  <si>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</si>
  <si>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</si>
  <si>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</si>
  <si>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</si>
  <si>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</si>
  <si>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</si>
  <si>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</si>
  <si>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</si>
  <si>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</si>
  <si>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</si>
  <si>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</si>
  <si>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</si>
  <si>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</si>
  <si>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</si>
  <si>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</si>
  <si>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</si>
  <si>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</si>
  <si>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</si>
  <si>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</si>
  <si>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</si>
  <si>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</si>
  <si>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</si>
  <si>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</si>
  <si>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</si>
  <si>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</si>
  <si>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</si>
  <si>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</si>
  <si>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</si>
  <si>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</si>
  <si>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52.95 crs</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</si>
  <si>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</si>
  <si>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</si>
  <si>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</si>
  <si>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^PTC originated by Reliance Industries Limited</t>
  </si>
  <si>
    <t>First Business Receivables Trust^</t>
  </si>
  <si>
    <t>*Reduced Face Value Bonds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</si>
  <si>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</si>
  <si>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</si>
  <si>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</si>
  <si>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</si>
  <si>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</si>
  <si>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</si>
  <si>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</si>
  <si>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</si>
  <si>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</si>
  <si>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</si>
  <si>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</si>
  <si>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</si>
  <si>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</si>
  <si>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</si>
  <si>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</si>
  <si>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</si>
  <si>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</si>
  <si>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</si>
  <si>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</si>
  <si>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176.38 crs</t>
  </si>
  <si>
    <t>Bandhan Long Duration Fund (31 March, 2024 )</t>
  </si>
  <si>
    <t>BANDHAN US TREASURY BOND 0-1 YEAR FUND OF FUND (31 March,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</si>
</sst>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0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0" fillId="0" borderId="0" xfId="0" applyFont="1"/>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3" fillId="0" borderId="0" xfId="0" applyFont="1" applyBorder="1"/>
    <xf numFmtId="0" fontId="10" fillId="0" borderId="0" xfId="0" applyFont="1" applyBorder="1"/>
    <xf numFmtId="0" fontId="10" fillId="0" borderId="23" xfId="0" applyFont="1" applyBorder="1"/>
    <xf numFmtId="0" fontId="11" fillId="3" borderId="0" xfId="0" applyFont="1" applyFill="1" applyBorder="1" applyAlignment="1">
      <alignment vertical="center"/>
    </xf>
    <xf numFmtId="0" fontId="13" fillId="0" borderId="0" xfId="0" applyFont="1"/>
    <xf numFmtId="0" fontId="12" fillId="3" borderId="30"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2" fillId="3" borderId="32" xfId="0" applyFont="1" applyFill="1" applyBorder="1" applyAlignment="1">
      <alignment horizontal="left"/>
    </xf>
    <xf numFmtId="166" fontId="12"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2" fillId="2" borderId="8" xfId="0" applyFont="1" applyFill="1" applyBorder="1" applyAlignment="1">
      <alignment horizontal="left" vertical="center"/>
    </xf>
    <xf numFmtId="166" fontId="12"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2" fillId="2" borderId="9" xfId="0" applyFont="1" applyFill="1" applyBorder="1" applyAlignment="1">
      <alignment horizontal="left" vertical="center"/>
    </xf>
    <xf numFmtId="164" fontId="12" fillId="2" borderId="34" xfId="0" applyNumberFormat="1" applyFont="1" applyFill="1" applyBorder="1" applyAlignment="1">
      <alignment horizontal="right" vertical="center"/>
    </xf>
    <xf numFmtId="0" fontId="12" fillId="0" borderId="0" xfId="0" applyFont="1" applyFill="1" applyBorder="1" applyAlignment="1">
      <alignment horizontal="left"/>
    </xf>
    <xf numFmtId="167" fontId="12" fillId="0" borderId="0" xfId="0" applyNumberFormat="1" applyFont="1" applyFill="1" applyBorder="1" applyAlignment="1">
      <alignment horizontal="right"/>
    </xf>
    <xf numFmtId="0" fontId="10" fillId="0" borderId="0" xfId="0" applyFont="1" applyFill="1" applyBorder="1"/>
    <xf numFmtId="10" fontId="12" fillId="0" borderId="0" xfId="1" applyNumberFormat="1" applyFont="1" applyFill="1" applyBorder="1" applyAlignment="1">
      <alignment horizontal="right"/>
    </xf>
    <xf numFmtId="0" fontId="10" fillId="0" borderId="24" xfId="0" applyFont="1" applyBorder="1"/>
    <xf numFmtId="1" fontId="5" fillId="2" borderId="0" xfId="0" applyNumberFormat="1"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1" fillId="3" borderId="0"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2" fillId="0" borderId="25" xfId="0" applyFont="1" applyBorder="1" applyAlignment="1"/>
    <xf numFmtId="0" fontId="12" fillId="0" borderId="26" xfId="0" applyFont="1" applyBorder="1" applyAlignment="1"/>
    <xf numFmtId="0" fontId="13" fillId="0" borderId="19" xfId="0" applyFont="1" applyBorder="1" applyAlignment="1">
      <alignment horizontal="left" vertical="top" wrapText="1"/>
    </xf>
    <xf numFmtId="0" fontId="13" fillId="0" borderId="20"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0" xfId="0" applyFont="1" applyBorder="1" applyAlignment="1">
      <alignment horizontal="left" vertical="top" wrapText="1"/>
    </xf>
    <xf numFmtId="0" fontId="13" fillId="0" borderId="23" xfId="0" applyFont="1" applyBorder="1" applyAlignment="1">
      <alignment horizontal="left" vertical="top" wrapText="1"/>
    </xf>
    <xf numFmtId="0" fontId="13" fillId="0" borderId="24" xfId="0" applyFont="1" applyBorder="1" applyAlignment="1">
      <alignment horizontal="left" vertical="top" wrapText="1"/>
    </xf>
    <xf numFmtId="0" fontId="13" fillId="0" borderId="25" xfId="0" applyFont="1" applyBorder="1" applyAlignment="1">
      <alignment horizontal="left" vertical="top" wrapText="1"/>
    </xf>
    <xf numFmtId="0" fontId="13" fillId="0" borderId="26" xfId="0" applyFont="1" applyBorder="1" applyAlignment="1">
      <alignment horizontal="left" vertical="top" wrapText="1"/>
    </xf>
    <xf numFmtId="4" fontId="5" fillId="2" borderId="0" xfId="0" applyNumberFormat="1" applyFont="1" applyFill="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DC-4F7D-AC7D-C4C1CA90F32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DEDC-4F7D-AC7D-C4C1CA90F32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99-4927-A207-74F86F52052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999-4927-A207-74F86F520529}"/>
                </c:ext>
              </c:extLst>
            </c:dLbl>
            <c:dLbl>
              <c:idx val="2"/>
              <c:layout>
                <c:manualLayout>
                  <c:x val="-5.7276298706773004E-2"/>
                  <c:y val="1.29851268591426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999-4927-A207-74F86F52052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999-4927-A207-74F86F5205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2.0339999999999998E-3</c:v>
                </c:pt>
                <c:pt idx="1">
                  <c:v>0.20150999999999999</c:v>
                </c:pt>
                <c:pt idx="2">
                  <c:v>0.70556300000000005</c:v>
                </c:pt>
                <c:pt idx="3">
                  <c:v>9.0893000000000002E-2</c:v>
                </c:pt>
              </c:numCache>
            </c:numRef>
          </c:val>
          <c:extLst>
            <c:ext xmlns:c16="http://schemas.microsoft.com/office/drawing/2014/chart" uri="{C3380CC4-5D6E-409C-BE32-E72D297353CC}">
              <c16:uniqueId val="{0000000C-B999-4927-A207-74F86F5205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241894147599857"/>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085-45BF-B923-123365F35A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4085-45BF-B923-123365F35A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2F3-4FB4-BEF9-49747C018BD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2F3-4FB4-BEF9-49747C018BD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2F3-4FB4-BEF9-49747C018BD7}"/>
                </c:ext>
              </c:extLst>
            </c:dLbl>
            <c:dLbl>
              <c:idx val="3"/>
              <c:layout>
                <c:manualLayout>
                  <c:x val="-0.25718685191117707"/>
                  <c:y val="0.18576295159162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2F3-4FB4-BEF9-49747C018BD7}"/>
                </c:ext>
              </c:extLst>
            </c:dLbl>
            <c:dLbl>
              <c:idx val="4"/>
              <c:layout>
                <c:manualLayout>
                  <c:x val="2.6929639683690502E-2"/>
                  <c:y val="3.7136376572862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2F3-4FB4-BEF9-49747C018BD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2F3-4FB4-BEF9-49747C018BD7}"/>
                </c:ext>
              </c:extLst>
            </c:dLbl>
            <c:dLbl>
              <c:idx val="6"/>
              <c:layout>
                <c:manualLayout>
                  <c:x val="0.12765364447217112"/>
                  <c:y val="-7.72778156290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2F3-4FB4-BEF9-49747C018BD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Corporate Debt Market Development Fund</c:v>
                </c:pt>
                <c:pt idx="6">
                  <c:v>Treasury Bill</c:v>
                </c:pt>
              </c:strCache>
            </c:strRef>
          </c:cat>
          <c:val>
            <c:numRef>
              <c:f>'BANDHAN CF'!$K$9:$K$15</c:f>
              <c:numCache>
                <c:formatCode>0.00%</c:formatCode>
                <c:ptCount val="7"/>
                <c:pt idx="0">
                  <c:v>-0.238035</c:v>
                </c:pt>
                <c:pt idx="1">
                  <c:v>4.7996999999999998E-2</c:v>
                </c:pt>
                <c:pt idx="2">
                  <c:v>0.238894</c:v>
                </c:pt>
                <c:pt idx="3">
                  <c:v>2.486E-2</c:v>
                </c:pt>
                <c:pt idx="4">
                  <c:v>0.67242500000000005</c:v>
                </c:pt>
                <c:pt idx="5">
                  <c:v>2.722E-3</c:v>
                </c:pt>
                <c:pt idx="6">
                  <c:v>0.251137</c:v>
                </c:pt>
              </c:numCache>
            </c:numRef>
          </c:val>
          <c:extLst>
            <c:ext xmlns:c16="http://schemas.microsoft.com/office/drawing/2014/chart" uri="{C3380CC4-5D6E-409C-BE32-E72D297353CC}">
              <c16:uniqueId val="{0000000C-72F3-4FB4-BEF9-49747C018BD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34483805138"/>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BD-4FC0-AC2F-6318D445E8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4ABD-4FC0-AC2F-6318D445E8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29223507393481596"/>
                  <c:y val="-0.119522446057879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BC8-40A0-81BA-B4682690DBB9}"/>
                </c:ext>
              </c:extLst>
            </c:dLbl>
            <c:dLbl>
              <c:idx val="1"/>
              <c:layout>
                <c:manualLayout>
                  <c:x val="0.19064307272083494"/>
                  <c:y val="3.87411800797627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BC8-40A0-81BA-B4682690DBB9}"/>
                </c:ext>
              </c:extLst>
            </c:dLbl>
            <c:dLbl>
              <c:idx val="2"/>
              <c:layout>
                <c:manualLayout>
                  <c:x val="2.3959179888381189E-2"/>
                  <c:y val="0.656329890581859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BC8-40A0-81BA-B4682690DBB9}"/>
                </c:ext>
              </c:extLst>
            </c:dLbl>
            <c:dLbl>
              <c:idx val="3"/>
              <c:layout>
                <c:manualLayout>
                  <c:x val="-0.17485921192399129"/>
                  <c:y val="1.09482905545897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BC8-40A0-81BA-B4682690DBB9}"/>
                </c:ext>
              </c:extLst>
            </c:dLbl>
            <c:dLbl>
              <c:idx val="4"/>
              <c:layout>
                <c:manualLayout>
                  <c:x val="-0.14957139725842622"/>
                  <c:y val="3.44541023281180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BC8-40A0-81BA-B4682690DBB9}"/>
                </c:ext>
              </c:extLst>
            </c:dLbl>
            <c:dLbl>
              <c:idx val="5"/>
              <c:layout>
                <c:manualLayout>
                  <c:x val="-0.10632753882210119"/>
                  <c:y val="-0.121704332412993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BC8-40A0-81BA-B4682690DBB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BC8-40A0-81BA-B4682690DBB9}"/>
                </c:ext>
              </c:extLst>
            </c:dLbl>
            <c:dLbl>
              <c:idx val="7"/>
              <c:layout>
                <c:manualLayout>
                  <c:x val="0.17663938019524861"/>
                  <c:y val="-5.30848416675188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BC8-40A0-81BA-B4682690DBB9}"/>
                </c:ext>
              </c:extLst>
            </c:dLbl>
            <c:dLbl>
              <c:idx val="8"/>
              <c:layout>
                <c:manualLayout>
                  <c:x val="0.22399821275017273"/>
                  <c:y val="-1.34618399972730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BC8-40A0-81BA-B4682690DB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pt idx="8">
                  <c:v>Zero Coupon Bond</c:v>
                </c:pt>
              </c:strCache>
            </c:strRef>
          </c:cat>
          <c:val>
            <c:numRef>
              <c:f>'BANDHAN LDF'!$K$9:$K$17</c:f>
              <c:numCache>
                <c:formatCode>0.00%</c:formatCode>
                <c:ptCount val="9"/>
                <c:pt idx="0">
                  <c:v>2.7243E-2</c:v>
                </c:pt>
                <c:pt idx="1">
                  <c:v>3.7358000000000002E-2</c:v>
                </c:pt>
                <c:pt idx="2">
                  <c:v>0.126663</c:v>
                </c:pt>
                <c:pt idx="3">
                  <c:v>0.70612799999999998</c:v>
                </c:pt>
                <c:pt idx="4">
                  <c:v>9.7439999999999992E-3</c:v>
                </c:pt>
                <c:pt idx="5">
                  <c:v>3.0270000000000002E-3</c:v>
                </c:pt>
                <c:pt idx="6">
                  <c:v>1.291E-3</c:v>
                </c:pt>
                <c:pt idx="7">
                  <c:v>8.3922999999999998E-2</c:v>
                </c:pt>
                <c:pt idx="8">
                  <c:v>4.6230000000000004E-3</c:v>
                </c:pt>
              </c:numCache>
            </c:numRef>
          </c:val>
          <c:extLst>
            <c:ext xmlns:c16="http://schemas.microsoft.com/office/drawing/2014/chart" uri="{C3380CC4-5D6E-409C-BE32-E72D297353CC}">
              <c16:uniqueId val="{0000000C-3BC8-40A0-81BA-B4682690DB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7B5-4A7D-A6FF-4C185380D9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C7B5-4A7D-A6FF-4C185380D9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2556728321165414"/>
                  <c:y val="-0.120301206890623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19-42A3-855C-3F2076F444BD}"/>
                </c:ext>
              </c:extLst>
            </c:dLbl>
            <c:dLbl>
              <c:idx val="1"/>
              <c:layout>
                <c:manualLayout>
                  <c:x val="0.12578630561972046"/>
                  <c:y val="-2.0963105594333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19-42A3-855C-3F2076F444BD}"/>
                </c:ext>
              </c:extLst>
            </c:dLbl>
            <c:dLbl>
              <c:idx val="2"/>
              <c:layout>
                <c:manualLayout>
                  <c:x val="-0.15589134869918561"/>
                  <c:y val="0.19382353952480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19-42A3-855C-3F2076F444BD}"/>
                </c:ext>
              </c:extLst>
            </c:dLbl>
            <c:dLbl>
              <c:idx val="3"/>
              <c:layout>
                <c:manualLayout>
                  <c:x val="0.20270077054072738"/>
                  <c:y val="0.31550424646700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319-42A3-855C-3F2076F444BD}"/>
                </c:ext>
              </c:extLst>
            </c:dLbl>
            <c:dLbl>
              <c:idx val="4"/>
              <c:layout>
                <c:manualLayout>
                  <c:x val="-3.1110792628437505E-2"/>
                  <c:y val="0.549286180930440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319-42A3-855C-3F2076F444BD}"/>
                </c:ext>
              </c:extLst>
            </c:dLbl>
            <c:dLbl>
              <c:idx val="5"/>
              <c:layout>
                <c:manualLayout>
                  <c:x val="0"/>
                  <c:y val="-0.171484716157205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319-42A3-855C-3F2076F444BD}"/>
                </c:ext>
              </c:extLst>
            </c:dLbl>
            <c:dLbl>
              <c:idx val="6"/>
              <c:layout>
                <c:manualLayout>
                  <c:x val="0.14202734829452529"/>
                  <c:y val="-9.1723687377505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319-42A3-855C-3F2076F444BD}"/>
                </c:ext>
              </c:extLst>
            </c:dLbl>
            <c:dLbl>
              <c:idx val="7"/>
              <c:layout>
                <c:manualLayout>
                  <c:x val="0.25394366790874912"/>
                  <c:y val="-2.8834026751022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319-42A3-855C-3F2076F444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-7.9075000000000006E-2</c:v>
                </c:pt>
                <c:pt idx="1">
                  <c:v>4.0159E-2</c:v>
                </c:pt>
                <c:pt idx="2">
                  <c:v>0.59489000000000003</c:v>
                </c:pt>
                <c:pt idx="3">
                  <c:v>0.24576300000000001</c:v>
                </c:pt>
                <c:pt idx="4">
                  <c:v>1.8630000000000001E-3</c:v>
                </c:pt>
                <c:pt idx="5">
                  <c:v>6.6179999999999998E-3</c:v>
                </c:pt>
                <c:pt idx="6">
                  <c:v>0.11384</c:v>
                </c:pt>
                <c:pt idx="7">
                  <c:v>7.5941999999999996E-2</c:v>
                </c:pt>
              </c:numCache>
            </c:numRef>
          </c:val>
          <c:extLst>
            <c:ext xmlns:c16="http://schemas.microsoft.com/office/drawing/2014/chart" uri="{C3380CC4-5D6E-409C-BE32-E72D297353CC}">
              <c16:uniqueId val="{0000000C-B319-42A3-855C-3F2076F444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212084169350348"/>
                  <c:y val="-2.53303964757709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834578225901633"/>
                      <c:h val="0.16519823788546256"/>
                    </c:manualLayout>
                  </c15:layout>
                </c:ext>
                <c:ext xmlns:c16="http://schemas.microsoft.com/office/drawing/2014/chart" uri="{C3380CC4-5D6E-409C-BE32-E72D297353CC}">
                  <c16:uniqueId val="{0000000D-36C2-472A-90ED-7A3B3E8242E3}"/>
                </c:ext>
              </c:extLst>
            </c:dLbl>
            <c:dLbl>
              <c:idx val="1"/>
              <c:layout>
                <c:manualLayout>
                  <c:x val="-2.2025830818256927E-2"/>
                  <c:y val="-5.66266606542023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6C2-472A-90ED-7A3B3E8242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0.989039</c:v>
                </c:pt>
                <c:pt idx="1">
                  <c:v>1.0961E-2</c:v>
                </c:pt>
              </c:numCache>
            </c:numRef>
          </c:val>
          <c:extLst>
            <c:ext xmlns:c16="http://schemas.microsoft.com/office/drawing/2014/chart" uri="{C3380CC4-5D6E-409C-BE32-E72D297353CC}">
              <c16:uniqueId val="{0000000C-36C2-472A-90ED-7A3B3E8242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4250914700972878"/>
                  <c:y val="-3.20832075618149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6C9-489F-B6EA-ED72D0066074}"/>
                </c:ext>
              </c:extLst>
            </c:dLbl>
            <c:dLbl>
              <c:idx val="1"/>
              <c:layout>
                <c:manualLayout>
                  <c:x val="0.25968006542008804"/>
                  <c:y val="-1.67267207699804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6C9-489F-B6EA-ED72D0066074}"/>
                </c:ext>
              </c:extLst>
            </c:dLbl>
            <c:dLbl>
              <c:idx val="2"/>
              <c:layout>
                <c:manualLayout>
                  <c:x val="-0.12858942150432473"/>
                  <c:y val="0.563429034678441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6C9-489F-B6EA-ED72D0066074}"/>
                </c:ext>
              </c:extLst>
            </c:dLbl>
            <c:dLbl>
              <c:idx val="3"/>
              <c:layout>
                <c:manualLayout>
                  <c:x val="6.4135460048222029E-2"/>
                  <c:y val="0.17770713491043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6C9-489F-B6EA-ED72D0066074}"/>
                </c:ext>
              </c:extLst>
            </c:dLbl>
            <c:dLbl>
              <c:idx val="4"/>
              <c:layout>
                <c:manualLayout>
                  <c:x val="-0.18082854204252305"/>
                  <c:y val="-1.97831842761166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6C9-489F-B6EA-ED72D0066074}"/>
                </c:ext>
              </c:extLst>
            </c:dLbl>
            <c:dLbl>
              <c:idx val="5"/>
              <c:layout>
                <c:manualLayout>
                  <c:x val="-6.5609772547168196E-2"/>
                  <c:y val="-1.6789160938672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6C9-489F-B6EA-ED72D0066074}"/>
                </c:ext>
              </c:extLst>
            </c:dLbl>
            <c:dLbl>
              <c:idx val="6"/>
              <c:layout>
                <c:manualLayout>
                  <c:x val="0.22548896457535955"/>
                  <c:y val="-6.82560736862985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6C9-489F-B6EA-ED72D0066074}"/>
                </c:ext>
              </c:extLst>
            </c:dLbl>
            <c:dLbl>
              <c:idx val="7"/>
              <c:layout>
                <c:manualLayout>
                  <c:x val="-9.0956347266013593E-2"/>
                  <c:y val="-1.23679830273132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6C9-489F-B6EA-ED72D00660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1.5748999999999999E-2</c:v>
                </c:pt>
                <c:pt idx="1">
                  <c:v>3.2203000000000002E-2</c:v>
                </c:pt>
                <c:pt idx="2">
                  <c:v>0.358068</c:v>
                </c:pt>
                <c:pt idx="3">
                  <c:v>0.50364100000000001</c:v>
                </c:pt>
                <c:pt idx="4">
                  <c:v>2.9465999999999999E-2</c:v>
                </c:pt>
                <c:pt idx="5">
                  <c:v>2.7569999999999999E-3</c:v>
                </c:pt>
                <c:pt idx="6">
                  <c:v>5.1656000000000001E-2</c:v>
                </c:pt>
                <c:pt idx="7">
                  <c:v>6.4599999999999996E-3</c:v>
                </c:pt>
              </c:numCache>
            </c:numRef>
          </c:val>
          <c:extLst>
            <c:ext xmlns:c16="http://schemas.microsoft.com/office/drawing/2014/chart" uri="{C3380CC4-5D6E-409C-BE32-E72D297353CC}">
              <c16:uniqueId val="{0000000C-B6C9-489F-B6EA-ED72D006607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F6-489F-8979-111F6256CD2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35F6-489F-8979-111F6256CD2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431929386770979"/>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FD-4EBC-9A9C-30EB9E0724E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4FD-4EBC-9A9C-30EB9E0724EE}"/>
                </c:ext>
              </c:extLst>
            </c:dLbl>
            <c:dLbl>
              <c:idx val="2"/>
              <c:layout>
                <c:manualLayout>
                  <c:x val="0.17056096039386939"/>
                  <c:y val="3.85858267716535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4FD-4EBC-9A9C-30EB9E0724EE}"/>
                </c:ext>
              </c:extLst>
            </c:dLbl>
            <c:dLbl>
              <c:idx val="3"/>
              <c:layout>
                <c:manualLayout>
                  <c:x val="-0.22946863039336357"/>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4FD-4EBC-9A9C-30EB9E0724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1.7978000000000001E-2</c:v>
                </c:pt>
                <c:pt idx="1">
                  <c:v>5.3249999999999999E-3</c:v>
                </c:pt>
                <c:pt idx="2">
                  <c:v>2.4069999999999999E-3</c:v>
                </c:pt>
                <c:pt idx="3">
                  <c:v>0.97428999999999999</c:v>
                </c:pt>
              </c:numCache>
            </c:numRef>
          </c:val>
          <c:extLst>
            <c:ext xmlns:c16="http://schemas.microsoft.com/office/drawing/2014/chart" uri="{C3380CC4-5D6E-409C-BE32-E72D297353CC}">
              <c16:uniqueId val="{0000000C-24FD-4EBC-9A9C-30EB9E0724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7A-42E6-BC0C-10B0298726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607A-42E6-BC0C-10B02987260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5900681178236018"/>
                  <c:y val="-2.0540455698851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745-4FC1-B7E8-3D973C56FC46}"/>
                </c:ext>
              </c:extLst>
            </c:dLbl>
            <c:dLbl>
              <c:idx val="1"/>
              <c:layout>
                <c:manualLayout>
                  <c:x val="-7.7026589556391106E-2"/>
                  <c:y val="-1.27885177143554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745-4FC1-B7E8-3D973C56FC46}"/>
                </c:ext>
              </c:extLst>
            </c:dLbl>
            <c:dLbl>
              <c:idx val="2"/>
              <c:layout>
                <c:manualLayout>
                  <c:x val="-7.2063767724965852E-2"/>
                  <c:y val="-0.109224021415927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745-4FC1-B7E8-3D973C56FC46}"/>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745-4FC1-B7E8-3D973C56FC46}"/>
                </c:ext>
              </c:extLst>
            </c:dLbl>
            <c:dLbl>
              <c:idx val="4"/>
              <c:layout>
                <c:manualLayout>
                  <c:x val="2.5859228784838727E-2"/>
                  <c:y val="0.155082707684795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745-4FC1-B7E8-3D973C56FC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1.7101999999999999E-2</c:v>
                </c:pt>
                <c:pt idx="1">
                  <c:v>2.8709999999999999E-3</c:v>
                </c:pt>
                <c:pt idx="2">
                  <c:v>0.27279300000000001</c:v>
                </c:pt>
                <c:pt idx="3">
                  <c:v>2.5799999999999998E-3</c:v>
                </c:pt>
                <c:pt idx="4">
                  <c:v>0.704654</c:v>
                </c:pt>
              </c:numCache>
            </c:numRef>
          </c:val>
          <c:extLst>
            <c:ext xmlns:c16="http://schemas.microsoft.com/office/drawing/2014/chart" uri="{C3380CC4-5D6E-409C-BE32-E72D297353CC}">
              <c16:uniqueId val="{0000000C-6745-4FC1-B7E8-3D973C56FC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1A-491A-B6E6-71674AB3BB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231A-491A-B6E6-71674AB3BB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7B-43CB-8ED5-ED2A83C79D8A}"/>
                </c:ext>
              </c:extLst>
            </c:dLbl>
            <c:dLbl>
              <c:idx val="1"/>
              <c:layout>
                <c:manualLayout>
                  <c:x val="0.1432851675125191"/>
                  <c:y val="-3.21547728187948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97B-43CB-8ED5-ED2A83C79D8A}"/>
                </c:ext>
              </c:extLst>
            </c:dLbl>
            <c:dLbl>
              <c:idx val="2"/>
              <c:layout>
                <c:manualLayout>
                  <c:x val="-7.4039100305181335E-2"/>
                  <c:y val="0.320231336697711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97B-43CB-8ED5-ED2A83C79D8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97B-43CB-8ED5-ED2A83C79D8A}"/>
                </c:ext>
              </c:extLst>
            </c:dLbl>
            <c:dLbl>
              <c:idx val="4"/>
              <c:layout>
                <c:manualLayout>
                  <c:x val="-1.1750324571312954E-3"/>
                  <c:y val="-0.31928131399244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97B-43CB-8ED5-ED2A83C79D8A}"/>
                </c:ext>
              </c:extLst>
            </c:dLbl>
            <c:dLbl>
              <c:idx val="5"/>
              <c:layout>
                <c:manualLayout>
                  <c:x val="-7.3163938019524907E-2"/>
                  <c:y val="-1.6920822873201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97B-43CB-8ED5-ED2A83C79D8A}"/>
                </c:ext>
              </c:extLst>
            </c:dLbl>
            <c:dLbl>
              <c:idx val="6"/>
              <c:layout>
                <c:manualLayout>
                  <c:x val="-0.20356227553996864"/>
                  <c:y val="-0.121382193928696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97B-43CB-8ED5-ED2A83C79D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1.6726999999999999E-2</c:v>
                </c:pt>
                <c:pt idx="1">
                  <c:v>4.3810000000000003E-3</c:v>
                </c:pt>
                <c:pt idx="2">
                  <c:v>0.50116099999999997</c:v>
                </c:pt>
                <c:pt idx="3">
                  <c:v>3.1519999999999999E-3</c:v>
                </c:pt>
                <c:pt idx="4">
                  <c:v>0.45214700000000002</c:v>
                </c:pt>
                <c:pt idx="5">
                  <c:v>5.8409999999999998E-3</c:v>
                </c:pt>
                <c:pt idx="6">
                  <c:v>1.6591000000000002E-2</c:v>
                </c:pt>
              </c:numCache>
            </c:numRef>
          </c:val>
          <c:extLst>
            <c:ext xmlns:c16="http://schemas.microsoft.com/office/drawing/2014/chart" uri="{C3380CC4-5D6E-409C-BE32-E72D297353CC}">
              <c16:uniqueId val="{0000000C-C97B-43CB-8ED5-ED2A83C79D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96-4851-B7F7-1D87D656D28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2B96-4851-B7F7-1D87D656D28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30165236304776677"/>
                  <c:y val="-0.109628649038957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28-4FED-9F2B-6F13A33C5967}"/>
                </c:ext>
              </c:extLst>
            </c:dLbl>
            <c:dLbl>
              <c:idx val="1"/>
              <c:layout>
                <c:manualLayout>
                  <c:x val="-6.7068067241059542E-2"/>
                  <c:y val="-2.21352680259945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28-4FED-9F2B-6F13A33C5967}"/>
                </c:ext>
              </c:extLst>
            </c:dLbl>
            <c:dLbl>
              <c:idx val="2"/>
              <c:layout>
                <c:manualLayout>
                  <c:x val="6.9407341212969362E-2"/>
                  <c:y val="-6.1926211188666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28-4FED-9F2B-6F13A33C5967}"/>
                </c:ext>
              </c:extLst>
            </c:dLbl>
            <c:dLbl>
              <c:idx val="3"/>
              <c:layout>
                <c:manualLayout>
                  <c:x val="-0.12141597396685157"/>
                  <c:y val="0.233889213629955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E28-4FED-9F2B-6F13A33C5967}"/>
                </c:ext>
              </c:extLst>
            </c:dLbl>
            <c:dLbl>
              <c:idx val="4"/>
              <c:layout>
                <c:manualLayout>
                  <c:x val="0.26646950715742973"/>
                  <c:y val="0.165337826221503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E28-4FED-9F2B-6F13A33C596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E28-4FED-9F2B-6F13A33C5967}"/>
                </c:ext>
              </c:extLst>
            </c:dLbl>
            <c:dLbl>
              <c:idx val="6"/>
              <c:layout>
                <c:manualLayout>
                  <c:x val="5.8514475037515383E-2"/>
                  <c:y val="-0.150315304473403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E28-4FED-9F2B-6F13A33C5967}"/>
                </c:ext>
              </c:extLst>
            </c:dLbl>
            <c:dLbl>
              <c:idx val="7"/>
              <c:layout>
                <c:manualLayout>
                  <c:x val="-0.14855536259252389"/>
                  <c:y val="-4.74015748031496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E28-4FED-9F2B-6F13A33C59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3.1817999999999999E-2</c:v>
                </c:pt>
                <c:pt idx="1">
                  <c:v>3.0869999999999999E-3</c:v>
                </c:pt>
                <c:pt idx="2">
                  <c:v>5.973E-3</c:v>
                </c:pt>
                <c:pt idx="3">
                  <c:v>0.57420499999999997</c:v>
                </c:pt>
                <c:pt idx="4">
                  <c:v>8.5710000000000005E-3</c:v>
                </c:pt>
                <c:pt idx="5">
                  <c:v>2.7820000000000002E-3</c:v>
                </c:pt>
                <c:pt idx="6">
                  <c:v>0.37146899999999999</c:v>
                </c:pt>
                <c:pt idx="7">
                  <c:v>2.0950000000000001E-3</c:v>
                </c:pt>
              </c:numCache>
            </c:numRef>
          </c:val>
          <c:extLst>
            <c:ext xmlns:c16="http://schemas.microsoft.com/office/drawing/2014/chart" uri="{C3380CC4-5D6E-409C-BE32-E72D297353CC}">
              <c16:uniqueId val="{0000000C-5E28-4FED-9F2B-6F13A33C596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A85-48CA-B640-C94308AF51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6A85-48CA-B640-C94308AF51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1.011532819639515E-2"/>
                  <c:y val="-1.99626200571082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CE-4A2A-96E4-442DEA2333CC}"/>
                </c:ext>
              </c:extLst>
            </c:dLbl>
            <c:dLbl>
              <c:idx val="1"/>
              <c:layout>
                <c:manualLayout>
                  <c:x val="0.13453185857121178"/>
                  <c:y val="-9.56258544605001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8CE-4A2A-96E4-442DEA2333CC}"/>
                </c:ext>
              </c:extLst>
            </c:dLbl>
            <c:dLbl>
              <c:idx val="2"/>
              <c:layout>
                <c:manualLayout>
                  <c:x val="0.19959854322278237"/>
                  <c:y val="2.09732629575149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8CE-4A2A-96E4-442DEA2333CC}"/>
                </c:ext>
              </c:extLst>
            </c:dLbl>
            <c:dLbl>
              <c:idx val="3"/>
              <c:layout>
                <c:manualLayout>
                  <c:x val="-1.0238580991080532E-2"/>
                  <c:y val="6.28817167084883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8CE-4A2A-96E4-442DEA2333CC}"/>
                </c:ext>
              </c:extLst>
            </c:dLbl>
            <c:dLbl>
              <c:idx val="4"/>
              <c:layout>
                <c:manualLayout>
                  <c:x val="-7.1921630781163065E-3"/>
                  <c:y val="-0.188397334948516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8CE-4A2A-96E4-442DEA2333CC}"/>
                </c:ext>
              </c:extLst>
            </c:dLbl>
            <c:dLbl>
              <c:idx val="5"/>
              <c:layout>
                <c:manualLayout>
                  <c:x val="-0.12371655229391829"/>
                  <c:y val="0.622557411092844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8CE-4A2A-96E4-442DEA2333CC}"/>
                </c:ext>
              </c:extLst>
            </c:dLbl>
            <c:dLbl>
              <c:idx val="6"/>
              <c:layout>
                <c:manualLayout>
                  <c:x val="-0.12574027550624695"/>
                  <c:y val="-2.1061521156009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8CE-4A2A-96E4-442DEA2333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2.4979000000000001E-2</c:v>
                </c:pt>
                <c:pt idx="1">
                  <c:v>1.193E-3</c:v>
                </c:pt>
                <c:pt idx="2">
                  <c:v>6.3028000000000001E-2</c:v>
                </c:pt>
                <c:pt idx="3">
                  <c:v>0.70825199999999999</c:v>
                </c:pt>
                <c:pt idx="4">
                  <c:v>2.5799999999999998E-3</c:v>
                </c:pt>
                <c:pt idx="5">
                  <c:v>0.19636100000000001</c:v>
                </c:pt>
                <c:pt idx="6">
                  <c:v>3.607E-3</c:v>
                </c:pt>
              </c:numCache>
            </c:numRef>
          </c:val>
          <c:extLst>
            <c:ext xmlns:c16="http://schemas.microsoft.com/office/drawing/2014/chart" uri="{C3380CC4-5D6E-409C-BE32-E72D297353CC}">
              <c16:uniqueId val="{0000000C-D8CE-4A2A-96E4-442DEA2333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3B-40C4-A9F7-94060CC5C1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923B-40C4-A9F7-94060CC5C1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7.975248275978343E-2"/>
                  <c:y val="-4.77603276689650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C7-4248-AE8A-4EE8733C64B7}"/>
                </c:ext>
              </c:extLst>
            </c:dLbl>
            <c:dLbl>
              <c:idx val="1"/>
              <c:layout>
                <c:manualLayout>
                  <c:x val="0.20583199851624542"/>
                  <c:y val="-0.114594149013816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4C7-4248-AE8A-4EE8733C64B7}"/>
                </c:ext>
              </c:extLst>
            </c:dLbl>
            <c:dLbl>
              <c:idx val="2"/>
              <c:layout>
                <c:manualLayout>
                  <c:x val="-5.4329275489386097E-2"/>
                  <c:y val="0.695036708197734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4C7-4248-AE8A-4EE8733C64B7}"/>
                </c:ext>
              </c:extLst>
            </c:dLbl>
            <c:dLbl>
              <c:idx val="3"/>
              <c:layout>
                <c:manualLayout>
                  <c:x val="-7.016456187087948E-2"/>
                  <c:y val="0.113848478863806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4C7-4248-AE8A-4EE8733C64B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4C7-4248-AE8A-4EE8733C64B7}"/>
                </c:ext>
              </c:extLst>
            </c:dLbl>
            <c:dLbl>
              <c:idx val="5"/>
              <c:layout>
                <c:manualLayout>
                  <c:x val="-7.0407695290765307E-2"/>
                  <c:y val="-0.186328922625129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4C7-4248-AE8A-4EE8733C64B7}"/>
                </c:ext>
              </c:extLst>
            </c:dLbl>
            <c:dLbl>
              <c:idx val="6"/>
              <c:layout>
                <c:manualLayout>
                  <c:x val="-0.15795005816992361"/>
                  <c:y val="-4.12172524235997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4C7-4248-AE8A-4EE8733C64B7}"/>
                </c:ext>
              </c:extLst>
            </c:dLbl>
            <c:dLbl>
              <c:idx val="7"/>
              <c:layout>
                <c:manualLayout>
                  <c:x val="-0.15932421723515824"/>
                  <c:y val="-1.613546398303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4C7-4248-AE8A-4EE8733C64B7}"/>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54C7-4248-AE8A-4EE8733C64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Corporate Debt Market Development Fund</c:v>
                </c:pt>
                <c:pt idx="5">
                  <c:v>Government Bond</c:v>
                </c:pt>
                <c:pt idx="7">
                  <c:v>State Government Bond</c:v>
                </c:pt>
                <c:pt idx="8">
                  <c:v>Zero Coupon Bond</c:v>
                </c:pt>
              </c:strCache>
            </c:strRef>
          </c:cat>
          <c:val>
            <c:numRef>
              <c:f>'BANDHAN CBF'!$K$9:$K$17</c:f>
              <c:numCache>
                <c:formatCode>0.00%</c:formatCode>
                <c:ptCount val="9"/>
                <c:pt idx="0">
                  <c:v>2.5343999999999998E-2</c:v>
                </c:pt>
                <c:pt idx="1">
                  <c:v>2.5772E-2</c:v>
                </c:pt>
                <c:pt idx="2">
                  <c:v>3.4400000000000001E-4</c:v>
                </c:pt>
                <c:pt idx="3">
                  <c:v>0.67746499999999998</c:v>
                </c:pt>
                <c:pt idx="4">
                  <c:v>2.849E-3</c:v>
                </c:pt>
                <c:pt idx="5">
                  <c:v>0.263291</c:v>
                </c:pt>
                <c:pt idx="7">
                  <c:v>9.0899999999999998E-4</c:v>
                </c:pt>
                <c:pt idx="8">
                  <c:v>4.0260000000000001E-3</c:v>
                </c:pt>
              </c:numCache>
            </c:numRef>
          </c:val>
          <c:extLst>
            <c:ext xmlns:c16="http://schemas.microsoft.com/office/drawing/2014/chart" uri="{C3380CC4-5D6E-409C-BE32-E72D297353CC}">
              <c16:uniqueId val="{0000000C-54C7-4248-AE8A-4EE8733C64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8.8707194523596766E-2"/>
                  <c:y val="0.114273725652714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834578225901633"/>
                      <c:h val="0.16447368421052633"/>
                    </c:manualLayout>
                  </c15:layout>
                </c:ext>
                <c:ext xmlns:c16="http://schemas.microsoft.com/office/drawing/2014/chart" uri="{C3380CC4-5D6E-409C-BE32-E72D297353CC}">
                  <c16:uniqueId val="{0000000D-A2DB-4628-A311-A18DEA379D59}"/>
                </c:ext>
              </c:extLst>
            </c:dLbl>
            <c:dLbl>
              <c:idx val="1"/>
              <c:layout>
                <c:manualLayout>
                  <c:x val="5.4059754843278421E-2"/>
                  <c:y val="-6.65354330708661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DB-4628-A311-A18DEA379D59}"/>
                </c:ext>
              </c:extLst>
            </c:dLbl>
            <c:dLbl>
              <c:idx val="2"/>
              <c:layout>
                <c:manualLayout>
                  <c:x val="7.5160262354785956E-2"/>
                  <c:y val="-6.86289542754524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DB-4628-A311-A18DEA379D5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0.76667600000000002</c:v>
                </c:pt>
                <c:pt idx="1">
                  <c:v>0.139678</c:v>
                </c:pt>
                <c:pt idx="2">
                  <c:v>9.3645999999999993E-2</c:v>
                </c:pt>
              </c:numCache>
            </c:numRef>
          </c:val>
          <c:extLst>
            <c:ext xmlns:c16="http://schemas.microsoft.com/office/drawing/2014/chart" uri="{C3380CC4-5D6E-409C-BE32-E72D297353CC}">
              <c16:uniqueId val="{0000000C-A2DB-4628-A311-A18DEA379D5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BC-4D90-9F68-7763D7C3D2C3}"/>
                </c:ext>
              </c:extLst>
            </c:dLbl>
            <c:dLbl>
              <c:idx val="1"/>
              <c:layout>
                <c:manualLayout>
                  <c:x val="6.8933551400293294E-2"/>
                  <c:y val="-5.2373305795791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BC-4D90-9F68-7763D7C3D2C3}"/>
                </c:ext>
              </c:extLst>
            </c:dLbl>
            <c:dLbl>
              <c:idx val="2"/>
              <c:layout>
                <c:manualLayout>
                  <c:x val="0.10372118902696049"/>
                  <c:y val="-2.82999870917774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BC-4D90-9F68-7763D7C3D2C3}"/>
                </c:ext>
              </c:extLst>
            </c:dLbl>
            <c:dLbl>
              <c:idx val="3"/>
              <c:layout>
                <c:manualLayout>
                  <c:x val="-5.0235546038543896E-2"/>
                  <c:y val="9.12938341723678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0BC-4D90-9F68-7763D7C3D2C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0BC-4D90-9F68-7763D7C3D2C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0BC-4D90-9F68-7763D7C3D2C3}"/>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0BC-4D90-9F68-7763D7C3D2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2.3989E-2</c:v>
                </c:pt>
                <c:pt idx="1">
                  <c:v>1.6586E-2</c:v>
                </c:pt>
                <c:pt idx="2">
                  <c:v>0.132413</c:v>
                </c:pt>
                <c:pt idx="3">
                  <c:v>0.484875</c:v>
                </c:pt>
                <c:pt idx="4">
                  <c:v>4.1590000000000004E-3</c:v>
                </c:pt>
                <c:pt idx="5">
                  <c:v>0.33792699999999998</c:v>
                </c:pt>
              </c:numCache>
            </c:numRef>
          </c:val>
          <c:extLst>
            <c:ext xmlns:c16="http://schemas.microsoft.com/office/drawing/2014/chart" uri="{C3380CC4-5D6E-409C-BE32-E72D297353CC}">
              <c16:uniqueId val="{0000000C-90BC-4D90-9F68-7763D7C3D2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50E1-4351-9174-43B556B952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 Fund'!$G$8</c:f>
              <c:strCache>
                <c:ptCount val="1"/>
                <c:pt idx="0">
                  <c:v>AAA EQUIVALENT</c:v>
                </c:pt>
              </c:strCache>
            </c:strRef>
          </c:cat>
          <c:val>
            <c:numRef>
              <c:f>'BANDHAN Long Dur Fund'!$H$8</c:f>
              <c:numCache>
                <c:formatCode>0%</c:formatCode>
                <c:ptCount val="1"/>
                <c:pt idx="0">
                  <c:v>1</c:v>
                </c:pt>
              </c:numCache>
            </c:numRef>
          </c:val>
          <c:extLst>
            <c:ext xmlns:c16="http://schemas.microsoft.com/office/drawing/2014/chart" uri="{C3380CC4-5D6E-409C-BE32-E72D297353CC}">
              <c16:uniqueId val="{00000001-50E1-4351-9174-43B556B952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 Fund'!$K$8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BA5-4AC5-B2D1-4216BBCBEAED}"/>
                </c:ext>
              </c:extLst>
            </c:dLbl>
            <c:dLbl>
              <c:idx val="1"/>
              <c:layout>
                <c:manualLayout>
                  <c:x val="0.13502655583469625"/>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ABA5-4AC5-B2D1-4216BBCBEAED}"/>
                </c:ext>
              </c:extLst>
            </c:dLbl>
            <c:dLbl>
              <c:idx val="2"/>
              <c:layout>
                <c:manualLayout>
                  <c:x val="-0.23312321907299061"/>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ABA5-4AC5-B2D1-4216BBCBEAE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 Fund'!$J$9:$J$11</c:f>
              <c:strCache>
                <c:ptCount val="3"/>
                <c:pt idx="0">
                  <c:v>Net Current Asset</c:v>
                </c:pt>
                <c:pt idx="1">
                  <c:v>TRI Party Repo</c:v>
                </c:pt>
                <c:pt idx="2">
                  <c:v>Government Bond</c:v>
                </c:pt>
              </c:strCache>
            </c:strRef>
          </c:cat>
          <c:val>
            <c:numRef>
              <c:f>'BANDHAN Long Dur Fund'!$K$9:$K$11</c:f>
              <c:numCache>
                <c:formatCode>0.00%</c:formatCode>
                <c:ptCount val="3"/>
                <c:pt idx="0">
                  <c:v>1.6924000000000002E-2</c:v>
                </c:pt>
                <c:pt idx="1">
                  <c:v>0.112978</c:v>
                </c:pt>
                <c:pt idx="2">
                  <c:v>0.87009800000000004</c:v>
                </c:pt>
              </c:numCache>
            </c:numRef>
          </c:val>
          <c:extLst>
            <c:ext xmlns:c16="http://schemas.microsoft.com/office/drawing/2014/chart" uri="{C3380CC4-5D6E-409C-BE32-E72D297353CC}">
              <c16:uniqueId val="{00000003-ABA5-4AC5-B2D1-4216BBCBEAE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062368274629483"/>
                  <c:y val="-0.439777654445176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F8-4CA6-9709-7A0C065C7994}"/>
                </c:ext>
              </c:extLst>
            </c:dLbl>
            <c:dLbl>
              <c:idx val="1"/>
              <c:layout>
                <c:manualLayout>
                  <c:x val="1.9834257869800354E-3"/>
                  <c:y val="-0.150322938707551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20445463588998"/>
                      <c:h val="0.16519823788546256"/>
                    </c:manualLayout>
                  </c15:layout>
                </c:ext>
                <c:ext xmlns:c16="http://schemas.microsoft.com/office/drawing/2014/chart" uri="{C3380CC4-5D6E-409C-BE32-E72D297353CC}">
                  <c16:uniqueId val="{0000000E-56F8-4CA6-9709-7A0C065C7994}"/>
                </c:ext>
              </c:extLst>
            </c:dLbl>
            <c:dLbl>
              <c:idx val="2"/>
              <c:layout>
                <c:manualLayout>
                  <c:x val="6.815778381021434E-2"/>
                  <c:y val="-7.51496756738006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6F8-4CA6-9709-7A0C065C79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0.63352200000000003</c:v>
                </c:pt>
                <c:pt idx="1">
                  <c:v>0.29685299999999998</c:v>
                </c:pt>
                <c:pt idx="2">
                  <c:v>6.9625000000000006E-2</c:v>
                </c:pt>
              </c:numCache>
            </c:numRef>
          </c:val>
          <c:extLst>
            <c:ext xmlns:c16="http://schemas.microsoft.com/office/drawing/2014/chart" uri="{C3380CC4-5D6E-409C-BE32-E72D297353CC}">
              <c16:uniqueId val="{0000000C-56F8-4CA6-9709-7A0C065C799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83A-4025-84BA-ECEBBC4C7972}"/>
                </c:ext>
              </c:extLst>
            </c:dLbl>
            <c:dLbl>
              <c:idx val="1"/>
              <c:layout>
                <c:manualLayout>
                  <c:x val="0.10227680453219579"/>
                  <c:y val="-5.29548735057953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83A-4025-84BA-ECEBBC4C7972}"/>
                </c:ext>
              </c:extLst>
            </c:dLbl>
            <c:dLbl>
              <c:idx val="2"/>
              <c:layout>
                <c:manualLayout>
                  <c:x val="-0.12702945590045356"/>
                  <c:y val="9.6391090520929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83A-4025-84BA-ECEBBC4C797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83A-4025-84BA-ECEBBC4C797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83A-4025-84BA-ECEBBC4C797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83A-4025-84BA-ECEBBC4C79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3.1413000000000003E-2</c:v>
                </c:pt>
                <c:pt idx="1">
                  <c:v>1.7037E-2</c:v>
                </c:pt>
                <c:pt idx="2">
                  <c:v>0.70314699999999997</c:v>
                </c:pt>
                <c:pt idx="3">
                  <c:v>4.0049999999999999E-3</c:v>
                </c:pt>
                <c:pt idx="4">
                  <c:v>0.19357099999999999</c:v>
                </c:pt>
                <c:pt idx="5">
                  <c:v>5.0826999999999997E-2</c:v>
                </c:pt>
              </c:numCache>
            </c:numRef>
          </c:val>
          <c:extLst>
            <c:ext xmlns:c16="http://schemas.microsoft.com/office/drawing/2014/chart" uri="{C3380CC4-5D6E-409C-BE32-E72D297353CC}">
              <c16:uniqueId val="{0000000C-B83A-4025-84BA-ECEBBC4C79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3FC-4CF9-9DF7-1B5624F1A2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53FC-4CF9-9DF7-1B5624F1A2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61-4C9F-8677-262532A9FEF3}"/>
                </c:ext>
              </c:extLst>
            </c:dLbl>
            <c:dLbl>
              <c:idx val="1"/>
              <c:layout>
                <c:manualLayout>
                  <c:x val="0.10107268711325432"/>
                  <c:y val="-3.49224846894138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61-4C9F-8677-262532A9FEF3}"/>
                </c:ext>
              </c:extLst>
            </c:dLbl>
            <c:dLbl>
              <c:idx val="2"/>
              <c:layout>
                <c:manualLayout>
                  <c:x val="-0.22214891500446812"/>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61-4C9F-8677-262532A9FE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1.796E-2</c:v>
                </c:pt>
                <c:pt idx="1">
                  <c:v>4.5630000000000002E-3</c:v>
                </c:pt>
                <c:pt idx="2">
                  <c:v>0.97747700000000004</c:v>
                </c:pt>
              </c:numCache>
            </c:numRef>
          </c:val>
          <c:extLst>
            <c:ext xmlns:c16="http://schemas.microsoft.com/office/drawing/2014/chart" uri="{C3380CC4-5D6E-409C-BE32-E72D297353CC}">
              <c16:uniqueId val="{0000000C-5E61-4C9F-8677-262532A9FE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08-42C9-817E-F8BB7C0712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7A08-42C9-817E-F8BB7C0712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56-425F-9E76-3281D2FB37B2}"/>
                </c:ext>
              </c:extLst>
            </c:dLbl>
            <c:dLbl>
              <c:idx val="1"/>
              <c:layout>
                <c:manualLayout>
                  <c:x val="0.11734559678969465"/>
                  <c:y val="-3.381137357830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C56-425F-9E76-3281D2FB37B2}"/>
                </c:ext>
              </c:extLst>
            </c:dLbl>
            <c:dLbl>
              <c:idx val="2"/>
              <c:layout>
                <c:manualLayout>
                  <c:x val="-0.23124955740275507"/>
                  <c:y val="-2.91524059492563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C56-425F-9E76-3281D2FB37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1.1315E-2</c:v>
                </c:pt>
                <c:pt idx="1">
                  <c:v>1.3365E-2</c:v>
                </c:pt>
                <c:pt idx="2">
                  <c:v>0.97531999999999996</c:v>
                </c:pt>
              </c:numCache>
            </c:numRef>
          </c:val>
          <c:extLst>
            <c:ext xmlns:c16="http://schemas.microsoft.com/office/drawing/2014/chart" uri="{C3380CC4-5D6E-409C-BE32-E72D297353CC}">
              <c16:uniqueId val="{0000000C-7C56-425F-9E76-3281D2FB37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48-47BB-97DD-F50C5844526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A148-47BB-97DD-F50C5844526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DB-44BA-906D-07FED6CD737C}"/>
                </c:ext>
              </c:extLst>
            </c:dLbl>
            <c:dLbl>
              <c:idx val="1"/>
              <c:layout>
                <c:manualLayout>
                  <c:x val="0.12889165219443938"/>
                  <c:y val="-1.03030621172353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3DB-44BA-906D-07FED6CD737C}"/>
                </c:ext>
              </c:extLst>
            </c:dLbl>
            <c:dLbl>
              <c:idx val="2"/>
              <c:layout>
                <c:manualLayout>
                  <c:x val="-0.22617705575882244"/>
                  <c:y val="1.95870516185476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3DB-44BA-906D-07FED6CD73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2.5422E-2</c:v>
                </c:pt>
                <c:pt idx="1">
                  <c:v>7.8009999999999998E-3</c:v>
                </c:pt>
                <c:pt idx="2">
                  <c:v>0.966777</c:v>
                </c:pt>
              </c:numCache>
            </c:numRef>
          </c:val>
          <c:extLst>
            <c:ext xmlns:c16="http://schemas.microsoft.com/office/drawing/2014/chart" uri="{C3380CC4-5D6E-409C-BE32-E72D297353CC}">
              <c16:uniqueId val="{0000000C-73DB-44BA-906D-07FED6CD73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D4A-4AA1-8195-5E1D6DC584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CD4A-4AA1-8195-5E1D6DC584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89C-49B5-91CB-4951DAB2CE6A}"/>
                </c:ext>
              </c:extLst>
            </c:dLbl>
            <c:dLbl>
              <c:idx val="1"/>
              <c:layout>
                <c:manualLayout>
                  <c:x val="0.12482793505201571"/>
                  <c:y val="-2.36363954505686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89C-49B5-91CB-4951DAB2CE6A}"/>
                </c:ext>
              </c:extLst>
            </c:dLbl>
            <c:dLbl>
              <c:idx val="2"/>
              <c:layout>
                <c:manualLayout>
                  <c:x val="-0.22518597514711089"/>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89C-49B5-91CB-4951DAB2CE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1.9217999999999999E-2</c:v>
                </c:pt>
                <c:pt idx="1">
                  <c:v>9.0690000000000007E-3</c:v>
                </c:pt>
                <c:pt idx="2">
                  <c:v>0.97171300000000005</c:v>
                </c:pt>
              </c:numCache>
            </c:numRef>
          </c:val>
          <c:extLst>
            <c:ext xmlns:c16="http://schemas.microsoft.com/office/drawing/2014/chart" uri="{C3380CC4-5D6E-409C-BE32-E72D297353CC}">
              <c16:uniqueId val="{0000000C-589C-49B5-91CB-4951DAB2CE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5E-467A-8818-D058F27145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525E-467A-8818-D058F27145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39-4FD6-9C1A-E7DB2C02BD19}"/>
                </c:ext>
              </c:extLst>
            </c:dLbl>
            <c:dLbl>
              <c:idx val="1"/>
              <c:layout>
                <c:manualLayout>
                  <c:x val="0.12835943954543164"/>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39-4FD6-9C1A-E7DB2C02BD19}"/>
                </c:ext>
              </c:extLst>
            </c:dLbl>
            <c:dLbl>
              <c:idx val="2"/>
              <c:layout>
                <c:manualLayout>
                  <c:x val="-0.24598433627274108"/>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39-4FD6-9C1A-E7DB2C02BD1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1.2005E-2</c:v>
                </c:pt>
                <c:pt idx="1">
                  <c:v>2.0478E-2</c:v>
                </c:pt>
                <c:pt idx="2">
                  <c:v>0.96751699999999996</c:v>
                </c:pt>
              </c:numCache>
            </c:numRef>
          </c:val>
          <c:extLst>
            <c:ext xmlns:c16="http://schemas.microsoft.com/office/drawing/2014/chart" uri="{C3380CC4-5D6E-409C-BE32-E72D297353CC}">
              <c16:uniqueId val="{0000000C-9639-4FD6-9C1A-E7DB2C02BD1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3A-4A2D-ACD8-C5616E6F79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2F3A-4A2D-ACD8-C5616E6F79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D7F-4F17-A6FF-A8E3DFC4A491}"/>
                </c:ext>
              </c:extLst>
            </c:dLbl>
            <c:dLbl>
              <c:idx val="1"/>
              <c:layout>
                <c:manualLayout>
                  <c:x val="0.10555598644387867"/>
                  <c:y val="-3.63639545056867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D7F-4F17-A6FF-A8E3DFC4A491}"/>
                </c:ext>
              </c:extLst>
            </c:dLbl>
            <c:dLbl>
              <c:idx val="2"/>
              <c:layout>
                <c:manualLayout>
                  <c:x val="-0.22885371528773035"/>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D7F-4F17-A6FF-A8E3DFC4A4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1.2685999999999999E-2</c:v>
                </c:pt>
                <c:pt idx="1">
                  <c:v>1.9709999999999998E-2</c:v>
                </c:pt>
                <c:pt idx="2">
                  <c:v>0.96760400000000002</c:v>
                </c:pt>
              </c:numCache>
            </c:numRef>
          </c:val>
          <c:extLst>
            <c:ext xmlns:c16="http://schemas.microsoft.com/office/drawing/2014/chart" uri="{C3380CC4-5D6E-409C-BE32-E72D297353CC}">
              <c16:uniqueId val="{0000000C-0D7F-4F17-A6FF-A8E3DFC4A4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CF4-40BD-97A5-6E57424018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DCF4-40BD-97A5-6E57424018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AF-41B4-B875-EB019C3D02A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1AF-41B4-B875-EB019C3D02AA}"/>
                </c:ext>
              </c:extLst>
            </c:dLbl>
            <c:dLbl>
              <c:idx val="2"/>
              <c:layout>
                <c:manualLayout>
                  <c:x val="0.10843101384275573"/>
                  <c:y val="-3.95608048993875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1AF-41B4-B875-EB019C3D02AA}"/>
                </c:ext>
              </c:extLst>
            </c:dLbl>
            <c:dLbl>
              <c:idx val="3"/>
              <c:layout>
                <c:manualLayout>
                  <c:x val="1.1772243672967003E-2"/>
                  <c:y val="2.77767279090113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1AF-41B4-B875-EB019C3D02A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1.5741999999999999E-2</c:v>
                </c:pt>
                <c:pt idx="1">
                  <c:v>2.0775999999999999E-2</c:v>
                </c:pt>
                <c:pt idx="2">
                  <c:v>0.12797600000000001</c:v>
                </c:pt>
                <c:pt idx="3">
                  <c:v>0.83550599999999997</c:v>
                </c:pt>
              </c:numCache>
            </c:numRef>
          </c:val>
          <c:extLst>
            <c:ext xmlns:c16="http://schemas.microsoft.com/office/drawing/2014/chart" uri="{C3380CC4-5D6E-409C-BE32-E72D297353CC}">
              <c16:uniqueId val="{0000000C-81AF-41B4-B875-EB019C3D02A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27F-4E44-9D20-93F7B0D613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227F-4E44-9D20-93F7B0D613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8508396702018246"/>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6E-4DB0-952A-452B5B89310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66E-4DB0-952A-452B5B89310C}"/>
                </c:ext>
              </c:extLst>
            </c:dLbl>
            <c:dLbl>
              <c:idx val="2"/>
              <c:layout>
                <c:manualLayout>
                  <c:x val="-2.6026235478595231E-2"/>
                  <c:y val="-0.103281539807524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66E-4DB0-952A-452B5B89310C}"/>
                </c:ext>
              </c:extLst>
            </c:dLbl>
            <c:dLbl>
              <c:idx val="3"/>
              <c:layout>
                <c:manualLayout>
                  <c:x val="4.8635114400849789E-3"/>
                  <c:y val="9.62481189851268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66E-4DB0-952A-452B5B89310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1.1310000000000001E-2</c:v>
                </c:pt>
                <c:pt idx="1">
                  <c:v>1.2964E-2</c:v>
                </c:pt>
                <c:pt idx="2">
                  <c:v>0.18271899999999999</c:v>
                </c:pt>
                <c:pt idx="3">
                  <c:v>0.79300700000000002</c:v>
                </c:pt>
              </c:numCache>
            </c:numRef>
          </c:val>
          <c:extLst>
            <c:ext xmlns:c16="http://schemas.microsoft.com/office/drawing/2014/chart" uri="{C3380CC4-5D6E-409C-BE32-E72D297353CC}">
              <c16:uniqueId val="{0000000C-066E-4DB0-952A-452B5B89310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5D9-4F2E-8C66-C07E49805C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05D9-4F2E-8C66-C07E49805CE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31-438D-B8AC-769884BCE80B}"/>
                </c:ext>
              </c:extLst>
            </c:dLbl>
            <c:dLbl>
              <c:idx val="1"/>
              <c:layout>
                <c:manualLayout>
                  <c:x val="0.22652877303613281"/>
                  <c:y val="-8.2558180227471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B31-438D-B8AC-769884BCE80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B31-438D-B8AC-769884BCE80B}"/>
                </c:ext>
              </c:extLst>
            </c:dLbl>
            <c:dLbl>
              <c:idx val="3"/>
              <c:layout>
                <c:manualLayout>
                  <c:x val="-9.4747846026741311E-3"/>
                  <c:y val="6.40300962379702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B31-438D-B8AC-769884BCE8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-4.5659999999999997E-3</c:v>
                </c:pt>
                <c:pt idx="1">
                  <c:v>1.6952999999999999E-2</c:v>
                </c:pt>
                <c:pt idx="2">
                  <c:v>0.12198000000000001</c:v>
                </c:pt>
                <c:pt idx="3">
                  <c:v>0.86563299999999999</c:v>
                </c:pt>
              </c:numCache>
            </c:numRef>
          </c:val>
          <c:extLst>
            <c:ext xmlns:c16="http://schemas.microsoft.com/office/drawing/2014/chart" uri="{C3380CC4-5D6E-409C-BE32-E72D297353CC}">
              <c16:uniqueId val="{0000000C-AB31-438D-B8AC-769884BCE8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39-4129-A6D4-87FADFFF6B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2B39-4129-A6D4-87FADFFF6B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layout>
                <c:manualLayout>
                  <c:x val="0.20021328971994132"/>
                  <c:y val="-4.1589151356080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C2E-4208-A0E0-FA572600B0B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C2E-4208-A0E0-FA572600B0BD}"/>
                </c:ext>
              </c:extLst>
            </c:dLbl>
            <c:dLbl>
              <c:idx val="2"/>
              <c:layout>
                <c:manualLayout>
                  <c:x val="-0.37152110135055388"/>
                  <c:y val="1.86253718285214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C2E-4208-A0E0-FA572600B0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-8.25E-4</c:v>
                </c:pt>
                <c:pt idx="1">
                  <c:v>9.4799999999999995E-4</c:v>
                </c:pt>
                <c:pt idx="2">
                  <c:v>0.99987700000000002</c:v>
                </c:pt>
              </c:numCache>
            </c:numRef>
          </c:val>
          <c:extLst>
            <c:ext xmlns:c16="http://schemas.microsoft.com/office/drawing/2014/chart" uri="{C3380CC4-5D6E-409C-BE32-E72D297353CC}">
              <c16:uniqueId val="{0000000C-8C2E-4208-A0E0-FA572600B0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75B8-4870-B6F6-ECB3B9220855}"/>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5B8-4870-B6F6-ECB3B9220855}"/>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5B8-4870-B6F6-ECB3B9220855}"/>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5B8-4870-B6F6-ECB3B9220855}"/>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0.94978300000000004</c:v>
                </c:pt>
                <c:pt idx="1">
                  <c:v>-1.9233E-2</c:v>
                </c:pt>
                <c:pt idx="2">
                  <c:v>6.9449999999999998E-2</c:v>
                </c:pt>
              </c:numCache>
            </c:numRef>
          </c:val>
          <c:extLst>
            <c:ext xmlns:c16="http://schemas.microsoft.com/office/drawing/2014/chart" uri="{C3380CC4-5D6E-409C-BE32-E72D297353CC}">
              <c16:uniqueId val="{00000004-75B8-4870-B6F6-ECB3B9220855}"/>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7C87AE4-C2FF-4708-BBF8-EAE34BB23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D5C98FF-F0D8-47CE-BA28-38C16AAA0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D9CFE4D-3B0A-429B-B725-B7C055122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FE121F00-F86D-431E-B943-70FD3A519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714A16B-ACFB-4393-B6D3-E6018DF55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1D51CEC-87D3-4746-B8FB-21E94B4CE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45F0999-AD39-45E1-AFE9-0311FAB53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A34AEB3-3D3F-4725-8783-425CBA050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3322793-2A10-48AC-8E81-5915EC3DD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E258A678-4E29-4B8E-B358-E9A78068D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A9E28EE-D8F9-473A-B4DC-0BC39243B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26</xdr:row>
      <xdr:rowOff>38100</xdr:rowOff>
    </xdr:from>
    <xdr:to>
      <xdr:col>13</xdr:col>
      <xdr:colOff>469900</xdr:colOff>
      <xdr:row>41</xdr:row>
      <xdr:rowOff>38100</xdr:rowOff>
    </xdr:to>
    <xdr:graphicFrame macro="">
      <xdr:nvGraphicFramePr>
        <xdr:cNvPr id="3" name="Chart 2">
          <a:extLst>
            <a:ext uri="{FF2B5EF4-FFF2-40B4-BE49-F238E27FC236}">
              <a16:creationId xmlns:a16="http://schemas.microsoft.com/office/drawing/2014/main" id="{2D5CF88D-AEEA-42DC-8E69-28A4BC16A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AFFE5FD-DE23-4775-B77D-5B14616D5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6D83A69-D1EA-42B4-96E4-4FAE65F5E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EA8F2DE-BF88-4B4A-8EF1-A07BF014A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EB33EAB4-DB5E-43DC-9F6C-5002ABEC3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172E4D4-1F9A-4FB2-8B1F-4E41105AF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79800D-5B55-4826-AAB0-CA7E4DA7E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A5D3410-441A-4F99-AA5D-6CC4F2A2F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9626B583-A515-40DE-844A-52237D94C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596900</xdr:colOff>
      <xdr:row>7</xdr:row>
      <xdr:rowOff>25401</xdr:rowOff>
    </xdr:from>
    <xdr:to>
      <xdr:col>13</xdr:col>
      <xdr:colOff>533400</xdr:colOff>
      <xdr:row>22</xdr:row>
      <xdr:rowOff>25401</xdr:rowOff>
    </xdr:to>
    <xdr:graphicFrame macro="">
      <xdr:nvGraphicFramePr>
        <xdr:cNvPr id="2" name="Chart 1">
          <a:extLst>
            <a:ext uri="{FF2B5EF4-FFF2-40B4-BE49-F238E27FC236}">
              <a16:creationId xmlns:a16="http://schemas.microsoft.com/office/drawing/2014/main" id="{05B4F940-8092-4BD6-9C98-BA51AE236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27B08E40-975E-42D3-8157-F8FDF2E07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6010395A-6F1B-4BD7-904C-1B373370E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64F9C6F8-6CB8-451A-934E-3459FA246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25400</xdr:colOff>
      <xdr:row>7</xdr:row>
      <xdr:rowOff>12701</xdr:rowOff>
    </xdr:from>
    <xdr:to>
      <xdr:col>13</xdr:col>
      <xdr:colOff>571500</xdr:colOff>
      <xdr:row>22</xdr:row>
      <xdr:rowOff>12701</xdr:rowOff>
    </xdr:to>
    <xdr:graphicFrame macro="">
      <xdr:nvGraphicFramePr>
        <xdr:cNvPr id="2" name="Chart 1">
          <a:extLst>
            <a:ext uri="{FF2B5EF4-FFF2-40B4-BE49-F238E27FC236}">
              <a16:creationId xmlns:a16="http://schemas.microsoft.com/office/drawing/2014/main" id="{902C37EA-27F6-478D-A085-DA07FAB6F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708602F-0C0F-4B54-8C9D-A66377903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26B96F3-A02F-4B4B-AC06-BF3FE2895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4E6D3B99-B00A-4215-A6E7-3BD586163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8DE2849-B0B9-4458-98B5-C1CF7173D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5892CB7-1674-443E-9F21-25B3CDA79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F9290E1-2BAA-4891-B0E9-2F81662FF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99B7C4D-0106-429F-9C8E-9313B818B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B537C08-B820-4338-9053-E5419953C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040F616-19D7-41B8-A0FF-D015918F6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16278D2-B68B-4C2B-A9EF-9E051AF25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B39ED7A-B62A-425D-B704-F2F678EAB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F199C04-6E8A-4160-A5F2-6634FE31F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F7DE9C4-159B-44CD-809C-CD7ED8B74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A8EBF7D-E127-4C76-851B-70FC86C0E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73CED9F-890D-4F5D-A5CF-F921FAF00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0A4080D-3247-471A-93AF-63D8D22F6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1491848-1B59-4DA9-B6A0-A29A2F757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A60517A-C8A5-4C83-8524-888FA3AB0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B7C56B5-D23F-4E86-8519-E54CA620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BF55676-831E-47C0-822E-BF5EB5D1A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83C0ECB-19E2-434D-8482-209BD9CBF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07CC9D7-CA8F-4710-8BB2-3A6FCF9A9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07FC94-8F2C-4E78-ADE6-1DFA06172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984DFA94-D482-495A-9D8E-94B1F2A49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857D-C54D-4361-BBBA-92FFCE53A217}">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174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175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8</v>
      </c>
      <c r="D8" s="6"/>
      <c r="E8" s="11">
        <v>0.70556300000000005</v>
      </c>
      <c r="F8" s="1"/>
      <c r="G8" s="24" t="s">
        <v>15</v>
      </c>
      <c r="H8" s="25">
        <v>1</v>
      </c>
      <c r="I8" s="1"/>
      <c r="J8" s="24" t="s">
        <v>12</v>
      </c>
      <c r="K8" s="24" t="s">
        <v>5</v>
      </c>
      <c r="L8" s="1"/>
      <c r="M8" s="1"/>
      <c r="N8" s="18"/>
    </row>
    <row r="9" spans="2:14" ht="15.75" customHeight="1" x14ac:dyDescent="0.25">
      <c r="B9" s="20"/>
      <c r="C9" s="7" t="s">
        <v>176</v>
      </c>
      <c r="D9" s="8"/>
      <c r="E9" s="12">
        <v>0.70556300000000005</v>
      </c>
      <c r="F9" s="1"/>
      <c r="G9" s="1"/>
      <c r="H9" s="1"/>
      <c r="I9" s="1"/>
      <c r="J9" s="24" t="s">
        <v>10</v>
      </c>
      <c r="K9" s="29">
        <v>2.0339999999999998E-3</v>
      </c>
      <c r="L9" s="1"/>
      <c r="M9" s="1"/>
      <c r="N9" s="18"/>
    </row>
    <row r="10" spans="2:14" ht="15" customHeight="1" x14ac:dyDescent="0.25">
      <c r="B10" s="20"/>
      <c r="C10" s="5" t="s">
        <v>177</v>
      </c>
      <c r="D10" s="6" t="s">
        <v>189</v>
      </c>
      <c r="E10" s="11">
        <v>3.635E-2</v>
      </c>
      <c r="F10" s="1"/>
      <c r="G10" s="1"/>
      <c r="H10" s="1"/>
      <c r="I10" s="1"/>
      <c r="J10" s="24" t="s">
        <v>13</v>
      </c>
      <c r="K10" s="29">
        <v>0.20150999999999999</v>
      </c>
      <c r="L10" s="1"/>
      <c r="M10" s="1"/>
      <c r="N10" s="18"/>
    </row>
    <row r="11" spans="2:14" ht="15" customHeight="1" x14ac:dyDescent="0.25">
      <c r="B11" s="20"/>
      <c r="C11" s="5" t="s">
        <v>178</v>
      </c>
      <c r="D11" s="6" t="s">
        <v>189</v>
      </c>
      <c r="E11" s="11">
        <v>2.2748000000000001E-2</v>
      </c>
      <c r="F11" s="1"/>
      <c r="G11" s="1"/>
      <c r="H11" s="1"/>
      <c r="I11" s="1"/>
      <c r="J11" s="24" t="s">
        <v>183</v>
      </c>
      <c r="K11" s="29">
        <v>0.70556300000000005</v>
      </c>
      <c r="L11" s="1"/>
      <c r="M11" s="1"/>
      <c r="N11" s="18"/>
    </row>
    <row r="12" spans="2:14" ht="15" customHeight="1" x14ac:dyDescent="0.25">
      <c r="B12" s="20"/>
      <c r="C12" s="5" t="s">
        <v>179</v>
      </c>
      <c r="D12" s="6" t="s">
        <v>189</v>
      </c>
      <c r="E12" s="11">
        <v>1.3649E-2</v>
      </c>
      <c r="F12" s="1"/>
      <c r="G12" s="1"/>
      <c r="H12" s="1"/>
      <c r="I12" s="1"/>
      <c r="J12" s="24" t="s">
        <v>155</v>
      </c>
      <c r="K12" s="29">
        <v>9.0893000000000002E-2</v>
      </c>
      <c r="L12" s="1"/>
      <c r="M12" s="1"/>
      <c r="N12" s="18"/>
    </row>
    <row r="13" spans="2:14" ht="15" customHeight="1" x14ac:dyDescent="0.25">
      <c r="B13" s="20"/>
      <c r="C13" s="5" t="s">
        <v>180</v>
      </c>
      <c r="D13" s="6" t="s">
        <v>189</v>
      </c>
      <c r="E13" s="11">
        <v>9.0760000000000007E-3</v>
      </c>
      <c r="F13" s="1"/>
      <c r="G13" s="1"/>
      <c r="H13" s="1"/>
      <c r="I13" s="1"/>
      <c r="J13" s="1"/>
      <c r="K13" s="1"/>
      <c r="L13" s="1"/>
      <c r="M13" s="1"/>
      <c r="N13" s="18"/>
    </row>
    <row r="14" spans="2:14" ht="15" customHeight="1" x14ac:dyDescent="0.25">
      <c r="B14" s="20"/>
      <c r="C14" s="5" t="s">
        <v>181</v>
      </c>
      <c r="D14" s="6" t="s">
        <v>189</v>
      </c>
      <c r="E14" s="11">
        <v>4.5380000000000004E-3</v>
      </c>
      <c r="F14" s="1"/>
      <c r="G14" s="1"/>
      <c r="H14" s="1"/>
      <c r="I14" s="1"/>
      <c r="J14" s="1"/>
      <c r="K14" s="1"/>
      <c r="L14" s="1"/>
      <c r="M14" s="1"/>
      <c r="N14" s="18"/>
    </row>
    <row r="15" spans="2:14" ht="15" customHeight="1" x14ac:dyDescent="0.25">
      <c r="B15" s="20"/>
      <c r="C15" s="5" t="s">
        <v>182</v>
      </c>
      <c r="D15" s="6" t="s">
        <v>189</v>
      </c>
      <c r="E15" s="11">
        <v>4.5319999999999996E-3</v>
      </c>
      <c r="F15" s="1"/>
      <c r="G15" s="1"/>
      <c r="H15" s="1"/>
      <c r="I15" s="1"/>
      <c r="J15" s="1"/>
      <c r="K15" s="1"/>
      <c r="L15" s="1"/>
      <c r="M15" s="1"/>
      <c r="N15" s="18"/>
    </row>
    <row r="16" spans="2:14" ht="15.75" customHeight="1" x14ac:dyDescent="0.25">
      <c r="B16" s="20"/>
      <c r="C16" s="7" t="s">
        <v>154</v>
      </c>
      <c r="D16" s="8"/>
      <c r="E16" s="12">
        <v>9.0893000000000002E-2</v>
      </c>
      <c r="F16" s="1"/>
      <c r="G16" s="1"/>
      <c r="H16" s="1"/>
      <c r="I16" s="1"/>
      <c r="J16" s="1"/>
      <c r="K16" s="1"/>
      <c r="L16" s="1"/>
      <c r="M16" s="1"/>
      <c r="N16" s="18"/>
    </row>
    <row r="17" spans="2:14" ht="15" customHeight="1" x14ac:dyDescent="0.25">
      <c r="B17" s="20"/>
      <c r="C17" s="5" t="s">
        <v>8</v>
      </c>
      <c r="D17" s="6"/>
      <c r="E17" s="11">
        <v>0.20150999999999999</v>
      </c>
      <c r="F17" s="1"/>
      <c r="G17" s="1"/>
      <c r="H17" s="1"/>
      <c r="I17" s="1"/>
      <c r="J17" s="1"/>
      <c r="K17" s="1"/>
      <c r="L17" s="1"/>
      <c r="M17" s="1"/>
      <c r="N17" s="18"/>
    </row>
    <row r="18" spans="2:14" ht="15.75" customHeight="1" x14ac:dyDescent="0.25">
      <c r="B18" s="20"/>
      <c r="C18" s="7" t="s">
        <v>9</v>
      </c>
      <c r="D18" s="8"/>
      <c r="E18" s="12">
        <v>0.20150999999999999</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75" customHeight="1" x14ac:dyDescent="0.25">
      <c r="B20" s="20"/>
      <c r="C20" s="7" t="s">
        <v>10</v>
      </c>
      <c r="D20" s="8"/>
      <c r="E20" s="12">
        <v>2.0339999999999998E-3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9" t="s">
        <v>11</v>
      </c>
      <c r="D22" s="10"/>
      <c r="E22" s="13">
        <v>1</v>
      </c>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123</v>
      </c>
      <c r="H24" s="86"/>
      <c r="I24" s="86"/>
      <c r="J24" s="86"/>
      <c r="K24" s="86"/>
      <c r="L24" s="67">
        <v>2.7190396992923693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269</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ht="15.75" thickBot="1" x14ac:dyDescent="0.3">
      <c r="B47" s="74"/>
      <c r="C47" s="75"/>
      <c r="D47" s="75"/>
      <c r="E47" s="75"/>
      <c r="F47" s="75"/>
      <c r="G47" s="75"/>
      <c r="H47" s="75"/>
      <c r="I47" s="75"/>
      <c r="J47" s="75"/>
      <c r="K47" s="75"/>
      <c r="L47" s="75"/>
      <c r="M47" s="75"/>
      <c r="N47" s="76"/>
    </row>
    <row r="48" spans="2:14" ht="15.75" thickBot="1" x14ac:dyDescent="0.3"/>
    <row r="49" spans="2:14" ht="120" customHeight="1" thickBot="1" x14ac:dyDescent="0.3">
      <c r="B49" s="77" t="s">
        <v>275</v>
      </c>
      <c r="C49" s="78"/>
      <c r="D49" s="78"/>
      <c r="E49" s="78"/>
      <c r="F49" s="78"/>
      <c r="G49" s="78"/>
      <c r="H49" s="78"/>
      <c r="I49" s="78"/>
      <c r="J49" s="78"/>
      <c r="K49" s="78"/>
      <c r="L49" s="78"/>
      <c r="M49" s="78"/>
      <c r="N49" s="79"/>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B5C7-8B2E-4AE1-9EE0-7D57D0F63086}">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137</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139</v>
      </c>
      <c r="D8" s="6" t="s">
        <v>22</v>
      </c>
      <c r="E8" s="11">
        <v>0.13006200000000001</v>
      </c>
      <c r="F8" s="1"/>
      <c r="G8" s="24" t="s">
        <v>15</v>
      </c>
      <c r="H8" s="25">
        <v>1</v>
      </c>
      <c r="I8" s="1"/>
      <c r="J8" s="24" t="s">
        <v>12</v>
      </c>
      <c r="K8" s="24" t="s">
        <v>5</v>
      </c>
      <c r="L8" s="1"/>
      <c r="M8" s="1"/>
      <c r="N8" s="18"/>
    </row>
    <row r="9" spans="2:14" ht="15" customHeight="1" x14ac:dyDescent="0.25">
      <c r="B9" s="20"/>
      <c r="C9" s="5" t="s">
        <v>27</v>
      </c>
      <c r="D9" s="6" t="s">
        <v>22</v>
      </c>
      <c r="E9" s="11">
        <v>3.7731000000000001E-2</v>
      </c>
      <c r="F9" s="1"/>
      <c r="G9" s="1"/>
      <c r="H9" s="1"/>
      <c r="I9" s="1"/>
      <c r="J9" s="24" t="s">
        <v>10</v>
      </c>
      <c r="K9" s="29">
        <v>-0.238035</v>
      </c>
      <c r="L9" s="1"/>
      <c r="M9" s="1"/>
      <c r="N9" s="18"/>
    </row>
    <row r="10" spans="2:14" ht="15" customHeight="1" x14ac:dyDescent="0.25">
      <c r="B10" s="20"/>
      <c r="C10" s="5" t="s">
        <v>21</v>
      </c>
      <c r="D10" s="6" t="s">
        <v>22</v>
      </c>
      <c r="E10" s="11">
        <v>3.5596000000000003E-2</v>
      </c>
      <c r="F10" s="1"/>
      <c r="G10" s="1"/>
      <c r="H10" s="1"/>
      <c r="I10" s="1"/>
      <c r="J10" s="24" t="s">
        <v>13</v>
      </c>
      <c r="K10" s="29">
        <v>4.7996999999999998E-2</v>
      </c>
      <c r="L10" s="1"/>
      <c r="M10" s="1"/>
      <c r="N10" s="18"/>
    </row>
    <row r="11" spans="2:14" ht="15" customHeight="1" x14ac:dyDescent="0.25">
      <c r="B11" s="20"/>
      <c r="C11" s="5" t="s">
        <v>140</v>
      </c>
      <c r="D11" s="6" t="s">
        <v>22</v>
      </c>
      <c r="E11" s="11">
        <v>2.3710999999999999E-2</v>
      </c>
      <c r="F11" s="1"/>
      <c r="G11" s="1"/>
      <c r="H11" s="1"/>
      <c r="I11" s="1"/>
      <c r="J11" s="24" t="s">
        <v>53</v>
      </c>
      <c r="K11" s="29">
        <v>0.238894</v>
      </c>
      <c r="L11" s="1"/>
      <c r="M11" s="1"/>
      <c r="N11" s="18"/>
    </row>
    <row r="12" spans="2:14" ht="15" customHeight="1" x14ac:dyDescent="0.25">
      <c r="B12" s="20"/>
      <c r="C12" s="5" t="s">
        <v>131</v>
      </c>
      <c r="D12" s="6" t="s">
        <v>22</v>
      </c>
      <c r="E12" s="11">
        <v>1.1794000000000001E-2</v>
      </c>
      <c r="F12" s="1"/>
      <c r="G12" s="1"/>
      <c r="H12" s="1"/>
      <c r="I12" s="1"/>
      <c r="J12" s="24" t="s">
        <v>54</v>
      </c>
      <c r="K12" s="29">
        <v>2.486E-2</v>
      </c>
      <c r="L12" s="1"/>
      <c r="M12" s="1"/>
      <c r="N12" s="18"/>
    </row>
    <row r="13" spans="2:14" ht="15.75" customHeight="1" x14ac:dyDescent="0.25">
      <c r="B13" s="20"/>
      <c r="C13" s="7" t="s">
        <v>26</v>
      </c>
      <c r="D13" s="8"/>
      <c r="E13" s="12">
        <v>0.238894</v>
      </c>
      <c r="F13" s="1"/>
      <c r="G13" s="1"/>
      <c r="H13" s="1"/>
      <c r="I13" s="1"/>
      <c r="J13" s="24" t="s">
        <v>79</v>
      </c>
      <c r="K13" s="29">
        <v>0.67242500000000005</v>
      </c>
      <c r="L13" s="1"/>
      <c r="M13" s="1"/>
      <c r="N13" s="18"/>
    </row>
    <row r="14" spans="2:14" ht="15" customHeight="1" x14ac:dyDescent="0.25">
      <c r="B14" s="20"/>
      <c r="C14" s="5" t="s">
        <v>29</v>
      </c>
      <c r="D14" s="6" t="s">
        <v>22</v>
      </c>
      <c r="E14" s="11">
        <v>0.104064</v>
      </c>
      <c r="F14" s="1"/>
      <c r="G14" s="1"/>
      <c r="H14" s="1"/>
      <c r="I14" s="1"/>
      <c r="J14" s="24" t="s">
        <v>44</v>
      </c>
      <c r="K14" s="29">
        <v>2.722E-3</v>
      </c>
      <c r="L14" s="1"/>
      <c r="M14" s="1"/>
      <c r="N14" s="18"/>
    </row>
    <row r="15" spans="2:14" ht="15" customHeight="1" x14ac:dyDescent="0.25">
      <c r="B15" s="20"/>
      <c r="C15" s="5" t="s">
        <v>25</v>
      </c>
      <c r="D15" s="6" t="s">
        <v>22</v>
      </c>
      <c r="E15" s="11">
        <v>9.4473000000000001E-2</v>
      </c>
      <c r="F15" s="1"/>
      <c r="G15" s="1"/>
      <c r="H15" s="1"/>
      <c r="I15" s="1"/>
      <c r="J15" s="24" t="s">
        <v>155</v>
      </c>
      <c r="K15" s="29">
        <v>0.251137</v>
      </c>
      <c r="L15" s="1"/>
      <c r="M15" s="1"/>
      <c r="N15" s="18"/>
    </row>
    <row r="16" spans="2:14" ht="15" customHeight="1" x14ac:dyDescent="0.25">
      <c r="B16" s="20"/>
      <c r="C16" s="5" t="s">
        <v>40</v>
      </c>
      <c r="D16" s="6" t="s">
        <v>22</v>
      </c>
      <c r="E16" s="11">
        <v>9.2283000000000004E-2</v>
      </c>
      <c r="F16" s="1"/>
      <c r="G16" s="1"/>
      <c r="H16" s="1"/>
      <c r="I16" s="1"/>
      <c r="J16" s="1"/>
      <c r="K16" s="1"/>
      <c r="L16" s="1"/>
      <c r="M16" s="1"/>
      <c r="N16" s="18"/>
    </row>
    <row r="17" spans="2:14" ht="15" customHeight="1" x14ac:dyDescent="0.25">
      <c r="B17" s="20"/>
      <c r="C17" s="5" t="s">
        <v>74</v>
      </c>
      <c r="D17" s="6" t="s">
        <v>22</v>
      </c>
      <c r="E17" s="11">
        <v>8.2822999999999994E-2</v>
      </c>
      <c r="F17" s="1"/>
      <c r="G17" s="1"/>
      <c r="H17" s="1"/>
      <c r="I17" s="1"/>
      <c r="J17" s="1"/>
      <c r="K17" s="1"/>
      <c r="L17" s="1"/>
      <c r="M17" s="1"/>
      <c r="N17" s="18"/>
    </row>
    <row r="18" spans="2:14" ht="15" customHeight="1" x14ac:dyDescent="0.25">
      <c r="B18" s="20"/>
      <c r="C18" s="5" t="s">
        <v>141</v>
      </c>
      <c r="D18" s="6" t="s">
        <v>22</v>
      </c>
      <c r="E18" s="11">
        <v>7.1139999999999995E-2</v>
      </c>
      <c r="F18" s="1"/>
      <c r="G18" s="1"/>
      <c r="H18" s="1"/>
      <c r="I18" s="1"/>
      <c r="J18" s="1"/>
      <c r="K18" s="1"/>
      <c r="L18" s="1"/>
      <c r="M18" s="1"/>
      <c r="N18" s="18"/>
    </row>
    <row r="19" spans="2:14" ht="15" customHeight="1" x14ac:dyDescent="0.25">
      <c r="B19" s="20"/>
      <c r="C19" s="5" t="s">
        <v>142</v>
      </c>
      <c r="D19" s="6" t="s">
        <v>22</v>
      </c>
      <c r="E19" s="11">
        <v>4.7482000000000003E-2</v>
      </c>
      <c r="F19" s="1"/>
      <c r="G19" s="1"/>
      <c r="H19" s="1"/>
      <c r="I19" s="1"/>
      <c r="J19" s="1"/>
      <c r="K19" s="1"/>
      <c r="L19" s="1"/>
      <c r="M19" s="1"/>
      <c r="N19" s="18"/>
    </row>
    <row r="20" spans="2:14" ht="15" customHeight="1" x14ac:dyDescent="0.25">
      <c r="B20" s="20"/>
      <c r="C20" s="5" t="s">
        <v>143</v>
      </c>
      <c r="D20" s="6" t="s">
        <v>22</v>
      </c>
      <c r="E20" s="11">
        <v>3.8032999999999997E-2</v>
      </c>
      <c r="F20" s="1"/>
      <c r="G20" s="1"/>
      <c r="H20" s="1"/>
      <c r="I20" s="1"/>
      <c r="J20" s="1"/>
      <c r="K20" s="1"/>
      <c r="L20" s="1"/>
      <c r="M20" s="1"/>
      <c r="N20" s="18"/>
    </row>
    <row r="21" spans="2:14" ht="15" customHeight="1" x14ac:dyDescent="0.25">
      <c r="B21" s="20"/>
      <c r="C21" s="5" t="s">
        <v>32</v>
      </c>
      <c r="D21" s="6" t="s">
        <v>22</v>
      </c>
      <c r="E21" s="11">
        <v>2.3720999999999999E-2</v>
      </c>
      <c r="F21" s="1"/>
      <c r="G21" s="1"/>
      <c r="H21" s="1"/>
      <c r="I21" s="1"/>
      <c r="J21" s="1"/>
      <c r="K21" s="1"/>
      <c r="L21" s="1"/>
      <c r="M21" s="1"/>
      <c r="N21" s="18"/>
    </row>
    <row r="22" spans="2:14" ht="15" customHeight="1" x14ac:dyDescent="0.25">
      <c r="B22" s="20"/>
      <c r="C22" s="5" t="s">
        <v>27</v>
      </c>
      <c r="D22" s="6" t="s">
        <v>22</v>
      </c>
      <c r="E22" s="11">
        <v>2.3661999999999999E-2</v>
      </c>
      <c r="F22" s="1"/>
      <c r="G22" s="1"/>
      <c r="H22" s="1"/>
      <c r="I22" s="1"/>
      <c r="J22" s="1"/>
      <c r="K22" s="1"/>
      <c r="L22" s="1"/>
      <c r="M22" s="1"/>
      <c r="N22" s="18"/>
    </row>
    <row r="23" spans="2:14" ht="15" customHeight="1" x14ac:dyDescent="0.25">
      <c r="B23" s="20"/>
      <c r="C23" s="5" t="s">
        <v>144</v>
      </c>
      <c r="D23" s="6" t="s">
        <v>22</v>
      </c>
      <c r="E23" s="11">
        <v>2.1264000000000002E-2</v>
      </c>
      <c r="F23" s="1"/>
      <c r="G23" s="1"/>
      <c r="H23" s="1"/>
      <c r="I23" s="1"/>
      <c r="J23" s="1"/>
      <c r="K23" s="1"/>
      <c r="L23" s="1"/>
      <c r="M23" s="1"/>
      <c r="N23" s="18"/>
    </row>
    <row r="24" spans="2:14" ht="15" customHeight="1" x14ac:dyDescent="0.25">
      <c r="B24" s="20"/>
      <c r="C24" s="5" t="s">
        <v>145</v>
      </c>
      <c r="D24" s="6" t="s">
        <v>22</v>
      </c>
      <c r="E24" s="11">
        <v>2.1255E-2</v>
      </c>
      <c r="F24" s="1"/>
      <c r="G24" s="85" t="s">
        <v>123</v>
      </c>
      <c r="H24" s="86"/>
      <c r="I24" s="86"/>
      <c r="J24" s="86"/>
      <c r="K24" s="86"/>
      <c r="L24" s="67">
        <v>65.42320850873314</v>
      </c>
      <c r="M24" s="27"/>
      <c r="N24" s="28"/>
    </row>
    <row r="25" spans="2:14" ht="15" customHeight="1" x14ac:dyDescent="0.25">
      <c r="B25" s="20"/>
      <c r="C25" s="5" t="s">
        <v>146</v>
      </c>
      <c r="D25" s="6" t="s">
        <v>22</v>
      </c>
      <c r="E25" s="11">
        <v>1.9078999999999999E-2</v>
      </c>
      <c r="F25" s="1"/>
      <c r="G25" s="1"/>
      <c r="H25" s="1"/>
      <c r="I25" s="1"/>
      <c r="J25" s="1"/>
      <c r="K25" s="1"/>
      <c r="L25" s="1"/>
      <c r="M25" s="1"/>
      <c r="N25" s="18"/>
    </row>
    <row r="26" spans="2:14" ht="15" customHeight="1" x14ac:dyDescent="0.25">
      <c r="B26" s="20"/>
      <c r="C26" s="5" t="s">
        <v>147</v>
      </c>
      <c r="D26" s="6" t="s">
        <v>22</v>
      </c>
      <c r="E26" s="11">
        <v>1.6621E-2</v>
      </c>
      <c r="F26" s="1"/>
      <c r="G26" s="85" t="s">
        <v>18</v>
      </c>
      <c r="H26" s="86"/>
      <c r="I26" s="86"/>
      <c r="J26" s="86"/>
      <c r="K26" s="86"/>
      <c r="L26" s="86"/>
      <c r="M26" s="86"/>
      <c r="N26" s="87"/>
    </row>
    <row r="27" spans="2:14" ht="15" customHeight="1" x14ac:dyDescent="0.25">
      <c r="B27" s="20"/>
      <c r="C27" s="5" t="s">
        <v>75</v>
      </c>
      <c r="D27" s="6" t="s">
        <v>22</v>
      </c>
      <c r="E27" s="11">
        <v>1.1797999999999999E-2</v>
      </c>
      <c r="F27" s="1"/>
      <c r="G27" s="1"/>
      <c r="H27" s="1"/>
      <c r="I27" s="1"/>
      <c r="J27" s="1"/>
      <c r="K27" s="1"/>
      <c r="L27" s="1"/>
      <c r="M27" s="1"/>
      <c r="N27" s="18"/>
    </row>
    <row r="28" spans="2:14" ht="15" customHeight="1" x14ac:dyDescent="0.25">
      <c r="B28" s="20"/>
      <c r="C28" s="5" t="s">
        <v>148</v>
      </c>
      <c r="D28" s="6" t="s">
        <v>22</v>
      </c>
      <c r="E28" s="11">
        <v>4.7270000000000003E-3</v>
      </c>
      <c r="F28" s="1"/>
      <c r="G28" s="1"/>
      <c r="H28" s="1"/>
      <c r="I28" s="1"/>
      <c r="J28" s="1"/>
      <c r="K28" s="1"/>
      <c r="L28" s="1"/>
      <c r="M28" s="1"/>
      <c r="N28" s="18"/>
    </row>
    <row r="29" spans="2:14" ht="15.75" customHeight="1" x14ac:dyDescent="0.25">
      <c r="B29" s="20"/>
      <c r="C29" s="7" t="s">
        <v>73</v>
      </c>
      <c r="D29" s="8"/>
      <c r="E29" s="12">
        <v>0.67242500000000005</v>
      </c>
      <c r="F29" s="1"/>
      <c r="G29" s="1"/>
      <c r="H29" s="1"/>
      <c r="I29" s="1"/>
      <c r="J29" s="1"/>
      <c r="K29" s="1"/>
      <c r="L29" s="1"/>
      <c r="M29" s="1"/>
      <c r="N29" s="18"/>
    </row>
    <row r="30" spans="2:14" ht="15" customHeight="1" x14ac:dyDescent="0.25">
      <c r="B30" s="20"/>
      <c r="C30" s="5" t="s">
        <v>29</v>
      </c>
      <c r="D30" s="6" t="s">
        <v>28</v>
      </c>
      <c r="E30" s="11">
        <v>1.7698999999999999E-2</v>
      </c>
      <c r="F30" s="1"/>
      <c r="G30" s="1"/>
      <c r="H30" s="1"/>
      <c r="I30" s="1"/>
      <c r="J30" s="1"/>
      <c r="K30" s="1"/>
      <c r="L30" s="1"/>
      <c r="M30" s="1"/>
      <c r="N30" s="18"/>
    </row>
    <row r="31" spans="2:14" ht="15" customHeight="1" x14ac:dyDescent="0.25">
      <c r="B31" s="20"/>
      <c r="C31" s="5" t="s">
        <v>74</v>
      </c>
      <c r="D31" s="6" t="s">
        <v>28</v>
      </c>
      <c r="E31" s="11">
        <v>7.1609999999999998E-3</v>
      </c>
      <c r="F31" s="1"/>
      <c r="G31" s="1"/>
      <c r="H31" s="1"/>
      <c r="I31" s="1"/>
      <c r="J31" s="1"/>
      <c r="K31" s="1"/>
      <c r="L31" s="1"/>
      <c r="M31" s="1"/>
      <c r="N31" s="18"/>
    </row>
    <row r="32" spans="2:14" ht="15.75" customHeight="1" x14ac:dyDescent="0.25">
      <c r="B32" s="20"/>
      <c r="C32" s="7" t="s">
        <v>43</v>
      </c>
      <c r="D32" s="8"/>
      <c r="E32" s="12">
        <v>2.486E-2</v>
      </c>
      <c r="F32" s="1"/>
      <c r="G32" s="1"/>
      <c r="H32" s="1"/>
      <c r="I32" s="1"/>
      <c r="J32" s="1"/>
      <c r="K32" s="1"/>
      <c r="L32" s="1"/>
      <c r="M32" s="1"/>
      <c r="N32" s="18"/>
    </row>
    <row r="33" spans="2:14" ht="15" customHeight="1" x14ac:dyDescent="0.25">
      <c r="B33" s="20"/>
      <c r="C33" s="5" t="s">
        <v>44</v>
      </c>
      <c r="D33" s="6"/>
      <c r="E33" s="11">
        <v>2.722E-3</v>
      </c>
      <c r="F33" s="1"/>
      <c r="G33" s="1"/>
      <c r="H33" s="1"/>
      <c r="I33" s="1"/>
      <c r="J33" s="1"/>
      <c r="K33" s="1"/>
      <c r="L33" s="1"/>
      <c r="M33" s="1"/>
      <c r="N33" s="18"/>
    </row>
    <row r="34" spans="2:14" ht="15.75" customHeight="1" x14ac:dyDescent="0.25">
      <c r="B34" s="20"/>
      <c r="C34" s="7" t="s">
        <v>45</v>
      </c>
      <c r="D34" s="8"/>
      <c r="E34" s="12">
        <v>2.722E-3</v>
      </c>
      <c r="F34" s="1"/>
      <c r="G34" s="1"/>
      <c r="H34" s="1"/>
      <c r="I34" s="1"/>
      <c r="J34" s="1"/>
      <c r="K34" s="1"/>
      <c r="L34" s="1"/>
      <c r="M34" s="1"/>
      <c r="N34" s="18"/>
    </row>
    <row r="35" spans="2:14" ht="15" customHeight="1" x14ac:dyDescent="0.25">
      <c r="B35" s="20"/>
      <c r="C35" s="5" t="s">
        <v>149</v>
      </c>
      <c r="D35" s="6" t="s">
        <v>189</v>
      </c>
      <c r="E35" s="11">
        <v>9.4571000000000002E-2</v>
      </c>
      <c r="F35" s="1"/>
      <c r="G35" s="1"/>
      <c r="H35" s="1"/>
      <c r="I35" s="1"/>
      <c r="J35" s="1"/>
      <c r="K35" s="1"/>
      <c r="L35" s="1"/>
      <c r="M35" s="1"/>
      <c r="N35" s="18"/>
    </row>
    <row r="36" spans="2:14" ht="15" customHeight="1" x14ac:dyDescent="0.25">
      <c r="B36" s="20"/>
      <c r="C36" s="5" t="s">
        <v>150</v>
      </c>
      <c r="D36" s="6" t="s">
        <v>189</v>
      </c>
      <c r="E36" s="11">
        <v>9.0329999999999994E-2</v>
      </c>
      <c r="F36" s="1"/>
      <c r="G36" s="1"/>
      <c r="H36" s="1"/>
      <c r="I36" s="1"/>
      <c r="J36" s="1"/>
      <c r="K36" s="1"/>
      <c r="L36" s="1"/>
      <c r="M36" s="1"/>
      <c r="N36" s="18"/>
    </row>
    <row r="37" spans="2:14" ht="15" customHeight="1" x14ac:dyDescent="0.25">
      <c r="B37" s="20"/>
      <c r="C37" s="5" t="s">
        <v>151</v>
      </c>
      <c r="D37" s="6" t="s">
        <v>189</v>
      </c>
      <c r="E37" s="11">
        <v>2.3709999999999998E-2</v>
      </c>
      <c r="F37" s="1"/>
      <c r="G37" s="1"/>
      <c r="H37" s="1"/>
      <c r="I37" s="1"/>
      <c r="J37" s="1"/>
      <c r="K37" s="1"/>
      <c r="L37" s="1"/>
      <c r="M37" s="1"/>
      <c r="N37" s="18"/>
    </row>
    <row r="38" spans="2:14" ht="15" customHeight="1" x14ac:dyDescent="0.25">
      <c r="B38" s="20"/>
      <c r="C38" s="5" t="s">
        <v>152</v>
      </c>
      <c r="D38" s="6" t="s">
        <v>189</v>
      </c>
      <c r="E38" s="11">
        <v>2.3612000000000001E-2</v>
      </c>
      <c r="F38" s="1"/>
      <c r="G38" s="1"/>
      <c r="H38" s="1"/>
      <c r="I38" s="1"/>
      <c r="J38" s="1"/>
      <c r="K38" s="1"/>
      <c r="L38" s="1"/>
      <c r="M38" s="1"/>
      <c r="N38" s="18"/>
    </row>
    <row r="39" spans="2:14" ht="15" customHeight="1" x14ac:dyDescent="0.25">
      <c r="B39" s="20"/>
      <c r="C39" s="5" t="s">
        <v>153</v>
      </c>
      <c r="D39" s="6" t="s">
        <v>189</v>
      </c>
      <c r="E39" s="11">
        <v>1.8914E-2</v>
      </c>
      <c r="F39" s="1"/>
      <c r="G39" s="1"/>
      <c r="H39" s="1"/>
      <c r="I39" s="1"/>
      <c r="J39" s="1"/>
      <c r="K39" s="1"/>
      <c r="L39" s="1"/>
      <c r="M39" s="1"/>
      <c r="N39" s="18"/>
    </row>
    <row r="40" spans="2:14" ht="15.75" customHeight="1" x14ac:dyDescent="0.25">
      <c r="B40" s="20"/>
      <c r="C40" s="7" t="s">
        <v>154</v>
      </c>
      <c r="D40" s="8"/>
      <c r="E40" s="12">
        <v>0.251137</v>
      </c>
      <c r="F40" s="1"/>
      <c r="G40" s="1"/>
      <c r="H40" s="1"/>
      <c r="I40" s="1"/>
      <c r="J40" s="1"/>
      <c r="K40" s="1"/>
      <c r="L40" s="1"/>
      <c r="M40" s="1"/>
      <c r="N40" s="18"/>
    </row>
    <row r="41" spans="2:14" ht="15" customHeight="1" x14ac:dyDescent="0.25">
      <c r="B41" s="20"/>
      <c r="C41" s="5" t="s">
        <v>8</v>
      </c>
      <c r="D41" s="6"/>
      <c r="E41" s="11">
        <v>4.7996999999999998E-2</v>
      </c>
      <c r="F41" s="1"/>
      <c r="G41" s="1"/>
      <c r="H41" s="1"/>
      <c r="I41" s="1"/>
      <c r="J41" s="1"/>
      <c r="K41" s="1"/>
      <c r="L41" s="1"/>
      <c r="M41" s="1"/>
      <c r="N41" s="18"/>
    </row>
    <row r="42" spans="2:14" ht="15.75" customHeight="1" x14ac:dyDescent="0.25">
      <c r="B42" s="20"/>
      <c r="C42" s="7" t="s">
        <v>9</v>
      </c>
      <c r="D42" s="8"/>
      <c r="E42" s="12">
        <v>4.7996999999999998E-2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10</v>
      </c>
      <c r="D44" s="8"/>
      <c r="E44" s="12">
        <v>-0.238035</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11</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68" t="s">
        <v>270</v>
      </c>
      <c r="C50" s="69"/>
      <c r="D50" s="69"/>
      <c r="E50" s="69"/>
      <c r="F50" s="69"/>
      <c r="G50" s="69"/>
      <c r="H50" s="69"/>
      <c r="I50" s="69"/>
      <c r="J50" s="69"/>
      <c r="K50" s="69"/>
      <c r="L50" s="69"/>
      <c r="M50" s="69"/>
      <c r="N50" s="70"/>
    </row>
    <row r="51" spans="2:14" ht="15" customHeight="1" x14ac:dyDescent="0.25">
      <c r="B51" s="71"/>
      <c r="C51" s="72"/>
      <c r="D51" s="72"/>
      <c r="E51" s="72"/>
      <c r="F51" s="72"/>
      <c r="G51" s="72"/>
      <c r="H51" s="72"/>
      <c r="I51" s="72"/>
      <c r="J51" s="72"/>
      <c r="K51" s="72"/>
      <c r="L51" s="72"/>
      <c r="M51" s="72"/>
      <c r="N51" s="73"/>
    </row>
    <row r="52" spans="2:14" ht="15" customHeight="1" x14ac:dyDescent="0.25">
      <c r="B52" s="71"/>
      <c r="C52" s="72"/>
      <c r="D52" s="72"/>
      <c r="E52" s="72"/>
      <c r="F52" s="72"/>
      <c r="G52" s="72"/>
      <c r="H52" s="72"/>
      <c r="I52" s="72"/>
      <c r="J52" s="72"/>
      <c r="K52" s="72"/>
      <c r="L52" s="72"/>
      <c r="M52" s="72"/>
      <c r="N52" s="73"/>
    </row>
    <row r="53" spans="2:14" ht="15" customHeight="1" thickBot="1" x14ac:dyDescent="0.3">
      <c r="B53" s="74"/>
      <c r="C53" s="75"/>
      <c r="D53" s="75"/>
      <c r="E53" s="75"/>
      <c r="F53" s="75"/>
      <c r="G53" s="75"/>
      <c r="H53" s="75"/>
      <c r="I53" s="75"/>
      <c r="J53" s="75"/>
      <c r="K53" s="75"/>
      <c r="L53" s="75"/>
      <c r="M53" s="75"/>
      <c r="N53" s="76"/>
    </row>
    <row r="54" spans="2:14" ht="15" customHeight="1" thickBot="1" x14ac:dyDescent="0.3"/>
    <row r="55" spans="2:14" ht="120" customHeight="1" thickBot="1" x14ac:dyDescent="0.3">
      <c r="B55" s="77" t="s">
        <v>275</v>
      </c>
      <c r="C55" s="78"/>
      <c r="D55" s="78"/>
      <c r="E55" s="78"/>
      <c r="F55" s="78"/>
      <c r="G55" s="78"/>
      <c r="H55" s="78"/>
      <c r="I55" s="78"/>
      <c r="J55" s="78"/>
      <c r="K55" s="78"/>
      <c r="L55" s="78"/>
      <c r="M55" s="78"/>
      <c r="N55" s="79"/>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EAAC-5031-4DAE-A02F-E18BDFE65872}">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156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157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21</v>
      </c>
      <c r="D8" s="6" t="s">
        <v>22</v>
      </c>
      <c r="E8" s="11">
        <v>0.112567</v>
      </c>
      <c r="F8" s="1"/>
      <c r="G8" s="24" t="s">
        <v>15</v>
      </c>
      <c r="H8" s="25">
        <v>1</v>
      </c>
      <c r="I8" s="1"/>
      <c r="J8" s="24" t="s">
        <v>12</v>
      </c>
      <c r="K8" s="24" t="s">
        <v>5</v>
      </c>
      <c r="L8" s="1"/>
      <c r="M8" s="1"/>
      <c r="N8" s="18"/>
    </row>
    <row r="9" spans="2:14" ht="15" customHeight="1" x14ac:dyDescent="0.25">
      <c r="B9" s="20"/>
      <c r="C9" s="5" t="s">
        <v>158</v>
      </c>
      <c r="D9" s="6" t="s">
        <v>22</v>
      </c>
      <c r="E9" s="11">
        <v>9.2530000000000008E-3</v>
      </c>
      <c r="F9" s="1"/>
      <c r="G9" s="1"/>
      <c r="H9" s="1"/>
      <c r="I9" s="1"/>
      <c r="J9" s="24" t="s">
        <v>10</v>
      </c>
      <c r="K9" s="29">
        <v>2.7243E-2</v>
      </c>
      <c r="L9" s="1"/>
      <c r="M9" s="1"/>
      <c r="N9" s="18"/>
    </row>
    <row r="10" spans="2:14" ht="15" customHeight="1" x14ac:dyDescent="0.25">
      <c r="B10" s="20"/>
      <c r="C10" s="5" t="s">
        <v>25</v>
      </c>
      <c r="D10" s="6" t="s">
        <v>22</v>
      </c>
      <c r="E10" s="11">
        <v>4.8430000000000001E-3</v>
      </c>
      <c r="F10" s="1"/>
      <c r="G10" s="1"/>
      <c r="H10" s="1"/>
      <c r="I10" s="1"/>
      <c r="J10" s="24" t="s">
        <v>13</v>
      </c>
      <c r="K10" s="29">
        <v>3.7358000000000002E-2</v>
      </c>
      <c r="L10" s="1"/>
      <c r="M10" s="1"/>
      <c r="N10" s="18"/>
    </row>
    <row r="11" spans="2:14" ht="15.75" customHeight="1" x14ac:dyDescent="0.25">
      <c r="B11" s="20"/>
      <c r="C11" s="7" t="s">
        <v>26</v>
      </c>
      <c r="D11" s="8"/>
      <c r="E11" s="12">
        <v>0.126663</v>
      </c>
      <c r="F11" s="1"/>
      <c r="G11" s="1"/>
      <c r="H11" s="1"/>
      <c r="I11" s="1"/>
      <c r="J11" s="24" t="s">
        <v>53</v>
      </c>
      <c r="K11" s="29">
        <v>0.126663</v>
      </c>
      <c r="L11" s="1"/>
      <c r="M11" s="1"/>
      <c r="N11" s="18"/>
    </row>
    <row r="12" spans="2:14" ht="15" customHeight="1" x14ac:dyDescent="0.25">
      <c r="B12" s="20"/>
      <c r="C12" s="5" t="s">
        <v>27</v>
      </c>
      <c r="D12" s="6" t="s">
        <v>22</v>
      </c>
      <c r="E12" s="11">
        <v>9.7439999999999992E-3</v>
      </c>
      <c r="F12" s="1"/>
      <c r="G12" s="1"/>
      <c r="H12" s="1"/>
      <c r="I12" s="1"/>
      <c r="J12" s="24" t="s">
        <v>54</v>
      </c>
      <c r="K12" s="29">
        <v>0.70612799999999998</v>
      </c>
      <c r="L12" s="1"/>
      <c r="M12" s="1"/>
      <c r="N12" s="18"/>
    </row>
    <row r="13" spans="2:14" ht="15.75" customHeight="1" x14ac:dyDescent="0.25">
      <c r="B13" s="20"/>
      <c r="C13" s="7" t="s">
        <v>73</v>
      </c>
      <c r="D13" s="8"/>
      <c r="E13" s="12">
        <v>9.7439999999999992E-3</v>
      </c>
      <c r="F13" s="1"/>
      <c r="G13" s="1"/>
      <c r="H13" s="1"/>
      <c r="I13" s="1"/>
      <c r="J13" s="24" t="s">
        <v>79</v>
      </c>
      <c r="K13" s="29">
        <v>9.7439999999999992E-3</v>
      </c>
      <c r="L13" s="1"/>
      <c r="M13" s="1"/>
      <c r="N13" s="18"/>
    </row>
    <row r="14" spans="2:14" ht="15" customHeight="1" x14ac:dyDescent="0.25">
      <c r="B14" s="20"/>
      <c r="C14" s="5" t="s">
        <v>31</v>
      </c>
      <c r="D14" s="6" t="s">
        <v>28</v>
      </c>
      <c r="E14" s="11">
        <v>0.114569</v>
      </c>
      <c r="F14" s="1"/>
      <c r="G14" s="1"/>
      <c r="H14" s="1"/>
      <c r="I14" s="1"/>
      <c r="J14" s="24" t="s">
        <v>44</v>
      </c>
      <c r="K14" s="29">
        <v>3.0270000000000002E-3</v>
      </c>
      <c r="L14" s="1"/>
      <c r="M14" s="1"/>
      <c r="N14" s="18"/>
    </row>
    <row r="15" spans="2:14" ht="15" customHeight="1" x14ac:dyDescent="0.25">
      <c r="B15" s="20"/>
      <c r="C15" s="5" t="s">
        <v>29</v>
      </c>
      <c r="D15" s="6" t="s">
        <v>28</v>
      </c>
      <c r="E15" s="11">
        <v>0.108726</v>
      </c>
      <c r="F15" s="1"/>
      <c r="G15" s="1"/>
      <c r="H15" s="1"/>
      <c r="I15" s="1"/>
      <c r="J15" s="24" t="s">
        <v>56</v>
      </c>
      <c r="K15" s="29">
        <v>1.291E-3</v>
      </c>
      <c r="L15" s="1"/>
      <c r="M15" s="1"/>
      <c r="N15" s="18"/>
    </row>
    <row r="16" spans="2:14" ht="15" customHeight="1" x14ac:dyDescent="0.25">
      <c r="B16" s="20"/>
      <c r="C16" s="5" t="s">
        <v>27</v>
      </c>
      <c r="D16" s="6" t="s">
        <v>28</v>
      </c>
      <c r="E16" s="11">
        <v>0.108504</v>
      </c>
      <c r="F16" s="1"/>
      <c r="G16" s="1"/>
      <c r="H16" s="1"/>
      <c r="I16" s="1"/>
      <c r="J16" s="24" t="s">
        <v>155</v>
      </c>
      <c r="K16" s="29">
        <v>8.3922999999999998E-2</v>
      </c>
      <c r="L16" s="1"/>
      <c r="M16" s="1"/>
      <c r="N16" s="18"/>
    </row>
    <row r="17" spans="2:14" ht="15" customHeight="1" x14ac:dyDescent="0.25">
      <c r="B17" s="20"/>
      <c r="C17" s="5" t="s">
        <v>33</v>
      </c>
      <c r="D17" s="6" t="s">
        <v>28</v>
      </c>
      <c r="E17" s="11">
        <v>0.107305</v>
      </c>
      <c r="F17" s="1"/>
      <c r="G17" s="1"/>
      <c r="H17" s="1"/>
      <c r="I17" s="1"/>
      <c r="J17" s="24" t="s">
        <v>85</v>
      </c>
      <c r="K17" s="29">
        <v>4.6230000000000004E-3</v>
      </c>
      <c r="L17" s="1"/>
      <c r="M17" s="1"/>
      <c r="N17" s="18"/>
    </row>
    <row r="18" spans="2:14" ht="15" customHeight="1" x14ac:dyDescent="0.25">
      <c r="B18" s="20"/>
      <c r="C18" s="5" t="s">
        <v>25</v>
      </c>
      <c r="D18" s="6" t="s">
        <v>28</v>
      </c>
      <c r="E18" s="11">
        <v>0.102659</v>
      </c>
      <c r="F18" s="1"/>
      <c r="G18" s="1"/>
      <c r="H18" s="1"/>
      <c r="I18" s="1"/>
      <c r="J18" s="1"/>
      <c r="K18" s="1"/>
      <c r="L18" s="1"/>
      <c r="M18" s="1"/>
      <c r="N18" s="18"/>
    </row>
    <row r="19" spans="2:14" ht="15" customHeight="1" x14ac:dyDescent="0.25">
      <c r="B19" s="20"/>
      <c r="C19" s="5" t="s">
        <v>32</v>
      </c>
      <c r="D19" s="6" t="s">
        <v>28</v>
      </c>
      <c r="E19" s="11">
        <v>5.6786999999999997E-2</v>
      </c>
      <c r="F19" s="1"/>
      <c r="G19" s="1"/>
      <c r="H19" s="1"/>
      <c r="I19" s="1"/>
      <c r="J19" s="1"/>
      <c r="K19" s="1"/>
      <c r="L19" s="1"/>
      <c r="M19" s="1"/>
      <c r="N19" s="18"/>
    </row>
    <row r="20" spans="2:14" ht="15" customHeight="1" x14ac:dyDescent="0.25">
      <c r="B20" s="20"/>
      <c r="C20" s="5" t="s">
        <v>74</v>
      </c>
      <c r="D20" s="6" t="s">
        <v>28</v>
      </c>
      <c r="E20" s="11">
        <v>4.0104000000000001E-2</v>
      </c>
      <c r="F20" s="1"/>
      <c r="G20" s="1"/>
      <c r="H20" s="1"/>
      <c r="I20" s="1"/>
      <c r="J20" s="1"/>
      <c r="K20" s="1"/>
      <c r="L20" s="1"/>
      <c r="M20" s="1"/>
      <c r="N20" s="18"/>
    </row>
    <row r="21" spans="2:14" ht="15" customHeight="1" x14ac:dyDescent="0.25">
      <c r="B21" s="20"/>
      <c r="C21" s="5" t="s">
        <v>76</v>
      </c>
      <c r="D21" s="6" t="s">
        <v>28</v>
      </c>
      <c r="E21" s="11">
        <v>2.741E-2</v>
      </c>
      <c r="F21" s="1"/>
      <c r="G21" s="1"/>
      <c r="H21" s="1"/>
      <c r="I21" s="1"/>
      <c r="J21" s="1"/>
      <c r="K21" s="1"/>
      <c r="L21" s="1"/>
      <c r="M21" s="1"/>
      <c r="N21" s="18"/>
    </row>
    <row r="22" spans="2:14" ht="15" customHeight="1" x14ac:dyDescent="0.25">
      <c r="B22" s="20"/>
      <c r="C22" s="5" t="s">
        <v>159</v>
      </c>
      <c r="D22" s="6" t="s">
        <v>28</v>
      </c>
      <c r="E22" s="11">
        <v>1.9487999999999998E-2</v>
      </c>
      <c r="F22" s="1"/>
      <c r="G22" s="1"/>
      <c r="H22" s="1"/>
      <c r="I22" s="1"/>
      <c r="J22" s="1"/>
      <c r="K22" s="1"/>
      <c r="L22" s="1"/>
      <c r="M22" s="1"/>
      <c r="N22" s="18"/>
    </row>
    <row r="23" spans="2:14" ht="15" customHeight="1" x14ac:dyDescent="0.25">
      <c r="B23" s="20"/>
      <c r="C23" s="5" t="s">
        <v>160</v>
      </c>
      <c r="D23" s="6" t="s">
        <v>28</v>
      </c>
      <c r="E23" s="11">
        <v>9.8209999999999999E-3</v>
      </c>
      <c r="F23" s="1"/>
      <c r="G23" s="1"/>
      <c r="H23" s="1"/>
      <c r="I23" s="1"/>
      <c r="J23" s="1"/>
      <c r="K23" s="1"/>
      <c r="L23" s="1"/>
      <c r="M23" s="1"/>
      <c r="N23" s="18"/>
    </row>
    <row r="24" spans="2:14" ht="15" customHeight="1" x14ac:dyDescent="0.25">
      <c r="B24" s="20"/>
      <c r="C24" s="5" t="s">
        <v>40</v>
      </c>
      <c r="D24" s="6" t="s">
        <v>28</v>
      </c>
      <c r="E24" s="11">
        <v>5.8430000000000001E-3</v>
      </c>
      <c r="F24" s="1"/>
      <c r="G24" s="85" t="s">
        <v>123</v>
      </c>
      <c r="H24" s="86"/>
      <c r="I24" s="86"/>
      <c r="J24" s="86"/>
      <c r="K24" s="86"/>
      <c r="L24" s="67">
        <v>371.42841244945788</v>
      </c>
      <c r="M24" s="27"/>
      <c r="N24" s="28"/>
    </row>
    <row r="25" spans="2:14" ht="15" customHeight="1" x14ac:dyDescent="0.25">
      <c r="B25" s="20"/>
      <c r="C25" s="5" t="s">
        <v>75</v>
      </c>
      <c r="D25" s="6" t="s">
        <v>28</v>
      </c>
      <c r="E25" s="11">
        <v>4.9119999999999997E-3</v>
      </c>
      <c r="F25" s="1"/>
      <c r="G25" s="1"/>
      <c r="H25" s="1"/>
      <c r="I25" s="1"/>
      <c r="J25" s="1"/>
      <c r="K25" s="1"/>
      <c r="L25" s="1"/>
      <c r="M25" s="1"/>
      <c r="N25" s="18"/>
    </row>
    <row r="26" spans="2:14" ht="15.75" customHeight="1" x14ac:dyDescent="0.25">
      <c r="B26" s="20"/>
      <c r="C26" s="7" t="s">
        <v>43</v>
      </c>
      <c r="D26" s="8"/>
      <c r="E26" s="12">
        <v>0.70612799999999998</v>
      </c>
      <c r="F26" s="1"/>
      <c r="G26" s="85" t="s">
        <v>18</v>
      </c>
      <c r="H26" s="86"/>
      <c r="I26" s="86"/>
      <c r="J26" s="86"/>
      <c r="K26" s="86"/>
      <c r="L26" s="86"/>
      <c r="M26" s="86"/>
      <c r="N26" s="87"/>
    </row>
    <row r="27" spans="2:14" ht="15" customHeight="1" x14ac:dyDescent="0.25">
      <c r="B27" s="20"/>
      <c r="C27" s="5" t="s">
        <v>44</v>
      </c>
      <c r="D27" s="6"/>
      <c r="E27" s="11">
        <v>3.0270000000000002E-3</v>
      </c>
      <c r="F27" s="1"/>
      <c r="G27" s="1"/>
      <c r="H27" s="1"/>
      <c r="I27" s="1"/>
      <c r="J27" s="1"/>
      <c r="K27" s="1"/>
      <c r="L27" s="1"/>
      <c r="M27" s="1"/>
      <c r="N27" s="18"/>
    </row>
    <row r="28" spans="2:14" ht="15.75" customHeight="1" x14ac:dyDescent="0.25">
      <c r="B28" s="20"/>
      <c r="C28" s="7" t="s">
        <v>45</v>
      </c>
      <c r="D28" s="8"/>
      <c r="E28" s="12">
        <v>3.0270000000000002E-3</v>
      </c>
      <c r="F28" s="1"/>
      <c r="G28" s="1"/>
      <c r="H28" s="1"/>
      <c r="I28" s="1"/>
      <c r="J28" s="1"/>
      <c r="K28" s="1"/>
      <c r="L28" s="1"/>
      <c r="M28" s="1"/>
      <c r="N28" s="18"/>
    </row>
    <row r="29" spans="2:14" ht="15" customHeight="1" x14ac:dyDescent="0.25">
      <c r="B29" s="20"/>
      <c r="C29" s="5" t="s">
        <v>190</v>
      </c>
      <c r="D29" s="6" t="s">
        <v>189</v>
      </c>
      <c r="E29" s="11">
        <v>9.9500000000000001E-4</v>
      </c>
      <c r="F29" s="1"/>
      <c r="G29" s="1"/>
      <c r="H29" s="1"/>
      <c r="I29" s="1"/>
      <c r="J29" s="1"/>
      <c r="K29" s="1"/>
      <c r="L29" s="1"/>
      <c r="M29" s="1"/>
      <c r="N29" s="18"/>
    </row>
    <row r="30" spans="2:14" ht="15.75" customHeight="1" x14ac:dyDescent="0.25">
      <c r="B30" s="20"/>
      <c r="C30" s="5" t="s">
        <v>191</v>
      </c>
      <c r="D30" s="6" t="s">
        <v>189</v>
      </c>
      <c r="E30" s="11">
        <v>2.9599999999999998E-4</v>
      </c>
      <c r="F30" s="1"/>
      <c r="G30" s="1"/>
      <c r="H30" s="1"/>
      <c r="I30" s="1"/>
      <c r="J30" s="1"/>
      <c r="K30" s="1"/>
      <c r="L30" s="1"/>
      <c r="M30" s="1"/>
      <c r="N30" s="18"/>
    </row>
    <row r="31" spans="2:14" ht="15" customHeight="1" x14ac:dyDescent="0.25">
      <c r="B31" s="20"/>
      <c r="C31" s="7" t="s">
        <v>52</v>
      </c>
      <c r="D31" s="8"/>
      <c r="E31" s="12">
        <v>1.291E-3</v>
      </c>
      <c r="F31" s="1"/>
      <c r="G31" s="1"/>
      <c r="H31" s="1"/>
      <c r="I31" s="1"/>
      <c r="J31" s="1"/>
      <c r="K31" s="1"/>
      <c r="L31" s="1"/>
      <c r="M31" s="1"/>
      <c r="N31" s="18"/>
    </row>
    <row r="32" spans="2:14" ht="15" customHeight="1" x14ac:dyDescent="0.25">
      <c r="B32" s="20"/>
      <c r="C32" s="5" t="s">
        <v>161</v>
      </c>
      <c r="D32" s="6" t="s">
        <v>189</v>
      </c>
      <c r="E32" s="11">
        <v>6.7446999999999993E-2</v>
      </c>
      <c r="F32" s="1"/>
      <c r="G32" s="1"/>
      <c r="H32" s="1"/>
      <c r="I32" s="1"/>
      <c r="J32" s="1"/>
      <c r="K32" s="1"/>
      <c r="L32" s="1"/>
      <c r="M32" s="1"/>
      <c r="N32" s="18"/>
    </row>
    <row r="33" spans="2:14" ht="15" customHeight="1" x14ac:dyDescent="0.25">
      <c r="B33" s="20"/>
      <c r="C33" s="5" t="s">
        <v>162</v>
      </c>
      <c r="D33" s="6" t="s">
        <v>189</v>
      </c>
      <c r="E33" s="11">
        <v>9.5989999999999999E-3</v>
      </c>
      <c r="F33" s="1"/>
      <c r="G33" s="1"/>
      <c r="H33" s="1"/>
      <c r="I33" s="1"/>
      <c r="J33" s="1"/>
      <c r="K33" s="1"/>
      <c r="L33" s="1"/>
      <c r="M33" s="1"/>
      <c r="N33" s="18"/>
    </row>
    <row r="34" spans="2:14" ht="15.75" customHeight="1" x14ac:dyDescent="0.25">
      <c r="B34" s="20"/>
      <c r="C34" s="5" t="s">
        <v>163</v>
      </c>
      <c r="D34" s="6" t="s">
        <v>189</v>
      </c>
      <c r="E34" s="11">
        <v>6.8770000000000003E-3</v>
      </c>
      <c r="F34" s="1"/>
      <c r="G34" s="1"/>
      <c r="H34" s="1"/>
      <c r="I34" s="1"/>
      <c r="J34" s="1"/>
      <c r="K34" s="1"/>
      <c r="L34" s="1"/>
      <c r="M34" s="1"/>
      <c r="N34" s="18"/>
    </row>
    <row r="35" spans="2:14" ht="15" customHeight="1" x14ac:dyDescent="0.25">
      <c r="B35" s="20"/>
      <c r="C35" s="7" t="s">
        <v>154</v>
      </c>
      <c r="D35" s="8"/>
      <c r="E35" s="12">
        <v>8.3922999999999998E-2</v>
      </c>
      <c r="F35" s="1"/>
      <c r="G35" s="1"/>
      <c r="H35" s="1"/>
      <c r="I35" s="1"/>
      <c r="J35" s="1"/>
      <c r="K35" s="1"/>
      <c r="L35" s="1"/>
      <c r="M35" s="1"/>
      <c r="N35" s="18"/>
    </row>
    <row r="36" spans="2:14" ht="15.75" customHeight="1" x14ac:dyDescent="0.25">
      <c r="B36" s="20"/>
      <c r="C36" s="5" t="s">
        <v>8</v>
      </c>
      <c r="D36" s="6"/>
      <c r="E36" s="11">
        <v>3.7358000000000002E-2</v>
      </c>
      <c r="F36" s="1"/>
      <c r="G36" s="1"/>
      <c r="H36" s="1"/>
      <c r="I36" s="1"/>
      <c r="J36" s="1"/>
      <c r="K36" s="1"/>
      <c r="L36" s="1"/>
      <c r="M36" s="1"/>
      <c r="N36" s="18"/>
    </row>
    <row r="37" spans="2:14" ht="15" customHeight="1" x14ac:dyDescent="0.25">
      <c r="B37" s="20"/>
      <c r="C37" s="7" t="s">
        <v>9</v>
      </c>
      <c r="D37" s="8"/>
      <c r="E37" s="12">
        <v>3.7358000000000002E-2</v>
      </c>
      <c r="F37" s="1"/>
      <c r="G37" s="1"/>
      <c r="H37" s="1"/>
      <c r="I37" s="1"/>
      <c r="J37" s="1"/>
      <c r="K37" s="1"/>
      <c r="L37" s="1"/>
      <c r="M37" s="1"/>
      <c r="N37" s="18"/>
    </row>
    <row r="38" spans="2:14" ht="15.75" customHeight="1" x14ac:dyDescent="0.25">
      <c r="B38" s="20"/>
      <c r="C38" s="5" t="s">
        <v>76</v>
      </c>
      <c r="D38" s="6" t="s">
        <v>28</v>
      </c>
      <c r="E38" s="11">
        <v>4.6230000000000004E-3</v>
      </c>
      <c r="F38" s="1"/>
      <c r="G38" s="1"/>
      <c r="H38" s="1"/>
      <c r="I38" s="1"/>
      <c r="J38" s="1"/>
      <c r="K38" s="1"/>
      <c r="L38" s="1"/>
      <c r="M38" s="1"/>
      <c r="N38" s="18"/>
    </row>
    <row r="39" spans="2:14" ht="15" customHeight="1" x14ac:dyDescent="0.25">
      <c r="B39" s="20"/>
      <c r="C39" s="7" t="s">
        <v>84</v>
      </c>
      <c r="D39" s="8"/>
      <c r="E39" s="12">
        <v>4.6230000000000004E-3</v>
      </c>
      <c r="F39" s="1"/>
      <c r="G39" s="1"/>
      <c r="H39" s="1"/>
      <c r="I39" s="1"/>
      <c r="J39" s="1"/>
      <c r="K39" s="1"/>
      <c r="L39" s="1"/>
      <c r="M39" s="1"/>
      <c r="N39" s="18"/>
    </row>
    <row r="40" spans="2:14" ht="15.75" customHeight="1" x14ac:dyDescent="0.25">
      <c r="B40" s="20"/>
      <c r="C40" s="5"/>
      <c r="D40" s="6"/>
      <c r="E40" s="11"/>
      <c r="F40" s="1"/>
      <c r="G40" s="1"/>
      <c r="H40" s="1"/>
      <c r="I40" s="1"/>
      <c r="J40" s="1"/>
      <c r="K40" s="1"/>
      <c r="L40" s="1"/>
      <c r="M40" s="1"/>
      <c r="N40" s="18"/>
    </row>
    <row r="41" spans="2:14" ht="15" customHeight="1" x14ac:dyDescent="0.25">
      <c r="B41" s="20"/>
      <c r="C41" s="7" t="s">
        <v>10</v>
      </c>
      <c r="D41" s="8"/>
      <c r="E41" s="12">
        <v>2.7243E-2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11</v>
      </c>
      <c r="D43" s="10"/>
      <c r="E43" s="13">
        <v>1</v>
      </c>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5" customHeight="1" x14ac:dyDescent="0.25">
      <c r="B47" s="68" t="s">
        <v>270</v>
      </c>
      <c r="C47" s="69"/>
      <c r="D47" s="69"/>
      <c r="E47" s="69"/>
      <c r="F47" s="69"/>
      <c r="G47" s="69"/>
      <c r="H47" s="69"/>
      <c r="I47" s="69"/>
      <c r="J47" s="69"/>
      <c r="K47" s="69"/>
      <c r="L47" s="69"/>
      <c r="M47" s="69"/>
      <c r="N47" s="70"/>
    </row>
    <row r="48" spans="2:14" ht="15" customHeight="1" x14ac:dyDescent="0.25">
      <c r="B48" s="71"/>
      <c r="C48" s="72"/>
      <c r="D48" s="72"/>
      <c r="E48" s="72"/>
      <c r="F48" s="72"/>
      <c r="G48" s="72"/>
      <c r="H48" s="72"/>
      <c r="I48" s="72"/>
      <c r="J48" s="72"/>
      <c r="K48" s="72"/>
      <c r="L48" s="72"/>
      <c r="M48" s="72"/>
      <c r="N48" s="73"/>
    </row>
    <row r="49" spans="2:14" ht="15" customHeight="1" x14ac:dyDescent="0.25">
      <c r="B49" s="71"/>
      <c r="C49" s="72"/>
      <c r="D49" s="72"/>
      <c r="E49" s="72"/>
      <c r="F49" s="72"/>
      <c r="G49" s="72"/>
      <c r="H49" s="72"/>
      <c r="I49" s="72"/>
      <c r="J49" s="72"/>
      <c r="K49" s="72"/>
      <c r="L49" s="72"/>
      <c r="M49" s="72"/>
      <c r="N49" s="73"/>
    </row>
    <row r="50" spans="2:14" ht="15" customHeight="1" thickBot="1" x14ac:dyDescent="0.3">
      <c r="B50" s="74"/>
      <c r="C50" s="75"/>
      <c r="D50" s="75"/>
      <c r="E50" s="75"/>
      <c r="F50" s="75"/>
      <c r="G50" s="75"/>
      <c r="H50" s="75"/>
      <c r="I50" s="75"/>
      <c r="J50" s="75"/>
      <c r="K50" s="75"/>
      <c r="L50" s="75"/>
      <c r="M50" s="75"/>
      <c r="N50" s="76"/>
    </row>
    <row r="51" spans="2:14" ht="15" customHeight="1" thickBot="1" x14ac:dyDescent="0.3"/>
    <row r="52" spans="2:14" ht="128.25" customHeight="1" thickBot="1" x14ac:dyDescent="0.3">
      <c r="B52" s="77" t="s">
        <v>275</v>
      </c>
      <c r="C52" s="78"/>
      <c r="D52" s="78"/>
      <c r="E52" s="78"/>
      <c r="F52" s="78"/>
      <c r="G52" s="78"/>
      <c r="H52" s="78"/>
      <c r="I52" s="78"/>
      <c r="J52" s="78"/>
      <c r="K52" s="78"/>
      <c r="L52" s="78"/>
      <c r="M52" s="78"/>
      <c r="N52" s="79"/>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mergeCells count="7">
    <mergeCell ref="B47:N50"/>
    <mergeCell ref="B52:N52"/>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AE88-E212-4944-BA6D-4E2FC9FABDBD}">
  <dimension ref="B1:N79"/>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164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165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29</v>
      </c>
      <c r="D8" s="6" t="s">
        <v>22</v>
      </c>
      <c r="E8" s="11">
        <v>0.11749900000000001</v>
      </c>
      <c r="F8" s="1"/>
      <c r="G8" s="24" t="s">
        <v>15</v>
      </c>
      <c r="H8" s="25">
        <v>1</v>
      </c>
      <c r="I8" s="1"/>
      <c r="J8" s="24" t="s">
        <v>12</v>
      </c>
      <c r="K8" s="24" t="s">
        <v>5</v>
      </c>
      <c r="L8" s="1"/>
      <c r="M8" s="1"/>
      <c r="N8" s="18"/>
    </row>
    <row r="9" spans="2:14" ht="15" customHeight="1" x14ac:dyDescent="0.25">
      <c r="B9" s="20"/>
      <c r="C9" s="5" t="s">
        <v>27</v>
      </c>
      <c r="D9" s="6" t="s">
        <v>22</v>
      </c>
      <c r="E9" s="11">
        <v>0.11228200000000001</v>
      </c>
      <c r="F9" s="1"/>
      <c r="G9" s="1"/>
      <c r="H9" s="1"/>
      <c r="I9" s="1"/>
      <c r="J9" s="24" t="s">
        <v>10</v>
      </c>
      <c r="K9" s="29">
        <v>-7.9075000000000006E-2</v>
      </c>
      <c r="L9" s="1"/>
      <c r="M9" s="1"/>
      <c r="N9" s="18"/>
    </row>
    <row r="10" spans="2:14" ht="15" customHeight="1" x14ac:dyDescent="0.25">
      <c r="B10" s="20"/>
      <c r="C10" s="5" t="s">
        <v>25</v>
      </c>
      <c r="D10" s="6" t="s">
        <v>22</v>
      </c>
      <c r="E10" s="11">
        <v>9.6778000000000003E-2</v>
      </c>
      <c r="F10" s="1"/>
      <c r="G10" s="1"/>
      <c r="H10" s="1"/>
      <c r="I10" s="1"/>
      <c r="J10" s="24" t="s">
        <v>13</v>
      </c>
      <c r="K10" s="29">
        <v>4.0159E-2</v>
      </c>
      <c r="L10" s="1"/>
      <c r="M10" s="1"/>
      <c r="N10" s="18"/>
    </row>
    <row r="11" spans="2:14" ht="15" customHeight="1" x14ac:dyDescent="0.25">
      <c r="B11" s="20"/>
      <c r="C11" s="5" t="s">
        <v>23</v>
      </c>
      <c r="D11" s="6" t="s">
        <v>22</v>
      </c>
      <c r="E11" s="11">
        <v>8.0449999999999994E-2</v>
      </c>
      <c r="F11" s="1"/>
      <c r="G11" s="1"/>
      <c r="H11" s="1"/>
      <c r="I11" s="1"/>
      <c r="J11" s="24" t="s">
        <v>53</v>
      </c>
      <c r="K11" s="29">
        <v>0.59489000000000003</v>
      </c>
      <c r="L11" s="1"/>
      <c r="M11" s="1"/>
      <c r="N11" s="18"/>
    </row>
    <row r="12" spans="2:14" ht="15" customHeight="1" x14ac:dyDescent="0.25">
      <c r="B12" s="20"/>
      <c r="C12" s="5" t="s">
        <v>21</v>
      </c>
      <c r="D12" s="6" t="s">
        <v>22</v>
      </c>
      <c r="E12" s="11">
        <v>6.9940000000000002E-2</v>
      </c>
      <c r="F12" s="1"/>
      <c r="G12" s="1"/>
      <c r="H12" s="1"/>
      <c r="I12" s="1"/>
      <c r="J12" s="24" t="s">
        <v>79</v>
      </c>
      <c r="K12" s="29">
        <v>0.24576300000000001</v>
      </c>
      <c r="L12" s="1"/>
      <c r="M12" s="1"/>
      <c r="N12" s="18"/>
    </row>
    <row r="13" spans="2:14" ht="15" customHeight="1" x14ac:dyDescent="0.25">
      <c r="B13" s="20"/>
      <c r="C13" s="5" t="s">
        <v>158</v>
      </c>
      <c r="D13" s="6" t="s">
        <v>22</v>
      </c>
      <c r="E13" s="11">
        <v>6.4252000000000004E-2</v>
      </c>
      <c r="F13" s="1"/>
      <c r="G13" s="1"/>
      <c r="H13" s="1"/>
      <c r="I13" s="1"/>
      <c r="J13" s="24" t="s">
        <v>44</v>
      </c>
      <c r="K13" s="29">
        <v>1.8630000000000001E-3</v>
      </c>
      <c r="L13" s="1"/>
      <c r="M13" s="1"/>
      <c r="N13" s="18"/>
    </row>
    <row r="14" spans="2:14" ht="15" customHeight="1" x14ac:dyDescent="0.25">
      <c r="B14" s="20"/>
      <c r="C14" s="5" t="s">
        <v>131</v>
      </c>
      <c r="D14" s="6" t="s">
        <v>22</v>
      </c>
      <c r="E14" s="11">
        <v>2.1517999999999999E-2</v>
      </c>
      <c r="F14" s="1"/>
      <c r="G14" s="1"/>
      <c r="H14" s="1"/>
      <c r="I14" s="1"/>
      <c r="J14" s="24" t="s">
        <v>173</v>
      </c>
      <c r="K14" s="29">
        <v>6.6179999999999998E-3</v>
      </c>
      <c r="L14" s="1"/>
      <c r="M14" s="1"/>
      <c r="N14" s="18"/>
    </row>
    <row r="15" spans="2:14" ht="15" customHeight="1" x14ac:dyDescent="0.25">
      <c r="B15" s="20"/>
      <c r="C15" s="5" t="s">
        <v>24</v>
      </c>
      <c r="D15" s="6" t="s">
        <v>22</v>
      </c>
      <c r="E15" s="11">
        <v>1.6112000000000001E-2</v>
      </c>
      <c r="F15" s="1"/>
      <c r="G15" s="1"/>
      <c r="H15" s="1"/>
      <c r="I15" s="1"/>
      <c r="J15" s="24" t="s">
        <v>56</v>
      </c>
      <c r="K15" s="29">
        <v>0.11384</v>
      </c>
      <c r="L15" s="1"/>
      <c r="M15" s="1"/>
      <c r="N15" s="18"/>
    </row>
    <row r="16" spans="2:14" ht="15" customHeight="1" x14ac:dyDescent="0.25">
      <c r="B16" s="20"/>
      <c r="C16" s="5" t="s">
        <v>140</v>
      </c>
      <c r="D16" s="6" t="s">
        <v>22</v>
      </c>
      <c r="E16" s="11">
        <v>1.0684000000000001E-2</v>
      </c>
      <c r="F16" s="1"/>
      <c r="G16" s="1"/>
      <c r="H16" s="1"/>
      <c r="I16" s="1"/>
      <c r="J16" s="24" t="s">
        <v>155</v>
      </c>
      <c r="K16" s="29">
        <v>7.5941999999999996E-2</v>
      </c>
      <c r="L16" s="1"/>
      <c r="M16" s="1"/>
      <c r="N16" s="18"/>
    </row>
    <row r="17" spans="2:14" ht="15" customHeight="1" x14ac:dyDescent="0.25">
      <c r="B17" s="20"/>
      <c r="C17" s="5" t="s">
        <v>139</v>
      </c>
      <c r="D17" s="6" t="s">
        <v>22</v>
      </c>
      <c r="E17" s="11">
        <v>5.3749999999999996E-3</v>
      </c>
      <c r="F17" s="1"/>
      <c r="G17" s="1"/>
      <c r="H17" s="1"/>
      <c r="I17" s="1"/>
      <c r="J17" s="1"/>
      <c r="K17" s="1"/>
      <c r="L17" s="1"/>
      <c r="M17" s="1"/>
      <c r="N17" s="18"/>
    </row>
    <row r="18" spans="2:14" ht="15.75" customHeight="1" x14ac:dyDescent="0.25">
      <c r="B18" s="20"/>
      <c r="C18" s="7" t="s">
        <v>26</v>
      </c>
      <c r="D18" s="8"/>
      <c r="E18" s="12">
        <v>0.59489000000000003</v>
      </c>
      <c r="F18" s="1"/>
      <c r="G18" s="1"/>
      <c r="H18" s="1"/>
      <c r="I18" s="1"/>
      <c r="J18" s="1"/>
      <c r="K18" s="1"/>
      <c r="L18" s="1"/>
      <c r="M18" s="1"/>
      <c r="N18" s="18"/>
    </row>
    <row r="19" spans="2:14" ht="15" customHeight="1" x14ac:dyDescent="0.25">
      <c r="B19" s="20"/>
      <c r="C19" s="5" t="s">
        <v>147</v>
      </c>
      <c r="D19" s="6" t="s">
        <v>22</v>
      </c>
      <c r="E19" s="11">
        <v>3.7127E-2</v>
      </c>
      <c r="F19" s="1"/>
      <c r="G19" s="1"/>
      <c r="H19" s="1"/>
      <c r="I19" s="1"/>
      <c r="J19" s="1"/>
      <c r="K19" s="1"/>
      <c r="L19" s="1"/>
      <c r="M19" s="1"/>
      <c r="N19" s="18"/>
    </row>
    <row r="20" spans="2:14" ht="15" customHeight="1" x14ac:dyDescent="0.25">
      <c r="B20" s="20"/>
      <c r="C20" s="5" t="s">
        <v>148</v>
      </c>
      <c r="D20" s="6" t="s">
        <v>22</v>
      </c>
      <c r="E20" s="11">
        <v>3.1925000000000002E-2</v>
      </c>
      <c r="F20" s="1"/>
      <c r="G20" s="1"/>
      <c r="H20" s="1"/>
      <c r="I20" s="1"/>
      <c r="J20" s="1"/>
      <c r="K20" s="1"/>
      <c r="L20" s="1"/>
      <c r="M20" s="1"/>
      <c r="N20" s="18"/>
    </row>
    <row r="21" spans="2:14" ht="15" customHeight="1" x14ac:dyDescent="0.25">
      <c r="B21" s="20"/>
      <c r="C21" s="5" t="s">
        <v>145</v>
      </c>
      <c r="D21" s="6" t="s">
        <v>22</v>
      </c>
      <c r="E21" s="11">
        <v>3.1786000000000002E-2</v>
      </c>
      <c r="F21" s="1"/>
      <c r="G21" s="1"/>
      <c r="H21" s="1"/>
      <c r="I21" s="1"/>
      <c r="J21" s="1"/>
      <c r="K21" s="1"/>
      <c r="L21" s="1"/>
      <c r="M21" s="1"/>
      <c r="N21" s="18"/>
    </row>
    <row r="22" spans="2:14" ht="15" customHeight="1" x14ac:dyDescent="0.25">
      <c r="B22" s="20"/>
      <c r="C22" s="5" t="s">
        <v>76</v>
      </c>
      <c r="D22" s="6" t="s">
        <v>22</v>
      </c>
      <c r="E22" s="11">
        <v>2.6688E-2</v>
      </c>
      <c r="F22" s="1"/>
      <c r="G22" s="1"/>
      <c r="H22" s="1"/>
      <c r="I22" s="1"/>
      <c r="J22" s="1"/>
      <c r="K22" s="1"/>
      <c r="L22" s="1"/>
      <c r="M22" s="1"/>
      <c r="N22" s="18"/>
    </row>
    <row r="23" spans="2:14" ht="15" customHeight="1" x14ac:dyDescent="0.25">
      <c r="B23" s="20"/>
      <c r="C23" s="5" t="s">
        <v>143</v>
      </c>
      <c r="D23" s="6" t="s">
        <v>22</v>
      </c>
      <c r="E23" s="11">
        <v>2.1680999999999999E-2</v>
      </c>
      <c r="F23" s="1"/>
      <c r="G23" s="1"/>
      <c r="H23" s="1"/>
      <c r="I23" s="1"/>
      <c r="J23" s="1"/>
      <c r="K23" s="1"/>
      <c r="L23" s="1"/>
      <c r="M23" s="1"/>
      <c r="N23" s="18"/>
    </row>
    <row r="24" spans="2:14" ht="15" customHeight="1" x14ac:dyDescent="0.25">
      <c r="B24" s="20"/>
      <c r="C24" s="5" t="s">
        <v>40</v>
      </c>
      <c r="D24" s="6" t="s">
        <v>22</v>
      </c>
      <c r="E24" s="11">
        <v>2.1288999999999999E-2</v>
      </c>
      <c r="F24" s="1"/>
      <c r="G24" s="85" t="s">
        <v>123</v>
      </c>
      <c r="H24" s="86"/>
      <c r="I24" s="86"/>
      <c r="J24" s="86"/>
      <c r="K24" s="86"/>
      <c r="L24" s="67">
        <v>317.06004990091333</v>
      </c>
      <c r="M24" s="27"/>
      <c r="N24" s="28"/>
    </row>
    <row r="25" spans="2:14" ht="15" customHeight="1" x14ac:dyDescent="0.25">
      <c r="B25" s="20"/>
      <c r="C25" s="5" t="s">
        <v>144</v>
      </c>
      <c r="D25" s="6" t="s">
        <v>22</v>
      </c>
      <c r="E25" s="11">
        <v>2.1236999999999999E-2</v>
      </c>
      <c r="F25" s="1"/>
      <c r="G25" s="1"/>
      <c r="H25" s="1"/>
      <c r="I25" s="1"/>
      <c r="J25" s="1"/>
      <c r="K25" s="1"/>
      <c r="L25" s="1"/>
      <c r="M25" s="1"/>
      <c r="N25" s="18"/>
    </row>
    <row r="26" spans="2:14" ht="15" customHeight="1" x14ac:dyDescent="0.25">
      <c r="B26" s="20"/>
      <c r="C26" s="5" t="s">
        <v>166</v>
      </c>
      <c r="D26" s="6" t="s">
        <v>22</v>
      </c>
      <c r="E26" s="11">
        <v>1.6053000000000001E-2</v>
      </c>
      <c r="F26" s="1"/>
      <c r="G26" s="85" t="s">
        <v>18</v>
      </c>
      <c r="H26" s="86"/>
      <c r="I26" s="86"/>
      <c r="J26" s="86"/>
      <c r="K26" s="86"/>
      <c r="L26" s="86"/>
      <c r="M26" s="86"/>
      <c r="N26" s="87"/>
    </row>
    <row r="27" spans="2:14" ht="15" customHeight="1" x14ac:dyDescent="0.25">
      <c r="B27" s="20"/>
      <c r="C27" s="5" t="s">
        <v>167</v>
      </c>
      <c r="D27" s="6" t="s">
        <v>22</v>
      </c>
      <c r="E27" s="11">
        <v>1.129E-2</v>
      </c>
      <c r="F27" s="1"/>
      <c r="G27" s="1"/>
      <c r="H27" s="1"/>
      <c r="I27" s="1"/>
      <c r="J27" s="1"/>
      <c r="K27" s="1"/>
      <c r="L27" s="1"/>
      <c r="M27" s="1"/>
      <c r="N27" s="18"/>
    </row>
    <row r="28" spans="2:14" ht="15" customHeight="1" x14ac:dyDescent="0.25">
      <c r="B28" s="20"/>
      <c r="C28" s="5" t="s">
        <v>159</v>
      </c>
      <c r="D28" s="6" t="s">
        <v>22</v>
      </c>
      <c r="E28" s="11">
        <v>1.0711E-2</v>
      </c>
      <c r="F28" s="1"/>
      <c r="G28" s="1"/>
      <c r="H28" s="1"/>
      <c r="I28" s="1"/>
      <c r="J28" s="1"/>
      <c r="K28" s="1"/>
      <c r="L28" s="1"/>
      <c r="M28" s="1"/>
      <c r="N28" s="18"/>
    </row>
    <row r="29" spans="2:14" ht="15" customHeight="1" x14ac:dyDescent="0.25">
      <c r="B29" s="20"/>
      <c r="C29" s="5" t="s">
        <v>146</v>
      </c>
      <c r="D29" s="6" t="s">
        <v>22</v>
      </c>
      <c r="E29" s="11">
        <v>1.0677000000000001E-2</v>
      </c>
      <c r="F29" s="1"/>
      <c r="G29" s="1"/>
      <c r="H29" s="1"/>
      <c r="I29" s="1"/>
      <c r="J29" s="1"/>
      <c r="K29" s="1"/>
      <c r="L29" s="1"/>
      <c r="M29" s="1"/>
      <c r="N29" s="18"/>
    </row>
    <row r="30" spans="2:14" ht="15" customHeight="1" x14ac:dyDescent="0.25">
      <c r="B30" s="20"/>
      <c r="C30" s="5" t="s">
        <v>74</v>
      </c>
      <c r="D30" s="6" t="s">
        <v>22</v>
      </c>
      <c r="E30" s="11">
        <v>5.2989999999999999E-3</v>
      </c>
      <c r="F30" s="1"/>
      <c r="G30" s="1"/>
      <c r="H30" s="1"/>
      <c r="I30" s="1"/>
      <c r="J30" s="1"/>
      <c r="K30" s="1"/>
      <c r="L30" s="1"/>
      <c r="M30" s="1"/>
      <c r="N30" s="18"/>
    </row>
    <row r="31" spans="2:14" ht="15.75" customHeight="1" x14ac:dyDescent="0.25">
      <c r="B31" s="20"/>
      <c r="C31" s="7" t="s">
        <v>73</v>
      </c>
      <c r="D31" s="8"/>
      <c r="E31" s="12">
        <v>0.24576300000000001</v>
      </c>
      <c r="F31" s="1"/>
      <c r="G31" s="1"/>
      <c r="H31" s="1"/>
      <c r="I31" s="1"/>
      <c r="J31" s="1"/>
      <c r="K31" s="1"/>
      <c r="L31" s="1"/>
      <c r="M31" s="1"/>
      <c r="N31" s="18"/>
    </row>
    <row r="32" spans="2:14" ht="15" customHeight="1" x14ac:dyDescent="0.25">
      <c r="B32" s="20"/>
      <c r="C32" s="5" t="s">
        <v>44</v>
      </c>
      <c r="D32" s="6"/>
      <c r="E32" s="11">
        <v>1.8630000000000001E-3</v>
      </c>
      <c r="F32" s="1"/>
      <c r="G32" s="1"/>
      <c r="H32" s="1"/>
      <c r="I32" s="1"/>
      <c r="J32" s="1"/>
      <c r="K32" s="1"/>
      <c r="L32" s="1"/>
      <c r="M32" s="1"/>
      <c r="N32" s="18"/>
    </row>
    <row r="33" spans="2:14" ht="15.75" customHeight="1" x14ac:dyDescent="0.25">
      <c r="B33" s="20"/>
      <c r="C33" s="7" t="s">
        <v>45</v>
      </c>
      <c r="D33" s="8"/>
      <c r="E33" s="12">
        <v>1.8630000000000001E-3</v>
      </c>
      <c r="F33" s="1"/>
      <c r="G33" s="1"/>
      <c r="H33" s="1"/>
      <c r="I33" s="1"/>
      <c r="J33" s="1"/>
      <c r="K33" s="1"/>
      <c r="L33" s="1"/>
      <c r="M33" s="1"/>
      <c r="N33" s="18"/>
    </row>
    <row r="34" spans="2:14" ht="15" customHeight="1" x14ac:dyDescent="0.25">
      <c r="B34" s="20"/>
      <c r="C34" s="5" t="s">
        <v>192</v>
      </c>
      <c r="D34" s="6" t="s">
        <v>189</v>
      </c>
      <c r="E34" s="11">
        <v>3.3400000000000001E-3</v>
      </c>
      <c r="F34" s="1"/>
      <c r="G34" s="1"/>
      <c r="H34" s="1"/>
      <c r="I34" s="1"/>
      <c r="J34" s="1"/>
      <c r="K34" s="1"/>
      <c r="L34" s="1"/>
      <c r="M34" s="1"/>
      <c r="N34" s="18"/>
    </row>
    <row r="35" spans="2:14" ht="15.75" customHeight="1" x14ac:dyDescent="0.25">
      <c r="B35" s="20"/>
      <c r="C35" s="5" t="s">
        <v>193</v>
      </c>
      <c r="D35" s="6" t="s">
        <v>189</v>
      </c>
      <c r="E35" s="11">
        <v>3.2780000000000001E-3</v>
      </c>
      <c r="F35" s="1"/>
      <c r="G35" s="1"/>
      <c r="H35" s="1"/>
      <c r="I35" s="1"/>
      <c r="J35" s="1"/>
      <c r="K35" s="1"/>
      <c r="L35" s="1"/>
      <c r="M35" s="1"/>
      <c r="N35" s="18"/>
    </row>
    <row r="36" spans="2:14" ht="15" customHeight="1" x14ac:dyDescent="0.25">
      <c r="B36" s="20"/>
      <c r="C36" s="7" t="s">
        <v>168</v>
      </c>
      <c r="D36" s="8"/>
      <c r="E36" s="12">
        <v>6.6179999999999998E-3</v>
      </c>
      <c r="F36" s="1"/>
      <c r="G36" s="1"/>
      <c r="H36" s="1"/>
      <c r="I36" s="1"/>
      <c r="J36" s="1"/>
      <c r="K36" s="1"/>
      <c r="L36" s="1"/>
      <c r="M36" s="1"/>
      <c r="N36" s="18"/>
    </row>
    <row r="37" spans="2:14" ht="15.75" customHeight="1" x14ac:dyDescent="0.25">
      <c r="B37" s="20"/>
      <c r="C37" s="5" t="s">
        <v>198</v>
      </c>
      <c r="D37" s="6" t="s">
        <v>189</v>
      </c>
      <c r="E37" s="11">
        <v>3.7201999999999999E-2</v>
      </c>
      <c r="F37" s="1"/>
      <c r="G37" s="1"/>
      <c r="H37" s="1"/>
      <c r="I37" s="1"/>
      <c r="J37" s="1"/>
      <c r="K37" s="1"/>
      <c r="L37" s="1"/>
      <c r="M37" s="1"/>
      <c r="N37" s="18"/>
    </row>
    <row r="38" spans="2:14" ht="15" customHeight="1" x14ac:dyDescent="0.25">
      <c r="B38" s="20"/>
      <c r="C38" s="5" t="s">
        <v>199</v>
      </c>
      <c r="D38" s="6" t="s">
        <v>189</v>
      </c>
      <c r="E38" s="11">
        <v>3.5571999999999999E-2</v>
      </c>
      <c r="F38" s="1"/>
      <c r="G38" s="1"/>
      <c r="H38" s="1"/>
      <c r="I38" s="1"/>
      <c r="J38" s="1"/>
      <c r="K38" s="1"/>
      <c r="L38" s="1"/>
      <c r="M38" s="1"/>
      <c r="N38" s="18"/>
    </row>
    <row r="39" spans="2:14" ht="15" customHeight="1" x14ac:dyDescent="0.25">
      <c r="B39" s="20"/>
      <c r="C39" s="5" t="s">
        <v>194</v>
      </c>
      <c r="D39" s="6" t="s">
        <v>189</v>
      </c>
      <c r="E39" s="11">
        <v>2.0663999999999998E-2</v>
      </c>
      <c r="F39" s="1"/>
      <c r="G39" s="1"/>
      <c r="H39" s="1"/>
      <c r="I39" s="1"/>
      <c r="J39" s="1"/>
      <c r="K39" s="1"/>
      <c r="L39" s="1"/>
      <c r="M39" s="1"/>
      <c r="N39" s="18"/>
    </row>
    <row r="40" spans="2:14" ht="15" customHeight="1" x14ac:dyDescent="0.25">
      <c r="B40" s="20"/>
      <c r="C40" s="5" t="s">
        <v>197</v>
      </c>
      <c r="D40" s="6" t="s">
        <v>189</v>
      </c>
      <c r="E40" s="11">
        <v>8.9149999999999993E-3</v>
      </c>
      <c r="F40" s="1"/>
      <c r="G40" s="1"/>
      <c r="H40" s="1"/>
      <c r="I40" s="1"/>
      <c r="J40" s="1"/>
      <c r="K40" s="1"/>
      <c r="L40" s="1"/>
      <c r="M40" s="1"/>
      <c r="N40" s="18"/>
    </row>
    <row r="41" spans="2:14" ht="15" customHeight="1" x14ac:dyDescent="0.25">
      <c r="B41" s="20"/>
      <c r="C41" s="5" t="s">
        <v>195</v>
      </c>
      <c r="D41" s="6" t="s">
        <v>189</v>
      </c>
      <c r="E41" s="11">
        <v>5.7470000000000004E-3</v>
      </c>
      <c r="F41" s="1"/>
      <c r="G41" s="1"/>
      <c r="H41" s="1"/>
      <c r="I41" s="1"/>
      <c r="J41" s="1"/>
      <c r="K41" s="1"/>
      <c r="L41" s="1"/>
      <c r="M41" s="1"/>
      <c r="N41" s="18"/>
    </row>
    <row r="42" spans="2:14" ht="15.75" customHeight="1" x14ac:dyDescent="0.25">
      <c r="B42" s="20"/>
      <c r="C42" s="5" t="s">
        <v>196</v>
      </c>
      <c r="D42" s="6" t="s">
        <v>189</v>
      </c>
      <c r="E42" s="11">
        <v>3.444E-3</v>
      </c>
      <c r="F42" s="1"/>
      <c r="G42" s="1"/>
      <c r="H42" s="1"/>
      <c r="I42" s="1"/>
      <c r="J42" s="1"/>
      <c r="K42" s="1"/>
      <c r="L42" s="1"/>
      <c r="M42" s="1"/>
      <c r="N42" s="18"/>
    </row>
    <row r="43" spans="2:14" ht="15" customHeight="1" x14ac:dyDescent="0.25">
      <c r="B43" s="20"/>
      <c r="C43" s="5" t="s">
        <v>200</v>
      </c>
      <c r="D43" s="6" t="s">
        <v>189</v>
      </c>
      <c r="E43" s="11">
        <v>2.2959999999999999E-3</v>
      </c>
      <c r="F43" s="1"/>
      <c r="G43" s="1"/>
      <c r="H43" s="1"/>
      <c r="I43" s="1"/>
      <c r="J43" s="1"/>
      <c r="K43" s="1"/>
      <c r="L43" s="1"/>
      <c r="M43" s="1"/>
      <c r="N43" s="18"/>
    </row>
    <row r="44" spans="2:14" ht="15.75" customHeight="1" x14ac:dyDescent="0.25">
      <c r="B44" s="20"/>
      <c r="C44" s="7" t="s">
        <v>52</v>
      </c>
      <c r="D44" s="8"/>
      <c r="E44" s="12">
        <v>0.11384</v>
      </c>
      <c r="F44" s="1"/>
      <c r="G44" s="1"/>
      <c r="H44" s="1"/>
      <c r="I44" s="1"/>
      <c r="J44" s="1"/>
      <c r="K44" s="1"/>
      <c r="L44" s="1"/>
      <c r="M44" s="1"/>
      <c r="N44" s="18"/>
    </row>
    <row r="45" spans="2:14" ht="15" customHeight="1" x14ac:dyDescent="0.25">
      <c r="B45" s="20"/>
      <c r="C45" s="5" t="s">
        <v>169</v>
      </c>
      <c r="D45" s="6" t="s">
        <v>189</v>
      </c>
      <c r="E45" s="11">
        <v>2.8025000000000001E-2</v>
      </c>
      <c r="F45" s="1"/>
      <c r="G45" s="1"/>
      <c r="H45" s="1"/>
      <c r="I45" s="1"/>
      <c r="J45" s="1"/>
      <c r="K45" s="1"/>
      <c r="L45" s="1"/>
      <c r="M45" s="1"/>
      <c r="N45" s="18"/>
    </row>
    <row r="46" spans="2:14" ht="15.75" customHeight="1" x14ac:dyDescent="0.25">
      <c r="B46" s="20"/>
      <c r="C46" s="5" t="s">
        <v>170</v>
      </c>
      <c r="D46" s="6" t="s">
        <v>189</v>
      </c>
      <c r="E46" s="11">
        <v>2.1392999999999999E-2</v>
      </c>
      <c r="F46" s="1"/>
      <c r="G46" s="1"/>
      <c r="H46" s="1"/>
      <c r="I46" s="1"/>
      <c r="J46" s="1"/>
      <c r="K46" s="1"/>
      <c r="L46" s="1"/>
      <c r="M46" s="1"/>
      <c r="N46" s="18"/>
    </row>
    <row r="47" spans="2:14" ht="15" customHeight="1" x14ac:dyDescent="0.25">
      <c r="B47" s="20"/>
      <c r="C47" s="5" t="s">
        <v>171</v>
      </c>
      <c r="D47" s="6" t="s">
        <v>189</v>
      </c>
      <c r="E47" s="11">
        <v>1.5167999999999999E-2</v>
      </c>
      <c r="F47" s="1"/>
      <c r="G47" s="1"/>
      <c r="H47" s="1"/>
      <c r="I47" s="1"/>
      <c r="J47" s="1"/>
      <c r="K47" s="1"/>
      <c r="L47" s="1"/>
      <c r="M47" s="1"/>
      <c r="N47" s="18"/>
    </row>
    <row r="48" spans="2:14" ht="15" customHeight="1" x14ac:dyDescent="0.25">
      <c r="B48" s="20"/>
      <c r="C48" s="5" t="s">
        <v>172</v>
      </c>
      <c r="D48" s="6" t="s">
        <v>189</v>
      </c>
      <c r="E48" s="11">
        <v>1.1356E-2</v>
      </c>
      <c r="F48" s="1"/>
      <c r="G48" s="1"/>
      <c r="H48" s="1"/>
      <c r="I48" s="1"/>
      <c r="J48" s="1"/>
      <c r="K48" s="1"/>
      <c r="L48" s="1"/>
      <c r="M48" s="1"/>
      <c r="N48" s="18"/>
    </row>
    <row r="49" spans="2:14" ht="15" customHeight="1" x14ac:dyDescent="0.25">
      <c r="B49" s="20"/>
      <c r="C49" s="7" t="s">
        <v>154</v>
      </c>
      <c r="D49" s="8"/>
      <c r="E49" s="12">
        <v>7.5941999999999996E-2</v>
      </c>
      <c r="F49" s="1"/>
      <c r="G49" s="1"/>
      <c r="H49" s="1"/>
      <c r="I49" s="1"/>
      <c r="J49" s="1"/>
      <c r="K49" s="1"/>
      <c r="L49" s="1"/>
      <c r="M49" s="1"/>
      <c r="N49" s="18"/>
    </row>
    <row r="50" spans="2:14" ht="15" customHeight="1" x14ac:dyDescent="0.25">
      <c r="B50" s="20"/>
      <c r="C50" s="5" t="s">
        <v>8</v>
      </c>
      <c r="D50" s="6"/>
      <c r="E50" s="11">
        <v>4.0159E-2</v>
      </c>
      <c r="F50" s="1"/>
      <c r="G50" s="1"/>
      <c r="H50" s="1"/>
      <c r="I50" s="1"/>
      <c r="J50" s="1"/>
      <c r="K50" s="1"/>
      <c r="L50" s="1"/>
      <c r="M50" s="1"/>
      <c r="N50" s="18"/>
    </row>
    <row r="51" spans="2:14" ht="15" customHeight="1" x14ac:dyDescent="0.25">
      <c r="B51" s="20"/>
      <c r="C51" s="7" t="s">
        <v>9</v>
      </c>
      <c r="D51" s="8"/>
      <c r="E51" s="12">
        <v>4.0159E-2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7" t="s">
        <v>10</v>
      </c>
      <c r="D53" s="8"/>
      <c r="E53" s="12">
        <v>-7.9075000000000006E-2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11</v>
      </c>
      <c r="D55" s="10"/>
      <c r="E55" s="13">
        <v>1</v>
      </c>
      <c r="F55" s="1"/>
      <c r="G55" s="1"/>
      <c r="H55" s="1"/>
      <c r="I55" s="1"/>
      <c r="J55" s="1"/>
      <c r="K55" s="1"/>
      <c r="L55" s="1"/>
      <c r="M55" s="1"/>
      <c r="N55" s="18"/>
    </row>
    <row r="56" spans="2:14" ht="15" customHeight="1" x14ac:dyDescent="0.25">
      <c r="B56" s="20"/>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5" customHeight="1" x14ac:dyDescent="0.25">
      <c r="B59" s="68" t="s">
        <v>270</v>
      </c>
      <c r="C59" s="69"/>
      <c r="D59" s="69"/>
      <c r="E59" s="69"/>
      <c r="F59" s="69"/>
      <c r="G59" s="69"/>
      <c r="H59" s="69"/>
      <c r="I59" s="69"/>
      <c r="J59" s="69"/>
      <c r="K59" s="69"/>
      <c r="L59" s="69"/>
      <c r="M59" s="69"/>
      <c r="N59" s="70"/>
    </row>
    <row r="60" spans="2:14" ht="15" customHeight="1" x14ac:dyDescent="0.25">
      <c r="B60" s="71"/>
      <c r="C60" s="72"/>
      <c r="D60" s="72"/>
      <c r="E60" s="72"/>
      <c r="F60" s="72"/>
      <c r="G60" s="72"/>
      <c r="H60" s="72"/>
      <c r="I60" s="72"/>
      <c r="J60" s="72"/>
      <c r="K60" s="72"/>
      <c r="L60" s="72"/>
      <c r="M60" s="72"/>
      <c r="N60" s="73"/>
    </row>
    <row r="61" spans="2:14" ht="15" customHeight="1" x14ac:dyDescent="0.25">
      <c r="B61" s="71"/>
      <c r="C61" s="72"/>
      <c r="D61" s="72"/>
      <c r="E61" s="72"/>
      <c r="F61" s="72"/>
      <c r="G61" s="72"/>
      <c r="H61" s="72"/>
      <c r="I61" s="72"/>
      <c r="J61" s="72"/>
      <c r="K61" s="72"/>
      <c r="L61" s="72"/>
      <c r="M61" s="72"/>
      <c r="N61" s="73"/>
    </row>
    <row r="62" spans="2:14" ht="15" customHeight="1" thickBot="1" x14ac:dyDescent="0.3">
      <c r="B62" s="74"/>
      <c r="C62" s="75"/>
      <c r="D62" s="75"/>
      <c r="E62" s="75"/>
      <c r="F62" s="75"/>
      <c r="G62" s="75"/>
      <c r="H62" s="75"/>
      <c r="I62" s="75"/>
      <c r="J62" s="75"/>
      <c r="K62" s="75"/>
      <c r="L62" s="75"/>
      <c r="M62" s="75"/>
      <c r="N62" s="76"/>
    </row>
    <row r="63" spans="2:14" ht="15" customHeight="1" thickBot="1" x14ac:dyDescent="0.3"/>
    <row r="64" spans="2:14" ht="135" customHeight="1" thickBot="1" x14ac:dyDescent="0.3">
      <c r="B64" s="77" t="s">
        <v>275</v>
      </c>
      <c r="C64" s="78"/>
      <c r="D64" s="78"/>
      <c r="E64" s="78"/>
      <c r="F64" s="78"/>
      <c r="G64" s="78"/>
      <c r="H64" s="78"/>
      <c r="I64" s="78"/>
      <c r="J64" s="78"/>
      <c r="K64" s="78"/>
      <c r="L64" s="78"/>
      <c r="M64" s="78"/>
      <c r="N64" s="79"/>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7:E43">
    <sortCondition descending="1" ref="E37"/>
  </sortState>
  <mergeCells count="7">
    <mergeCell ref="B59:N62"/>
    <mergeCell ref="B64:N64"/>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C0CC-C72E-4856-8B54-F0032DB6D4F7}">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184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185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21</v>
      </c>
      <c r="D8" s="6" t="s">
        <v>22</v>
      </c>
      <c r="E8" s="11">
        <v>0.12763099999999999</v>
      </c>
      <c r="F8" s="1"/>
      <c r="G8" s="24" t="s">
        <v>15</v>
      </c>
      <c r="H8" s="29">
        <v>0.989039</v>
      </c>
      <c r="I8" s="1"/>
      <c r="J8" s="24" t="s">
        <v>12</v>
      </c>
      <c r="K8" s="24" t="s">
        <v>5</v>
      </c>
      <c r="L8" s="1"/>
      <c r="M8" s="1"/>
      <c r="N8" s="18"/>
    </row>
    <row r="9" spans="2:14" ht="15" customHeight="1" x14ac:dyDescent="0.25">
      <c r="B9" s="20"/>
      <c r="C9" s="5" t="s">
        <v>25</v>
      </c>
      <c r="D9" s="6" t="s">
        <v>22</v>
      </c>
      <c r="E9" s="11">
        <v>0.10778799999999999</v>
      </c>
      <c r="F9" s="1"/>
      <c r="G9" s="24" t="s">
        <v>102</v>
      </c>
      <c r="H9" s="29">
        <v>1.0961E-2</v>
      </c>
      <c r="I9" s="1"/>
      <c r="J9" s="24" t="s">
        <v>10</v>
      </c>
      <c r="K9" s="29">
        <v>1.5748999999999999E-2</v>
      </c>
      <c r="L9" s="1"/>
      <c r="M9" s="1"/>
      <c r="N9" s="18"/>
    </row>
    <row r="10" spans="2:14" ht="15" customHeight="1" x14ac:dyDescent="0.25">
      <c r="B10" s="20"/>
      <c r="C10" s="5" t="s">
        <v>24</v>
      </c>
      <c r="D10" s="6" t="s">
        <v>22</v>
      </c>
      <c r="E10" s="11">
        <v>5.2935999999999997E-2</v>
      </c>
      <c r="F10" s="1"/>
      <c r="G10" s="1"/>
      <c r="H10" s="1"/>
      <c r="I10" s="1"/>
      <c r="J10" s="24" t="s">
        <v>13</v>
      </c>
      <c r="K10" s="29">
        <v>3.2203000000000002E-2</v>
      </c>
      <c r="L10" s="1"/>
      <c r="M10" s="1"/>
      <c r="N10" s="18"/>
    </row>
    <row r="11" spans="2:14" ht="15" customHeight="1" x14ac:dyDescent="0.25">
      <c r="B11" s="20"/>
      <c r="C11" s="5" t="s">
        <v>27</v>
      </c>
      <c r="D11" s="6" t="s">
        <v>22</v>
      </c>
      <c r="E11" s="11">
        <v>3.3263000000000001E-2</v>
      </c>
      <c r="F11" s="1"/>
      <c r="G11" s="1"/>
      <c r="H11" s="1"/>
      <c r="I11" s="1"/>
      <c r="J11" s="24" t="s">
        <v>53</v>
      </c>
      <c r="K11" s="29">
        <v>0.358068</v>
      </c>
      <c r="L11" s="1"/>
      <c r="M11" s="1"/>
      <c r="N11" s="18"/>
    </row>
    <row r="12" spans="2:14" ht="15" customHeight="1" x14ac:dyDescent="0.25">
      <c r="B12" s="20"/>
      <c r="C12" s="5" t="s">
        <v>158</v>
      </c>
      <c r="D12" s="6" t="s">
        <v>22</v>
      </c>
      <c r="E12" s="11">
        <v>2.5857999999999999E-2</v>
      </c>
      <c r="F12" s="1"/>
      <c r="G12" s="1"/>
      <c r="H12" s="1"/>
      <c r="I12" s="1"/>
      <c r="J12" s="24" t="s">
        <v>54</v>
      </c>
      <c r="K12" s="29">
        <v>0.50364100000000001</v>
      </c>
      <c r="L12" s="1"/>
      <c r="M12" s="1"/>
      <c r="N12" s="18"/>
    </row>
    <row r="13" spans="2:14" ht="15" customHeight="1" x14ac:dyDescent="0.25">
      <c r="B13" s="20"/>
      <c r="C13" s="5" t="s">
        <v>23</v>
      </c>
      <c r="D13" s="6" t="s">
        <v>22</v>
      </c>
      <c r="E13" s="11">
        <v>1.0592000000000001E-2</v>
      </c>
      <c r="F13" s="1"/>
      <c r="G13" s="1"/>
      <c r="H13" s="1"/>
      <c r="I13" s="1"/>
      <c r="J13" s="24" t="s">
        <v>79</v>
      </c>
      <c r="K13" s="29">
        <v>2.9465999999999999E-2</v>
      </c>
      <c r="L13" s="1"/>
      <c r="M13" s="1"/>
      <c r="N13" s="18"/>
    </row>
    <row r="14" spans="2:14" ht="15.75" customHeight="1" x14ac:dyDescent="0.25">
      <c r="B14" s="20"/>
      <c r="C14" s="7" t="s">
        <v>26</v>
      </c>
      <c r="D14" s="8"/>
      <c r="E14" s="12">
        <v>0.358068</v>
      </c>
      <c r="F14" s="1"/>
      <c r="G14" s="1"/>
      <c r="H14" s="1"/>
      <c r="I14" s="1"/>
      <c r="J14" s="24" t="s">
        <v>44</v>
      </c>
      <c r="K14" s="29">
        <v>2.7569999999999999E-3</v>
      </c>
      <c r="L14" s="1"/>
      <c r="M14" s="1"/>
      <c r="N14" s="18"/>
    </row>
    <row r="15" spans="2:14" ht="15" customHeight="1" x14ac:dyDescent="0.25">
      <c r="B15" s="20"/>
      <c r="C15" s="5" t="s">
        <v>27</v>
      </c>
      <c r="D15" s="6" t="s">
        <v>22</v>
      </c>
      <c r="E15" s="11">
        <v>1.9061000000000002E-2</v>
      </c>
      <c r="F15" s="1"/>
      <c r="G15" s="1"/>
      <c r="H15" s="1"/>
      <c r="I15" s="1"/>
      <c r="J15" s="24" t="s">
        <v>155</v>
      </c>
      <c r="K15" s="29">
        <v>5.1656000000000001E-2</v>
      </c>
      <c r="L15" s="1"/>
      <c r="M15" s="1"/>
      <c r="N15" s="18"/>
    </row>
    <row r="16" spans="2:14" ht="15" customHeight="1" x14ac:dyDescent="0.25">
      <c r="B16" s="20"/>
      <c r="C16" s="5" t="s">
        <v>76</v>
      </c>
      <c r="D16" s="6" t="s">
        <v>22</v>
      </c>
      <c r="E16" s="11">
        <v>6.5680000000000001E-3</v>
      </c>
      <c r="F16" s="1"/>
      <c r="G16" s="1"/>
      <c r="H16" s="1"/>
      <c r="I16" s="1"/>
      <c r="J16" s="24" t="s">
        <v>85</v>
      </c>
      <c r="K16" s="29">
        <v>6.4599999999999996E-3</v>
      </c>
      <c r="L16" s="1"/>
      <c r="M16" s="1"/>
      <c r="N16" s="18"/>
    </row>
    <row r="17" spans="2:14" ht="15" customHeight="1" x14ac:dyDescent="0.25">
      <c r="B17" s="20"/>
      <c r="C17" s="5" t="s">
        <v>147</v>
      </c>
      <c r="D17" s="6" t="s">
        <v>22</v>
      </c>
      <c r="E17" s="11">
        <v>3.8370000000000001E-3</v>
      </c>
      <c r="F17" s="1"/>
      <c r="G17" s="1"/>
      <c r="H17" s="1"/>
      <c r="I17" s="1"/>
      <c r="J17" s="1"/>
      <c r="K17" s="1"/>
      <c r="L17" s="1"/>
      <c r="M17" s="1"/>
      <c r="N17" s="18"/>
    </row>
    <row r="18" spans="2:14" ht="15.75" customHeight="1" x14ac:dyDescent="0.25">
      <c r="B18" s="20"/>
      <c r="C18" s="7" t="s">
        <v>73</v>
      </c>
      <c r="D18" s="8"/>
      <c r="E18" s="12">
        <v>2.9465999999999999E-2</v>
      </c>
      <c r="F18" s="1"/>
      <c r="G18" s="1"/>
      <c r="H18" s="1"/>
      <c r="I18" s="1"/>
      <c r="J18" s="1"/>
      <c r="K18" s="1"/>
      <c r="L18" s="1"/>
      <c r="M18" s="1"/>
      <c r="N18" s="18"/>
    </row>
    <row r="19" spans="2:14" ht="15" customHeight="1" x14ac:dyDescent="0.25">
      <c r="B19" s="20"/>
      <c r="C19" s="5" t="s">
        <v>33</v>
      </c>
      <c r="D19" s="6" t="s">
        <v>28</v>
      </c>
      <c r="E19" s="11">
        <v>0.124017</v>
      </c>
      <c r="F19" s="1"/>
      <c r="G19" s="1"/>
      <c r="H19" s="1"/>
      <c r="I19" s="1"/>
      <c r="J19" s="1"/>
      <c r="K19" s="1"/>
      <c r="L19" s="1"/>
      <c r="M19" s="1"/>
      <c r="N19" s="18"/>
    </row>
    <row r="20" spans="2:14" ht="15" customHeight="1" x14ac:dyDescent="0.25">
      <c r="B20" s="20"/>
      <c r="C20" s="5" t="s">
        <v>29</v>
      </c>
      <c r="D20" s="6" t="s">
        <v>28</v>
      </c>
      <c r="E20" s="11">
        <v>0.109073</v>
      </c>
      <c r="F20" s="1"/>
      <c r="G20" s="1"/>
      <c r="H20" s="1"/>
      <c r="I20" s="1"/>
      <c r="J20" s="1"/>
      <c r="K20" s="1"/>
      <c r="L20" s="1"/>
      <c r="M20" s="1"/>
      <c r="N20" s="18"/>
    </row>
    <row r="21" spans="2:14" ht="15" customHeight="1" x14ac:dyDescent="0.25">
      <c r="B21" s="20"/>
      <c r="C21" s="5" t="s">
        <v>27</v>
      </c>
      <c r="D21" s="6" t="s">
        <v>28</v>
      </c>
      <c r="E21" s="11">
        <v>7.2591000000000003E-2</v>
      </c>
      <c r="F21" s="1"/>
      <c r="G21" s="1"/>
      <c r="H21" s="1"/>
      <c r="I21" s="1"/>
      <c r="J21" s="1"/>
      <c r="K21" s="1"/>
      <c r="L21" s="1"/>
      <c r="M21" s="1"/>
      <c r="N21" s="18"/>
    </row>
    <row r="22" spans="2:14" ht="15" customHeight="1" x14ac:dyDescent="0.25">
      <c r="B22" s="20"/>
      <c r="C22" s="5" t="s">
        <v>31</v>
      </c>
      <c r="D22" s="6" t="s">
        <v>28</v>
      </c>
      <c r="E22" s="11">
        <v>6.0218000000000001E-2</v>
      </c>
      <c r="F22" s="1"/>
      <c r="G22" s="1"/>
      <c r="H22" s="1"/>
      <c r="I22" s="1"/>
      <c r="J22" s="1"/>
      <c r="K22" s="1"/>
      <c r="L22" s="1"/>
      <c r="M22" s="1"/>
      <c r="N22" s="18"/>
    </row>
    <row r="23" spans="2:14" ht="15" customHeight="1" x14ac:dyDescent="0.25">
      <c r="B23" s="20"/>
      <c r="C23" s="5" t="s">
        <v>76</v>
      </c>
      <c r="D23" s="6" t="s">
        <v>28</v>
      </c>
      <c r="E23" s="11">
        <v>5.0206000000000001E-2</v>
      </c>
      <c r="F23" s="1"/>
      <c r="G23" s="1"/>
      <c r="H23" s="1"/>
      <c r="I23" s="1"/>
      <c r="J23" s="1"/>
      <c r="K23" s="1"/>
      <c r="L23" s="1"/>
      <c r="M23" s="1"/>
      <c r="N23" s="18"/>
    </row>
    <row r="24" spans="2:14" ht="15" customHeight="1" x14ac:dyDescent="0.25">
      <c r="B24" s="20"/>
      <c r="C24" s="5" t="s">
        <v>159</v>
      </c>
      <c r="D24" s="6" t="s">
        <v>28</v>
      </c>
      <c r="E24" s="11">
        <v>2.7230000000000001E-2</v>
      </c>
      <c r="F24" s="1"/>
      <c r="G24" s="85" t="s">
        <v>123</v>
      </c>
      <c r="H24" s="86"/>
      <c r="I24" s="86"/>
      <c r="J24" s="86"/>
      <c r="K24" s="86"/>
      <c r="L24" s="67">
        <v>182.78786036228726</v>
      </c>
      <c r="M24" s="27"/>
      <c r="N24" s="28"/>
    </row>
    <row r="25" spans="2:14" ht="15" customHeight="1" x14ac:dyDescent="0.25">
      <c r="B25" s="20"/>
      <c r="C25" s="5" t="s">
        <v>75</v>
      </c>
      <c r="D25" s="6" t="s">
        <v>28</v>
      </c>
      <c r="E25" s="11">
        <v>1.3726E-2</v>
      </c>
      <c r="F25" s="1"/>
      <c r="G25" s="1"/>
      <c r="H25" s="1"/>
      <c r="I25" s="1"/>
      <c r="J25" s="1"/>
      <c r="K25" s="1"/>
      <c r="L25" s="1"/>
      <c r="M25" s="1"/>
      <c r="N25" s="18"/>
    </row>
    <row r="26" spans="2:14" ht="15" customHeight="1" x14ac:dyDescent="0.25">
      <c r="B26" s="20"/>
      <c r="C26" s="5" t="s">
        <v>160</v>
      </c>
      <c r="D26" s="6" t="s">
        <v>28</v>
      </c>
      <c r="E26" s="11">
        <v>1.3722E-2</v>
      </c>
      <c r="F26" s="1"/>
      <c r="G26" s="85" t="s">
        <v>18</v>
      </c>
      <c r="H26" s="86"/>
      <c r="I26" s="86"/>
      <c r="J26" s="86"/>
      <c r="K26" s="86"/>
      <c r="L26" s="86"/>
      <c r="M26" s="86"/>
      <c r="N26" s="87"/>
    </row>
    <row r="27" spans="2:14" ht="15" customHeight="1" x14ac:dyDescent="0.25">
      <c r="B27" s="20"/>
      <c r="C27" s="5" t="s">
        <v>144</v>
      </c>
      <c r="D27" s="6" t="s">
        <v>93</v>
      </c>
      <c r="E27" s="11">
        <v>1.0961E-2</v>
      </c>
      <c r="F27" s="1"/>
      <c r="G27" s="1"/>
      <c r="H27" s="1"/>
      <c r="I27" s="1"/>
      <c r="J27" s="1"/>
      <c r="K27" s="1"/>
      <c r="L27" s="1"/>
      <c r="M27" s="1"/>
      <c r="N27" s="18"/>
    </row>
    <row r="28" spans="2:14" ht="15" customHeight="1" x14ac:dyDescent="0.25">
      <c r="B28" s="20"/>
      <c r="C28" s="5" t="s">
        <v>25</v>
      </c>
      <c r="D28" s="6" t="s">
        <v>28</v>
      </c>
      <c r="E28" s="11">
        <v>6.8329999999999997E-3</v>
      </c>
      <c r="F28" s="1"/>
      <c r="G28" s="1"/>
      <c r="H28" s="1"/>
      <c r="I28" s="1"/>
      <c r="J28" s="1"/>
      <c r="K28" s="1"/>
      <c r="L28" s="1"/>
      <c r="M28" s="1"/>
      <c r="N28" s="18"/>
    </row>
    <row r="29" spans="2:14" ht="15" customHeight="1" x14ac:dyDescent="0.25">
      <c r="B29" s="20"/>
      <c r="C29" s="5" t="s">
        <v>148</v>
      </c>
      <c r="D29" s="6" t="s">
        <v>28</v>
      </c>
      <c r="E29" s="11">
        <v>6.8110000000000002E-3</v>
      </c>
      <c r="F29" s="1"/>
      <c r="G29" s="1"/>
      <c r="H29" s="1"/>
      <c r="I29" s="1"/>
      <c r="J29" s="1"/>
      <c r="K29" s="1"/>
      <c r="L29" s="1"/>
      <c r="M29" s="1"/>
      <c r="N29" s="18"/>
    </row>
    <row r="30" spans="2:14" ht="15" customHeight="1" x14ac:dyDescent="0.25">
      <c r="B30" s="20"/>
      <c r="C30" s="5" t="s">
        <v>186</v>
      </c>
      <c r="D30" s="6" t="s">
        <v>28</v>
      </c>
      <c r="E30" s="11">
        <v>4.1370000000000001E-3</v>
      </c>
      <c r="F30" s="1"/>
      <c r="G30" s="1"/>
      <c r="H30" s="1"/>
      <c r="I30" s="1"/>
      <c r="J30" s="1"/>
      <c r="K30" s="1"/>
      <c r="L30" s="1"/>
      <c r="M30" s="1"/>
      <c r="N30" s="18"/>
    </row>
    <row r="31" spans="2:14" ht="15" customHeight="1" x14ac:dyDescent="0.25">
      <c r="B31" s="20"/>
      <c r="C31" s="5" t="s">
        <v>74</v>
      </c>
      <c r="D31" s="6" t="s">
        <v>28</v>
      </c>
      <c r="E31" s="11">
        <v>4.1159999999999999E-3</v>
      </c>
      <c r="F31" s="1"/>
      <c r="G31" s="1"/>
      <c r="H31" s="1"/>
      <c r="I31" s="1"/>
      <c r="J31" s="1"/>
      <c r="K31" s="1"/>
      <c r="L31" s="1"/>
      <c r="M31" s="1"/>
      <c r="N31" s="18"/>
    </row>
    <row r="32" spans="2:14" ht="15.75" customHeight="1" x14ac:dyDescent="0.25">
      <c r="B32" s="20"/>
      <c r="C32" s="7" t="s">
        <v>43</v>
      </c>
      <c r="D32" s="8"/>
      <c r="E32" s="12">
        <v>0.50364100000000001</v>
      </c>
      <c r="F32" s="1"/>
      <c r="G32" s="1"/>
      <c r="H32" s="1"/>
      <c r="I32" s="1"/>
      <c r="J32" s="1"/>
      <c r="K32" s="1"/>
      <c r="L32" s="1"/>
      <c r="M32" s="1"/>
      <c r="N32" s="18"/>
    </row>
    <row r="33" spans="2:14" ht="15" customHeight="1" x14ac:dyDescent="0.25">
      <c r="B33" s="20"/>
      <c r="C33" s="5" t="s">
        <v>44</v>
      </c>
      <c r="D33" s="6"/>
      <c r="E33" s="11">
        <v>2.7569999999999999E-3</v>
      </c>
      <c r="F33" s="1"/>
      <c r="G33" s="1"/>
      <c r="H33" s="1"/>
      <c r="I33" s="1"/>
      <c r="J33" s="1"/>
      <c r="K33" s="1"/>
      <c r="L33" s="1"/>
      <c r="M33" s="1"/>
      <c r="N33" s="18"/>
    </row>
    <row r="34" spans="2:14" ht="15.75" customHeight="1" x14ac:dyDescent="0.25">
      <c r="B34" s="20"/>
      <c r="C34" s="7" t="s">
        <v>45</v>
      </c>
      <c r="D34" s="8"/>
      <c r="E34" s="12">
        <v>2.7569999999999999E-3</v>
      </c>
      <c r="F34" s="1"/>
      <c r="G34" s="1"/>
      <c r="H34" s="1"/>
      <c r="I34" s="1"/>
      <c r="J34" s="1"/>
      <c r="K34" s="1"/>
      <c r="L34" s="1"/>
      <c r="M34" s="1"/>
      <c r="N34" s="18"/>
    </row>
    <row r="35" spans="2:14" ht="15" customHeight="1" x14ac:dyDescent="0.25">
      <c r="B35" s="20"/>
      <c r="C35" s="5" t="s">
        <v>161</v>
      </c>
      <c r="D35" s="6" t="s">
        <v>189</v>
      </c>
      <c r="E35" s="11">
        <v>4.0391000000000003E-2</v>
      </c>
      <c r="F35" s="1"/>
      <c r="G35" s="1"/>
      <c r="H35" s="1"/>
      <c r="I35" s="1"/>
      <c r="J35" s="1"/>
      <c r="K35" s="1"/>
      <c r="L35" s="1"/>
      <c r="M35" s="1"/>
      <c r="N35" s="18"/>
    </row>
    <row r="36" spans="2:14" ht="15" customHeight="1" x14ac:dyDescent="0.25">
      <c r="B36" s="20"/>
      <c r="C36" s="5" t="s">
        <v>187</v>
      </c>
      <c r="D36" s="6" t="s">
        <v>189</v>
      </c>
      <c r="E36" s="11">
        <v>1.0859000000000001E-2</v>
      </c>
      <c r="F36" s="1"/>
      <c r="G36" s="1"/>
      <c r="H36" s="1"/>
      <c r="I36" s="1"/>
      <c r="J36" s="1"/>
      <c r="K36" s="1"/>
      <c r="L36" s="1"/>
      <c r="M36" s="1"/>
      <c r="N36" s="18"/>
    </row>
    <row r="37" spans="2:14" ht="15" customHeight="1" x14ac:dyDescent="0.25">
      <c r="B37" s="20"/>
      <c r="C37" s="5" t="s">
        <v>163</v>
      </c>
      <c r="D37" s="6" t="s">
        <v>189</v>
      </c>
      <c r="E37" s="11">
        <v>4.06E-4</v>
      </c>
      <c r="F37" s="1"/>
      <c r="G37" s="1"/>
      <c r="H37" s="1"/>
      <c r="I37" s="1"/>
      <c r="J37" s="1"/>
      <c r="K37" s="1"/>
      <c r="L37" s="1"/>
      <c r="M37" s="1"/>
      <c r="N37" s="18"/>
    </row>
    <row r="38" spans="2:14" ht="15.75" customHeight="1" x14ac:dyDescent="0.25">
      <c r="B38" s="20"/>
      <c r="C38" s="7" t="s">
        <v>154</v>
      </c>
      <c r="D38" s="8"/>
      <c r="E38" s="12">
        <v>5.1656000000000001E-2</v>
      </c>
      <c r="F38" s="1"/>
      <c r="G38" s="1"/>
      <c r="H38" s="1"/>
      <c r="I38" s="1"/>
      <c r="J38" s="1"/>
      <c r="K38" s="1"/>
      <c r="L38" s="1"/>
      <c r="M38" s="1"/>
      <c r="N38" s="18"/>
    </row>
    <row r="39" spans="2:14" ht="15" customHeight="1" x14ac:dyDescent="0.25">
      <c r="B39" s="20"/>
      <c r="C39" s="5" t="s">
        <v>8</v>
      </c>
      <c r="D39" s="6"/>
      <c r="E39" s="11">
        <v>3.2203000000000002E-2</v>
      </c>
      <c r="F39" s="1"/>
      <c r="G39" s="1"/>
      <c r="H39" s="1"/>
      <c r="I39" s="1"/>
      <c r="J39" s="1"/>
      <c r="K39" s="1"/>
      <c r="L39" s="1"/>
      <c r="M39" s="1"/>
      <c r="N39" s="18"/>
    </row>
    <row r="40" spans="2:14" ht="15.75" customHeight="1" x14ac:dyDescent="0.25">
      <c r="B40" s="20"/>
      <c r="C40" s="7" t="s">
        <v>9</v>
      </c>
      <c r="D40" s="8"/>
      <c r="E40" s="12">
        <v>3.2203000000000002E-2</v>
      </c>
      <c r="F40" s="1"/>
      <c r="G40" s="1"/>
      <c r="H40" s="1"/>
      <c r="I40" s="1"/>
      <c r="J40" s="1"/>
      <c r="K40" s="1"/>
      <c r="L40" s="1"/>
      <c r="M40" s="1"/>
      <c r="N40" s="18"/>
    </row>
    <row r="41" spans="2:14" ht="15" customHeight="1" x14ac:dyDescent="0.25">
      <c r="B41" s="20"/>
      <c r="C41" s="5" t="s">
        <v>76</v>
      </c>
      <c r="D41" s="6" t="s">
        <v>28</v>
      </c>
      <c r="E41" s="11">
        <v>6.4599999999999996E-3</v>
      </c>
      <c r="F41" s="1"/>
      <c r="G41" s="1"/>
      <c r="H41" s="1"/>
      <c r="I41" s="1"/>
      <c r="J41" s="1"/>
      <c r="K41" s="1"/>
      <c r="L41" s="1"/>
      <c r="M41" s="1"/>
      <c r="N41" s="18"/>
    </row>
    <row r="42" spans="2:14" ht="15.75" customHeight="1" x14ac:dyDescent="0.25">
      <c r="B42" s="20"/>
      <c r="C42" s="7" t="s">
        <v>84</v>
      </c>
      <c r="D42" s="8"/>
      <c r="E42" s="12">
        <v>6.4599999999999996E-3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10</v>
      </c>
      <c r="D44" s="8"/>
      <c r="E44" s="12">
        <v>1.5748999999999999E-2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11</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68" t="s">
        <v>270</v>
      </c>
      <c r="C50" s="69"/>
      <c r="D50" s="69"/>
      <c r="E50" s="69"/>
      <c r="F50" s="69"/>
      <c r="G50" s="69"/>
      <c r="H50" s="69"/>
      <c r="I50" s="69"/>
      <c r="J50" s="69"/>
      <c r="K50" s="69"/>
      <c r="L50" s="69"/>
      <c r="M50" s="69"/>
      <c r="N50" s="70"/>
    </row>
    <row r="51" spans="2:14" ht="15" customHeight="1" x14ac:dyDescent="0.25">
      <c r="B51" s="71"/>
      <c r="C51" s="72"/>
      <c r="D51" s="72"/>
      <c r="E51" s="72"/>
      <c r="F51" s="72"/>
      <c r="G51" s="72"/>
      <c r="H51" s="72"/>
      <c r="I51" s="72"/>
      <c r="J51" s="72"/>
      <c r="K51" s="72"/>
      <c r="L51" s="72"/>
      <c r="M51" s="72"/>
      <c r="N51" s="73"/>
    </row>
    <row r="52" spans="2:14" ht="15" customHeight="1" x14ac:dyDescent="0.25">
      <c r="B52" s="71"/>
      <c r="C52" s="72"/>
      <c r="D52" s="72"/>
      <c r="E52" s="72"/>
      <c r="F52" s="72"/>
      <c r="G52" s="72"/>
      <c r="H52" s="72"/>
      <c r="I52" s="72"/>
      <c r="J52" s="72"/>
      <c r="K52" s="72"/>
      <c r="L52" s="72"/>
      <c r="M52" s="72"/>
      <c r="N52" s="73"/>
    </row>
    <row r="53" spans="2:14" ht="15" customHeight="1" thickBot="1" x14ac:dyDescent="0.3">
      <c r="B53" s="74"/>
      <c r="C53" s="75"/>
      <c r="D53" s="75"/>
      <c r="E53" s="75"/>
      <c r="F53" s="75"/>
      <c r="G53" s="75"/>
      <c r="H53" s="75"/>
      <c r="I53" s="75"/>
      <c r="J53" s="75"/>
      <c r="K53" s="75"/>
      <c r="L53" s="75"/>
      <c r="M53" s="75"/>
      <c r="N53" s="76"/>
    </row>
    <row r="54" spans="2:14" ht="15" customHeight="1" thickBot="1" x14ac:dyDescent="0.3"/>
    <row r="55" spans="2:14" ht="123" customHeight="1" thickBot="1" x14ac:dyDescent="0.3">
      <c r="B55" s="77" t="s">
        <v>275</v>
      </c>
      <c r="C55" s="78"/>
      <c r="D55" s="78"/>
      <c r="E55" s="78"/>
      <c r="F55" s="78"/>
      <c r="G55" s="78"/>
      <c r="H55" s="78"/>
      <c r="I55" s="78"/>
      <c r="J55" s="78"/>
      <c r="K55" s="78"/>
      <c r="L55" s="78"/>
      <c r="M55" s="78"/>
      <c r="N55" s="79"/>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4710-3309-4E95-B918-F53C150B0710}">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44</v>
      </c>
      <c r="D8" s="6"/>
      <c r="E8" s="11">
        <v>2.4069999999999999E-3</v>
      </c>
      <c r="F8" s="1"/>
      <c r="G8" s="24" t="s">
        <v>15</v>
      </c>
      <c r="H8" s="25">
        <v>1</v>
      </c>
      <c r="I8" s="1"/>
      <c r="J8" s="24" t="s">
        <v>12</v>
      </c>
      <c r="K8" s="24" t="s">
        <v>5</v>
      </c>
      <c r="L8" s="1"/>
      <c r="M8" s="1"/>
      <c r="N8" s="18"/>
    </row>
    <row r="9" spans="2:14" ht="15.75" customHeight="1" x14ac:dyDescent="0.25">
      <c r="B9" s="20"/>
      <c r="C9" s="7" t="s">
        <v>45</v>
      </c>
      <c r="D9" s="8"/>
      <c r="E9" s="12">
        <v>2.4069999999999999E-3</v>
      </c>
      <c r="F9" s="1"/>
      <c r="G9" s="1"/>
      <c r="H9" s="1"/>
      <c r="I9" s="1"/>
      <c r="J9" s="24" t="s">
        <v>10</v>
      </c>
      <c r="K9" s="29">
        <v>1.7978000000000001E-2</v>
      </c>
      <c r="L9" s="1"/>
      <c r="M9" s="1"/>
      <c r="N9" s="18"/>
    </row>
    <row r="10" spans="2:14" ht="15" customHeight="1" x14ac:dyDescent="0.25">
      <c r="B10" s="20"/>
      <c r="C10" s="5" t="s">
        <v>60</v>
      </c>
      <c r="D10" s="6" t="s">
        <v>189</v>
      </c>
      <c r="E10" s="11">
        <v>0.89229099999999995</v>
      </c>
      <c r="F10" s="1"/>
      <c r="G10" s="1"/>
      <c r="H10" s="1"/>
      <c r="I10" s="1"/>
      <c r="J10" s="24" t="s">
        <v>13</v>
      </c>
      <c r="K10" s="29">
        <v>5.3249999999999999E-3</v>
      </c>
      <c r="L10" s="1"/>
      <c r="M10" s="1"/>
      <c r="N10" s="18"/>
    </row>
    <row r="11" spans="2:14" ht="15" customHeight="1" x14ac:dyDescent="0.25">
      <c r="B11" s="20"/>
      <c r="C11" s="5" t="s">
        <v>59</v>
      </c>
      <c r="D11" s="6" t="s">
        <v>189</v>
      </c>
      <c r="E11" s="11">
        <v>8.1913E-2</v>
      </c>
      <c r="F11" s="1"/>
      <c r="G11" s="1"/>
      <c r="H11" s="1"/>
      <c r="I11" s="1"/>
      <c r="J11" s="24" t="s">
        <v>44</v>
      </c>
      <c r="K11" s="29">
        <v>2.4069999999999999E-3</v>
      </c>
      <c r="L11" s="1"/>
      <c r="M11" s="1"/>
      <c r="N11" s="18"/>
    </row>
    <row r="12" spans="2:14" ht="15" customHeight="1" x14ac:dyDescent="0.25">
      <c r="B12" s="20"/>
      <c r="C12" s="5" t="s">
        <v>119</v>
      </c>
      <c r="D12" s="6" t="s">
        <v>189</v>
      </c>
      <c r="E12" s="30">
        <v>4.3000000000000002E-5</v>
      </c>
      <c r="F12" s="1"/>
      <c r="G12" s="1"/>
      <c r="H12" s="1"/>
      <c r="I12" s="1"/>
      <c r="J12" s="24" t="s">
        <v>55</v>
      </c>
      <c r="K12" s="29">
        <v>0.97428999999999999</v>
      </c>
      <c r="L12" s="1"/>
      <c r="M12" s="1"/>
      <c r="N12" s="18"/>
    </row>
    <row r="13" spans="2:14" ht="15" customHeight="1" x14ac:dyDescent="0.25">
      <c r="B13" s="20"/>
      <c r="C13" s="5" t="s">
        <v>128</v>
      </c>
      <c r="D13" s="6" t="s">
        <v>189</v>
      </c>
      <c r="E13" s="30">
        <v>4.3000000000000002E-5</v>
      </c>
      <c r="F13" s="1"/>
      <c r="G13" s="1"/>
      <c r="H13" s="1"/>
      <c r="I13" s="1"/>
      <c r="J13" s="1"/>
      <c r="K13" s="1"/>
      <c r="L13" s="1"/>
      <c r="M13" s="1"/>
      <c r="N13" s="18"/>
    </row>
    <row r="14" spans="2:14" ht="15.75" customHeight="1" x14ac:dyDescent="0.25">
      <c r="B14" s="20"/>
      <c r="C14" s="7" t="s">
        <v>51</v>
      </c>
      <c r="D14" s="8"/>
      <c r="E14" s="12">
        <v>0.97428999999999999</v>
      </c>
      <c r="F14" s="1"/>
      <c r="G14" s="1"/>
      <c r="H14" s="1"/>
      <c r="I14" s="1"/>
      <c r="J14" s="1"/>
      <c r="K14" s="1"/>
      <c r="L14" s="1"/>
      <c r="M14" s="1"/>
      <c r="N14" s="18"/>
    </row>
    <row r="15" spans="2:14" ht="15" customHeight="1" x14ac:dyDescent="0.25">
      <c r="B15" s="20"/>
      <c r="C15" s="5" t="s">
        <v>8</v>
      </c>
      <c r="D15" s="6"/>
      <c r="E15" s="11">
        <v>5.3249999999999999E-3</v>
      </c>
      <c r="F15" s="1"/>
      <c r="G15" s="1"/>
      <c r="H15" s="1"/>
      <c r="I15" s="1"/>
      <c r="J15" s="1"/>
      <c r="K15" s="1"/>
      <c r="L15" s="1"/>
      <c r="M15" s="1"/>
      <c r="N15" s="18"/>
    </row>
    <row r="16" spans="2:14" ht="15.75" customHeight="1" x14ac:dyDescent="0.25">
      <c r="B16" s="20"/>
      <c r="C16" s="7" t="s">
        <v>9</v>
      </c>
      <c r="D16" s="8"/>
      <c r="E16" s="12">
        <v>5.3249999999999999E-3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1.7978000000000001E-2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27.723337071542641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270</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33.5" customHeight="1" thickBot="1" x14ac:dyDescent="0.3">
      <c r="B50" s="77" t="s">
        <v>275</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12DC-5CFA-4384-AC37-6F0A7238822F}">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57</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58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25</v>
      </c>
      <c r="D8" s="6" t="s">
        <v>28</v>
      </c>
      <c r="E8" s="11">
        <v>0.10802299999999999</v>
      </c>
      <c r="F8" s="1"/>
      <c r="G8" s="24" t="s">
        <v>15</v>
      </c>
      <c r="H8" s="25">
        <v>1</v>
      </c>
      <c r="I8" s="1"/>
      <c r="J8" s="24" t="s">
        <v>12</v>
      </c>
      <c r="K8" s="24" t="s">
        <v>5</v>
      </c>
      <c r="L8" s="1"/>
      <c r="M8" s="1"/>
      <c r="N8" s="18"/>
    </row>
    <row r="9" spans="2:14" ht="15" customHeight="1" x14ac:dyDescent="0.25">
      <c r="B9" s="20"/>
      <c r="C9" s="5" t="s">
        <v>29</v>
      </c>
      <c r="D9" s="6" t="s">
        <v>28</v>
      </c>
      <c r="E9" s="11">
        <v>0.100471</v>
      </c>
      <c r="F9" s="1"/>
      <c r="G9" s="1"/>
      <c r="H9" s="1"/>
      <c r="I9" s="1"/>
      <c r="J9" s="24" t="s">
        <v>10</v>
      </c>
      <c r="K9" s="29">
        <v>1.7101999999999999E-2</v>
      </c>
      <c r="L9" s="1"/>
      <c r="M9" s="1"/>
      <c r="N9" s="18"/>
    </row>
    <row r="10" spans="2:14" ht="15" customHeight="1" x14ac:dyDescent="0.25">
      <c r="B10" s="20"/>
      <c r="C10" s="5" t="s">
        <v>32</v>
      </c>
      <c r="D10" s="6" t="s">
        <v>28</v>
      </c>
      <c r="E10" s="11">
        <v>5.0568000000000002E-2</v>
      </c>
      <c r="F10" s="1"/>
      <c r="G10" s="1"/>
      <c r="H10" s="1"/>
      <c r="I10" s="1"/>
      <c r="J10" s="24" t="s">
        <v>13</v>
      </c>
      <c r="K10" s="29">
        <v>2.8709999999999999E-3</v>
      </c>
      <c r="L10" s="1"/>
      <c r="M10" s="1"/>
      <c r="N10" s="18"/>
    </row>
    <row r="11" spans="2:14" ht="15" customHeight="1" x14ac:dyDescent="0.25">
      <c r="B11" s="20"/>
      <c r="C11" s="5" t="s">
        <v>33</v>
      </c>
      <c r="D11" s="6" t="s">
        <v>28</v>
      </c>
      <c r="E11" s="11">
        <v>1.3731E-2</v>
      </c>
      <c r="F11" s="1"/>
      <c r="G11" s="1"/>
      <c r="H11" s="1"/>
      <c r="I11" s="1"/>
      <c r="J11" s="24" t="s">
        <v>54</v>
      </c>
      <c r="K11" s="29">
        <v>0.27279300000000001</v>
      </c>
      <c r="L11" s="1"/>
      <c r="M11" s="1"/>
      <c r="N11" s="18"/>
    </row>
    <row r="12" spans="2:14" ht="15.75" customHeight="1" x14ac:dyDescent="0.25">
      <c r="B12" s="20"/>
      <c r="C12" s="7" t="s">
        <v>43</v>
      </c>
      <c r="D12" s="8"/>
      <c r="E12" s="12">
        <v>0.27279300000000001</v>
      </c>
      <c r="F12" s="1"/>
      <c r="G12" s="1"/>
      <c r="H12" s="1"/>
      <c r="I12" s="1"/>
      <c r="J12" s="24" t="s">
        <v>44</v>
      </c>
      <c r="K12" s="29">
        <v>2.5799999999999998E-3</v>
      </c>
      <c r="L12" s="1"/>
      <c r="M12" s="1"/>
      <c r="N12" s="18"/>
    </row>
    <row r="13" spans="2:14" ht="15" customHeight="1" x14ac:dyDescent="0.25">
      <c r="B13" s="20"/>
      <c r="C13" s="5" t="s">
        <v>44</v>
      </c>
      <c r="D13" s="6"/>
      <c r="E13" s="11">
        <v>2.5799999999999998E-3</v>
      </c>
      <c r="F13" s="1"/>
      <c r="G13" s="1"/>
      <c r="H13" s="1"/>
      <c r="I13" s="1"/>
      <c r="J13" s="24" t="s">
        <v>55</v>
      </c>
      <c r="K13" s="29">
        <v>0.704654</v>
      </c>
      <c r="L13" s="1"/>
      <c r="M13" s="1"/>
      <c r="N13" s="18"/>
    </row>
    <row r="14" spans="2:14" ht="15.75" customHeight="1" x14ac:dyDescent="0.25">
      <c r="B14" s="20"/>
      <c r="C14" s="7" t="s">
        <v>45</v>
      </c>
      <c r="D14" s="8"/>
      <c r="E14" s="12">
        <v>2.5799999999999998E-3</v>
      </c>
      <c r="F14" s="1"/>
      <c r="G14" s="1"/>
      <c r="H14" s="1"/>
      <c r="I14" s="1"/>
      <c r="J14" s="1"/>
      <c r="K14" s="1"/>
      <c r="L14" s="1"/>
      <c r="M14" s="1"/>
      <c r="N14" s="18"/>
    </row>
    <row r="15" spans="2:14" ht="15" customHeight="1" x14ac:dyDescent="0.25">
      <c r="B15" s="20"/>
      <c r="C15" s="5" t="s">
        <v>59</v>
      </c>
      <c r="D15" s="6" t="s">
        <v>189</v>
      </c>
      <c r="E15" s="11">
        <v>0.51081900000000002</v>
      </c>
      <c r="F15" s="1"/>
      <c r="G15" s="1"/>
      <c r="H15" s="1"/>
      <c r="I15" s="1"/>
      <c r="J15" s="1"/>
      <c r="K15" s="1"/>
      <c r="L15" s="1"/>
      <c r="M15" s="1"/>
      <c r="N15" s="18"/>
    </row>
    <row r="16" spans="2:14" ht="15" customHeight="1" x14ac:dyDescent="0.25">
      <c r="B16" s="20"/>
      <c r="C16" s="5" t="s">
        <v>60</v>
      </c>
      <c r="D16" s="6" t="s">
        <v>189</v>
      </c>
      <c r="E16" s="11">
        <v>0.10731499999999999</v>
      </c>
      <c r="F16" s="1"/>
      <c r="G16" s="1"/>
      <c r="H16" s="1"/>
      <c r="I16" s="1"/>
      <c r="J16" s="1"/>
      <c r="K16" s="1"/>
      <c r="L16" s="1"/>
      <c r="M16" s="1"/>
      <c r="N16" s="18"/>
    </row>
    <row r="17" spans="2:14" ht="15" customHeight="1" x14ac:dyDescent="0.25">
      <c r="B17" s="20"/>
      <c r="C17" s="5" t="s">
        <v>50</v>
      </c>
      <c r="D17" s="6" t="s">
        <v>189</v>
      </c>
      <c r="E17" s="11">
        <v>8.1701999999999997E-2</v>
      </c>
      <c r="F17" s="1"/>
      <c r="G17" s="1"/>
      <c r="H17" s="1"/>
      <c r="I17" s="1"/>
      <c r="J17" s="1"/>
      <c r="K17" s="1"/>
      <c r="L17" s="1"/>
      <c r="M17" s="1"/>
      <c r="N17" s="18"/>
    </row>
    <row r="18" spans="2:14" ht="15" customHeight="1" x14ac:dyDescent="0.25">
      <c r="B18" s="20"/>
      <c r="C18" s="5" t="s">
        <v>61</v>
      </c>
      <c r="D18" s="6" t="s">
        <v>189</v>
      </c>
      <c r="E18" s="11">
        <v>2.0200000000000001E-3</v>
      </c>
      <c r="F18" s="1"/>
      <c r="G18" s="1"/>
      <c r="H18" s="1"/>
      <c r="I18" s="1"/>
      <c r="J18" s="1"/>
      <c r="K18" s="1"/>
      <c r="L18" s="1"/>
      <c r="M18" s="1"/>
      <c r="N18" s="18"/>
    </row>
    <row r="19" spans="2:14" ht="15" customHeight="1" x14ac:dyDescent="0.25">
      <c r="B19" s="20"/>
      <c r="C19" s="5" t="s">
        <v>62</v>
      </c>
      <c r="D19" s="6" t="s">
        <v>189</v>
      </c>
      <c r="E19" s="11">
        <v>2.0049999999999998E-3</v>
      </c>
      <c r="F19" s="1"/>
      <c r="G19" s="1"/>
      <c r="H19" s="1"/>
      <c r="I19" s="1"/>
      <c r="J19" s="1"/>
      <c r="K19" s="1"/>
      <c r="L19" s="1"/>
      <c r="M19" s="1"/>
      <c r="N19" s="18"/>
    </row>
    <row r="20" spans="2:14" ht="15" customHeight="1" x14ac:dyDescent="0.25">
      <c r="B20" s="20"/>
      <c r="C20" s="5" t="s">
        <v>63</v>
      </c>
      <c r="D20" s="6" t="s">
        <v>189</v>
      </c>
      <c r="E20" s="11">
        <v>7.9299999999999998E-4</v>
      </c>
      <c r="F20" s="1"/>
      <c r="G20" s="1"/>
      <c r="H20" s="1"/>
      <c r="I20" s="1"/>
      <c r="J20" s="1"/>
      <c r="K20" s="1"/>
      <c r="L20" s="1"/>
      <c r="M20" s="1"/>
      <c r="N20" s="18"/>
    </row>
    <row r="21" spans="2:14" ht="15.75" customHeight="1" x14ac:dyDescent="0.25">
      <c r="B21" s="20"/>
      <c r="C21" s="7" t="s">
        <v>51</v>
      </c>
      <c r="D21" s="8"/>
      <c r="E21" s="12">
        <v>0.704654</v>
      </c>
      <c r="F21" s="1"/>
      <c r="G21" s="1"/>
      <c r="H21" s="1"/>
      <c r="I21" s="1"/>
      <c r="J21" s="1"/>
      <c r="K21" s="1"/>
      <c r="L21" s="1"/>
      <c r="M21" s="1"/>
      <c r="N21" s="18"/>
    </row>
    <row r="22" spans="2:14" ht="15" customHeight="1" x14ac:dyDescent="0.25">
      <c r="B22" s="20"/>
      <c r="C22" s="5" t="s">
        <v>8</v>
      </c>
      <c r="D22" s="6"/>
      <c r="E22" s="11">
        <v>2.8709999999999999E-3</v>
      </c>
      <c r="F22" s="1"/>
      <c r="G22" s="1"/>
      <c r="H22" s="1"/>
      <c r="I22" s="1"/>
      <c r="J22" s="1"/>
      <c r="K22" s="1"/>
      <c r="L22" s="1"/>
      <c r="M22" s="1"/>
      <c r="N22" s="18"/>
    </row>
    <row r="23" spans="2:14" ht="15.75" customHeight="1" x14ac:dyDescent="0.25">
      <c r="B23" s="20"/>
      <c r="C23" s="7" t="s">
        <v>9</v>
      </c>
      <c r="D23" s="8"/>
      <c r="E23" s="12">
        <v>2.8709999999999999E-3</v>
      </c>
      <c r="F23" s="1"/>
      <c r="G23" s="1"/>
      <c r="H23" s="1"/>
      <c r="I23" s="1"/>
      <c r="J23" s="1"/>
      <c r="K23" s="1"/>
      <c r="L23" s="1"/>
      <c r="M23" s="1"/>
      <c r="N23" s="18"/>
    </row>
    <row r="24" spans="2:14" ht="15" customHeight="1" x14ac:dyDescent="0.25">
      <c r="B24" s="20"/>
      <c r="C24" s="5"/>
      <c r="D24" s="6"/>
      <c r="E24" s="11"/>
      <c r="F24" s="1"/>
      <c r="G24" s="85" t="s">
        <v>17</v>
      </c>
      <c r="H24" s="86"/>
      <c r="I24" s="86"/>
      <c r="J24" s="86"/>
      <c r="K24" s="86"/>
      <c r="L24" s="103">
        <v>11.46283806072017</v>
      </c>
      <c r="M24" s="27"/>
      <c r="N24" s="28"/>
    </row>
    <row r="25" spans="2:14" ht="15.75" customHeight="1" x14ac:dyDescent="0.25">
      <c r="B25" s="20"/>
      <c r="C25" s="7" t="s">
        <v>10</v>
      </c>
      <c r="D25" s="8"/>
      <c r="E25" s="12">
        <v>1.7101999999999999E-2</v>
      </c>
      <c r="F25" s="1"/>
      <c r="G25" s="1"/>
      <c r="H25" s="1"/>
      <c r="I25" s="1"/>
      <c r="J25" s="1"/>
      <c r="K25" s="1"/>
      <c r="L25" s="1"/>
      <c r="M25" s="1"/>
      <c r="N25" s="18"/>
    </row>
    <row r="26" spans="2:14" ht="15" customHeight="1" x14ac:dyDescent="0.25">
      <c r="B26" s="20"/>
      <c r="C26" s="5"/>
      <c r="D26" s="6"/>
      <c r="E26" s="11"/>
      <c r="F26" s="1"/>
      <c r="G26" s="85" t="s">
        <v>18</v>
      </c>
      <c r="H26" s="86"/>
      <c r="I26" s="86"/>
      <c r="J26" s="86"/>
      <c r="K26" s="86"/>
      <c r="L26" s="86"/>
      <c r="M26" s="86"/>
      <c r="N26" s="87"/>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270</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19.25" customHeight="1" thickBot="1" x14ac:dyDescent="0.3">
      <c r="B50" s="77" t="s">
        <v>275</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BF76-9BE1-4794-B44A-1053510E922D}">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64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65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29</v>
      </c>
      <c r="D8" s="6" t="s">
        <v>28</v>
      </c>
      <c r="E8" s="11">
        <v>0.10987</v>
      </c>
      <c r="F8" s="1"/>
      <c r="G8" s="24" t="s">
        <v>15</v>
      </c>
      <c r="H8" s="25">
        <v>1</v>
      </c>
      <c r="I8" s="1"/>
      <c r="J8" s="24" t="s">
        <v>12</v>
      </c>
      <c r="K8" s="24" t="s">
        <v>5</v>
      </c>
      <c r="L8" s="1"/>
      <c r="M8" s="1"/>
      <c r="N8" s="18"/>
    </row>
    <row r="9" spans="2:14" ht="15" customHeight="1" x14ac:dyDescent="0.25">
      <c r="B9" s="20"/>
      <c r="C9" s="5" t="s">
        <v>25</v>
      </c>
      <c r="D9" s="6" t="s">
        <v>28</v>
      </c>
      <c r="E9" s="11">
        <v>0.105959</v>
      </c>
      <c r="F9" s="1"/>
      <c r="G9" s="1"/>
      <c r="H9" s="1"/>
      <c r="I9" s="1"/>
      <c r="J9" s="24" t="s">
        <v>10</v>
      </c>
      <c r="K9" s="29">
        <v>1.6726999999999999E-2</v>
      </c>
      <c r="L9" s="1"/>
      <c r="M9" s="1"/>
      <c r="N9" s="18"/>
    </row>
    <row r="10" spans="2:14" ht="15" customHeight="1" x14ac:dyDescent="0.25">
      <c r="B10" s="20"/>
      <c r="C10" s="5" t="s">
        <v>33</v>
      </c>
      <c r="D10" s="6" t="s">
        <v>28</v>
      </c>
      <c r="E10" s="11">
        <v>0.103634</v>
      </c>
      <c r="F10" s="1"/>
      <c r="G10" s="1"/>
      <c r="H10" s="1"/>
      <c r="I10" s="1"/>
      <c r="J10" s="24" t="s">
        <v>13</v>
      </c>
      <c r="K10" s="29">
        <v>4.3810000000000003E-3</v>
      </c>
      <c r="L10" s="1"/>
      <c r="M10" s="1"/>
      <c r="N10" s="18"/>
    </row>
    <row r="11" spans="2:14" ht="15" customHeight="1" x14ac:dyDescent="0.25">
      <c r="B11" s="20"/>
      <c r="C11" s="5" t="s">
        <v>30</v>
      </c>
      <c r="D11" s="6" t="s">
        <v>28</v>
      </c>
      <c r="E11" s="11">
        <v>9.1552999999999995E-2</v>
      </c>
      <c r="F11" s="1"/>
      <c r="G11" s="1"/>
      <c r="H11" s="1"/>
      <c r="I11" s="1"/>
      <c r="J11" s="24" t="s">
        <v>54</v>
      </c>
      <c r="K11" s="29">
        <v>0.50116099999999997</v>
      </c>
      <c r="L11" s="1"/>
      <c r="M11" s="1"/>
      <c r="N11" s="18"/>
    </row>
    <row r="12" spans="2:14" ht="15" customHeight="1" x14ac:dyDescent="0.25">
      <c r="B12" s="20"/>
      <c r="C12" s="5" t="s">
        <v>32</v>
      </c>
      <c r="D12" s="6" t="s">
        <v>28</v>
      </c>
      <c r="E12" s="11">
        <v>6.0933000000000001E-2</v>
      </c>
      <c r="F12" s="1"/>
      <c r="G12" s="1"/>
      <c r="H12" s="1"/>
      <c r="I12" s="1"/>
      <c r="J12" s="24" t="s">
        <v>44</v>
      </c>
      <c r="K12" s="29">
        <v>3.1519999999999999E-3</v>
      </c>
      <c r="L12" s="1"/>
      <c r="M12" s="1"/>
      <c r="N12" s="18"/>
    </row>
    <row r="13" spans="2:14" ht="15" customHeight="1" x14ac:dyDescent="0.25">
      <c r="B13" s="20"/>
      <c r="C13" s="5" t="s">
        <v>27</v>
      </c>
      <c r="D13" s="6" t="s">
        <v>28</v>
      </c>
      <c r="E13" s="11">
        <v>2.9211999999999998E-2</v>
      </c>
      <c r="F13" s="1"/>
      <c r="G13" s="1"/>
      <c r="H13" s="1"/>
      <c r="I13" s="1"/>
      <c r="J13" s="24" t="s">
        <v>55</v>
      </c>
      <c r="K13" s="29">
        <v>0.45214700000000002</v>
      </c>
      <c r="L13" s="1"/>
      <c r="M13" s="1"/>
      <c r="N13" s="18"/>
    </row>
    <row r="14" spans="2:14" ht="15.75" customHeight="1" x14ac:dyDescent="0.25">
      <c r="B14" s="20"/>
      <c r="C14" s="7" t="s">
        <v>43</v>
      </c>
      <c r="D14" s="8"/>
      <c r="E14" s="12">
        <v>0.50116099999999997</v>
      </c>
      <c r="F14" s="1"/>
      <c r="G14" s="1"/>
      <c r="H14" s="1"/>
      <c r="I14" s="1"/>
      <c r="J14" s="24" t="s">
        <v>70</v>
      </c>
      <c r="K14" s="29">
        <v>5.8409999999999998E-3</v>
      </c>
      <c r="L14" s="1"/>
      <c r="M14" s="1"/>
      <c r="N14" s="18"/>
    </row>
    <row r="15" spans="2:14" ht="15" customHeight="1" x14ac:dyDescent="0.25">
      <c r="B15" s="20"/>
      <c r="C15" s="5" t="s">
        <v>44</v>
      </c>
      <c r="D15" s="6"/>
      <c r="E15" s="11">
        <v>3.1519999999999999E-3</v>
      </c>
      <c r="F15" s="1"/>
      <c r="G15" s="1"/>
      <c r="H15" s="1"/>
      <c r="I15" s="1"/>
      <c r="J15" s="24" t="s">
        <v>56</v>
      </c>
      <c r="K15" s="29">
        <v>1.6591000000000002E-2</v>
      </c>
      <c r="L15" s="1"/>
      <c r="M15" s="1"/>
      <c r="N15" s="18"/>
    </row>
    <row r="16" spans="2:14" ht="15.75" customHeight="1" x14ac:dyDescent="0.25">
      <c r="B16" s="20"/>
      <c r="C16" s="7" t="s">
        <v>45</v>
      </c>
      <c r="D16" s="8"/>
      <c r="E16" s="12">
        <v>3.1519999999999999E-3</v>
      </c>
      <c r="F16" s="1"/>
      <c r="G16" s="1"/>
      <c r="H16" s="1"/>
      <c r="I16" s="1"/>
      <c r="J16" s="1"/>
      <c r="K16" s="1"/>
      <c r="L16" s="1"/>
      <c r="M16" s="1"/>
      <c r="N16" s="18"/>
    </row>
    <row r="17" spans="2:14" ht="15" customHeight="1" x14ac:dyDescent="0.25">
      <c r="B17" s="20"/>
      <c r="C17" s="5" t="s">
        <v>50</v>
      </c>
      <c r="D17" s="6" t="s">
        <v>189</v>
      </c>
      <c r="E17" s="11">
        <v>0.30764900000000001</v>
      </c>
      <c r="F17" s="1"/>
      <c r="G17" s="1"/>
      <c r="H17" s="1"/>
      <c r="I17" s="1"/>
      <c r="J17" s="1"/>
      <c r="K17" s="1"/>
      <c r="L17" s="1"/>
      <c r="M17" s="1"/>
      <c r="N17" s="18"/>
    </row>
    <row r="18" spans="2:14" ht="15" customHeight="1" x14ac:dyDescent="0.25">
      <c r="B18" s="20"/>
      <c r="C18" s="5" t="s">
        <v>46</v>
      </c>
      <c r="D18" s="6" t="s">
        <v>189</v>
      </c>
      <c r="E18" s="11">
        <v>0.100579</v>
      </c>
      <c r="F18" s="1"/>
      <c r="G18" s="1"/>
      <c r="H18" s="1"/>
      <c r="I18" s="1"/>
      <c r="J18" s="1"/>
      <c r="K18" s="1"/>
      <c r="L18" s="1"/>
      <c r="M18" s="1"/>
      <c r="N18" s="18"/>
    </row>
    <row r="19" spans="2:14" ht="15" customHeight="1" x14ac:dyDescent="0.25">
      <c r="B19" s="20"/>
      <c r="C19" s="5" t="s">
        <v>49</v>
      </c>
      <c r="D19" s="6" t="s">
        <v>189</v>
      </c>
      <c r="E19" s="11">
        <v>2.3555E-2</v>
      </c>
      <c r="F19" s="1"/>
      <c r="G19" s="1"/>
      <c r="H19" s="1"/>
      <c r="I19" s="1"/>
      <c r="J19" s="1"/>
      <c r="K19" s="1"/>
      <c r="L19" s="1"/>
      <c r="M19" s="1"/>
      <c r="N19" s="18"/>
    </row>
    <row r="20" spans="2:14" ht="15" customHeight="1" x14ac:dyDescent="0.25">
      <c r="B20" s="20"/>
      <c r="C20" s="5" t="s">
        <v>47</v>
      </c>
      <c r="D20" s="6" t="s">
        <v>189</v>
      </c>
      <c r="E20" s="11">
        <v>1.8343000000000002E-2</v>
      </c>
      <c r="F20" s="1"/>
      <c r="G20" s="1"/>
      <c r="H20" s="1"/>
      <c r="I20" s="1"/>
      <c r="J20" s="1"/>
      <c r="K20" s="1"/>
      <c r="L20" s="1"/>
      <c r="M20" s="1"/>
      <c r="N20" s="18"/>
    </row>
    <row r="21" spans="2:14" ht="15" customHeight="1" x14ac:dyDescent="0.25">
      <c r="B21" s="20"/>
      <c r="C21" s="5" t="s">
        <v>61</v>
      </c>
      <c r="D21" s="6" t="s">
        <v>189</v>
      </c>
      <c r="E21" s="11">
        <v>1.217E-3</v>
      </c>
      <c r="F21" s="1"/>
      <c r="G21" s="1"/>
      <c r="H21" s="1"/>
      <c r="I21" s="1"/>
      <c r="J21" s="1"/>
      <c r="K21" s="1"/>
      <c r="L21" s="1"/>
      <c r="M21" s="1"/>
      <c r="N21" s="18"/>
    </row>
    <row r="22" spans="2:14" ht="15" customHeight="1" x14ac:dyDescent="0.25">
      <c r="B22" s="20"/>
      <c r="C22" s="5" t="s">
        <v>66</v>
      </c>
      <c r="D22" s="6" t="s">
        <v>189</v>
      </c>
      <c r="E22" s="11">
        <v>6.1399999999999996E-4</v>
      </c>
      <c r="F22" s="1"/>
      <c r="G22" s="1"/>
      <c r="H22" s="1"/>
      <c r="I22" s="1"/>
      <c r="J22" s="1"/>
      <c r="K22" s="1"/>
      <c r="L22" s="1"/>
      <c r="M22" s="1"/>
      <c r="N22" s="18"/>
    </row>
    <row r="23" spans="2:14" ht="15" customHeight="1" x14ac:dyDescent="0.25">
      <c r="B23" s="20"/>
      <c r="C23" s="5" t="s">
        <v>62</v>
      </c>
      <c r="D23" s="6" t="s">
        <v>189</v>
      </c>
      <c r="E23" s="11">
        <v>1.21E-4</v>
      </c>
      <c r="F23" s="1"/>
      <c r="G23" s="1"/>
      <c r="H23" s="1"/>
      <c r="I23" s="1"/>
      <c r="J23" s="1"/>
      <c r="K23" s="1"/>
      <c r="L23" s="1"/>
      <c r="M23" s="1"/>
      <c r="N23" s="18"/>
    </row>
    <row r="24" spans="2:14" ht="15" customHeight="1" x14ac:dyDescent="0.25">
      <c r="B24" s="20"/>
      <c r="C24" s="5" t="s">
        <v>67</v>
      </c>
      <c r="D24" s="6" t="s">
        <v>189</v>
      </c>
      <c r="E24" s="11">
        <v>6.8999999999999997E-5</v>
      </c>
      <c r="F24" s="1"/>
      <c r="G24" s="85" t="s">
        <v>17</v>
      </c>
      <c r="H24" s="86"/>
      <c r="I24" s="86"/>
      <c r="J24" s="86"/>
      <c r="K24" s="86"/>
      <c r="L24" s="26">
        <v>4.9298754449522528</v>
      </c>
      <c r="M24" s="27"/>
      <c r="N24" s="28"/>
    </row>
    <row r="25" spans="2:14" ht="15.75" customHeight="1" x14ac:dyDescent="0.25">
      <c r="B25" s="20"/>
      <c r="C25" s="7" t="s">
        <v>51</v>
      </c>
      <c r="D25" s="8"/>
      <c r="E25" s="12">
        <v>0.45214700000000002</v>
      </c>
      <c r="F25" s="1"/>
      <c r="G25" s="1"/>
      <c r="H25" s="1"/>
      <c r="I25" s="1"/>
      <c r="J25" s="1"/>
      <c r="K25" s="1"/>
      <c r="L25" s="1"/>
      <c r="M25" s="1"/>
      <c r="N25" s="18"/>
    </row>
    <row r="26" spans="2:14" ht="15" customHeight="1" x14ac:dyDescent="0.25">
      <c r="B26" s="20"/>
      <c r="C26" s="5" t="s">
        <v>273</v>
      </c>
      <c r="D26" s="6" t="s">
        <v>68</v>
      </c>
      <c r="E26" s="11">
        <v>5.8409999999999998E-3</v>
      </c>
      <c r="F26" s="1"/>
      <c r="G26" s="85" t="s">
        <v>18</v>
      </c>
      <c r="H26" s="86"/>
      <c r="I26" s="86"/>
      <c r="J26" s="86"/>
      <c r="K26" s="86"/>
      <c r="L26" s="86"/>
      <c r="M26" s="86"/>
      <c r="N26" s="87"/>
    </row>
    <row r="27" spans="2:14" ht="15.75" customHeight="1" x14ac:dyDescent="0.25">
      <c r="B27" s="20"/>
      <c r="C27" s="7" t="s">
        <v>69</v>
      </c>
      <c r="D27" s="8"/>
      <c r="E27" s="12">
        <v>5.8409999999999998E-3</v>
      </c>
      <c r="F27" s="1"/>
      <c r="G27" s="1"/>
      <c r="H27" s="1"/>
      <c r="I27" s="1"/>
      <c r="J27" s="1"/>
      <c r="K27" s="1"/>
      <c r="L27" s="1"/>
      <c r="M27" s="1"/>
      <c r="N27" s="18"/>
    </row>
    <row r="28" spans="2:14" ht="15" customHeight="1" x14ac:dyDescent="0.25">
      <c r="B28" s="20"/>
      <c r="C28" s="5" t="s">
        <v>202</v>
      </c>
      <c r="D28" s="6" t="s">
        <v>189</v>
      </c>
      <c r="E28" s="11">
        <v>9.2169999999999995E-3</v>
      </c>
      <c r="F28" s="1"/>
      <c r="G28" s="1"/>
      <c r="H28" s="1"/>
      <c r="I28" s="1"/>
      <c r="J28" s="1"/>
      <c r="K28" s="1"/>
      <c r="L28" s="1"/>
      <c r="M28" s="1"/>
      <c r="N28" s="18"/>
    </row>
    <row r="29" spans="2:14" ht="15.75" customHeight="1" x14ac:dyDescent="0.25">
      <c r="B29" s="20"/>
      <c r="C29" s="5" t="s">
        <v>201</v>
      </c>
      <c r="D29" s="6" t="s">
        <v>189</v>
      </c>
      <c r="E29" s="11">
        <v>6.1440000000000002E-3</v>
      </c>
      <c r="F29" s="1"/>
      <c r="G29" s="1"/>
      <c r="H29" s="1"/>
      <c r="I29" s="1"/>
      <c r="J29" s="1"/>
      <c r="K29" s="1"/>
      <c r="L29" s="1"/>
      <c r="M29" s="1"/>
      <c r="N29" s="18"/>
    </row>
    <row r="30" spans="2:14" ht="15" customHeight="1" x14ac:dyDescent="0.25">
      <c r="B30" s="20"/>
      <c r="C30" s="5" t="s">
        <v>203</v>
      </c>
      <c r="D30" s="6" t="s">
        <v>189</v>
      </c>
      <c r="E30" s="11">
        <v>1.23E-3</v>
      </c>
      <c r="F30" s="1"/>
      <c r="G30" s="1"/>
      <c r="H30" s="1"/>
      <c r="I30" s="1"/>
      <c r="J30" s="1"/>
      <c r="K30" s="1"/>
      <c r="L30" s="1"/>
      <c r="M30" s="1"/>
      <c r="N30" s="18"/>
    </row>
    <row r="31" spans="2:14" ht="15.75" customHeight="1" x14ac:dyDescent="0.25">
      <c r="B31" s="20"/>
      <c r="C31" s="7" t="s">
        <v>52</v>
      </c>
      <c r="D31" s="8"/>
      <c r="E31" s="12">
        <v>1.6591000000000002E-2</v>
      </c>
      <c r="F31" s="1"/>
      <c r="G31" s="1"/>
      <c r="H31" s="1"/>
      <c r="I31" s="1"/>
      <c r="J31" s="1"/>
      <c r="K31" s="1"/>
      <c r="L31" s="1"/>
      <c r="M31" s="1"/>
      <c r="N31" s="18"/>
    </row>
    <row r="32" spans="2:14" ht="15" customHeight="1" x14ac:dyDescent="0.25">
      <c r="B32" s="20"/>
      <c r="C32" s="5" t="s">
        <v>8</v>
      </c>
      <c r="D32" s="6"/>
      <c r="E32" s="11">
        <v>4.3810000000000003E-3</v>
      </c>
      <c r="F32" s="1"/>
      <c r="G32" s="1"/>
      <c r="H32" s="1"/>
      <c r="I32" s="1"/>
      <c r="J32" s="1"/>
      <c r="K32" s="1"/>
      <c r="L32" s="1"/>
      <c r="M32" s="1"/>
      <c r="N32" s="18"/>
    </row>
    <row r="33" spans="2:14" ht="15.75" customHeight="1" x14ac:dyDescent="0.25">
      <c r="B33" s="20"/>
      <c r="C33" s="7" t="s">
        <v>9</v>
      </c>
      <c r="D33" s="8"/>
      <c r="E33" s="12">
        <v>4.3810000000000003E-3</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7" t="s">
        <v>10</v>
      </c>
      <c r="D35" s="8"/>
      <c r="E35" s="12">
        <v>1.6726999999999999E-2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11</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t="s">
        <v>272</v>
      </c>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270</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9" customHeight="1" thickBot="1" x14ac:dyDescent="0.3">
      <c r="B50" s="77" t="s">
        <v>275</v>
      </c>
      <c r="C50" s="78"/>
      <c r="D50" s="78"/>
      <c r="E50" s="78"/>
      <c r="F50" s="78"/>
      <c r="G50" s="78"/>
      <c r="H50" s="78"/>
      <c r="I50" s="78"/>
      <c r="J50" s="78"/>
      <c r="K50" s="78"/>
      <c r="L50" s="78"/>
      <c r="M50" s="78"/>
      <c r="N50" s="79"/>
    </row>
    <row r="51" spans="2:14" ht="15" customHeight="1" x14ac:dyDescent="0.25"/>
    <row r="52" spans="2:14" ht="15" customHeight="1" x14ac:dyDescent="0.25"/>
    <row r="53" spans="2:14" ht="15" customHeight="1" x14ac:dyDescent="0.25"/>
    <row r="54" spans="2:14" ht="15" customHeight="1" x14ac:dyDescent="0.25"/>
    <row r="55" spans="2:14" ht="15" customHeight="1" x14ac:dyDescent="0.25"/>
  </sheetData>
  <sortState ref="C28:E30">
    <sortCondition descending="1" ref="E28"/>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3D71-5CDB-4BFA-B6AE-2CA5AF3C9CA7}">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71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72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24</v>
      </c>
      <c r="D8" s="6" t="s">
        <v>22</v>
      </c>
      <c r="E8" s="11">
        <v>5.4070000000000003E-3</v>
      </c>
      <c r="F8" s="1"/>
      <c r="G8" s="24" t="s">
        <v>15</v>
      </c>
      <c r="H8" s="25">
        <v>1</v>
      </c>
      <c r="I8" s="1"/>
      <c r="J8" s="24" t="s">
        <v>12</v>
      </c>
      <c r="K8" s="24" t="s">
        <v>5</v>
      </c>
      <c r="L8" s="1"/>
      <c r="M8" s="1"/>
      <c r="N8" s="18"/>
    </row>
    <row r="9" spans="2:14" ht="15" customHeight="1" x14ac:dyDescent="0.25">
      <c r="B9" s="20"/>
      <c r="C9" s="5" t="s">
        <v>25</v>
      </c>
      <c r="D9" s="6" t="s">
        <v>22</v>
      </c>
      <c r="E9" s="11">
        <v>5.6599999999999999E-4</v>
      </c>
      <c r="F9" s="1"/>
      <c r="G9" s="1"/>
      <c r="H9" s="1"/>
      <c r="I9" s="1"/>
      <c r="J9" s="24" t="s">
        <v>10</v>
      </c>
      <c r="K9" s="29">
        <v>3.1817999999999999E-2</v>
      </c>
      <c r="L9" s="1"/>
      <c r="M9" s="1"/>
      <c r="N9" s="18"/>
    </row>
    <row r="10" spans="2:14" ht="15.75" customHeight="1" x14ac:dyDescent="0.25">
      <c r="B10" s="20"/>
      <c r="C10" s="7" t="s">
        <v>26</v>
      </c>
      <c r="D10" s="8"/>
      <c r="E10" s="12">
        <v>5.973E-3</v>
      </c>
      <c r="F10" s="1"/>
      <c r="G10" s="1"/>
      <c r="H10" s="1"/>
      <c r="I10" s="1"/>
      <c r="J10" s="24" t="s">
        <v>13</v>
      </c>
      <c r="K10" s="29">
        <v>3.0869999999999999E-3</v>
      </c>
      <c r="L10" s="1"/>
      <c r="M10" s="1"/>
      <c r="N10" s="18"/>
    </row>
    <row r="11" spans="2:14" ht="15" customHeight="1" x14ac:dyDescent="0.25">
      <c r="B11" s="20"/>
      <c r="C11" s="5" t="s">
        <v>27</v>
      </c>
      <c r="D11" s="6" t="s">
        <v>22</v>
      </c>
      <c r="E11" s="11">
        <v>8.5710000000000005E-3</v>
      </c>
      <c r="F11" s="1"/>
      <c r="G11" s="1"/>
      <c r="H11" s="1"/>
      <c r="I11" s="1"/>
      <c r="J11" s="24" t="s">
        <v>53</v>
      </c>
      <c r="K11" s="29">
        <v>5.973E-3</v>
      </c>
      <c r="L11" s="1"/>
      <c r="M11" s="1"/>
      <c r="N11" s="18"/>
    </row>
    <row r="12" spans="2:14" ht="15.75" customHeight="1" x14ac:dyDescent="0.25">
      <c r="B12" s="20"/>
      <c r="C12" s="7" t="s">
        <v>73</v>
      </c>
      <c r="D12" s="8"/>
      <c r="E12" s="12">
        <v>8.5710000000000005E-3</v>
      </c>
      <c r="F12" s="1"/>
      <c r="G12" s="1"/>
      <c r="H12" s="1"/>
      <c r="I12" s="1"/>
      <c r="J12" s="24" t="s">
        <v>54</v>
      </c>
      <c r="K12" s="29">
        <v>0.57420499999999997</v>
      </c>
      <c r="L12" s="1"/>
      <c r="M12" s="1"/>
      <c r="N12" s="18"/>
    </row>
    <row r="13" spans="2:14" ht="15" customHeight="1" x14ac:dyDescent="0.25">
      <c r="B13" s="20"/>
      <c r="C13" s="5" t="s">
        <v>29</v>
      </c>
      <c r="D13" s="6" t="s">
        <v>28</v>
      </c>
      <c r="E13" s="11">
        <v>0.11505</v>
      </c>
      <c r="F13" s="1"/>
      <c r="G13" s="1"/>
      <c r="H13" s="1"/>
      <c r="I13" s="1"/>
      <c r="J13" s="24" t="s">
        <v>79</v>
      </c>
      <c r="K13" s="29">
        <v>8.5710000000000005E-3</v>
      </c>
      <c r="L13" s="1"/>
      <c r="M13" s="1"/>
      <c r="N13" s="18"/>
    </row>
    <row r="14" spans="2:14" ht="15" customHeight="1" x14ac:dyDescent="0.25">
      <c r="B14" s="20"/>
      <c r="C14" s="5" t="s">
        <v>25</v>
      </c>
      <c r="D14" s="6" t="s">
        <v>28</v>
      </c>
      <c r="E14" s="11">
        <v>0.110779</v>
      </c>
      <c r="F14" s="1"/>
      <c r="G14" s="1"/>
      <c r="H14" s="1"/>
      <c r="I14" s="1"/>
      <c r="J14" s="24" t="s">
        <v>44</v>
      </c>
      <c r="K14" s="29">
        <v>2.7820000000000002E-3</v>
      </c>
      <c r="L14" s="1"/>
      <c r="M14" s="1"/>
      <c r="N14" s="18"/>
    </row>
    <row r="15" spans="2:14" ht="15" customHeight="1" x14ac:dyDescent="0.25">
      <c r="B15" s="20"/>
      <c r="C15" s="5" t="s">
        <v>27</v>
      </c>
      <c r="D15" s="6" t="s">
        <v>28</v>
      </c>
      <c r="E15" s="11">
        <v>0.105626</v>
      </c>
      <c r="F15" s="1"/>
      <c r="G15" s="1"/>
      <c r="H15" s="1"/>
      <c r="I15" s="1"/>
      <c r="J15" s="24" t="s">
        <v>55</v>
      </c>
      <c r="K15" s="29">
        <v>0.37146899999999999</v>
      </c>
      <c r="L15" s="1"/>
      <c r="M15" s="1"/>
      <c r="N15" s="18"/>
    </row>
    <row r="16" spans="2:14" ht="15" customHeight="1" x14ac:dyDescent="0.25">
      <c r="B16" s="20"/>
      <c r="C16" s="5" t="s">
        <v>32</v>
      </c>
      <c r="D16" s="6" t="s">
        <v>28</v>
      </c>
      <c r="E16" s="11">
        <v>6.0352999999999997E-2</v>
      </c>
      <c r="F16" s="1"/>
      <c r="G16" s="1"/>
      <c r="H16" s="1"/>
      <c r="I16" s="1"/>
      <c r="J16" s="24" t="s">
        <v>70</v>
      </c>
      <c r="K16" s="29">
        <v>2.0950000000000001E-3</v>
      </c>
      <c r="L16" s="1"/>
      <c r="M16" s="1"/>
      <c r="N16" s="18"/>
    </row>
    <row r="17" spans="2:14" ht="15" customHeight="1" x14ac:dyDescent="0.25">
      <c r="B17" s="20"/>
      <c r="C17" s="5" t="s">
        <v>33</v>
      </c>
      <c r="D17" s="6" t="s">
        <v>28</v>
      </c>
      <c r="E17" s="11">
        <v>5.5918000000000002E-2</v>
      </c>
      <c r="F17" s="1"/>
      <c r="G17" s="1"/>
      <c r="H17" s="1"/>
      <c r="I17" s="1"/>
      <c r="J17" s="1"/>
      <c r="K17" s="1"/>
      <c r="L17" s="1"/>
      <c r="M17" s="1"/>
      <c r="N17" s="18"/>
    </row>
    <row r="18" spans="2:14" ht="15" customHeight="1" x14ac:dyDescent="0.25">
      <c r="B18" s="20"/>
      <c r="C18" s="5" t="s">
        <v>74</v>
      </c>
      <c r="D18" s="6" t="s">
        <v>28</v>
      </c>
      <c r="E18" s="11">
        <v>5.4994000000000001E-2</v>
      </c>
      <c r="F18" s="1"/>
      <c r="G18" s="1"/>
      <c r="H18" s="1"/>
      <c r="I18" s="1"/>
      <c r="J18" s="1"/>
      <c r="K18" s="1"/>
      <c r="L18" s="1"/>
      <c r="M18" s="1"/>
      <c r="N18" s="18"/>
    </row>
    <row r="19" spans="2:14" ht="15" customHeight="1" x14ac:dyDescent="0.25">
      <c r="B19" s="20"/>
      <c r="C19" s="5" t="s">
        <v>31</v>
      </c>
      <c r="D19" s="6" t="s">
        <v>28</v>
      </c>
      <c r="E19" s="11">
        <v>4.6153E-2</v>
      </c>
      <c r="F19" s="1"/>
      <c r="G19" s="1"/>
      <c r="H19" s="1"/>
      <c r="I19" s="1"/>
      <c r="J19" s="1"/>
      <c r="K19" s="1"/>
      <c r="L19" s="1"/>
      <c r="M19" s="1"/>
      <c r="N19" s="18"/>
    </row>
    <row r="20" spans="2:14" ht="15" customHeight="1" x14ac:dyDescent="0.25">
      <c r="B20" s="20"/>
      <c r="C20" s="5" t="s">
        <v>75</v>
      </c>
      <c r="D20" s="6" t="s">
        <v>28</v>
      </c>
      <c r="E20" s="11">
        <v>1.7239000000000001E-2</v>
      </c>
      <c r="F20" s="1"/>
      <c r="G20" s="1"/>
      <c r="H20" s="1"/>
      <c r="I20" s="1"/>
      <c r="J20" s="1"/>
      <c r="K20" s="1"/>
      <c r="L20" s="1"/>
      <c r="M20" s="1"/>
      <c r="N20" s="18"/>
    </row>
    <row r="21" spans="2:14" ht="15" customHeight="1" x14ac:dyDescent="0.25">
      <c r="B21" s="20"/>
      <c r="C21" s="5" t="s">
        <v>30</v>
      </c>
      <c r="D21" s="6" t="s">
        <v>28</v>
      </c>
      <c r="E21" s="11">
        <v>7.5209999999999999E-3</v>
      </c>
      <c r="F21" s="1"/>
      <c r="G21" s="1"/>
      <c r="H21" s="1"/>
      <c r="I21" s="1"/>
      <c r="J21" s="1"/>
      <c r="K21" s="1"/>
      <c r="L21" s="1"/>
      <c r="M21" s="1"/>
      <c r="N21" s="18"/>
    </row>
    <row r="22" spans="2:14" ht="15" customHeight="1" x14ac:dyDescent="0.25">
      <c r="B22" s="20"/>
      <c r="C22" s="5" t="s">
        <v>76</v>
      </c>
      <c r="D22" s="6" t="s">
        <v>28</v>
      </c>
      <c r="E22" s="11">
        <v>5.7200000000000003E-4</v>
      </c>
      <c r="F22" s="1"/>
      <c r="G22" s="1"/>
      <c r="H22" s="1"/>
      <c r="I22" s="1"/>
      <c r="J22" s="1"/>
      <c r="K22" s="1"/>
      <c r="L22" s="1"/>
      <c r="M22" s="1"/>
      <c r="N22" s="18"/>
    </row>
    <row r="23" spans="2:14" ht="15.75" customHeight="1" x14ac:dyDescent="0.25">
      <c r="B23" s="20"/>
      <c r="C23" s="7" t="s">
        <v>43</v>
      </c>
      <c r="D23" s="8"/>
      <c r="E23" s="12">
        <v>0.57420499999999997</v>
      </c>
      <c r="F23" s="1"/>
      <c r="G23" s="1"/>
      <c r="H23" s="1"/>
      <c r="I23" s="1"/>
      <c r="J23" s="1"/>
      <c r="K23" s="1"/>
      <c r="L23" s="1"/>
      <c r="M23" s="1"/>
      <c r="N23" s="18"/>
    </row>
    <row r="24" spans="2:14" ht="15" customHeight="1" x14ac:dyDescent="0.25">
      <c r="B24" s="20"/>
      <c r="C24" s="5" t="s">
        <v>44</v>
      </c>
      <c r="D24" s="6"/>
      <c r="E24" s="11">
        <v>2.7820000000000002E-3</v>
      </c>
      <c r="F24" s="1"/>
      <c r="G24" s="85" t="s">
        <v>17</v>
      </c>
      <c r="H24" s="86"/>
      <c r="I24" s="86"/>
      <c r="J24" s="86"/>
      <c r="K24" s="86"/>
      <c r="L24" s="26">
        <v>3.1867890927484424</v>
      </c>
      <c r="M24" s="27"/>
      <c r="N24" s="28"/>
    </row>
    <row r="25" spans="2:14" ht="15.75" customHeight="1" x14ac:dyDescent="0.25">
      <c r="B25" s="20"/>
      <c r="C25" s="7" t="s">
        <v>45</v>
      </c>
      <c r="D25" s="8"/>
      <c r="E25" s="12">
        <v>2.7820000000000002E-3</v>
      </c>
      <c r="F25" s="1"/>
      <c r="G25" s="1"/>
      <c r="H25" s="1"/>
      <c r="I25" s="1"/>
      <c r="J25" s="1"/>
      <c r="K25" s="1"/>
      <c r="L25" s="1"/>
      <c r="M25" s="1"/>
      <c r="N25" s="18"/>
    </row>
    <row r="26" spans="2:14" ht="15" customHeight="1" x14ac:dyDescent="0.25">
      <c r="B26" s="20"/>
      <c r="C26" s="5" t="s">
        <v>46</v>
      </c>
      <c r="D26" s="6" t="s">
        <v>189</v>
      </c>
      <c r="E26" s="11">
        <v>0.27140300000000001</v>
      </c>
      <c r="F26" s="1"/>
      <c r="G26" s="85" t="s">
        <v>18</v>
      </c>
      <c r="H26" s="86"/>
      <c r="I26" s="86"/>
      <c r="J26" s="86"/>
      <c r="K26" s="86"/>
      <c r="L26" s="86"/>
      <c r="M26" s="86"/>
      <c r="N26" s="87"/>
    </row>
    <row r="27" spans="2:14" ht="15" customHeight="1" x14ac:dyDescent="0.25">
      <c r="B27" s="20"/>
      <c r="C27" s="5" t="s">
        <v>47</v>
      </c>
      <c r="D27" s="6" t="s">
        <v>189</v>
      </c>
      <c r="E27" s="11">
        <v>9.0551000000000006E-2</v>
      </c>
      <c r="F27" s="1"/>
      <c r="G27" s="1"/>
      <c r="H27" s="1"/>
      <c r="I27" s="1"/>
      <c r="J27" s="1"/>
      <c r="K27" s="1"/>
      <c r="L27" s="1"/>
      <c r="M27" s="1"/>
      <c r="N27" s="18"/>
    </row>
    <row r="28" spans="2:14" ht="15" customHeight="1" x14ac:dyDescent="0.25">
      <c r="B28" s="20"/>
      <c r="C28" s="5" t="s">
        <v>77</v>
      </c>
      <c r="D28" s="6" t="s">
        <v>189</v>
      </c>
      <c r="E28" s="11">
        <v>8.7250000000000001E-3</v>
      </c>
      <c r="F28" s="1"/>
      <c r="G28" s="1"/>
      <c r="H28" s="1"/>
      <c r="I28" s="1"/>
      <c r="J28" s="1"/>
      <c r="K28" s="1"/>
      <c r="L28" s="1"/>
      <c r="M28" s="1"/>
      <c r="N28" s="18"/>
    </row>
    <row r="29" spans="2:14" ht="15" customHeight="1" x14ac:dyDescent="0.25">
      <c r="B29" s="20"/>
      <c r="C29" s="5" t="s">
        <v>66</v>
      </c>
      <c r="D29" s="6" t="s">
        <v>189</v>
      </c>
      <c r="E29" s="11">
        <v>4.6299999999999998E-4</v>
      </c>
      <c r="F29" s="1"/>
      <c r="G29" s="1"/>
      <c r="H29" s="1"/>
      <c r="I29" s="1"/>
      <c r="J29" s="1"/>
      <c r="K29" s="1"/>
      <c r="L29" s="1"/>
      <c r="M29" s="1"/>
      <c r="N29" s="18"/>
    </row>
    <row r="30" spans="2:14" ht="15" customHeight="1" x14ac:dyDescent="0.25">
      <c r="B30" s="20"/>
      <c r="C30" s="5" t="s">
        <v>67</v>
      </c>
      <c r="D30" s="6" t="s">
        <v>189</v>
      </c>
      <c r="E30" s="11">
        <v>1.18E-4</v>
      </c>
      <c r="F30" s="1"/>
      <c r="G30" s="1"/>
      <c r="H30" s="1"/>
      <c r="I30" s="1"/>
      <c r="J30" s="1"/>
      <c r="K30" s="1"/>
      <c r="L30" s="1"/>
      <c r="M30" s="1"/>
      <c r="N30" s="18"/>
    </row>
    <row r="31" spans="2:14" ht="15" customHeight="1" x14ac:dyDescent="0.25">
      <c r="B31" s="20"/>
      <c r="C31" s="5" t="s">
        <v>78</v>
      </c>
      <c r="D31" s="6" t="s">
        <v>189</v>
      </c>
      <c r="E31" s="11">
        <v>1.12E-4</v>
      </c>
      <c r="F31" s="1"/>
      <c r="G31" s="1"/>
      <c r="H31" s="1"/>
      <c r="I31" s="1"/>
      <c r="J31" s="1"/>
      <c r="K31" s="1"/>
      <c r="L31" s="1"/>
      <c r="M31" s="1"/>
      <c r="N31" s="18"/>
    </row>
    <row r="32" spans="2:14" ht="15" customHeight="1" x14ac:dyDescent="0.25">
      <c r="B32" s="20"/>
      <c r="C32" s="5" t="s">
        <v>62</v>
      </c>
      <c r="D32" s="6" t="s">
        <v>189</v>
      </c>
      <c r="E32" s="11">
        <v>9.7E-5</v>
      </c>
      <c r="F32" s="1"/>
      <c r="G32" s="1"/>
      <c r="H32" s="1"/>
      <c r="I32" s="1"/>
      <c r="J32" s="1"/>
      <c r="K32" s="1"/>
      <c r="L32" s="1"/>
      <c r="M32" s="1"/>
      <c r="N32" s="18"/>
    </row>
    <row r="33" spans="2:14" ht="15.75" customHeight="1" x14ac:dyDescent="0.25">
      <c r="B33" s="20"/>
      <c r="C33" s="7" t="s">
        <v>51</v>
      </c>
      <c r="D33" s="8"/>
      <c r="E33" s="12">
        <v>0.37146899999999999</v>
      </c>
      <c r="F33" s="1"/>
      <c r="G33" s="1"/>
      <c r="H33" s="1"/>
      <c r="I33" s="1"/>
      <c r="J33" s="1"/>
      <c r="K33" s="1"/>
      <c r="L33" s="1"/>
      <c r="M33" s="1"/>
      <c r="N33" s="18"/>
    </row>
    <row r="34" spans="2:14" ht="15" customHeight="1" x14ac:dyDescent="0.25">
      <c r="B34" s="20"/>
      <c r="C34" s="5" t="s">
        <v>273</v>
      </c>
      <c r="D34" s="6" t="s">
        <v>68</v>
      </c>
      <c r="E34" s="11">
        <v>2.0950000000000001E-3</v>
      </c>
      <c r="F34" s="1"/>
      <c r="G34" s="1"/>
      <c r="H34" s="1"/>
      <c r="I34" s="1"/>
      <c r="J34" s="1"/>
      <c r="K34" s="1"/>
      <c r="L34" s="1"/>
      <c r="M34" s="1"/>
      <c r="N34" s="18"/>
    </row>
    <row r="35" spans="2:14" ht="15.75" customHeight="1" x14ac:dyDescent="0.25">
      <c r="B35" s="20"/>
      <c r="C35" s="7" t="s">
        <v>69</v>
      </c>
      <c r="D35" s="8"/>
      <c r="E35" s="12">
        <v>2.0950000000000001E-3</v>
      </c>
      <c r="F35" s="1"/>
      <c r="G35" s="1"/>
      <c r="H35" s="1"/>
      <c r="I35" s="1"/>
      <c r="J35" s="1"/>
      <c r="K35" s="1"/>
      <c r="L35" s="1"/>
      <c r="M35" s="1"/>
      <c r="N35" s="18"/>
    </row>
    <row r="36" spans="2:14" ht="15" customHeight="1" x14ac:dyDescent="0.25">
      <c r="B36" s="20"/>
      <c r="C36" s="5" t="s">
        <v>8</v>
      </c>
      <c r="D36" s="6"/>
      <c r="E36" s="11">
        <v>3.0869999999999999E-3</v>
      </c>
      <c r="F36" s="1"/>
      <c r="G36" s="1"/>
      <c r="H36" s="1"/>
      <c r="I36" s="1"/>
      <c r="J36" s="1"/>
      <c r="K36" s="1"/>
      <c r="L36" s="1"/>
      <c r="M36" s="1"/>
      <c r="N36" s="18"/>
    </row>
    <row r="37" spans="2:14" ht="15.75" customHeight="1" x14ac:dyDescent="0.25">
      <c r="B37" s="20"/>
      <c r="C37" s="7" t="s">
        <v>9</v>
      </c>
      <c r="D37" s="8"/>
      <c r="E37" s="12">
        <v>3.0869999999999999E-3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75" customHeight="1" x14ac:dyDescent="0.25">
      <c r="B39" s="20"/>
      <c r="C39" s="7" t="s">
        <v>10</v>
      </c>
      <c r="D39" s="8"/>
      <c r="E39" s="12">
        <v>3.1817999999999999E-2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11</v>
      </c>
      <c r="D41" s="10"/>
      <c r="E41" s="13">
        <v>1</v>
      </c>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t="s">
        <v>272</v>
      </c>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5" customHeight="1" x14ac:dyDescent="0.25">
      <c r="B46" s="68" t="s">
        <v>270</v>
      </c>
      <c r="C46" s="69"/>
      <c r="D46" s="69"/>
      <c r="E46" s="69"/>
      <c r="F46" s="69"/>
      <c r="G46" s="69"/>
      <c r="H46" s="69"/>
      <c r="I46" s="69"/>
      <c r="J46" s="69"/>
      <c r="K46" s="69"/>
      <c r="L46" s="69"/>
      <c r="M46" s="69"/>
      <c r="N46" s="70"/>
    </row>
    <row r="47" spans="2:14" ht="15" customHeight="1" x14ac:dyDescent="0.25">
      <c r="B47" s="71"/>
      <c r="C47" s="72"/>
      <c r="D47" s="72"/>
      <c r="E47" s="72"/>
      <c r="F47" s="72"/>
      <c r="G47" s="72"/>
      <c r="H47" s="72"/>
      <c r="I47" s="72"/>
      <c r="J47" s="72"/>
      <c r="K47" s="72"/>
      <c r="L47" s="72"/>
      <c r="M47" s="72"/>
      <c r="N47" s="73"/>
    </row>
    <row r="48" spans="2:14" ht="15" customHeight="1" x14ac:dyDescent="0.25">
      <c r="B48" s="71"/>
      <c r="C48" s="72"/>
      <c r="D48" s="72"/>
      <c r="E48" s="72"/>
      <c r="F48" s="72"/>
      <c r="G48" s="72"/>
      <c r="H48" s="72"/>
      <c r="I48" s="72"/>
      <c r="J48" s="72"/>
      <c r="K48" s="72"/>
      <c r="L48" s="72"/>
      <c r="M48" s="72"/>
      <c r="N48" s="73"/>
    </row>
    <row r="49" spans="2:14" ht="15" customHeight="1" thickBot="1" x14ac:dyDescent="0.3">
      <c r="B49" s="74"/>
      <c r="C49" s="75"/>
      <c r="D49" s="75"/>
      <c r="E49" s="75"/>
      <c r="F49" s="75"/>
      <c r="G49" s="75"/>
      <c r="H49" s="75"/>
      <c r="I49" s="75"/>
      <c r="J49" s="75"/>
      <c r="K49" s="75"/>
      <c r="L49" s="75"/>
      <c r="M49" s="75"/>
      <c r="N49" s="76"/>
    </row>
    <row r="50" spans="2:14" ht="15" customHeight="1" thickBot="1" x14ac:dyDescent="0.3"/>
    <row r="51" spans="2:14" ht="129" customHeight="1" thickBot="1" x14ac:dyDescent="0.3">
      <c r="B51" s="77" t="s">
        <v>275</v>
      </c>
      <c r="C51" s="78"/>
      <c r="D51" s="78"/>
      <c r="E51" s="78"/>
      <c r="F51" s="78"/>
      <c r="G51" s="78"/>
      <c r="H51" s="78"/>
      <c r="I51" s="78"/>
      <c r="J51" s="78"/>
      <c r="K51" s="78"/>
      <c r="L51" s="78"/>
      <c r="M51" s="78"/>
      <c r="N51" s="79"/>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sheetData>
  <mergeCells count="7">
    <mergeCell ref="B46:N49"/>
    <mergeCell ref="B51:N51"/>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9970-AA5B-498B-82AE-8615A543E499}">
  <dimension ref="B1:N7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21</v>
      </c>
      <c r="D8" s="6" t="s">
        <v>22</v>
      </c>
      <c r="E8" s="11">
        <v>2.3335999999999999E-2</v>
      </c>
      <c r="F8" s="1"/>
      <c r="G8" s="24" t="s">
        <v>15</v>
      </c>
      <c r="H8" s="25">
        <v>1</v>
      </c>
      <c r="I8" s="1"/>
      <c r="J8" s="24" t="s">
        <v>12</v>
      </c>
      <c r="K8" s="24" t="s">
        <v>5</v>
      </c>
      <c r="L8" s="1"/>
      <c r="M8" s="1"/>
      <c r="N8" s="18"/>
    </row>
    <row r="9" spans="2:14" ht="15" customHeight="1" x14ac:dyDescent="0.25">
      <c r="B9" s="20"/>
      <c r="C9" s="5" t="s">
        <v>23</v>
      </c>
      <c r="D9" s="6" t="s">
        <v>22</v>
      </c>
      <c r="E9" s="11">
        <v>1.9519000000000002E-2</v>
      </c>
      <c r="F9" s="1"/>
      <c r="G9" s="1"/>
      <c r="H9" s="1"/>
      <c r="I9" s="1"/>
      <c r="J9" s="24" t="s">
        <v>10</v>
      </c>
      <c r="K9" s="29">
        <v>2.4979000000000001E-2</v>
      </c>
      <c r="L9" s="1"/>
      <c r="M9" s="1"/>
      <c r="N9" s="18"/>
    </row>
    <row r="10" spans="2:14" ht="15" customHeight="1" x14ac:dyDescent="0.25">
      <c r="B10" s="20"/>
      <c r="C10" s="5" t="s">
        <v>24</v>
      </c>
      <c r="D10" s="6" t="s">
        <v>22</v>
      </c>
      <c r="E10" s="11">
        <v>1.9515000000000001E-2</v>
      </c>
      <c r="F10" s="1"/>
      <c r="G10" s="1"/>
      <c r="H10" s="1"/>
      <c r="I10" s="1"/>
      <c r="J10" s="24" t="s">
        <v>13</v>
      </c>
      <c r="K10" s="29">
        <v>1.193E-3</v>
      </c>
      <c r="L10" s="1"/>
      <c r="M10" s="1"/>
      <c r="N10" s="18"/>
    </row>
    <row r="11" spans="2:14" ht="15" customHeight="1" x14ac:dyDescent="0.25">
      <c r="B11" s="20"/>
      <c r="C11" s="5" t="s">
        <v>25</v>
      </c>
      <c r="D11" s="6" t="s">
        <v>22</v>
      </c>
      <c r="E11" s="11">
        <v>6.5799999999999995E-4</v>
      </c>
      <c r="F11" s="1"/>
      <c r="G11" s="1"/>
      <c r="H11" s="1"/>
      <c r="I11" s="1"/>
      <c r="J11" s="24" t="s">
        <v>53</v>
      </c>
      <c r="K11" s="29">
        <v>6.3028000000000001E-2</v>
      </c>
      <c r="L11" s="1"/>
      <c r="M11" s="1"/>
      <c r="N11" s="18"/>
    </row>
    <row r="12" spans="2:14" ht="15.75" customHeight="1" x14ac:dyDescent="0.25">
      <c r="B12" s="20"/>
      <c r="C12" s="7" t="s">
        <v>26</v>
      </c>
      <c r="D12" s="8"/>
      <c r="E12" s="12">
        <v>6.3028000000000001E-2</v>
      </c>
      <c r="F12" s="1"/>
      <c r="G12" s="1"/>
      <c r="H12" s="1"/>
      <c r="I12" s="1"/>
      <c r="J12" s="24" t="s">
        <v>54</v>
      </c>
      <c r="K12" s="29">
        <v>0.70825199999999999</v>
      </c>
      <c r="L12" s="1"/>
      <c r="M12" s="1"/>
      <c r="N12" s="18"/>
    </row>
    <row r="13" spans="2:14" ht="15" customHeight="1" x14ac:dyDescent="0.25">
      <c r="B13" s="20"/>
      <c r="C13" s="5" t="s">
        <v>27</v>
      </c>
      <c r="D13" s="6" t="s">
        <v>28</v>
      </c>
      <c r="E13" s="11">
        <v>0.117553</v>
      </c>
      <c r="F13" s="1"/>
      <c r="G13" s="1"/>
      <c r="H13" s="1"/>
      <c r="I13" s="1"/>
      <c r="J13" s="24" t="s">
        <v>44</v>
      </c>
      <c r="K13" s="29">
        <v>2.5799999999999998E-3</v>
      </c>
      <c r="L13" s="1"/>
      <c r="M13" s="1"/>
      <c r="N13" s="18"/>
    </row>
    <row r="14" spans="2:14" ht="15" customHeight="1" x14ac:dyDescent="0.25">
      <c r="B14" s="20"/>
      <c r="C14" s="5" t="s">
        <v>29</v>
      </c>
      <c r="D14" s="6" t="s">
        <v>28</v>
      </c>
      <c r="E14" s="11">
        <v>0.10353</v>
      </c>
      <c r="F14" s="1"/>
      <c r="G14" s="1"/>
      <c r="H14" s="1"/>
      <c r="I14" s="1"/>
      <c r="J14" s="24" t="s">
        <v>55</v>
      </c>
      <c r="K14" s="29">
        <v>0.19636100000000001</v>
      </c>
      <c r="L14" s="1"/>
      <c r="M14" s="1"/>
      <c r="N14" s="18"/>
    </row>
    <row r="15" spans="2:14" ht="15" customHeight="1" x14ac:dyDescent="0.25">
      <c r="B15" s="20"/>
      <c r="C15" s="5" t="s">
        <v>30</v>
      </c>
      <c r="D15" s="6" t="s">
        <v>28</v>
      </c>
      <c r="E15" s="11">
        <v>9.1489000000000001E-2</v>
      </c>
      <c r="F15" s="1"/>
      <c r="G15" s="1"/>
      <c r="H15" s="1"/>
      <c r="I15" s="1"/>
      <c r="J15" s="24" t="s">
        <v>56</v>
      </c>
      <c r="K15" s="29">
        <v>3.607E-3</v>
      </c>
      <c r="L15" s="1"/>
      <c r="M15" s="1"/>
      <c r="N15" s="18"/>
    </row>
    <row r="16" spans="2:14" ht="15" customHeight="1" x14ac:dyDescent="0.25">
      <c r="B16" s="20"/>
      <c r="C16" s="5" t="s">
        <v>31</v>
      </c>
      <c r="D16" s="6" t="s">
        <v>28</v>
      </c>
      <c r="E16" s="11">
        <v>8.3790000000000003E-2</v>
      </c>
      <c r="F16" s="1"/>
      <c r="G16" s="1"/>
      <c r="H16" s="1"/>
      <c r="I16" s="1"/>
      <c r="J16" s="1"/>
      <c r="K16" s="1"/>
      <c r="L16" s="1"/>
      <c r="M16" s="1"/>
      <c r="N16" s="18"/>
    </row>
    <row r="17" spans="2:14" ht="15" customHeight="1" x14ac:dyDescent="0.25">
      <c r="B17" s="20"/>
      <c r="C17" s="5" t="s">
        <v>32</v>
      </c>
      <c r="D17" s="6" t="s">
        <v>28</v>
      </c>
      <c r="E17" s="11">
        <v>6.9563E-2</v>
      </c>
      <c r="F17" s="1"/>
      <c r="G17" s="1"/>
      <c r="H17" s="1"/>
      <c r="I17" s="1"/>
      <c r="J17" s="1"/>
      <c r="K17" s="1"/>
      <c r="L17" s="1"/>
      <c r="M17" s="1"/>
      <c r="N17" s="18"/>
    </row>
    <row r="18" spans="2:14" ht="15" customHeight="1" x14ac:dyDescent="0.25">
      <c r="B18" s="20"/>
      <c r="C18" s="5" t="s">
        <v>33</v>
      </c>
      <c r="D18" s="6" t="s">
        <v>28</v>
      </c>
      <c r="E18" s="11">
        <v>5.5849999999999997E-2</v>
      </c>
      <c r="F18" s="1"/>
      <c r="G18" s="1"/>
      <c r="H18" s="1"/>
      <c r="I18" s="1"/>
      <c r="J18" s="1"/>
      <c r="K18" s="1"/>
      <c r="L18" s="1"/>
      <c r="M18" s="1"/>
      <c r="N18" s="18"/>
    </row>
    <row r="19" spans="2:14" ht="15" customHeight="1" x14ac:dyDescent="0.25">
      <c r="B19" s="20"/>
      <c r="C19" s="5" t="s">
        <v>25</v>
      </c>
      <c r="D19" s="6" t="s">
        <v>28</v>
      </c>
      <c r="E19" s="11">
        <v>5.3496000000000002E-2</v>
      </c>
      <c r="F19" s="1"/>
      <c r="G19" s="1"/>
      <c r="H19" s="1"/>
      <c r="I19" s="1"/>
      <c r="J19" s="1"/>
      <c r="K19" s="1"/>
      <c r="L19" s="1"/>
      <c r="M19" s="1"/>
      <c r="N19" s="18"/>
    </row>
    <row r="20" spans="2:14" ht="15" customHeight="1" x14ac:dyDescent="0.25">
      <c r="B20" s="20"/>
      <c r="C20" s="5" t="s">
        <v>34</v>
      </c>
      <c r="D20" s="6" t="s">
        <v>28</v>
      </c>
      <c r="E20" s="11">
        <v>3.7714999999999999E-2</v>
      </c>
      <c r="F20" s="1"/>
      <c r="G20" s="1"/>
      <c r="H20" s="1"/>
      <c r="I20" s="1"/>
      <c r="J20" s="1"/>
      <c r="K20" s="1"/>
      <c r="L20" s="1"/>
      <c r="M20" s="1"/>
      <c r="N20" s="18"/>
    </row>
    <row r="21" spans="2:14" ht="15" customHeight="1" x14ac:dyDescent="0.25">
      <c r="B21" s="20"/>
      <c r="C21" s="5" t="s">
        <v>35</v>
      </c>
      <c r="D21" s="6" t="s">
        <v>28</v>
      </c>
      <c r="E21" s="11">
        <v>3.4417000000000003E-2</v>
      </c>
      <c r="F21" s="1"/>
      <c r="G21" s="1"/>
      <c r="H21" s="1"/>
      <c r="I21" s="1"/>
      <c r="J21" s="1"/>
      <c r="K21" s="1"/>
      <c r="L21" s="1"/>
      <c r="M21" s="1"/>
      <c r="N21" s="18"/>
    </row>
    <row r="22" spans="2:14" ht="15" customHeight="1" x14ac:dyDescent="0.25">
      <c r="B22" s="20"/>
      <c r="C22" s="5" t="s">
        <v>36</v>
      </c>
      <c r="D22" s="6" t="s">
        <v>28</v>
      </c>
      <c r="E22" s="11">
        <v>2.2057E-2</v>
      </c>
      <c r="F22" s="1"/>
      <c r="G22" s="1"/>
      <c r="H22" s="1"/>
      <c r="I22" s="1"/>
      <c r="J22" s="1"/>
      <c r="K22" s="1"/>
      <c r="L22" s="1"/>
      <c r="M22" s="1"/>
      <c r="N22" s="18"/>
    </row>
    <row r="23" spans="2:14" ht="15" customHeight="1" x14ac:dyDescent="0.25">
      <c r="B23" s="20"/>
      <c r="C23" s="5" t="s">
        <v>37</v>
      </c>
      <c r="D23" s="6" t="s">
        <v>28</v>
      </c>
      <c r="E23" s="11">
        <v>2.1471000000000001E-2</v>
      </c>
      <c r="F23" s="1"/>
      <c r="G23" s="1"/>
      <c r="H23" s="1"/>
      <c r="I23" s="1"/>
      <c r="J23" s="1"/>
      <c r="K23" s="1"/>
      <c r="L23" s="1"/>
      <c r="M23" s="1"/>
      <c r="N23" s="18"/>
    </row>
    <row r="24" spans="2:14" ht="15" customHeight="1" x14ac:dyDescent="0.25">
      <c r="B24" s="20"/>
      <c r="C24" s="5" t="s">
        <v>38</v>
      </c>
      <c r="D24" s="6" t="s">
        <v>28</v>
      </c>
      <c r="E24" s="11">
        <v>6.2370000000000004E-3</v>
      </c>
      <c r="F24" s="1"/>
      <c r="G24" s="85" t="s">
        <v>17</v>
      </c>
      <c r="H24" s="86"/>
      <c r="I24" s="86"/>
      <c r="J24" s="86"/>
      <c r="K24" s="86"/>
      <c r="L24" s="26">
        <v>2.9759811562945098</v>
      </c>
      <c r="M24" s="27"/>
      <c r="N24" s="28"/>
    </row>
    <row r="25" spans="2:14" ht="15" customHeight="1" x14ac:dyDescent="0.25">
      <c r="B25" s="20"/>
      <c r="C25" s="5" t="s">
        <v>39</v>
      </c>
      <c r="D25" s="6" t="s">
        <v>28</v>
      </c>
      <c r="E25" s="11">
        <v>3.333E-3</v>
      </c>
      <c r="F25" s="1"/>
      <c r="G25" s="1"/>
      <c r="H25" s="1"/>
      <c r="I25" s="1"/>
      <c r="J25" s="1"/>
      <c r="K25" s="1"/>
      <c r="L25" s="1"/>
      <c r="M25" s="1"/>
      <c r="N25" s="18"/>
    </row>
    <row r="26" spans="2:14" ht="15" customHeight="1" x14ac:dyDescent="0.25">
      <c r="B26" s="20"/>
      <c r="C26" s="5" t="s">
        <v>23</v>
      </c>
      <c r="D26" s="6" t="s">
        <v>28</v>
      </c>
      <c r="E26" s="11">
        <v>3.166E-3</v>
      </c>
      <c r="F26" s="1"/>
      <c r="G26" s="85" t="s">
        <v>18</v>
      </c>
      <c r="H26" s="86"/>
      <c r="I26" s="86"/>
      <c r="J26" s="86"/>
      <c r="K26" s="86"/>
      <c r="L26" s="86"/>
      <c r="M26" s="86"/>
      <c r="N26" s="87"/>
    </row>
    <row r="27" spans="2:14" ht="15" customHeight="1" x14ac:dyDescent="0.25">
      <c r="B27" s="20"/>
      <c r="C27" s="5" t="s">
        <v>40</v>
      </c>
      <c r="D27" s="6" t="s">
        <v>28</v>
      </c>
      <c r="E27" s="11">
        <v>1.738E-3</v>
      </c>
      <c r="F27" s="1"/>
      <c r="G27" s="1"/>
      <c r="H27" s="1"/>
      <c r="I27" s="1"/>
      <c r="J27" s="1"/>
      <c r="K27" s="1"/>
      <c r="L27" s="1"/>
      <c r="M27" s="1"/>
      <c r="N27" s="18"/>
    </row>
    <row r="28" spans="2:14" ht="15" customHeight="1" x14ac:dyDescent="0.25">
      <c r="B28" s="20"/>
      <c r="C28" s="5" t="s">
        <v>41</v>
      </c>
      <c r="D28" s="6" t="s">
        <v>28</v>
      </c>
      <c r="E28" s="11">
        <v>1.7359999999999999E-3</v>
      </c>
      <c r="F28" s="1"/>
      <c r="G28" s="1"/>
      <c r="H28" s="1"/>
      <c r="I28" s="1"/>
      <c r="J28" s="1"/>
      <c r="K28" s="1"/>
      <c r="L28" s="1"/>
      <c r="M28" s="1"/>
      <c r="N28" s="18"/>
    </row>
    <row r="29" spans="2:14" ht="15" customHeight="1" x14ac:dyDescent="0.25">
      <c r="B29" s="20"/>
      <c r="C29" s="5" t="s">
        <v>42</v>
      </c>
      <c r="D29" s="6" t="s">
        <v>28</v>
      </c>
      <c r="E29" s="11">
        <v>1.0059999999999999E-3</v>
      </c>
      <c r="F29" s="1"/>
      <c r="G29" s="1"/>
      <c r="H29" s="1"/>
      <c r="I29" s="1"/>
      <c r="J29" s="1"/>
      <c r="K29" s="1"/>
      <c r="L29" s="1"/>
      <c r="M29" s="1"/>
      <c r="N29" s="18"/>
    </row>
    <row r="30" spans="2:14" ht="15" customHeight="1" x14ac:dyDescent="0.25">
      <c r="B30" s="20"/>
      <c r="C30" s="5" t="s">
        <v>21</v>
      </c>
      <c r="D30" s="6" t="s">
        <v>28</v>
      </c>
      <c r="E30" s="11">
        <v>1.05E-4</v>
      </c>
      <c r="F30" s="1"/>
      <c r="G30" s="1"/>
      <c r="H30" s="1"/>
      <c r="I30" s="1"/>
      <c r="J30" s="1"/>
      <c r="K30" s="1"/>
      <c r="L30" s="1"/>
      <c r="M30" s="1"/>
      <c r="N30" s="18"/>
    </row>
    <row r="31" spans="2:14" ht="15.75" customHeight="1" x14ac:dyDescent="0.25">
      <c r="B31" s="20"/>
      <c r="C31" s="7" t="s">
        <v>43</v>
      </c>
      <c r="D31" s="8"/>
      <c r="E31" s="12">
        <v>0.70825199999999999</v>
      </c>
      <c r="F31" s="1"/>
      <c r="G31" s="1"/>
      <c r="H31" s="1"/>
      <c r="I31" s="1"/>
      <c r="J31" s="1"/>
      <c r="K31" s="1"/>
      <c r="L31" s="1"/>
      <c r="M31" s="1"/>
      <c r="N31" s="18"/>
    </row>
    <row r="32" spans="2:14" ht="15" customHeight="1" x14ac:dyDescent="0.25">
      <c r="B32" s="20"/>
      <c r="C32" s="5" t="s">
        <v>44</v>
      </c>
      <c r="D32" s="6"/>
      <c r="E32" s="11">
        <v>2.5799999999999998E-3</v>
      </c>
      <c r="F32" s="1"/>
      <c r="G32" s="1"/>
      <c r="H32" s="1"/>
      <c r="I32" s="1"/>
      <c r="J32" s="1"/>
      <c r="K32" s="1"/>
      <c r="L32" s="1"/>
      <c r="M32" s="1"/>
      <c r="N32" s="18"/>
    </row>
    <row r="33" spans="2:14" ht="15.75" customHeight="1" x14ac:dyDescent="0.25">
      <c r="B33" s="20"/>
      <c r="C33" s="7" t="s">
        <v>45</v>
      </c>
      <c r="D33" s="8"/>
      <c r="E33" s="12">
        <v>2.5799999999999998E-3</v>
      </c>
      <c r="F33" s="1"/>
      <c r="G33" s="1"/>
      <c r="H33" s="1"/>
      <c r="I33" s="1"/>
      <c r="J33" s="1"/>
      <c r="K33" s="1"/>
      <c r="L33" s="1"/>
      <c r="M33" s="1"/>
      <c r="N33" s="18"/>
    </row>
    <row r="34" spans="2:14" ht="15" customHeight="1" x14ac:dyDescent="0.25">
      <c r="B34" s="20"/>
      <c r="C34" s="5" t="s">
        <v>46</v>
      </c>
      <c r="D34" s="6" t="s">
        <v>189</v>
      </c>
      <c r="E34" s="11">
        <v>8.9845999999999995E-2</v>
      </c>
      <c r="F34" s="1"/>
      <c r="G34" s="1"/>
      <c r="H34" s="1"/>
      <c r="I34" s="1"/>
      <c r="J34" s="1"/>
      <c r="K34" s="1"/>
      <c r="L34" s="1"/>
      <c r="M34" s="1"/>
      <c r="N34" s="18"/>
    </row>
    <row r="35" spans="2:14" ht="15" customHeight="1" x14ac:dyDescent="0.25">
      <c r="B35" s="20"/>
      <c r="C35" s="5" t="s">
        <v>47</v>
      </c>
      <c r="D35" s="6" t="s">
        <v>189</v>
      </c>
      <c r="E35" s="11">
        <v>3.4581000000000001E-2</v>
      </c>
      <c r="F35" s="1"/>
      <c r="G35" s="1"/>
      <c r="H35" s="1"/>
      <c r="I35" s="1"/>
      <c r="J35" s="1"/>
      <c r="K35" s="1"/>
      <c r="L35" s="1"/>
      <c r="M35" s="1"/>
      <c r="N35" s="18"/>
    </row>
    <row r="36" spans="2:14" ht="15" customHeight="1" x14ac:dyDescent="0.25">
      <c r="B36" s="20"/>
      <c r="C36" s="5" t="s">
        <v>48</v>
      </c>
      <c r="D36" s="6" t="s">
        <v>189</v>
      </c>
      <c r="E36" s="11">
        <v>3.4078999999999998E-2</v>
      </c>
      <c r="F36" s="1"/>
      <c r="G36" s="1"/>
      <c r="H36" s="1"/>
      <c r="I36" s="1"/>
      <c r="J36" s="1"/>
      <c r="K36" s="1"/>
      <c r="L36" s="1"/>
      <c r="M36" s="1"/>
      <c r="N36" s="18"/>
    </row>
    <row r="37" spans="2:14" ht="15" customHeight="1" x14ac:dyDescent="0.25">
      <c r="B37" s="20"/>
      <c r="C37" s="5" t="s">
        <v>49</v>
      </c>
      <c r="D37" s="6" t="s">
        <v>189</v>
      </c>
      <c r="E37" s="11">
        <v>2.5904E-2</v>
      </c>
      <c r="F37" s="1"/>
      <c r="G37" s="1"/>
      <c r="H37" s="1"/>
      <c r="I37" s="1"/>
      <c r="J37" s="1"/>
      <c r="K37" s="1"/>
      <c r="L37" s="1"/>
      <c r="M37" s="1"/>
      <c r="N37" s="18"/>
    </row>
    <row r="38" spans="2:14" ht="15" customHeight="1" x14ac:dyDescent="0.25">
      <c r="B38" s="20"/>
      <c r="C38" s="5" t="s">
        <v>50</v>
      </c>
      <c r="D38" s="6" t="s">
        <v>189</v>
      </c>
      <c r="E38" s="11">
        <v>1.1951E-2</v>
      </c>
      <c r="F38" s="1"/>
      <c r="G38" s="1"/>
      <c r="H38" s="1"/>
      <c r="I38" s="1"/>
      <c r="J38" s="1"/>
      <c r="K38" s="1"/>
      <c r="L38" s="1"/>
      <c r="M38" s="1"/>
      <c r="N38" s="18"/>
    </row>
    <row r="39" spans="2:14" ht="15.75" customHeight="1" x14ac:dyDescent="0.25">
      <c r="B39" s="20"/>
      <c r="C39" s="7" t="s">
        <v>51</v>
      </c>
      <c r="D39" s="8"/>
      <c r="E39" s="12">
        <v>0.19636100000000001</v>
      </c>
      <c r="F39" s="1"/>
      <c r="G39" s="1"/>
      <c r="H39" s="1"/>
      <c r="I39" s="1"/>
      <c r="J39" s="1"/>
      <c r="K39" s="1"/>
      <c r="L39" s="1"/>
      <c r="M39" s="1"/>
      <c r="N39" s="18"/>
    </row>
    <row r="40" spans="2:14" ht="15" customHeight="1" x14ac:dyDescent="0.25">
      <c r="B40" s="20"/>
      <c r="C40" s="5" t="s">
        <v>204</v>
      </c>
      <c r="D40" s="6" t="s">
        <v>189</v>
      </c>
      <c r="E40" s="11">
        <v>1.4120000000000001E-3</v>
      </c>
      <c r="F40" s="1"/>
      <c r="G40" s="1"/>
      <c r="H40" s="1"/>
      <c r="I40" s="1"/>
      <c r="J40" s="1"/>
      <c r="K40" s="1"/>
      <c r="L40" s="1"/>
      <c r="M40" s="1"/>
      <c r="N40" s="18"/>
    </row>
    <row r="41" spans="2:14" ht="15.75" customHeight="1" x14ac:dyDescent="0.25">
      <c r="B41" s="20"/>
      <c r="C41" s="5" t="s">
        <v>209</v>
      </c>
      <c r="D41" s="6" t="s">
        <v>189</v>
      </c>
      <c r="E41" s="11">
        <v>7.0600000000000003E-4</v>
      </c>
      <c r="F41" s="1"/>
      <c r="G41" s="1"/>
      <c r="H41" s="1"/>
      <c r="I41" s="1"/>
      <c r="J41" s="1"/>
      <c r="K41" s="1"/>
      <c r="L41" s="1"/>
      <c r="M41" s="1"/>
      <c r="N41" s="18"/>
    </row>
    <row r="42" spans="2:14" ht="15" customHeight="1" x14ac:dyDescent="0.25">
      <c r="B42" s="20"/>
      <c r="C42" s="5" t="s">
        <v>208</v>
      </c>
      <c r="D42" s="6" t="s">
        <v>189</v>
      </c>
      <c r="E42" s="11">
        <v>7.0500000000000001E-4</v>
      </c>
      <c r="F42" s="1"/>
      <c r="G42" s="1"/>
      <c r="H42" s="1"/>
      <c r="I42" s="1"/>
      <c r="J42" s="1"/>
      <c r="K42" s="1"/>
      <c r="L42" s="1"/>
      <c r="M42" s="1"/>
      <c r="N42" s="18"/>
    </row>
    <row r="43" spans="2:14" ht="15.75" customHeight="1" x14ac:dyDescent="0.25">
      <c r="B43" s="20"/>
      <c r="C43" s="5" t="s">
        <v>205</v>
      </c>
      <c r="D43" s="6" t="s">
        <v>189</v>
      </c>
      <c r="E43" s="11">
        <v>3.5100000000000002E-4</v>
      </c>
      <c r="F43" s="1"/>
      <c r="G43" s="1"/>
      <c r="H43" s="1"/>
      <c r="I43" s="1"/>
      <c r="J43" s="1"/>
      <c r="K43" s="1"/>
      <c r="L43" s="1"/>
      <c r="M43" s="1"/>
      <c r="N43" s="18"/>
    </row>
    <row r="44" spans="2:14" ht="15" customHeight="1" x14ac:dyDescent="0.25">
      <c r="B44" s="20"/>
      <c r="C44" s="5" t="s">
        <v>207</v>
      </c>
      <c r="D44" s="6" t="s">
        <v>189</v>
      </c>
      <c r="E44" s="11">
        <v>3.5E-4</v>
      </c>
      <c r="F44" s="1"/>
      <c r="G44" s="1"/>
      <c r="H44" s="1"/>
      <c r="I44" s="1"/>
      <c r="J44" s="1"/>
      <c r="K44" s="1"/>
      <c r="L44" s="1"/>
      <c r="M44" s="1"/>
      <c r="N44" s="18"/>
    </row>
    <row r="45" spans="2:14" ht="15.75" customHeight="1" x14ac:dyDescent="0.25">
      <c r="B45" s="20"/>
      <c r="C45" s="5" t="s">
        <v>206</v>
      </c>
      <c r="D45" s="6" t="s">
        <v>189</v>
      </c>
      <c r="E45" s="11">
        <v>8.2999999999999998E-5</v>
      </c>
      <c r="F45" s="1"/>
      <c r="G45" s="1"/>
      <c r="H45" s="1"/>
      <c r="I45" s="1"/>
      <c r="J45" s="1"/>
      <c r="K45" s="1"/>
      <c r="L45" s="1"/>
      <c r="M45" s="1"/>
      <c r="N45" s="18"/>
    </row>
    <row r="46" spans="2:14" ht="15" customHeight="1" x14ac:dyDescent="0.25">
      <c r="B46" s="20"/>
      <c r="C46" s="7" t="s">
        <v>52</v>
      </c>
      <c r="D46" s="8"/>
      <c r="E46" s="12">
        <v>3.607E-3</v>
      </c>
      <c r="F46" s="1"/>
      <c r="G46" s="1"/>
      <c r="H46" s="1"/>
      <c r="I46" s="1"/>
      <c r="J46" s="1"/>
      <c r="K46" s="1"/>
      <c r="L46" s="1"/>
      <c r="M46" s="1"/>
      <c r="N46" s="18"/>
    </row>
    <row r="47" spans="2:14" ht="15" customHeight="1" x14ac:dyDescent="0.25">
      <c r="B47" s="20"/>
      <c r="C47" s="5" t="s">
        <v>8</v>
      </c>
      <c r="D47" s="6"/>
      <c r="E47" s="11">
        <v>1.193E-3</v>
      </c>
      <c r="F47" s="1"/>
      <c r="G47" s="1"/>
      <c r="H47" s="1"/>
      <c r="I47" s="1"/>
      <c r="J47" s="1"/>
      <c r="K47" s="1"/>
      <c r="L47" s="1"/>
      <c r="M47" s="1"/>
      <c r="N47" s="18"/>
    </row>
    <row r="48" spans="2:14" ht="15" customHeight="1" x14ac:dyDescent="0.25">
      <c r="B48" s="20"/>
      <c r="C48" s="7" t="s">
        <v>9</v>
      </c>
      <c r="D48" s="8"/>
      <c r="E48" s="12">
        <v>1.193E-3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7" t="s">
        <v>10</v>
      </c>
      <c r="D50" s="8"/>
      <c r="E50" s="12">
        <v>2.4979000000000001E-2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11</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x14ac:dyDescent="0.25">
      <c r="B54" s="20"/>
      <c r="C54" s="1"/>
      <c r="D54" s="1"/>
      <c r="E54" s="1"/>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5" customHeight="1" x14ac:dyDescent="0.25">
      <c r="B57" s="68" t="s">
        <v>270</v>
      </c>
      <c r="C57" s="69"/>
      <c r="D57" s="69"/>
      <c r="E57" s="69"/>
      <c r="F57" s="69"/>
      <c r="G57" s="69"/>
      <c r="H57" s="69"/>
      <c r="I57" s="69"/>
      <c r="J57" s="69"/>
      <c r="K57" s="69"/>
      <c r="L57" s="69"/>
      <c r="M57" s="69"/>
      <c r="N57" s="70"/>
    </row>
    <row r="58" spans="2:14" ht="15" customHeight="1" x14ac:dyDescent="0.25">
      <c r="B58" s="71"/>
      <c r="C58" s="72"/>
      <c r="D58" s="72"/>
      <c r="E58" s="72"/>
      <c r="F58" s="72"/>
      <c r="G58" s="72"/>
      <c r="H58" s="72"/>
      <c r="I58" s="72"/>
      <c r="J58" s="72"/>
      <c r="K58" s="72"/>
      <c r="L58" s="72"/>
      <c r="M58" s="72"/>
      <c r="N58" s="73"/>
    </row>
    <row r="59" spans="2:14" ht="15" customHeight="1" x14ac:dyDescent="0.25">
      <c r="B59" s="71"/>
      <c r="C59" s="72"/>
      <c r="D59" s="72"/>
      <c r="E59" s="72"/>
      <c r="F59" s="72"/>
      <c r="G59" s="72"/>
      <c r="H59" s="72"/>
      <c r="I59" s="72"/>
      <c r="J59" s="72"/>
      <c r="K59" s="72"/>
      <c r="L59" s="72"/>
      <c r="M59" s="72"/>
      <c r="N59" s="73"/>
    </row>
    <row r="60" spans="2:14" ht="15" customHeight="1" thickBot="1" x14ac:dyDescent="0.3">
      <c r="B60" s="74"/>
      <c r="C60" s="75"/>
      <c r="D60" s="75"/>
      <c r="E60" s="75"/>
      <c r="F60" s="75"/>
      <c r="G60" s="75"/>
      <c r="H60" s="75"/>
      <c r="I60" s="75"/>
      <c r="J60" s="75"/>
      <c r="K60" s="75"/>
      <c r="L60" s="75"/>
      <c r="M60" s="75"/>
      <c r="N60" s="76"/>
    </row>
    <row r="61" spans="2:14" ht="15" customHeight="1" thickBot="1" x14ac:dyDescent="0.3"/>
    <row r="62" spans="2:14" ht="120.75" customHeight="1" thickBot="1" x14ac:dyDescent="0.3">
      <c r="B62" s="77" t="s">
        <v>275</v>
      </c>
      <c r="C62" s="78"/>
      <c r="D62" s="78"/>
      <c r="E62" s="78"/>
      <c r="F62" s="78"/>
      <c r="G62" s="78"/>
      <c r="H62" s="78"/>
      <c r="I62" s="78"/>
      <c r="J62" s="78"/>
      <c r="K62" s="78"/>
      <c r="L62" s="78"/>
      <c r="M62" s="78"/>
      <c r="N62" s="79"/>
    </row>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40:E45">
    <sortCondition descending="1" ref="E40"/>
  </sortState>
  <mergeCells count="7">
    <mergeCell ref="B57:N60"/>
    <mergeCell ref="B62:N62"/>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06C8-6E5F-4AA0-B700-6BEBFF988FE0}">
  <dimension ref="B1:N74"/>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t="s">
        <v>188</v>
      </c>
      <c r="C2" s="16"/>
      <c r="D2" s="16"/>
      <c r="E2" s="16"/>
      <c r="F2" s="16"/>
      <c r="G2" s="16"/>
      <c r="H2" s="16"/>
      <c r="I2" s="16"/>
      <c r="J2" s="16"/>
      <c r="K2" s="16"/>
      <c r="L2" s="16"/>
      <c r="M2" s="16"/>
      <c r="N2" s="17"/>
    </row>
    <row r="3" spans="2:14" ht="20.25" customHeight="1" x14ac:dyDescent="0.25">
      <c r="B3" s="20"/>
      <c r="C3" s="80" t="s">
        <v>80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81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25</v>
      </c>
      <c r="D8" s="6" t="s">
        <v>22</v>
      </c>
      <c r="E8" s="11">
        <v>3.4400000000000001E-4</v>
      </c>
      <c r="F8" s="1"/>
      <c r="G8" s="24" t="s">
        <v>15</v>
      </c>
      <c r="H8" s="25">
        <v>1</v>
      </c>
      <c r="I8" s="1"/>
      <c r="J8" s="24" t="s">
        <v>12</v>
      </c>
      <c r="K8" s="24" t="s">
        <v>5</v>
      </c>
      <c r="L8" s="1"/>
      <c r="M8" s="1"/>
      <c r="N8" s="18"/>
    </row>
    <row r="9" spans="2:14" ht="15.75" customHeight="1" x14ac:dyDescent="0.25">
      <c r="B9" s="20"/>
      <c r="C9" s="7" t="s">
        <v>26</v>
      </c>
      <c r="D9" s="8"/>
      <c r="E9" s="12">
        <v>3.4400000000000001E-4</v>
      </c>
      <c r="F9" s="1"/>
      <c r="G9" s="1"/>
      <c r="H9" s="1"/>
      <c r="I9" s="1"/>
      <c r="J9" s="24" t="s">
        <v>10</v>
      </c>
      <c r="K9" s="29">
        <v>2.5343999999999998E-2</v>
      </c>
      <c r="L9" s="1"/>
      <c r="M9" s="1"/>
      <c r="N9" s="18"/>
    </row>
    <row r="10" spans="2:14" ht="15" customHeight="1" x14ac:dyDescent="0.25">
      <c r="B10" s="20"/>
      <c r="C10" s="5" t="s">
        <v>29</v>
      </c>
      <c r="D10" s="6" t="s">
        <v>28</v>
      </c>
      <c r="E10" s="11">
        <v>0.10291500000000001</v>
      </c>
      <c r="F10" s="1"/>
      <c r="G10" s="1"/>
      <c r="H10" s="1"/>
      <c r="I10" s="1"/>
      <c r="J10" s="24" t="s">
        <v>13</v>
      </c>
      <c r="K10" s="29">
        <v>2.5772E-2</v>
      </c>
      <c r="L10" s="1"/>
      <c r="M10" s="1"/>
      <c r="N10" s="18"/>
    </row>
    <row r="11" spans="2:14" ht="15" customHeight="1" x14ac:dyDescent="0.25">
      <c r="B11" s="20"/>
      <c r="C11" s="5" t="s">
        <v>40</v>
      </c>
      <c r="D11" s="6" t="s">
        <v>28</v>
      </c>
      <c r="E11" s="11">
        <v>8.9441999999999994E-2</v>
      </c>
      <c r="F11" s="1"/>
      <c r="G11" s="1"/>
      <c r="H11" s="1"/>
      <c r="I11" s="1"/>
      <c r="J11" s="24" t="s">
        <v>53</v>
      </c>
      <c r="K11" s="29">
        <v>3.4400000000000001E-4</v>
      </c>
      <c r="L11" s="1"/>
      <c r="M11" s="1"/>
      <c r="N11" s="18"/>
    </row>
    <row r="12" spans="2:14" ht="15" customHeight="1" x14ac:dyDescent="0.25">
      <c r="B12" s="20"/>
      <c r="C12" s="5" t="s">
        <v>33</v>
      </c>
      <c r="D12" s="6" t="s">
        <v>28</v>
      </c>
      <c r="E12" s="11">
        <v>8.7790999999999994E-2</v>
      </c>
      <c r="F12" s="1"/>
      <c r="G12" s="1"/>
      <c r="H12" s="1"/>
      <c r="I12" s="1"/>
      <c r="J12" s="24" t="s">
        <v>54</v>
      </c>
      <c r="K12" s="29">
        <v>0.67746499999999998</v>
      </c>
      <c r="L12" s="1"/>
      <c r="M12" s="1"/>
      <c r="N12" s="18"/>
    </row>
    <row r="13" spans="2:14" ht="15" customHeight="1" x14ac:dyDescent="0.25">
      <c r="B13" s="20"/>
      <c r="C13" s="5" t="s">
        <v>32</v>
      </c>
      <c r="D13" s="6" t="s">
        <v>28</v>
      </c>
      <c r="E13" s="11">
        <v>6.5222000000000002E-2</v>
      </c>
      <c r="F13" s="1"/>
      <c r="G13" s="1"/>
      <c r="H13" s="1"/>
      <c r="I13" s="1"/>
      <c r="J13" s="24" t="s">
        <v>44</v>
      </c>
      <c r="K13" s="29">
        <v>2.849E-3</v>
      </c>
      <c r="L13" s="1"/>
      <c r="M13" s="1"/>
      <c r="N13" s="18"/>
    </row>
    <row r="14" spans="2:14" ht="15" customHeight="1" x14ac:dyDescent="0.25">
      <c r="B14" s="20"/>
      <c r="C14" s="5" t="s">
        <v>38</v>
      </c>
      <c r="D14" s="6" t="s">
        <v>28</v>
      </c>
      <c r="E14" s="11">
        <v>6.1287000000000001E-2</v>
      </c>
      <c r="F14" s="1"/>
      <c r="G14" s="1"/>
      <c r="H14" s="1"/>
      <c r="I14" s="1"/>
      <c r="J14" s="24" t="s">
        <v>55</v>
      </c>
      <c r="K14" s="29">
        <v>0.263291</v>
      </c>
      <c r="L14" s="1"/>
      <c r="M14" s="1"/>
      <c r="N14" s="18"/>
    </row>
    <row r="15" spans="2:14" ht="15" customHeight="1" x14ac:dyDescent="0.25">
      <c r="B15" s="20"/>
      <c r="C15" s="5" t="s">
        <v>25</v>
      </c>
      <c r="D15" s="6" t="s">
        <v>28</v>
      </c>
      <c r="E15" s="11">
        <v>5.6867000000000001E-2</v>
      </c>
      <c r="F15" s="1"/>
      <c r="G15" s="1"/>
      <c r="H15" s="1"/>
      <c r="I15" s="1"/>
      <c r="J15" s="24"/>
      <c r="K15" s="29"/>
      <c r="L15" s="1"/>
      <c r="M15" s="1"/>
      <c r="N15" s="18"/>
    </row>
    <row r="16" spans="2:14" ht="15" customHeight="1" x14ac:dyDescent="0.25">
      <c r="B16" s="20"/>
      <c r="C16" s="5" t="s">
        <v>27</v>
      </c>
      <c r="D16" s="6" t="s">
        <v>28</v>
      </c>
      <c r="E16" s="11">
        <v>5.4167E-2</v>
      </c>
      <c r="F16" s="1"/>
      <c r="G16" s="1"/>
      <c r="H16" s="1"/>
      <c r="I16" s="1"/>
      <c r="J16" s="24" t="s">
        <v>56</v>
      </c>
      <c r="K16" s="29">
        <v>9.0899999999999998E-4</v>
      </c>
      <c r="L16" s="1"/>
      <c r="M16" s="1"/>
      <c r="N16" s="18"/>
    </row>
    <row r="17" spans="2:14" ht="15" customHeight="1" x14ac:dyDescent="0.25">
      <c r="B17" s="20"/>
      <c r="C17" s="5" t="s">
        <v>76</v>
      </c>
      <c r="D17" s="6" t="s">
        <v>28</v>
      </c>
      <c r="E17" s="11">
        <v>4.2342999999999999E-2</v>
      </c>
      <c r="F17" s="1"/>
      <c r="G17" s="1"/>
      <c r="H17" s="1"/>
      <c r="I17" s="1"/>
      <c r="J17" s="24" t="s">
        <v>85</v>
      </c>
      <c r="K17" s="29">
        <v>4.0260000000000001E-3</v>
      </c>
      <c r="L17" s="1"/>
      <c r="M17" s="1"/>
      <c r="N17" s="18"/>
    </row>
    <row r="18" spans="2:14" ht="15" customHeight="1" x14ac:dyDescent="0.25">
      <c r="B18" s="20"/>
      <c r="C18" s="5" t="s">
        <v>31</v>
      </c>
      <c r="D18" s="6" t="s">
        <v>28</v>
      </c>
      <c r="E18" s="11">
        <v>3.6101000000000001E-2</v>
      </c>
      <c r="F18" s="1"/>
      <c r="G18" s="1"/>
      <c r="H18" s="1"/>
      <c r="I18" s="1"/>
      <c r="J18" s="1"/>
      <c r="K18" s="1"/>
      <c r="L18" s="1"/>
      <c r="M18" s="1"/>
      <c r="N18" s="18"/>
    </row>
    <row r="19" spans="2:14" ht="15" customHeight="1" x14ac:dyDescent="0.25">
      <c r="B19" s="20"/>
      <c r="C19" s="5" t="s">
        <v>74</v>
      </c>
      <c r="D19" s="6" t="s">
        <v>28</v>
      </c>
      <c r="E19" s="11">
        <v>2.1048000000000001E-2</v>
      </c>
      <c r="F19" s="1"/>
      <c r="G19" s="1"/>
      <c r="H19" s="1"/>
      <c r="I19" s="1"/>
      <c r="J19" s="1"/>
      <c r="K19" s="1"/>
      <c r="L19" s="1"/>
      <c r="M19" s="1"/>
      <c r="N19" s="18"/>
    </row>
    <row r="20" spans="2:14" ht="15" customHeight="1" x14ac:dyDescent="0.25">
      <c r="B20" s="20"/>
      <c r="C20" s="5" t="s">
        <v>39</v>
      </c>
      <c r="D20" s="6" t="s">
        <v>28</v>
      </c>
      <c r="E20" s="11">
        <v>1.2652999999999999E-2</v>
      </c>
      <c r="F20" s="1"/>
      <c r="G20" s="1"/>
      <c r="H20" s="1"/>
      <c r="I20" s="1"/>
      <c r="J20" s="1"/>
      <c r="K20" s="1"/>
      <c r="L20" s="1"/>
      <c r="M20" s="1"/>
      <c r="N20" s="18"/>
    </row>
    <row r="21" spans="2:14" ht="15" customHeight="1" x14ac:dyDescent="0.25">
      <c r="B21" s="20"/>
      <c r="C21" s="5" t="s">
        <v>37</v>
      </c>
      <c r="D21" s="6" t="s">
        <v>28</v>
      </c>
      <c r="E21" s="11">
        <v>1.1613E-2</v>
      </c>
      <c r="F21" s="1"/>
      <c r="G21" s="1"/>
      <c r="H21" s="1"/>
      <c r="I21" s="1"/>
      <c r="J21" s="1"/>
      <c r="K21" s="1"/>
      <c r="L21" s="1"/>
      <c r="M21" s="1"/>
      <c r="N21" s="18"/>
    </row>
    <row r="22" spans="2:14" ht="15" customHeight="1" x14ac:dyDescent="0.25">
      <c r="B22" s="20"/>
      <c r="C22" s="5" t="s">
        <v>82</v>
      </c>
      <c r="D22" s="6" t="s">
        <v>28</v>
      </c>
      <c r="E22" s="11">
        <v>1.1259999999999999E-2</v>
      </c>
      <c r="F22" s="1"/>
      <c r="G22" s="1"/>
      <c r="H22" s="1"/>
      <c r="I22" s="1"/>
      <c r="J22" s="1"/>
      <c r="K22" s="1"/>
      <c r="L22" s="1"/>
      <c r="M22" s="1"/>
      <c r="N22" s="18"/>
    </row>
    <row r="23" spans="2:14" ht="15" customHeight="1" x14ac:dyDescent="0.25">
      <c r="B23" s="20"/>
      <c r="C23" s="5" t="s">
        <v>30</v>
      </c>
      <c r="D23" s="6" t="s">
        <v>28</v>
      </c>
      <c r="E23" s="11">
        <v>9.0930000000000004E-3</v>
      </c>
      <c r="F23" s="1"/>
      <c r="G23" s="1"/>
      <c r="H23" s="1"/>
      <c r="I23" s="1"/>
      <c r="J23" s="1"/>
      <c r="K23" s="1"/>
      <c r="L23" s="1"/>
      <c r="M23" s="1"/>
      <c r="N23" s="18"/>
    </row>
    <row r="24" spans="2:14" ht="15" customHeight="1" x14ac:dyDescent="0.25">
      <c r="B24" s="20"/>
      <c r="C24" s="5" t="s">
        <v>34</v>
      </c>
      <c r="D24" s="6" t="s">
        <v>28</v>
      </c>
      <c r="E24" s="11">
        <v>6.9069999999999999E-3</v>
      </c>
      <c r="F24" s="1"/>
      <c r="G24" s="85" t="s">
        <v>17</v>
      </c>
      <c r="H24" s="86"/>
      <c r="I24" s="86"/>
      <c r="J24" s="86"/>
      <c r="K24" s="86"/>
      <c r="L24" s="26">
        <v>3.9621885513600712</v>
      </c>
      <c r="M24" s="27"/>
      <c r="N24" s="28"/>
    </row>
    <row r="25" spans="2:14" ht="15" customHeight="1" x14ac:dyDescent="0.25">
      <c r="B25" s="20"/>
      <c r="C25" s="5" t="s">
        <v>210</v>
      </c>
      <c r="D25" s="6" t="s">
        <v>28</v>
      </c>
      <c r="E25" s="11">
        <v>1.853E-3</v>
      </c>
      <c r="F25" s="1"/>
      <c r="G25" s="1"/>
      <c r="H25" s="1"/>
      <c r="I25" s="1"/>
      <c r="J25" s="1"/>
      <c r="K25" s="1"/>
      <c r="L25" s="1"/>
      <c r="M25" s="1"/>
      <c r="N25" s="18"/>
    </row>
    <row r="26" spans="2:14" ht="15" customHeight="1" x14ac:dyDescent="0.25">
      <c r="B26" s="20"/>
      <c r="C26" s="5" t="s">
        <v>83</v>
      </c>
      <c r="D26" s="6" t="s">
        <v>28</v>
      </c>
      <c r="E26" s="11">
        <v>1.817E-3</v>
      </c>
      <c r="F26" s="1"/>
      <c r="G26" s="85" t="s">
        <v>18</v>
      </c>
      <c r="H26" s="86"/>
      <c r="I26" s="86"/>
      <c r="J26" s="86"/>
      <c r="K26" s="86"/>
      <c r="L26" s="86"/>
      <c r="M26" s="86"/>
      <c r="N26" s="87"/>
    </row>
    <row r="27" spans="2:14" ht="15" customHeight="1" x14ac:dyDescent="0.25">
      <c r="B27" s="20"/>
      <c r="C27" s="5" t="s">
        <v>75</v>
      </c>
      <c r="D27" s="6" t="s">
        <v>28</v>
      </c>
      <c r="E27" s="11">
        <v>1.812E-3</v>
      </c>
      <c r="F27" s="1"/>
      <c r="G27" s="1"/>
      <c r="H27" s="1"/>
      <c r="I27" s="1"/>
      <c r="J27" s="1"/>
      <c r="K27" s="1"/>
      <c r="L27" s="1"/>
      <c r="M27" s="1"/>
      <c r="N27" s="18"/>
    </row>
    <row r="28" spans="2:14" ht="15" customHeight="1" x14ac:dyDescent="0.25">
      <c r="B28" s="20"/>
      <c r="C28" s="5" t="s">
        <v>23</v>
      </c>
      <c r="D28" s="6" t="s">
        <v>28</v>
      </c>
      <c r="E28" s="11">
        <v>1.462E-3</v>
      </c>
      <c r="F28" s="1"/>
      <c r="G28" s="1"/>
      <c r="H28" s="1"/>
      <c r="I28" s="1"/>
      <c r="J28" s="1"/>
      <c r="K28" s="1"/>
      <c r="L28" s="1"/>
      <c r="M28" s="1"/>
      <c r="N28" s="18"/>
    </row>
    <row r="29" spans="2:14" ht="15" customHeight="1" x14ac:dyDescent="0.25">
      <c r="B29" s="20"/>
      <c r="C29" s="5" t="s">
        <v>36</v>
      </c>
      <c r="D29" s="6" t="s">
        <v>28</v>
      </c>
      <c r="E29" s="11">
        <v>1.0870000000000001E-3</v>
      </c>
      <c r="F29" s="1"/>
      <c r="G29" s="1"/>
      <c r="H29" s="1"/>
      <c r="I29" s="1"/>
      <c r="J29" s="1"/>
      <c r="K29" s="1"/>
      <c r="L29" s="1"/>
      <c r="M29" s="1"/>
      <c r="N29" s="18"/>
    </row>
    <row r="30" spans="2:14" ht="15.75" customHeight="1" x14ac:dyDescent="0.25">
      <c r="B30" s="20"/>
      <c r="C30" s="5" t="s">
        <v>35</v>
      </c>
      <c r="D30" s="6" t="s">
        <v>28</v>
      </c>
      <c r="E30" s="11">
        <v>7.2499999999999995E-4</v>
      </c>
      <c r="F30" s="1"/>
      <c r="G30" s="1"/>
      <c r="H30" s="1"/>
      <c r="I30" s="1"/>
      <c r="J30" s="1"/>
      <c r="K30" s="1"/>
      <c r="L30" s="1"/>
      <c r="M30" s="1"/>
      <c r="N30" s="18"/>
    </row>
    <row r="31" spans="2:14" ht="15" customHeight="1" x14ac:dyDescent="0.25">
      <c r="B31" s="20"/>
      <c r="C31" s="7" t="s">
        <v>43</v>
      </c>
      <c r="D31" s="8"/>
      <c r="E31" s="12">
        <v>0.67746499999999998</v>
      </c>
      <c r="F31" s="1"/>
      <c r="G31" s="1"/>
      <c r="H31" s="1"/>
      <c r="I31" s="1"/>
      <c r="J31" s="1"/>
      <c r="K31" s="1"/>
      <c r="L31" s="1"/>
      <c r="M31" s="1"/>
      <c r="N31" s="18"/>
    </row>
    <row r="32" spans="2:14" ht="15.75" customHeight="1" x14ac:dyDescent="0.25">
      <c r="B32" s="20"/>
      <c r="C32" s="5" t="s">
        <v>44</v>
      </c>
      <c r="D32" s="6"/>
      <c r="E32" s="11">
        <v>2.849E-3</v>
      </c>
      <c r="F32" s="1"/>
      <c r="G32" s="1"/>
      <c r="H32" s="1"/>
      <c r="I32" s="1"/>
      <c r="J32" s="1"/>
      <c r="K32" s="1"/>
      <c r="L32" s="1"/>
      <c r="M32" s="1"/>
      <c r="N32" s="18"/>
    </row>
    <row r="33" spans="2:14" ht="15" customHeight="1" x14ac:dyDescent="0.25">
      <c r="B33" s="20"/>
      <c r="C33" s="7" t="s">
        <v>45</v>
      </c>
      <c r="D33" s="8"/>
      <c r="E33" s="12">
        <v>2.849E-3</v>
      </c>
      <c r="F33" s="1"/>
      <c r="G33" s="1"/>
      <c r="H33" s="1"/>
      <c r="I33" s="1"/>
      <c r="J33" s="1"/>
      <c r="K33" s="1"/>
      <c r="L33" s="1"/>
      <c r="M33" s="1"/>
      <c r="N33" s="18"/>
    </row>
    <row r="34" spans="2:14" ht="15" customHeight="1" x14ac:dyDescent="0.25">
      <c r="B34" s="20"/>
      <c r="C34" s="5" t="s">
        <v>49</v>
      </c>
      <c r="D34" s="6" t="s">
        <v>189</v>
      </c>
      <c r="E34" s="11">
        <v>0.14133899999999999</v>
      </c>
      <c r="F34" s="1"/>
      <c r="G34" s="1"/>
      <c r="H34" s="1"/>
      <c r="I34" s="1"/>
      <c r="J34" s="1"/>
      <c r="K34" s="1"/>
      <c r="L34" s="1"/>
      <c r="M34" s="1"/>
      <c r="N34" s="18"/>
    </row>
    <row r="35" spans="2:14" ht="15" customHeight="1" x14ac:dyDescent="0.25">
      <c r="B35" s="20"/>
      <c r="C35" s="5" t="s">
        <v>50</v>
      </c>
      <c r="D35" s="6" t="s">
        <v>189</v>
      </c>
      <c r="E35" s="11">
        <v>9.9186999999999997E-2</v>
      </c>
      <c r="F35" s="1"/>
      <c r="G35" s="1"/>
      <c r="H35" s="1"/>
      <c r="I35" s="1"/>
      <c r="J35" s="1"/>
      <c r="K35" s="1"/>
      <c r="L35" s="1"/>
      <c r="M35" s="1"/>
      <c r="N35" s="18"/>
    </row>
    <row r="36" spans="2:14" ht="15.75" customHeight="1" x14ac:dyDescent="0.25">
      <c r="B36" s="20"/>
      <c r="C36" s="5" t="s">
        <v>48</v>
      </c>
      <c r="D36" s="6" t="s">
        <v>189</v>
      </c>
      <c r="E36" s="11">
        <v>2.2765000000000001E-2</v>
      </c>
      <c r="F36" s="1"/>
      <c r="G36" s="1"/>
      <c r="H36" s="1"/>
      <c r="I36" s="1"/>
      <c r="J36" s="1"/>
      <c r="K36" s="1"/>
      <c r="L36" s="1"/>
      <c r="M36" s="1"/>
      <c r="N36" s="18"/>
    </row>
    <row r="37" spans="2:14" ht="15" customHeight="1" x14ac:dyDescent="0.25">
      <c r="B37" s="20"/>
      <c r="C37" s="7" t="s">
        <v>51</v>
      </c>
      <c r="D37" s="8"/>
      <c r="E37" s="12">
        <v>0.263291</v>
      </c>
      <c r="F37" s="1"/>
      <c r="G37" s="1"/>
      <c r="H37" s="1"/>
      <c r="I37" s="1"/>
      <c r="J37" s="1"/>
      <c r="K37" s="1"/>
      <c r="L37" s="1"/>
      <c r="M37" s="1"/>
      <c r="N37" s="18"/>
    </row>
    <row r="38" spans="2:14" ht="15.75" customHeight="1" x14ac:dyDescent="0.25">
      <c r="B38" s="20"/>
      <c r="C38" s="5" t="s">
        <v>211</v>
      </c>
      <c r="D38" s="6" t="s">
        <v>189</v>
      </c>
      <c r="E38" s="11">
        <v>7.2999999999999996E-4</v>
      </c>
      <c r="F38" s="1"/>
      <c r="G38" s="1"/>
      <c r="H38" s="1"/>
      <c r="I38" s="1"/>
      <c r="J38" s="1"/>
      <c r="K38" s="1"/>
      <c r="L38" s="1"/>
      <c r="M38" s="1"/>
      <c r="N38" s="18"/>
    </row>
    <row r="39" spans="2:14" ht="15" customHeight="1" x14ac:dyDescent="0.25">
      <c r="B39" s="20"/>
      <c r="C39" s="5" t="s">
        <v>212</v>
      </c>
      <c r="D39" s="6" t="s">
        <v>189</v>
      </c>
      <c r="E39" s="11">
        <v>1.7899999999999999E-4</v>
      </c>
      <c r="F39" s="1"/>
      <c r="G39" s="1"/>
      <c r="H39" s="1"/>
      <c r="I39" s="1"/>
      <c r="J39" s="1"/>
      <c r="K39" s="1"/>
      <c r="L39" s="1"/>
      <c r="M39" s="1"/>
      <c r="N39" s="18"/>
    </row>
    <row r="40" spans="2:14" ht="15.75" customHeight="1" x14ac:dyDescent="0.25">
      <c r="B40" s="20"/>
      <c r="C40" s="7" t="s">
        <v>52</v>
      </c>
      <c r="D40" s="8"/>
      <c r="E40" s="12">
        <v>9.0899999999999998E-4</v>
      </c>
      <c r="F40" s="1"/>
      <c r="G40" s="1"/>
      <c r="H40" s="1"/>
      <c r="I40" s="1"/>
      <c r="J40" s="1"/>
      <c r="K40" s="1"/>
      <c r="L40" s="1"/>
      <c r="M40" s="1"/>
      <c r="N40" s="18"/>
    </row>
    <row r="41" spans="2:14" ht="15" customHeight="1" x14ac:dyDescent="0.25">
      <c r="B41" s="20"/>
      <c r="C41" s="5" t="s">
        <v>8</v>
      </c>
      <c r="D41" s="6"/>
      <c r="E41" s="11">
        <v>2.5772E-2</v>
      </c>
      <c r="F41" s="1"/>
      <c r="G41" s="1"/>
      <c r="H41" s="1"/>
      <c r="I41" s="1"/>
      <c r="J41" s="1"/>
      <c r="K41" s="1"/>
      <c r="L41" s="1"/>
      <c r="M41" s="1"/>
      <c r="N41" s="18"/>
    </row>
    <row r="42" spans="2:14" ht="15.75" customHeight="1" x14ac:dyDescent="0.25">
      <c r="B42" s="20"/>
      <c r="C42" s="7" t="s">
        <v>9</v>
      </c>
      <c r="D42" s="8"/>
      <c r="E42" s="12">
        <v>2.5772E-2</v>
      </c>
      <c r="F42" s="1"/>
      <c r="G42" s="1"/>
      <c r="H42" s="1"/>
      <c r="I42" s="1"/>
      <c r="J42" s="1"/>
      <c r="K42" s="1"/>
      <c r="L42" s="1"/>
      <c r="M42" s="1"/>
      <c r="N42" s="18"/>
    </row>
    <row r="43" spans="2:14" ht="15" customHeight="1" x14ac:dyDescent="0.25">
      <c r="B43" s="20"/>
      <c r="C43" s="5" t="s">
        <v>74</v>
      </c>
      <c r="D43" s="6" t="s">
        <v>28</v>
      </c>
      <c r="E43" s="11">
        <v>4.0260000000000001E-3</v>
      </c>
      <c r="F43" s="1"/>
      <c r="G43" s="1"/>
      <c r="H43" s="1"/>
      <c r="I43" s="1"/>
      <c r="J43" s="1"/>
      <c r="K43" s="1"/>
      <c r="L43" s="1"/>
      <c r="M43" s="1"/>
      <c r="N43" s="18"/>
    </row>
    <row r="44" spans="2:14" ht="15.75" customHeight="1" x14ac:dyDescent="0.25">
      <c r="B44" s="20"/>
      <c r="C44" s="7" t="s">
        <v>84</v>
      </c>
      <c r="D44" s="8"/>
      <c r="E44" s="12">
        <v>4.0260000000000001E-3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10</v>
      </c>
      <c r="D46" s="8"/>
      <c r="E46" s="12">
        <v>2.5343999999999998E-2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11</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t="s">
        <v>274</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8" t="s">
        <v>270</v>
      </c>
      <c r="C54" s="69"/>
      <c r="D54" s="69"/>
      <c r="E54" s="69"/>
      <c r="F54" s="69"/>
      <c r="G54" s="69"/>
      <c r="H54" s="69"/>
      <c r="I54" s="69"/>
      <c r="J54" s="69"/>
      <c r="K54" s="69"/>
      <c r="L54" s="69"/>
      <c r="M54" s="69"/>
      <c r="N54" s="70"/>
    </row>
    <row r="55" spans="2:14" ht="15" customHeight="1" x14ac:dyDescent="0.25">
      <c r="B55" s="71"/>
      <c r="C55" s="72"/>
      <c r="D55" s="72"/>
      <c r="E55" s="72"/>
      <c r="F55" s="72"/>
      <c r="G55" s="72"/>
      <c r="H55" s="72"/>
      <c r="I55" s="72"/>
      <c r="J55" s="72"/>
      <c r="K55" s="72"/>
      <c r="L55" s="72"/>
      <c r="M55" s="72"/>
      <c r="N55" s="73"/>
    </row>
    <row r="56" spans="2:14" ht="15" customHeight="1" x14ac:dyDescent="0.25">
      <c r="B56" s="71"/>
      <c r="C56" s="72"/>
      <c r="D56" s="72"/>
      <c r="E56" s="72"/>
      <c r="F56" s="72"/>
      <c r="G56" s="72"/>
      <c r="H56" s="72"/>
      <c r="I56" s="72"/>
      <c r="J56" s="72"/>
      <c r="K56" s="72"/>
      <c r="L56" s="72"/>
      <c r="M56" s="72"/>
      <c r="N56" s="73"/>
    </row>
    <row r="57" spans="2:14" ht="15" customHeight="1" thickBot="1" x14ac:dyDescent="0.3">
      <c r="B57" s="74"/>
      <c r="C57" s="75"/>
      <c r="D57" s="75"/>
      <c r="E57" s="75"/>
      <c r="F57" s="75"/>
      <c r="G57" s="75"/>
      <c r="H57" s="75"/>
      <c r="I57" s="75"/>
      <c r="J57" s="75"/>
      <c r="K57" s="75"/>
      <c r="L57" s="75"/>
      <c r="M57" s="75"/>
      <c r="N57" s="76"/>
    </row>
    <row r="58" spans="2:14" ht="15" customHeight="1" thickBot="1" x14ac:dyDescent="0.3"/>
    <row r="59" spans="2:14" ht="126" customHeight="1" thickBot="1" x14ac:dyDescent="0.3">
      <c r="B59" s="77" t="s">
        <v>275</v>
      </c>
      <c r="C59" s="78"/>
      <c r="D59" s="78"/>
      <c r="E59" s="78"/>
      <c r="F59" s="78"/>
      <c r="G59" s="78"/>
      <c r="H59" s="78"/>
      <c r="I59" s="78"/>
      <c r="J59" s="78"/>
      <c r="K59" s="78"/>
      <c r="L59" s="78"/>
      <c r="M59" s="78"/>
      <c r="N59" s="79"/>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C10:E30">
    <sortCondition descending="1" ref="E10"/>
  </sortState>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482F-7455-4654-B29E-BCCFE0639189}">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25</v>
      </c>
      <c r="D8" s="6" t="s">
        <v>22</v>
      </c>
      <c r="E8" s="11">
        <v>8.8355000000000003E-2</v>
      </c>
      <c r="F8" s="1"/>
      <c r="G8" s="24" t="s">
        <v>15</v>
      </c>
      <c r="H8" s="29">
        <v>0.76667600000000002</v>
      </c>
      <c r="I8" s="1"/>
      <c r="J8" s="24" t="s">
        <v>12</v>
      </c>
      <c r="K8" s="24" t="s">
        <v>5</v>
      </c>
      <c r="L8" s="1"/>
      <c r="M8" s="1"/>
      <c r="N8" s="18"/>
    </row>
    <row r="9" spans="2:14" ht="15" customHeight="1" x14ac:dyDescent="0.25">
      <c r="B9" s="20"/>
      <c r="C9" s="5" t="s">
        <v>131</v>
      </c>
      <c r="D9" s="6" t="s">
        <v>22</v>
      </c>
      <c r="E9" s="11">
        <v>4.4058E-2</v>
      </c>
      <c r="F9" s="1"/>
      <c r="G9" s="24" t="s">
        <v>101</v>
      </c>
      <c r="H9" s="29">
        <v>0.139678</v>
      </c>
      <c r="I9" s="1"/>
      <c r="J9" s="24" t="s">
        <v>10</v>
      </c>
      <c r="K9" s="29">
        <v>2.3989E-2</v>
      </c>
      <c r="L9" s="1"/>
      <c r="M9" s="1"/>
      <c r="N9" s="18"/>
    </row>
    <row r="10" spans="2:14" ht="15.75" customHeight="1" x14ac:dyDescent="0.25">
      <c r="B10" s="20"/>
      <c r="C10" s="7" t="s">
        <v>26</v>
      </c>
      <c r="D10" s="8"/>
      <c r="E10" s="12">
        <v>0.132413</v>
      </c>
      <c r="F10" s="1"/>
      <c r="G10" s="24" t="s">
        <v>102</v>
      </c>
      <c r="H10" s="29">
        <v>9.3645999999999993E-2</v>
      </c>
      <c r="I10" s="1"/>
      <c r="J10" s="24" t="s">
        <v>13</v>
      </c>
      <c r="K10" s="29">
        <v>1.6586E-2</v>
      </c>
      <c r="L10" s="1"/>
      <c r="M10" s="1"/>
      <c r="N10" s="18"/>
    </row>
    <row r="11" spans="2:14" ht="15" customHeight="1" x14ac:dyDescent="0.25">
      <c r="B11" s="20"/>
      <c r="C11" s="5" t="s">
        <v>29</v>
      </c>
      <c r="D11" s="6" t="s">
        <v>28</v>
      </c>
      <c r="E11" s="11">
        <v>0.11149199999999999</v>
      </c>
      <c r="F11" s="1"/>
      <c r="G11" s="1"/>
      <c r="H11" s="1"/>
      <c r="I11" s="1"/>
      <c r="J11" s="24" t="s">
        <v>53</v>
      </c>
      <c r="K11" s="29">
        <v>0.132413</v>
      </c>
      <c r="L11" s="1"/>
      <c r="M11" s="1"/>
      <c r="N11" s="18"/>
    </row>
    <row r="12" spans="2:14" ht="15" customHeight="1" x14ac:dyDescent="0.25">
      <c r="B12" s="20"/>
      <c r="C12" s="5" t="s">
        <v>92</v>
      </c>
      <c r="D12" s="6" t="s">
        <v>93</v>
      </c>
      <c r="E12" s="11">
        <v>9.3645999999999993E-2</v>
      </c>
      <c r="F12" s="1"/>
      <c r="G12" s="1"/>
      <c r="H12" s="1"/>
      <c r="I12" s="1"/>
      <c r="J12" s="24" t="s">
        <v>54</v>
      </c>
      <c r="K12" s="29">
        <v>0.484875</v>
      </c>
      <c r="L12" s="1"/>
      <c r="M12" s="1"/>
      <c r="N12" s="18"/>
    </row>
    <row r="13" spans="2:14" ht="15" customHeight="1" x14ac:dyDescent="0.25">
      <c r="B13" s="20"/>
      <c r="C13" s="5" t="s">
        <v>33</v>
      </c>
      <c r="D13" s="6" t="s">
        <v>28</v>
      </c>
      <c r="E13" s="11">
        <v>7.0344000000000004E-2</v>
      </c>
      <c r="F13" s="1"/>
      <c r="G13" s="1"/>
      <c r="H13" s="1"/>
      <c r="I13" s="1"/>
      <c r="J13" s="24" t="s">
        <v>44</v>
      </c>
      <c r="K13" s="29">
        <v>4.1590000000000004E-3</v>
      </c>
      <c r="L13" s="1"/>
      <c r="M13" s="1"/>
      <c r="N13" s="18"/>
    </row>
    <row r="14" spans="2:14" ht="15" customHeight="1" x14ac:dyDescent="0.25">
      <c r="B14" s="20"/>
      <c r="C14" s="5" t="s">
        <v>31</v>
      </c>
      <c r="D14" s="6" t="s">
        <v>28</v>
      </c>
      <c r="E14" s="11">
        <v>6.9714999999999999E-2</v>
      </c>
      <c r="F14" s="1"/>
      <c r="G14" s="1"/>
      <c r="H14" s="1"/>
      <c r="I14" s="1"/>
      <c r="J14" s="24" t="s">
        <v>55</v>
      </c>
      <c r="K14" s="29">
        <v>0.33792699999999998</v>
      </c>
      <c r="L14" s="1"/>
      <c r="M14" s="1"/>
      <c r="N14" s="18"/>
    </row>
    <row r="15" spans="2:14" ht="15" customHeight="1" x14ac:dyDescent="0.25">
      <c r="B15" s="20"/>
      <c r="C15" s="5" t="s">
        <v>91</v>
      </c>
      <c r="D15" s="6" t="s">
        <v>89</v>
      </c>
      <c r="E15" s="11">
        <v>4.6972E-2</v>
      </c>
      <c r="F15" s="1"/>
      <c r="G15" s="1"/>
      <c r="H15" s="1"/>
      <c r="I15" s="1"/>
      <c r="J15" s="24"/>
      <c r="K15" s="29"/>
      <c r="L15" s="1"/>
      <c r="M15" s="1"/>
      <c r="N15" s="18"/>
    </row>
    <row r="16" spans="2:14" ht="15" customHeight="1" x14ac:dyDescent="0.25">
      <c r="B16" s="20"/>
      <c r="C16" s="5" t="s">
        <v>94</v>
      </c>
      <c r="D16" s="6" t="s">
        <v>89</v>
      </c>
      <c r="E16" s="11">
        <v>4.6474000000000001E-2</v>
      </c>
      <c r="F16" s="1"/>
      <c r="G16" s="1"/>
      <c r="H16" s="1"/>
      <c r="I16" s="1"/>
      <c r="J16" s="1"/>
      <c r="K16" s="1"/>
      <c r="L16" s="1"/>
      <c r="M16" s="1"/>
      <c r="N16" s="18"/>
    </row>
    <row r="17" spans="2:14" ht="15" customHeight="1" x14ac:dyDescent="0.25">
      <c r="B17" s="20"/>
      <c r="C17" s="5" t="s">
        <v>90</v>
      </c>
      <c r="D17" s="6" t="s">
        <v>89</v>
      </c>
      <c r="E17" s="11">
        <v>4.6232000000000002E-2</v>
      </c>
      <c r="F17" s="1"/>
      <c r="G17" s="1"/>
      <c r="H17" s="1"/>
      <c r="I17" s="1"/>
      <c r="J17" s="1"/>
      <c r="K17" s="1"/>
      <c r="L17" s="1"/>
      <c r="M17" s="1"/>
      <c r="N17" s="18"/>
    </row>
    <row r="18" spans="2:14" ht="15.75" customHeight="1" x14ac:dyDescent="0.25">
      <c r="B18" s="20"/>
      <c r="C18" s="7" t="s">
        <v>43</v>
      </c>
      <c r="D18" s="8"/>
      <c r="E18" s="12">
        <v>0.484875</v>
      </c>
      <c r="F18" s="1"/>
      <c r="G18" s="1"/>
      <c r="H18" s="1"/>
      <c r="I18" s="1"/>
      <c r="J18" s="1"/>
      <c r="K18" s="1"/>
      <c r="L18" s="1"/>
      <c r="M18" s="1"/>
      <c r="N18" s="18"/>
    </row>
    <row r="19" spans="2:14" ht="15" customHeight="1" x14ac:dyDescent="0.25">
      <c r="B19" s="20"/>
      <c r="C19" s="5" t="s">
        <v>44</v>
      </c>
      <c r="D19" s="6"/>
      <c r="E19" s="11">
        <v>4.1590000000000004E-3</v>
      </c>
      <c r="F19" s="1"/>
      <c r="G19" s="1"/>
      <c r="H19" s="1"/>
      <c r="I19" s="1"/>
      <c r="J19" s="1"/>
      <c r="K19" s="1"/>
      <c r="L19" s="1"/>
      <c r="M19" s="1"/>
      <c r="N19" s="18"/>
    </row>
    <row r="20" spans="2:14" ht="15.75" customHeight="1" x14ac:dyDescent="0.25">
      <c r="B20" s="20"/>
      <c r="C20" s="7" t="s">
        <v>45</v>
      </c>
      <c r="D20" s="8"/>
      <c r="E20" s="12">
        <v>4.1590000000000004E-3</v>
      </c>
      <c r="F20" s="1"/>
      <c r="G20" s="1"/>
      <c r="H20" s="1"/>
      <c r="I20" s="1"/>
      <c r="J20" s="1"/>
      <c r="K20" s="1"/>
      <c r="L20" s="1"/>
      <c r="M20" s="1"/>
      <c r="N20" s="18"/>
    </row>
    <row r="21" spans="2:14" ht="15" customHeight="1" x14ac:dyDescent="0.25">
      <c r="B21" s="20"/>
      <c r="C21" s="5" t="s">
        <v>49</v>
      </c>
      <c r="D21" s="6" t="s">
        <v>189</v>
      </c>
      <c r="E21" s="11">
        <v>0.15401000000000001</v>
      </c>
      <c r="F21" s="1"/>
      <c r="G21" s="1"/>
      <c r="H21" s="1"/>
      <c r="I21" s="1"/>
      <c r="J21" s="1"/>
      <c r="K21" s="1"/>
      <c r="L21" s="1"/>
      <c r="M21" s="1"/>
      <c r="N21" s="18"/>
    </row>
    <row r="22" spans="2:14" ht="15" customHeight="1" x14ac:dyDescent="0.25">
      <c r="B22" s="20"/>
      <c r="C22" s="5" t="s">
        <v>50</v>
      </c>
      <c r="D22" s="6" t="s">
        <v>189</v>
      </c>
      <c r="E22" s="11">
        <v>7.0993000000000001E-2</v>
      </c>
      <c r="F22" s="1"/>
      <c r="G22" s="1"/>
      <c r="H22" s="1"/>
      <c r="I22" s="1"/>
      <c r="J22" s="1"/>
      <c r="K22" s="1"/>
      <c r="L22" s="1"/>
      <c r="M22" s="1"/>
      <c r="N22" s="18"/>
    </row>
    <row r="23" spans="2:14" ht="15" customHeight="1" x14ac:dyDescent="0.25">
      <c r="B23" s="20"/>
      <c r="C23" s="5" t="s">
        <v>66</v>
      </c>
      <c r="D23" s="6" t="s">
        <v>189</v>
      </c>
      <c r="E23" s="11">
        <v>5.6674000000000002E-2</v>
      </c>
      <c r="F23" s="1"/>
      <c r="G23" s="1"/>
      <c r="H23" s="1"/>
      <c r="I23" s="1"/>
      <c r="J23" s="1"/>
      <c r="K23" s="1"/>
      <c r="L23" s="1"/>
      <c r="M23" s="1"/>
      <c r="N23" s="18"/>
    </row>
    <row r="24" spans="2:14" ht="15" customHeight="1" x14ac:dyDescent="0.25">
      <c r="B24" s="20"/>
      <c r="C24" s="5" t="s">
        <v>46</v>
      </c>
      <c r="D24" s="6" t="s">
        <v>189</v>
      </c>
      <c r="E24" s="11">
        <v>4.6889E-2</v>
      </c>
      <c r="F24" s="1"/>
      <c r="G24" s="85" t="s">
        <v>17</v>
      </c>
      <c r="H24" s="86"/>
      <c r="I24" s="86"/>
      <c r="J24" s="86"/>
      <c r="K24" s="86"/>
      <c r="L24" s="26">
        <v>3.2864058215849803</v>
      </c>
      <c r="M24" s="27"/>
      <c r="N24" s="28"/>
    </row>
    <row r="25" spans="2:14" ht="15" customHeight="1" x14ac:dyDescent="0.25">
      <c r="B25" s="20"/>
      <c r="C25" s="5" t="s">
        <v>61</v>
      </c>
      <c r="D25" s="6" t="s">
        <v>189</v>
      </c>
      <c r="E25" s="11">
        <v>9.3609999999999995E-3</v>
      </c>
      <c r="F25" s="1"/>
      <c r="G25" s="1"/>
      <c r="H25" s="1"/>
      <c r="I25" s="1"/>
      <c r="J25" s="1"/>
      <c r="K25" s="1"/>
      <c r="L25" s="1"/>
      <c r="M25" s="1"/>
      <c r="N25" s="18"/>
    </row>
    <row r="26" spans="2:14" ht="15.75" customHeight="1" x14ac:dyDescent="0.25">
      <c r="B26" s="20"/>
      <c r="C26" s="7" t="s">
        <v>51</v>
      </c>
      <c r="D26" s="8"/>
      <c r="E26" s="12">
        <v>0.33792699999999998</v>
      </c>
      <c r="F26" s="1"/>
      <c r="G26" s="85" t="s">
        <v>18</v>
      </c>
      <c r="H26" s="86"/>
      <c r="I26" s="86"/>
      <c r="J26" s="86"/>
      <c r="K26" s="86"/>
      <c r="L26" s="86"/>
      <c r="M26" s="86"/>
      <c r="N26" s="87"/>
    </row>
    <row r="27" spans="2:14" ht="15" customHeight="1" x14ac:dyDescent="0.25">
      <c r="B27" s="20"/>
      <c r="C27" s="5" t="s">
        <v>8</v>
      </c>
      <c r="D27" s="6"/>
      <c r="E27" s="11">
        <v>1.6586E-2</v>
      </c>
      <c r="F27" s="1"/>
      <c r="G27" s="1"/>
      <c r="H27" s="1"/>
      <c r="I27" s="1"/>
      <c r="J27" s="1"/>
      <c r="K27" s="1"/>
      <c r="L27" s="1"/>
      <c r="M27" s="1"/>
      <c r="N27" s="18"/>
    </row>
    <row r="28" spans="2:14" ht="15.75" customHeight="1" x14ac:dyDescent="0.25">
      <c r="B28" s="20"/>
      <c r="C28" s="7" t="s">
        <v>9</v>
      </c>
      <c r="D28" s="8"/>
      <c r="E28" s="12">
        <v>1.6586E-2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10</v>
      </c>
      <c r="D30" s="8"/>
      <c r="E30" s="12">
        <v>2.3989E-2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9" t="s">
        <v>11</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31" t="s">
        <v>132</v>
      </c>
      <c r="D34" s="31"/>
      <c r="E34" s="32">
        <v>0.60842600000000002</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270</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68.25" customHeight="1" thickBot="1" x14ac:dyDescent="0.3">
      <c r="B50" s="77" t="s">
        <v>271</v>
      </c>
      <c r="C50" s="78"/>
      <c r="D50" s="78"/>
      <c r="E50" s="78"/>
      <c r="F50" s="78"/>
      <c r="G50" s="78"/>
      <c r="H50" s="78"/>
      <c r="I50" s="78"/>
      <c r="J50" s="78"/>
      <c r="K50" s="78"/>
      <c r="L50" s="78"/>
      <c r="M50" s="78"/>
      <c r="N50" s="79"/>
    </row>
    <row r="51" spans="2:14" ht="15" customHeight="1" thickBot="1" x14ac:dyDescent="0.3"/>
    <row r="52" spans="2:14" ht="129" customHeight="1" thickBot="1" x14ac:dyDescent="0.3">
      <c r="B52" s="77" t="s">
        <v>275</v>
      </c>
      <c r="C52" s="78"/>
      <c r="D52" s="78"/>
      <c r="E52" s="78"/>
      <c r="F52" s="78"/>
      <c r="G52" s="78"/>
      <c r="H52" s="78"/>
      <c r="I52" s="78"/>
      <c r="J52" s="78"/>
      <c r="K52" s="78"/>
      <c r="L52" s="78"/>
      <c r="M52" s="78"/>
      <c r="N52" s="79"/>
    </row>
    <row r="53" spans="2:14" ht="15" customHeight="1" x14ac:dyDescent="0.25"/>
    <row r="54"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4102D-46D9-47B3-8A03-8F57A28BE081}">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295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268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60</v>
      </c>
      <c r="D8" s="6" t="s">
        <v>213</v>
      </c>
      <c r="E8" s="11">
        <v>0.67539499999999997</v>
      </c>
      <c r="F8" s="1"/>
      <c r="G8" s="24" t="s">
        <v>15</v>
      </c>
      <c r="H8" s="25">
        <v>1</v>
      </c>
      <c r="I8" s="33"/>
      <c r="J8" s="34" t="s">
        <v>12</v>
      </c>
      <c r="K8" s="34" t="s">
        <v>5</v>
      </c>
      <c r="L8" s="1"/>
      <c r="M8" s="1"/>
      <c r="N8" s="18"/>
    </row>
    <row r="9" spans="2:14" ht="15" customHeight="1" x14ac:dyDescent="0.25">
      <c r="B9" s="20"/>
      <c r="C9" s="5" t="s">
        <v>214</v>
      </c>
      <c r="D9" s="6" t="s">
        <v>213</v>
      </c>
      <c r="E9" s="11">
        <v>9.8916000000000004E-2</v>
      </c>
      <c r="F9" s="1"/>
      <c r="G9" s="1"/>
      <c r="H9" s="1"/>
      <c r="I9" s="33"/>
      <c r="J9" s="34" t="s">
        <v>10</v>
      </c>
      <c r="K9" s="35">
        <v>1.6924000000000002E-2</v>
      </c>
      <c r="L9" s="1"/>
      <c r="M9" s="1"/>
      <c r="N9" s="18"/>
    </row>
    <row r="10" spans="2:14" ht="15" customHeight="1" x14ac:dyDescent="0.25">
      <c r="B10" s="20"/>
      <c r="C10" s="5" t="s">
        <v>215</v>
      </c>
      <c r="D10" s="6" t="s">
        <v>213</v>
      </c>
      <c r="E10" s="11">
        <v>9.5786999999999997E-2</v>
      </c>
      <c r="F10" s="1"/>
      <c r="G10" s="1"/>
      <c r="H10" s="1"/>
      <c r="I10" s="33"/>
      <c r="J10" s="34" t="s">
        <v>13</v>
      </c>
      <c r="K10" s="35">
        <v>0.112978</v>
      </c>
      <c r="L10" s="1"/>
      <c r="M10" s="1"/>
      <c r="N10" s="18"/>
    </row>
    <row r="11" spans="2:14" ht="15" customHeight="1" x14ac:dyDescent="0.25">
      <c r="B11" s="20"/>
      <c r="C11" s="7" t="s">
        <v>51</v>
      </c>
      <c r="D11" s="8"/>
      <c r="E11" s="12">
        <v>0.87009800000000004</v>
      </c>
      <c r="F11" s="1"/>
      <c r="G11" s="1"/>
      <c r="H11" s="1"/>
      <c r="I11" s="33"/>
      <c r="J11" s="34" t="s">
        <v>55</v>
      </c>
      <c r="K11" s="35">
        <v>0.87009800000000004</v>
      </c>
      <c r="L11" s="1"/>
      <c r="M11" s="1"/>
      <c r="N11" s="18"/>
    </row>
    <row r="12" spans="2:14" ht="15" customHeight="1" x14ac:dyDescent="0.25">
      <c r="B12" s="20"/>
      <c r="C12" s="5" t="s">
        <v>8</v>
      </c>
      <c r="D12" s="6"/>
      <c r="E12" s="11">
        <v>0.112978</v>
      </c>
      <c r="F12" s="1"/>
      <c r="G12" s="1"/>
      <c r="H12" s="1"/>
      <c r="I12" s="33"/>
      <c r="J12" s="34"/>
      <c r="K12" s="34"/>
      <c r="L12" s="1"/>
      <c r="M12" s="1"/>
      <c r="N12" s="18"/>
    </row>
    <row r="13" spans="2:14" ht="15.75" customHeight="1" x14ac:dyDescent="0.25">
      <c r="B13" s="20"/>
      <c r="C13" s="7" t="s">
        <v>9</v>
      </c>
      <c r="D13" s="8"/>
      <c r="E13" s="12">
        <v>0.112978</v>
      </c>
      <c r="F13" s="1"/>
      <c r="G13" s="1"/>
      <c r="H13" s="1"/>
      <c r="I13" s="33"/>
      <c r="J13" s="34"/>
      <c r="K13" s="34"/>
      <c r="L13" s="1"/>
      <c r="M13" s="1"/>
      <c r="N13" s="18"/>
    </row>
    <row r="14" spans="2:14" ht="15" customHeight="1" x14ac:dyDescent="0.25">
      <c r="B14" s="20"/>
      <c r="C14" s="5"/>
      <c r="D14" s="6"/>
      <c r="E14" s="11"/>
      <c r="F14" s="1"/>
      <c r="G14" s="1"/>
      <c r="H14" s="1"/>
      <c r="I14" s="33"/>
      <c r="J14" s="33"/>
      <c r="K14" s="33"/>
      <c r="L14" s="1"/>
      <c r="M14" s="1"/>
      <c r="N14" s="18"/>
    </row>
    <row r="15" spans="2:14" ht="15.75" customHeight="1" x14ac:dyDescent="0.25">
      <c r="B15" s="20"/>
      <c r="C15" s="7" t="s">
        <v>10</v>
      </c>
      <c r="D15" s="8"/>
      <c r="E15" s="12">
        <v>1.6924000000000002E-2</v>
      </c>
      <c r="F15" s="1"/>
      <c r="G15" s="1"/>
      <c r="H15" s="1"/>
      <c r="I15" s="33"/>
      <c r="J15" s="33"/>
      <c r="K15" s="33"/>
      <c r="L15" s="1"/>
      <c r="M15" s="1"/>
      <c r="N15" s="18"/>
    </row>
    <row r="16" spans="2:14" ht="15" customHeight="1" x14ac:dyDescent="0.25">
      <c r="B16" s="20"/>
      <c r="C16" s="5"/>
      <c r="D16" s="6"/>
      <c r="E16" s="11"/>
      <c r="F16" s="1"/>
      <c r="G16" s="1"/>
      <c r="H16" s="1"/>
      <c r="I16" s="33"/>
      <c r="J16" s="33"/>
      <c r="K16" s="33"/>
      <c r="L16" s="1"/>
      <c r="M16" s="1"/>
      <c r="N16" s="18"/>
    </row>
    <row r="17" spans="2:14" ht="15.75" customHeight="1" x14ac:dyDescent="0.25">
      <c r="B17" s="20"/>
      <c r="C17" s="9" t="s">
        <v>11</v>
      </c>
      <c r="D17" s="10"/>
      <c r="E17" s="13">
        <v>1</v>
      </c>
      <c r="F17" s="1"/>
      <c r="G17" s="1"/>
      <c r="H17" s="1"/>
      <c r="I17" s="33"/>
      <c r="J17" s="33"/>
      <c r="K17" s="33"/>
      <c r="L17" s="1"/>
      <c r="M17" s="1"/>
      <c r="N17" s="18"/>
    </row>
    <row r="18" spans="2:14" ht="15" customHeight="1" x14ac:dyDescent="0.25">
      <c r="B18" s="20"/>
      <c r="F18" s="1"/>
      <c r="G18" s="1"/>
      <c r="H18" s="1"/>
      <c r="I18" s="33"/>
      <c r="J18" s="33"/>
      <c r="K18" s="33"/>
      <c r="L18" s="1"/>
      <c r="M18" s="1"/>
      <c r="N18" s="18"/>
    </row>
    <row r="19" spans="2:14" ht="15" customHeight="1" x14ac:dyDescent="0.25">
      <c r="B19" s="20"/>
      <c r="F19" s="1"/>
      <c r="G19" s="1"/>
      <c r="H19" s="1"/>
      <c r="I19" s="33"/>
      <c r="J19" s="33"/>
      <c r="K19" s="33"/>
      <c r="L19" s="1"/>
      <c r="M19" s="1"/>
      <c r="N19" s="18"/>
    </row>
    <row r="20" spans="2:14" ht="15" customHeight="1" x14ac:dyDescent="0.25">
      <c r="B20" s="20"/>
      <c r="C20" s="1"/>
      <c r="D20" s="1"/>
      <c r="E20" s="1"/>
      <c r="F20" s="1"/>
      <c r="G20" s="1"/>
      <c r="H20" s="1"/>
      <c r="I20" s="33"/>
      <c r="J20" s="33"/>
      <c r="K20" s="33"/>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29.036965996466719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75" customHeight="1" thickBot="1" x14ac:dyDescent="0.3">
      <c r="B45" s="77" t="s">
        <v>275</v>
      </c>
      <c r="C45" s="78"/>
      <c r="D45" s="78"/>
      <c r="E45" s="78"/>
      <c r="F45" s="78"/>
      <c r="G45" s="78"/>
      <c r="H45" s="78"/>
      <c r="I45" s="78"/>
      <c r="J45" s="78"/>
      <c r="K45" s="78"/>
      <c r="L45" s="78"/>
      <c r="M45" s="78"/>
      <c r="N45" s="79"/>
    </row>
  </sheetData>
  <sortState ref="C8:E10">
    <sortCondition descending="1" ref="E8"/>
  </sortState>
  <mergeCells count="6">
    <mergeCell ref="B45:N45"/>
    <mergeCell ref="C3:N3"/>
    <mergeCell ref="G7:N7"/>
    <mergeCell ref="G26:N26"/>
    <mergeCell ref="D5:E5"/>
    <mergeCell ref="G24:K24"/>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5E8C-BE2B-416B-B1B0-C6EC1D2E26EF}">
  <dimension ref="B1:N51"/>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86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87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88</v>
      </c>
      <c r="D8" s="6" t="s">
        <v>89</v>
      </c>
      <c r="E8" s="11">
        <v>0.11118400000000001</v>
      </c>
      <c r="F8" s="1"/>
      <c r="G8" s="24" t="s">
        <v>101</v>
      </c>
      <c r="H8" s="29">
        <v>0.63352200000000003</v>
      </c>
      <c r="I8" s="1"/>
      <c r="J8" s="24" t="s">
        <v>12</v>
      </c>
      <c r="K8" s="24" t="s">
        <v>5</v>
      </c>
      <c r="L8" s="1"/>
      <c r="M8" s="1"/>
      <c r="N8" s="18"/>
    </row>
    <row r="9" spans="2:14" ht="15" customHeight="1" x14ac:dyDescent="0.25">
      <c r="B9" s="20"/>
      <c r="C9" s="5" t="s">
        <v>90</v>
      </c>
      <c r="D9" s="6" t="s">
        <v>89</v>
      </c>
      <c r="E9" s="11">
        <v>0.10999200000000001</v>
      </c>
      <c r="F9" s="1"/>
      <c r="G9" s="24" t="s">
        <v>15</v>
      </c>
      <c r="H9" s="29">
        <v>0.29685299999999998</v>
      </c>
      <c r="I9" s="1"/>
      <c r="J9" s="24" t="s">
        <v>10</v>
      </c>
      <c r="K9" s="29">
        <v>3.1413000000000003E-2</v>
      </c>
      <c r="L9" s="1"/>
      <c r="M9" s="1"/>
      <c r="N9" s="18"/>
    </row>
    <row r="10" spans="2:14" ht="15" customHeight="1" x14ac:dyDescent="0.25">
      <c r="B10" s="20"/>
      <c r="C10" s="5" t="s">
        <v>91</v>
      </c>
      <c r="D10" s="6" t="s">
        <v>89</v>
      </c>
      <c r="E10" s="11">
        <v>8.3680000000000004E-2</v>
      </c>
      <c r="F10" s="1"/>
      <c r="G10" s="24" t="s">
        <v>102</v>
      </c>
      <c r="H10" s="29">
        <v>6.9625000000000006E-2</v>
      </c>
      <c r="I10" s="1"/>
      <c r="J10" s="24" t="s">
        <v>13</v>
      </c>
      <c r="K10" s="29">
        <v>1.7037E-2</v>
      </c>
      <c r="L10" s="1"/>
      <c r="M10" s="1"/>
      <c r="N10" s="18"/>
    </row>
    <row r="11" spans="2:14" ht="15" customHeight="1" x14ac:dyDescent="0.25">
      <c r="B11" s="20"/>
      <c r="C11" s="5" t="s">
        <v>92</v>
      </c>
      <c r="D11" s="6" t="s">
        <v>93</v>
      </c>
      <c r="E11" s="11">
        <v>6.9625000000000006E-2</v>
      </c>
      <c r="F11" s="1"/>
      <c r="G11" s="1"/>
      <c r="H11" s="1"/>
      <c r="I11" s="1"/>
      <c r="J11" s="24" t="s">
        <v>54</v>
      </c>
      <c r="K11" s="29">
        <v>0.70314699999999997</v>
      </c>
      <c r="L11" s="1"/>
      <c r="M11" s="1"/>
      <c r="N11" s="18"/>
    </row>
    <row r="12" spans="2:14" ht="15" customHeight="1" x14ac:dyDescent="0.25">
      <c r="B12" s="20"/>
      <c r="C12" s="5" t="s">
        <v>94</v>
      </c>
      <c r="D12" s="6" t="s">
        <v>89</v>
      </c>
      <c r="E12" s="11">
        <v>6.9105E-2</v>
      </c>
      <c r="F12" s="1"/>
      <c r="G12" s="1"/>
      <c r="H12" s="1"/>
      <c r="I12" s="1"/>
      <c r="J12" s="24" t="s">
        <v>44</v>
      </c>
      <c r="K12" s="29">
        <v>4.0049999999999999E-3</v>
      </c>
      <c r="L12" s="1"/>
      <c r="M12" s="1"/>
      <c r="N12" s="18"/>
    </row>
    <row r="13" spans="2:14" ht="15" customHeight="1" x14ac:dyDescent="0.25">
      <c r="B13" s="20"/>
      <c r="C13" s="5" t="s">
        <v>95</v>
      </c>
      <c r="D13" s="6" t="s">
        <v>89</v>
      </c>
      <c r="E13" s="11">
        <v>5.672E-2</v>
      </c>
      <c r="F13" s="1"/>
      <c r="G13" s="1"/>
      <c r="H13" s="1"/>
      <c r="I13" s="1"/>
      <c r="J13" s="24" t="s">
        <v>55</v>
      </c>
      <c r="K13" s="29">
        <v>0.19357099999999999</v>
      </c>
      <c r="L13" s="1"/>
      <c r="M13" s="1"/>
      <c r="N13" s="18"/>
    </row>
    <row r="14" spans="2:14" ht="15" customHeight="1" x14ac:dyDescent="0.25">
      <c r="B14" s="20"/>
      <c r="C14" s="5" t="s">
        <v>96</v>
      </c>
      <c r="D14" s="6" t="s">
        <v>89</v>
      </c>
      <c r="E14" s="11">
        <v>5.5750000000000001E-2</v>
      </c>
      <c r="F14" s="1"/>
      <c r="G14" s="1"/>
      <c r="H14" s="1"/>
      <c r="I14" s="1"/>
      <c r="J14" s="24" t="s">
        <v>70</v>
      </c>
      <c r="K14" s="29">
        <v>5.0826999999999997E-2</v>
      </c>
      <c r="L14" s="1"/>
      <c r="M14" s="1"/>
      <c r="N14" s="18"/>
    </row>
    <row r="15" spans="2:14" ht="15" customHeight="1" x14ac:dyDescent="0.25">
      <c r="B15" s="20"/>
      <c r="C15" s="5" t="s">
        <v>97</v>
      </c>
      <c r="D15" s="6" t="s">
        <v>89</v>
      </c>
      <c r="E15" s="11">
        <v>5.5463999999999999E-2</v>
      </c>
      <c r="F15" s="1"/>
      <c r="G15" s="1"/>
      <c r="H15" s="1"/>
      <c r="I15" s="1"/>
      <c r="J15" s="1"/>
      <c r="K15" s="1"/>
      <c r="L15" s="1"/>
      <c r="M15" s="1"/>
      <c r="N15" s="18"/>
    </row>
    <row r="16" spans="2:14" ht="15" customHeight="1" x14ac:dyDescent="0.25">
      <c r="B16" s="20"/>
      <c r="C16" s="5" t="s">
        <v>98</v>
      </c>
      <c r="D16" s="6" t="s">
        <v>89</v>
      </c>
      <c r="E16" s="11">
        <v>4.9979999999999997E-2</v>
      </c>
      <c r="F16" s="1"/>
      <c r="G16" s="1"/>
      <c r="H16" s="1"/>
      <c r="I16" s="1"/>
      <c r="J16" s="1"/>
      <c r="K16" s="1"/>
      <c r="L16" s="1"/>
      <c r="M16" s="1"/>
      <c r="N16" s="18"/>
    </row>
    <row r="17" spans="2:14" ht="15" customHeight="1" x14ac:dyDescent="0.25">
      <c r="B17" s="20"/>
      <c r="C17" s="5" t="s">
        <v>99</v>
      </c>
      <c r="D17" s="6" t="s">
        <v>89</v>
      </c>
      <c r="E17" s="11">
        <v>4.1647000000000003E-2</v>
      </c>
      <c r="F17" s="1"/>
      <c r="G17" s="1"/>
      <c r="H17" s="1"/>
      <c r="I17" s="1"/>
      <c r="J17" s="1"/>
      <c r="K17" s="1"/>
      <c r="L17" s="1"/>
      <c r="M17" s="1"/>
      <c r="N17" s="18"/>
    </row>
    <row r="18" spans="2:14" ht="15.75" customHeight="1" x14ac:dyDescent="0.25">
      <c r="B18" s="20"/>
      <c r="C18" s="7" t="s">
        <v>43</v>
      </c>
      <c r="D18" s="8"/>
      <c r="E18" s="12">
        <v>0.70314699999999997</v>
      </c>
      <c r="F18" s="1"/>
      <c r="G18" s="1"/>
      <c r="H18" s="1"/>
      <c r="I18" s="1"/>
      <c r="J18" s="1"/>
      <c r="K18" s="1"/>
      <c r="L18" s="1"/>
      <c r="M18" s="1"/>
      <c r="N18" s="18"/>
    </row>
    <row r="19" spans="2:14" ht="15" customHeight="1" x14ac:dyDescent="0.25">
      <c r="B19" s="20"/>
      <c r="C19" s="5" t="s">
        <v>44</v>
      </c>
      <c r="D19" s="6"/>
      <c r="E19" s="11">
        <v>4.0049999999999999E-3</v>
      </c>
      <c r="F19" s="1"/>
      <c r="G19" s="1"/>
      <c r="H19" s="1"/>
      <c r="I19" s="1"/>
      <c r="J19" s="1"/>
      <c r="K19" s="1"/>
      <c r="L19" s="1"/>
      <c r="M19" s="1"/>
      <c r="N19" s="18"/>
    </row>
    <row r="20" spans="2:14" ht="15.75" customHeight="1" x14ac:dyDescent="0.25">
      <c r="B20" s="20"/>
      <c r="C20" s="7" t="s">
        <v>45</v>
      </c>
      <c r="D20" s="8"/>
      <c r="E20" s="12">
        <v>4.0049999999999999E-3</v>
      </c>
      <c r="F20" s="1"/>
      <c r="G20" s="1"/>
      <c r="H20" s="1"/>
      <c r="I20" s="1"/>
      <c r="J20" s="1"/>
      <c r="K20" s="1"/>
      <c r="L20" s="1"/>
      <c r="M20" s="1"/>
      <c r="N20" s="18"/>
    </row>
    <row r="21" spans="2:14" ht="15" customHeight="1" x14ac:dyDescent="0.25">
      <c r="B21" s="20"/>
      <c r="C21" s="5" t="s">
        <v>59</v>
      </c>
      <c r="D21" s="6" t="s">
        <v>213</v>
      </c>
      <c r="E21" s="11">
        <v>0.15426599999999999</v>
      </c>
      <c r="F21" s="1"/>
      <c r="G21" s="1"/>
      <c r="H21" s="1"/>
      <c r="I21" s="1"/>
      <c r="J21" s="1"/>
      <c r="K21" s="1"/>
      <c r="L21" s="1"/>
      <c r="M21" s="1"/>
      <c r="N21" s="18"/>
    </row>
    <row r="22" spans="2:14" ht="15" customHeight="1" x14ac:dyDescent="0.25">
      <c r="B22" s="20"/>
      <c r="C22" s="5" t="s">
        <v>100</v>
      </c>
      <c r="D22" s="6" t="s">
        <v>213</v>
      </c>
      <c r="E22" s="11">
        <v>3.9305E-2</v>
      </c>
      <c r="F22" s="1"/>
      <c r="G22" s="1"/>
      <c r="H22" s="1"/>
      <c r="I22" s="1"/>
      <c r="J22" s="1"/>
      <c r="K22" s="1"/>
      <c r="L22" s="1"/>
      <c r="M22" s="1"/>
      <c r="N22" s="18"/>
    </row>
    <row r="23" spans="2:14" ht="15.75" customHeight="1" x14ac:dyDescent="0.25">
      <c r="B23" s="20"/>
      <c r="C23" s="7" t="s">
        <v>51</v>
      </c>
      <c r="D23" s="8"/>
      <c r="E23" s="12">
        <v>0.19357099999999999</v>
      </c>
      <c r="F23" s="1"/>
      <c r="G23" s="1"/>
      <c r="H23" s="1"/>
      <c r="I23" s="1"/>
      <c r="J23" s="1"/>
      <c r="K23" s="1"/>
      <c r="L23" s="1"/>
      <c r="M23" s="1"/>
      <c r="N23" s="18"/>
    </row>
    <row r="24" spans="2:14" ht="15" customHeight="1" x14ac:dyDescent="0.25">
      <c r="B24" s="20"/>
      <c r="C24" s="5" t="s">
        <v>273</v>
      </c>
      <c r="D24" s="6" t="s">
        <v>68</v>
      </c>
      <c r="E24" s="11">
        <v>5.0826999999999997E-2</v>
      </c>
      <c r="F24" s="1"/>
      <c r="G24" s="85" t="s">
        <v>17</v>
      </c>
      <c r="H24" s="86"/>
      <c r="I24" s="86"/>
      <c r="J24" s="86"/>
      <c r="K24" s="86"/>
      <c r="L24" s="26">
        <v>3.5593742855858044</v>
      </c>
      <c r="M24" s="27"/>
      <c r="N24" s="28"/>
    </row>
    <row r="25" spans="2:14" ht="15.75" customHeight="1" x14ac:dyDescent="0.25">
      <c r="B25" s="20"/>
      <c r="C25" s="7" t="s">
        <v>69</v>
      </c>
      <c r="D25" s="8"/>
      <c r="E25" s="12">
        <v>5.0826999999999997E-2</v>
      </c>
      <c r="F25" s="1"/>
      <c r="G25" s="1"/>
      <c r="H25" s="1"/>
      <c r="I25" s="1"/>
      <c r="J25" s="1"/>
      <c r="K25" s="1"/>
      <c r="L25" s="1"/>
      <c r="M25" s="1"/>
      <c r="N25" s="18"/>
    </row>
    <row r="26" spans="2:14" ht="15" customHeight="1" x14ac:dyDescent="0.25">
      <c r="B26" s="20"/>
      <c r="C26" s="5" t="s">
        <v>8</v>
      </c>
      <c r="D26" s="6"/>
      <c r="E26" s="11">
        <v>1.7037E-2</v>
      </c>
      <c r="F26" s="1"/>
      <c r="G26" s="85" t="s">
        <v>18</v>
      </c>
      <c r="H26" s="86"/>
      <c r="I26" s="86"/>
      <c r="J26" s="86"/>
      <c r="K26" s="86"/>
      <c r="L26" s="86"/>
      <c r="M26" s="86"/>
      <c r="N26" s="87"/>
    </row>
    <row r="27" spans="2:14" ht="15.75" customHeight="1" x14ac:dyDescent="0.25">
      <c r="B27" s="20"/>
      <c r="C27" s="7" t="s">
        <v>9</v>
      </c>
      <c r="D27" s="8"/>
      <c r="E27" s="12">
        <v>1.7037E-2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10</v>
      </c>
      <c r="D29" s="8"/>
      <c r="E29" s="12">
        <v>3.1413000000000003E-2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11</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t="s">
        <v>272</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270</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7.5" customHeight="1" thickBot="1" x14ac:dyDescent="0.3">
      <c r="B50" s="77" t="s">
        <v>275</v>
      </c>
      <c r="C50" s="78"/>
      <c r="D50" s="78"/>
      <c r="E50" s="78"/>
      <c r="F50" s="78"/>
      <c r="G50" s="78"/>
      <c r="H50" s="78"/>
      <c r="I50" s="78"/>
      <c r="J50" s="78"/>
      <c r="K50" s="78"/>
      <c r="L50" s="78"/>
      <c r="M50" s="78"/>
      <c r="N50" s="79"/>
    </row>
    <row r="51"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C55C-82A2-4DBE-8D75-63688F5CD0BA}">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136</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60</v>
      </c>
      <c r="D8" s="6" t="s">
        <v>213</v>
      </c>
      <c r="E8" s="11">
        <v>0.89616200000000001</v>
      </c>
      <c r="F8" s="1"/>
      <c r="G8" s="24" t="s">
        <v>15</v>
      </c>
      <c r="H8" s="25">
        <v>1</v>
      </c>
      <c r="I8" s="1"/>
      <c r="J8" s="24" t="s">
        <v>12</v>
      </c>
      <c r="K8" s="24" t="s">
        <v>5</v>
      </c>
      <c r="L8" s="1"/>
      <c r="M8" s="1"/>
      <c r="N8" s="18"/>
    </row>
    <row r="9" spans="2:14" ht="15" customHeight="1" x14ac:dyDescent="0.25">
      <c r="B9" s="20"/>
      <c r="C9" s="5" t="s">
        <v>59</v>
      </c>
      <c r="D9" s="6" t="s">
        <v>213</v>
      </c>
      <c r="E9" s="11">
        <v>8.1277000000000002E-2</v>
      </c>
      <c r="F9" s="1"/>
      <c r="G9" s="1"/>
      <c r="H9" s="1"/>
      <c r="I9" s="1"/>
      <c r="J9" s="24" t="s">
        <v>10</v>
      </c>
      <c r="K9" s="29">
        <v>1.796E-2</v>
      </c>
      <c r="L9" s="1"/>
      <c r="M9" s="1"/>
      <c r="N9" s="18"/>
    </row>
    <row r="10" spans="2:14" ht="15" customHeight="1" x14ac:dyDescent="0.25">
      <c r="B10" s="20"/>
      <c r="C10" s="5" t="s">
        <v>119</v>
      </c>
      <c r="D10" s="6" t="s">
        <v>213</v>
      </c>
      <c r="E10" s="30">
        <v>3.8000000000000002E-5</v>
      </c>
      <c r="F10" s="1"/>
      <c r="G10" s="1"/>
      <c r="H10" s="1"/>
      <c r="I10" s="1"/>
      <c r="J10" s="24" t="s">
        <v>13</v>
      </c>
      <c r="K10" s="29">
        <v>4.5630000000000002E-3</v>
      </c>
      <c r="L10" s="1"/>
      <c r="M10" s="1"/>
      <c r="N10" s="18"/>
    </row>
    <row r="11" spans="2:14" ht="15.75" customHeight="1" x14ac:dyDescent="0.25">
      <c r="B11" s="20"/>
      <c r="C11" s="7" t="s">
        <v>51</v>
      </c>
      <c r="D11" s="8"/>
      <c r="E11" s="12">
        <v>0.97747700000000004</v>
      </c>
      <c r="F11" s="1"/>
      <c r="G11" s="1"/>
      <c r="H11" s="1"/>
      <c r="I11" s="1"/>
      <c r="J11" s="24" t="s">
        <v>55</v>
      </c>
      <c r="K11" s="29">
        <v>0.97747700000000004</v>
      </c>
      <c r="L11" s="1"/>
      <c r="M11" s="1"/>
      <c r="N11" s="18"/>
    </row>
    <row r="12" spans="2:14" ht="15" customHeight="1" x14ac:dyDescent="0.25">
      <c r="B12" s="20"/>
      <c r="C12" s="5" t="s">
        <v>8</v>
      </c>
      <c r="D12" s="6"/>
      <c r="E12" s="11">
        <v>4.5630000000000002E-3</v>
      </c>
      <c r="F12" s="1"/>
      <c r="G12" s="1"/>
      <c r="H12" s="1"/>
      <c r="I12" s="1"/>
      <c r="J12" s="1"/>
      <c r="K12" s="1"/>
      <c r="L12" s="1"/>
      <c r="M12" s="1"/>
      <c r="N12" s="18"/>
    </row>
    <row r="13" spans="2:14" ht="15.75" customHeight="1" x14ac:dyDescent="0.25">
      <c r="B13" s="20"/>
      <c r="C13" s="7" t="s">
        <v>9</v>
      </c>
      <c r="D13" s="8"/>
      <c r="E13" s="12">
        <v>4.5630000000000002E-3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1.796E-2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27.830123734545548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1.75"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3F1D-3BB3-4F77-9D14-CB8EC41A7E34}">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59</v>
      </c>
      <c r="D8" s="6" t="s">
        <v>213</v>
      </c>
      <c r="E8" s="11">
        <v>0.546373</v>
      </c>
      <c r="F8" s="1"/>
      <c r="G8" s="24" t="s">
        <v>15</v>
      </c>
      <c r="H8" s="25">
        <v>1</v>
      </c>
      <c r="I8" s="1"/>
      <c r="J8" s="24" t="s">
        <v>12</v>
      </c>
      <c r="K8" s="24" t="s">
        <v>5</v>
      </c>
      <c r="L8" s="1"/>
      <c r="M8" s="1"/>
      <c r="N8" s="18"/>
    </row>
    <row r="9" spans="2:14" ht="15" customHeight="1" x14ac:dyDescent="0.25">
      <c r="B9" s="20"/>
      <c r="C9" s="5" t="s">
        <v>49</v>
      </c>
      <c r="D9" s="6" t="s">
        <v>213</v>
      </c>
      <c r="E9" s="11">
        <v>0.24255199999999999</v>
      </c>
      <c r="F9" s="1"/>
      <c r="G9" s="1"/>
      <c r="H9" s="1"/>
      <c r="I9" s="1"/>
      <c r="J9" s="24" t="s">
        <v>10</v>
      </c>
      <c r="K9" s="29">
        <v>1.1315E-2</v>
      </c>
      <c r="L9" s="1"/>
      <c r="M9" s="1"/>
      <c r="N9" s="18"/>
    </row>
    <row r="10" spans="2:14" ht="15" customHeight="1" x14ac:dyDescent="0.25">
      <c r="B10" s="20"/>
      <c r="C10" s="5" t="s">
        <v>48</v>
      </c>
      <c r="D10" s="6" t="s">
        <v>213</v>
      </c>
      <c r="E10" s="11">
        <v>0.177755</v>
      </c>
      <c r="F10" s="1"/>
      <c r="G10" s="1"/>
      <c r="H10" s="1"/>
      <c r="I10" s="1"/>
      <c r="J10" s="24" t="s">
        <v>13</v>
      </c>
      <c r="K10" s="29">
        <v>1.3365E-2</v>
      </c>
      <c r="L10" s="1"/>
      <c r="M10" s="1"/>
      <c r="N10" s="18"/>
    </row>
    <row r="11" spans="2:14" ht="15" customHeight="1" x14ac:dyDescent="0.25">
      <c r="B11" s="20"/>
      <c r="C11" s="5" t="s">
        <v>67</v>
      </c>
      <c r="D11" s="6" t="s">
        <v>213</v>
      </c>
      <c r="E11" s="11">
        <v>6.5519999999999997E-3</v>
      </c>
      <c r="F11" s="1"/>
      <c r="G11" s="1"/>
      <c r="H11" s="1"/>
      <c r="I11" s="1"/>
      <c r="J11" s="24" t="s">
        <v>55</v>
      </c>
      <c r="K11" s="29">
        <v>0.97531999999999996</v>
      </c>
      <c r="L11" s="1"/>
      <c r="M11" s="1"/>
      <c r="N11" s="18"/>
    </row>
    <row r="12" spans="2:14" ht="15" customHeight="1" x14ac:dyDescent="0.25">
      <c r="B12" s="20"/>
      <c r="C12" s="5" t="s">
        <v>119</v>
      </c>
      <c r="D12" s="6" t="s">
        <v>213</v>
      </c>
      <c r="E12" s="11">
        <v>2.088E-3</v>
      </c>
      <c r="F12" s="1"/>
      <c r="G12" s="1"/>
      <c r="H12" s="1"/>
      <c r="I12" s="1"/>
      <c r="J12" s="1"/>
      <c r="K12" s="1"/>
      <c r="L12" s="1"/>
      <c r="M12" s="1"/>
      <c r="N12" s="18"/>
    </row>
    <row r="13" spans="2:14" ht="15.75" customHeight="1" x14ac:dyDescent="0.25">
      <c r="B13" s="20"/>
      <c r="C13" s="7" t="s">
        <v>51</v>
      </c>
      <c r="D13" s="8"/>
      <c r="E13" s="12">
        <v>0.97531999999999996</v>
      </c>
      <c r="F13" s="1"/>
      <c r="G13" s="1"/>
      <c r="H13" s="1"/>
      <c r="I13" s="1"/>
      <c r="J13" s="1"/>
      <c r="K13" s="1"/>
      <c r="L13" s="1"/>
      <c r="M13" s="1"/>
      <c r="N13" s="18"/>
    </row>
    <row r="14" spans="2:14" ht="15" customHeight="1" x14ac:dyDescent="0.25">
      <c r="B14" s="20"/>
      <c r="C14" s="5" t="s">
        <v>8</v>
      </c>
      <c r="D14" s="6"/>
      <c r="E14" s="11">
        <v>1.3365E-2</v>
      </c>
      <c r="F14" s="1"/>
      <c r="G14" s="1"/>
      <c r="H14" s="1"/>
      <c r="I14" s="1"/>
      <c r="J14" s="1"/>
      <c r="K14" s="1"/>
      <c r="L14" s="1"/>
      <c r="M14" s="1"/>
      <c r="N14" s="18"/>
    </row>
    <row r="15" spans="2:14" ht="15.75" customHeight="1" x14ac:dyDescent="0.25">
      <c r="B15" s="20"/>
      <c r="C15" s="7" t="s">
        <v>9</v>
      </c>
      <c r="D15" s="8"/>
      <c r="E15" s="12">
        <v>1.3365E-2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1.1315E-2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10.826786064951209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C40A-743C-44E9-A174-E68C947CC01C}">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113</v>
      </c>
      <c r="D8" s="6" t="s">
        <v>213</v>
      </c>
      <c r="E8" s="11">
        <v>0.32227099999999997</v>
      </c>
      <c r="F8" s="1"/>
      <c r="G8" s="24" t="s">
        <v>15</v>
      </c>
      <c r="H8" s="25">
        <v>1</v>
      </c>
      <c r="I8" s="1"/>
      <c r="J8" s="24" t="s">
        <v>12</v>
      </c>
      <c r="K8" s="24" t="s">
        <v>5</v>
      </c>
      <c r="L8" s="1"/>
      <c r="M8" s="1"/>
      <c r="N8" s="18"/>
    </row>
    <row r="9" spans="2:14" ht="15" customHeight="1" x14ac:dyDescent="0.25">
      <c r="B9" s="20"/>
      <c r="C9" s="5" t="s">
        <v>78</v>
      </c>
      <c r="D9" s="6" t="s">
        <v>213</v>
      </c>
      <c r="E9" s="11">
        <v>0.291796</v>
      </c>
      <c r="F9" s="1"/>
      <c r="G9" s="1"/>
      <c r="H9" s="1"/>
      <c r="I9" s="1"/>
      <c r="J9" s="24" t="s">
        <v>10</v>
      </c>
      <c r="K9" s="29">
        <v>2.5422E-2</v>
      </c>
      <c r="L9" s="1"/>
      <c r="M9" s="1"/>
      <c r="N9" s="18"/>
    </row>
    <row r="10" spans="2:14" ht="15" customHeight="1" x14ac:dyDescent="0.25">
      <c r="B10" s="20"/>
      <c r="C10" s="5" t="s">
        <v>114</v>
      </c>
      <c r="D10" s="6" t="s">
        <v>213</v>
      </c>
      <c r="E10" s="11">
        <v>0.18898200000000001</v>
      </c>
      <c r="F10" s="1"/>
      <c r="G10" s="1"/>
      <c r="H10" s="1"/>
      <c r="I10" s="1"/>
      <c r="J10" s="24" t="s">
        <v>13</v>
      </c>
      <c r="K10" s="29">
        <v>7.8009999999999998E-3</v>
      </c>
      <c r="L10" s="1"/>
      <c r="M10" s="1"/>
      <c r="N10" s="18"/>
    </row>
    <row r="11" spans="2:14" ht="15" customHeight="1" x14ac:dyDescent="0.25">
      <c r="B11" s="20"/>
      <c r="C11" s="5" t="s">
        <v>115</v>
      </c>
      <c r="D11" s="6" t="s">
        <v>213</v>
      </c>
      <c r="E11" s="11">
        <v>0.101077</v>
      </c>
      <c r="F11" s="1"/>
      <c r="G11" s="1"/>
      <c r="H11" s="1"/>
      <c r="I11" s="1"/>
      <c r="J11" s="24" t="s">
        <v>55</v>
      </c>
      <c r="K11" s="29">
        <v>0.966777</v>
      </c>
      <c r="L11" s="1"/>
      <c r="M11" s="1"/>
      <c r="N11" s="18"/>
    </row>
    <row r="12" spans="2:14" ht="15" customHeight="1" x14ac:dyDescent="0.25">
      <c r="B12" s="20"/>
      <c r="C12" s="5" t="s">
        <v>116</v>
      </c>
      <c r="D12" s="6" t="s">
        <v>213</v>
      </c>
      <c r="E12" s="11">
        <v>6.2650999999999998E-2</v>
      </c>
      <c r="F12" s="1"/>
      <c r="G12" s="1"/>
      <c r="H12" s="1"/>
      <c r="I12" s="1"/>
      <c r="J12" s="1"/>
      <c r="K12" s="1"/>
      <c r="L12" s="1"/>
      <c r="M12" s="1"/>
      <c r="N12" s="18"/>
    </row>
    <row r="13" spans="2:14" ht="15.75" customHeight="1" x14ac:dyDescent="0.25">
      <c r="B13" s="20"/>
      <c r="C13" s="7" t="s">
        <v>51</v>
      </c>
      <c r="D13" s="8"/>
      <c r="E13" s="12">
        <v>0.966777</v>
      </c>
      <c r="F13" s="1"/>
      <c r="G13" s="1"/>
      <c r="H13" s="1"/>
      <c r="I13" s="1"/>
      <c r="J13" s="1"/>
      <c r="K13" s="1"/>
      <c r="L13" s="1"/>
      <c r="M13" s="1"/>
      <c r="N13" s="18"/>
    </row>
    <row r="14" spans="2:14" ht="15" customHeight="1" x14ac:dyDescent="0.25">
      <c r="B14" s="20"/>
      <c r="C14" s="5" t="s">
        <v>8</v>
      </c>
      <c r="D14" s="6"/>
      <c r="E14" s="11">
        <v>7.8009999999999998E-3</v>
      </c>
      <c r="F14" s="1"/>
      <c r="G14" s="1"/>
      <c r="H14" s="1"/>
      <c r="I14" s="1"/>
      <c r="J14" s="1"/>
      <c r="K14" s="1"/>
      <c r="L14" s="1"/>
      <c r="M14" s="1"/>
      <c r="N14" s="18"/>
    </row>
    <row r="15" spans="2:14" ht="15.75" customHeight="1" x14ac:dyDescent="0.25">
      <c r="B15" s="20"/>
      <c r="C15" s="7" t="s">
        <v>9</v>
      </c>
      <c r="D15" s="8"/>
      <c r="E15" s="12">
        <v>7.8009999999999998E-3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2.5422E-2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1.9299069496035786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A918-31A4-4B7B-8571-797F8386368E}">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66</v>
      </c>
      <c r="D8" s="6" t="s">
        <v>213</v>
      </c>
      <c r="E8" s="11">
        <v>0.78572299999999995</v>
      </c>
      <c r="F8" s="1"/>
      <c r="G8" s="24" t="s">
        <v>15</v>
      </c>
      <c r="H8" s="25">
        <v>1</v>
      </c>
      <c r="I8" s="1"/>
      <c r="J8" s="24" t="s">
        <v>12</v>
      </c>
      <c r="K8" s="24" t="s">
        <v>5</v>
      </c>
      <c r="L8" s="1"/>
      <c r="M8" s="1"/>
      <c r="N8" s="18"/>
    </row>
    <row r="9" spans="2:14" ht="15" customHeight="1" x14ac:dyDescent="0.25">
      <c r="B9" s="20"/>
      <c r="C9" s="5" t="s">
        <v>67</v>
      </c>
      <c r="D9" s="6" t="s">
        <v>213</v>
      </c>
      <c r="E9" s="11">
        <v>9.7883999999999999E-2</v>
      </c>
      <c r="F9" s="1"/>
      <c r="G9" s="1"/>
      <c r="H9" s="1"/>
      <c r="I9" s="1"/>
      <c r="J9" s="24" t="s">
        <v>10</v>
      </c>
      <c r="K9" s="29">
        <v>1.9217999999999999E-2</v>
      </c>
      <c r="L9" s="1"/>
      <c r="M9" s="1"/>
      <c r="N9" s="18"/>
    </row>
    <row r="10" spans="2:14" ht="15" customHeight="1" x14ac:dyDescent="0.25">
      <c r="B10" s="20"/>
      <c r="C10" s="5" t="s">
        <v>62</v>
      </c>
      <c r="D10" s="6" t="s">
        <v>213</v>
      </c>
      <c r="E10" s="11">
        <v>8.8106000000000004E-2</v>
      </c>
      <c r="F10" s="1"/>
      <c r="G10" s="1"/>
      <c r="H10" s="1"/>
      <c r="I10" s="1"/>
      <c r="J10" s="24" t="s">
        <v>13</v>
      </c>
      <c r="K10" s="29">
        <v>9.0690000000000007E-3</v>
      </c>
      <c r="L10" s="1"/>
      <c r="M10" s="1"/>
      <c r="N10" s="18"/>
    </row>
    <row r="11" spans="2:14" ht="15.75" customHeight="1" x14ac:dyDescent="0.25">
      <c r="B11" s="20"/>
      <c r="C11" s="7" t="s">
        <v>51</v>
      </c>
      <c r="D11" s="8"/>
      <c r="E11" s="12">
        <v>0.97171300000000005</v>
      </c>
      <c r="F11" s="1"/>
      <c r="G11" s="1"/>
      <c r="H11" s="1"/>
      <c r="I11" s="1"/>
      <c r="J11" s="24" t="s">
        <v>55</v>
      </c>
      <c r="K11" s="29">
        <v>0.97171300000000005</v>
      </c>
      <c r="L11" s="1"/>
      <c r="M11" s="1"/>
      <c r="N11" s="18"/>
    </row>
    <row r="12" spans="2:14" ht="15" customHeight="1" x14ac:dyDescent="0.25">
      <c r="B12" s="20"/>
      <c r="C12" s="5" t="s">
        <v>8</v>
      </c>
      <c r="D12" s="6"/>
      <c r="E12" s="11">
        <v>9.0690000000000007E-3</v>
      </c>
      <c r="F12" s="1"/>
      <c r="G12" s="1"/>
      <c r="H12" s="1"/>
      <c r="I12" s="1"/>
      <c r="J12" s="1"/>
      <c r="K12" s="1"/>
      <c r="L12" s="1"/>
      <c r="M12" s="1"/>
      <c r="N12" s="18"/>
    </row>
    <row r="13" spans="2:14" ht="15.75" customHeight="1" x14ac:dyDescent="0.25">
      <c r="B13" s="20"/>
      <c r="C13" s="7" t="s">
        <v>9</v>
      </c>
      <c r="D13" s="8"/>
      <c r="E13" s="12">
        <v>9.0690000000000007E-3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1.9217999999999999E-2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3.1505520614063918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2.5"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45C61-E8CF-4D0B-853B-810CC8467103}">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117</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118</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119</v>
      </c>
      <c r="D8" s="6" t="s">
        <v>213</v>
      </c>
      <c r="E8" s="11">
        <v>0.63733300000000004</v>
      </c>
      <c r="F8" s="1"/>
      <c r="G8" s="24" t="s">
        <v>15</v>
      </c>
      <c r="H8" s="25">
        <v>1</v>
      </c>
      <c r="I8" s="1"/>
      <c r="J8" s="24" t="s">
        <v>12</v>
      </c>
      <c r="K8" s="24" t="s">
        <v>5</v>
      </c>
      <c r="L8" s="1"/>
      <c r="M8" s="1"/>
      <c r="N8" s="18"/>
    </row>
    <row r="9" spans="2:14" ht="15" customHeight="1" x14ac:dyDescent="0.25">
      <c r="B9" s="20"/>
      <c r="C9" s="5" t="s">
        <v>120</v>
      </c>
      <c r="D9" s="6" t="s">
        <v>213</v>
      </c>
      <c r="E9" s="11">
        <v>0.26217699999999999</v>
      </c>
      <c r="F9" s="1"/>
      <c r="G9" s="1"/>
      <c r="H9" s="1"/>
      <c r="I9" s="1"/>
      <c r="J9" s="24" t="s">
        <v>10</v>
      </c>
      <c r="K9" s="29">
        <v>1.2005E-2</v>
      </c>
      <c r="L9" s="1"/>
      <c r="M9" s="1"/>
      <c r="N9" s="18"/>
    </row>
    <row r="10" spans="2:14" ht="15" customHeight="1" x14ac:dyDescent="0.25">
      <c r="B10" s="20"/>
      <c r="C10" s="5" t="s">
        <v>66</v>
      </c>
      <c r="D10" s="6" t="s">
        <v>213</v>
      </c>
      <c r="E10" s="11">
        <v>6.8006999999999998E-2</v>
      </c>
      <c r="F10" s="1"/>
      <c r="G10" s="1"/>
      <c r="H10" s="1"/>
      <c r="I10" s="1"/>
      <c r="J10" s="24" t="s">
        <v>13</v>
      </c>
      <c r="K10" s="29">
        <v>2.0478E-2</v>
      </c>
      <c r="L10" s="1"/>
      <c r="M10" s="1"/>
      <c r="N10" s="18"/>
    </row>
    <row r="11" spans="2:14" ht="15.75" customHeight="1" x14ac:dyDescent="0.25">
      <c r="B11" s="20"/>
      <c r="C11" s="7" t="s">
        <v>51</v>
      </c>
      <c r="D11" s="8"/>
      <c r="E11" s="12">
        <v>0.96751699999999996</v>
      </c>
      <c r="F11" s="1"/>
      <c r="G11" s="1"/>
      <c r="H11" s="1"/>
      <c r="I11" s="1"/>
      <c r="J11" s="24" t="s">
        <v>55</v>
      </c>
      <c r="K11" s="29">
        <v>0.96751699999999996</v>
      </c>
      <c r="L11" s="1"/>
      <c r="M11" s="1"/>
      <c r="N11" s="18"/>
    </row>
    <row r="12" spans="2:14" ht="15" customHeight="1" x14ac:dyDescent="0.25">
      <c r="B12" s="20"/>
      <c r="C12" s="5" t="s">
        <v>8</v>
      </c>
      <c r="D12" s="6"/>
      <c r="E12" s="11">
        <v>2.0478E-2</v>
      </c>
      <c r="F12" s="1"/>
      <c r="G12" s="1"/>
      <c r="H12" s="1"/>
      <c r="I12" s="1"/>
      <c r="J12" s="1"/>
      <c r="K12" s="1"/>
      <c r="L12" s="1"/>
      <c r="M12" s="1"/>
      <c r="N12" s="18"/>
    </row>
    <row r="13" spans="2:14" ht="15.75" customHeight="1" x14ac:dyDescent="0.25">
      <c r="B13" s="20"/>
      <c r="C13" s="7" t="s">
        <v>9</v>
      </c>
      <c r="D13" s="8"/>
      <c r="E13" s="12">
        <v>2.0478E-2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1.2005E-2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3.5830541754183769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7F6D-C4C4-484F-81DC-FE1B0220291C}">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49</v>
      </c>
      <c r="D8" s="6" t="s">
        <v>213</v>
      </c>
      <c r="E8" s="11">
        <v>0.75854100000000002</v>
      </c>
      <c r="F8" s="1"/>
      <c r="G8" s="24" t="s">
        <v>15</v>
      </c>
      <c r="H8" s="25">
        <v>1</v>
      </c>
      <c r="I8" s="1"/>
      <c r="J8" s="24" t="s">
        <v>12</v>
      </c>
      <c r="K8" s="24" t="s">
        <v>5</v>
      </c>
      <c r="L8" s="1"/>
      <c r="M8" s="1"/>
      <c r="N8" s="18"/>
    </row>
    <row r="9" spans="2:14" ht="15" customHeight="1" x14ac:dyDescent="0.25">
      <c r="B9" s="20"/>
      <c r="C9" s="5" t="s">
        <v>105</v>
      </c>
      <c r="D9" s="6" t="s">
        <v>213</v>
      </c>
      <c r="E9" s="11">
        <v>0.209063</v>
      </c>
      <c r="F9" s="1"/>
      <c r="G9" s="1"/>
      <c r="H9" s="1"/>
      <c r="I9" s="1"/>
      <c r="J9" s="24" t="s">
        <v>10</v>
      </c>
      <c r="K9" s="29">
        <v>1.2685999999999999E-2</v>
      </c>
      <c r="L9" s="1"/>
      <c r="M9" s="1"/>
      <c r="N9" s="18"/>
    </row>
    <row r="10" spans="2:14" ht="15.75" customHeight="1" x14ac:dyDescent="0.25">
      <c r="B10" s="20"/>
      <c r="C10" s="7" t="s">
        <v>51</v>
      </c>
      <c r="D10" s="8"/>
      <c r="E10" s="12">
        <v>0.96760400000000002</v>
      </c>
      <c r="F10" s="1"/>
      <c r="G10" s="1"/>
      <c r="H10" s="1"/>
      <c r="I10" s="1"/>
      <c r="J10" s="24" t="s">
        <v>13</v>
      </c>
      <c r="K10" s="29">
        <v>1.9709999999999998E-2</v>
      </c>
      <c r="L10" s="1"/>
      <c r="M10" s="1"/>
      <c r="N10" s="18"/>
    </row>
    <row r="11" spans="2:14" ht="15" customHeight="1" x14ac:dyDescent="0.25">
      <c r="B11" s="20"/>
      <c r="C11" s="5" t="s">
        <v>8</v>
      </c>
      <c r="D11" s="6"/>
      <c r="E11" s="11">
        <v>1.9709999999999998E-2</v>
      </c>
      <c r="F11" s="1"/>
      <c r="G11" s="1"/>
      <c r="H11" s="1"/>
      <c r="I11" s="1"/>
      <c r="J11" s="24" t="s">
        <v>55</v>
      </c>
      <c r="K11" s="29">
        <v>0.96760400000000002</v>
      </c>
      <c r="L11" s="1"/>
      <c r="M11" s="1"/>
      <c r="N11" s="18"/>
    </row>
    <row r="12" spans="2:14" ht="15.75" customHeight="1" x14ac:dyDescent="0.25">
      <c r="B12" s="20"/>
      <c r="C12" s="7" t="s">
        <v>9</v>
      </c>
      <c r="D12" s="8"/>
      <c r="E12" s="12">
        <v>1.9709999999999998E-2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1.2685999999999999E-2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7.5456169802372912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7441-F2B8-43C7-8889-02D3819DCDF5}">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108</v>
      </c>
      <c r="D8" s="6" t="s">
        <v>213</v>
      </c>
      <c r="E8" s="11">
        <v>0.12797600000000001</v>
      </c>
      <c r="F8" s="1"/>
      <c r="G8" s="24" t="s">
        <v>15</v>
      </c>
      <c r="H8" s="25">
        <v>1</v>
      </c>
      <c r="I8" s="1"/>
      <c r="J8" s="24" t="s">
        <v>12</v>
      </c>
      <c r="K8" s="24" t="s">
        <v>5</v>
      </c>
      <c r="L8" s="1"/>
      <c r="M8" s="1"/>
      <c r="N8" s="18"/>
    </row>
    <row r="9" spans="2:14" ht="15.75" customHeight="1" x14ac:dyDescent="0.25">
      <c r="B9" s="20"/>
      <c r="C9" s="7" t="s">
        <v>51</v>
      </c>
      <c r="D9" s="8"/>
      <c r="E9" s="12">
        <v>0.12797600000000001</v>
      </c>
      <c r="F9" s="1"/>
      <c r="G9" s="1"/>
      <c r="H9" s="1"/>
      <c r="I9" s="1"/>
      <c r="J9" s="24" t="s">
        <v>10</v>
      </c>
      <c r="K9" s="29">
        <v>1.5741999999999999E-2</v>
      </c>
      <c r="L9" s="1"/>
      <c r="M9" s="1"/>
      <c r="N9" s="18"/>
    </row>
    <row r="10" spans="2:14" ht="15" customHeight="1" x14ac:dyDescent="0.25">
      <c r="B10" s="20"/>
      <c r="C10" s="5" t="s">
        <v>225</v>
      </c>
      <c r="D10" s="6" t="s">
        <v>213</v>
      </c>
      <c r="E10" s="11">
        <v>0.15473600000000001</v>
      </c>
      <c r="F10" s="1"/>
      <c r="G10" s="1"/>
      <c r="H10" s="1"/>
      <c r="I10" s="1"/>
      <c r="J10" s="24" t="s">
        <v>13</v>
      </c>
      <c r="K10" s="29">
        <v>2.0775999999999999E-2</v>
      </c>
      <c r="L10" s="1"/>
      <c r="M10" s="1"/>
      <c r="N10" s="18"/>
    </row>
    <row r="11" spans="2:14" ht="15.75" customHeight="1" x14ac:dyDescent="0.25">
      <c r="B11" s="20"/>
      <c r="C11" s="5" t="s">
        <v>220</v>
      </c>
      <c r="D11" s="6" t="s">
        <v>213</v>
      </c>
      <c r="E11" s="11">
        <v>0.12892999999999999</v>
      </c>
      <c r="F11" s="1"/>
      <c r="G11" s="1"/>
      <c r="H11" s="1"/>
      <c r="I11" s="1"/>
      <c r="J11" s="24" t="s">
        <v>55</v>
      </c>
      <c r="K11" s="29">
        <v>0.12797600000000001</v>
      </c>
      <c r="L11" s="1"/>
      <c r="M11" s="1"/>
      <c r="N11" s="18"/>
    </row>
    <row r="12" spans="2:14" ht="15" customHeight="1" x14ac:dyDescent="0.25">
      <c r="B12" s="20"/>
      <c r="C12" s="5" t="s">
        <v>222</v>
      </c>
      <c r="D12" s="6" t="s">
        <v>213</v>
      </c>
      <c r="E12" s="11">
        <v>8.8123000000000007E-2</v>
      </c>
      <c r="F12" s="1"/>
      <c r="G12" s="1"/>
      <c r="H12" s="1"/>
      <c r="I12" s="1"/>
      <c r="J12" s="24" t="s">
        <v>56</v>
      </c>
      <c r="K12" s="29">
        <v>0.83550599999999997</v>
      </c>
      <c r="L12" s="1"/>
      <c r="M12" s="1"/>
      <c r="N12" s="18"/>
    </row>
    <row r="13" spans="2:14" ht="15.75" customHeight="1" x14ac:dyDescent="0.25">
      <c r="B13" s="20"/>
      <c r="C13" s="5" t="s">
        <v>228</v>
      </c>
      <c r="D13" s="6" t="s">
        <v>213</v>
      </c>
      <c r="E13" s="11">
        <v>5.4038999999999997E-2</v>
      </c>
      <c r="F13" s="1"/>
      <c r="G13" s="1"/>
      <c r="H13" s="1"/>
      <c r="I13" s="1"/>
      <c r="J13" s="1"/>
      <c r="K13" s="1"/>
      <c r="L13" s="1"/>
      <c r="M13" s="1"/>
      <c r="N13" s="18"/>
    </row>
    <row r="14" spans="2:14" ht="15" customHeight="1" x14ac:dyDescent="0.25">
      <c r="B14" s="20"/>
      <c r="C14" s="5" t="s">
        <v>233</v>
      </c>
      <c r="D14" s="6" t="s">
        <v>213</v>
      </c>
      <c r="E14" s="11">
        <v>4.4214000000000003E-2</v>
      </c>
      <c r="F14" s="1"/>
      <c r="G14" s="1"/>
      <c r="H14" s="1"/>
      <c r="I14" s="1"/>
      <c r="J14" s="1"/>
      <c r="K14" s="1"/>
      <c r="L14" s="1"/>
      <c r="M14" s="1"/>
      <c r="N14" s="18"/>
    </row>
    <row r="15" spans="2:14" ht="15.75" customHeight="1" x14ac:dyDescent="0.25">
      <c r="B15" s="20"/>
      <c r="C15" s="5" t="s">
        <v>218</v>
      </c>
      <c r="D15" s="6" t="s">
        <v>213</v>
      </c>
      <c r="E15" s="11">
        <v>4.3885E-2</v>
      </c>
      <c r="F15" s="1"/>
      <c r="G15" s="1"/>
      <c r="H15" s="1"/>
      <c r="I15" s="1"/>
      <c r="J15" s="1"/>
      <c r="K15" s="1"/>
      <c r="L15" s="1"/>
      <c r="M15" s="1"/>
      <c r="N15" s="18"/>
    </row>
    <row r="16" spans="2:14" ht="15" customHeight="1" x14ac:dyDescent="0.25">
      <c r="B16" s="20"/>
      <c r="C16" s="5" t="s">
        <v>223</v>
      </c>
      <c r="D16" s="6" t="s">
        <v>213</v>
      </c>
      <c r="E16" s="11">
        <v>4.3826999999999998E-2</v>
      </c>
      <c r="F16" s="1"/>
      <c r="G16" s="1"/>
      <c r="H16" s="1"/>
      <c r="I16" s="1"/>
      <c r="J16" s="1"/>
      <c r="K16" s="1"/>
      <c r="L16" s="1"/>
      <c r="M16" s="1"/>
      <c r="N16" s="18"/>
    </row>
    <row r="17" spans="2:14" ht="15" customHeight="1" x14ac:dyDescent="0.25">
      <c r="B17" s="20"/>
      <c r="C17" s="5" t="s">
        <v>217</v>
      </c>
      <c r="D17" s="6" t="s">
        <v>213</v>
      </c>
      <c r="E17" s="11">
        <v>4.3708999999999998E-2</v>
      </c>
      <c r="F17" s="1"/>
      <c r="G17" s="1"/>
      <c r="H17" s="1"/>
      <c r="I17" s="1"/>
      <c r="J17" s="1"/>
      <c r="K17" s="1"/>
      <c r="L17" s="1"/>
      <c r="M17" s="1"/>
      <c r="N17" s="18"/>
    </row>
    <row r="18" spans="2:14" ht="15" customHeight="1" x14ac:dyDescent="0.25">
      <c r="B18" s="20"/>
      <c r="C18" s="5" t="s">
        <v>224</v>
      </c>
      <c r="D18" s="6" t="s">
        <v>213</v>
      </c>
      <c r="E18" s="11">
        <v>3.5867000000000003E-2</v>
      </c>
      <c r="F18" s="1"/>
      <c r="G18" s="1"/>
      <c r="H18" s="1"/>
      <c r="I18" s="1"/>
      <c r="J18" s="1"/>
      <c r="K18" s="1"/>
      <c r="L18" s="1"/>
      <c r="M18" s="1"/>
      <c r="N18" s="18"/>
    </row>
    <row r="19" spans="2:14" ht="15" customHeight="1" x14ac:dyDescent="0.25">
      <c r="B19" s="20"/>
      <c r="C19" s="5" t="s">
        <v>229</v>
      </c>
      <c r="D19" s="6" t="s">
        <v>213</v>
      </c>
      <c r="E19" s="11">
        <v>3.5596000000000003E-2</v>
      </c>
      <c r="F19" s="1"/>
      <c r="G19" s="1"/>
      <c r="H19" s="1"/>
      <c r="I19" s="1"/>
      <c r="J19" s="1"/>
      <c r="K19" s="1"/>
      <c r="L19" s="1"/>
      <c r="M19" s="1"/>
      <c r="N19" s="18"/>
    </row>
    <row r="20" spans="2:14" ht="15" customHeight="1" x14ac:dyDescent="0.25">
      <c r="B20" s="20"/>
      <c r="C20" s="5" t="s">
        <v>226</v>
      </c>
      <c r="D20" s="6" t="s">
        <v>213</v>
      </c>
      <c r="E20" s="11">
        <v>3.5381000000000003E-2</v>
      </c>
      <c r="F20" s="1"/>
      <c r="G20" s="1"/>
      <c r="H20" s="1"/>
      <c r="I20" s="1"/>
      <c r="J20" s="1"/>
      <c r="K20" s="1"/>
      <c r="L20" s="1"/>
      <c r="M20" s="1"/>
      <c r="N20" s="18"/>
    </row>
    <row r="21" spans="2:14" ht="15" customHeight="1" x14ac:dyDescent="0.25">
      <c r="B21" s="20"/>
      <c r="C21" s="5" t="s">
        <v>191</v>
      </c>
      <c r="D21" s="6" t="s">
        <v>213</v>
      </c>
      <c r="E21" s="11">
        <v>3.083E-2</v>
      </c>
      <c r="F21" s="1"/>
      <c r="G21" s="1"/>
      <c r="H21" s="1"/>
      <c r="I21" s="1"/>
      <c r="J21" s="1"/>
      <c r="K21" s="1"/>
      <c r="L21" s="1"/>
      <c r="M21" s="1"/>
      <c r="N21" s="18"/>
    </row>
    <row r="22" spans="2:14" ht="15" customHeight="1" x14ac:dyDescent="0.25">
      <c r="B22" s="20"/>
      <c r="C22" s="5" t="s">
        <v>227</v>
      </c>
      <c r="D22" s="6" t="s">
        <v>213</v>
      </c>
      <c r="E22" s="11">
        <v>3.0110999999999999E-2</v>
      </c>
      <c r="F22" s="1"/>
      <c r="G22" s="1"/>
      <c r="H22" s="1"/>
      <c r="I22" s="1"/>
      <c r="J22" s="1"/>
      <c r="K22" s="1"/>
      <c r="L22" s="1"/>
      <c r="M22" s="1"/>
      <c r="N22" s="18"/>
    </row>
    <row r="23" spans="2:14" ht="15" customHeight="1" x14ac:dyDescent="0.25">
      <c r="B23" s="20"/>
      <c r="C23" s="5" t="s">
        <v>216</v>
      </c>
      <c r="D23" s="6" t="s">
        <v>213</v>
      </c>
      <c r="E23" s="11">
        <v>2.1756000000000001E-2</v>
      </c>
      <c r="F23" s="1"/>
      <c r="G23" s="1"/>
      <c r="H23" s="1"/>
      <c r="I23" s="1"/>
      <c r="J23" s="1"/>
      <c r="K23" s="1"/>
      <c r="L23" s="1"/>
      <c r="M23" s="1"/>
      <c r="N23" s="18"/>
    </row>
    <row r="24" spans="2:14" ht="15" customHeight="1" x14ac:dyDescent="0.25">
      <c r="B24" s="20"/>
      <c r="C24" s="5" t="s">
        <v>231</v>
      </c>
      <c r="D24" s="6" t="s">
        <v>213</v>
      </c>
      <c r="E24" s="11">
        <v>1.7531000000000001E-2</v>
      </c>
      <c r="F24" s="1"/>
      <c r="G24" s="85" t="s">
        <v>17</v>
      </c>
      <c r="H24" s="86"/>
      <c r="I24" s="86"/>
      <c r="J24" s="86"/>
      <c r="K24" s="86"/>
      <c r="L24" s="26">
        <v>2.4547882125965734</v>
      </c>
      <c r="M24" s="27"/>
      <c r="N24" s="28"/>
    </row>
    <row r="25" spans="2:14" ht="15" customHeight="1" x14ac:dyDescent="0.25">
      <c r="B25" s="20"/>
      <c r="C25" s="5" t="s">
        <v>230</v>
      </c>
      <c r="D25" s="6" t="s">
        <v>213</v>
      </c>
      <c r="E25" s="11">
        <v>8.7639999999999992E-3</v>
      </c>
      <c r="F25" s="1"/>
      <c r="G25" s="1"/>
      <c r="H25" s="1"/>
      <c r="I25" s="1"/>
      <c r="J25" s="1"/>
      <c r="K25" s="1"/>
      <c r="L25" s="1"/>
      <c r="M25" s="1"/>
      <c r="N25" s="18"/>
    </row>
    <row r="26" spans="2:14" ht="15" customHeight="1" x14ac:dyDescent="0.25">
      <c r="B26" s="20"/>
      <c r="C26" s="5" t="s">
        <v>232</v>
      </c>
      <c r="D26" s="6" t="s">
        <v>213</v>
      </c>
      <c r="E26" s="11">
        <v>8.7609999999999997E-3</v>
      </c>
      <c r="F26" s="1"/>
      <c r="G26" s="85" t="s">
        <v>18</v>
      </c>
      <c r="H26" s="86"/>
      <c r="I26" s="86"/>
      <c r="J26" s="86"/>
      <c r="K26" s="86"/>
      <c r="L26" s="86"/>
      <c r="M26" s="86"/>
      <c r="N26" s="87"/>
    </row>
    <row r="27" spans="2:14" ht="15" customHeight="1" x14ac:dyDescent="0.25">
      <c r="B27" s="20"/>
      <c r="C27" s="5" t="s">
        <v>221</v>
      </c>
      <c r="D27" s="6" t="s">
        <v>213</v>
      </c>
      <c r="E27" s="11">
        <v>5.0990000000000002E-3</v>
      </c>
      <c r="F27" s="1"/>
      <c r="G27" s="1"/>
      <c r="H27" s="1"/>
      <c r="I27" s="1"/>
      <c r="J27" s="1"/>
      <c r="K27" s="1"/>
      <c r="L27" s="1"/>
      <c r="M27" s="1"/>
      <c r="N27" s="18"/>
    </row>
    <row r="28" spans="2:14" ht="15" customHeight="1" x14ac:dyDescent="0.25">
      <c r="B28" s="20"/>
      <c r="C28" s="5" t="s">
        <v>219</v>
      </c>
      <c r="D28" s="6" t="s">
        <v>213</v>
      </c>
      <c r="E28" s="11">
        <v>4.3470000000000002E-3</v>
      </c>
      <c r="F28" s="1"/>
      <c r="G28" s="1"/>
      <c r="H28" s="1"/>
      <c r="I28" s="1"/>
      <c r="J28" s="1"/>
      <c r="K28" s="1"/>
      <c r="L28" s="1"/>
      <c r="M28" s="1"/>
      <c r="N28" s="18"/>
    </row>
    <row r="29" spans="2:14" ht="15" customHeight="1" x14ac:dyDescent="0.25">
      <c r="B29" s="20"/>
      <c r="C29" s="7" t="s">
        <v>52</v>
      </c>
      <c r="D29" s="8"/>
      <c r="E29" s="12">
        <v>0.83550599999999997</v>
      </c>
      <c r="F29" s="1"/>
      <c r="G29" s="1"/>
      <c r="H29" s="1"/>
      <c r="I29" s="1"/>
      <c r="J29" s="1"/>
      <c r="K29" s="1"/>
      <c r="L29" s="1"/>
      <c r="M29" s="1"/>
      <c r="N29" s="18"/>
    </row>
    <row r="30" spans="2:14" ht="15" customHeight="1" x14ac:dyDescent="0.25">
      <c r="B30" s="20"/>
      <c r="C30" s="5" t="s">
        <v>8</v>
      </c>
      <c r="D30" s="6"/>
      <c r="E30" s="11">
        <v>2.0775999999999999E-2</v>
      </c>
      <c r="F30" s="1"/>
      <c r="G30" s="1"/>
      <c r="H30" s="1"/>
      <c r="I30" s="1"/>
      <c r="J30" s="1"/>
      <c r="K30" s="1"/>
      <c r="L30" s="1"/>
      <c r="M30" s="1"/>
      <c r="N30" s="18"/>
    </row>
    <row r="31" spans="2:14" ht="15" customHeight="1" x14ac:dyDescent="0.25">
      <c r="B31" s="20"/>
      <c r="C31" s="7" t="s">
        <v>9</v>
      </c>
      <c r="D31" s="8"/>
      <c r="E31" s="12">
        <v>2.0775999999999999E-2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10</v>
      </c>
      <c r="D33" s="8"/>
      <c r="E33" s="12">
        <v>1.5741999999999999E-2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11</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275</v>
      </c>
      <c r="C45" s="78"/>
      <c r="D45" s="78"/>
      <c r="E45" s="78"/>
      <c r="F45" s="78"/>
      <c r="G45" s="78"/>
      <c r="H45" s="78"/>
      <c r="I45" s="78"/>
      <c r="J45" s="78"/>
      <c r="K45" s="78"/>
      <c r="L45" s="78"/>
      <c r="M45" s="78"/>
      <c r="N45" s="79"/>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B6B5-FEBB-4E39-B2B2-50B7AC84CA68}">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66</v>
      </c>
      <c r="D8" s="6" t="s">
        <v>213</v>
      </c>
      <c r="E8" s="11">
        <v>0.18271899999999999</v>
      </c>
      <c r="F8" s="1"/>
      <c r="G8" s="24" t="s">
        <v>15</v>
      </c>
      <c r="H8" s="25">
        <v>1</v>
      </c>
      <c r="I8" s="1"/>
      <c r="J8" s="24" t="s">
        <v>12</v>
      </c>
      <c r="K8" s="24" t="s">
        <v>5</v>
      </c>
      <c r="L8" s="1"/>
      <c r="M8" s="1"/>
      <c r="N8" s="18"/>
    </row>
    <row r="9" spans="2:14" ht="15.75" customHeight="1" x14ac:dyDescent="0.25">
      <c r="B9" s="20"/>
      <c r="C9" s="7" t="s">
        <v>51</v>
      </c>
      <c r="D9" s="8"/>
      <c r="E9" s="12">
        <v>0.18271899999999999</v>
      </c>
      <c r="F9" s="1"/>
      <c r="G9" s="1"/>
      <c r="H9" s="1"/>
      <c r="I9" s="1"/>
      <c r="J9" s="24" t="s">
        <v>10</v>
      </c>
      <c r="K9" s="29">
        <v>1.1310000000000001E-2</v>
      </c>
      <c r="L9" s="1"/>
      <c r="M9" s="1"/>
      <c r="N9" s="18"/>
    </row>
    <row r="10" spans="2:14" ht="15" customHeight="1" x14ac:dyDescent="0.25">
      <c r="B10" s="20"/>
      <c r="C10" s="5" t="s">
        <v>237</v>
      </c>
      <c r="D10" s="6" t="s">
        <v>213</v>
      </c>
      <c r="E10" s="11">
        <v>0.17292099999999999</v>
      </c>
      <c r="F10" s="1"/>
      <c r="G10" s="1"/>
      <c r="H10" s="1"/>
      <c r="I10" s="1"/>
      <c r="J10" s="24" t="s">
        <v>13</v>
      </c>
      <c r="K10" s="29">
        <v>1.2964E-2</v>
      </c>
      <c r="L10" s="1"/>
      <c r="M10" s="1"/>
      <c r="N10" s="18"/>
    </row>
    <row r="11" spans="2:14" ht="15.75" customHeight="1" x14ac:dyDescent="0.25">
      <c r="B11" s="20"/>
      <c r="C11" s="5" t="s">
        <v>206</v>
      </c>
      <c r="D11" s="6" t="s">
        <v>213</v>
      </c>
      <c r="E11" s="11">
        <v>0.15118999999999999</v>
      </c>
      <c r="F11" s="1"/>
      <c r="G11" s="1"/>
      <c r="H11" s="1"/>
      <c r="I11" s="1"/>
      <c r="J11" s="24" t="s">
        <v>55</v>
      </c>
      <c r="K11" s="29">
        <v>0.18271899999999999</v>
      </c>
      <c r="L11" s="1"/>
      <c r="M11" s="1"/>
      <c r="N11" s="18"/>
    </row>
    <row r="12" spans="2:14" ht="15" customHeight="1" x14ac:dyDescent="0.25">
      <c r="B12" s="20"/>
      <c r="C12" s="5" t="s">
        <v>235</v>
      </c>
      <c r="D12" s="6" t="s">
        <v>213</v>
      </c>
      <c r="E12" s="11">
        <v>0.13069600000000001</v>
      </c>
      <c r="F12" s="1"/>
      <c r="G12" s="1"/>
      <c r="H12" s="1"/>
      <c r="I12" s="1"/>
      <c r="J12" s="24" t="s">
        <v>56</v>
      </c>
      <c r="K12" s="29">
        <v>0.79300700000000002</v>
      </c>
      <c r="L12" s="1"/>
      <c r="M12" s="1"/>
      <c r="N12" s="18"/>
    </row>
    <row r="13" spans="2:14" ht="15.75" customHeight="1" x14ac:dyDescent="0.25">
      <c r="B13" s="20"/>
      <c r="C13" s="5" t="s">
        <v>243</v>
      </c>
      <c r="D13" s="6" t="s">
        <v>213</v>
      </c>
      <c r="E13" s="11">
        <v>0.11908299999999999</v>
      </c>
      <c r="F13" s="1"/>
      <c r="G13" s="1"/>
      <c r="H13" s="1"/>
      <c r="I13" s="1"/>
      <c r="J13" s="1"/>
      <c r="K13" s="1"/>
      <c r="L13" s="1"/>
      <c r="M13" s="1"/>
      <c r="N13" s="18"/>
    </row>
    <row r="14" spans="2:14" ht="15" customHeight="1" x14ac:dyDescent="0.25">
      <c r="B14" s="20"/>
      <c r="C14" s="5" t="s">
        <v>240</v>
      </c>
      <c r="D14" s="6" t="s">
        <v>213</v>
      </c>
      <c r="E14" s="11">
        <v>5.9499000000000003E-2</v>
      </c>
      <c r="F14" s="1"/>
      <c r="G14" s="1"/>
      <c r="H14" s="1"/>
      <c r="I14" s="1"/>
      <c r="J14" s="1"/>
      <c r="K14" s="1"/>
      <c r="L14" s="1"/>
      <c r="M14" s="1"/>
      <c r="N14" s="18"/>
    </row>
    <row r="15" spans="2:14" ht="15.75" customHeight="1" x14ac:dyDescent="0.25">
      <c r="B15" s="20"/>
      <c r="C15" s="5" t="s">
        <v>238</v>
      </c>
      <c r="D15" s="6" t="s">
        <v>213</v>
      </c>
      <c r="E15" s="11">
        <v>5.7689999999999998E-2</v>
      </c>
      <c r="F15" s="1"/>
      <c r="G15" s="1"/>
      <c r="H15" s="1"/>
      <c r="I15" s="1"/>
      <c r="J15" s="1"/>
      <c r="K15" s="1"/>
      <c r="L15" s="1"/>
      <c r="M15" s="1"/>
      <c r="N15" s="18"/>
    </row>
    <row r="16" spans="2:14" ht="15" customHeight="1" x14ac:dyDescent="0.25">
      <c r="B16" s="20"/>
      <c r="C16" s="5" t="s">
        <v>239</v>
      </c>
      <c r="D16" s="6" t="s">
        <v>213</v>
      </c>
      <c r="E16" s="11">
        <v>3.5729999999999998E-2</v>
      </c>
      <c r="F16" s="1"/>
      <c r="G16" s="1"/>
      <c r="H16" s="1"/>
      <c r="I16" s="1"/>
      <c r="J16" s="1"/>
      <c r="K16" s="1"/>
      <c r="L16" s="1"/>
      <c r="M16" s="1"/>
      <c r="N16" s="18"/>
    </row>
    <row r="17" spans="2:14" ht="15" customHeight="1" x14ac:dyDescent="0.25">
      <c r="B17" s="20"/>
      <c r="C17" s="5" t="s">
        <v>242</v>
      </c>
      <c r="D17" s="6" t="s">
        <v>213</v>
      </c>
      <c r="E17" s="11">
        <v>2.9721000000000001E-2</v>
      </c>
      <c r="F17" s="1"/>
      <c r="G17" s="1"/>
      <c r="H17" s="1"/>
      <c r="I17" s="1"/>
      <c r="J17" s="1"/>
      <c r="K17" s="1"/>
      <c r="L17" s="1"/>
      <c r="M17" s="1"/>
      <c r="N17" s="18"/>
    </row>
    <row r="18" spans="2:14" ht="15" customHeight="1" x14ac:dyDescent="0.25">
      <c r="B18" s="20"/>
      <c r="C18" s="5" t="s">
        <v>241</v>
      </c>
      <c r="D18" s="6" t="s">
        <v>213</v>
      </c>
      <c r="E18" s="11">
        <v>2.6863000000000001E-2</v>
      </c>
      <c r="F18" s="1"/>
      <c r="G18" s="1"/>
      <c r="H18" s="1"/>
      <c r="I18" s="1"/>
      <c r="J18" s="1"/>
      <c r="K18" s="1"/>
      <c r="L18" s="1"/>
      <c r="M18" s="1"/>
      <c r="N18" s="18"/>
    </row>
    <row r="19" spans="2:14" ht="15" customHeight="1" x14ac:dyDescent="0.25">
      <c r="B19" s="20"/>
      <c r="C19" s="5" t="s">
        <v>234</v>
      </c>
      <c r="D19" s="6" t="s">
        <v>213</v>
      </c>
      <c r="E19" s="11">
        <v>5.9950000000000003E-3</v>
      </c>
      <c r="F19" s="1"/>
      <c r="G19" s="1"/>
      <c r="H19" s="1"/>
      <c r="I19" s="1"/>
      <c r="J19" s="1"/>
      <c r="K19" s="1"/>
      <c r="L19" s="1"/>
      <c r="M19" s="1"/>
      <c r="N19" s="18"/>
    </row>
    <row r="20" spans="2:14" ht="15" customHeight="1" x14ac:dyDescent="0.25">
      <c r="B20" s="20"/>
      <c r="C20" s="5" t="s">
        <v>236</v>
      </c>
      <c r="D20" s="6" t="s">
        <v>213</v>
      </c>
      <c r="E20" s="11">
        <v>3.6189999999999998E-3</v>
      </c>
      <c r="F20" s="1"/>
      <c r="G20" s="1"/>
      <c r="H20" s="1"/>
      <c r="I20" s="1"/>
      <c r="J20" s="1"/>
      <c r="K20" s="1"/>
      <c r="L20" s="1"/>
      <c r="M20" s="1"/>
      <c r="N20" s="18"/>
    </row>
    <row r="21" spans="2:14" ht="15" customHeight="1" x14ac:dyDescent="0.25">
      <c r="B21" s="20"/>
      <c r="C21" s="7" t="s">
        <v>52</v>
      </c>
      <c r="D21" s="8"/>
      <c r="E21" s="12">
        <v>0.79300700000000002</v>
      </c>
      <c r="F21" s="1"/>
      <c r="G21" s="1"/>
      <c r="H21" s="1"/>
      <c r="I21" s="1"/>
      <c r="J21" s="1"/>
      <c r="K21" s="1"/>
      <c r="L21" s="1"/>
      <c r="M21" s="1"/>
      <c r="N21" s="18"/>
    </row>
    <row r="22" spans="2:14" ht="15" customHeight="1" x14ac:dyDescent="0.25">
      <c r="B22" s="20"/>
      <c r="C22" s="5" t="s">
        <v>8</v>
      </c>
      <c r="D22" s="6"/>
      <c r="E22" s="11">
        <v>1.2964E-2</v>
      </c>
      <c r="F22" s="1"/>
      <c r="G22" s="1"/>
      <c r="H22" s="1"/>
      <c r="I22" s="1"/>
      <c r="J22" s="1"/>
      <c r="K22" s="1"/>
      <c r="L22" s="1"/>
      <c r="M22" s="1"/>
      <c r="N22" s="18"/>
    </row>
    <row r="23" spans="2:14" ht="15" customHeight="1" x14ac:dyDescent="0.25">
      <c r="B23" s="20"/>
      <c r="C23" s="7" t="s">
        <v>9</v>
      </c>
      <c r="D23" s="8"/>
      <c r="E23" s="12">
        <v>1.2964E-2</v>
      </c>
      <c r="F23" s="1"/>
      <c r="G23" s="1"/>
      <c r="H23" s="1"/>
      <c r="I23" s="1"/>
      <c r="J23" s="1"/>
      <c r="K23" s="1"/>
      <c r="L23" s="1"/>
      <c r="M23" s="1"/>
      <c r="N23" s="18"/>
    </row>
    <row r="24" spans="2:14" ht="15" customHeight="1" x14ac:dyDescent="0.25">
      <c r="B24" s="20"/>
      <c r="C24" s="5"/>
      <c r="D24" s="6"/>
      <c r="E24" s="11"/>
      <c r="F24" s="1"/>
      <c r="G24" s="85" t="s">
        <v>17</v>
      </c>
      <c r="H24" s="86"/>
      <c r="I24" s="86"/>
      <c r="J24" s="86"/>
      <c r="K24" s="86"/>
      <c r="L24" s="26">
        <v>3.2968541953047859</v>
      </c>
      <c r="M24" s="27"/>
      <c r="N24" s="28"/>
    </row>
    <row r="25" spans="2:14" ht="15" customHeight="1" x14ac:dyDescent="0.25">
      <c r="B25" s="20"/>
      <c r="C25" s="7" t="s">
        <v>10</v>
      </c>
      <c r="D25" s="8"/>
      <c r="E25" s="12">
        <v>1.1310000000000001E-2</v>
      </c>
      <c r="F25" s="1"/>
      <c r="G25" s="1"/>
      <c r="H25" s="1"/>
      <c r="I25" s="1"/>
      <c r="J25" s="1"/>
      <c r="K25" s="1"/>
      <c r="L25" s="1"/>
      <c r="M25" s="1"/>
      <c r="N25" s="18"/>
    </row>
    <row r="26" spans="2:14" ht="15" customHeight="1" x14ac:dyDescent="0.25">
      <c r="B26" s="20"/>
      <c r="C26" s="5"/>
      <c r="D26" s="6"/>
      <c r="E26" s="11"/>
      <c r="F26" s="1"/>
      <c r="G26" s="85" t="s">
        <v>18</v>
      </c>
      <c r="H26" s="86"/>
      <c r="I26" s="86"/>
      <c r="J26" s="86"/>
      <c r="K26" s="86"/>
      <c r="L26" s="86"/>
      <c r="M26" s="86"/>
      <c r="N26" s="87"/>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77" t="s">
        <v>275</v>
      </c>
      <c r="C45" s="78"/>
      <c r="D45" s="78"/>
      <c r="E45" s="78"/>
      <c r="F45" s="78"/>
      <c r="G45" s="78"/>
      <c r="H45" s="78"/>
      <c r="I45" s="78"/>
      <c r="J45" s="78"/>
      <c r="K45" s="78"/>
      <c r="L45" s="78"/>
      <c r="M45" s="78"/>
      <c r="N45" s="79"/>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A595-7051-4143-BD52-57E64A69F740}">
  <dimension ref="B1:N45"/>
  <sheetViews>
    <sheetView showGridLines="0" zoomScale="75" zoomScaleNormal="75" workbookViewId="0"/>
  </sheetViews>
  <sheetFormatPr defaultRowHeight="15" x14ac:dyDescent="0.25"/>
  <cols>
    <col min="1" max="1" width="2.85546875" customWidth="1"/>
    <col min="2" max="2" width="3.85546875" customWidth="1"/>
    <col min="3" max="3" width="49.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49</v>
      </c>
      <c r="D8" s="6" t="s">
        <v>213</v>
      </c>
      <c r="E8" s="11">
        <v>0.108573</v>
      </c>
      <c r="F8" s="1"/>
      <c r="G8" s="24" t="s">
        <v>15</v>
      </c>
      <c r="H8" s="25">
        <v>1</v>
      </c>
      <c r="I8" s="1"/>
      <c r="J8" s="24" t="s">
        <v>12</v>
      </c>
      <c r="K8" s="24" t="s">
        <v>5</v>
      </c>
      <c r="L8" s="1"/>
      <c r="M8" s="1"/>
      <c r="N8" s="18"/>
    </row>
    <row r="9" spans="2:14" ht="15" customHeight="1" x14ac:dyDescent="0.25">
      <c r="B9" s="20"/>
      <c r="C9" s="5" t="s">
        <v>105</v>
      </c>
      <c r="D9" s="6" t="s">
        <v>213</v>
      </c>
      <c r="E9" s="11">
        <v>1.3407000000000001E-2</v>
      </c>
      <c r="F9" s="1"/>
      <c r="G9" s="1"/>
      <c r="H9" s="1"/>
      <c r="I9" s="1"/>
      <c r="J9" s="24" t="s">
        <v>10</v>
      </c>
      <c r="K9" s="29">
        <v>-4.5659999999999997E-3</v>
      </c>
      <c r="L9" s="1"/>
      <c r="M9" s="1"/>
      <c r="N9" s="18"/>
    </row>
    <row r="10" spans="2:14" ht="15.75" customHeight="1" x14ac:dyDescent="0.25">
      <c r="B10" s="20"/>
      <c r="C10" s="7" t="s">
        <v>51</v>
      </c>
      <c r="D10" s="8"/>
      <c r="E10" s="12">
        <v>0.12198000000000001</v>
      </c>
      <c r="F10" s="1"/>
      <c r="G10" s="1"/>
      <c r="H10" s="1"/>
      <c r="I10" s="1"/>
      <c r="J10" s="24" t="s">
        <v>13</v>
      </c>
      <c r="K10" s="29">
        <v>1.6952999999999999E-2</v>
      </c>
      <c r="L10" s="1"/>
      <c r="M10" s="1"/>
      <c r="N10" s="18"/>
    </row>
    <row r="11" spans="2:14" ht="15" customHeight="1" x14ac:dyDescent="0.25">
      <c r="B11" s="20"/>
      <c r="C11" s="5" t="s">
        <v>265</v>
      </c>
      <c r="D11" s="6" t="s">
        <v>213</v>
      </c>
      <c r="E11" s="11">
        <v>0.14493900000000001</v>
      </c>
      <c r="F11" s="1"/>
      <c r="G11" s="1"/>
      <c r="H11" s="1"/>
      <c r="I11" s="1"/>
      <c r="J11" s="24" t="s">
        <v>55</v>
      </c>
      <c r="K11" s="29">
        <v>0.12198000000000001</v>
      </c>
      <c r="L11" s="1"/>
      <c r="M11" s="1"/>
      <c r="N11" s="18"/>
    </row>
    <row r="12" spans="2:14" ht="15.75" customHeight="1" x14ac:dyDescent="0.25">
      <c r="B12" s="20"/>
      <c r="C12" s="5" t="s">
        <v>266</v>
      </c>
      <c r="D12" s="6" t="s">
        <v>213</v>
      </c>
      <c r="E12" s="11">
        <v>0.144785</v>
      </c>
      <c r="F12" s="1"/>
      <c r="G12" s="1"/>
      <c r="H12" s="1"/>
      <c r="I12" s="1"/>
      <c r="J12" s="24" t="s">
        <v>56</v>
      </c>
      <c r="K12" s="29">
        <v>0.86563299999999999</v>
      </c>
      <c r="L12" s="1"/>
      <c r="M12" s="1"/>
      <c r="N12" s="18"/>
    </row>
    <row r="13" spans="2:14" ht="15" customHeight="1" x14ac:dyDescent="0.25">
      <c r="B13" s="20"/>
      <c r="C13" s="5" t="s">
        <v>263</v>
      </c>
      <c r="D13" s="6" t="s">
        <v>213</v>
      </c>
      <c r="E13" s="11">
        <v>0.121798</v>
      </c>
      <c r="F13" s="1"/>
      <c r="G13" s="1"/>
      <c r="H13" s="1"/>
      <c r="I13" s="1"/>
      <c r="J13" s="1"/>
      <c r="K13" s="1"/>
      <c r="L13" s="1"/>
      <c r="M13" s="1"/>
      <c r="N13" s="18"/>
    </row>
    <row r="14" spans="2:14" ht="15.75" customHeight="1" x14ac:dyDescent="0.25">
      <c r="B14" s="20"/>
      <c r="C14" s="5" t="s">
        <v>264</v>
      </c>
      <c r="D14" s="6" t="s">
        <v>213</v>
      </c>
      <c r="E14" s="11">
        <v>8.1250000000000003E-2</v>
      </c>
      <c r="F14" s="1"/>
      <c r="G14" s="1"/>
      <c r="H14" s="1"/>
      <c r="I14" s="1"/>
      <c r="J14" s="1"/>
      <c r="K14" s="1"/>
      <c r="L14" s="1"/>
      <c r="M14" s="1"/>
      <c r="N14" s="18"/>
    </row>
    <row r="15" spans="2:14" ht="15" customHeight="1" x14ac:dyDescent="0.25">
      <c r="B15" s="20"/>
      <c r="C15" s="5" t="s">
        <v>261</v>
      </c>
      <c r="D15" s="6" t="s">
        <v>213</v>
      </c>
      <c r="E15" s="11">
        <v>6.6300999999999999E-2</v>
      </c>
      <c r="F15" s="1"/>
      <c r="G15" s="1"/>
      <c r="H15" s="1"/>
      <c r="I15" s="1"/>
      <c r="J15" s="1"/>
      <c r="K15" s="1"/>
      <c r="L15" s="1"/>
      <c r="M15" s="1"/>
      <c r="N15" s="18"/>
    </row>
    <row r="16" spans="2:14" ht="15.75" customHeight="1" x14ac:dyDescent="0.25">
      <c r="B16" s="20"/>
      <c r="C16" s="5" t="s">
        <v>254</v>
      </c>
      <c r="D16" s="6" t="s">
        <v>213</v>
      </c>
      <c r="E16" s="11">
        <v>4.2459999999999998E-2</v>
      </c>
      <c r="F16" s="1"/>
      <c r="G16" s="1"/>
      <c r="H16" s="1"/>
      <c r="I16" s="1"/>
      <c r="J16" s="1"/>
      <c r="K16" s="1"/>
      <c r="L16" s="1"/>
      <c r="M16" s="1"/>
      <c r="N16" s="18"/>
    </row>
    <row r="17" spans="2:14" ht="15" customHeight="1" x14ac:dyDescent="0.25">
      <c r="B17" s="20"/>
      <c r="C17" s="5" t="s">
        <v>256</v>
      </c>
      <c r="D17" s="6" t="s">
        <v>213</v>
      </c>
      <c r="E17" s="11">
        <v>3.2773999999999998E-2</v>
      </c>
      <c r="F17" s="1"/>
      <c r="G17" s="1"/>
      <c r="H17" s="1"/>
      <c r="I17" s="1"/>
      <c r="J17" s="1"/>
      <c r="K17" s="1"/>
      <c r="L17" s="1"/>
      <c r="M17" s="1"/>
      <c r="N17" s="18"/>
    </row>
    <row r="18" spans="2:14" ht="15" customHeight="1" x14ac:dyDescent="0.25">
      <c r="B18" s="20"/>
      <c r="C18" s="5" t="s">
        <v>257</v>
      </c>
      <c r="D18" s="6" t="s">
        <v>213</v>
      </c>
      <c r="E18" s="11">
        <v>2.8891E-2</v>
      </c>
      <c r="F18" s="1"/>
      <c r="G18" s="1"/>
      <c r="H18" s="1"/>
      <c r="I18" s="1"/>
      <c r="J18" s="1"/>
      <c r="K18" s="1"/>
      <c r="L18" s="1"/>
      <c r="M18" s="1"/>
      <c r="N18" s="18"/>
    </row>
    <row r="19" spans="2:14" ht="15" customHeight="1" x14ac:dyDescent="0.25">
      <c r="B19" s="20"/>
      <c r="C19" s="5" t="s">
        <v>250</v>
      </c>
      <c r="D19" s="6" t="s">
        <v>213</v>
      </c>
      <c r="E19" s="11">
        <v>2.7934E-2</v>
      </c>
      <c r="F19" s="1"/>
      <c r="G19" s="1"/>
      <c r="H19" s="1"/>
      <c r="I19" s="1"/>
      <c r="J19" s="1"/>
      <c r="K19" s="1"/>
      <c r="L19" s="1"/>
      <c r="M19" s="1"/>
      <c r="N19" s="18"/>
    </row>
    <row r="20" spans="2:14" ht="15" customHeight="1" x14ac:dyDescent="0.25">
      <c r="B20" s="20"/>
      <c r="C20" s="5" t="s">
        <v>247</v>
      </c>
      <c r="D20" s="6" t="s">
        <v>213</v>
      </c>
      <c r="E20" s="11">
        <v>2.6157E-2</v>
      </c>
      <c r="F20" s="1"/>
      <c r="G20" s="1"/>
      <c r="H20" s="1"/>
      <c r="I20" s="1"/>
      <c r="J20" s="1"/>
      <c r="K20" s="1"/>
      <c r="L20" s="1"/>
      <c r="M20" s="1"/>
      <c r="N20" s="18"/>
    </row>
    <row r="21" spans="2:14" ht="15" customHeight="1" x14ac:dyDescent="0.25">
      <c r="B21" s="20"/>
      <c r="C21" s="5" t="s">
        <v>249</v>
      </c>
      <c r="D21" s="6" t="s">
        <v>213</v>
      </c>
      <c r="E21" s="11">
        <v>1.9644999999999999E-2</v>
      </c>
      <c r="F21" s="1"/>
      <c r="G21" s="1"/>
      <c r="H21" s="1"/>
      <c r="I21" s="1"/>
      <c r="J21" s="1"/>
      <c r="K21" s="1"/>
      <c r="L21" s="1"/>
      <c r="M21" s="1"/>
      <c r="N21" s="18"/>
    </row>
    <row r="22" spans="2:14" ht="15" customHeight="1" x14ac:dyDescent="0.25">
      <c r="B22" s="20"/>
      <c r="C22" s="5" t="s">
        <v>252</v>
      </c>
      <c r="D22" s="6" t="s">
        <v>213</v>
      </c>
      <c r="E22" s="11">
        <v>1.5502999999999999E-2</v>
      </c>
      <c r="F22" s="1"/>
      <c r="G22" s="1"/>
      <c r="H22" s="1"/>
      <c r="I22" s="1"/>
      <c r="J22" s="1"/>
      <c r="K22" s="1"/>
      <c r="L22" s="1"/>
      <c r="M22" s="1"/>
      <c r="N22" s="18"/>
    </row>
    <row r="23" spans="2:14" ht="15" customHeight="1" x14ac:dyDescent="0.25">
      <c r="B23" s="20"/>
      <c r="C23" s="5" t="s">
        <v>244</v>
      </c>
      <c r="D23" s="6" t="s">
        <v>213</v>
      </c>
      <c r="E23" s="11">
        <v>1.4644000000000001E-2</v>
      </c>
      <c r="F23" s="1"/>
      <c r="G23" s="1"/>
      <c r="H23" s="1"/>
      <c r="I23" s="1"/>
      <c r="J23" s="1"/>
      <c r="K23" s="1"/>
      <c r="L23" s="1"/>
      <c r="M23" s="1"/>
      <c r="N23" s="18"/>
    </row>
    <row r="24" spans="2:14" ht="15" customHeight="1" x14ac:dyDescent="0.25">
      <c r="B24" s="20"/>
      <c r="C24" s="5" t="s">
        <v>255</v>
      </c>
      <c r="D24" s="6" t="s">
        <v>213</v>
      </c>
      <c r="E24" s="11">
        <v>1.4520999999999999E-2</v>
      </c>
      <c r="F24" s="1"/>
      <c r="G24" s="85" t="s">
        <v>17</v>
      </c>
      <c r="H24" s="86"/>
      <c r="I24" s="86"/>
      <c r="J24" s="86"/>
      <c r="K24" s="86"/>
      <c r="L24" s="26">
        <v>7.8321222368409664</v>
      </c>
      <c r="M24" s="27"/>
      <c r="N24" s="28"/>
    </row>
    <row r="25" spans="2:14" ht="15" customHeight="1" x14ac:dyDescent="0.25">
      <c r="B25" s="20"/>
      <c r="C25" s="5" t="s">
        <v>262</v>
      </c>
      <c r="D25" s="6" t="s">
        <v>213</v>
      </c>
      <c r="E25" s="11">
        <v>1.4500000000000001E-2</v>
      </c>
      <c r="F25" s="1"/>
      <c r="G25" s="1"/>
      <c r="H25" s="1"/>
      <c r="I25" s="1"/>
      <c r="J25" s="1"/>
      <c r="K25" s="1"/>
      <c r="L25" s="1"/>
      <c r="M25" s="1"/>
      <c r="N25" s="18"/>
    </row>
    <row r="26" spans="2:14" ht="15" customHeight="1" x14ac:dyDescent="0.25">
      <c r="B26" s="20"/>
      <c r="C26" s="5" t="s">
        <v>253</v>
      </c>
      <c r="D26" s="6" t="s">
        <v>213</v>
      </c>
      <c r="E26" s="11">
        <v>1.4144E-2</v>
      </c>
      <c r="F26" s="1"/>
      <c r="G26" s="85" t="s">
        <v>18</v>
      </c>
      <c r="H26" s="86"/>
      <c r="I26" s="86"/>
      <c r="J26" s="86"/>
      <c r="K26" s="86"/>
      <c r="L26" s="86"/>
      <c r="M26" s="86"/>
      <c r="N26" s="87"/>
    </row>
    <row r="27" spans="2:14" ht="15" customHeight="1" x14ac:dyDescent="0.25">
      <c r="B27" s="20"/>
      <c r="C27" s="5" t="s">
        <v>248</v>
      </c>
      <c r="D27" s="6" t="s">
        <v>213</v>
      </c>
      <c r="E27" s="11">
        <v>1.4E-2</v>
      </c>
      <c r="F27" s="1"/>
      <c r="G27" s="1"/>
      <c r="H27" s="1"/>
      <c r="I27" s="1"/>
      <c r="J27" s="1"/>
      <c r="K27" s="1"/>
      <c r="L27" s="1"/>
      <c r="M27" s="1"/>
      <c r="N27" s="18"/>
    </row>
    <row r="28" spans="2:14" ht="15" customHeight="1" x14ac:dyDescent="0.25">
      <c r="B28" s="20"/>
      <c r="C28" s="5" t="s">
        <v>246</v>
      </c>
      <c r="D28" s="6" t="s">
        <v>213</v>
      </c>
      <c r="E28" s="11">
        <v>1.3782000000000001E-2</v>
      </c>
      <c r="F28" s="1"/>
      <c r="G28" s="1"/>
      <c r="H28" s="1"/>
      <c r="I28" s="1"/>
      <c r="J28" s="1"/>
      <c r="K28" s="1"/>
      <c r="L28" s="1"/>
      <c r="M28" s="1"/>
      <c r="N28" s="18"/>
    </row>
    <row r="29" spans="2:14" ht="15" customHeight="1" x14ac:dyDescent="0.25">
      <c r="B29" s="20"/>
      <c r="C29" s="5" t="s">
        <v>260</v>
      </c>
      <c r="D29" s="6" t="s">
        <v>213</v>
      </c>
      <c r="E29" s="11">
        <v>8.6180000000000007E-3</v>
      </c>
      <c r="F29" s="1"/>
      <c r="G29" s="1"/>
      <c r="H29" s="1"/>
      <c r="I29" s="1"/>
      <c r="J29" s="1"/>
      <c r="K29" s="1"/>
      <c r="L29" s="1"/>
      <c r="M29" s="1"/>
      <c r="N29" s="18"/>
    </row>
    <row r="30" spans="2:14" ht="15" customHeight="1" x14ac:dyDescent="0.25">
      <c r="B30" s="20"/>
      <c r="C30" s="5" t="s">
        <v>259</v>
      </c>
      <c r="D30" s="6" t="s">
        <v>213</v>
      </c>
      <c r="E30" s="11">
        <v>7.0340000000000003E-3</v>
      </c>
      <c r="F30" s="1"/>
      <c r="G30" s="1"/>
      <c r="H30" s="1"/>
      <c r="I30" s="1"/>
      <c r="J30" s="1"/>
      <c r="K30" s="1"/>
      <c r="L30" s="1"/>
      <c r="M30" s="1"/>
      <c r="N30" s="18"/>
    </row>
    <row r="31" spans="2:14" ht="15" customHeight="1" x14ac:dyDescent="0.25">
      <c r="B31" s="20"/>
      <c r="C31" s="5" t="s">
        <v>258</v>
      </c>
      <c r="D31" s="6" t="s">
        <v>213</v>
      </c>
      <c r="E31" s="11">
        <v>5.5250000000000004E-3</v>
      </c>
      <c r="F31" s="1"/>
      <c r="G31" s="1"/>
      <c r="H31" s="1"/>
      <c r="I31" s="1"/>
      <c r="J31" s="1"/>
      <c r="K31" s="1"/>
      <c r="L31" s="1"/>
      <c r="M31" s="1"/>
      <c r="N31" s="18"/>
    </row>
    <row r="32" spans="2:14" ht="15" customHeight="1" x14ac:dyDescent="0.25">
      <c r="B32" s="20"/>
      <c r="C32" s="5" t="s">
        <v>251</v>
      </c>
      <c r="D32" s="6" t="s">
        <v>213</v>
      </c>
      <c r="E32" s="11">
        <v>3.9410000000000001E-3</v>
      </c>
      <c r="F32" s="1"/>
      <c r="G32" s="1"/>
      <c r="H32" s="1"/>
      <c r="I32" s="1"/>
      <c r="J32" s="1"/>
      <c r="K32" s="1"/>
      <c r="L32" s="1"/>
      <c r="M32" s="1"/>
      <c r="N32" s="18"/>
    </row>
    <row r="33" spans="2:14" ht="15" customHeight="1" x14ac:dyDescent="0.25">
      <c r="B33" s="20"/>
      <c r="C33" s="5" t="s">
        <v>245</v>
      </c>
      <c r="D33" s="6" t="s">
        <v>213</v>
      </c>
      <c r="E33" s="11">
        <v>2.4870000000000001E-3</v>
      </c>
      <c r="F33" s="1"/>
      <c r="G33" s="1"/>
      <c r="H33" s="1"/>
      <c r="I33" s="1"/>
      <c r="J33" s="1"/>
      <c r="K33" s="1"/>
      <c r="L33" s="1"/>
      <c r="M33" s="1"/>
      <c r="N33" s="18"/>
    </row>
    <row r="34" spans="2:14" ht="15" customHeight="1" x14ac:dyDescent="0.25">
      <c r="B34" s="20"/>
      <c r="C34" s="7" t="s">
        <v>52</v>
      </c>
      <c r="D34" s="8"/>
      <c r="E34" s="12">
        <v>0.86563299999999999</v>
      </c>
      <c r="F34" s="1"/>
      <c r="G34" s="1"/>
      <c r="H34" s="1"/>
      <c r="I34" s="1"/>
      <c r="J34" s="1"/>
      <c r="K34" s="1"/>
      <c r="L34" s="1"/>
      <c r="M34" s="1"/>
      <c r="N34" s="18"/>
    </row>
    <row r="35" spans="2:14" ht="15" customHeight="1" x14ac:dyDescent="0.25">
      <c r="B35" s="20"/>
      <c r="C35" s="5" t="s">
        <v>8</v>
      </c>
      <c r="D35" s="6"/>
      <c r="E35" s="11">
        <v>1.6952999999999999E-2</v>
      </c>
      <c r="F35" s="1"/>
      <c r="G35" s="1"/>
      <c r="H35" s="1"/>
      <c r="I35" s="1"/>
      <c r="J35" s="1"/>
      <c r="K35" s="1"/>
      <c r="L35" s="1"/>
      <c r="M35" s="1"/>
      <c r="N35" s="18"/>
    </row>
    <row r="36" spans="2:14" ht="15" customHeight="1" x14ac:dyDescent="0.25">
      <c r="B36" s="20"/>
      <c r="C36" s="7" t="s">
        <v>9</v>
      </c>
      <c r="D36" s="8"/>
      <c r="E36" s="12">
        <v>1.6952999999999999E-2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-4.5659999999999997E-3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77" t="s">
        <v>275</v>
      </c>
      <c r="C45" s="78"/>
      <c r="D45" s="78"/>
      <c r="E45" s="78"/>
      <c r="F45" s="78"/>
      <c r="G45" s="78"/>
      <c r="H45" s="78"/>
      <c r="I45" s="78"/>
      <c r="J45" s="78"/>
      <c r="K45" s="78"/>
      <c r="L45" s="78"/>
      <c r="M45" s="78"/>
      <c r="N45" s="79"/>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E365-4588-41DE-81A2-22B0EF679F11}">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16</v>
      </c>
      <c r="H7" s="86"/>
      <c r="I7" s="86"/>
      <c r="J7" s="86"/>
      <c r="K7" s="86"/>
      <c r="L7" s="86"/>
      <c r="M7" s="86"/>
      <c r="N7" s="87"/>
    </row>
    <row r="8" spans="2:14" ht="15" customHeight="1" x14ac:dyDescent="0.25">
      <c r="B8" s="20"/>
      <c r="C8" s="5" t="s">
        <v>6</v>
      </c>
      <c r="D8" s="6"/>
      <c r="E8" s="11">
        <v>0.60927100000000001</v>
      </c>
      <c r="F8" s="1"/>
      <c r="G8" s="24" t="s">
        <v>15</v>
      </c>
      <c r="H8" s="25">
        <v>1</v>
      </c>
      <c r="I8" s="1"/>
      <c r="J8" s="24" t="s">
        <v>12</v>
      </c>
      <c r="K8" s="24" t="s">
        <v>5</v>
      </c>
      <c r="L8" s="1"/>
      <c r="M8" s="1"/>
      <c r="N8" s="18"/>
    </row>
    <row r="9" spans="2:14" ht="15" customHeight="1" x14ac:dyDescent="0.25">
      <c r="B9" s="20"/>
      <c r="C9" s="5" t="s">
        <v>267</v>
      </c>
      <c r="D9" s="6"/>
      <c r="E9" s="11">
        <v>0.39060600000000001</v>
      </c>
      <c r="F9" s="1"/>
      <c r="G9" s="1"/>
      <c r="H9" s="1"/>
      <c r="I9" s="1"/>
      <c r="J9" s="24" t="s">
        <v>10</v>
      </c>
      <c r="K9" s="29">
        <v>-8.25E-4</v>
      </c>
      <c r="L9" s="1"/>
      <c r="M9" s="1"/>
      <c r="N9" s="18"/>
    </row>
    <row r="10" spans="2:14" ht="15.75" customHeight="1" x14ac:dyDescent="0.25">
      <c r="B10" s="20"/>
      <c r="C10" s="7" t="s">
        <v>7</v>
      </c>
      <c r="D10" s="8"/>
      <c r="E10" s="12">
        <v>0.99987700000000002</v>
      </c>
      <c r="F10" s="1"/>
      <c r="G10" s="1"/>
      <c r="H10" s="1"/>
      <c r="I10" s="1"/>
      <c r="J10" s="24" t="s">
        <v>13</v>
      </c>
      <c r="K10" s="29">
        <v>9.4799999999999995E-4</v>
      </c>
      <c r="L10" s="1"/>
      <c r="M10" s="1"/>
      <c r="N10" s="18"/>
    </row>
    <row r="11" spans="2:14" ht="15" customHeight="1" x14ac:dyDescent="0.25">
      <c r="B11" s="20"/>
      <c r="C11" s="5" t="s">
        <v>8</v>
      </c>
      <c r="D11" s="6"/>
      <c r="E11" s="11">
        <v>9.4799999999999995E-4</v>
      </c>
      <c r="F11" s="1"/>
      <c r="G11" s="1"/>
      <c r="H11" s="1"/>
      <c r="I11" s="1"/>
      <c r="J11" s="24" t="s">
        <v>14</v>
      </c>
      <c r="K11" s="29">
        <v>0.99987700000000002</v>
      </c>
      <c r="L11" s="1"/>
      <c r="M11" s="1"/>
      <c r="N11" s="18"/>
    </row>
    <row r="12" spans="2:14" ht="15.75" customHeight="1" x14ac:dyDescent="0.25">
      <c r="B12" s="20"/>
      <c r="C12" s="7" t="s">
        <v>9</v>
      </c>
      <c r="D12" s="8"/>
      <c r="E12" s="12">
        <v>9.4799999999999995E-4</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-8.25E-4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17</v>
      </c>
      <c r="H24" s="86"/>
      <c r="I24" s="86"/>
      <c r="J24" s="86"/>
      <c r="K24" s="86"/>
      <c r="L24" s="26">
        <v>3.1040457275005742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18</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77" t="s">
        <v>275</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1EB2-17A8-4C1E-A9CF-05F529095D3E}">
  <sheetPr>
    <tabColor rgb="FFE5E3E3"/>
    <pageSetUpPr fitToPage="1"/>
  </sheetPr>
  <dimension ref="B1:X691"/>
  <sheetViews>
    <sheetView showGridLines="0" zoomScale="75" zoomScaleNormal="75" workbookViewId="0"/>
  </sheetViews>
  <sheetFormatPr defaultRowHeight="15" x14ac:dyDescent="0.2"/>
  <cols>
    <col min="1" max="1" width="2.85546875" style="36" customWidth="1"/>
    <col min="2" max="2" width="3.85546875" style="36" customWidth="1"/>
    <col min="3" max="3" width="60.5703125" style="36" customWidth="1"/>
    <col min="4" max="4" width="15.42578125" style="36" bestFit="1" customWidth="1"/>
    <col min="5" max="5" width="9.140625" style="36"/>
    <col min="6" max="6" width="10.7109375" style="36" customWidth="1"/>
    <col min="7" max="7" width="10.5703125" style="36" bestFit="1" customWidth="1"/>
    <col min="8" max="9" width="9.140625" style="36"/>
    <col min="10" max="11" width="16.42578125" style="36" customWidth="1"/>
    <col min="12" max="18" width="9.140625" style="36"/>
    <col min="19" max="19" width="9.85546875" style="36" customWidth="1"/>
    <col min="20" max="21" width="9.28515625" style="36" bestFit="1" customWidth="1"/>
    <col min="22" max="16384" width="9.140625" style="36"/>
  </cols>
  <sheetData>
    <row r="1" spans="2:24" ht="15.75" thickBot="1" x14ac:dyDescent="0.25"/>
    <row r="2" spans="2:24" x14ac:dyDescent="0.2">
      <c r="B2" s="37"/>
      <c r="C2" s="38"/>
      <c r="D2" s="38"/>
      <c r="E2" s="38"/>
      <c r="F2" s="38"/>
      <c r="G2" s="38"/>
      <c r="H2" s="38"/>
      <c r="I2" s="38"/>
      <c r="J2" s="38"/>
      <c r="K2" s="38"/>
      <c r="L2" s="38"/>
      <c r="M2" s="39"/>
    </row>
    <row r="3" spans="2:24" ht="20.25" customHeight="1" x14ac:dyDescent="0.2">
      <c r="B3" s="40"/>
      <c r="C3" s="88" t="s">
        <v>296</v>
      </c>
      <c r="D3" s="88"/>
      <c r="E3" s="88"/>
      <c r="F3" s="88"/>
      <c r="G3" s="88"/>
      <c r="H3" s="88"/>
      <c r="I3" s="88"/>
      <c r="J3" s="88"/>
      <c r="K3" s="88"/>
      <c r="L3" s="88"/>
      <c r="M3" s="89"/>
    </row>
    <row r="4" spans="2:24" ht="15.75" x14ac:dyDescent="0.25">
      <c r="B4" s="40"/>
      <c r="C4" s="14"/>
      <c r="D4" s="41"/>
      <c r="E4" s="41"/>
      <c r="F4" s="42"/>
      <c r="G4" s="42"/>
      <c r="H4" s="42"/>
      <c r="I4" s="42"/>
      <c r="J4" s="42"/>
      <c r="K4" s="42"/>
      <c r="L4" s="42"/>
      <c r="M4" s="43"/>
    </row>
    <row r="5" spans="2:24" ht="20.25" customHeight="1" x14ac:dyDescent="0.25">
      <c r="B5" s="40"/>
      <c r="C5" s="15" t="s">
        <v>1</v>
      </c>
      <c r="D5" s="44" t="s">
        <v>294</v>
      </c>
      <c r="E5" s="45"/>
      <c r="F5" s="42"/>
      <c r="G5" s="42"/>
      <c r="H5" s="42"/>
      <c r="I5" s="42"/>
      <c r="J5" s="42"/>
      <c r="K5" s="42"/>
      <c r="L5" s="42"/>
      <c r="M5" s="43"/>
    </row>
    <row r="6" spans="2:24" x14ac:dyDescent="0.2">
      <c r="B6" s="40"/>
      <c r="C6" s="42"/>
      <c r="D6" s="42"/>
      <c r="E6" s="42"/>
      <c r="F6" s="42"/>
      <c r="G6" s="42"/>
      <c r="H6" s="42"/>
      <c r="I6" s="42"/>
      <c r="J6" s="42"/>
      <c r="K6" s="42"/>
      <c r="L6" s="42"/>
      <c r="M6" s="43"/>
    </row>
    <row r="7" spans="2:24" ht="15.75" x14ac:dyDescent="0.2">
      <c r="B7" s="40"/>
      <c r="C7" s="46" t="s">
        <v>3</v>
      </c>
      <c r="D7" s="47" t="s">
        <v>5</v>
      </c>
      <c r="E7" s="42"/>
      <c r="F7" s="90" t="s">
        <v>18</v>
      </c>
      <c r="G7" s="90"/>
      <c r="H7" s="90"/>
      <c r="I7" s="90"/>
      <c r="J7" s="90"/>
      <c r="K7" s="90"/>
      <c r="L7" s="90"/>
      <c r="M7" s="91"/>
    </row>
    <row r="8" spans="2:24" x14ac:dyDescent="0.2">
      <c r="B8" s="40"/>
      <c r="C8" s="48" t="s">
        <v>276</v>
      </c>
      <c r="D8" s="49">
        <v>0.94978300000000004</v>
      </c>
      <c r="E8" s="42"/>
      <c r="F8" s="42"/>
      <c r="G8" s="50"/>
      <c r="H8" s="42"/>
      <c r="I8" s="42" t="s">
        <v>277</v>
      </c>
      <c r="J8" s="51">
        <f>D9</f>
        <v>0.94978300000000004</v>
      </c>
      <c r="K8" s="42"/>
      <c r="L8" s="42"/>
      <c r="M8" s="43"/>
      <c r="S8" s="52"/>
      <c r="W8" s="36" t="s">
        <v>278</v>
      </c>
      <c r="X8" s="36">
        <v>0.25058799999999998</v>
      </c>
    </row>
    <row r="9" spans="2:24" ht="15.75" x14ac:dyDescent="0.25">
      <c r="B9" s="40"/>
      <c r="C9" s="53" t="s">
        <v>277</v>
      </c>
      <c r="D9" s="54">
        <v>0.94978300000000004</v>
      </c>
      <c r="E9" s="42"/>
      <c r="F9" s="42"/>
      <c r="G9" s="42"/>
      <c r="H9" s="42"/>
      <c r="I9" s="42" t="s">
        <v>10</v>
      </c>
      <c r="J9" s="51">
        <f>D13</f>
        <v>-1.9233E-2</v>
      </c>
      <c r="K9" s="42"/>
      <c r="L9" s="42"/>
      <c r="M9" s="43"/>
      <c r="S9" s="52"/>
      <c r="W9" s="36" t="s">
        <v>279</v>
      </c>
      <c r="X9" s="36">
        <v>6.1296999999999997E-2</v>
      </c>
    </row>
    <row r="10" spans="2:24" x14ac:dyDescent="0.2">
      <c r="B10" s="40"/>
      <c r="C10" s="55" t="s">
        <v>8</v>
      </c>
      <c r="D10" s="56">
        <v>6.9449999999999998E-2</v>
      </c>
      <c r="E10" s="42"/>
      <c r="F10" s="42"/>
      <c r="G10" s="42"/>
      <c r="I10" s="36" t="s">
        <v>9</v>
      </c>
      <c r="J10" s="51">
        <f>D11</f>
        <v>6.9449999999999998E-2</v>
      </c>
      <c r="K10" s="42"/>
      <c r="L10" s="42"/>
      <c r="M10" s="43"/>
      <c r="S10" s="52"/>
      <c r="W10" s="36" t="s">
        <v>280</v>
      </c>
      <c r="X10" s="36">
        <v>3.0130999999999998E-2</v>
      </c>
    </row>
    <row r="11" spans="2:24" ht="15.75" x14ac:dyDescent="0.2">
      <c r="B11" s="40"/>
      <c r="C11" s="57" t="s">
        <v>9</v>
      </c>
      <c r="D11" s="58">
        <v>6.9449999999999998E-2</v>
      </c>
      <c r="E11" s="42"/>
      <c r="F11" s="42"/>
      <c r="G11" s="42"/>
      <c r="J11" s="42"/>
      <c r="K11" s="42"/>
      <c r="L11" s="42"/>
      <c r="M11" s="43"/>
      <c r="S11" s="52"/>
      <c r="W11" s="36" t="s">
        <v>281</v>
      </c>
      <c r="X11" s="36">
        <v>2.7299E-2</v>
      </c>
    </row>
    <row r="12" spans="2:24" x14ac:dyDescent="0.2">
      <c r="B12" s="40"/>
      <c r="C12" s="55"/>
      <c r="D12" s="59"/>
      <c r="E12" s="42"/>
      <c r="F12" s="42"/>
      <c r="G12" s="42"/>
      <c r="J12" s="42"/>
      <c r="K12" s="42"/>
      <c r="L12" s="42"/>
      <c r="M12" s="43"/>
      <c r="S12" s="52"/>
      <c r="W12" s="36" t="s">
        <v>282</v>
      </c>
      <c r="X12" s="36">
        <v>2.5925E-2</v>
      </c>
    </row>
    <row r="13" spans="2:24" ht="15.75" x14ac:dyDescent="0.2">
      <c r="B13" s="40"/>
      <c r="C13" s="57" t="s">
        <v>10</v>
      </c>
      <c r="D13" s="58">
        <v>-1.9233E-2</v>
      </c>
      <c r="E13" s="42"/>
      <c r="F13" s="42"/>
      <c r="G13" s="42"/>
      <c r="J13" s="42"/>
      <c r="K13" s="42"/>
      <c r="L13" s="42"/>
      <c r="M13" s="43"/>
      <c r="S13" s="52"/>
      <c r="W13" s="36" t="s">
        <v>283</v>
      </c>
      <c r="X13" s="36">
        <v>2.3822000000000003E-2</v>
      </c>
    </row>
    <row r="14" spans="2:24" x14ac:dyDescent="0.2">
      <c r="B14" s="40"/>
      <c r="C14" s="55"/>
      <c r="D14" s="59"/>
      <c r="E14" s="42"/>
      <c r="F14" s="42"/>
      <c r="G14" s="42"/>
      <c r="H14" s="42"/>
      <c r="I14" s="42"/>
      <c r="J14" s="42"/>
      <c r="K14" s="42"/>
      <c r="L14" s="42"/>
      <c r="M14" s="43"/>
      <c r="S14" s="52"/>
      <c r="W14" s="36" t="s">
        <v>284</v>
      </c>
      <c r="X14" s="36">
        <v>2.3753E-2</v>
      </c>
    </row>
    <row r="15" spans="2:24" ht="15.75" x14ac:dyDescent="0.2">
      <c r="B15" s="40"/>
      <c r="C15" s="60" t="s">
        <v>11</v>
      </c>
      <c r="D15" s="61">
        <f>D13+D11+D9</f>
        <v>1</v>
      </c>
      <c r="E15" s="42"/>
      <c r="F15" s="42"/>
      <c r="G15" s="42"/>
      <c r="H15" s="42"/>
      <c r="I15" s="42"/>
      <c r="J15" s="42"/>
      <c r="K15" s="42"/>
      <c r="L15" s="42"/>
      <c r="M15" s="43"/>
      <c r="S15" s="52"/>
      <c r="W15" s="36" t="s">
        <v>285</v>
      </c>
      <c r="X15" s="36">
        <v>1.8620999999999999E-2</v>
      </c>
    </row>
    <row r="16" spans="2:24" x14ac:dyDescent="0.2">
      <c r="B16" s="40"/>
      <c r="E16" s="42"/>
      <c r="F16" s="42"/>
      <c r="G16" s="42"/>
      <c r="H16" s="42"/>
      <c r="I16" s="42"/>
      <c r="J16" s="42"/>
      <c r="K16" s="42"/>
      <c r="L16" s="42"/>
      <c r="M16" s="43"/>
      <c r="S16" s="52"/>
      <c r="W16" s="36" t="s">
        <v>286</v>
      </c>
      <c r="X16" s="36">
        <v>1.7219000000000002E-2</v>
      </c>
    </row>
    <row r="17" spans="2:24" ht="15.75" x14ac:dyDescent="0.25">
      <c r="B17" s="40"/>
      <c r="C17" s="62"/>
      <c r="D17" s="63"/>
      <c r="E17" s="42"/>
      <c r="F17" s="42"/>
      <c r="G17" s="42"/>
      <c r="H17" s="42"/>
      <c r="I17" s="42"/>
      <c r="J17" s="42"/>
      <c r="K17" s="42"/>
      <c r="L17" s="42"/>
      <c r="M17" s="43"/>
      <c r="S17" s="52"/>
      <c r="W17" s="36" t="s">
        <v>287</v>
      </c>
      <c r="X17" s="36">
        <v>1.6056000000000001E-2</v>
      </c>
    </row>
    <row r="18" spans="2:24" x14ac:dyDescent="0.2">
      <c r="B18" s="40"/>
      <c r="C18" s="64"/>
      <c r="D18" s="64"/>
      <c r="E18" s="42"/>
      <c r="F18" s="42"/>
      <c r="G18" s="42"/>
      <c r="H18" s="42"/>
      <c r="I18" s="42"/>
      <c r="J18" s="42"/>
      <c r="K18" s="42"/>
      <c r="L18" s="42"/>
      <c r="M18" s="43"/>
      <c r="S18" s="52"/>
      <c r="W18" s="36" t="s">
        <v>288</v>
      </c>
      <c r="X18" s="36">
        <v>1.41E-2</v>
      </c>
    </row>
    <row r="19" spans="2:24" ht="15.75" x14ac:dyDescent="0.25">
      <c r="B19" s="40"/>
      <c r="C19" s="62"/>
      <c r="D19" s="65"/>
      <c r="E19" s="42"/>
      <c r="F19" s="42"/>
      <c r="G19" s="42"/>
      <c r="H19" s="42"/>
      <c r="I19" s="42"/>
      <c r="J19" s="42"/>
      <c r="K19" s="42"/>
      <c r="L19" s="42"/>
      <c r="M19" s="43"/>
      <c r="S19" s="52"/>
      <c r="W19" s="36" t="s">
        <v>289</v>
      </c>
      <c r="X19" s="36">
        <v>1.1167E-2</v>
      </c>
    </row>
    <row r="20" spans="2:24" x14ac:dyDescent="0.2">
      <c r="B20" s="40"/>
      <c r="E20" s="42"/>
      <c r="F20" s="42"/>
      <c r="G20" s="42"/>
      <c r="H20" s="42"/>
      <c r="I20" s="42"/>
      <c r="J20" s="42"/>
      <c r="K20" s="42"/>
      <c r="L20" s="42"/>
      <c r="M20" s="43"/>
      <c r="S20" s="52"/>
      <c r="W20" s="36" t="s">
        <v>290</v>
      </c>
      <c r="X20" s="36">
        <v>1.1159000000000001E-2</v>
      </c>
    </row>
    <row r="21" spans="2:24" x14ac:dyDescent="0.2">
      <c r="B21" s="40"/>
      <c r="E21" s="42"/>
      <c r="F21" s="42"/>
      <c r="G21" s="42"/>
      <c r="H21" s="42"/>
      <c r="I21" s="42"/>
      <c r="J21" s="42"/>
      <c r="K21" s="42"/>
      <c r="L21" s="42"/>
      <c r="M21" s="43"/>
      <c r="S21" s="52"/>
      <c r="W21" s="36" t="s">
        <v>291</v>
      </c>
      <c r="X21" s="36">
        <v>1.0543E-2</v>
      </c>
    </row>
    <row r="22" spans="2:24" ht="16.5" thickBot="1" x14ac:dyDescent="0.3">
      <c r="B22" s="66"/>
      <c r="C22" s="92"/>
      <c r="D22" s="92"/>
      <c r="E22" s="92"/>
      <c r="F22" s="92"/>
      <c r="G22" s="92"/>
      <c r="H22" s="92"/>
      <c r="I22" s="92"/>
      <c r="J22" s="92"/>
      <c r="K22" s="92"/>
      <c r="L22" s="92"/>
      <c r="M22" s="93"/>
      <c r="S22" s="52"/>
    </row>
    <row r="23" spans="2:24" ht="15.75" thickBot="1" x14ac:dyDescent="0.25">
      <c r="S23" s="52"/>
    </row>
    <row r="24" spans="2:24" ht="15" customHeight="1" x14ac:dyDescent="0.2">
      <c r="B24" s="94" t="s">
        <v>292</v>
      </c>
      <c r="C24" s="95"/>
      <c r="D24" s="95"/>
      <c r="E24" s="95"/>
      <c r="F24" s="95"/>
      <c r="G24" s="95"/>
      <c r="H24" s="95"/>
      <c r="I24" s="95"/>
      <c r="J24" s="95"/>
      <c r="K24" s="95"/>
      <c r="L24" s="95"/>
      <c r="M24" s="95"/>
      <c r="N24" s="96"/>
      <c r="S24" s="52"/>
    </row>
    <row r="25" spans="2:24" ht="15.75" customHeight="1" x14ac:dyDescent="0.2">
      <c r="B25" s="97"/>
      <c r="C25" s="98"/>
      <c r="D25" s="98"/>
      <c r="E25" s="98"/>
      <c r="F25" s="98"/>
      <c r="G25" s="98"/>
      <c r="H25" s="98"/>
      <c r="I25" s="98"/>
      <c r="J25" s="98"/>
      <c r="K25" s="98"/>
      <c r="L25" s="98"/>
      <c r="M25" s="98"/>
      <c r="N25" s="99"/>
      <c r="S25" s="52"/>
    </row>
    <row r="26" spans="2:24" ht="15.75" customHeight="1" x14ac:dyDescent="0.2">
      <c r="B26" s="97"/>
      <c r="C26" s="98"/>
      <c r="D26" s="98"/>
      <c r="E26" s="98"/>
      <c r="F26" s="98"/>
      <c r="G26" s="98"/>
      <c r="H26" s="98"/>
      <c r="I26" s="98"/>
      <c r="J26" s="98"/>
      <c r="K26" s="98"/>
      <c r="L26" s="98"/>
      <c r="M26" s="98"/>
      <c r="N26" s="99"/>
      <c r="S26" s="52"/>
    </row>
    <row r="27" spans="2:24" ht="15.75" customHeight="1" x14ac:dyDescent="0.2">
      <c r="B27" s="97"/>
      <c r="C27" s="98"/>
      <c r="D27" s="98"/>
      <c r="E27" s="98"/>
      <c r="F27" s="98"/>
      <c r="G27" s="98"/>
      <c r="H27" s="98"/>
      <c r="I27" s="98"/>
      <c r="J27" s="98"/>
      <c r="K27" s="98"/>
      <c r="L27" s="98"/>
      <c r="M27" s="98"/>
      <c r="N27" s="99"/>
      <c r="S27" s="52"/>
    </row>
    <row r="28" spans="2:24" ht="15.75" customHeight="1" x14ac:dyDescent="0.2">
      <c r="B28" s="97"/>
      <c r="C28" s="98"/>
      <c r="D28" s="98"/>
      <c r="E28" s="98"/>
      <c r="F28" s="98"/>
      <c r="G28" s="98"/>
      <c r="H28" s="98"/>
      <c r="I28" s="98"/>
      <c r="J28" s="98"/>
      <c r="K28" s="98"/>
      <c r="L28" s="98"/>
      <c r="M28" s="98"/>
      <c r="N28" s="99"/>
      <c r="S28" s="52"/>
    </row>
    <row r="29" spans="2:24" ht="15.75" customHeight="1" x14ac:dyDescent="0.2">
      <c r="B29" s="97"/>
      <c r="C29" s="98"/>
      <c r="D29" s="98"/>
      <c r="E29" s="98"/>
      <c r="F29" s="98"/>
      <c r="G29" s="98"/>
      <c r="H29" s="98"/>
      <c r="I29" s="98"/>
      <c r="J29" s="98"/>
      <c r="K29" s="98"/>
      <c r="L29" s="98"/>
      <c r="M29" s="98"/>
      <c r="N29" s="99"/>
      <c r="S29" s="52"/>
    </row>
    <row r="30" spans="2:24" ht="28.5" customHeight="1" thickBot="1" x14ac:dyDescent="0.25">
      <c r="B30" s="100"/>
      <c r="C30" s="101"/>
      <c r="D30" s="101"/>
      <c r="E30" s="101"/>
      <c r="F30" s="101"/>
      <c r="G30" s="101"/>
      <c r="H30" s="101"/>
      <c r="I30" s="101"/>
      <c r="J30" s="101"/>
      <c r="K30" s="101"/>
      <c r="L30" s="101"/>
      <c r="M30" s="101"/>
      <c r="N30" s="102"/>
      <c r="S30" s="52"/>
    </row>
    <row r="31" spans="2:24" ht="15.75" thickBot="1" x14ac:dyDescent="0.25">
      <c r="S31" s="52"/>
    </row>
    <row r="32" spans="2:24" x14ac:dyDescent="0.2">
      <c r="B32" s="94" t="s">
        <v>293</v>
      </c>
      <c r="C32" s="95"/>
      <c r="D32" s="95"/>
      <c r="E32" s="95"/>
      <c r="F32" s="95"/>
      <c r="G32" s="95"/>
      <c r="H32" s="95"/>
      <c r="I32" s="95"/>
      <c r="J32" s="95"/>
      <c r="K32" s="95"/>
      <c r="L32" s="95"/>
      <c r="M32" s="95"/>
      <c r="N32" s="96"/>
      <c r="S32" s="52"/>
    </row>
    <row r="33" spans="2:19" x14ac:dyDescent="0.2">
      <c r="B33" s="97"/>
      <c r="C33" s="98"/>
      <c r="D33" s="98"/>
      <c r="E33" s="98"/>
      <c r="F33" s="98"/>
      <c r="G33" s="98"/>
      <c r="H33" s="98"/>
      <c r="I33" s="98"/>
      <c r="J33" s="98"/>
      <c r="K33" s="98"/>
      <c r="L33" s="98"/>
      <c r="M33" s="98"/>
      <c r="N33" s="99"/>
      <c r="S33" s="52"/>
    </row>
    <row r="34" spans="2:19" x14ac:dyDescent="0.2">
      <c r="B34" s="97"/>
      <c r="C34" s="98"/>
      <c r="D34" s="98"/>
      <c r="E34" s="98"/>
      <c r="F34" s="98"/>
      <c r="G34" s="98"/>
      <c r="H34" s="98"/>
      <c r="I34" s="98"/>
      <c r="J34" s="98"/>
      <c r="K34" s="98"/>
      <c r="L34" s="98"/>
      <c r="M34" s="98"/>
      <c r="N34" s="99"/>
      <c r="S34" s="52"/>
    </row>
    <row r="35" spans="2:19" x14ac:dyDescent="0.2">
      <c r="B35" s="97"/>
      <c r="C35" s="98"/>
      <c r="D35" s="98"/>
      <c r="E35" s="98"/>
      <c r="F35" s="98"/>
      <c r="G35" s="98"/>
      <c r="H35" s="98"/>
      <c r="I35" s="98"/>
      <c r="J35" s="98"/>
      <c r="K35" s="98"/>
      <c r="L35" s="98"/>
      <c r="M35" s="98"/>
      <c r="N35" s="99"/>
      <c r="S35" s="52"/>
    </row>
    <row r="36" spans="2:19" x14ac:dyDescent="0.2">
      <c r="B36" s="97"/>
      <c r="C36" s="98"/>
      <c r="D36" s="98"/>
      <c r="E36" s="98"/>
      <c r="F36" s="98"/>
      <c r="G36" s="98"/>
      <c r="H36" s="98"/>
      <c r="I36" s="98"/>
      <c r="J36" s="98"/>
      <c r="K36" s="98"/>
      <c r="L36" s="98"/>
      <c r="M36" s="98"/>
      <c r="N36" s="99"/>
      <c r="S36" s="52"/>
    </row>
    <row r="37" spans="2:19" x14ac:dyDescent="0.2">
      <c r="B37" s="97"/>
      <c r="C37" s="98"/>
      <c r="D37" s="98"/>
      <c r="E37" s="98"/>
      <c r="F37" s="98"/>
      <c r="G37" s="98"/>
      <c r="H37" s="98"/>
      <c r="I37" s="98"/>
      <c r="J37" s="98"/>
      <c r="K37" s="98"/>
      <c r="L37" s="98"/>
      <c r="M37" s="98"/>
      <c r="N37" s="99"/>
      <c r="S37" s="52"/>
    </row>
    <row r="38" spans="2:19" ht="15.75" thickBot="1" x14ac:dyDescent="0.25">
      <c r="B38" s="100"/>
      <c r="C38" s="101"/>
      <c r="D38" s="101"/>
      <c r="E38" s="101"/>
      <c r="F38" s="101"/>
      <c r="G38" s="101"/>
      <c r="H38" s="101"/>
      <c r="I38" s="101"/>
      <c r="J38" s="101"/>
      <c r="K38" s="101"/>
      <c r="L38" s="101"/>
      <c r="M38" s="101"/>
      <c r="N38" s="102"/>
      <c r="S38" s="52"/>
    </row>
    <row r="39" spans="2:19" x14ac:dyDescent="0.2">
      <c r="S39" s="52"/>
    </row>
    <row r="40" spans="2:19" x14ac:dyDescent="0.2">
      <c r="S40" s="52"/>
    </row>
    <row r="41" spans="2:19" x14ac:dyDescent="0.2">
      <c r="S41" s="52"/>
    </row>
    <row r="42" spans="2:19" x14ac:dyDescent="0.2">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Long Dur Fund</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2024-04-01T03:29:35Z</dcterms:created>
  <dcterms:modified xsi:type="dcterms:W3CDTF">2024-04-02T11:24:35Z</dcterms:modified>
</cp:coreProperties>
</file>