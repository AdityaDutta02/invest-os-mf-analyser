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drawings/drawing15.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16.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7.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8.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8"/>
  <workbookPr codeName="ThisWorkbook" defaultThemeVersion="124226"/>
  <mc:AlternateContent xmlns:mc="http://schemas.openxmlformats.org/markup-compatibility/2006">
    <mc:Choice Requires="x15">
      <x15ac:absPath xmlns:x15ac="http://schemas.microsoft.com/office/spreadsheetml/2010/11/ac" url="Z:\MONTH END DELIVERABLES-1\Portfolios_All\2023\June 2023\"/>
    </mc:Choice>
  </mc:AlternateContent>
  <xr:revisionPtr revIDLastSave="0" documentId="13_ncr:1_{ADD9EC58-AB4F-46B6-A213-644D8E04F13B}"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US TB FOF 0-1 yr" sheetId="38" r:id="rId2"/>
    <sheet name="BANDHAN CEF" sheetId="4" r:id="rId3"/>
    <sheet name="BANDHAN LCF" sheetId="6" r:id="rId4"/>
    <sheet name="BANDHAN FEF" sheetId="7" r:id="rId5"/>
    <sheet name="BANDHAN SVF" sheetId="12" r:id="rId6"/>
    <sheet name="BANDHAN-MCAP" sheetId="33" r:id="rId7"/>
    <sheet name="BANDHAN MCF" sheetId="30" r:id="rId8"/>
    <sheet name="BANDHAN FCF" sheetId="11" r:id="rId9"/>
    <sheet name="BANDHAN EBF" sheetId="28" r:id="rId10"/>
    <sheet name="BANDHAN IF" sheetId="8" r:id="rId11"/>
    <sheet name="BANDHAN TLF" sheetId="37" r:id="rId12"/>
    <sheet name="BANDHAN-TAF" sheetId="13" r:id="rId13"/>
    <sheet name="BANDHAN-AF" sheetId="27" r:id="rId14"/>
    <sheet name="BANDHAN BAF" sheetId="5" r:id="rId15"/>
    <sheet name="BANDHAN-ESF" sheetId="25" r:id="rId16"/>
    <sheet name="BANDHAN-RSF" sheetId="18" r:id="rId17"/>
    <sheet name="BANDHAN-HEF" sheetId="26" r:id="rId18"/>
    <sheet name="BANDHANAAF-AP" sheetId="19" r:id="rId19"/>
    <sheet name="BANDHANAAF-MP" sheetId="20" r:id="rId20"/>
    <sheet name="BANDHANAAF-CP" sheetId="21" r:id="rId21"/>
    <sheet name="BANDHAN-NIFTY 50 Index" sheetId="10" r:id="rId22"/>
    <sheet name="BANDHAN- S&amp;P BSE SENSEX ETF" sheetId="16" r:id="rId23"/>
    <sheet name="BANDHAN- Nifty 50 ETF" sheetId="17" r:id="rId24"/>
    <sheet name="BANDHAN-Nifty 100 Index" sheetId="31" r:id="rId25"/>
    <sheet name="BANDHAN-Nifty200 Mom30 Index" sheetId="34" r:id="rId26"/>
    <sheet name="BANDHAN NIF100LV30" sheetId="35" r:id="rId27"/>
  </sheets>
  <definedNames>
    <definedName name="_xlnm._FilterDatabase" localSheetId="14" hidden="1">'BANDHAN BAF'!$I$36:$J$42</definedName>
    <definedName name="_xlnm._FilterDatabase" localSheetId="18" hidden="1">'BANDHANAAF-AP'!$C$11:$D$14</definedName>
    <definedName name="_xlnm.Print_Area" localSheetId="13">'BANDHAN-AF'!$C$5:$E$27</definedName>
  </definedNames>
  <calcPr calcId="191029"/>
</workbook>
</file>

<file path=xl/calcChain.xml><?xml version="1.0" encoding="utf-8"?>
<calcChain xmlns="http://schemas.openxmlformats.org/spreadsheetml/2006/main">
  <c r="D19" i="20" l="1"/>
  <c r="D16" i="21"/>
  <c r="D17" i="19"/>
  <c r="K12" i="26"/>
  <c r="K11" i="26"/>
  <c r="E42" i="26"/>
  <c r="K13" i="26" s="1"/>
  <c r="E36" i="5"/>
  <c r="E27" i="27"/>
  <c r="D15" i="29" l="1"/>
  <c r="D15" i="38"/>
  <c r="K14" i="25" l="1"/>
  <c r="E32" i="26"/>
  <c r="K9" i="26" l="1"/>
  <c r="J10" i="38"/>
  <c r="J9" i="38"/>
  <c r="J8" i="38"/>
  <c r="E40" i="5" l="1"/>
  <c r="D14" i="21" l="1"/>
  <c r="D11" i="21"/>
  <c r="E24" i="37" l="1"/>
  <c r="D10" i="19"/>
  <c r="E24" i="35" l="1"/>
  <c r="E24" i="34" l="1"/>
  <c r="E35" i="18"/>
  <c r="E24" i="33"/>
  <c r="E33" i="25" l="1"/>
  <c r="E45" i="5"/>
  <c r="E43" i="18" l="1"/>
  <c r="E23" i="25" l="1"/>
  <c r="E32" i="5"/>
  <c r="E37" i="25" l="1"/>
  <c r="E23" i="5"/>
  <c r="E52" i="5" s="1"/>
  <c r="E24" i="31" l="1"/>
  <c r="K9" i="18" l="1"/>
  <c r="D18" i="21" l="1"/>
  <c r="E24" i="30"/>
  <c r="D15" i="19" l="1"/>
  <c r="J10" i="29"/>
  <c r="J9" i="29"/>
  <c r="K12" i="18" l="1"/>
  <c r="E24" i="12" l="1"/>
  <c r="K9" i="25" l="1"/>
  <c r="S8" i="27"/>
  <c r="S9" i="27" s="1"/>
  <c r="E24" i="8"/>
  <c r="J8" i="29" l="1"/>
  <c r="I9" i="18" l="1"/>
  <c r="I10" i="18"/>
  <c r="K13" i="18" l="1"/>
  <c r="K11" i="18"/>
  <c r="E24" i="28" l="1"/>
  <c r="E24" i="18" l="1"/>
  <c r="K10" i="18" l="1"/>
  <c r="E50" i="18"/>
  <c r="E24" i="26"/>
  <c r="I10" i="26"/>
  <c r="I9" i="26"/>
  <c r="I8" i="26"/>
  <c r="K10" i="26" l="1"/>
  <c r="E46" i="26"/>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J9" i="19" l="1"/>
  <c r="D19" i="19"/>
</calcChain>
</file>

<file path=xl/sharedStrings.xml><?xml version="1.0" encoding="utf-8"?>
<sst xmlns="http://schemas.openxmlformats.org/spreadsheetml/2006/main" count="1540" uniqueCount="306">
  <si>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</si>
  <si>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</si>
  <si>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</si>
  <si>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</si>
  <si>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</si>
  <si>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</si>
  <si>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</si>
  <si>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</si>
  <si>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</si>
  <si>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</si>
  <si>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</si>
  <si>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</si>
  <si>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</si>
  <si>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</si>
  <si>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</si>
  <si>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</si>
  <si>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</si>
  <si>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</si>
  <si>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</si>
  <si>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</si>
  <si>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</si>
  <si>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</si>
  <si>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</si>
  <si>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</si>
  <si>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</si>
  <si>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</si>
  <si>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</si>
  <si>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</si>
  <si>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</si>
  <si>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</si>
  <si>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</si>
  <si>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</si>
  <si>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</si>
  <si>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</si>
  <si>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</si>
  <si>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</si>
  <si>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</si>
  <si>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</si>
  <si>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</si>
  <si>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</si>
  <si>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</si>
  <si>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</si>
  <si>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</si>
  <si>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</si>
  <si>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</si>
  <si>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</si>
  <si>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</si>
  <si>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</si>
  <si>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</si>
  <si>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</si>
  <si>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</si>
  <si>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</si>
  <si>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</si>
  <si>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</si>
  <si>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</si>
  <si>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</si>
  <si>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</si>
  <si>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</si>
  <si>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</si>
  <si>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State Government Bond</t>
  </si>
  <si>
    <t>Arbitrage Position</t>
  </si>
  <si>
    <t>Other Active Equity Holdings</t>
  </si>
  <si>
    <t>Arbitrage</t>
  </si>
  <si>
    <t>SOV</t>
  </si>
  <si>
    <t>NTPC Limited</t>
  </si>
  <si>
    <t>AAA</t>
  </si>
  <si>
    <t>PNC Infratech Limited</t>
  </si>
  <si>
    <t>UltraTech Cement Limited</t>
  </si>
  <si>
    <t xml:space="preserve">Top 15 Active Equity Holdings </t>
  </si>
  <si>
    <t>Certificate of Deposit</t>
  </si>
  <si>
    <t>Other Equity Holdings</t>
  </si>
  <si>
    <t>7.17% GOI (MD 08/01/2028)</t>
  </si>
  <si>
    <t>Net Cash and Cash Equivalent</t>
  </si>
  <si>
    <t>Transport Corporation of India Limited</t>
  </si>
  <si>
    <t>REC Limited</t>
  </si>
  <si>
    <t>JK Cement Limited</t>
  </si>
  <si>
    <t>Bharti Airtel Limited</t>
  </si>
  <si>
    <t>LIC Housing Finance Limited</t>
  </si>
  <si>
    <t>Torrent Power Limited</t>
  </si>
  <si>
    <t>8.24% GOI (MD 15/02/2027)</t>
  </si>
  <si>
    <t>PTC</t>
  </si>
  <si>
    <t>HCL Technologies Limited</t>
  </si>
  <si>
    <t>Sun Pharmaceutical Industries Limited</t>
  </si>
  <si>
    <t>6.79% GOI (MD 15/05/2027)</t>
  </si>
  <si>
    <t>National Bank For Agriculture and Rural Development</t>
  </si>
  <si>
    <t>Jindal Steel &amp; Power Limited</t>
  </si>
  <si>
    <t>Power Finance Corporation Limited</t>
  </si>
  <si>
    <t>Radico Khaitan Limited</t>
  </si>
  <si>
    <t>Kajaria Ceramics Limited</t>
  </si>
  <si>
    <t>Healthcare Services</t>
  </si>
  <si>
    <t>7.32% GOI (MD 28/01/2024)</t>
  </si>
  <si>
    <t>Shaily Engineering Plastics Limited</t>
  </si>
  <si>
    <t>Treasury Bill</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</si>
  <si>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</si>
  <si>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</si>
  <si>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</si>
  <si>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</si>
  <si>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</si>
  <si>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</si>
  <si>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</si>
  <si>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</si>
  <si>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</si>
  <si>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</si>
  <si>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</si>
  <si>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5.63% GOI (MD 12/04/2026)</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</si>
  <si>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</si>
  <si>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</si>
  <si>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</si>
  <si>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</si>
  <si>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</si>
  <si>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</si>
  <si>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</si>
  <si>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</si>
  <si>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Carborundum Universal Limited</t>
  </si>
  <si>
    <t>Equity + Nifty ETF</t>
  </si>
  <si>
    <t>CG Power and Industrial Solutions Limited</t>
  </si>
  <si>
    <t>ABB India Limited</t>
  </si>
  <si>
    <t>Thermax Limited</t>
  </si>
  <si>
    <t xml:space="preserve">Net Equity </t>
  </si>
  <si>
    <t>Average Maturity Years</t>
  </si>
  <si>
    <t>Clearing Corporation of India Ltd</t>
  </si>
  <si>
    <t>TRI Party Repo Total</t>
  </si>
  <si>
    <t>A1+</t>
  </si>
  <si>
    <t>8.07% Gujrat SDL (MD 11/02/2025)</t>
  </si>
  <si>
    <t>8.28% GOI (M/D 21/09/2027)</t>
  </si>
  <si>
    <t>8.33% GOI 2026 (M/D 09/07/2026)</t>
  </si>
  <si>
    <t>Average Maturity in Days</t>
  </si>
  <si>
    <t>Poonawalla Fincorp Limited</t>
  </si>
  <si>
    <t>Metro Brands Limited</t>
  </si>
  <si>
    <t>JK Lakshmi Cement Limited</t>
  </si>
  <si>
    <t>United Breweries Limited</t>
  </si>
  <si>
    <t>VRL Logistics Limited</t>
  </si>
  <si>
    <t>Cipla Limited</t>
  </si>
  <si>
    <t>Cholamandalam Investment and Finance Company Ltd</t>
  </si>
  <si>
    <t>Beverages</t>
  </si>
  <si>
    <t>IT - Software</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</si>
  <si>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</si>
  <si>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</si>
  <si>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</si>
  <si>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</si>
  <si>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</si>
  <si>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</si>
  <si>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</si>
  <si>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</si>
  <si>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</si>
  <si>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</si>
  <si>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</si>
  <si>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</si>
  <si>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</si>
  <si>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</si>
  <si>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</si>
  <si>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</si>
  <si>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</si>
  <si>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</si>
  <si>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</si>
  <si>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</si>
  <si>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</si>
  <si>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</si>
  <si>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</si>
  <si>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</si>
  <si>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</si>
  <si>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</si>
  <si>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</si>
  <si>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</si>
  <si>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Nestle India Limited</t>
  </si>
  <si>
    <t>TVS Motor Company Limited</t>
  </si>
  <si>
    <t>Container Corporation of India Limited</t>
  </si>
  <si>
    <t>Anupam Rasayan India Limited</t>
  </si>
  <si>
    <t>IndusInd Bank Limited</t>
  </si>
  <si>
    <t>Schaeffler India Limited</t>
  </si>
  <si>
    <t>UNO Minda Limited</t>
  </si>
  <si>
    <t>Industrial Manufacturing</t>
  </si>
  <si>
    <t>Titan Company Limited</t>
  </si>
  <si>
    <t>Sagar Cements Limited</t>
  </si>
  <si>
    <t>Trent Limited</t>
  </si>
  <si>
    <t>Cummins India Limited</t>
  </si>
  <si>
    <t>SRF Limited</t>
  </si>
  <si>
    <t>Bank of Baroda</t>
  </si>
  <si>
    <t>7.38% GOI (MD 20/06/2027)</t>
  </si>
  <si>
    <t>Prataap Snacks Limited</t>
  </si>
  <si>
    <t>Net Equity</t>
  </si>
  <si>
    <t>Power Grid Corporation of India Limited</t>
  </si>
  <si>
    <t>Coal India Limited</t>
  </si>
  <si>
    <t>Dr. Reddy's Laboratories Limited</t>
  </si>
  <si>
    <t>Bajaj Auto Limited</t>
  </si>
  <si>
    <t>Apollo Tyres Limited</t>
  </si>
  <si>
    <t>Escorts Kubota Limited</t>
  </si>
  <si>
    <t>Cyient Limited</t>
  </si>
  <si>
    <t>Westlife Foodworld Limited</t>
  </si>
  <si>
    <t>Balrampur Chini Mills Limited</t>
  </si>
  <si>
    <t>H.G. Infra Engineering Limited</t>
  </si>
  <si>
    <t>Hero MotoCorp Limited</t>
  </si>
  <si>
    <t>InterGlobe Aviation Limited</t>
  </si>
  <si>
    <t>Eicher Motors Limited</t>
  </si>
  <si>
    <t>Minerals &amp; Mining</t>
  </si>
  <si>
    <t>KEC International Limited</t>
  </si>
  <si>
    <t>Ahluwalia Contracts (India) Limited</t>
  </si>
  <si>
    <t>MphasiS Limited</t>
  </si>
  <si>
    <t>182 Days Tbill (MD 08/06/2023)</t>
  </si>
  <si>
    <t>LTIMindtree Limited</t>
  </si>
  <si>
    <t>Hindustan Aeronautics Limited</t>
  </si>
  <si>
    <t>Rossari Biotech Limited</t>
  </si>
  <si>
    <t>The Federal Bank Limited</t>
  </si>
  <si>
    <t>MRF Limited</t>
  </si>
  <si>
    <t>NCC Limited</t>
  </si>
  <si>
    <t>Godrej Consumer Products Limited</t>
  </si>
  <si>
    <t>L&amp;T Technology Services Limited</t>
  </si>
  <si>
    <t>The Ramco Cements Limited</t>
  </si>
  <si>
    <t>Zensar Technologies Limited</t>
  </si>
  <si>
    <t>7.1% GOI (MD 18/04/2029)</t>
  </si>
  <si>
    <t>182 Days Tbill (MD 29/06/2023)</t>
  </si>
  <si>
    <t>Asian Paints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</si>
  <si>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</si>
  <si>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</si>
  <si>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</si>
  <si>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</si>
  <si>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</si>
  <si>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</si>
  <si>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</si>
  <si>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</si>
  <si>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</si>
  <si>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</si>
  <si>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</si>
  <si>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</si>
  <si>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</si>
  <si>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</si>
  <si>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</si>
  <si>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TAX ADVANTAGE (ELSS) FUND</t>
  </si>
  <si>
    <t>BANDHAN TRANSPORTATION AND LOGISTICS FUND</t>
  </si>
  <si>
    <t>BANDHAN INFRASTRUCTURE FUND</t>
  </si>
  <si>
    <t>BANDHAN EMERGING BUSINESSES FUND</t>
  </si>
  <si>
    <t>BANDHAN FLEXI CAP FUND</t>
  </si>
  <si>
    <t>BANDHAN MULTI CAP FUND</t>
  </si>
  <si>
    <t xml:space="preserve"> BANDHAN MIDCAP FUND</t>
  </si>
  <si>
    <t>BANDHAN STERLING VALUE FUND</t>
  </si>
  <si>
    <t>BANDHAN FOCUSED EQUITY FUND</t>
  </si>
  <si>
    <t>BANDHAN LARGE CAP FUND</t>
  </si>
  <si>
    <t>BANDHAN CORE EQUITY FUND</t>
  </si>
  <si>
    <t>Mutual Fund Units: Bandhan Liquid Fund-Direct Plan -Growth</t>
  </si>
  <si>
    <t>Mutual Fund Units: Bandhan Cash Fund -Direct Plan -Growth</t>
  </si>
  <si>
    <t>Bandhan 50 Nifty ETF</t>
  </si>
  <si>
    <t xml:space="preserve">Bandhan ASSET ALLOCATION FUND - CONSERVATIVE PLAN </t>
  </si>
  <si>
    <t>JPMorgan ETFs BetaBuilders US Tre Bond0-1 yr UCITS</t>
  </si>
  <si>
    <t>BANDHAN US TREASURY BOND 0-1 YEAR FUND OF FUND</t>
  </si>
  <si>
    <t>Commercial Paper</t>
  </si>
  <si>
    <t>Zero Coupon Bond</t>
  </si>
  <si>
    <t>Sundaram Finance Limited</t>
  </si>
  <si>
    <t>Mutual Fund Units: Bandhan Cash Fund</t>
  </si>
  <si>
    <t>Bandhan Low Duration Fund -Direct Pl-Growth</t>
  </si>
  <si>
    <t>Bandhan Bond Fund -Short Term Pl Direct Pl-Growth</t>
  </si>
  <si>
    <t>Bandhan  Focused Equity Fund-Direct Pl-Growth</t>
  </si>
  <si>
    <t>Bandhan Large Cap Fund-Direct Pl-Growth</t>
  </si>
  <si>
    <t>Bandhan Emerging Businesses Fund - Direct Pl - Gr</t>
  </si>
  <si>
    <t>Bandhan Liquid Fund -Direct Plan-Growth</t>
  </si>
  <si>
    <t>Zee Entertainment Enterprises Limited</t>
  </si>
  <si>
    <t>Kirloskar Brothers Limited</t>
  </si>
  <si>
    <t>Tata Chemicals Limited</t>
  </si>
  <si>
    <t>Persistent Systems Limited</t>
  </si>
  <si>
    <t>Navin Fluorine International Limited</t>
  </si>
  <si>
    <t>Kotak Mahindra Prime Limited</t>
  </si>
  <si>
    <t>EIH Limited</t>
  </si>
  <si>
    <t>Graphite India Limited</t>
  </si>
  <si>
    <t>Ashok Leyland Limited</t>
  </si>
  <si>
    <t>Ambuja Cements Limited</t>
  </si>
  <si>
    <t>Wipro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</si>
  <si>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</si>
  <si>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Small Industries Dev Bank of India</t>
  </si>
  <si>
    <t>182 Days Tbill (MD 29/09/2023)</t>
  </si>
  <si>
    <t>Tube Investments of India Limited</t>
  </si>
  <si>
    <t>Max Financial Services Limited</t>
  </si>
  <si>
    <t>Astral Limited</t>
  </si>
  <si>
    <t>Mahindra &amp; Mahindra Financial Services Limited</t>
  </si>
  <si>
    <t>Wheels India Limited</t>
  </si>
  <si>
    <t>Mayur Uniquoters Limited</t>
  </si>
  <si>
    <t>Cera Sanitaryware Limited</t>
  </si>
  <si>
    <t>eClerx Services Limited</t>
  </si>
  <si>
    <t>Motherson Sumi Wiring India Limited</t>
  </si>
  <si>
    <t>347.50 crs</t>
  </si>
  <si>
    <t>2543.29 crs</t>
  </si>
  <si>
    <t>1120.62 crs</t>
  </si>
  <si>
    <t>1302.57 crs</t>
  </si>
  <si>
    <t>5788.28 crs</t>
  </si>
  <si>
    <t>713.28 crs</t>
  </si>
  <si>
    <t>1320.49 crs</t>
  </si>
  <si>
    <t>5764.37 crs</t>
  </si>
  <si>
    <t>1607.41 crs</t>
  </si>
  <si>
    <t>686.41 crs</t>
  </si>
  <si>
    <t>276.96 crs</t>
  </si>
  <si>
    <t>4563.40 crs</t>
  </si>
  <si>
    <t>3325.40 crs</t>
  </si>
  <si>
    <t>2505.40 crs</t>
  </si>
  <si>
    <t>92.03 crs</t>
  </si>
  <si>
    <t>141.62 crs</t>
  </si>
  <si>
    <t>588.53 crs</t>
  </si>
  <si>
    <t>14.87 crs</t>
  </si>
  <si>
    <t>16.94 crs</t>
  </si>
  <si>
    <t>6.47 crs</t>
  </si>
  <si>
    <t>759.76 crs</t>
  </si>
  <si>
    <t>0.93 crs</t>
  </si>
  <si>
    <t>18.64 crs</t>
  </si>
  <si>
    <t>72.59 crs</t>
  </si>
  <si>
    <t>21.63 crs</t>
  </si>
  <si>
    <t>7.20 crs</t>
  </si>
  <si>
    <t>Portfolio as on - (31st May 2023)</t>
  </si>
  <si>
    <t>Net Assets as on 31st May 2023</t>
  </si>
  <si>
    <t>96.51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</si>
</sst>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 numFmtId="172" formatCode="#0.000%;\(#0.000%\)"/>
    <numFmt numFmtId="173" formatCode="#0.0000%;\(#0.0000%\)"/>
  </numFmts>
  <fonts count="13"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31">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right/>
      <top style="thin">
        <color indexed="64"/>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62">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6" fontId="5" fillId="4" borderId="9" xfId="0" applyNumberFormat="1" applyFont="1" applyFill="1" applyBorder="1" applyAlignment="1">
      <alignment horizontal="right"/>
    </xf>
    <xf numFmtId="0" fontId="5" fillId="4" borderId="18" xfId="0" applyFont="1" applyFill="1" applyBorder="1" applyAlignment="1">
      <alignment horizontal="left"/>
    </xf>
    <xf numFmtId="166"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7" fontId="3" fillId="0" borderId="9" xfId="0" applyNumberFormat="1" applyFont="1" applyFill="1" applyBorder="1" applyAlignment="1" applyProtection="1">
      <alignment horizontal="right" wrapText="1"/>
    </xf>
    <xf numFmtId="167" fontId="3" fillId="0" borderId="10" xfId="0" applyNumberFormat="1" applyFont="1" applyFill="1" applyBorder="1" applyAlignment="1" applyProtection="1">
      <alignment horizontal="right" wrapText="1"/>
    </xf>
    <xf numFmtId="0" fontId="3" fillId="0" borderId="18" xfId="0" applyFont="1" applyBorder="1" applyAlignment="1">
      <alignment horizontal="left"/>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6"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6"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18" xfId="1" applyNumberFormat="1" applyFont="1" applyBorder="1" applyAlignment="1">
      <alignment horizontal="right"/>
    </xf>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168" fontId="3" fillId="0" borderId="9" xfId="0" applyNumberFormat="1"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171" fontId="3" fillId="0" borderId="9" xfId="1" applyNumberFormat="1" applyFont="1" applyBorder="1" applyAlignment="1">
      <alignment horizontal="right"/>
    </xf>
    <xf numFmtId="0" fontId="6" fillId="0" borderId="0" xfId="0" applyFont="1" applyAlignment="1"/>
    <xf numFmtId="10" fontId="7" fillId="0" borderId="0" xfId="0" applyNumberFormat="1" applyFont="1"/>
    <xf numFmtId="10" fontId="6" fillId="0" borderId="0" xfId="0" applyNumberFormat="1" applyFont="1" applyAlignment="1"/>
    <xf numFmtId="0" fontId="7" fillId="0" borderId="0" xfId="0" applyFont="1" applyAlignment="1">
      <alignment horizontal="left"/>
    </xf>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9" fillId="2" borderId="0" xfId="0" applyFont="1" applyFill="1" applyBorder="1" applyAlignment="1">
      <alignment horizontal="left" vertical="center"/>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5"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5"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5" fontId="3" fillId="0" borderId="9" xfId="0" applyNumberFormat="1" applyFont="1" applyBorder="1" applyAlignment="1">
      <alignment vertical="center"/>
    </xf>
    <xf numFmtId="165"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6" fontId="3" fillId="0" borderId="0" xfId="0" applyNumberFormat="1" applyFont="1" applyBorder="1"/>
    <xf numFmtId="0" fontId="3" fillId="0" borderId="16" xfId="0" applyFont="1" applyBorder="1" applyAlignment="1">
      <alignment wrapText="1"/>
    </xf>
    <xf numFmtId="10" fontId="3" fillId="0" borderId="16" xfId="1" applyNumberFormat="1" applyFont="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10" fontId="5" fillId="4" borderId="16" xfId="0" applyNumberFormat="1"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5"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5" fontId="5" fillId="2" borderId="10" xfId="0" applyNumberFormat="1" applyFont="1" applyFill="1" applyBorder="1" applyAlignment="1">
      <alignment horizontal="right" vertical="center"/>
    </xf>
    <xf numFmtId="0" fontId="3" fillId="0" borderId="24" xfId="0" applyFont="1" applyBorder="1" applyAlignment="1">
      <alignment vertical="center"/>
    </xf>
    <xf numFmtId="165" fontId="5" fillId="4" borderId="10" xfId="0" applyNumberFormat="1" applyFont="1" applyFill="1" applyBorder="1" applyAlignment="1">
      <alignment horizontal="right" vertical="center"/>
    </xf>
    <xf numFmtId="167"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7" fontId="6" fillId="0" borderId="0" xfId="0" applyNumberFormat="1" applyFont="1" applyBorder="1"/>
    <xf numFmtId="10" fontId="6" fillId="0" borderId="0" xfId="1" applyNumberFormat="1" applyFont="1" applyBorder="1"/>
    <xf numFmtId="169"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5"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70" fontId="3" fillId="0" borderId="0" xfId="1" applyNumberFormat="1" applyFont="1" applyBorder="1"/>
    <xf numFmtId="169"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5"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5"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5"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7"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3" fontId="4" fillId="2" borderId="0" xfId="0" applyNumberFormat="1" applyFont="1" applyFill="1" applyBorder="1" applyAlignment="1">
      <alignment horizontal="center" vertical="center"/>
    </xf>
    <xf numFmtId="0" fontId="3" fillId="0" borderId="24" xfId="0" applyFont="1" applyBorder="1" applyAlignment="1">
      <alignment horizontal="left" vertical="top" wrapText="1"/>
    </xf>
    <xf numFmtId="167" fontId="3" fillId="0" borderId="9" xfId="1" applyNumberFormat="1" applyFont="1" applyBorder="1" applyAlignment="1">
      <alignment horizontal="right"/>
    </xf>
    <xf numFmtId="167" fontId="5" fillId="4" borderId="9" xfId="0" applyNumberFormat="1" applyFont="1" applyFill="1" applyBorder="1" applyAlignment="1">
      <alignment horizontal="right"/>
    </xf>
    <xf numFmtId="167" fontId="3" fillId="0" borderId="9" xfId="0" applyNumberFormat="1" applyFont="1" applyBorder="1" applyAlignment="1">
      <alignment vertical="center"/>
    </xf>
    <xf numFmtId="167" fontId="5" fillId="2" borderId="9" xfId="0" applyNumberFormat="1" applyFont="1" applyFill="1" applyBorder="1" applyAlignment="1">
      <alignment horizontal="right" vertical="center"/>
    </xf>
    <xf numFmtId="167" fontId="5" fillId="4" borderId="9" xfId="0" applyNumberFormat="1" applyFont="1" applyFill="1" applyBorder="1" applyAlignment="1">
      <alignment vertical="center" wrapText="1"/>
    </xf>
    <xf numFmtId="2" fontId="5" fillId="4" borderId="0" xfId="0" applyNumberFormat="1" applyFont="1" applyFill="1" applyBorder="1" applyAlignment="1">
      <alignment vertical="center" wrapText="1"/>
    </xf>
    <xf numFmtId="0" fontId="5" fillId="4" borderId="29" xfId="0" applyFont="1" applyFill="1" applyBorder="1" applyAlignment="1">
      <alignment horizontal="center" vertical="center" wrapText="1"/>
    </xf>
    <xf numFmtId="2" fontId="5" fillId="0" borderId="0" xfId="0" applyNumberFormat="1" applyFont="1" applyFill="1" applyBorder="1" applyAlignment="1">
      <alignment vertical="center" wrapText="1"/>
    </xf>
    <xf numFmtId="2" fontId="5" fillId="4" borderId="30"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7" fontId="5" fillId="4" borderId="10" xfId="0" applyNumberFormat="1" applyFont="1" applyFill="1" applyBorder="1" applyAlignment="1">
      <alignment vertical="center" wrapText="1"/>
    </xf>
    <xf numFmtId="167" fontId="3" fillId="0" borderId="10" xfId="0" applyNumberFormat="1" applyFont="1" applyBorder="1" applyAlignment="1">
      <alignment vertical="center"/>
    </xf>
    <xf numFmtId="167" fontId="3" fillId="0" borderId="10" xfId="0" applyNumberFormat="1" applyFont="1" applyFill="1" applyBorder="1" applyAlignment="1">
      <alignment horizontal="right" vertical="center"/>
    </xf>
    <xf numFmtId="167" fontId="3" fillId="0" borderId="10" xfId="0" applyNumberFormat="1" applyFont="1" applyFill="1" applyBorder="1" applyAlignment="1">
      <alignment vertical="center" wrapText="1"/>
    </xf>
    <xf numFmtId="167" fontId="5" fillId="4" borderId="10" xfId="0" applyNumberFormat="1" applyFont="1" applyFill="1" applyBorder="1" applyAlignment="1">
      <alignment horizontal="right" vertical="center"/>
    </xf>
    <xf numFmtId="167" fontId="3" fillId="0" borderId="9" xfId="1" applyNumberFormat="1" applyFont="1" applyFill="1" applyBorder="1" applyAlignment="1">
      <alignment horizontal="right"/>
    </xf>
    <xf numFmtId="173"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172" fontId="3" fillId="0" borderId="9" xfId="1" applyNumberFormat="1" applyFont="1" applyBorder="1" applyAlignment="1">
      <alignment horizontal="right"/>
    </xf>
    <xf numFmtId="0" fontId="3" fillId="0" borderId="16" xfId="2" applyNumberFormat="1" applyFont="1" applyFill="1" applyBorder="1" applyAlignment="1">
      <alignment vertical="center"/>
    </xf>
    <xf numFmtId="167" fontId="3" fillId="0" borderId="9" xfId="1" applyNumberFormat="1" applyFont="1" applyBorder="1"/>
    <xf numFmtId="167"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0" fontId="9" fillId="4" borderId="0" xfId="0" applyFont="1" applyFill="1" applyBorder="1" applyAlignment="1">
      <alignment horizontal="right" vertical="center"/>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_rels/chart2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0.98949799999999999</c:v>
                </c:pt>
                <c:pt idx="1">
                  <c:v>-7.1700000000000002E-3</c:v>
                </c:pt>
                <c:pt idx="2">
                  <c:v>1.7672E-2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53573503776892"/>
                  <c:y val="-0.55181009014967397"/>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C2A-45AC-8D67-702183324090}"/>
                </c:ext>
              </c:extLst>
            </c:dLbl>
            <c:dLbl>
              <c:idx val="1"/>
              <c:layout>
                <c:manualLayout>
                  <c:x val="-7.5257289526781262E-2"/>
                  <c:y val="-7.278843579122032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C2A-45AC-8D67-702183324090}"/>
                </c:ext>
              </c:extLst>
            </c:dLbl>
            <c:dLbl>
              <c:idx val="2"/>
              <c:layout>
                <c:manualLayout>
                  <c:x val="0.11050030425453065"/>
                  <c:y val="-9.492566053914217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C2A-45AC-8D67-702183324090}"/>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C2A-45AC-8D67-702183324090}"/>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 TB FOF 0-1 yr'!$I$8:$I$10</c:f>
              <c:strCache>
                <c:ptCount val="3"/>
                <c:pt idx="0">
                  <c:v>International Mutual Fund Units</c:v>
                </c:pt>
                <c:pt idx="1">
                  <c:v>Net Current Asset</c:v>
                </c:pt>
                <c:pt idx="2">
                  <c:v>TRI Party Repo Total</c:v>
                </c:pt>
              </c:strCache>
            </c:strRef>
          </c:cat>
          <c:val>
            <c:numRef>
              <c:f>'BANDHAN-US TB FOF 0-1 yr'!$J$8:$J$10</c:f>
              <c:numCache>
                <c:formatCode>0.00%</c:formatCode>
                <c:ptCount val="3"/>
                <c:pt idx="0">
                  <c:v>0.98926899999999995</c:v>
                </c:pt>
                <c:pt idx="1">
                  <c:v>-8.1085000000000004E-2</c:v>
                </c:pt>
                <c:pt idx="2">
                  <c:v>9.1815999999999995E-2</c:v>
                </c:pt>
              </c:numCache>
            </c:numRef>
          </c:val>
          <c:extLst>
            <c:ext xmlns:c16="http://schemas.microsoft.com/office/drawing/2014/chart" uri="{C3380CC4-5D6E-409C-BE32-E72D297353CC}">
              <c16:uniqueId val="{00000004-0C2A-45AC-8D67-702183324090}"/>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CEF'!$W$8:$W$39</c:f>
              <c:strCache>
                <c:ptCount val="32"/>
                <c:pt idx="0">
                  <c:v>Banks</c:v>
                </c:pt>
                <c:pt idx="1">
                  <c:v>Finance</c:v>
                </c:pt>
                <c:pt idx="2">
                  <c:v>Auto Components</c:v>
                </c:pt>
                <c:pt idx="3">
                  <c:v>IT - Software</c:v>
                </c:pt>
                <c:pt idx="4">
                  <c:v>Pharmaceuticals &amp; Biotechnology</c:v>
                </c:pt>
                <c:pt idx="5">
                  <c:v>Petroleum Products</c:v>
                </c:pt>
                <c:pt idx="6">
                  <c:v>Diversified FMCG</c:v>
                </c:pt>
                <c:pt idx="7">
                  <c:v>Automobiles</c:v>
                </c:pt>
                <c:pt idx="8">
                  <c:v>Transport Services</c:v>
                </c:pt>
                <c:pt idx="9">
                  <c:v>Power</c:v>
                </c:pt>
                <c:pt idx="10">
                  <c:v>Retailing</c:v>
                </c:pt>
                <c:pt idx="11">
                  <c:v>Insurance</c:v>
                </c:pt>
                <c:pt idx="12">
                  <c:v>Capital Markets</c:v>
                </c:pt>
                <c:pt idx="13">
                  <c:v>Beverages</c:v>
                </c:pt>
                <c:pt idx="14">
                  <c:v>Gas</c:v>
                </c:pt>
                <c:pt idx="15">
                  <c:v>Entertainment</c:v>
                </c:pt>
                <c:pt idx="16">
                  <c:v>Industrial Products</c:v>
                </c:pt>
                <c:pt idx="17">
                  <c:v>Realty</c:v>
                </c:pt>
                <c:pt idx="18">
                  <c:v>Ferrous Metals</c:v>
                </c:pt>
                <c:pt idx="19">
                  <c:v>Telecom - Services</c:v>
                </c:pt>
                <c:pt idx="20">
                  <c:v>Aerospace &amp; Defense</c:v>
                </c:pt>
                <c:pt idx="21">
                  <c:v>Fertilizers &amp; Agrochemicals</c:v>
                </c:pt>
                <c:pt idx="22">
                  <c:v>Personal Products</c:v>
                </c:pt>
                <c:pt idx="23">
                  <c:v>Consumer Durables</c:v>
                </c:pt>
                <c:pt idx="24">
                  <c:v>Electrical Equipment</c:v>
                </c:pt>
                <c:pt idx="25">
                  <c:v>Leisure Services</c:v>
                </c:pt>
                <c:pt idx="26">
                  <c:v>Diversified</c:v>
                </c:pt>
                <c:pt idx="27">
                  <c:v>Minerals &amp; Mining</c:v>
                </c:pt>
                <c:pt idx="28">
                  <c:v>Cement &amp; Cement Products</c:v>
                </c:pt>
                <c:pt idx="29">
                  <c:v>Construction</c:v>
                </c:pt>
                <c:pt idx="30">
                  <c:v>Healthcare Services</c:v>
                </c:pt>
                <c:pt idx="31">
                  <c:v>Textiles &amp; Apparels</c:v>
                </c:pt>
              </c:strCache>
            </c:strRef>
          </c:cat>
          <c:val>
            <c:numRef>
              <c:f>'BANDHAN CEF'!$X$8:$X$39</c:f>
              <c:numCache>
                <c:formatCode>0.00%</c:formatCode>
                <c:ptCount val="32"/>
                <c:pt idx="0">
                  <c:v>0.234015</c:v>
                </c:pt>
                <c:pt idx="1">
                  <c:v>9.8470999999999989E-2</c:v>
                </c:pt>
                <c:pt idx="2">
                  <c:v>7.9673999999999995E-2</c:v>
                </c:pt>
                <c:pt idx="3">
                  <c:v>5.5077999999999995E-2</c:v>
                </c:pt>
                <c:pt idx="4">
                  <c:v>5.0696000000000005E-2</c:v>
                </c:pt>
                <c:pt idx="5">
                  <c:v>4.4866999999999997E-2</c:v>
                </c:pt>
                <c:pt idx="6">
                  <c:v>3.0606000000000001E-2</c:v>
                </c:pt>
                <c:pt idx="7">
                  <c:v>2.7989E-2</c:v>
                </c:pt>
                <c:pt idx="8">
                  <c:v>2.7171000000000001E-2</c:v>
                </c:pt>
                <c:pt idx="9">
                  <c:v>2.6386E-2</c:v>
                </c:pt>
                <c:pt idx="10">
                  <c:v>2.5718999999999999E-2</c:v>
                </c:pt>
                <c:pt idx="11">
                  <c:v>2.4305E-2</c:v>
                </c:pt>
                <c:pt idx="12">
                  <c:v>2.3359999999999999E-2</c:v>
                </c:pt>
                <c:pt idx="13">
                  <c:v>2.2100000000000002E-2</c:v>
                </c:pt>
                <c:pt idx="14">
                  <c:v>2.0458999999999998E-2</c:v>
                </c:pt>
                <c:pt idx="15">
                  <c:v>1.8598E-2</c:v>
                </c:pt>
                <c:pt idx="16">
                  <c:v>1.8495999999999999E-2</c:v>
                </c:pt>
                <c:pt idx="17">
                  <c:v>1.3462E-2</c:v>
                </c:pt>
                <c:pt idx="18">
                  <c:v>1.3299999999999999E-2</c:v>
                </c:pt>
                <c:pt idx="19">
                  <c:v>1.2102999999999999E-2</c:v>
                </c:pt>
                <c:pt idx="20">
                  <c:v>1.1464999999999999E-2</c:v>
                </c:pt>
                <c:pt idx="21">
                  <c:v>1.0945E-2</c:v>
                </c:pt>
                <c:pt idx="22">
                  <c:v>1.0703000000000001E-2</c:v>
                </c:pt>
                <c:pt idx="23">
                  <c:v>7.515E-3</c:v>
                </c:pt>
                <c:pt idx="24">
                  <c:v>7.3920000000000001E-3</c:v>
                </c:pt>
                <c:pt idx="25">
                  <c:v>6.973E-3</c:v>
                </c:pt>
                <c:pt idx="26">
                  <c:v>6.7619999999999998E-3</c:v>
                </c:pt>
                <c:pt idx="27">
                  <c:v>6.509E-3</c:v>
                </c:pt>
                <c:pt idx="28">
                  <c:v>6.3070000000000001E-3</c:v>
                </c:pt>
                <c:pt idx="29">
                  <c:v>5.8389999999999996E-3</c:v>
                </c:pt>
                <c:pt idx="30">
                  <c:v>5.4520000000000002E-3</c:v>
                </c:pt>
                <c:pt idx="31">
                  <c:v>2.2560000000000002E-3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LCF'!$W$8:$W$29</c:f>
              <c:strCache>
                <c:ptCount val="22"/>
                <c:pt idx="0">
                  <c:v>Banks</c:v>
                </c:pt>
                <c:pt idx="1">
                  <c:v>IT - Software</c:v>
                </c:pt>
                <c:pt idx="2">
                  <c:v>Finance</c:v>
                </c:pt>
                <c:pt idx="3">
                  <c:v>Petroleum Products</c:v>
                </c:pt>
                <c:pt idx="4">
                  <c:v>Chemicals &amp; Petrochemicals</c:v>
                </c:pt>
                <c:pt idx="5">
                  <c:v>Diversified FMCG</c:v>
                </c:pt>
                <c:pt idx="6">
                  <c:v>Automobiles</c:v>
                </c:pt>
                <c:pt idx="7">
                  <c:v>Pharmaceuticals &amp; Biotechnology</c:v>
                </c:pt>
                <c:pt idx="8">
                  <c:v>Auto Components</c:v>
                </c:pt>
                <c:pt idx="9">
                  <c:v>Construction</c:v>
                </c:pt>
                <c:pt idx="10">
                  <c:v>Consumer Durables</c:v>
                </c:pt>
                <c:pt idx="11">
                  <c:v>Transport Services</c:v>
                </c:pt>
                <c:pt idx="12">
                  <c:v>Cement &amp; Cement Products</c:v>
                </c:pt>
                <c:pt idx="13">
                  <c:v>Industrial Products</c:v>
                </c:pt>
                <c:pt idx="14">
                  <c:v>IT - Services</c:v>
                </c:pt>
                <c:pt idx="15">
                  <c:v>Electrical Equipment</c:v>
                </c:pt>
                <c:pt idx="16">
                  <c:v>Telecom - Services</c:v>
                </c:pt>
                <c:pt idx="17">
                  <c:v>Food Products</c:v>
                </c:pt>
                <c:pt idx="18">
                  <c:v>Power</c:v>
                </c:pt>
                <c:pt idx="19">
                  <c:v>Retailing</c:v>
                </c:pt>
                <c:pt idx="20">
                  <c:v>Realty</c:v>
                </c:pt>
                <c:pt idx="21">
                  <c:v>Capital Markets</c:v>
                </c:pt>
              </c:strCache>
            </c:strRef>
          </c:cat>
          <c:val>
            <c:numRef>
              <c:f>'BANDHAN LCF'!$X$8:$X$29</c:f>
              <c:numCache>
                <c:formatCode>0.00%</c:formatCode>
                <c:ptCount val="22"/>
                <c:pt idx="0">
                  <c:v>0.30069899999999999</c:v>
                </c:pt>
                <c:pt idx="1">
                  <c:v>0.113289</c:v>
                </c:pt>
                <c:pt idx="2">
                  <c:v>7.1885000000000004E-2</c:v>
                </c:pt>
                <c:pt idx="3">
                  <c:v>6.8840999999999999E-2</c:v>
                </c:pt>
                <c:pt idx="4">
                  <c:v>6.2969999999999998E-2</c:v>
                </c:pt>
                <c:pt idx="5">
                  <c:v>6.1067999999999997E-2</c:v>
                </c:pt>
                <c:pt idx="6">
                  <c:v>5.3023000000000001E-2</c:v>
                </c:pt>
                <c:pt idx="7">
                  <c:v>5.1916000000000004E-2</c:v>
                </c:pt>
                <c:pt idx="8">
                  <c:v>2.6935000000000001E-2</c:v>
                </c:pt>
                <c:pt idx="9">
                  <c:v>2.2869E-2</c:v>
                </c:pt>
                <c:pt idx="10">
                  <c:v>2.1193E-2</c:v>
                </c:pt>
                <c:pt idx="11">
                  <c:v>2.0650000000000002E-2</c:v>
                </c:pt>
                <c:pt idx="12">
                  <c:v>1.9007E-2</c:v>
                </c:pt>
                <c:pt idx="13">
                  <c:v>1.8757000000000003E-2</c:v>
                </c:pt>
                <c:pt idx="14">
                  <c:v>1.3701E-2</c:v>
                </c:pt>
                <c:pt idx="15">
                  <c:v>1.2132E-2</c:v>
                </c:pt>
                <c:pt idx="16">
                  <c:v>1.0551E-2</c:v>
                </c:pt>
                <c:pt idx="17">
                  <c:v>9.8040000000000002E-3</c:v>
                </c:pt>
                <c:pt idx="18">
                  <c:v>9.606E-3</c:v>
                </c:pt>
                <c:pt idx="19">
                  <c:v>5.5519999999999996E-3</c:v>
                </c:pt>
                <c:pt idx="20">
                  <c:v>5.4619999999999998E-3</c:v>
                </c:pt>
                <c:pt idx="21">
                  <c:v>4.0670000000000003E-3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FEF'!$W$8:$W$27</c:f>
              <c:strCache>
                <c:ptCount val="20"/>
                <c:pt idx="0">
                  <c:v>Banks</c:v>
                </c:pt>
                <c:pt idx="1">
                  <c:v>Chemicals &amp; Petrochemicals</c:v>
                </c:pt>
                <c:pt idx="2">
                  <c:v>IT - Software</c:v>
                </c:pt>
                <c:pt idx="3">
                  <c:v>Automobiles</c:v>
                </c:pt>
                <c:pt idx="4">
                  <c:v>Diversified FMCG</c:v>
                </c:pt>
                <c:pt idx="5">
                  <c:v>Petroleum Products</c:v>
                </c:pt>
                <c:pt idx="6">
                  <c:v>Finance</c:v>
                </c:pt>
                <c:pt idx="7">
                  <c:v>Pharmaceuticals &amp; Biotechnology</c:v>
                </c:pt>
                <c:pt idx="8">
                  <c:v>IT - Services</c:v>
                </c:pt>
                <c:pt idx="9">
                  <c:v>Transport Services</c:v>
                </c:pt>
                <c:pt idx="10">
                  <c:v>Consumer Durables</c:v>
                </c:pt>
                <c:pt idx="11">
                  <c:v>Food Products</c:v>
                </c:pt>
                <c:pt idx="12">
                  <c:v>Retailing</c:v>
                </c:pt>
                <c:pt idx="13">
                  <c:v>Cement &amp; Cement Products</c:v>
                </c:pt>
                <c:pt idx="14">
                  <c:v>Realty</c:v>
                </c:pt>
                <c:pt idx="15">
                  <c:v>Leisure Services</c:v>
                </c:pt>
                <c:pt idx="16">
                  <c:v>Construction</c:v>
                </c:pt>
                <c:pt idx="17">
                  <c:v>Electrical Equipment</c:v>
                </c:pt>
                <c:pt idx="18">
                  <c:v>Auto Components</c:v>
                </c:pt>
                <c:pt idx="19">
                  <c:v>Power</c:v>
                </c:pt>
              </c:strCache>
            </c:strRef>
          </c:cat>
          <c:val>
            <c:numRef>
              <c:f>'BANDHAN FEF'!$X$8:$X$27</c:f>
              <c:numCache>
                <c:formatCode>0.00%</c:formatCode>
                <c:ptCount val="20"/>
                <c:pt idx="0">
                  <c:v>0.29808000000000001</c:v>
                </c:pt>
                <c:pt idx="1">
                  <c:v>9.1410999999999992E-2</c:v>
                </c:pt>
                <c:pt idx="2">
                  <c:v>8.9702000000000004E-2</c:v>
                </c:pt>
                <c:pt idx="3">
                  <c:v>6.1186999999999991E-2</c:v>
                </c:pt>
                <c:pt idx="4">
                  <c:v>4.9465000000000002E-2</c:v>
                </c:pt>
                <c:pt idx="5">
                  <c:v>4.8931000000000002E-2</c:v>
                </c:pt>
                <c:pt idx="6">
                  <c:v>4.5136000000000003E-2</c:v>
                </c:pt>
                <c:pt idx="7">
                  <c:v>4.1176000000000004E-2</c:v>
                </c:pt>
                <c:pt idx="8">
                  <c:v>3.2232999999999998E-2</c:v>
                </c:pt>
                <c:pt idx="9">
                  <c:v>2.9706E-2</c:v>
                </c:pt>
                <c:pt idx="10">
                  <c:v>2.7643000000000001E-2</c:v>
                </c:pt>
                <c:pt idx="11">
                  <c:v>2.7028E-2</c:v>
                </c:pt>
                <c:pt idx="12">
                  <c:v>2.4618000000000001E-2</c:v>
                </c:pt>
                <c:pt idx="13">
                  <c:v>2.3295E-2</c:v>
                </c:pt>
                <c:pt idx="14">
                  <c:v>2.2995999999999999E-2</c:v>
                </c:pt>
                <c:pt idx="15">
                  <c:v>2.2398999999999999E-2</c:v>
                </c:pt>
                <c:pt idx="16">
                  <c:v>2.1409000000000001E-2</c:v>
                </c:pt>
                <c:pt idx="17">
                  <c:v>1.5897999999999999E-2</c:v>
                </c:pt>
                <c:pt idx="18">
                  <c:v>1.4791E-2</c:v>
                </c:pt>
                <c:pt idx="19">
                  <c:v>5.0000000000000004E-6</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SVF'!$W$8:$W$34</c:f>
              <c:strCache>
                <c:ptCount val="27"/>
                <c:pt idx="0">
                  <c:v>Banks</c:v>
                </c:pt>
                <c:pt idx="1">
                  <c:v>Pharmaceuticals &amp; Biotechnology</c:v>
                </c:pt>
                <c:pt idx="2">
                  <c:v>IT - Software</c:v>
                </c:pt>
                <c:pt idx="3">
                  <c:v>Electrical Equipment</c:v>
                </c:pt>
                <c:pt idx="4">
                  <c:v>Finance</c:v>
                </c:pt>
                <c:pt idx="5">
                  <c:v>Auto Components</c:v>
                </c:pt>
                <c:pt idx="6">
                  <c:v>Ferrous Metals</c:v>
                </c:pt>
                <c:pt idx="7">
                  <c:v>Petroleum Products</c:v>
                </c:pt>
                <c:pt idx="8">
                  <c:v>Leisure Services</c:v>
                </c:pt>
                <c:pt idx="9">
                  <c:v>Automobiles</c:v>
                </c:pt>
                <c:pt idx="10">
                  <c:v>Industrial Products</c:v>
                </c:pt>
                <c:pt idx="11">
                  <c:v>Cement &amp; Cement Products</c:v>
                </c:pt>
                <c:pt idx="12">
                  <c:v>Diversified FMCG</c:v>
                </c:pt>
                <c:pt idx="13">
                  <c:v>Consumer Durables</c:v>
                </c:pt>
                <c:pt idx="14">
                  <c:v>Transport Services</c:v>
                </c:pt>
                <c:pt idx="15">
                  <c:v>Beverages</c:v>
                </c:pt>
                <c:pt idx="16">
                  <c:v>Construction</c:v>
                </c:pt>
                <c:pt idx="17">
                  <c:v>Insurance</c:v>
                </c:pt>
                <c:pt idx="18">
                  <c:v>Personal Products</c:v>
                </c:pt>
                <c:pt idx="19">
                  <c:v>Food Products</c:v>
                </c:pt>
                <c:pt idx="20">
                  <c:v>Chemicals &amp; Petrochemicals</c:v>
                </c:pt>
                <c:pt idx="21">
                  <c:v>Gas</c:v>
                </c:pt>
                <c:pt idx="22">
                  <c:v>Power</c:v>
                </c:pt>
                <c:pt idx="23">
                  <c:v>Textiles &amp; Apparels</c:v>
                </c:pt>
                <c:pt idx="24">
                  <c:v>Oil</c:v>
                </c:pt>
                <c:pt idx="25">
                  <c:v>Retailing</c:v>
                </c:pt>
                <c:pt idx="26">
                  <c:v>Entertainment</c:v>
                </c:pt>
              </c:strCache>
            </c:strRef>
          </c:cat>
          <c:val>
            <c:numRef>
              <c:f>'BANDHAN SVF'!$X$8:$X$34</c:f>
              <c:numCache>
                <c:formatCode>0.00%</c:formatCode>
                <c:ptCount val="27"/>
                <c:pt idx="0">
                  <c:v>0.16960600000000001</c:v>
                </c:pt>
                <c:pt idx="1">
                  <c:v>7.4982999999999994E-2</c:v>
                </c:pt>
                <c:pt idx="2">
                  <c:v>6.7176E-2</c:v>
                </c:pt>
                <c:pt idx="3">
                  <c:v>5.2205000000000001E-2</c:v>
                </c:pt>
                <c:pt idx="4">
                  <c:v>4.8847000000000002E-2</c:v>
                </c:pt>
                <c:pt idx="5">
                  <c:v>4.8033999999999993E-2</c:v>
                </c:pt>
                <c:pt idx="6">
                  <c:v>3.8928999999999998E-2</c:v>
                </c:pt>
                <c:pt idx="7">
                  <c:v>3.8164000000000003E-2</c:v>
                </c:pt>
                <c:pt idx="8">
                  <c:v>3.619E-2</c:v>
                </c:pt>
                <c:pt idx="9">
                  <c:v>3.3099000000000003E-2</c:v>
                </c:pt>
                <c:pt idx="10">
                  <c:v>3.2337999999999999E-2</c:v>
                </c:pt>
                <c:pt idx="11">
                  <c:v>3.1524999999999997E-2</c:v>
                </c:pt>
                <c:pt idx="12">
                  <c:v>3.0786000000000001E-2</c:v>
                </c:pt>
                <c:pt idx="13">
                  <c:v>2.8817999999999996E-2</c:v>
                </c:pt>
                <c:pt idx="14">
                  <c:v>2.6068999999999998E-2</c:v>
                </c:pt>
                <c:pt idx="15">
                  <c:v>2.5576999999999999E-2</c:v>
                </c:pt>
                <c:pt idx="16">
                  <c:v>2.1158E-2</c:v>
                </c:pt>
                <c:pt idx="17">
                  <c:v>1.9605000000000001E-2</c:v>
                </c:pt>
                <c:pt idx="18">
                  <c:v>1.8284000000000002E-2</c:v>
                </c:pt>
                <c:pt idx="19">
                  <c:v>1.6872000000000002E-2</c:v>
                </c:pt>
                <c:pt idx="20">
                  <c:v>1.6122000000000001E-2</c:v>
                </c:pt>
                <c:pt idx="21">
                  <c:v>1.5754000000000001E-2</c:v>
                </c:pt>
                <c:pt idx="22">
                  <c:v>1.5017000000000001E-2</c:v>
                </c:pt>
                <c:pt idx="23">
                  <c:v>1.2899000000000001E-2</c:v>
                </c:pt>
                <c:pt idx="24">
                  <c:v>1.2042000000000001E-2</c:v>
                </c:pt>
                <c:pt idx="25">
                  <c:v>1.0338E-2</c:v>
                </c:pt>
                <c:pt idx="26">
                  <c:v>6.7390000000000002E-3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'BANDHAN-MCAP'!$W$8:$W$28</c:f>
              <c:strCache>
                <c:ptCount val="21"/>
                <c:pt idx="0">
                  <c:v>Industrial Products</c:v>
                </c:pt>
                <c:pt idx="1">
                  <c:v>Auto Components</c:v>
                </c:pt>
                <c:pt idx="2">
                  <c:v>Banks</c:v>
                </c:pt>
                <c:pt idx="3">
                  <c:v>Chemicals &amp; Petrochemicals</c:v>
                </c:pt>
                <c:pt idx="4">
                  <c:v>IT - Software</c:v>
                </c:pt>
                <c:pt idx="5">
                  <c:v>Consumer Durables</c:v>
                </c:pt>
                <c:pt idx="6">
                  <c:v>Automobiles</c:v>
                </c:pt>
                <c:pt idx="7">
                  <c:v>Retailing</c:v>
                </c:pt>
                <c:pt idx="8">
                  <c:v>Leisure Services</c:v>
                </c:pt>
                <c:pt idx="9">
                  <c:v>Electrical Equipment</c:v>
                </c:pt>
                <c:pt idx="10">
                  <c:v>Finance</c:v>
                </c:pt>
                <c:pt idx="11">
                  <c:v>Beverages</c:v>
                </c:pt>
                <c:pt idx="12">
                  <c:v>Telecom - Services</c:v>
                </c:pt>
                <c:pt idx="13">
                  <c:v>Healthcare Services</c:v>
                </c:pt>
                <c:pt idx="14">
                  <c:v>Pharmaceuticals &amp; Biotechnology</c:v>
                </c:pt>
                <c:pt idx="15">
                  <c:v>Fertilizers &amp; Agrochemicals</c:v>
                </c:pt>
                <c:pt idx="16">
                  <c:v>Textiles &amp; Apparels</c:v>
                </c:pt>
                <c:pt idx="17">
                  <c:v>Aerospace &amp; Defense</c:v>
                </c:pt>
                <c:pt idx="18">
                  <c:v>Diversified</c:v>
                </c:pt>
                <c:pt idx="19">
                  <c:v>Capital Markets</c:v>
                </c:pt>
                <c:pt idx="20">
                  <c:v>Industrial Manufacturing</c:v>
                </c:pt>
              </c:strCache>
            </c:strRef>
          </c:cat>
          <c:val>
            <c:numRef>
              <c:f>'BANDHAN-MCAP'!$X$8:$X$28</c:f>
              <c:numCache>
                <c:formatCode>0.00%</c:formatCode>
                <c:ptCount val="21"/>
                <c:pt idx="0">
                  <c:v>0.135377</c:v>
                </c:pt>
                <c:pt idx="1">
                  <c:v>0.11439199999999999</c:v>
                </c:pt>
                <c:pt idx="2">
                  <c:v>9.3895000000000006E-2</c:v>
                </c:pt>
                <c:pt idx="3">
                  <c:v>7.7896999999999994E-2</c:v>
                </c:pt>
                <c:pt idx="4">
                  <c:v>6.3032000000000005E-2</c:v>
                </c:pt>
                <c:pt idx="5">
                  <c:v>6.0486999999999999E-2</c:v>
                </c:pt>
                <c:pt idx="6">
                  <c:v>5.9010000000000007E-2</c:v>
                </c:pt>
                <c:pt idx="7">
                  <c:v>5.1504999999999995E-2</c:v>
                </c:pt>
                <c:pt idx="8">
                  <c:v>4.8168000000000002E-2</c:v>
                </c:pt>
                <c:pt idx="9">
                  <c:v>4.6647999999999995E-2</c:v>
                </c:pt>
                <c:pt idx="10">
                  <c:v>3.6764999999999999E-2</c:v>
                </c:pt>
                <c:pt idx="11">
                  <c:v>3.3794999999999999E-2</c:v>
                </c:pt>
                <c:pt idx="12">
                  <c:v>2.0896999999999999E-2</c:v>
                </c:pt>
                <c:pt idx="13">
                  <c:v>2.0173E-2</c:v>
                </c:pt>
                <c:pt idx="14">
                  <c:v>1.9428000000000001E-2</c:v>
                </c:pt>
                <c:pt idx="15">
                  <c:v>1.7408E-2</c:v>
                </c:pt>
                <c:pt idx="16">
                  <c:v>1.6480999999999999E-2</c:v>
                </c:pt>
                <c:pt idx="17">
                  <c:v>1.5524E-2</c:v>
                </c:pt>
                <c:pt idx="18">
                  <c:v>1.1266999999999999E-2</c:v>
                </c:pt>
                <c:pt idx="19">
                  <c:v>9.4230000000000008E-3</c:v>
                </c:pt>
                <c:pt idx="20">
                  <c:v>6.1469999999999997E-3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May 2023)</c:v>
                </c:pt>
              </c:strCache>
            </c:strRef>
          </c:tx>
          <c:invertIfNegative val="0"/>
          <c:cat>
            <c:strRef>
              <c:f>'BANDHAN-MCAP'!$W$8:$W$28</c:f>
              <c:strCache>
                <c:ptCount val="21"/>
                <c:pt idx="0">
                  <c:v>Industrial Products</c:v>
                </c:pt>
                <c:pt idx="1">
                  <c:v>Auto Components</c:v>
                </c:pt>
                <c:pt idx="2">
                  <c:v>Banks</c:v>
                </c:pt>
                <c:pt idx="3">
                  <c:v>Chemicals &amp; Petrochemicals</c:v>
                </c:pt>
                <c:pt idx="4">
                  <c:v>IT - Software</c:v>
                </c:pt>
                <c:pt idx="5">
                  <c:v>Consumer Durables</c:v>
                </c:pt>
                <c:pt idx="6">
                  <c:v>Automobiles</c:v>
                </c:pt>
                <c:pt idx="7">
                  <c:v>Retailing</c:v>
                </c:pt>
                <c:pt idx="8">
                  <c:v>Leisure Services</c:v>
                </c:pt>
                <c:pt idx="9">
                  <c:v>Electrical Equipment</c:v>
                </c:pt>
                <c:pt idx="10">
                  <c:v>Finance</c:v>
                </c:pt>
                <c:pt idx="11">
                  <c:v>Beverages</c:v>
                </c:pt>
                <c:pt idx="12">
                  <c:v>Telecom - Services</c:v>
                </c:pt>
                <c:pt idx="13">
                  <c:v>Healthcare Services</c:v>
                </c:pt>
                <c:pt idx="14">
                  <c:v>Pharmaceuticals &amp; Biotechnology</c:v>
                </c:pt>
                <c:pt idx="15">
                  <c:v>Fertilizers &amp; Agrochemicals</c:v>
                </c:pt>
                <c:pt idx="16">
                  <c:v>Textiles &amp; Apparels</c:v>
                </c:pt>
                <c:pt idx="17">
                  <c:v>Aerospace &amp; Defense</c:v>
                </c:pt>
                <c:pt idx="18">
                  <c:v>Diversified</c:v>
                </c:pt>
                <c:pt idx="19">
                  <c:v>Capital Markets</c:v>
                </c:pt>
                <c:pt idx="20">
                  <c:v>Industrial Manufacturing</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May 2023)</c:v>
                </c:pt>
              </c:strCache>
            </c:strRef>
          </c:tx>
          <c:invertIfNegative val="0"/>
          <c:cat>
            <c:strRef>
              <c:f>'BANDHAN-MCAP'!$W$8:$W$28</c:f>
              <c:strCache>
                <c:ptCount val="21"/>
                <c:pt idx="0">
                  <c:v>Industrial Products</c:v>
                </c:pt>
                <c:pt idx="1">
                  <c:v>Auto Components</c:v>
                </c:pt>
                <c:pt idx="2">
                  <c:v>Banks</c:v>
                </c:pt>
                <c:pt idx="3">
                  <c:v>Chemicals &amp; Petrochemicals</c:v>
                </c:pt>
                <c:pt idx="4">
                  <c:v>IT - Software</c:v>
                </c:pt>
                <c:pt idx="5">
                  <c:v>Consumer Durables</c:v>
                </c:pt>
                <c:pt idx="6">
                  <c:v>Automobiles</c:v>
                </c:pt>
                <c:pt idx="7">
                  <c:v>Retailing</c:v>
                </c:pt>
                <c:pt idx="8">
                  <c:v>Leisure Services</c:v>
                </c:pt>
                <c:pt idx="9">
                  <c:v>Electrical Equipment</c:v>
                </c:pt>
                <c:pt idx="10">
                  <c:v>Finance</c:v>
                </c:pt>
                <c:pt idx="11">
                  <c:v>Beverages</c:v>
                </c:pt>
                <c:pt idx="12">
                  <c:v>Telecom - Services</c:v>
                </c:pt>
                <c:pt idx="13">
                  <c:v>Healthcare Services</c:v>
                </c:pt>
                <c:pt idx="14">
                  <c:v>Pharmaceuticals &amp; Biotechnology</c:v>
                </c:pt>
                <c:pt idx="15">
                  <c:v>Fertilizers &amp; Agrochemicals</c:v>
                </c:pt>
                <c:pt idx="16">
                  <c:v>Textiles &amp; Apparels</c:v>
                </c:pt>
                <c:pt idx="17">
                  <c:v>Aerospace &amp; Defense</c:v>
                </c:pt>
                <c:pt idx="18">
                  <c:v>Diversified</c:v>
                </c:pt>
                <c:pt idx="19">
                  <c:v>Capital Markets</c:v>
                </c:pt>
                <c:pt idx="20">
                  <c:v>Industrial Manufacturing</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MCF'!$W$8:$W$38</c:f>
              <c:strCache>
                <c:ptCount val="31"/>
                <c:pt idx="0">
                  <c:v>Banks</c:v>
                </c:pt>
                <c:pt idx="1">
                  <c:v>IT - Software</c:v>
                </c:pt>
                <c:pt idx="2">
                  <c:v>Finance</c:v>
                </c:pt>
                <c:pt idx="3">
                  <c:v>Pharmaceuticals &amp; Biotechnology</c:v>
                </c:pt>
                <c:pt idx="4">
                  <c:v>Cement &amp; Cement Products</c:v>
                </c:pt>
                <c:pt idx="5">
                  <c:v>Auto Components</c:v>
                </c:pt>
                <c:pt idx="6">
                  <c:v>Industrial Products</c:v>
                </c:pt>
                <c:pt idx="7">
                  <c:v>Consumer Durables</c:v>
                </c:pt>
                <c:pt idx="8">
                  <c:v>Petroleum Products</c:v>
                </c:pt>
                <c:pt idx="9">
                  <c:v>Insurance</c:v>
                </c:pt>
                <c:pt idx="10">
                  <c:v>Construction</c:v>
                </c:pt>
                <c:pt idx="11">
                  <c:v>Beverages</c:v>
                </c:pt>
                <c:pt idx="12">
                  <c:v>Automobiles</c:v>
                </c:pt>
                <c:pt idx="13">
                  <c:v>IT - Services</c:v>
                </c:pt>
                <c:pt idx="14">
                  <c:v>Transport Services</c:v>
                </c:pt>
                <c:pt idx="15">
                  <c:v>Leisure Services</c:v>
                </c:pt>
                <c:pt idx="16">
                  <c:v>Realty</c:v>
                </c:pt>
                <c:pt idx="17">
                  <c:v>Entertainment</c:v>
                </c:pt>
                <c:pt idx="18">
                  <c:v>Electrical Equipment</c:v>
                </c:pt>
                <c:pt idx="19">
                  <c:v>Ferrous Metals</c:v>
                </c:pt>
                <c:pt idx="20">
                  <c:v>Chemicals &amp; Petrochemicals</c:v>
                </c:pt>
                <c:pt idx="21">
                  <c:v>Food Products</c:v>
                </c:pt>
                <c:pt idx="22">
                  <c:v>Diversified FMCG</c:v>
                </c:pt>
                <c:pt idx="23">
                  <c:v>Gas</c:v>
                </c:pt>
                <c:pt idx="24">
                  <c:v>Telecom - Services</c:v>
                </c:pt>
                <c:pt idx="25">
                  <c:v>Agricultural Food &amp; other Products</c:v>
                </c:pt>
                <c:pt idx="26">
                  <c:v>Retailing</c:v>
                </c:pt>
                <c:pt idx="27">
                  <c:v>Fertilizers &amp; Agrochemicals</c:v>
                </c:pt>
                <c:pt idx="28">
                  <c:v>Industrial Manufacturing</c:v>
                </c:pt>
                <c:pt idx="29">
                  <c:v>Minerals &amp; Mining</c:v>
                </c:pt>
                <c:pt idx="30">
                  <c:v>Diversified</c:v>
                </c:pt>
              </c:strCache>
            </c:strRef>
          </c:cat>
          <c:val>
            <c:numRef>
              <c:f>'BANDHAN MCF'!$X$8:$X$38</c:f>
              <c:numCache>
                <c:formatCode>0.00%</c:formatCode>
                <c:ptCount val="31"/>
                <c:pt idx="0">
                  <c:v>0.14752200000000001</c:v>
                </c:pt>
                <c:pt idx="1">
                  <c:v>6.7912E-2</c:v>
                </c:pt>
                <c:pt idx="2">
                  <c:v>5.8743000000000004E-2</c:v>
                </c:pt>
                <c:pt idx="3">
                  <c:v>5.7782E-2</c:v>
                </c:pt>
                <c:pt idx="4">
                  <c:v>5.4389000000000007E-2</c:v>
                </c:pt>
                <c:pt idx="5">
                  <c:v>4.913E-2</c:v>
                </c:pt>
                <c:pt idx="6">
                  <c:v>4.7841000000000002E-2</c:v>
                </c:pt>
                <c:pt idx="7">
                  <c:v>4.2208000000000002E-2</c:v>
                </c:pt>
                <c:pt idx="8">
                  <c:v>3.3312000000000001E-2</c:v>
                </c:pt>
                <c:pt idx="9">
                  <c:v>3.0698E-2</c:v>
                </c:pt>
                <c:pt idx="10">
                  <c:v>2.9069999999999999E-2</c:v>
                </c:pt>
                <c:pt idx="11">
                  <c:v>2.8580000000000001E-2</c:v>
                </c:pt>
                <c:pt idx="12">
                  <c:v>2.7140999999999998E-2</c:v>
                </c:pt>
                <c:pt idx="13">
                  <c:v>2.6047000000000001E-2</c:v>
                </c:pt>
                <c:pt idx="14">
                  <c:v>2.3593000000000003E-2</c:v>
                </c:pt>
                <c:pt idx="15">
                  <c:v>2.3382999999999998E-2</c:v>
                </c:pt>
                <c:pt idx="16">
                  <c:v>2.3024999999999997E-2</c:v>
                </c:pt>
                <c:pt idx="17">
                  <c:v>2.2665999999999999E-2</c:v>
                </c:pt>
                <c:pt idx="18">
                  <c:v>2.0742E-2</c:v>
                </c:pt>
                <c:pt idx="19">
                  <c:v>1.9332999999999999E-2</c:v>
                </c:pt>
                <c:pt idx="20">
                  <c:v>1.8033E-2</c:v>
                </c:pt>
                <c:pt idx="21">
                  <c:v>1.7454000000000001E-2</c:v>
                </c:pt>
                <c:pt idx="22">
                  <c:v>1.6868999999999999E-2</c:v>
                </c:pt>
                <c:pt idx="23">
                  <c:v>1.6305E-2</c:v>
                </c:pt>
                <c:pt idx="24">
                  <c:v>1.2872E-2</c:v>
                </c:pt>
                <c:pt idx="25">
                  <c:v>1.2096000000000001E-2</c:v>
                </c:pt>
                <c:pt idx="26">
                  <c:v>1.1542E-2</c:v>
                </c:pt>
                <c:pt idx="27">
                  <c:v>1.1495999999999999E-2</c:v>
                </c:pt>
                <c:pt idx="28">
                  <c:v>1.0407E-2</c:v>
                </c:pt>
                <c:pt idx="29">
                  <c:v>4.8529999999999997E-3</c:v>
                </c:pt>
                <c:pt idx="30">
                  <c:v>2.9500000000000001E-4</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May 2023)</c:v>
                </c:pt>
              </c:strCache>
            </c:strRef>
          </c:tx>
          <c:invertIfNegative val="0"/>
          <c:cat>
            <c:strRef>
              <c:f>'BANDHAN MCF'!$W$8:$W$38</c:f>
              <c:strCache>
                <c:ptCount val="31"/>
                <c:pt idx="0">
                  <c:v>Banks</c:v>
                </c:pt>
                <c:pt idx="1">
                  <c:v>IT - Software</c:v>
                </c:pt>
                <c:pt idx="2">
                  <c:v>Finance</c:v>
                </c:pt>
                <c:pt idx="3">
                  <c:v>Pharmaceuticals &amp; Biotechnology</c:v>
                </c:pt>
                <c:pt idx="4">
                  <c:v>Cement &amp; Cement Products</c:v>
                </c:pt>
                <c:pt idx="5">
                  <c:v>Auto Components</c:v>
                </c:pt>
                <c:pt idx="6">
                  <c:v>Industrial Products</c:v>
                </c:pt>
                <c:pt idx="7">
                  <c:v>Consumer Durables</c:v>
                </c:pt>
                <c:pt idx="8">
                  <c:v>Petroleum Products</c:v>
                </c:pt>
                <c:pt idx="9">
                  <c:v>Insurance</c:v>
                </c:pt>
                <c:pt idx="10">
                  <c:v>Construction</c:v>
                </c:pt>
                <c:pt idx="11">
                  <c:v>Beverages</c:v>
                </c:pt>
                <c:pt idx="12">
                  <c:v>Automobiles</c:v>
                </c:pt>
                <c:pt idx="13">
                  <c:v>IT - Services</c:v>
                </c:pt>
                <c:pt idx="14">
                  <c:v>Transport Services</c:v>
                </c:pt>
                <c:pt idx="15">
                  <c:v>Leisure Services</c:v>
                </c:pt>
                <c:pt idx="16">
                  <c:v>Realty</c:v>
                </c:pt>
                <c:pt idx="17">
                  <c:v>Entertainment</c:v>
                </c:pt>
                <c:pt idx="18">
                  <c:v>Electrical Equipment</c:v>
                </c:pt>
                <c:pt idx="19">
                  <c:v>Ferrous Metals</c:v>
                </c:pt>
                <c:pt idx="20">
                  <c:v>Chemicals &amp; Petrochemicals</c:v>
                </c:pt>
                <c:pt idx="21">
                  <c:v>Food Products</c:v>
                </c:pt>
                <c:pt idx="22">
                  <c:v>Diversified FMCG</c:v>
                </c:pt>
                <c:pt idx="23">
                  <c:v>Gas</c:v>
                </c:pt>
                <c:pt idx="24">
                  <c:v>Telecom - Services</c:v>
                </c:pt>
                <c:pt idx="25">
                  <c:v>Agricultural Food &amp; other Products</c:v>
                </c:pt>
                <c:pt idx="26">
                  <c:v>Retailing</c:v>
                </c:pt>
                <c:pt idx="27">
                  <c:v>Fertilizers &amp; Agrochemicals</c:v>
                </c:pt>
                <c:pt idx="28">
                  <c:v>Industrial Manufacturing</c:v>
                </c:pt>
                <c:pt idx="29">
                  <c:v>Minerals &amp; Mining</c:v>
                </c:pt>
                <c:pt idx="30">
                  <c:v>Diversified</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delete val="1"/>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FCF'!$W$8:$W$32</c:f>
              <c:strCache>
                <c:ptCount val="25"/>
                <c:pt idx="0">
                  <c:v>Banks</c:v>
                </c:pt>
                <c:pt idx="1">
                  <c:v>IT - Software</c:v>
                </c:pt>
                <c:pt idx="2">
                  <c:v>Auto Components</c:v>
                </c:pt>
                <c:pt idx="3">
                  <c:v>Finance</c:v>
                </c:pt>
                <c:pt idx="4">
                  <c:v>Industrial Products</c:v>
                </c:pt>
                <c:pt idx="5">
                  <c:v>Automobiles</c:v>
                </c:pt>
                <c:pt idx="6">
                  <c:v>Cement &amp; Cement Products</c:v>
                </c:pt>
                <c:pt idx="7">
                  <c:v>Retailing</c:v>
                </c:pt>
                <c:pt idx="8">
                  <c:v>Chemicals &amp; Petrochemicals</c:v>
                </c:pt>
                <c:pt idx="9">
                  <c:v>Telecom - Services</c:v>
                </c:pt>
                <c:pt idx="10">
                  <c:v>Construction</c:v>
                </c:pt>
                <c:pt idx="11">
                  <c:v>Consumer Durables</c:v>
                </c:pt>
                <c:pt idx="12">
                  <c:v>Aerospace &amp; Defense</c:v>
                </c:pt>
                <c:pt idx="13">
                  <c:v>Diversified</c:v>
                </c:pt>
                <c:pt idx="14">
                  <c:v>Diversified FMCG</c:v>
                </c:pt>
                <c:pt idx="15">
                  <c:v>Beverages</c:v>
                </c:pt>
                <c:pt idx="16">
                  <c:v>Leisure Services</c:v>
                </c:pt>
                <c:pt idx="17">
                  <c:v>Transport Services</c:v>
                </c:pt>
                <c:pt idx="18">
                  <c:v>Textiles &amp; Apparels</c:v>
                </c:pt>
                <c:pt idx="19">
                  <c:v>Healthcare Services</c:v>
                </c:pt>
                <c:pt idx="20">
                  <c:v>Pharmaceuticals &amp; Biotechnology</c:v>
                </c:pt>
                <c:pt idx="21">
                  <c:v>Paper, Forest &amp; Jute Products</c:v>
                </c:pt>
                <c:pt idx="22">
                  <c:v>Food Products</c:v>
                </c:pt>
                <c:pt idx="23">
                  <c:v>Electrical Equipment</c:v>
                </c:pt>
                <c:pt idx="24">
                  <c:v>Realty</c:v>
                </c:pt>
              </c:strCache>
            </c:strRef>
          </c:cat>
          <c:val>
            <c:numRef>
              <c:f>'BANDHAN FCF'!$X$8:$X$32</c:f>
              <c:numCache>
                <c:formatCode>0.00%</c:formatCode>
                <c:ptCount val="25"/>
                <c:pt idx="0">
                  <c:v>0.23650099999999999</c:v>
                </c:pt>
                <c:pt idx="1">
                  <c:v>0.10066800000000001</c:v>
                </c:pt>
                <c:pt idx="2">
                  <c:v>7.882900000000001E-2</c:v>
                </c:pt>
                <c:pt idx="3">
                  <c:v>7.1084999999999995E-2</c:v>
                </c:pt>
                <c:pt idx="4">
                  <c:v>6.6958999999999991E-2</c:v>
                </c:pt>
                <c:pt idx="5">
                  <c:v>6.5107999999999999E-2</c:v>
                </c:pt>
                <c:pt idx="6">
                  <c:v>4.5711000000000002E-2</c:v>
                </c:pt>
                <c:pt idx="7">
                  <c:v>3.5333000000000003E-2</c:v>
                </c:pt>
                <c:pt idx="8">
                  <c:v>3.4166000000000002E-2</c:v>
                </c:pt>
                <c:pt idx="9">
                  <c:v>3.0057E-2</c:v>
                </c:pt>
                <c:pt idx="10">
                  <c:v>2.9484E-2</c:v>
                </c:pt>
                <c:pt idx="11">
                  <c:v>2.6047000000000001E-2</c:v>
                </c:pt>
                <c:pt idx="12">
                  <c:v>1.7516E-2</c:v>
                </c:pt>
                <c:pt idx="13">
                  <c:v>1.7219000000000002E-2</c:v>
                </c:pt>
                <c:pt idx="14">
                  <c:v>1.61E-2</c:v>
                </c:pt>
                <c:pt idx="15">
                  <c:v>1.3938000000000001E-2</c:v>
                </c:pt>
                <c:pt idx="16">
                  <c:v>1.3582E-2</c:v>
                </c:pt>
                <c:pt idx="17">
                  <c:v>1.124E-2</c:v>
                </c:pt>
                <c:pt idx="18">
                  <c:v>1.009E-2</c:v>
                </c:pt>
                <c:pt idx="19">
                  <c:v>1.0071999999999999E-2</c:v>
                </c:pt>
                <c:pt idx="20">
                  <c:v>6.7499999999999999E-3</c:v>
                </c:pt>
                <c:pt idx="21">
                  <c:v>5.6950000000000004E-3</c:v>
                </c:pt>
                <c:pt idx="22">
                  <c:v>2.5850000000000001E-3</c:v>
                </c:pt>
                <c:pt idx="23">
                  <c:v>2.3999999999999998E-3</c:v>
                </c:pt>
                <c:pt idx="24">
                  <c:v>7.2900000000000005E-4</c:v>
                </c:pt>
              </c:numCache>
            </c:numRef>
          </c:val>
          <c:extLst>
            <c:ext xmlns:c16="http://schemas.microsoft.com/office/drawing/2014/chart" uri="{C3380CC4-5D6E-409C-BE32-E72D297353CC}">
              <c16:uniqueId val="{00000017-A4C6-47B0-A7D9-9F74CCA544B7}"/>
            </c:ext>
          </c:extLst>
        </c:ser>
        <c:ser>
          <c:idx val="1"/>
          <c:order val="1"/>
          <c:tx>
            <c:strRef>
              <c:f>'BANDHAN-USFOF'!$C$4</c:f>
              <c:strCache>
                <c:ptCount val="1"/>
                <c:pt idx="0">
                  <c:v>Portfolio as on - (31st May 2023)</c:v>
                </c:pt>
              </c:strCache>
            </c:strRef>
          </c:tx>
          <c:invertIfNegative val="0"/>
          <c:cat>
            <c:strRef>
              <c:f>'BANDHAN FCF'!$W$8:$W$32</c:f>
              <c:strCache>
                <c:ptCount val="25"/>
                <c:pt idx="0">
                  <c:v>Banks</c:v>
                </c:pt>
                <c:pt idx="1">
                  <c:v>IT - Software</c:v>
                </c:pt>
                <c:pt idx="2">
                  <c:v>Auto Components</c:v>
                </c:pt>
                <c:pt idx="3">
                  <c:v>Finance</c:v>
                </c:pt>
                <c:pt idx="4">
                  <c:v>Industrial Products</c:v>
                </c:pt>
                <c:pt idx="5">
                  <c:v>Automobiles</c:v>
                </c:pt>
                <c:pt idx="6">
                  <c:v>Cement &amp; Cement Products</c:v>
                </c:pt>
                <c:pt idx="7">
                  <c:v>Retailing</c:v>
                </c:pt>
                <c:pt idx="8">
                  <c:v>Chemicals &amp; Petrochemicals</c:v>
                </c:pt>
                <c:pt idx="9">
                  <c:v>Telecom - Services</c:v>
                </c:pt>
                <c:pt idx="10">
                  <c:v>Construction</c:v>
                </c:pt>
                <c:pt idx="11">
                  <c:v>Consumer Durables</c:v>
                </c:pt>
                <c:pt idx="12">
                  <c:v>Aerospace &amp; Defense</c:v>
                </c:pt>
                <c:pt idx="13">
                  <c:v>Diversified</c:v>
                </c:pt>
                <c:pt idx="14">
                  <c:v>Diversified FMCG</c:v>
                </c:pt>
                <c:pt idx="15">
                  <c:v>Beverages</c:v>
                </c:pt>
                <c:pt idx="16">
                  <c:v>Leisure Services</c:v>
                </c:pt>
                <c:pt idx="17">
                  <c:v>Transport Services</c:v>
                </c:pt>
                <c:pt idx="18">
                  <c:v>Textiles &amp; Apparels</c:v>
                </c:pt>
                <c:pt idx="19">
                  <c:v>Healthcare Services</c:v>
                </c:pt>
                <c:pt idx="20">
                  <c:v>Pharmaceuticals &amp; Biotechnology</c:v>
                </c:pt>
                <c:pt idx="21">
                  <c:v>Paper, Forest &amp; Jute Products</c:v>
                </c:pt>
                <c:pt idx="22">
                  <c:v>Food Products</c:v>
                </c:pt>
                <c:pt idx="23">
                  <c:v>Electrical Equipment</c:v>
                </c:pt>
                <c:pt idx="24">
                  <c:v>Realty</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DA0-42A2-8C15-D73123B07794}"/>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EBF'!$W$8:$W$43</c:f>
              <c:strCache>
                <c:ptCount val="36"/>
                <c:pt idx="0">
                  <c:v>Industrial Products</c:v>
                </c:pt>
                <c:pt idx="1">
                  <c:v>Consumer Durables</c:v>
                </c:pt>
                <c:pt idx="2">
                  <c:v>Auto Components</c:v>
                </c:pt>
                <c:pt idx="3">
                  <c:v>Finance</c:v>
                </c:pt>
                <c:pt idx="4">
                  <c:v>Leisure Services</c:v>
                </c:pt>
                <c:pt idx="5">
                  <c:v>Banks</c:v>
                </c:pt>
                <c:pt idx="6">
                  <c:v>Capital Markets</c:v>
                </c:pt>
                <c:pt idx="7">
                  <c:v>Cement &amp; Cement Products</c:v>
                </c:pt>
                <c:pt idx="8">
                  <c:v>Retailing</c:v>
                </c:pt>
                <c:pt idx="9">
                  <c:v>Healthcare Services</c:v>
                </c:pt>
                <c:pt idx="10">
                  <c:v>IT - Software</c:v>
                </c:pt>
                <c:pt idx="11">
                  <c:v>Beverages</c:v>
                </c:pt>
                <c:pt idx="12">
                  <c:v>Transport Services</c:v>
                </c:pt>
                <c:pt idx="13">
                  <c:v>Chemicals &amp; Petrochemicals</c:v>
                </c:pt>
                <c:pt idx="14">
                  <c:v>Food Products</c:v>
                </c:pt>
                <c:pt idx="15">
                  <c:v>Agricultural Food &amp; other Products</c:v>
                </c:pt>
                <c:pt idx="16">
                  <c:v>Realty</c:v>
                </c:pt>
                <c:pt idx="17">
                  <c:v>Power</c:v>
                </c:pt>
                <c:pt idx="18">
                  <c:v>Commercial Services &amp; Supplies</c:v>
                </c:pt>
                <c:pt idx="19">
                  <c:v>Pharmaceuticals &amp; Biotechnology</c:v>
                </c:pt>
                <c:pt idx="20">
                  <c:v>IT - Services</c:v>
                </c:pt>
                <c:pt idx="21">
                  <c:v>Aerospace &amp; Defense</c:v>
                </c:pt>
                <c:pt idx="22">
                  <c:v>Industrial Manufacturing</c:v>
                </c:pt>
                <c:pt idx="23">
                  <c:v>Textiles &amp; Apparels</c:v>
                </c:pt>
                <c:pt idx="24">
                  <c:v>Petroleum Products</c:v>
                </c:pt>
                <c:pt idx="25">
                  <c:v>Cigarettes &amp; Tobacco Products</c:v>
                </c:pt>
                <c:pt idx="26">
                  <c:v>Diversified</c:v>
                </c:pt>
                <c:pt idx="27">
                  <c:v>Gas</c:v>
                </c:pt>
                <c:pt idx="28">
                  <c:v>Fertilizers &amp; Agrochemicals</c:v>
                </c:pt>
                <c:pt idx="29">
                  <c:v>Construction</c:v>
                </c:pt>
                <c:pt idx="30">
                  <c:v>Electrical Equipment</c:v>
                </c:pt>
                <c:pt idx="31">
                  <c:v>Insurance</c:v>
                </c:pt>
                <c:pt idx="32">
                  <c:v>Personal Products</c:v>
                </c:pt>
                <c:pt idx="33">
                  <c:v>Entertainment</c:v>
                </c:pt>
                <c:pt idx="34">
                  <c:v>Ferrous Metals</c:v>
                </c:pt>
                <c:pt idx="35">
                  <c:v>Automobiles</c:v>
                </c:pt>
              </c:strCache>
            </c:strRef>
          </c:cat>
          <c:val>
            <c:numRef>
              <c:f>'BANDHAN EBF'!$X$8:$X$43</c:f>
              <c:numCache>
                <c:formatCode>0.00%</c:formatCode>
                <c:ptCount val="36"/>
                <c:pt idx="0">
                  <c:v>9.1592000000000007E-2</c:v>
                </c:pt>
                <c:pt idx="1">
                  <c:v>9.0438999999999992E-2</c:v>
                </c:pt>
                <c:pt idx="2">
                  <c:v>6.7603999999999997E-2</c:v>
                </c:pt>
                <c:pt idx="3">
                  <c:v>5.9996999999999995E-2</c:v>
                </c:pt>
                <c:pt idx="4">
                  <c:v>5.1057999999999999E-2</c:v>
                </c:pt>
                <c:pt idx="5">
                  <c:v>5.0892E-2</c:v>
                </c:pt>
                <c:pt idx="6">
                  <c:v>4.2359000000000001E-2</c:v>
                </c:pt>
                <c:pt idx="7">
                  <c:v>4.2219E-2</c:v>
                </c:pt>
                <c:pt idx="8">
                  <c:v>3.4138000000000002E-2</c:v>
                </c:pt>
                <c:pt idx="9">
                  <c:v>3.1265000000000001E-2</c:v>
                </c:pt>
                <c:pt idx="10">
                  <c:v>3.0721999999999999E-2</c:v>
                </c:pt>
                <c:pt idx="11">
                  <c:v>3.0203000000000001E-2</c:v>
                </c:pt>
                <c:pt idx="12">
                  <c:v>2.9283E-2</c:v>
                </c:pt>
                <c:pt idx="13">
                  <c:v>2.4964E-2</c:v>
                </c:pt>
                <c:pt idx="14">
                  <c:v>2.2265E-2</c:v>
                </c:pt>
                <c:pt idx="15">
                  <c:v>2.2081E-2</c:v>
                </c:pt>
                <c:pt idx="16">
                  <c:v>2.0400000000000001E-2</c:v>
                </c:pt>
                <c:pt idx="17">
                  <c:v>1.8926999999999999E-2</c:v>
                </c:pt>
                <c:pt idx="18">
                  <c:v>1.8120000000000001E-2</c:v>
                </c:pt>
                <c:pt idx="19">
                  <c:v>1.7859E-2</c:v>
                </c:pt>
                <c:pt idx="20">
                  <c:v>1.6965000000000001E-2</c:v>
                </c:pt>
                <c:pt idx="21">
                  <c:v>1.6222E-2</c:v>
                </c:pt>
                <c:pt idx="22">
                  <c:v>1.5374000000000001E-2</c:v>
                </c:pt>
                <c:pt idx="23">
                  <c:v>1.4044000000000001E-2</c:v>
                </c:pt>
                <c:pt idx="24">
                  <c:v>1.086E-2</c:v>
                </c:pt>
                <c:pt idx="25">
                  <c:v>1.0014E-2</c:v>
                </c:pt>
                <c:pt idx="26">
                  <c:v>9.7520000000000003E-3</c:v>
                </c:pt>
                <c:pt idx="27">
                  <c:v>9.0030000000000006E-3</c:v>
                </c:pt>
                <c:pt idx="28">
                  <c:v>8.8849999999999988E-3</c:v>
                </c:pt>
                <c:pt idx="29">
                  <c:v>8.515E-3</c:v>
                </c:pt>
                <c:pt idx="30">
                  <c:v>5.9820000000000003E-3</c:v>
                </c:pt>
                <c:pt idx="31">
                  <c:v>5.2750000000000002E-3</c:v>
                </c:pt>
                <c:pt idx="32">
                  <c:v>5.2119999999999996E-3</c:v>
                </c:pt>
                <c:pt idx="33">
                  <c:v>4.8539999999999998E-3</c:v>
                </c:pt>
                <c:pt idx="34">
                  <c:v>1.5E-3</c:v>
                </c:pt>
                <c:pt idx="35">
                  <c:v>7.18E-4</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May 2023)</c:v>
                </c:pt>
              </c:strCache>
            </c:strRef>
          </c:tx>
          <c:invertIfNegative val="0"/>
          <c:cat>
            <c:strRef>
              <c:f>'BANDHAN EBF'!$W$8:$W$43</c:f>
              <c:strCache>
                <c:ptCount val="36"/>
                <c:pt idx="0">
                  <c:v>Industrial Products</c:v>
                </c:pt>
                <c:pt idx="1">
                  <c:v>Consumer Durables</c:v>
                </c:pt>
                <c:pt idx="2">
                  <c:v>Auto Components</c:v>
                </c:pt>
                <c:pt idx="3">
                  <c:v>Finance</c:v>
                </c:pt>
                <c:pt idx="4">
                  <c:v>Leisure Services</c:v>
                </c:pt>
                <c:pt idx="5">
                  <c:v>Banks</c:v>
                </c:pt>
                <c:pt idx="6">
                  <c:v>Capital Markets</c:v>
                </c:pt>
                <c:pt idx="7">
                  <c:v>Cement &amp; Cement Products</c:v>
                </c:pt>
                <c:pt idx="8">
                  <c:v>Retailing</c:v>
                </c:pt>
                <c:pt idx="9">
                  <c:v>Healthcare Services</c:v>
                </c:pt>
                <c:pt idx="10">
                  <c:v>IT - Software</c:v>
                </c:pt>
                <c:pt idx="11">
                  <c:v>Beverages</c:v>
                </c:pt>
                <c:pt idx="12">
                  <c:v>Transport Services</c:v>
                </c:pt>
                <c:pt idx="13">
                  <c:v>Chemicals &amp; Petrochemicals</c:v>
                </c:pt>
                <c:pt idx="14">
                  <c:v>Food Products</c:v>
                </c:pt>
                <c:pt idx="15">
                  <c:v>Agricultural Food &amp; other Products</c:v>
                </c:pt>
                <c:pt idx="16">
                  <c:v>Realty</c:v>
                </c:pt>
                <c:pt idx="17">
                  <c:v>Power</c:v>
                </c:pt>
                <c:pt idx="18">
                  <c:v>Commercial Services &amp; Supplies</c:v>
                </c:pt>
                <c:pt idx="19">
                  <c:v>Pharmaceuticals &amp; Biotechnology</c:v>
                </c:pt>
                <c:pt idx="20">
                  <c:v>IT - Services</c:v>
                </c:pt>
                <c:pt idx="21">
                  <c:v>Aerospace &amp; Defense</c:v>
                </c:pt>
                <c:pt idx="22">
                  <c:v>Industrial Manufacturing</c:v>
                </c:pt>
                <c:pt idx="23">
                  <c:v>Textiles &amp; Apparels</c:v>
                </c:pt>
                <c:pt idx="24">
                  <c:v>Petroleum Products</c:v>
                </c:pt>
                <c:pt idx="25">
                  <c:v>Cigarettes &amp; Tobacco Products</c:v>
                </c:pt>
                <c:pt idx="26">
                  <c:v>Diversified</c:v>
                </c:pt>
                <c:pt idx="27">
                  <c:v>Gas</c:v>
                </c:pt>
                <c:pt idx="28">
                  <c:v>Fertilizers &amp; Agrochemicals</c:v>
                </c:pt>
                <c:pt idx="29">
                  <c:v>Construction</c:v>
                </c:pt>
                <c:pt idx="30">
                  <c:v>Electrical Equipment</c:v>
                </c:pt>
                <c:pt idx="31">
                  <c:v>Insurance</c:v>
                </c:pt>
                <c:pt idx="32">
                  <c:v>Personal Products</c:v>
                </c:pt>
                <c:pt idx="33">
                  <c:v>Entertainment</c:v>
                </c:pt>
                <c:pt idx="34">
                  <c:v>Ferrous Metals</c:v>
                </c:pt>
                <c:pt idx="35">
                  <c:v>Automobiles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May 2023)</c:v>
                </c:pt>
              </c:strCache>
            </c:strRef>
          </c:tx>
          <c:invertIfNegative val="0"/>
          <c:cat>
            <c:strRef>
              <c:f>'BANDHAN EBF'!$W$8:$W$43</c:f>
              <c:strCache>
                <c:ptCount val="36"/>
                <c:pt idx="0">
                  <c:v>Industrial Products</c:v>
                </c:pt>
                <c:pt idx="1">
                  <c:v>Consumer Durables</c:v>
                </c:pt>
                <c:pt idx="2">
                  <c:v>Auto Components</c:v>
                </c:pt>
                <c:pt idx="3">
                  <c:v>Finance</c:v>
                </c:pt>
                <c:pt idx="4">
                  <c:v>Leisure Services</c:v>
                </c:pt>
                <c:pt idx="5">
                  <c:v>Banks</c:v>
                </c:pt>
                <c:pt idx="6">
                  <c:v>Capital Markets</c:v>
                </c:pt>
                <c:pt idx="7">
                  <c:v>Cement &amp; Cement Products</c:v>
                </c:pt>
                <c:pt idx="8">
                  <c:v>Retailing</c:v>
                </c:pt>
                <c:pt idx="9">
                  <c:v>Healthcare Services</c:v>
                </c:pt>
                <c:pt idx="10">
                  <c:v>IT - Software</c:v>
                </c:pt>
                <c:pt idx="11">
                  <c:v>Beverages</c:v>
                </c:pt>
                <c:pt idx="12">
                  <c:v>Transport Services</c:v>
                </c:pt>
                <c:pt idx="13">
                  <c:v>Chemicals &amp; Petrochemicals</c:v>
                </c:pt>
                <c:pt idx="14">
                  <c:v>Food Products</c:v>
                </c:pt>
                <c:pt idx="15">
                  <c:v>Agricultural Food &amp; other Products</c:v>
                </c:pt>
                <c:pt idx="16">
                  <c:v>Realty</c:v>
                </c:pt>
                <c:pt idx="17">
                  <c:v>Power</c:v>
                </c:pt>
                <c:pt idx="18">
                  <c:v>Commercial Services &amp; Supplies</c:v>
                </c:pt>
                <c:pt idx="19">
                  <c:v>Pharmaceuticals &amp; Biotechnology</c:v>
                </c:pt>
                <c:pt idx="20">
                  <c:v>IT - Services</c:v>
                </c:pt>
                <c:pt idx="21">
                  <c:v>Aerospace &amp; Defense</c:v>
                </c:pt>
                <c:pt idx="22">
                  <c:v>Industrial Manufacturing</c:v>
                </c:pt>
                <c:pt idx="23">
                  <c:v>Textiles &amp; Apparels</c:v>
                </c:pt>
                <c:pt idx="24">
                  <c:v>Petroleum Products</c:v>
                </c:pt>
                <c:pt idx="25">
                  <c:v>Cigarettes &amp; Tobacco Products</c:v>
                </c:pt>
                <c:pt idx="26">
                  <c:v>Diversified</c:v>
                </c:pt>
                <c:pt idx="27">
                  <c:v>Gas</c:v>
                </c:pt>
                <c:pt idx="28">
                  <c:v>Fertilizers &amp; Agrochemicals</c:v>
                </c:pt>
                <c:pt idx="29">
                  <c:v>Construction</c:v>
                </c:pt>
                <c:pt idx="30">
                  <c:v>Electrical Equipment</c:v>
                </c:pt>
                <c:pt idx="31">
                  <c:v>Insurance</c:v>
                </c:pt>
                <c:pt idx="32">
                  <c:v>Personal Products</c:v>
                </c:pt>
                <c:pt idx="33">
                  <c:v>Entertainment</c:v>
                </c:pt>
                <c:pt idx="34">
                  <c:v>Ferrous Metals</c:v>
                </c:pt>
                <c:pt idx="35">
                  <c:v>Automobiles</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IF'!$W$8:$W$21</c:f>
              <c:strCache>
                <c:ptCount val="14"/>
                <c:pt idx="0">
                  <c:v>Construction</c:v>
                </c:pt>
                <c:pt idx="1">
                  <c:v>Cement &amp; Cement Products</c:v>
                </c:pt>
                <c:pt idx="2">
                  <c:v>Electrical Equipment</c:v>
                </c:pt>
                <c:pt idx="3">
                  <c:v>Transport Services</c:v>
                </c:pt>
                <c:pt idx="4">
                  <c:v>Industrial Products</c:v>
                </c:pt>
                <c:pt idx="5">
                  <c:v>Telecom - Services</c:v>
                </c:pt>
                <c:pt idx="6">
                  <c:v>Gas</c:v>
                </c:pt>
                <c:pt idx="7">
                  <c:v>Aerospace &amp; Defense</c:v>
                </c:pt>
                <c:pt idx="8">
                  <c:v>Ferrous Metals</c:v>
                </c:pt>
                <c:pt idx="9">
                  <c:v>Power</c:v>
                </c:pt>
                <c:pt idx="10">
                  <c:v>Realty</c:v>
                </c:pt>
                <c:pt idx="11">
                  <c:v>Petroleum Products</c:v>
                </c:pt>
                <c:pt idx="12">
                  <c:v>Non - Ferrous Metals</c:v>
                </c:pt>
                <c:pt idx="13">
                  <c:v>Paper, Forest &amp; Jute Products</c:v>
                </c:pt>
              </c:strCache>
            </c:strRef>
          </c:cat>
          <c:val>
            <c:numRef>
              <c:f>'BANDHAN IF'!$X$8:$X$21</c:f>
              <c:numCache>
                <c:formatCode>0.00%</c:formatCode>
                <c:ptCount val="14"/>
                <c:pt idx="0">
                  <c:v>0.29333300000000001</c:v>
                </c:pt>
                <c:pt idx="1">
                  <c:v>0.15700600000000001</c:v>
                </c:pt>
                <c:pt idx="2">
                  <c:v>9.7542999999999991E-2</c:v>
                </c:pt>
                <c:pt idx="3">
                  <c:v>9.3490999999999991E-2</c:v>
                </c:pt>
                <c:pt idx="4">
                  <c:v>7.9008999999999996E-2</c:v>
                </c:pt>
                <c:pt idx="5">
                  <c:v>5.2659000000000004E-2</c:v>
                </c:pt>
                <c:pt idx="6">
                  <c:v>5.1239999999999994E-2</c:v>
                </c:pt>
                <c:pt idx="7">
                  <c:v>4.3535999999999998E-2</c:v>
                </c:pt>
                <c:pt idx="8">
                  <c:v>4.3174000000000004E-2</c:v>
                </c:pt>
                <c:pt idx="9">
                  <c:v>3.5577999999999999E-2</c:v>
                </c:pt>
                <c:pt idx="10">
                  <c:v>1.3053E-2</c:v>
                </c:pt>
                <c:pt idx="11">
                  <c:v>9.502E-3</c:v>
                </c:pt>
                <c:pt idx="12">
                  <c:v>8.3379999999999999E-3</c:v>
                </c:pt>
                <c:pt idx="13">
                  <c:v>7.8530000000000006E-3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TLF'!$W$8:$W$12</c:f>
              <c:strCache>
                <c:ptCount val="5"/>
                <c:pt idx="0">
                  <c:v>Automobiles</c:v>
                </c:pt>
                <c:pt idx="1">
                  <c:v>Auto Components</c:v>
                </c:pt>
                <c:pt idx="2">
                  <c:v>Transport Services</c:v>
                </c:pt>
                <c:pt idx="3">
                  <c:v>Agricultural, Commercial &amp; Construction Vehicles</c:v>
                </c:pt>
                <c:pt idx="4">
                  <c:v>Industrial Products</c:v>
                </c:pt>
              </c:strCache>
            </c:strRef>
          </c:cat>
          <c:val>
            <c:numRef>
              <c:f>'BANDHAN TLF'!$X$8:$X$12</c:f>
              <c:numCache>
                <c:formatCode>0.00%</c:formatCode>
                <c:ptCount val="5"/>
                <c:pt idx="0">
                  <c:v>0.35213500000000003</c:v>
                </c:pt>
                <c:pt idx="1">
                  <c:v>0.330621</c:v>
                </c:pt>
                <c:pt idx="2">
                  <c:v>0.13781599999999999</c:v>
                </c:pt>
                <c:pt idx="3">
                  <c:v>5.6488999999999998E-2</c:v>
                </c:pt>
                <c:pt idx="4">
                  <c:v>1.4285000000000001E-2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'BANDHAN-TAF'!$W$8:$W$31</c:f>
              <c:strCache>
                <c:ptCount val="24"/>
                <c:pt idx="0">
                  <c:v>Banks</c:v>
                </c:pt>
                <c:pt idx="1">
                  <c:v>IT - Software</c:v>
                </c:pt>
                <c:pt idx="2">
                  <c:v>Pharmaceuticals &amp; Biotechnology</c:v>
                </c:pt>
                <c:pt idx="3">
                  <c:v>Automobiles</c:v>
                </c:pt>
                <c:pt idx="4">
                  <c:v>Finance</c:v>
                </c:pt>
                <c:pt idx="5">
                  <c:v>Cement &amp; Cement Products</c:v>
                </c:pt>
                <c:pt idx="6">
                  <c:v>Electrical Equipment</c:v>
                </c:pt>
                <c:pt idx="7">
                  <c:v>Petroleum Products</c:v>
                </c:pt>
                <c:pt idx="8">
                  <c:v>Auto Components</c:v>
                </c:pt>
                <c:pt idx="9">
                  <c:v>Construction</c:v>
                </c:pt>
                <c:pt idx="10">
                  <c:v>Transport Services</c:v>
                </c:pt>
                <c:pt idx="11">
                  <c:v>Industrial Products</c:v>
                </c:pt>
                <c:pt idx="12">
                  <c:v>Chemicals &amp; Petrochemicals</c:v>
                </c:pt>
                <c:pt idx="13">
                  <c:v>Leisure Services</c:v>
                </c:pt>
                <c:pt idx="14">
                  <c:v>Ferrous Metals</c:v>
                </c:pt>
                <c:pt idx="15">
                  <c:v>Beverages</c:v>
                </c:pt>
                <c:pt idx="16">
                  <c:v>Insurance</c:v>
                </c:pt>
                <c:pt idx="17">
                  <c:v>Telecom - Services</c:v>
                </c:pt>
                <c:pt idx="18">
                  <c:v>Consumer Durables</c:v>
                </c:pt>
                <c:pt idx="19">
                  <c:v>Power</c:v>
                </c:pt>
                <c:pt idx="20">
                  <c:v>Diversified FMCG</c:v>
                </c:pt>
                <c:pt idx="21">
                  <c:v>Agricultural Food &amp; other Products</c:v>
                </c:pt>
                <c:pt idx="22">
                  <c:v>Retailing</c:v>
                </c:pt>
                <c:pt idx="23">
                  <c:v>Food Products</c:v>
                </c:pt>
              </c:strCache>
            </c:strRef>
          </c:cat>
          <c:val>
            <c:numRef>
              <c:f>'BANDHAN-TAF'!$X$8:$X$31</c:f>
              <c:numCache>
                <c:formatCode>0.00%</c:formatCode>
                <c:ptCount val="24"/>
                <c:pt idx="0">
                  <c:v>0.18696000000000002</c:v>
                </c:pt>
                <c:pt idx="1">
                  <c:v>8.6331000000000005E-2</c:v>
                </c:pt>
                <c:pt idx="2">
                  <c:v>6.4410000000000009E-2</c:v>
                </c:pt>
                <c:pt idx="3">
                  <c:v>5.3109000000000003E-2</c:v>
                </c:pt>
                <c:pt idx="4">
                  <c:v>5.2017999999999995E-2</c:v>
                </c:pt>
                <c:pt idx="5">
                  <c:v>4.2151000000000001E-2</c:v>
                </c:pt>
                <c:pt idx="6">
                  <c:v>4.2132000000000003E-2</c:v>
                </c:pt>
                <c:pt idx="7">
                  <c:v>3.9239999999999997E-2</c:v>
                </c:pt>
                <c:pt idx="8">
                  <c:v>3.8148000000000001E-2</c:v>
                </c:pt>
                <c:pt idx="9">
                  <c:v>3.5154999999999999E-2</c:v>
                </c:pt>
                <c:pt idx="10">
                  <c:v>3.4447000000000005E-2</c:v>
                </c:pt>
                <c:pt idx="11">
                  <c:v>3.1307000000000001E-2</c:v>
                </c:pt>
                <c:pt idx="12">
                  <c:v>3.0793000000000001E-2</c:v>
                </c:pt>
                <c:pt idx="13">
                  <c:v>3.0012999999999998E-2</c:v>
                </c:pt>
                <c:pt idx="14">
                  <c:v>2.9666999999999999E-2</c:v>
                </c:pt>
                <c:pt idx="15">
                  <c:v>2.7134999999999999E-2</c:v>
                </c:pt>
                <c:pt idx="16">
                  <c:v>2.6575000000000001E-2</c:v>
                </c:pt>
                <c:pt idx="17">
                  <c:v>2.4677000000000001E-2</c:v>
                </c:pt>
                <c:pt idx="18">
                  <c:v>1.8173999999999999E-2</c:v>
                </c:pt>
                <c:pt idx="19">
                  <c:v>1.4095999999999999E-2</c:v>
                </c:pt>
                <c:pt idx="20">
                  <c:v>1.2203E-2</c:v>
                </c:pt>
                <c:pt idx="21">
                  <c:v>1.1376000000000001E-2</c:v>
                </c:pt>
                <c:pt idx="22">
                  <c:v>7.607E-3</c:v>
                </c:pt>
                <c:pt idx="23">
                  <c:v>6.3309999999999998E-3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0.72777400000000003</c:v>
                </c:pt>
                <c:pt idx="1">
                  <c:v>0.27222599999999997</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Finance</c:v>
                </c:pt>
                <c:pt idx="2">
                  <c:v>IT - Software</c:v>
                </c:pt>
                <c:pt idx="3">
                  <c:v>Automobiles</c:v>
                </c:pt>
                <c:pt idx="4">
                  <c:v>Auto Components</c:v>
                </c:pt>
                <c:pt idx="5">
                  <c:v>Chemicals &amp; Petrochemicals</c:v>
                </c:pt>
                <c:pt idx="6">
                  <c:v>Telecom - Services</c:v>
                </c:pt>
                <c:pt idx="7">
                  <c:v>Retailing</c:v>
                </c:pt>
                <c:pt idx="8">
                  <c:v>Industrial Products</c:v>
                </c:pt>
                <c:pt idx="9">
                  <c:v>Consumer Durables</c:v>
                </c:pt>
                <c:pt idx="10">
                  <c:v>Diversified FMCG</c:v>
                </c:pt>
                <c:pt idx="11">
                  <c:v>Cement &amp; Cement Products</c:v>
                </c:pt>
                <c:pt idx="12">
                  <c:v>Healthcare Services</c:v>
                </c:pt>
                <c:pt idx="13">
                  <c:v>Aerospace &amp; Defense</c:v>
                </c:pt>
                <c:pt idx="14">
                  <c:v>Electrical Equipment</c:v>
                </c:pt>
                <c:pt idx="15">
                  <c:v>Food Products</c:v>
                </c:pt>
              </c:strCache>
            </c:strRef>
          </c:cat>
          <c:val>
            <c:numRef>
              <c:f>'BANDHAN BAF'!$X$8:$X$23</c:f>
              <c:numCache>
                <c:formatCode>0.00%</c:formatCode>
                <c:ptCount val="16"/>
                <c:pt idx="0">
                  <c:v>0.114139</c:v>
                </c:pt>
                <c:pt idx="1">
                  <c:v>7.1875999999999995E-2</c:v>
                </c:pt>
                <c:pt idx="2">
                  <c:v>6.6003999999999993E-2</c:v>
                </c:pt>
                <c:pt idx="3">
                  <c:v>5.4947999999999997E-2</c:v>
                </c:pt>
                <c:pt idx="4">
                  <c:v>4.7836000000000004E-2</c:v>
                </c:pt>
                <c:pt idx="5">
                  <c:v>3.1433000000000003E-2</c:v>
                </c:pt>
                <c:pt idx="6">
                  <c:v>2.4461E-2</c:v>
                </c:pt>
                <c:pt idx="7">
                  <c:v>2.2715999999999997E-2</c:v>
                </c:pt>
                <c:pt idx="8">
                  <c:v>1.8811000000000001E-2</c:v>
                </c:pt>
                <c:pt idx="9">
                  <c:v>1.5445E-2</c:v>
                </c:pt>
                <c:pt idx="10">
                  <c:v>1.3717999999999999E-2</c:v>
                </c:pt>
                <c:pt idx="11">
                  <c:v>1.3314999999999999E-2</c:v>
                </c:pt>
                <c:pt idx="12">
                  <c:v>1.2736000000000001E-2</c:v>
                </c:pt>
                <c:pt idx="13">
                  <c:v>9.3540000000000012E-3</c:v>
                </c:pt>
                <c:pt idx="14">
                  <c:v>7.1599999999999997E-3</c:v>
                </c:pt>
                <c:pt idx="15">
                  <c:v>6.4879999999999998E-3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BAF'!$W$8:$W$24</c:f>
              <c:strCache>
                <c:ptCount val="17"/>
                <c:pt idx="0">
                  <c:v>Banks</c:v>
                </c:pt>
                <c:pt idx="1">
                  <c:v>Finance</c:v>
                </c:pt>
                <c:pt idx="2">
                  <c:v>IT - Software</c:v>
                </c:pt>
                <c:pt idx="3">
                  <c:v>Automobiles</c:v>
                </c:pt>
                <c:pt idx="4">
                  <c:v>Auto Components</c:v>
                </c:pt>
                <c:pt idx="5">
                  <c:v>Chemicals &amp; Petrochemicals</c:v>
                </c:pt>
                <c:pt idx="6">
                  <c:v>Telecom - Services</c:v>
                </c:pt>
                <c:pt idx="7">
                  <c:v>Retailing</c:v>
                </c:pt>
                <c:pt idx="8">
                  <c:v>Industrial Products</c:v>
                </c:pt>
                <c:pt idx="9">
                  <c:v>Consumer Durables</c:v>
                </c:pt>
                <c:pt idx="10">
                  <c:v>Diversified FMCG</c:v>
                </c:pt>
                <c:pt idx="11">
                  <c:v>Cement &amp; Cement Products</c:v>
                </c:pt>
                <c:pt idx="12">
                  <c:v>Healthcare Services</c:v>
                </c:pt>
                <c:pt idx="13">
                  <c:v>Aerospace &amp; Defense</c:v>
                </c:pt>
                <c:pt idx="14">
                  <c:v>Electrical Equipment</c:v>
                </c:pt>
                <c:pt idx="15">
                  <c:v>Food Products</c:v>
                </c:pt>
                <c:pt idx="16">
                  <c:v>Beverages</c:v>
                </c:pt>
              </c:strCache>
            </c:strRef>
          </c:cat>
          <c:val>
            <c:numRef>
              <c:f>'BANDHAN BAF'!$X$8:$X$24</c:f>
              <c:numCache>
                <c:formatCode>0.00%</c:formatCode>
                <c:ptCount val="17"/>
                <c:pt idx="0">
                  <c:v>0.114139</c:v>
                </c:pt>
                <c:pt idx="1">
                  <c:v>7.1875999999999995E-2</c:v>
                </c:pt>
                <c:pt idx="2">
                  <c:v>6.6003999999999993E-2</c:v>
                </c:pt>
                <c:pt idx="3">
                  <c:v>5.4947999999999997E-2</c:v>
                </c:pt>
                <c:pt idx="4">
                  <c:v>4.7836000000000004E-2</c:v>
                </c:pt>
                <c:pt idx="5">
                  <c:v>3.1433000000000003E-2</c:v>
                </c:pt>
                <c:pt idx="6">
                  <c:v>2.4461E-2</c:v>
                </c:pt>
                <c:pt idx="7">
                  <c:v>2.2715999999999997E-2</c:v>
                </c:pt>
                <c:pt idx="8">
                  <c:v>1.8811000000000001E-2</c:v>
                </c:pt>
                <c:pt idx="9">
                  <c:v>1.5445E-2</c:v>
                </c:pt>
                <c:pt idx="10">
                  <c:v>1.3717999999999999E-2</c:v>
                </c:pt>
                <c:pt idx="11">
                  <c:v>1.3314999999999999E-2</c:v>
                </c:pt>
                <c:pt idx="12">
                  <c:v>1.2736000000000001E-2</c:v>
                </c:pt>
                <c:pt idx="13">
                  <c:v>9.3540000000000012E-3</c:v>
                </c:pt>
                <c:pt idx="14">
                  <c:v>7.1599999999999997E-3</c:v>
                </c:pt>
                <c:pt idx="15">
                  <c:v>6.4879999999999998E-3</c:v>
                </c:pt>
                <c:pt idx="16">
                  <c:v>5.7769999999999991E-3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BAF'!$W$8:$W$31</c:f>
              <c:strCache>
                <c:ptCount val="24"/>
                <c:pt idx="0">
                  <c:v>Banks</c:v>
                </c:pt>
                <c:pt idx="1">
                  <c:v>Finance</c:v>
                </c:pt>
                <c:pt idx="2">
                  <c:v>IT - Software</c:v>
                </c:pt>
                <c:pt idx="3">
                  <c:v>Automobiles</c:v>
                </c:pt>
                <c:pt idx="4">
                  <c:v>Auto Components</c:v>
                </c:pt>
                <c:pt idx="5">
                  <c:v>Chemicals &amp; Petrochemicals</c:v>
                </c:pt>
                <c:pt idx="6">
                  <c:v>Telecom - Services</c:v>
                </c:pt>
                <c:pt idx="7">
                  <c:v>Retailing</c:v>
                </c:pt>
                <c:pt idx="8">
                  <c:v>Industrial Products</c:v>
                </c:pt>
                <c:pt idx="9">
                  <c:v>Consumer Durables</c:v>
                </c:pt>
                <c:pt idx="10">
                  <c:v>Diversified FMCG</c:v>
                </c:pt>
                <c:pt idx="11">
                  <c:v>Cement &amp; Cement Products</c:v>
                </c:pt>
                <c:pt idx="12">
                  <c:v>Healthcare Services</c:v>
                </c:pt>
                <c:pt idx="13">
                  <c:v>Aerospace &amp; Defense</c:v>
                </c:pt>
                <c:pt idx="14">
                  <c:v>Electrical Equipment</c:v>
                </c:pt>
                <c:pt idx="15">
                  <c:v>Food Products</c:v>
                </c:pt>
                <c:pt idx="16">
                  <c:v>Beverages</c:v>
                </c:pt>
                <c:pt idx="17">
                  <c:v>Fertilizers &amp; Agrochemicals</c:v>
                </c:pt>
                <c:pt idx="18">
                  <c:v>Textiles &amp; Apparels</c:v>
                </c:pt>
                <c:pt idx="19">
                  <c:v>Pharmaceuticals &amp; Biotechnology</c:v>
                </c:pt>
                <c:pt idx="20">
                  <c:v>Paper, Forest &amp; Jute Products</c:v>
                </c:pt>
                <c:pt idx="21">
                  <c:v>Personal Products</c:v>
                </c:pt>
                <c:pt idx="22">
                  <c:v>Realty</c:v>
                </c:pt>
                <c:pt idx="23">
                  <c:v>Petroleum Products</c:v>
                </c:pt>
              </c:strCache>
            </c:strRef>
          </c:cat>
          <c:val>
            <c:numRef>
              <c:f>'BANDHAN BAF'!$X$8:$X$31</c:f>
              <c:numCache>
                <c:formatCode>0.00%</c:formatCode>
                <c:ptCount val="24"/>
                <c:pt idx="0">
                  <c:v>0.114139</c:v>
                </c:pt>
                <c:pt idx="1">
                  <c:v>7.1875999999999995E-2</c:v>
                </c:pt>
                <c:pt idx="2">
                  <c:v>6.6003999999999993E-2</c:v>
                </c:pt>
                <c:pt idx="3">
                  <c:v>5.4947999999999997E-2</c:v>
                </c:pt>
                <c:pt idx="4">
                  <c:v>4.7836000000000004E-2</c:v>
                </c:pt>
                <c:pt idx="5">
                  <c:v>3.1433000000000003E-2</c:v>
                </c:pt>
                <c:pt idx="6">
                  <c:v>2.4461E-2</c:v>
                </c:pt>
                <c:pt idx="7">
                  <c:v>2.2715999999999997E-2</c:v>
                </c:pt>
                <c:pt idx="8">
                  <c:v>1.8811000000000001E-2</c:v>
                </c:pt>
                <c:pt idx="9">
                  <c:v>1.5445E-2</c:v>
                </c:pt>
                <c:pt idx="10">
                  <c:v>1.3717999999999999E-2</c:v>
                </c:pt>
                <c:pt idx="11">
                  <c:v>1.3314999999999999E-2</c:v>
                </c:pt>
                <c:pt idx="12">
                  <c:v>1.2736000000000001E-2</c:v>
                </c:pt>
                <c:pt idx="13">
                  <c:v>9.3540000000000012E-3</c:v>
                </c:pt>
                <c:pt idx="14">
                  <c:v>7.1599999999999997E-3</c:v>
                </c:pt>
                <c:pt idx="15">
                  <c:v>6.4879999999999998E-3</c:v>
                </c:pt>
                <c:pt idx="16">
                  <c:v>5.7769999999999991E-3</c:v>
                </c:pt>
                <c:pt idx="17">
                  <c:v>5.5879999999999992E-3</c:v>
                </c:pt>
                <c:pt idx="18">
                  <c:v>5.0559999999999997E-3</c:v>
                </c:pt>
                <c:pt idx="19">
                  <c:v>4.79E-3</c:v>
                </c:pt>
                <c:pt idx="20">
                  <c:v>3.176E-3</c:v>
                </c:pt>
                <c:pt idx="21">
                  <c:v>1.8800000000000067E-4</c:v>
                </c:pt>
                <c:pt idx="22">
                  <c:v>-3.9999999999998804E-6</c:v>
                </c:pt>
                <c:pt idx="23">
                  <c:v>-2.3799999999999863E-4</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5.3260823193735977E-2"/>
                  <c:y val="4.924610602560274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0.35018303169768983"/>
                  <c:y val="-0.1609811045709047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'BANDHAN-ESF'!$J$9:$J$14</c:f>
              <c:strCache>
                <c:ptCount val="6"/>
                <c:pt idx="0">
                  <c:v>Net Equity </c:v>
                </c:pt>
                <c:pt idx="1">
                  <c:v>Net Current Asset</c:v>
                </c:pt>
                <c:pt idx="2">
                  <c:v>Arbitrage</c:v>
                </c:pt>
                <c:pt idx="3">
                  <c:v>Corporate Bond</c:v>
                </c:pt>
                <c:pt idx="5">
                  <c:v>Mutual Fund Units: Bandhan Cash Fund</c:v>
                </c:pt>
              </c:strCache>
            </c:strRef>
          </c:cat>
          <c:val>
            <c:numRef>
              <c:f>'BANDHAN-ESF'!$K$9:$K$14</c:f>
              <c:numCache>
                <c:formatCode>0.00%</c:formatCode>
                <c:ptCount val="6"/>
                <c:pt idx="0">
                  <c:v>0.22407699999999997</c:v>
                </c:pt>
                <c:pt idx="1">
                  <c:v>7.0396999999999932E-2</c:v>
                </c:pt>
                <c:pt idx="2">
                  <c:v>0.57745500000000005</c:v>
                </c:pt>
                <c:pt idx="3">
                  <c:v>3.4574000000000001E-2</c:v>
                </c:pt>
                <c:pt idx="5">
                  <c:v>9.3496999999999997E-2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53721684752644339"/>
                  <c:y val="0.6157175437763878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4.2424552856029807E-2"/>
                  <c:y val="0.1933926267638008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
                  <c:y val="0.126561591494914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8.0808672106723475E-2"/>
                  <c:y val="-3.095916008964183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1491931699492273"/>
                  <c:y val="-2.190042370975694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'BANDHAN-RSF'!$J$9:$J$13</c:f>
              <c:strCache>
                <c:ptCount val="5"/>
                <c:pt idx="0">
                  <c:v>Corporate Bond</c:v>
                </c:pt>
                <c:pt idx="1">
                  <c:v>Equity + Nifty ETF</c:v>
                </c:pt>
                <c:pt idx="2">
                  <c:v>Net Current Asset</c:v>
                </c:pt>
                <c:pt idx="3">
                  <c:v>Government Bond</c:v>
                </c:pt>
                <c:pt idx="4">
                  <c:v>State Government Bond</c:v>
                </c:pt>
              </c:strCache>
            </c:strRef>
          </c:cat>
          <c:val>
            <c:numRef>
              <c:f>'BANDHAN-RSF'!$K$9:$K$13</c:f>
              <c:numCache>
                <c:formatCode>0.00%</c:formatCode>
                <c:ptCount val="5"/>
                <c:pt idx="0">
                  <c:v>3.8086000000000002E-2</c:v>
                </c:pt>
                <c:pt idx="1">
                  <c:v>0.24467900000000001</c:v>
                </c:pt>
                <c:pt idx="2">
                  <c:v>9.4885999999999998E-2</c:v>
                </c:pt>
                <c:pt idx="3">
                  <c:v>0.55065299999999995</c:v>
                </c:pt>
                <c:pt idx="4">
                  <c:v>7.1695999999999996E-2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68545466653468845"/>
                  <c:y val="3.43749999999998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2">
                  <c:v>Certificate of Deposit</c:v>
                </c:pt>
                <c:pt idx="3">
                  <c:v>Net Current Asset</c:v>
                </c:pt>
                <c:pt idx="4">
                  <c:v>Government Bond</c:v>
                </c:pt>
              </c:strCache>
            </c:strRef>
          </c:cat>
          <c:val>
            <c:numRef>
              <c:f>'BANDHAN-HEF'!$K$9:$K$13</c:f>
              <c:numCache>
                <c:formatCode>0.00%</c:formatCode>
                <c:ptCount val="5"/>
                <c:pt idx="0">
                  <c:v>5.7983E-2</c:v>
                </c:pt>
                <c:pt idx="1">
                  <c:v>0.76889800000000008</c:v>
                </c:pt>
                <c:pt idx="2">
                  <c:v>7.9177999999999998E-2</c:v>
                </c:pt>
                <c:pt idx="3">
                  <c:v>2.0992E-2</c:v>
                </c:pt>
                <c:pt idx="4">
                  <c:v>7.2949000000000014E-2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'BANDHANAAF-AP'!$I$9:$I$11</c:f>
              <c:strCache>
                <c:ptCount val="3"/>
                <c:pt idx="0">
                  <c:v>Debt </c:v>
                </c:pt>
                <c:pt idx="1">
                  <c:v>Equity </c:v>
                </c:pt>
                <c:pt idx="2">
                  <c:v>Net Current Asset</c:v>
                </c:pt>
              </c:strCache>
            </c:strRef>
          </c:cat>
          <c:val>
            <c:numRef>
              <c:f>'BANDHANAAF-AP'!$J$9:$J$11</c:f>
              <c:numCache>
                <c:formatCode>0.00%</c:formatCode>
                <c:ptCount val="3"/>
                <c:pt idx="0">
                  <c:v>0.24429200000000001</c:v>
                </c:pt>
                <c:pt idx="1">
                  <c:v>0.74990999999999997</c:v>
                </c:pt>
                <c:pt idx="2">
                  <c:v>5.7980000000000254E-3</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0.49419600000000002</c:v>
                </c:pt>
                <c:pt idx="1">
                  <c:v>0.50214499999999995</c:v>
                </c:pt>
                <c:pt idx="2">
                  <c:v>3.6590000000000233E-3</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0.71679899999999996</c:v>
                </c:pt>
                <c:pt idx="1">
                  <c:v>0.27424799999999999</c:v>
                </c:pt>
                <c:pt idx="2">
                  <c:v>8.9529999999999887E-3</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Index'!$W$8:$W$30</c:f>
              <c:strCache>
                <c:ptCount val="23"/>
                <c:pt idx="0">
                  <c:v>Banks</c:v>
                </c:pt>
                <c:pt idx="1">
                  <c:v>IT - Software</c:v>
                </c:pt>
                <c:pt idx="2">
                  <c:v>Petroleum Products</c:v>
                </c:pt>
                <c:pt idx="3">
                  <c:v>Finance</c:v>
                </c:pt>
                <c:pt idx="4">
                  <c:v>Diversified FMCG</c:v>
                </c:pt>
                <c:pt idx="5">
                  <c:v>Automobiles</c:v>
                </c:pt>
                <c:pt idx="6">
                  <c:v>Construction</c:v>
                </c:pt>
                <c:pt idx="7">
                  <c:v>Consumer Durables</c:v>
                </c:pt>
                <c:pt idx="8">
                  <c:v>Pharmaceuticals &amp; Biotechnology</c:v>
                </c:pt>
                <c:pt idx="9">
                  <c:v>Telecom - Services</c:v>
                </c:pt>
                <c:pt idx="10">
                  <c:v>Power</c:v>
                </c:pt>
                <c:pt idx="11">
                  <c:v>Cement &amp; Cement Products</c:v>
                </c:pt>
                <c:pt idx="12">
                  <c:v>Ferrous Metals</c:v>
                </c:pt>
                <c:pt idx="13">
                  <c:v>Food Products</c:v>
                </c:pt>
                <c:pt idx="14">
                  <c:v>Insurance</c:v>
                </c:pt>
                <c:pt idx="15">
                  <c:v>Metals &amp; Minerals Trading</c:v>
                </c:pt>
                <c:pt idx="16">
                  <c:v>Oil</c:v>
                </c:pt>
                <c:pt idx="17">
                  <c:v>Non - Ferrous Metals</c:v>
                </c:pt>
                <c:pt idx="18">
                  <c:v>Transport Infrastructure</c:v>
                </c:pt>
                <c:pt idx="19">
                  <c:v>Consumable Fuels</c:v>
                </c:pt>
                <c:pt idx="20">
                  <c:v>Agricultural Food &amp; other Products</c:v>
                </c:pt>
                <c:pt idx="21">
                  <c:v>Healthcare Services</c:v>
                </c:pt>
                <c:pt idx="22">
                  <c:v>Fertilizers &amp; Agrochemicals</c:v>
                </c:pt>
              </c:strCache>
            </c:strRef>
          </c:cat>
          <c:val>
            <c:numRef>
              <c:f>'BANDHAN-NIFTY 50 Index'!$X$8:$X$30</c:f>
              <c:numCache>
                <c:formatCode>0.00%</c:formatCode>
                <c:ptCount val="23"/>
                <c:pt idx="0">
                  <c:v>0.27316400000000002</c:v>
                </c:pt>
                <c:pt idx="1">
                  <c:v>0.12981699999999999</c:v>
                </c:pt>
                <c:pt idx="2">
                  <c:v>0.106794</c:v>
                </c:pt>
                <c:pt idx="3">
                  <c:v>9.1225000000000001E-2</c:v>
                </c:pt>
                <c:pt idx="4">
                  <c:v>7.7445E-2</c:v>
                </c:pt>
                <c:pt idx="5">
                  <c:v>5.8047000000000001E-2</c:v>
                </c:pt>
                <c:pt idx="6">
                  <c:v>3.2723000000000002E-2</c:v>
                </c:pt>
                <c:pt idx="7">
                  <c:v>3.2120000000000003E-2</c:v>
                </c:pt>
                <c:pt idx="8">
                  <c:v>3.1161000000000001E-2</c:v>
                </c:pt>
                <c:pt idx="9">
                  <c:v>2.5590000000000002E-2</c:v>
                </c:pt>
                <c:pt idx="10">
                  <c:v>1.9952999999999999E-2</c:v>
                </c:pt>
                <c:pt idx="11">
                  <c:v>1.8929000000000001E-2</c:v>
                </c:pt>
                <c:pt idx="12">
                  <c:v>1.8539E-2</c:v>
                </c:pt>
                <c:pt idx="13">
                  <c:v>1.6232E-2</c:v>
                </c:pt>
                <c:pt idx="14">
                  <c:v>1.4016000000000001E-2</c:v>
                </c:pt>
                <c:pt idx="15">
                  <c:v>8.3739999999999995E-3</c:v>
                </c:pt>
                <c:pt idx="16">
                  <c:v>7.4120000000000002E-3</c:v>
                </c:pt>
                <c:pt idx="17">
                  <c:v>7.2760000000000003E-3</c:v>
                </c:pt>
                <c:pt idx="18">
                  <c:v>6.8560000000000001E-3</c:v>
                </c:pt>
                <c:pt idx="19">
                  <c:v>6.2040000000000003E-3</c:v>
                </c:pt>
                <c:pt idx="20">
                  <c:v>5.8279999999999998E-3</c:v>
                </c:pt>
                <c:pt idx="21">
                  <c:v>5.7060000000000001E-3</c:v>
                </c:pt>
                <c:pt idx="22">
                  <c:v>4.3550000000000004E-3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Finance</c:v>
                </c:pt>
                <c:pt idx="4">
                  <c:v>Diversified FMCG</c:v>
                </c:pt>
                <c:pt idx="5">
                  <c:v>Automobiles</c:v>
                </c:pt>
                <c:pt idx="6">
                  <c:v>Construction</c:v>
                </c:pt>
                <c:pt idx="7">
                  <c:v>Consumer Durables</c:v>
                </c:pt>
                <c:pt idx="8">
                  <c:v>Telecom - Services</c:v>
                </c:pt>
                <c:pt idx="9">
                  <c:v>Power</c:v>
                </c:pt>
                <c:pt idx="10">
                  <c:v>Pharmaceuticals &amp; Biotechnology</c:v>
                </c:pt>
                <c:pt idx="11">
                  <c:v>Cement &amp; Cement Products</c:v>
                </c:pt>
                <c:pt idx="12">
                  <c:v>Ferrous Metals</c:v>
                </c:pt>
                <c:pt idx="13">
                  <c:v>Food Products</c:v>
                </c:pt>
              </c:strCache>
            </c:strRef>
          </c:cat>
          <c:val>
            <c:numRef>
              <c:f>'BANDHAN- S&amp;P BSE SENSEX ETF'!$X$8:$X$21</c:f>
              <c:numCache>
                <c:formatCode>0.00%</c:formatCode>
                <c:ptCount val="14"/>
                <c:pt idx="0">
                  <c:v>0.30797400000000003</c:v>
                </c:pt>
                <c:pt idx="1">
                  <c:v>0.151031</c:v>
                </c:pt>
                <c:pt idx="2">
                  <c:v>0.118935</c:v>
                </c:pt>
                <c:pt idx="3">
                  <c:v>0.10472700000000001</c:v>
                </c:pt>
                <c:pt idx="4">
                  <c:v>8.7992999999999988E-2</c:v>
                </c:pt>
                <c:pt idx="5">
                  <c:v>4.7769000000000006E-2</c:v>
                </c:pt>
                <c:pt idx="6">
                  <c:v>3.7552000000000002E-2</c:v>
                </c:pt>
                <c:pt idx="7">
                  <c:v>3.7155999999999995E-2</c:v>
                </c:pt>
                <c:pt idx="8">
                  <c:v>3.0193999999999999E-2</c:v>
                </c:pt>
                <c:pt idx="9">
                  <c:v>2.2554999999999999E-2</c:v>
                </c:pt>
                <c:pt idx="10">
                  <c:v>1.5051999999999999E-2</c:v>
                </c:pt>
                <c:pt idx="11">
                  <c:v>1.2642E-2</c:v>
                </c:pt>
                <c:pt idx="12">
                  <c:v>1.2021E-2</c:v>
                </c:pt>
                <c:pt idx="13">
                  <c:v>9.2879999999999994E-3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ETF'!$W$8:$W$30</c:f>
              <c:strCache>
                <c:ptCount val="23"/>
                <c:pt idx="0">
                  <c:v>Banks</c:v>
                </c:pt>
                <c:pt idx="1">
                  <c:v>IT - Software</c:v>
                </c:pt>
                <c:pt idx="2">
                  <c:v>Petroleum Products</c:v>
                </c:pt>
                <c:pt idx="3">
                  <c:v>Finance</c:v>
                </c:pt>
                <c:pt idx="4">
                  <c:v>Diversified FMCG</c:v>
                </c:pt>
                <c:pt idx="5">
                  <c:v>Automobiles</c:v>
                </c:pt>
                <c:pt idx="6">
                  <c:v>Construction</c:v>
                </c:pt>
                <c:pt idx="7">
                  <c:v>Consumer Durables</c:v>
                </c:pt>
                <c:pt idx="8">
                  <c:v>Pharmaceuticals &amp; Biotechnology</c:v>
                </c:pt>
                <c:pt idx="9">
                  <c:v>Telecom - Services</c:v>
                </c:pt>
                <c:pt idx="10">
                  <c:v>Power</c:v>
                </c:pt>
                <c:pt idx="11">
                  <c:v>Cement &amp; Cement Products</c:v>
                </c:pt>
                <c:pt idx="12">
                  <c:v>Ferrous Metals</c:v>
                </c:pt>
                <c:pt idx="13">
                  <c:v>Food Products</c:v>
                </c:pt>
                <c:pt idx="14">
                  <c:v>Insurance</c:v>
                </c:pt>
                <c:pt idx="15">
                  <c:v>Metals &amp; Minerals Trading</c:v>
                </c:pt>
                <c:pt idx="16">
                  <c:v>Oil</c:v>
                </c:pt>
                <c:pt idx="17">
                  <c:v>Non - Ferrous Metals</c:v>
                </c:pt>
                <c:pt idx="18">
                  <c:v>Transport Infrastructure</c:v>
                </c:pt>
                <c:pt idx="19">
                  <c:v>Consumable Fuels</c:v>
                </c:pt>
                <c:pt idx="20">
                  <c:v>Agricultural Food &amp; other Products</c:v>
                </c:pt>
                <c:pt idx="21">
                  <c:v>Healthcare Services</c:v>
                </c:pt>
                <c:pt idx="22">
                  <c:v>Fertilizers &amp; Agrochemicals</c:v>
                </c:pt>
              </c:strCache>
            </c:strRef>
          </c:cat>
          <c:val>
            <c:numRef>
              <c:f>'BANDHAN- Nifty 50 ETF'!$X$8:$X$30</c:f>
              <c:numCache>
                <c:formatCode>0.00%</c:formatCode>
                <c:ptCount val="23"/>
                <c:pt idx="0">
                  <c:v>0.27135100000000001</c:v>
                </c:pt>
                <c:pt idx="1">
                  <c:v>0.13108700000000001</c:v>
                </c:pt>
                <c:pt idx="2">
                  <c:v>0.10610899999999999</c:v>
                </c:pt>
                <c:pt idx="3">
                  <c:v>9.0414999999999995E-2</c:v>
                </c:pt>
                <c:pt idx="4">
                  <c:v>7.7190999999999996E-2</c:v>
                </c:pt>
                <c:pt idx="5">
                  <c:v>5.8205E-2</c:v>
                </c:pt>
                <c:pt idx="6">
                  <c:v>3.2827000000000002E-2</c:v>
                </c:pt>
                <c:pt idx="7">
                  <c:v>3.2513E-2</c:v>
                </c:pt>
                <c:pt idx="8">
                  <c:v>3.1592000000000002E-2</c:v>
                </c:pt>
                <c:pt idx="9">
                  <c:v>2.6218999999999999E-2</c:v>
                </c:pt>
                <c:pt idx="10">
                  <c:v>1.9753E-2</c:v>
                </c:pt>
                <c:pt idx="11">
                  <c:v>1.8844E-2</c:v>
                </c:pt>
                <c:pt idx="12">
                  <c:v>1.8494E-2</c:v>
                </c:pt>
                <c:pt idx="13">
                  <c:v>1.6330999999999998E-2</c:v>
                </c:pt>
                <c:pt idx="14">
                  <c:v>1.4266999999999998E-2</c:v>
                </c:pt>
                <c:pt idx="15">
                  <c:v>8.4950000000000008E-3</c:v>
                </c:pt>
                <c:pt idx="16">
                  <c:v>7.3280000000000003E-3</c:v>
                </c:pt>
                <c:pt idx="17">
                  <c:v>7.2560000000000003E-3</c:v>
                </c:pt>
                <c:pt idx="18">
                  <c:v>6.8780000000000004E-3</c:v>
                </c:pt>
                <c:pt idx="19">
                  <c:v>6.1619999999999999E-3</c:v>
                </c:pt>
                <c:pt idx="20">
                  <c:v>5.8830000000000002E-3</c:v>
                </c:pt>
                <c:pt idx="21">
                  <c:v>5.7279999999999996E-3</c:v>
                </c:pt>
                <c:pt idx="22">
                  <c:v>4.385E-3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Index'!$W$8:$W$44</c:f>
              <c:strCache>
                <c:ptCount val="37"/>
                <c:pt idx="0">
                  <c:v>Banks</c:v>
                </c:pt>
                <c:pt idx="1">
                  <c:v>IT - Software</c:v>
                </c:pt>
                <c:pt idx="2">
                  <c:v>Petroleum Products</c:v>
                </c:pt>
                <c:pt idx="3">
                  <c:v>Finance</c:v>
                </c:pt>
                <c:pt idx="4">
                  <c:v>Diversified FMCG</c:v>
                </c:pt>
                <c:pt idx="5">
                  <c:v>Automobiles</c:v>
                </c:pt>
                <c:pt idx="6">
                  <c:v>Consumer Durables</c:v>
                </c:pt>
                <c:pt idx="7">
                  <c:v>Pharmaceuticals &amp; Biotechnology</c:v>
                </c:pt>
                <c:pt idx="8">
                  <c:v>Construction</c:v>
                </c:pt>
                <c:pt idx="9">
                  <c:v>Power</c:v>
                </c:pt>
                <c:pt idx="10">
                  <c:v>Cement &amp; Cement Products</c:v>
                </c:pt>
                <c:pt idx="11">
                  <c:v>Telecom - Services</c:v>
                </c:pt>
                <c:pt idx="12">
                  <c:v>Insurance</c:v>
                </c:pt>
                <c:pt idx="13">
                  <c:v>Ferrous Metals</c:v>
                </c:pt>
                <c:pt idx="14">
                  <c:v>Food Products</c:v>
                </c:pt>
                <c:pt idx="15">
                  <c:v>Retailing</c:v>
                </c:pt>
                <c:pt idx="16">
                  <c:v>Personal Products</c:v>
                </c:pt>
                <c:pt idx="17">
                  <c:v>Agricultural Food &amp; other Products</c:v>
                </c:pt>
                <c:pt idx="18">
                  <c:v>Chemicals &amp; Petrochemicals</c:v>
                </c:pt>
                <c:pt idx="19">
                  <c:v>Metals &amp; Minerals Trading</c:v>
                </c:pt>
                <c:pt idx="20">
                  <c:v>Aerospace &amp; Defense</c:v>
                </c:pt>
                <c:pt idx="21">
                  <c:v>Beverages</c:v>
                </c:pt>
                <c:pt idx="22">
                  <c:v>Fertilizers &amp; Agrochemicals</c:v>
                </c:pt>
                <c:pt idx="23">
                  <c:v>Oil</c:v>
                </c:pt>
                <c:pt idx="24">
                  <c:v>Non - Ferrous Metals</c:v>
                </c:pt>
                <c:pt idx="25">
                  <c:v>Transport Infrastructure</c:v>
                </c:pt>
                <c:pt idx="26">
                  <c:v>Electrical Equipment</c:v>
                </c:pt>
                <c:pt idx="27">
                  <c:v>Consumable Fuels</c:v>
                </c:pt>
                <c:pt idx="28">
                  <c:v>Healthcare Services</c:v>
                </c:pt>
                <c:pt idx="29">
                  <c:v>Gas</c:v>
                </c:pt>
                <c:pt idx="30">
                  <c:v>Auto Components</c:v>
                </c:pt>
                <c:pt idx="31">
                  <c:v>Diversified Metals</c:v>
                </c:pt>
                <c:pt idx="32">
                  <c:v>Realty</c:v>
                </c:pt>
                <c:pt idx="33">
                  <c:v>Transport Services</c:v>
                </c:pt>
                <c:pt idx="34">
                  <c:v>Textiles &amp; Apparels</c:v>
                </c:pt>
                <c:pt idx="35">
                  <c:v>Leisure Services</c:v>
                </c:pt>
                <c:pt idx="36">
                  <c:v>Capital Markets</c:v>
                </c:pt>
              </c:strCache>
            </c:strRef>
          </c:cat>
          <c:val>
            <c:numRef>
              <c:f>'BANDHAN-Nifty 100 Index'!$X$8:$X$44</c:f>
              <c:numCache>
                <c:formatCode>0.00%</c:formatCode>
                <c:ptCount val="37"/>
                <c:pt idx="0">
                  <c:v>0.240671</c:v>
                </c:pt>
                <c:pt idx="1">
                  <c:v>0.116456</c:v>
                </c:pt>
                <c:pt idx="2">
                  <c:v>9.5305000000000001E-2</c:v>
                </c:pt>
                <c:pt idx="3">
                  <c:v>9.0219999999999995E-2</c:v>
                </c:pt>
                <c:pt idx="4">
                  <c:v>6.6583000000000003E-2</c:v>
                </c:pt>
                <c:pt idx="5">
                  <c:v>4.9907E-2</c:v>
                </c:pt>
                <c:pt idx="6">
                  <c:v>3.2675999999999997E-2</c:v>
                </c:pt>
                <c:pt idx="7">
                  <c:v>2.8560000000000002E-2</c:v>
                </c:pt>
                <c:pt idx="8">
                  <c:v>2.8129999999999999E-2</c:v>
                </c:pt>
                <c:pt idx="9">
                  <c:v>2.5597999999999999E-2</c:v>
                </c:pt>
                <c:pt idx="10">
                  <c:v>2.4601999999999999E-2</c:v>
                </c:pt>
                <c:pt idx="11">
                  <c:v>2.3354E-2</c:v>
                </c:pt>
                <c:pt idx="12">
                  <c:v>1.8335000000000001E-2</c:v>
                </c:pt>
                <c:pt idx="13">
                  <c:v>1.5931000000000001E-2</c:v>
                </c:pt>
                <c:pt idx="14">
                  <c:v>1.3951E-2</c:v>
                </c:pt>
                <c:pt idx="15">
                  <c:v>1.3353E-2</c:v>
                </c:pt>
                <c:pt idx="16">
                  <c:v>1.1230999999999998E-2</c:v>
                </c:pt>
                <c:pt idx="17">
                  <c:v>8.6920000000000001E-3</c:v>
                </c:pt>
                <c:pt idx="18">
                  <c:v>8.0590000000000002E-3</c:v>
                </c:pt>
                <c:pt idx="19">
                  <c:v>7.1989999999999997E-3</c:v>
                </c:pt>
                <c:pt idx="20">
                  <c:v>6.9859999999999992E-3</c:v>
                </c:pt>
                <c:pt idx="21">
                  <c:v>6.8929999999999998E-3</c:v>
                </c:pt>
                <c:pt idx="22">
                  <c:v>6.8129999999999996E-3</c:v>
                </c:pt>
                <c:pt idx="23">
                  <c:v>6.3740000000000003E-3</c:v>
                </c:pt>
                <c:pt idx="24">
                  <c:v>6.2560000000000003E-3</c:v>
                </c:pt>
                <c:pt idx="25">
                  <c:v>5.8939999999999999E-3</c:v>
                </c:pt>
                <c:pt idx="26">
                  <c:v>5.6450000000000007E-3</c:v>
                </c:pt>
                <c:pt idx="27">
                  <c:v>5.3340000000000002E-3</c:v>
                </c:pt>
                <c:pt idx="28">
                  <c:v>4.9090000000000002E-3</c:v>
                </c:pt>
                <c:pt idx="29">
                  <c:v>4.908E-3</c:v>
                </c:pt>
                <c:pt idx="30">
                  <c:v>3.3839999999999999E-3</c:v>
                </c:pt>
                <c:pt idx="31">
                  <c:v>3.274E-3</c:v>
                </c:pt>
                <c:pt idx="32">
                  <c:v>3.101E-3</c:v>
                </c:pt>
                <c:pt idx="33">
                  <c:v>2.7030000000000001E-3</c:v>
                </c:pt>
                <c:pt idx="34">
                  <c:v>2.457E-3</c:v>
                </c:pt>
                <c:pt idx="35">
                  <c:v>2.0830000000000002E-3</c:v>
                </c:pt>
                <c:pt idx="36">
                  <c:v>1.6360000000000001E-3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Index'!$W$8:$W$25</c:f>
              <c:strCache>
                <c:ptCount val="18"/>
                <c:pt idx="0">
                  <c:v>Banks</c:v>
                </c:pt>
                <c:pt idx="1">
                  <c:v>Automobiles</c:v>
                </c:pt>
                <c:pt idx="2">
                  <c:v>Aerospace &amp; Defense</c:v>
                </c:pt>
                <c:pt idx="3">
                  <c:v>Diversified FMCG</c:v>
                </c:pt>
                <c:pt idx="4">
                  <c:v>Power</c:v>
                </c:pt>
                <c:pt idx="5">
                  <c:v>Telecom - Services</c:v>
                </c:pt>
                <c:pt idx="6">
                  <c:v>Electrical Equipment</c:v>
                </c:pt>
                <c:pt idx="7">
                  <c:v>Pharmaceuticals &amp; Biotechnology</c:v>
                </c:pt>
                <c:pt idx="8">
                  <c:v>Leisure Services</c:v>
                </c:pt>
                <c:pt idx="9">
                  <c:v>Cement &amp; Cement Products</c:v>
                </c:pt>
                <c:pt idx="10">
                  <c:v>Consumable Fuels</c:v>
                </c:pt>
                <c:pt idx="11">
                  <c:v>Metals &amp; Minerals Trading</c:v>
                </c:pt>
                <c:pt idx="12">
                  <c:v>Chemicals &amp; Petrochemicals</c:v>
                </c:pt>
                <c:pt idx="13">
                  <c:v>Retailing</c:v>
                </c:pt>
                <c:pt idx="14">
                  <c:v>Industrial Products</c:v>
                </c:pt>
                <c:pt idx="15">
                  <c:v>Ferrous Metals</c:v>
                </c:pt>
                <c:pt idx="16">
                  <c:v>Finance</c:v>
                </c:pt>
                <c:pt idx="17">
                  <c:v>Agricultural, Commercial &amp; Construction Vehicles</c:v>
                </c:pt>
              </c:strCache>
            </c:strRef>
          </c:cat>
          <c:val>
            <c:numRef>
              <c:f>'BANDHAN-Nifty200 Mom30 Index'!$X$8:$X$25</c:f>
              <c:numCache>
                <c:formatCode>0.00%</c:formatCode>
                <c:ptCount val="18"/>
                <c:pt idx="0">
                  <c:v>0.27485300000000001</c:v>
                </c:pt>
                <c:pt idx="1">
                  <c:v>0.12912699999999999</c:v>
                </c:pt>
                <c:pt idx="2">
                  <c:v>8.0772999999999998E-2</c:v>
                </c:pt>
                <c:pt idx="3">
                  <c:v>6.2912999999999997E-2</c:v>
                </c:pt>
                <c:pt idx="4">
                  <c:v>4.9495999999999998E-2</c:v>
                </c:pt>
                <c:pt idx="5">
                  <c:v>4.9063000000000002E-2</c:v>
                </c:pt>
                <c:pt idx="6">
                  <c:v>4.6821000000000002E-2</c:v>
                </c:pt>
                <c:pt idx="7">
                  <c:v>4.5871000000000002E-2</c:v>
                </c:pt>
                <c:pt idx="8">
                  <c:v>3.7489000000000001E-2</c:v>
                </c:pt>
                <c:pt idx="9">
                  <c:v>3.5843E-2</c:v>
                </c:pt>
                <c:pt idx="10">
                  <c:v>3.5444000000000003E-2</c:v>
                </c:pt>
                <c:pt idx="11">
                  <c:v>3.1111E-2</c:v>
                </c:pt>
                <c:pt idx="12">
                  <c:v>2.9863000000000001E-2</c:v>
                </c:pt>
                <c:pt idx="13">
                  <c:v>2.9562999999999999E-2</c:v>
                </c:pt>
                <c:pt idx="14">
                  <c:v>2.9274000000000001E-2</c:v>
                </c:pt>
                <c:pt idx="15">
                  <c:v>1.6060000000000001E-2</c:v>
                </c:pt>
                <c:pt idx="16">
                  <c:v>8.9569999999999997E-3</c:v>
                </c:pt>
                <c:pt idx="17">
                  <c:v>5.8859999999999997E-3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NIF100LV30'!$W$8:$W$22</c:f>
              <c:strCache>
                <c:ptCount val="15"/>
                <c:pt idx="0">
                  <c:v>IT - Software</c:v>
                </c:pt>
                <c:pt idx="1">
                  <c:v>Pharmaceuticals &amp; Biotechnology</c:v>
                </c:pt>
                <c:pt idx="2">
                  <c:v>Food Products</c:v>
                </c:pt>
                <c:pt idx="3">
                  <c:v>Diversified FMCG</c:v>
                </c:pt>
                <c:pt idx="4">
                  <c:v>Automobiles</c:v>
                </c:pt>
                <c:pt idx="5">
                  <c:v>Banks</c:v>
                </c:pt>
                <c:pt idx="6">
                  <c:v>Power</c:v>
                </c:pt>
                <c:pt idx="7">
                  <c:v>Petroleum Products</c:v>
                </c:pt>
                <c:pt idx="8">
                  <c:v>Consumer Durables</c:v>
                </c:pt>
                <c:pt idx="9">
                  <c:v>Insurance</c:v>
                </c:pt>
                <c:pt idx="10">
                  <c:v>Personal Products</c:v>
                </c:pt>
                <c:pt idx="11">
                  <c:v>Construction</c:v>
                </c:pt>
                <c:pt idx="12">
                  <c:v>Agricultural Food &amp; other Products</c:v>
                </c:pt>
                <c:pt idx="13">
                  <c:v>Chemicals &amp; Petrochemicals</c:v>
                </c:pt>
                <c:pt idx="14">
                  <c:v>Cement &amp; Cement Products</c:v>
                </c:pt>
              </c:strCache>
            </c:strRef>
          </c:cat>
          <c:val>
            <c:numRef>
              <c:f>'BANDHAN NIF100LV30'!$X$8:$X$22</c:f>
              <c:numCache>
                <c:formatCode>0.00%</c:formatCode>
                <c:ptCount val="15"/>
                <c:pt idx="0">
                  <c:v>0.158446</c:v>
                </c:pt>
                <c:pt idx="1">
                  <c:v>0.103537</c:v>
                </c:pt>
                <c:pt idx="2">
                  <c:v>7.9723999999999989E-2</c:v>
                </c:pt>
                <c:pt idx="3">
                  <c:v>7.5469999999999995E-2</c:v>
                </c:pt>
                <c:pt idx="4">
                  <c:v>7.2308999999999998E-2</c:v>
                </c:pt>
                <c:pt idx="5">
                  <c:v>7.2045999999999999E-2</c:v>
                </c:pt>
                <c:pt idx="6">
                  <c:v>6.4586000000000005E-2</c:v>
                </c:pt>
                <c:pt idx="7">
                  <c:v>6.4551999999999998E-2</c:v>
                </c:pt>
                <c:pt idx="8">
                  <c:v>6.3879999999999992E-2</c:v>
                </c:pt>
                <c:pt idx="9">
                  <c:v>6.1966E-2</c:v>
                </c:pt>
                <c:pt idx="10">
                  <c:v>5.7308999999999999E-2</c:v>
                </c:pt>
                <c:pt idx="11">
                  <c:v>3.2812000000000001E-2</c:v>
                </c:pt>
                <c:pt idx="12">
                  <c:v>3.1092000000000002E-2</c:v>
                </c:pt>
                <c:pt idx="13">
                  <c:v>3.0464000000000001E-2</c:v>
                </c:pt>
                <c:pt idx="14">
                  <c:v>3.039E-2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DE77CA00-18A9-415E-B57A-9684572CA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55146</xdr:colOff>
      <xdr:row>7</xdr:row>
      <xdr:rowOff>18629</xdr:rowOff>
    </xdr:from>
    <xdr:to>
      <xdr:col>13</xdr:col>
      <xdr:colOff>744121</xdr:colOff>
      <xdr:row>17</xdr:row>
      <xdr:rowOff>154780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35714</xdr:colOff>
      <xdr:row>7</xdr:row>
      <xdr:rowOff>11908</xdr:rowOff>
    </xdr:from>
    <xdr:to>
      <xdr:col>13</xdr:col>
      <xdr:colOff>729172</xdr:colOff>
      <xdr:row>18</xdr:row>
      <xdr:rowOff>71439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565797</xdr:colOff>
      <xdr:row>7</xdr:row>
      <xdr:rowOff>19697</xdr:rowOff>
    </xdr:from>
    <xdr:to>
      <xdr:col>13</xdr:col>
      <xdr:colOff>749300</xdr:colOff>
      <xdr:row>18</xdr:row>
      <xdr:rowOff>63171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4</xdr:col>
      <xdr:colOff>530224</xdr:colOff>
      <xdr:row>7</xdr:row>
      <xdr:rowOff>31750</xdr:rowOff>
    </xdr:from>
    <xdr:to>
      <xdr:col>11</xdr:col>
      <xdr:colOff>533400</xdr:colOff>
      <xdr:row>22</xdr:row>
      <xdr:rowOff>50800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98425</xdr:colOff>
      <xdr:row>6</xdr:row>
      <xdr:rowOff>200025</xdr:rowOff>
    </xdr:from>
    <xdr:to>
      <xdr:col>12</xdr:col>
      <xdr:colOff>127000</xdr:colOff>
      <xdr:row>19</xdr:row>
      <xdr:rowOff>177801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03"/>
      <c r="C2" s="46"/>
      <c r="D2" s="46"/>
      <c r="E2" s="46"/>
      <c r="F2" s="46"/>
      <c r="G2" s="46"/>
      <c r="H2" s="46"/>
      <c r="I2" s="46"/>
      <c r="J2" s="46"/>
      <c r="K2" s="46"/>
      <c r="L2" s="46"/>
      <c r="M2" s="104"/>
    </row>
    <row r="3" spans="2:24" ht="20.25" customHeight="1" x14ac:dyDescent="0.2">
      <c r="B3" s="105"/>
      <c r="C3" s="239" t="s">
        <v>212</v>
      </c>
      <c r="D3" s="239"/>
      <c r="E3" s="239"/>
      <c r="F3" s="239"/>
      <c r="G3" s="239"/>
      <c r="H3" s="239"/>
      <c r="I3" s="239"/>
      <c r="J3" s="239"/>
      <c r="K3" s="239"/>
      <c r="L3" s="239"/>
      <c r="M3" s="240"/>
    </row>
    <row r="4" spans="2:24" ht="15.75" x14ac:dyDescent="0.25">
      <c r="B4" s="105"/>
      <c r="C4" s="78" t="s">
        <v>303</v>
      </c>
      <c r="D4" s="30"/>
      <c r="E4" s="30"/>
      <c r="F4" s="5"/>
      <c r="G4" s="5"/>
      <c r="H4" s="5"/>
      <c r="I4" s="5"/>
      <c r="J4" s="5"/>
      <c r="K4" s="5"/>
      <c r="L4" s="5"/>
      <c r="M4" s="21"/>
    </row>
    <row r="5" spans="2:24" ht="20.25" customHeight="1" x14ac:dyDescent="0.25">
      <c r="B5" s="105"/>
      <c r="C5" s="79" t="s">
        <v>304</v>
      </c>
      <c r="D5" s="106" t="s">
        <v>277</v>
      </c>
      <c r="E5" s="20"/>
      <c r="F5" s="5"/>
      <c r="G5" s="5"/>
      <c r="H5" s="5"/>
      <c r="I5" s="5"/>
      <c r="J5" s="5"/>
      <c r="K5" s="5"/>
      <c r="L5" s="5"/>
      <c r="M5" s="21"/>
    </row>
    <row r="6" spans="2:24" x14ac:dyDescent="0.2">
      <c r="B6" s="105"/>
      <c r="C6" s="5"/>
      <c r="D6" s="5"/>
      <c r="E6" s="5"/>
      <c r="F6" s="5"/>
      <c r="G6" s="5"/>
      <c r="H6" s="5"/>
      <c r="I6" s="5"/>
      <c r="J6" s="5"/>
      <c r="K6" s="5"/>
      <c r="L6" s="5"/>
      <c r="M6" s="21"/>
    </row>
    <row r="7" spans="2:24" ht="15.75" x14ac:dyDescent="0.2">
      <c r="B7" s="105"/>
      <c r="C7" s="184" t="s">
        <v>44</v>
      </c>
      <c r="D7" s="107" t="s">
        <v>46</v>
      </c>
      <c r="E7" s="5"/>
      <c r="F7" s="241" t="s">
        <v>51</v>
      </c>
      <c r="G7" s="241"/>
      <c r="H7" s="241"/>
      <c r="I7" s="241"/>
      <c r="J7" s="241"/>
      <c r="K7" s="241"/>
      <c r="L7" s="241"/>
      <c r="M7" s="242"/>
    </row>
    <row r="8" spans="2:24" ht="30" x14ac:dyDescent="0.2">
      <c r="B8" s="105"/>
      <c r="C8" s="67" t="s">
        <v>107</v>
      </c>
      <c r="D8" s="201">
        <v>0.98949799999999999</v>
      </c>
      <c r="E8" s="5"/>
      <c r="F8" s="5"/>
      <c r="G8" s="32"/>
      <c r="H8" s="5"/>
      <c r="I8" s="5" t="s">
        <v>108</v>
      </c>
      <c r="J8" s="54">
        <f>D9</f>
        <v>0.98949799999999999</v>
      </c>
      <c r="K8" s="5"/>
      <c r="L8" s="5"/>
      <c r="M8" s="21"/>
      <c r="S8" s="56"/>
      <c r="W8" s="3" t="s">
        <v>3</v>
      </c>
      <c r="X8" s="3">
        <v>0.25058799999999998</v>
      </c>
    </row>
    <row r="9" spans="2:24" ht="15.75" x14ac:dyDescent="0.25">
      <c r="B9" s="105"/>
      <c r="C9" s="68" t="s">
        <v>108</v>
      </c>
      <c r="D9" s="202">
        <v>0.98949799999999999</v>
      </c>
      <c r="E9" s="5"/>
      <c r="F9" s="5"/>
      <c r="G9" s="5"/>
      <c r="H9" s="5"/>
      <c r="I9" s="5" t="s">
        <v>20</v>
      </c>
      <c r="J9" s="54">
        <f>D13</f>
        <v>-7.1700000000000002E-3</v>
      </c>
      <c r="K9" s="5"/>
      <c r="L9" s="5"/>
      <c r="M9" s="21"/>
      <c r="S9" s="56"/>
      <c r="W9" s="3" t="s">
        <v>9</v>
      </c>
      <c r="X9" s="3">
        <v>6.1296999999999997E-2</v>
      </c>
    </row>
    <row r="10" spans="2:24" x14ac:dyDescent="0.2">
      <c r="B10" s="105"/>
      <c r="C10" s="185" t="s">
        <v>120</v>
      </c>
      <c r="D10" s="203">
        <v>1.7672E-2</v>
      </c>
      <c r="E10" s="5"/>
      <c r="F10" s="5"/>
      <c r="G10" s="5"/>
      <c r="I10" s="3" t="s">
        <v>121</v>
      </c>
      <c r="J10" s="54">
        <f>D11</f>
        <v>1.7672E-2</v>
      </c>
      <c r="K10" s="5"/>
      <c r="L10" s="5"/>
      <c r="M10" s="21"/>
      <c r="S10" s="56"/>
      <c r="W10" s="3" t="s">
        <v>10</v>
      </c>
      <c r="X10" s="3">
        <v>3.0130999999999998E-2</v>
      </c>
    </row>
    <row r="11" spans="2:24" ht="15.75" x14ac:dyDescent="0.2">
      <c r="B11" s="105"/>
      <c r="C11" s="186" t="s">
        <v>121</v>
      </c>
      <c r="D11" s="204">
        <v>1.7672E-2</v>
      </c>
      <c r="E11" s="5"/>
      <c r="F11" s="5"/>
      <c r="G11" s="5"/>
      <c r="J11" s="5"/>
      <c r="K11" s="5"/>
      <c r="L11" s="5"/>
      <c r="M11" s="21"/>
      <c r="S11" s="56"/>
      <c r="W11" s="3" t="s">
        <v>7</v>
      </c>
      <c r="X11" s="3">
        <v>2.7299E-2</v>
      </c>
    </row>
    <row r="12" spans="2:24" x14ac:dyDescent="0.2">
      <c r="B12" s="105"/>
      <c r="C12" s="185"/>
      <c r="D12" s="95"/>
      <c r="E12" s="5"/>
      <c r="F12" s="5"/>
      <c r="G12" s="5"/>
      <c r="J12" s="5"/>
      <c r="K12" s="5"/>
      <c r="L12" s="5"/>
      <c r="M12" s="21"/>
      <c r="S12" s="56"/>
      <c r="W12" s="3" t="s">
        <v>26</v>
      </c>
      <c r="X12" s="3">
        <v>2.5925E-2</v>
      </c>
    </row>
    <row r="13" spans="2:24" ht="15.75" x14ac:dyDescent="0.2">
      <c r="B13" s="105"/>
      <c r="C13" s="186" t="s">
        <v>20</v>
      </c>
      <c r="D13" s="204">
        <v>-7.1700000000000002E-3</v>
      </c>
      <c r="E13" s="5"/>
      <c r="F13" s="5"/>
      <c r="G13" s="5"/>
      <c r="J13" s="5"/>
      <c r="K13" s="5"/>
      <c r="L13" s="5"/>
      <c r="M13" s="21"/>
      <c r="S13" s="56"/>
      <c r="W13" s="3" t="s">
        <v>8</v>
      </c>
      <c r="X13" s="3">
        <v>2.3822000000000003E-2</v>
      </c>
    </row>
    <row r="14" spans="2:24" x14ac:dyDescent="0.2">
      <c r="B14" s="105"/>
      <c r="C14" s="185"/>
      <c r="D14" s="95"/>
      <c r="E14" s="5"/>
      <c r="F14" s="5"/>
      <c r="G14" s="5"/>
      <c r="H14" s="5"/>
      <c r="I14" s="5"/>
      <c r="J14" s="5"/>
      <c r="K14" s="5"/>
      <c r="L14" s="5"/>
      <c r="M14" s="21"/>
      <c r="S14" s="56"/>
      <c r="W14" s="3" t="s">
        <v>25</v>
      </c>
      <c r="X14" s="3">
        <v>2.3753E-2</v>
      </c>
    </row>
    <row r="15" spans="2:24" ht="15.75" x14ac:dyDescent="0.2">
      <c r="B15" s="105"/>
      <c r="C15" s="187" t="s">
        <v>21</v>
      </c>
      <c r="D15" s="96">
        <f>D13+D11+D9</f>
        <v>1</v>
      </c>
      <c r="E15" s="5"/>
      <c r="F15" s="5"/>
      <c r="G15" s="5"/>
      <c r="H15" s="5"/>
      <c r="I15" s="5"/>
      <c r="J15" s="5"/>
      <c r="K15" s="5"/>
      <c r="L15" s="5"/>
      <c r="M15" s="21"/>
      <c r="S15" s="56"/>
      <c r="W15" s="3" t="s">
        <v>17</v>
      </c>
      <c r="X15" s="3">
        <v>1.8620999999999999E-2</v>
      </c>
    </row>
    <row r="16" spans="2:24" x14ac:dyDescent="0.2">
      <c r="B16" s="105"/>
      <c r="E16" s="5"/>
      <c r="F16" s="5"/>
      <c r="G16" s="5"/>
      <c r="H16" s="5"/>
      <c r="I16" s="5"/>
      <c r="J16" s="5"/>
      <c r="K16" s="5"/>
      <c r="L16" s="5"/>
      <c r="M16" s="21"/>
      <c r="S16" s="56"/>
      <c r="W16" s="3" t="s">
        <v>27</v>
      </c>
      <c r="X16" s="3">
        <v>1.7219000000000002E-2</v>
      </c>
    </row>
    <row r="17" spans="2:24" ht="15.75" x14ac:dyDescent="0.25">
      <c r="B17" s="105"/>
      <c r="C17" s="36"/>
      <c r="D17" s="37"/>
      <c r="E17" s="5"/>
      <c r="F17" s="5"/>
      <c r="G17" s="5"/>
      <c r="H17" s="5"/>
      <c r="I17" s="5"/>
      <c r="J17" s="5"/>
      <c r="K17" s="5"/>
      <c r="L17" s="5"/>
      <c r="M17" s="21"/>
      <c r="S17" s="56"/>
      <c r="W17" s="3" t="s">
        <v>12</v>
      </c>
      <c r="X17" s="3">
        <v>1.6056000000000001E-2</v>
      </c>
    </row>
    <row r="18" spans="2:24" x14ac:dyDescent="0.2">
      <c r="B18" s="105"/>
      <c r="C18" s="44"/>
      <c r="D18" s="44"/>
      <c r="E18" s="5"/>
      <c r="F18" s="5"/>
      <c r="G18" s="5"/>
      <c r="H18" s="5"/>
      <c r="I18" s="5"/>
      <c r="J18" s="5"/>
      <c r="K18" s="5"/>
      <c r="L18" s="5"/>
      <c r="M18" s="21"/>
      <c r="S18" s="56"/>
      <c r="W18" s="3" t="s">
        <v>6</v>
      </c>
      <c r="X18" s="3">
        <v>1.41E-2</v>
      </c>
    </row>
    <row r="19" spans="2:24" ht="15.75" x14ac:dyDescent="0.25">
      <c r="B19" s="105"/>
      <c r="C19" s="36"/>
      <c r="D19" s="38"/>
      <c r="E19" s="5"/>
      <c r="F19" s="5"/>
      <c r="G19" s="5"/>
      <c r="H19" s="5"/>
      <c r="I19" s="5"/>
      <c r="J19" s="5"/>
      <c r="K19" s="5"/>
      <c r="L19" s="5"/>
      <c r="M19" s="21"/>
      <c r="S19" s="56"/>
      <c r="W19" s="3" t="s">
        <v>14</v>
      </c>
      <c r="X19" s="3">
        <v>1.1167E-2</v>
      </c>
    </row>
    <row r="20" spans="2:24" x14ac:dyDescent="0.2">
      <c r="B20" s="105"/>
      <c r="E20" s="5"/>
      <c r="F20" s="5"/>
      <c r="G20" s="5"/>
      <c r="H20" s="5"/>
      <c r="I20" s="5"/>
      <c r="J20" s="5"/>
      <c r="K20" s="5"/>
      <c r="L20" s="5"/>
      <c r="M20" s="21"/>
      <c r="S20" s="56"/>
      <c r="W20" s="3" t="s">
        <v>11</v>
      </c>
      <c r="X20" s="3">
        <v>1.1159000000000001E-2</v>
      </c>
    </row>
    <row r="21" spans="2:24" x14ac:dyDescent="0.2">
      <c r="B21" s="105"/>
      <c r="E21" s="5"/>
      <c r="F21" s="5"/>
      <c r="G21" s="5"/>
      <c r="H21" s="5"/>
      <c r="I21" s="5"/>
      <c r="J21" s="5"/>
      <c r="K21" s="5"/>
      <c r="L21" s="5"/>
      <c r="M21" s="21"/>
      <c r="S21" s="56"/>
      <c r="W21" s="3" t="s">
        <v>18</v>
      </c>
      <c r="X21" s="3">
        <v>1.0543E-2</v>
      </c>
    </row>
    <row r="22" spans="2:24" ht="16.5" thickBot="1" x14ac:dyDescent="0.3">
      <c r="B22" s="108"/>
      <c r="C22" s="243"/>
      <c r="D22" s="243"/>
      <c r="E22" s="243"/>
      <c r="F22" s="243"/>
      <c r="G22" s="243"/>
      <c r="H22" s="243"/>
      <c r="I22" s="243"/>
      <c r="J22" s="243"/>
      <c r="K22" s="243"/>
      <c r="L22" s="243"/>
      <c r="M22" s="244"/>
      <c r="S22" s="56"/>
    </row>
    <row r="23" spans="2:24" ht="15.75" thickBot="1" x14ac:dyDescent="0.25">
      <c r="S23" s="56"/>
    </row>
    <row r="24" spans="2:24" ht="15" customHeight="1" x14ac:dyDescent="0.2">
      <c r="B24" s="245" t="s">
        <v>265</v>
      </c>
      <c r="C24" s="246"/>
      <c r="D24" s="246"/>
      <c r="E24" s="246"/>
      <c r="F24" s="246"/>
      <c r="G24" s="246"/>
      <c r="H24" s="246"/>
      <c r="I24" s="246"/>
      <c r="J24" s="246"/>
      <c r="K24" s="246"/>
      <c r="L24" s="246"/>
      <c r="M24" s="246"/>
      <c r="N24" s="247"/>
      <c r="S24" s="56"/>
    </row>
    <row r="25" spans="2:24" ht="15.75" customHeight="1" x14ac:dyDescent="0.2">
      <c r="B25" s="248"/>
      <c r="C25" s="249"/>
      <c r="D25" s="249"/>
      <c r="E25" s="249"/>
      <c r="F25" s="249"/>
      <c r="G25" s="249"/>
      <c r="H25" s="249"/>
      <c r="I25" s="249"/>
      <c r="J25" s="249"/>
      <c r="K25" s="249"/>
      <c r="L25" s="249"/>
      <c r="M25" s="249"/>
      <c r="N25" s="250"/>
      <c r="S25" s="56"/>
    </row>
    <row r="26" spans="2:24" ht="15.75" customHeight="1" x14ac:dyDescent="0.2">
      <c r="B26" s="248"/>
      <c r="C26" s="249"/>
      <c r="D26" s="249"/>
      <c r="E26" s="249"/>
      <c r="F26" s="249"/>
      <c r="G26" s="249"/>
      <c r="H26" s="249"/>
      <c r="I26" s="249"/>
      <c r="J26" s="249"/>
      <c r="K26" s="249"/>
      <c r="L26" s="249"/>
      <c r="M26" s="249"/>
      <c r="N26" s="250"/>
      <c r="S26" s="56"/>
    </row>
    <row r="27" spans="2:24" ht="15.75" customHeight="1" x14ac:dyDescent="0.2">
      <c r="B27" s="248"/>
      <c r="C27" s="249"/>
      <c r="D27" s="249"/>
      <c r="E27" s="249"/>
      <c r="F27" s="249"/>
      <c r="G27" s="249"/>
      <c r="H27" s="249"/>
      <c r="I27" s="249"/>
      <c r="J27" s="249"/>
      <c r="K27" s="249"/>
      <c r="L27" s="249"/>
      <c r="M27" s="249"/>
      <c r="N27" s="250"/>
      <c r="S27" s="56"/>
    </row>
    <row r="28" spans="2:24" ht="15.75" customHeight="1" x14ac:dyDescent="0.2">
      <c r="B28" s="248"/>
      <c r="C28" s="249"/>
      <c r="D28" s="249"/>
      <c r="E28" s="249"/>
      <c r="F28" s="249"/>
      <c r="G28" s="249"/>
      <c r="H28" s="249"/>
      <c r="I28" s="249"/>
      <c r="J28" s="249"/>
      <c r="K28" s="249"/>
      <c r="L28" s="249"/>
      <c r="M28" s="249"/>
      <c r="N28" s="250"/>
      <c r="S28" s="56"/>
    </row>
    <row r="29" spans="2:24" ht="15.75" customHeight="1" x14ac:dyDescent="0.2">
      <c r="B29" s="248"/>
      <c r="C29" s="249"/>
      <c r="D29" s="249"/>
      <c r="E29" s="249"/>
      <c r="F29" s="249"/>
      <c r="G29" s="249"/>
      <c r="H29" s="249"/>
      <c r="I29" s="249"/>
      <c r="J29" s="249"/>
      <c r="K29" s="249"/>
      <c r="L29" s="249"/>
      <c r="M29" s="249"/>
      <c r="N29" s="250"/>
      <c r="S29" s="56"/>
    </row>
    <row r="30" spans="2:24" ht="28.5" customHeight="1" thickBot="1" x14ac:dyDescent="0.25">
      <c r="B30" s="251"/>
      <c r="C30" s="252"/>
      <c r="D30" s="252"/>
      <c r="E30" s="252"/>
      <c r="F30" s="252"/>
      <c r="G30" s="252"/>
      <c r="H30" s="252"/>
      <c r="I30" s="252"/>
      <c r="J30" s="252"/>
      <c r="K30" s="252"/>
      <c r="L30" s="252"/>
      <c r="M30" s="252"/>
      <c r="N30" s="253"/>
      <c r="S30" s="56"/>
    </row>
    <row r="31" spans="2:24" ht="15.75" thickBot="1" x14ac:dyDescent="0.25">
      <c r="S31" s="56"/>
    </row>
    <row r="32" spans="2:24" x14ac:dyDescent="0.2">
      <c r="B32" s="245" t="s">
        <v>109</v>
      </c>
      <c r="C32" s="246"/>
      <c r="D32" s="246"/>
      <c r="E32" s="246"/>
      <c r="F32" s="246"/>
      <c r="G32" s="246"/>
      <c r="H32" s="246"/>
      <c r="I32" s="246"/>
      <c r="J32" s="246"/>
      <c r="K32" s="246"/>
      <c r="L32" s="246"/>
      <c r="M32" s="246"/>
      <c r="N32" s="247"/>
      <c r="S32" s="56"/>
    </row>
    <row r="33" spans="2:19" x14ac:dyDescent="0.2">
      <c r="B33" s="248"/>
      <c r="C33" s="249"/>
      <c r="D33" s="249"/>
      <c r="E33" s="249"/>
      <c r="F33" s="249"/>
      <c r="G33" s="249"/>
      <c r="H33" s="249"/>
      <c r="I33" s="249"/>
      <c r="J33" s="249"/>
      <c r="K33" s="249"/>
      <c r="L33" s="249"/>
      <c r="M33" s="249"/>
      <c r="N33" s="250"/>
      <c r="S33" s="56"/>
    </row>
    <row r="34" spans="2:19" x14ac:dyDescent="0.2">
      <c r="B34" s="248"/>
      <c r="C34" s="249"/>
      <c r="D34" s="249"/>
      <c r="E34" s="249"/>
      <c r="F34" s="249"/>
      <c r="G34" s="249"/>
      <c r="H34" s="249"/>
      <c r="I34" s="249"/>
      <c r="J34" s="249"/>
      <c r="K34" s="249"/>
      <c r="L34" s="249"/>
      <c r="M34" s="249"/>
      <c r="N34" s="250"/>
      <c r="S34" s="56"/>
    </row>
    <row r="35" spans="2:19" x14ac:dyDescent="0.2">
      <c r="B35" s="248"/>
      <c r="C35" s="249"/>
      <c r="D35" s="249"/>
      <c r="E35" s="249"/>
      <c r="F35" s="249"/>
      <c r="G35" s="249"/>
      <c r="H35" s="249"/>
      <c r="I35" s="249"/>
      <c r="J35" s="249"/>
      <c r="K35" s="249"/>
      <c r="L35" s="249"/>
      <c r="M35" s="249"/>
      <c r="N35" s="250"/>
      <c r="S35" s="56"/>
    </row>
    <row r="36" spans="2:19" x14ac:dyDescent="0.2">
      <c r="B36" s="248"/>
      <c r="C36" s="249"/>
      <c r="D36" s="249"/>
      <c r="E36" s="249"/>
      <c r="F36" s="249"/>
      <c r="G36" s="249"/>
      <c r="H36" s="249"/>
      <c r="I36" s="249"/>
      <c r="J36" s="249"/>
      <c r="K36" s="249"/>
      <c r="L36" s="249"/>
      <c r="M36" s="249"/>
      <c r="N36" s="250"/>
      <c r="S36" s="56"/>
    </row>
    <row r="37" spans="2:19" x14ac:dyDescent="0.2">
      <c r="B37" s="248"/>
      <c r="C37" s="249"/>
      <c r="D37" s="249"/>
      <c r="E37" s="249"/>
      <c r="F37" s="249"/>
      <c r="G37" s="249"/>
      <c r="H37" s="249"/>
      <c r="I37" s="249"/>
      <c r="J37" s="249"/>
      <c r="K37" s="249"/>
      <c r="L37" s="249"/>
      <c r="M37" s="249"/>
      <c r="N37" s="250"/>
      <c r="S37" s="56"/>
    </row>
    <row r="38" spans="2:19" ht="15.75" thickBot="1" x14ac:dyDescent="0.25">
      <c r="B38" s="251"/>
      <c r="C38" s="252"/>
      <c r="D38" s="252"/>
      <c r="E38" s="252"/>
      <c r="F38" s="252"/>
      <c r="G38" s="252"/>
      <c r="H38" s="252"/>
      <c r="I38" s="252"/>
      <c r="J38" s="252"/>
      <c r="K38" s="252"/>
      <c r="L38" s="252"/>
      <c r="M38" s="252"/>
      <c r="N38" s="253"/>
      <c r="S38" s="56"/>
    </row>
    <row r="39" spans="2:19" x14ac:dyDescent="0.2">
      <c r="S39" s="56"/>
    </row>
    <row r="40" spans="2:19" x14ac:dyDescent="0.2">
      <c r="S40" s="56"/>
    </row>
    <row r="41" spans="2:19" x14ac:dyDescent="0.2">
      <c r="S41" s="56"/>
    </row>
    <row r="42" spans="2:19" x14ac:dyDescent="0.2">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09AB2-DDAE-479D-9E8E-1BB8BA0DF0F8}">
  <sheetPr>
    <tabColor rgb="FFE5E3E3"/>
    <pageSetUpPr fitToPage="1"/>
  </sheetPr>
  <dimension ref="B1:X691"/>
  <sheetViews>
    <sheetView showGridLines="0" zoomScale="75" zoomScaleNormal="75" workbookViewId="0"/>
  </sheetViews>
  <sheetFormatPr defaultRowHeight="15" x14ac:dyDescent="0.2"/>
  <cols>
    <col min="1" max="1" width="2.85546875" style="3" customWidth="1"/>
    <col min="2" max="2" width="3.85546875" style="3" customWidth="1"/>
    <col min="3" max="3" width="57.28515625" style="3"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03"/>
      <c r="C2" s="46"/>
      <c r="D2" s="46"/>
      <c r="E2" s="46"/>
      <c r="F2" s="46"/>
      <c r="G2" s="46"/>
      <c r="H2" s="46"/>
      <c r="I2" s="46"/>
      <c r="J2" s="46"/>
      <c r="K2" s="46"/>
      <c r="L2" s="46"/>
      <c r="M2" s="104"/>
    </row>
    <row r="3" spans="2:24" ht="20.25" customHeight="1" x14ac:dyDescent="0.2">
      <c r="B3" s="105"/>
      <c r="C3" s="239" t="s">
        <v>243</v>
      </c>
      <c r="D3" s="239"/>
      <c r="E3" s="239"/>
      <c r="F3" s="239"/>
      <c r="G3" s="239"/>
      <c r="H3" s="239"/>
      <c r="I3" s="239"/>
      <c r="J3" s="239"/>
      <c r="K3" s="239"/>
      <c r="L3" s="239"/>
      <c r="M3" s="240"/>
    </row>
    <row r="4" spans="2:24" ht="15.75" x14ac:dyDescent="0.25">
      <c r="B4" s="105"/>
      <c r="C4" s="78" t="s">
        <v>303</v>
      </c>
      <c r="D4" s="30"/>
      <c r="E4" s="30"/>
      <c r="F4" s="5"/>
      <c r="G4" s="5"/>
      <c r="H4" s="5"/>
      <c r="I4" s="5"/>
      <c r="J4" s="5"/>
      <c r="K4" s="5"/>
      <c r="L4" s="5"/>
      <c r="M4" s="21"/>
    </row>
    <row r="5" spans="2:24" ht="20.25" customHeight="1" x14ac:dyDescent="0.25">
      <c r="B5" s="105"/>
      <c r="C5" s="79" t="s">
        <v>304</v>
      </c>
      <c r="D5" s="238" t="s">
        <v>305</v>
      </c>
      <c r="E5" s="20"/>
      <c r="F5" s="5"/>
      <c r="G5" s="5"/>
      <c r="H5" s="5"/>
      <c r="I5" s="5"/>
      <c r="J5" s="5"/>
      <c r="K5" s="5"/>
      <c r="L5" s="5"/>
      <c r="M5" s="21"/>
    </row>
    <row r="6" spans="2:24" x14ac:dyDescent="0.2">
      <c r="B6" s="105"/>
      <c r="C6" s="5"/>
      <c r="D6" s="5"/>
      <c r="E6" s="5"/>
      <c r="F6" s="5"/>
      <c r="G6" s="5"/>
      <c r="H6" s="5"/>
      <c r="I6" s="5"/>
      <c r="J6" s="5"/>
      <c r="K6" s="5"/>
      <c r="L6" s="5"/>
      <c r="M6" s="21"/>
    </row>
    <row r="7" spans="2:24" ht="15.75" x14ac:dyDescent="0.2">
      <c r="B7" s="105"/>
      <c r="C7" s="184" t="s">
        <v>44</v>
      </c>
      <c r="D7" s="107" t="s">
        <v>46</v>
      </c>
      <c r="E7" s="5"/>
      <c r="F7" s="241" t="s">
        <v>51</v>
      </c>
      <c r="G7" s="241"/>
      <c r="H7" s="241"/>
      <c r="I7" s="241"/>
      <c r="J7" s="241"/>
      <c r="K7" s="241"/>
      <c r="L7" s="241"/>
      <c r="M7" s="242"/>
    </row>
    <row r="8" spans="2:24" ht="30" x14ac:dyDescent="0.2">
      <c r="B8" s="105"/>
      <c r="C8" s="200" t="s">
        <v>242</v>
      </c>
      <c r="D8" s="201">
        <v>0.98926899999999995</v>
      </c>
      <c r="E8" s="5"/>
      <c r="F8" s="5"/>
      <c r="G8" s="32"/>
      <c r="H8" s="5"/>
      <c r="I8" s="5" t="s">
        <v>108</v>
      </c>
      <c r="J8" s="54">
        <f>D9</f>
        <v>0.98926899999999995</v>
      </c>
      <c r="K8" s="5"/>
      <c r="L8" s="5"/>
      <c r="M8" s="21"/>
      <c r="S8" s="56"/>
      <c r="W8" s="3" t="s">
        <v>3</v>
      </c>
      <c r="X8" s="3">
        <v>0.25058799999999998</v>
      </c>
    </row>
    <row r="9" spans="2:24" ht="15.75" x14ac:dyDescent="0.25">
      <c r="B9" s="105"/>
      <c r="C9" s="68" t="s">
        <v>108</v>
      </c>
      <c r="D9" s="202">
        <v>0.98926899999999995</v>
      </c>
      <c r="E9" s="5"/>
      <c r="F9" s="5"/>
      <c r="G9" s="5"/>
      <c r="H9" s="5"/>
      <c r="I9" s="5" t="s">
        <v>20</v>
      </c>
      <c r="J9" s="54">
        <f>D13</f>
        <v>-8.1085000000000004E-2</v>
      </c>
      <c r="K9" s="5"/>
      <c r="L9" s="5"/>
      <c r="M9" s="21"/>
      <c r="S9" s="56"/>
      <c r="W9" s="3" t="s">
        <v>9</v>
      </c>
      <c r="X9" s="3">
        <v>6.1296999999999997E-2</v>
      </c>
    </row>
    <row r="10" spans="2:24" x14ac:dyDescent="0.2">
      <c r="B10" s="105"/>
      <c r="C10" s="185" t="s">
        <v>120</v>
      </c>
      <c r="D10" s="203">
        <v>9.1815999999999995E-2</v>
      </c>
      <c r="E10" s="5"/>
      <c r="F10" s="5"/>
      <c r="G10" s="5"/>
      <c r="I10" s="3" t="s">
        <v>121</v>
      </c>
      <c r="J10" s="54">
        <f>D11</f>
        <v>9.1815999999999995E-2</v>
      </c>
      <c r="K10" s="5"/>
      <c r="L10" s="5"/>
      <c r="M10" s="21"/>
      <c r="S10" s="56"/>
      <c r="W10" s="3" t="s">
        <v>10</v>
      </c>
      <c r="X10" s="3">
        <v>3.0130999999999998E-2</v>
      </c>
    </row>
    <row r="11" spans="2:24" ht="15.75" x14ac:dyDescent="0.2">
      <c r="B11" s="105"/>
      <c r="C11" s="186" t="s">
        <v>121</v>
      </c>
      <c r="D11" s="204">
        <v>9.1815999999999995E-2</v>
      </c>
      <c r="E11" s="5"/>
      <c r="F11" s="5"/>
      <c r="G11" s="5"/>
      <c r="J11" s="5"/>
      <c r="K11" s="5"/>
      <c r="L11" s="5"/>
      <c r="M11" s="21"/>
      <c r="S11" s="56"/>
      <c r="W11" s="3" t="s">
        <v>7</v>
      </c>
      <c r="X11" s="3">
        <v>2.7299E-2</v>
      </c>
    </row>
    <row r="12" spans="2:24" x14ac:dyDescent="0.2">
      <c r="B12" s="105"/>
      <c r="C12" s="185"/>
      <c r="D12" s="95"/>
      <c r="E12" s="5"/>
      <c r="F12" s="5"/>
      <c r="G12" s="5"/>
      <c r="J12" s="5"/>
      <c r="K12" s="5"/>
      <c r="L12" s="5"/>
      <c r="M12" s="21"/>
      <c r="S12" s="56"/>
      <c r="W12" s="3" t="s">
        <v>26</v>
      </c>
      <c r="X12" s="3">
        <v>2.5925E-2</v>
      </c>
    </row>
    <row r="13" spans="2:24" ht="15.75" x14ac:dyDescent="0.2">
      <c r="B13" s="105"/>
      <c r="C13" s="186" t="s">
        <v>20</v>
      </c>
      <c r="D13" s="204">
        <v>-8.1085000000000004E-2</v>
      </c>
      <c r="E13" s="5"/>
      <c r="F13" s="5"/>
      <c r="G13" s="5"/>
      <c r="J13" s="5"/>
      <c r="K13" s="5"/>
      <c r="L13" s="5"/>
      <c r="M13" s="21"/>
      <c r="S13" s="56"/>
      <c r="W13" s="3" t="s">
        <v>8</v>
      </c>
      <c r="X13" s="3">
        <v>2.3822000000000003E-2</v>
      </c>
    </row>
    <row r="14" spans="2:24" x14ac:dyDescent="0.2">
      <c r="B14" s="105"/>
      <c r="C14" s="185"/>
      <c r="D14" s="95"/>
      <c r="E14" s="5"/>
      <c r="F14" s="5"/>
      <c r="G14" s="5"/>
      <c r="H14" s="5"/>
      <c r="I14" s="5"/>
      <c r="J14" s="5"/>
      <c r="K14" s="5"/>
      <c r="L14" s="5"/>
      <c r="M14" s="21"/>
      <c r="S14" s="56"/>
      <c r="W14" s="3" t="s">
        <v>25</v>
      </c>
      <c r="X14" s="3">
        <v>2.3753E-2</v>
      </c>
    </row>
    <row r="15" spans="2:24" ht="15.75" x14ac:dyDescent="0.2">
      <c r="B15" s="105"/>
      <c r="C15" s="187" t="s">
        <v>21</v>
      </c>
      <c r="D15" s="96">
        <f>D13+D11+D9</f>
        <v>1</v>
      </c>
      <c r="E15" s="5"/>
      <c r="F15" s="5"/>
      <c r="G15" s="5"/>
      <c r="H15" s="5"/>
      <c r="I15" s="5"/>
      <c r="J15" s="5"/>
      <c r="K15" s="5"/>
      <c r="L15" s="5"/>
      <c r="M15" s="21"/>
      <c r="S15" s="56"/>
      <c r="W15" s="3" t="s">
        <v>17</v>
      </c>
      <c r="X15" s="3">
        <v>1.8620999999999999E-2</v>
      </c>
    </row>
    <row r="16" spans="2:24" x14ac:dyDescent="0.2">
      <c r="B16" s="105"/>
      <c r="E16" s="5"/>
      <c r="F16" s="5"/>
      <c r="G16" s="5"/>
      <c r="H16" s="5"/>
      <c r="I16" s="5"/>
      <c r="J16" s="5"/>
      <c r="K16" s="5"/>
      <c r="L16" s="5"/>
      <c r="M16" s="21"/>
      <c r="S16" s="56"/>
      <c r="W16" s="3" t="s">
        <v>27</v>
      </c>
      <c r="X16" s="3">
        <v>1.7219000000000002E-2</v>
      </c>
    </row>
    <row r="17" spans="2:24" ht="15.75" x14ac:dyDescent="0.25">
      <c r="B17" s="105"/>
      <c r="C17" s="36"/>
      <c r="D17" s="37"/>
      <c r="E17" s="5"/>
      <c r="F17" s="5"/>
      <c r="G17" s="5"/>
      <c r="H17" s="5"/>
      <c r="I17" s="5"/>
      <c r="J17" s="5"/>
      <c r="K17" s="5"/>
      <c r="L17" s="5"/>
      <c r="M17" s="21"/>
      <c r="S17" s="56"/>
      <c r="W17" s="3" t="s">
        <v>12</v>
      </c>
      <c r="X17" s="3">
        <v>1.6056000000000001E-2</v>
      </c>
    </row>
    <row r="18" spans="2:24" x14ac:dyDescent="0.2">
      <c r="B18" s="105"/>
      <c r="C18" s="44"/>
      <c r="D18" s="44"/>
      <c r="E18" s="5"/>
      <c r="F18" s="5"/>
      <c r="G18" s="5"/>
      <c r="H18" s="5"/>
      <c r="I18" s="5"/>
      <c r="J18" s="5"/>
      <c r="K18" s="5"/>
      <c r="L18" s="5"/>
      <c r="M18" s="21"/>
      <c r="S18" s="56"/>
      <c r="W18" s="3" t="s">
        <v>6</v>
      </c>
      <c r="X18" s="3">
        <v>1.41E-2</v>
      </c>
    </row>
    <row r="19" spans="2:24" ht="15.75" x14ac:dyDescent="0.25">
      <c r="B19" s="105"/>
      <c r="C19" s="36"/>
      <c r="D19" s="38"/>
      <c r="E19" s="5"/>
      <c r="F19" s="5"/>
      <c r="G19" s="5"/>
      <c r="H19" s="5"/>
      <c r="I19" s="5"/>
      <c r="J19" s="5"/>
      <c r="K19" s="5"/>
      <c r="L19" s="5"/>
      <c r="M19" s="21"/>
      <c r="S19" s="56"/>
      <c r="W19" s="3" t="s">
        <v>14</v>
      </c>
      <c r="X19" s="3">
        <v>1.1167E-2</v>
      </c>
    </row>
    <row r="20" spans="2:24" x14ac:dyDescent="0.2">
      <c r="B20" s="105"/>
      <c r="E20" s="5"/>
      <c r="F20" s="5"/>
      <c r="G20" s="5"/>
      <c r="H20" s="5"/>
      <c r="I20" s="5"/>
      <c r="J20" s="5"/>
      <c r="K20" s="5"/>
      <c r="L20" s="5"/>
      <c r="M20" s="21"/>
      <c r="S20" s="56"/>
      <c r="W20" s="3" t="s">
        <v>11</v>
      </c>
      <c r="X20" s="3">
        <v>1.1159000000000001E-2</v>
      </c>
    </row>
    <row r="21" spans="2:24" x14ac:dyDescent="0.2">
      <c r="B21" s="105"/>
      <c r="E21" s="5"/>
      <c r="F21" s="5"/>
      <c r="G21" s="5"/>
      <c r="H21" s="5"/>
      <c r="I21" s="5"/>
      <c r="J21" s="5"/>
      <c r="K21" s="5"/>
      <c r="L21" s="5"/>
      <c r="M21" s="21"/>
      <c r="S21" s="56"/>
      <c r="W21" s="3" t="s">
        <v>18</v>
      </c>
      <c r="X21" s="3">
        <v>1.0543E-2</v>
      </c>
    </row>
    <row r="22" spans="2:24" ht="16.5" thickBot="1" x14ac:dyDescent="0.3">
      <c r="B22" s="108"/>
      <c r="C22" s="243"/>
      <c r="D22" s="243"/>
      <c r="E22" s="243"/>
      <c r="F22" s="243"/>
      <c r="G22" s="243"/>
      <c r="H22" s="243"/>
      <c r="I22" s="243"/>
      <c r="J22" s="243"/>
      <c r="K22" s="243"/>
      <c r="L22" s="243"/>
      <c r="M22" s="244"/>
      <c r="S22" s="56"/>
    </row>
    <row r="23" spans="2:24" ht="15.75" thickBot="1" x14ac:dyDescent="0.25">
      <c r="S23" s="56"/>
    </row>
    <row r="24" spans="2:24" ht="15" customHeight="1" x14ac:dyDescent="0.2">
      <c r="B24" s="245" t="s">
        <v>265</v>
      </c>
      <c r="C24" s="246"/>
      <c r="D24" s="246"/>
      <c r="E24" s="246"/>
      <c r="F24" s="246"/>
      <c r="G24" s="246"/>
      <c r="H24" s="246"/>
      <c r="I24" s="246"/>
      <c r="J24" s="246"/>
      <c r="K24" s="246"/>
      <c r="L24" s="246"/>
      <c r="M24" s="246"/>
      <c r="N24" s="247"/>
      <c r="S24" s="56"/>
    </row>
    <row r="25" spans="2:24" ht="15.75" customHeight="1" x14ac:dyDescent="0.2">
      <c r="B25" s="248"/>
      <c r="C25" s="249"/>
      <c r="D25" s="249"/>
      <c r="E25" s="249"/>
      <c r="F25" s="249"/>
      <c r="G25" s="249"/>
      <c r="H25" s="249"/>
      <c r="I25" s="249"/>
      <c r="J25" s="249"/>
      <c r="K25" s="249"/>
      <c r="L25" s="249"/>
      <c r="M25" s="249"/>
      <c r="N25" s="250"/>
      <c r="S25" s="56"/>
    </row>
    <row r="26" spans="2:24" ht="15.75" customHeight="1" x14ac:dyDescent="0.2">
      <c r="B26" s="248"/>
      <c r="C26" s="249"/>
      <c r="D26" s="249"/>
      <c r="E26" s="249"/>
      <c r="F26" s="249"/>
      <c r="G26" s="249"/>
      <c r="H26" s="249"/>
      <c r="I26" s="249"/>
      <c r="J26" s="249"/>
      <c r="K26" s="249"/>
      <c r="L26" s="249"/>
      <c r="M26" s="249"/>
      <c r="N26" s="250"/>
      <c r="S26" s="56"/>
    </row>
    <row r="27" spans="2:24" ht="15.75" customHeight="1" x14ac:dyDescent="0.2">
      <c r="B27" s="248"/>
      <c r="C27" s="249"/>
      <c r="D27" s="249"/>
      <c r="E27" s="249"/>
      <c r="F27" s="249"/>
      <c r="G27" s="249"/>
      <c r="H27" s="249"/>
      <c r="I27" s="249"/>
      <c r="J27" s="249"/>
      <c r="K27" s="249"/>
      <c r="L27" s="249"/>
      <c r="M27" s="249"/>
      <c r="N27" s="250"/>
      <c r="S27" s="56"/>
    </row>
    <row r="28" spans="2:24" ht="15.75" customHeight="1" x14ac:dyDescent="0.2">
      <c r="B28" s="248"/>
      <c r="C28" s="249"/>
      <c r="D28" s="249"/>
      <c r="E28" s="249"/>
      <c r="F28" s="249"/>
      <c r="G28" s="249"/>
      <c r="H28" s="249"/>
      <c r="I28" s="249"/>
      <c r="J28" s="249"/>
      <c r="K28" s="249"/>
      <c r="L28" s="249"/>
      <c r="M28" s="249"/>
      <c r="N28" s="250"/>
      <c r="S28" s="56"/>
    </row>
    <row r="29" spans="2:24" ht="15.75" customHeight="1" x14ac:dyDescent="0.2">
      <c r="B29" s="248"/>
      <c r="C29" s="249"/>
      <c r="D29" s="249"/>
      <c r="E29" s="249"/>
      <c r="F29" s="249"/>
      <c r="G29" s="249"/>
      <c r="H29" s="249"/>
      <c r="I29" s="249"/>
      <c r="J29" s="249"/>
      <c r="K29" s="249"/>
      <c r="L29" s="249"/>
      <c r="M29" s="249"/>
      <c r="N29" s="250"/>
      <c r="S29" s="56"/>
    </row>
    <row r="30" spans="2:24" ht="28.5" customHeight="1" thickBot="1" x14ac:dyDescent="0.25">
      <c r="B30" s="251"/>
      <c r="C30" s="252"/>
      <c r="D30" s="252"/>
      <c r="E30" s="252"/>
      <c r="F30" s="252"/>
      <c r="G30" s="252"/>
      <c r="H30" s="252"/>
      <c r="I30" s="252"/>
      <c r="J30" s="252"/>
      <c r="K30" s="252"/>
      <c r="L30" s="252"/>
      <c r="M30" s="252"/>
      <c r="N30" s="253"/>
      <c r="S30" s="56"/>
    </row>
    <row r="31" spans="2:24" ht="15.75" thickBot="1" x14ac:dyDescent="0.25">
      <c r="S31" s="56"/>
    </row>
    <row r="32" spans="2:24" x14ac:dyDescent="0.2">
      <c r="B32" s="245" t="s">
        <v>109</v>
      </c>
      <c r="C32" s="246"/>
      <c r="D32" s="246"/>
      <c r="E32" s="246"/>
      <c r="F32" s="246"/>
      <c r="G32" s="246"/>
      <c r="H32" s="246"/>
      <c r="I32" s="246"/>
      <c r="J32" s="246"/>
      <c r="K32" s="246"/>
      <c r="L32" s="246"/>
      <c r="M32" s="246"/>
      <c r="N32" s="247"/>
      <c r="S32" s="56"/>
    </row>
    <row r="33" spans="2:19" x14ac:dyDescent="0.2">
      <c r="B33" s="248"/>
      <c r="C33" s="249"/>
      <c r="D33" s="249"/>
      <c r="E33" s="249"/>
      <c r="F33" s="249"/>
      <c r="G33" s="249"/>
      <c r="H33" s="249"/>
      <c r="I33" s="249"/>
      <c r="J33" s="249"/>
      <c r="K33" s="249"/>
      <c r="L33" s="249"/>
      <c r="M33" s="249"/>
      <c r="N33" s="250"/>
      <c r="S33" s="56"/>
    </row>
    <row r="34" spans="2:19" x14ac:dyDescent="0.2">
      <c r="B34" s="248"/>
      <c r="C34" s="249"/>
      <c r="D34" s="249"/>
      <c r="E34" s="249"/>
      <c r="F34" s="249"/>
      <c r="G34" s="249"/>
      <c r="H34" s="249"/>
      <c r="I34" s="249"/>
      <c r="J34" s="249"/>
      <c r="K34" s="249"/>
      <c r="L34" s="249"/>
      <c r="M34" s="249"/>
      <c r="N34" s="250"/>
      <c r="S34" s="56"/>
    </row>
    <row r="35" spans="2:19" x14ac:dyDescent="0.2">
      <c r="B35" s="248"/>
      <c r="C35" s="249"/>
      <c r="D35" s="249"/>
      <c r="E35" s="249"/>
      <c r="F35" s="249"/>
      <c r="G35" s="249"/>
      <c r="H35" s="249"/>
      <c r="I35" s="249"/>
      <c r="J35" s="249"/>
      <c r="K35" s="249"/>
      <c r="L35" s="249"/>
      <c r="M35" s="249"/>
      <c r="N35" s="250"/>
      <c r="S35" s="56"/>
    </row>
    <row r="36" spans="2:19" x14ac:dyDescent="0.2">
      <c r="B36" s="248"/>
      <c r="C36" s="249"/>
      <c r="D36" s="249"/>
      <c r="E36" s="249"/>
      <c r="F36" s="249"/>
      <c r="G36" s="249"/>
      <c r="H36" s="249"/>
      <c r="I36" s="249"/>
      <c r="J36" s="249"/>
      <c r="K36" s="249"/>
      <c r="L36" s="249"/>
      <c r="M36" s="249"/>
      <c r="N36" s="250"/>
      <c r="S36" s="56"/>
    </row>
    <row r="37" spans="2:19" x14ac:dyDescent="0.2">
      <c r="B37" s="248"/>
      <c r="C37" s="249"/>
      <c r="D37" s="249"/>
      <c r="E37" s="249"/>
      <c r="F37" s="249"/>
      <c r="G37" s="249"/>
      <c r="H37" s="249"/>
      <c r="I37" s="249"/>
      <c r="J37" s="249"/>
      <c r="K37" s="249"/>
      <c r="L37" s="249"/>
      <c r="M37" s="249"/>
      <c r="N37" s="250"/>
      <c r="S37" s="56"/>
    </row>
    <row r="38" spans="2:19" ht="15.75" thickBot="1" x14ac:dyDescent="0.25">
      <c r="B38" s="251"/>
      <c r="C38" s="252"/>
      <c r="D38" s="252"/>
      <c r="E38" s="252"/>
      <c r="F38" s="252"/>
      <c r="G38" s="252"/>
      <c r="H38" s="252"/>
      <c r="I38" s="252"/>
      <c r="J38" s="252"/>
      <c r="K38" s="252"/>
      <c r="L38" s="252"/>
      <c r="M38" s="252"/>
      <c r="N38" s="253"/>
      <c r="S38" s="56"/>
    </row>
    <row r="39" spans="2:19" x14ac:dyDescent="0.2">
      <c r="S39" s="56"/>
    </row>
    <row r="40" spans="2:19" x14ac:dyDescent="0.2">
      <c r="S40" s="56"/>
    </row>
    <row r="41" spans="2:19" x14ac:dyDescent="0.2">
      <c r="S41" s="56"/>
    </row>
    <row r="42" spans="2:19" x14ac:dyDescent="0.2">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1.8554687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7" width="9.140625" style="42"/>
    <col min="28"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5"/>
    </row>
    <row r="3" spans="1:24" ht="20.25" customHeight="1" x14ac:dyDescent="0.25">
      <c r="B3" s="75"/>
      <c r="C3" s="254" t="s">
        <v>237</v>
      </c>
      <c r="D3" s="255"/>
      <c r="E3" s="255"/>
      <c r="F3" s="255"/>
      <c r="G3" s="255"/>
      <c r="H3" s="255"/>
      <c r="I3" s="255"/>
      <c r="J3" s="255"/>
      <c r="K3" s="255"/>
      <c r="L3" s="255"/>
      <c r="M3" s="255"/>
      <c r="N3" s="255"/>
      <c r="O3" s="255"/>
      <c r="P3" s="255"/>
      <c r="Q3" s="255"/>
      <c r="R3" s="255"/>
      <c r="S3" s="255"/>
      <c r="T3" s="26"/>
    </row>
    <row r="4" spans="1:24" ht="15.75" customHeight="1" x14ac:dyDescent="0.25">
      <c r="B4" s="75"/>
      <c r="C4" s="78" t="s">
        <v>303</v>
      </c>
      <c r="D4" s="30"/>
      <c r="E4" s="180"/>
      <c r="F4" s="180"/>
      <c r="G4" s="180"/>
      <c r="H4" s="180"/>
      <c r="I4" s="180"/>
      <c r="J4" s="180"/>
      <c r="K4" s="30"/>
      <c r="L4" s="30"/>
      <c r="M4" s="30"/>
      <c r="N4" s="30"/>
      <c r="O4" s="30"/>
      <c r="P4" s="30"/>
      <c r="Q4" s="30"/>
      <c r="R4" s="30"/>
      <c r="S4" s="30"/>
      <c r="T4" s="26"/>
    </row>
    <row r="5" spans="1:24" ht="18" customHeight="1" x14ac:dyDescent="0.25">
      <c r="B5" s="75"/>
      <c r="C5" s="79" t="s">
        <v>304</v>
      </c>
      <c r="D5" s="256" t="s">
        <v>278</v>
      </c>
      <c r="E5" s="256"/>
      <c r="F5" s="30"/>
      <c r="G5" s="30"/>
      <c r="H5" s="58"/>
      <c r="I5" s="58"/>
      <c r="J5" s="58"/>
      <c r="K5" s="58"/>
      <c r="L5" s="58"/>
      <c r="M5" s="58"/>
      <c r="N5" s="58"/>
      <c r="O5" s="58"/>
      <c r="P5" s="58"/>
      <c r="Q5" s="58"/>
      <c r="R5" s="58"/>
      <c r="S5" s="58"/>
      <c r="T5" s="59"/>
    </row>
    <row r="6" spans="1:24" ht="15" customHeight="1" x14ac:dyDescent="0.25">
      <c r="B6" s="75"/>
      <c r="C6" s="30"/>
      <c r="D6" s="30"/>
      <c r="E6" s="30"/>
      <c r="F6" s="30"/>
      <c r="G6" s="30"/>
      <c r="H6" s="58"/>
      <c r="I6" s="58"/>
      <c r="J6" s="58"/>
      <c r="K6" s="58"/>
      <c r="L6" s="58"/>
      <c r="M6" s="58"/>
      <c r="N6" s="58"/>
      <c r="O6" s="58"/>
      <c r="P6" s="58"/>
      <c r="Q6" s="58"/>
      <c r="R6" s="58"/>
      <c r="S6" s="58"/>
      <c r="T6" s="59"/>
    </row>
    <row r="7" spans="1:24" ht="32.25" customHeight="1" x14ac:dyDescent="0.25">
      <c r="B7" s="75"/>
      <c r="C7" s="168" t="s">
        <v>0</v>
      </c>
      <c r="D7" s="169" t="s">
        <v>1</v>
      </c>
      <c r="E7" s="168" t="s">
        <v>2</v>
      </c>
      <c r="F7" s="30"/>
      <c r="G7" s="30"/>
      <c r="H7" s="30"/>
      <c r="I7" s="30"/>
      <c r="J7" s="30"/>
      <c r="K7" s="30"/>
      <c r="L7" s="30"/>
      <c r="M7" s="30"/>
      <c r="N7" s="30"/>
      <c r="O7" s="30"/>
      <c r="P7" s="30"/>
      <c r="Q7" s="30"/>
      <c r="R7" s="30"/>
      <c r="S7" s="30"/>
      <c r="T7" s="26"/>
      <c r="W7" s="42" t="s">
        <v>22</v>
      </c>
      <c r="X7" s="42" t="s">
        <v>2</v>
      </c>
    </row>
    <row r="8" spans="1:24" ht="15" customHeight="1" x14ac:dyDescent="0.25">
      <c r="B8" s="75"/>
      <c r="C8" s="221" t="s">
        <v>33</v>
      </c>
      <c r="D8" s="222" t="s">
        <v>3</v>
      </c>
      <c r="E8" s="223">
        <v>8.4103999999999998E-2</v>
      </c>
      <c r="F8" s="150"/>
      <c r="G8" s="30"/>
      <c r="H8" s="30"/>
      <c r="I8" s="30"/>
      <c r="J8" s="30"/>
      <c r="K8" s="30"/>
      <c r="L8" s="30"/>
      <c r="M8" s="30"/>
      <c r="N8" s="30"/>
      <c r="O8" s="30"/>
      <c r="P8" s="30"/>
      <c r="Q8" s="30"/>
      <c r="R8" s="30"/>
      <c r="S8" s="30"/>
      <c r="T8" s="26"/>
      <c r="W8" s="190" t="s">
        <v>3</v>
      </c>
      <c r="X8" s="191">
        <v>0.234015</v>
      </c>
    </row>
    <row r="9" spans="1:24" ht="15.75" customHeight="1" x14ac:dyDescent="0.25">
      <c r="B9" s="75"/>
      <c r="C9" s="211" t="s">
        <v>29</v>
      </c>
      <c r="D9" s="224" t="s">
        <v>3</v>
      </c>
      <c r="E9" s="225">
        <v>8.0567E-2</v>
      </c>
      <c r="F9" s="150"/>
      <c r="G9" s="30"/>
      <c r="H9" s="30"/>
      <c r="I9" s="30"/>
      <c r="J9" s="30"/>
      <c r="K9" s="30"/>
      <c r="L9" s="30"/>
      <c r="M9" s="30"/>
      <c r="N9" s="30"/>
      <c r="O9" s="30"/>
      <c r="P9" s="30"/>
      <c r="Q9" s="30"/>
      <c r="R9" s="30"/>
      <c r="S9" s="30"/>
      <c r="T9" s="26"/>
      <c r="W9" s="190" t="s">
        <v>4</v>
      </c>
      <c r="X9" s="191">
        <v>9.8470999999999989E-2</v>
      </c>
    </row>
    <row r="10" spans="1:24" ht="15" customHeight="1" x14ac:dyDescent="0.25">
      <c r="B10" s="75"/>
      <c r="C10" s="211" t="s">
        <v>32</v>
      </c>
      <c r="D10" s="224" t="s">
        <v>6</v>
      </c>
      <c r="E10" s="225">
        <v>4.4866999999999997E-2</v>
      </c>
      <c r="F10" s="150"/>
      <c r="G10" s="30"/>
      <c r="H10" s="30"/>
      <c r="I10" s="30"/>
      <c r="J10" s="30"/>
      <c r="K10" s="30"/>
      <c r="L10" s="30"/>
      <c r="M10" s="30"/>
      <c r="N10" s="30"/>
      <c r="O10" s="30"/>
      <c r="P10" s="30"/>
      <c r="Q10" s="30"/>
      <c r="R10" s="30"/>
      <c r="S10" s="30"/>
      <c r="T10" s="26"/>
      <c r="W10" s="190" t="s">
        <v>138</v>
      </c>
      <c r="X10" s="191">
        <v>7.9673999999999995E-2</v>
      </c>
    </row>
    <row r="11" spans="1:24" ht="15" customHeight="1" x14ac:dyDescent="0.25">
      <c r="B11" s="75"/>
      <c r="C11" s="211" t="s">
        <v>37</v>
      </c>
      <c r="D11" s="224" t="s">
        <v>3</v>
      </c>
      <c r="E11" s="225">
        <v>4.1452999999999997E-2</v>
      </c>
      <c r="F11" s="150"/>
      <c r="G11" s="30"/>
      <c r="H11" s="30"/>
      <c r="I11" s="30"/>
      <c r="J11" s="30"/>
      <c r="K11" s="30"/>
      <c r="L11" s="30"/>
      <c r="M11" s="30"/>
      <c r="N11" s="30"/>
      <c r="O11" s="30"/>
      <c r="P11" s="30"/>
      <c r="Q11" s="30"/>
      <c r="R11" s="30"/>
      <c r="S11" s="30"/>
      <c r="T11" s="26"/>
      <c r="W11" s="190" t="s">
        <v>135</v>
      </c>
      <c r="X11" s="191">
        <v>5.5077999999999995E-2</v>
      </c>
    </row>
    <row r="12" spans="1:24" ht="15" customHeight="1" x14ac:dyDescent="0.25">
      <c r="B12" s="75"/>
      <c r="C12" s="211" t="s">
        <v>30</v>
      </c>
      <c r="D12" s="224" t="s">
        <v>4</v>
      </c>
      <c r="E12" s="225">
        <v>3.1144999999999999E-2</v>
      </c>
      <c r="F12" s="150"/>
      <c r="G12" s="30"/>
      <c r="H12" s="30"/>
      <c r="I12" s="30"/>
      <c r="J12" s="30"/>
      <c r="K12" s="30"/>
      <c r="L12" s="30"/>
      <c r="M12" s="30"/>
      <c r="N12" s="30"/>
      <c r="O12" s="30"/>
      <c r="P12" s="30"/>
      <c r="Q12" s="30"/>
      <c r="R12" s="30"/>
      <c r="S12" s="30"/>
      <c r="T12" s="26"/>
      <c r="W12" s="190" t="s">
        <v>140</v>
      </c>
      <c r="X12" s="191">
        <v>5.0696000000000005E-2</v>
      </c>
    </row>
    <row r="13" spans="1:24" ht="15" customHeight="1" x14ac:dyDescent="0.25">
      <c r="B13" s="75"/>
      <c r="C13" s="211" t="s">
        <v>31</v>
      </c>
      <c r="D13" s="224" t="s">
        <v>146</v>
      </c>
      <c r="E13" s="225">
        <v>3.0606000000000001E-2</v>
      </c>
      <c r="F13" s="150"/>
      <c r="G13" s="30"/>
      <c r="H13" s="30"/>
      <c r="I13" s="30"/>
      <c r="J13" s="30"/>
      <c r="K13" s="30"/>
      <c r="L13" s="30"/>
      <c r="M13" s="30"/>
      <c r="N13" s="30"/>
      <c r="O13" s="30"/>
      <c r="P13" s="30"/>
      <c r="Q13" s="30"/>
      <c r="R13" s="30"/>
      <c r="S13" s="30"/>
      <c r="T13" s="26"/>
      <c r="W13" s="190" t="s">
        <v>6</v>
      </c>
      <c r="X13" s="191">
        <v>4.4866999999999997E-2</v>
      </c>
    </row>
    <row r="14" spans="1:24" ht="15" customHeight="1" x14ac:dyDescent="0.25">
      <c r="B14" s="75"/>
      <c r="C14" s="211" t="s">
        <v>64</v>
      </c>
      <c r="D14" s="224" t="s">
        <v>10</v>
      </c>
      <c r="E14" s="225">
        <v>2.6386E-2</v>
      </c>
      <c r="F14" s="150"/>
      <c r="G14" s="30"/>
      <c r="H14" s="30"/>
      <c r="I14" s="30"/>
      <c r="J14" s="30"/>
      <c r="K14" s="30"/>
      <c r="L14" s="30"/>
      <c r="M14" s="30"/>
      <c r="N14" s="30"/>
      <c r="O14" s="30"/>
      <c r="P14" s="30"/>
      <c r="Q14" s="30"/>
      <c r="R14" s="30"/>
      <c r="S14" s="30"/>
      <c r="T14" s="26"/>
      <c r="W14" s="190" t="s">
        <v>146</v>
      </c>
      <c r="X14" s="191">
        <v>3.0606000000000001E-2</v>
      </c>
    </row>
    <row r="15" spans="1:24" ht="15.75" x14ac:dyDescent="0.25">
      <c r="B15" s="75"/>
      <c r="C15" s="211" t="s">
        <v>86</v>
      </c>
      <c r="D15" s="224" t="s">
        <v>4</v>
      </c>
      <c r="E15" s="225">
        <v>2.4383999999999999E-2</v>
      </c>
      <c r="F15" s="150"/>
      <c r="G15" s="30"/>
      <c r="H15" s="30"/>
      <c r="I15" s="30"/>
      <c r="J15" s="30"/>
      <c r="K15" s="30"/>
      <c r="L15" s="30"/>
      <c r="M15" s="30"/>
      <c r="N15" s="30"/>
      <c r="O15" s="30"/>
      <c r="P15" s="30"/>
      <c r="Q15" s="30"/>
      <c r="R15" s="30"/>
      <c r="S15" s="30"/>
      <c r="T15" s="26"/>
      <c r="W15" s="190" t="s">
        <v>141</v>
      </c>
      <c r="X15" s="191">
        <v>2.7989E-2</v>
      </c>
    </row>
    <row r="16" spans="1:24" ht="15" customHeight="1" x14ac:dyDescent="0.25">
      <c r="B16" s="75"/>
      <c r="C16" s="211" t="s">
        <v>165</v>
      </c>
      <c r="D16" s="224" t="s">
        <v>141</v>
      </c>
      <c r="E16" s="225">
        <v>2.0746000000000001E-2</v>
      </c>
      <c r="F16" s="150"/>
      <c r="G16" s="30"/>
      <c r="H16" s="30"/>
      <c r="I16" s="30"/>
      <c r="J16" s="30"/>
      <c r="K16" s="30"/>
      <c r="L16" s="30"/>
      <c r="M16" s="30"/>
      <c r="N16" s="30"/>
      <c r="O16" s="30"/>
      <c r="P16" s="30"/>
      <c r="Q16" s="30"/>
      <c r="R16" s="30"/>
      <c r="S16" s="30"/>
      <c r="T16" s="26"/>
      <c r="W16" s="190" t="s">
        <v>154</v>
      </c>
      <c r="X16" s="191">
        <v>2.7171000000000001E-2</v>
      </c>
    </row>
    <row r="17" spans="2:24" ht="15.75" x14ac:dyDescent="0.25">
      <c r="B17" s="75"/>
      <c r="C17" s="211" t="s">
        <v>197</v>
      </c>
      <c r="D17" s="224" t="s">
        <v>135</v>
      </c>
      <c r="E17" s="225">
        <v>2.0285000000000001E-2</v>
      </c>
      <c r="F17" s="150"/>
      <c r="G17" s="30"/>
      <c r="H17" s="30"/>
      <c r="I17" s="30"/>
      <c r="J17" s="30"/>
      <c r="K17" s="30"/>
      <c r="L17" s="30"/>
      <c r="M17" s="30"/>
      <c r="N17" s="30"/>
      <c r="O17" s="30"/>
      <c r="P17" s="30"/>
      <c r="Q17" s="30"/>
      <c r="R17" s="30"/>
      <c r="S17" s="30"/>
      <c r="T17" s="26"/>
      <c r="W17" s="190" t="s">
        <v>10</v>
      </c>
      <c r="X17" s="191">
        <v>2.6386E-2</v>
      </c>
    </row>
    <row r="18" spans="2:24" ht="15.75" x14ac:dyDescent="0.25">
      <c r="B18" s="75"/>
      <c r="C18" s="211" t="s">
        <v>28</v>
      </c>
      <c r="D18" s="224" t="s">
        <v>135</v>
      </c>
      <c r="E18" s="225">
        <v>2.0246E-2</v>
      </c>
      <c r="F18" s="150"/>
      <c r="G18" s="30"/>
      <c r="H18" s="30"/>
      <c r="I18" s="30"/>
      <c r="J18" s="30"/>
      <c r="K18" s="30"/>
      <c r="L18" s="30"/>
      <c r="M18" s="30"/>
      <c r="N18" s="30"/>
      <c r="O18" s="30"/>
      <c r="P18" s="30"/>
      <c r="Q18" s="30"/>
      <c r="R18" s="30"/>
      <c r="S18" s="30"/>
      <c r="T18" s="26"/>
      <c r="W18" s="190" t="s">
        <v>26</v>
      </c>
      <c r="X18" s="191">
        <v>2.5718999999999999E-2</v>
      </c>
    </row>
    <row r="19" spans="2:24" ht="15.75" x14ac:dyDescent="0.25">
      <c r="B19" s="75"/>
      <c r="C19" s="211" t="s">
        <v>192</v>
      </c>
      <c r="D19" s="224" t="s">
        <v>154</v>
      </c>
      <c r="E19" s="225">
        <v>1.959E-2</v>
      </c>
      <c r="F19" s="150"/>
      <c r="G19" s="30"/>
      <c r="H19" s="30"/>
      <c r="I19" s="30"/>
      <c r="J19" s="30"/>
      <c r="K19" s="30"/>
      <c r="L19" s="30"/>
      <c r="M19" s="30"/>
      <c r="N19" s="30"/>
      <c r="O19" s="30"/>
      <c r="P19" s="30"/>
      <c r="Q19" s="30"/>
      <c r="R19" s="30"/>
      <c r="S19" s="30"/>
      <c r="T19" s="26"/>
      <c r="W19" s="190" t="s">
        <v>100</v>
      </c>
      <c r="X19" s="191">
        <v>2.4305E-2</v>
      </c>
    </row>
    <row r="20" spans="2:24" ht="15" customHeight="1" x14ac:dyDescent="0.25">
      <c r="B20" s="75"/>
      <c r="C20" s="211" t="s">
        <v>170</v>
      </c>
      <c r="D20" s="224" t="s">
        <v>138</v>
      </c>
      <c r="E20" s="225">
        <v>1.9051999999999999E-2</v>
      </c>
      <c r="F20" s="150"/>
      <c r="G20" s="30"/>
      <c r="H20" s="30"/>
      <c r="I20" s="30"/>
      <c r="J20" s="30"/>
      <c r="K20" s="30"/>
      <c r="L20" s="30"/>
      <c r="M20" s="30"/>
      <c r="N20" s="30"/>
      <c r="O20" s="30"/>
      <c r="P20" s="30"/>
      <c r="Q20" s="30"/>
      <c r="R20" s="30"/>
      <c r="S20" s="30"/>
      <c r="T20" s="26"/>
      <c r="W20" s="190" t="s">
        <v>99</v>
      </c>
      <c r="X20" s="191">
        <v>2.3359999999999999E-2</v>
      </c>
    </row>
    <row r="21" spans="2:24" ht="17.25" customHeight="1" x14ac:dyDescent="0.25">
      <c r="B21" s="75"/>
      <c r="C21" s="211" t="s">
        <v>254</v>
      </c>
      <c r="D21" s="224" t="s">
        <v>111</v>
      </c>
      <c r="E21" s="225">
        <v>1.8598E-2</v>
      </c>
      <c r="F21" s="150"/>
      <c r="G21" s="30"/>
      <c r="H21" s="30"/>
      <c r="I21" s="30"/>
      <c r="J21" s="30"/>
      <c r="K21" s="30"/>
      <c r="L21" s="30"/>
      <c r="M21" s="30"/>
      <c r="N21" s="30"/>
      <c r="O21" s="30"/>
      <c r="P21" s="30"/>
      <c r="Q21" s="30"/>
      <c r="R21" s="30"/>
      <c r="S21" s="30"/>
      <c r="T21" s="26"/>
      <c r="W21" s="190" t="s">
        <v>134</v>
      </c>
      <c r="X21" s="191">
        <v>2.2100000000000002E-2</v>
      </c>
    </row>
    <row r="22" spans="2:24" ht="15" customHeight="1" x14ac:dyDescent="0.25">
      <c r="B22" s="75"/>
      <c r="C22" s="211" t="s">
        <v>269</v>
      </c>
      <c r="D22" s="224" t="s">
        <v>100</v>
      </c>
      <c r="E22" s="225">
        <v>1.6171000000000001E-2</v>
      </c>
      <c r="F22" s="150"/>
      <c r="G22" s="30"/>
      <c r="H22" s="30"/>
      <c r="I22" s="30"/>
      <c r="J22" s="30"/>
      <c r="K22" s="30"/>
      <c r="L22" s="30"/>
      <c r="M22" s="30"/>
      <c r="N22" s="30"/>
      <c r="O22" s="30"/>
      <c r="P22" s="30"/>
      <c r="Q22" s="30"/>
      <c r="R22" s="30"/>
      <c r="S22" s="30"/>
      <c r="T22" s="26"/>
      <c r="W22" s="190" t="s">
        <v>25</v>
      </c>
      <c r="X22" s="191">
        <v>2.0458999999999998E-2</v>
      </c>
    </row>
    <row r="23" spans="2:24" ht="15" customHeight="1" x14ac:dyDescent="0.25">
      <c r="B23" s="75"/>
      <c r="C23" s="94"/>
      <c r="D23" s="94"/>
      <c r="E23" s="95"/>
      <c r="F23" s="150"/>
      <c r="G23" s="30"/>
      <c r="H23" s="30"/>
      <c r="I23" s="30"/>
      <c r="J23" s="30"/>
      <c r="K23" s="30"/>
      <c r="L23" s="30"/>
      <c r="M23" s="30"/>
      <c r="N23" s="30"/>
      <c r="O23" s="30"/>
      <c r="P23" s="30"/>
      <c r="Q23" s="30"/>
      <c r="R23" s="30"/>
      <c r="S23" s="30"/>
      <c r="T23" s="26"/>
      <c r="W23" s="190" t="s">
        <v>111</v>
      </c>
      <c r="X23" s="191">
        <v>1.8598E-2</v>
      </c>
    </row>
    <row r="24" spans="2:24" ht="15" customHeight="1" x14ac:dyDescent="0.25">
      <c r="B24" s="75"/>
      <c r="C24" s="181" t="s">
        <v>56</v>
      </c>
      <c r="D24" s="182"/>
      <c r="E24" s="183">
        <f>SUM(E8:E22)</f>
        <v>0.49820000000000003</v>
      </c>
      <c r="F24" s="30"/>
      <c r="G24" s="30"/>
      <c r="H24" s="30"/>
      <c r="I24" s="30"/>
      <c r="J24" s="30"/>
      <c r="K24" s="30"/>
      <c r="L24" s="30"/>
      <c r="M24" s="30"/>
      <c r="N24" s="30"/>
      <c r="O24" s="30"/>
      <c r="P24" s="30"/>
      <c r="Q24" s="30"/>
      <c r="R24" s="30"/>
      <c r="S24" s="30"/>
      <c r="T24" s="26"/>
      <c r="W24" s="190" t="s">
        <v>24</v>
      </c>
      <c r="X24" s="191">
        <v>1.8495999999999999E-2</v>
      </c>
    </row>
    <row r="25" spans="2:24" ht="15" customHeight="1" x14ac:dyDescent="0.25">
      <c r="B25" s="75"/>
      <c r="C25" s="30"/>
      <c r="D25" s="30"/>
      <c r="E25" s="30"/>
      <c r="F25" s="30"/>
      <c r="G25" s="30"/>
      <c r="H25" s="30"/>
      <c r="I25" s="30"/>
      <c r="J25" s="30"/>
      <c r="K25" s="30"/>
      <c r="L25" s="30"/>
      <c r="M25" s="30"/>
      <c r="N25" s="30"/>
      <c r="O25" s="30"/>
      <c r="P25" s="30"/>
      <c r="Q25" s="30"/>
      <c r="R25" s="30"/>
      <c r="S25" s="30"/>
      <c r="T25" s="26"/>
      <c r="W25" s="190" t="s">
        <v>142</v>
      </c>
      <c r="X25" s="191">
        <v>1.3462E-2</v>
      </c>
    </row>
    <row r="26" spans="2:24" ht="15" customHeight="1" x14ac:dyDescent="0.25">
      <c r="B26" s="75"/>
      <c r="C26" s="30"/>
      <c r="D26" s="30"/>
      <c r="E26" s="30"/>
      <c r="F26" s="30"/>
      <c r="G26" s="30"/>
      <c r="H26" s="30"/>
      <c r="I26" s="30"/>
      <c r="J26" s="30"/>
      <c r="K26" s="30"/>
      <c r="L26" s="30"/>
      <c r="M26" s="30"/>
      <c r="N26" s="30"/>
      <c r="O26" s="30"/>
      <c r="P26" s="30"/>
      <c r="Q26" s="30"/>
      <c r="R26" s="30"/>
      <c r="S26" s="30"/>
      <c r="T26" s="26"/>
      <c r="W26" s="190" t="s">
        <v>11</v>
      </c>
      <c r="X26" s="191">
        <v>1.3299999999999999E-2</v>
      </c>
    </row>
    <row r="27" spans="2:24" ht="15" customHeight="1" x14ac:dyDescent="0.25">
      <c r="B27" s="75"/>
      <c r="C27" s="30"/>
      <c r="D27" s="30"/>
      <c r="E27" s="30"/>
      <c r="F27" s="30"/>
      <c r="G27" s="30"/>
      <c r="H27" s="30"/>
      <c r="I27" s="30"/>
      <c r="J27" s="30"/>
      <c r="K27" s="30"/>
      <c r="L27" s="30"/>
      <c r="M27" s="30"/>
      <c r="N27" s="30"/>
      <c r="O27" s="30"/>
      <c r="P27" s="30"/>
      <c r="Q27" s="30"/>
      <c r="R27" s="30"/>
      <c r="S27" s="30"/>
      <c r="T27" s="26"/>
      <c r="W27" s="190" t="s">
        <v>12</v>
      </c>
      <c r="X27" s="191">
        <v>1.2102999999999999E-2</v>
      </c>
    </row>
    <row r="28" spans="2:24" ht="15" customHeight="1" x14ac:dyDescent="0.25">
      <c r="B28" s="75"/>
      <c r="C28" s="30"/>
      <c r="D28" s="30"/>
      <c r="E28" s="30"/>
      <c r="F28" s="30"/>
      <c r="G28" s="30"/>
      <c r="H28" s="30"/>
      <c r="I28" s="30"/>
      <c r="J28" s="30"/>
      <c r="K28" s="30"/>
      <c r="L28" s="30"/>
      <c r="M28" s="30"/>
      <c r="N28" s="30"/>
      <c r="O28" s="30"/>
      <c r="P28" s="30"/>
      <c r="Q28" s="30"/>
      <c r="R28" s="30"/>
      <c r="S28" s="30"/>
      <c r="T28" s="26"/>
      <c r="W28" s="190" t="s">
        <v>101</v>
      </c>
      <c r="X28" s="191">
        <v>1.1464999999999999E-2</v>
      </c>
    </row>
    <row r="29" spans="2:24" ht="15" customHeight="1" x14ac:dyDescent="0.25">
      <c r="B29" s="75"/>
      <c r="C29" s="30"/>
      <c r="D29" s="30"/>
      <c r="E29" s="30"/>
      <c r="F29" s="30"/>
      <c r="G29" s="30"/>
      <c r="H29" s="30"/>
      <c r="I29" s="30"/>
      <c r="J29" s="30"/>
      <c r="K29" s="30"/>
      <c r="L29" s="30"/>
      <c r="M29" s="30"/>
      <c r="N29" s="30"/>
      <c r="O29" s="30"/>
      <c r="P29" s="30"/>
      <c r="Q29" s="30"/>
      <c r="R29" s="30"/>
      <c r="S29" s="30"/>
      <c r="T29" s="26"/>
      <c r="W29" s="190" t="s">
        <v>147</v>
      </c>
      <c r="X29" s="191">
        <v>1.0945E-2</v>
      </c>
    </row>
    <row r="30" spans="2:24" ht="15" customHeight="1" x14ac:dyDescent="0.25">
      <c r="B30" s="75"/>
      <c r="C30" s="30"/>
      <c r="D30" s="30"/>
      <c r="E30" s="30"/>
      <c r="F30" s="30"/>
      <c r="G30" s="30"/>
      <c r="H30" s="30"/>
      <c r="I30" s="30"/>
      <c r="J30" s="30"/>
      <c r="K30" s="30"/>
      <c r="L30" s="30"/>
      <c r="M30" s="30"/>
      <c r="N30" s="30"/>
      <c r="O30" s="30"/>
      <c r="P30" s="30"/>
      <c r="Q30" s="30"/>
      <c r="R30" s="30"/>
      <c r="S30" s="30"/>
      <c r="T30" s="26"/>
      <c r="W30" s="190" t="s">
        <v>150</v>
      </c>
      <c r="X30" s="191">
        <v>1.0703000000000001E-2</v>
      </c>
    </row>
    <row r="31" spans="2:24" ht="15" customHeight="1" x14ac:dyDescent="0.25">
      <c r="B31" s="75"/>
      <c r="C31" s="30"/>
      <c r="D31" s="30"/>
      <c r="E31" s="30"/>
      <c r="F31" s="30"/>
      <c r="G31" s="30"/>
      <c r="H31" s="30"/>
      <c r="I31" s="30"/>
      <c r="J31" s="30"/>
      <c r="K31" s="30"/>
      <c r="L31" s="30"/>
      <c r="M31" s="30"/>
      <c r="N31" s="30"/>
      <c r="O31" s="30"/>
      <c r="P31" s="30"/>
      <c r="Q31" s="30"/>
      <c r="R31" s="30"/>
      <c r="S31" s="30"/>
      <c r="T31" s="26"/>
      <c r="W31" s="190" t="s">
        <v>16</v>
      </c>
      <c r="X31" s="191">
        <v>7.515E-3</v>
      </c>
    </row>
    <row r="32" spans="2:24" ht="15" customHeight="1" x14ac:dyDescent="0.25">
      <c r="B32" s="75"/>
      <c r="C32" s="30"/>
      <c r="D32" s="30"/>
      <c r="E32" s="30"/>
      <c r="F32" s="30"/>
      <c r="G32" s="30"/>
      <c r="H32" s="30"/>
      <c r="I32" s="30"/>
      <c r="J32" s="30"/>
      <c r="K32" s="30"/>
      <c r="L32" s="30"/>
      <c r="M32" s="30"/>
      <c r="N32" s="30"/>
      <c r="O32" s="30"/>
      <c r="P32" s="30"/>
      <c r="Q32" s="30"/>
      <c r="R32" s="30"/>
      <c r="S32" s="30"/>
      <c r="T32" s="26"/>
      <c r="W32" s="190" t="s">
        <v>148</v>
      </c>
      <c r="X32" s="191">
        <v>7.3920000000000001E-3</v>
      </c>
    </row>
    <row r="33" spans="2:24" ht="15" customHeight="1" x14ac:dyDescent="0.25">
      <c r="B33" s="75"/>
      <c r="C33" s="30"/>
      <c r="D33" s="30"/>
      <c r="E33" s="30"/>
      <c r="F33" s="30"/>
      <c r="G33" s="30"/>
      <c r="H33" s="30"/>
      <c r="I33" s="30"/>
      <c r="J33" s="30"/>
      <c r="K33" s="30"/>
      <c r="L33" s="30"/>
      <c r="M33" s="30"/>
      <c r="N33" s="30"/>
      <c r="O33" s="30"/>
      <c r="P33" s="30"/>
      <c r="Q33" s="30"/>
      <c r="R33" s="30"/>
      <c r="S33" s="30"/>
      <c r="T33" s="26"/>
      <c r="W33" s="190" t="s">
        <v>98</v>
      </c>
      <c r="X33" s="191">
        <v>6.973E-3</v>
      </c>
    </row>
    <row r="34" spans="2:24" ht="15" customHeight="1" x14ac:dyDescent="0.25">
      <c r="B34" s="75"/>
      <c r="C34" s="30"/>
      <c r="D34" s="30"/>
      <c r="E34" s="30"/>
      <c r="F34" s="30"/>
      <c r="G34" s="30"/>
      <c r="H34" s="30"/>
      <c r="I34" s="30"/>
      <c r="J34" s="30"/>
      <c r="K34" s="30"/>
      <c r="L34" s="30"/>
      <c r="M34" s="30"/>
      <c r="N34" s="30"/>
      <c r="O34" s="30"/>
      <c r="P34" s="30"/>
      <c r="Q34" s="30"/>
      <c r="R34" s="30"/>
      <c r="S34" s="30"/>
      <c r="T34" s="26"/>
      <c r="W34" s="190" t="s">
        <v>153</v>
      </c>
      <c r="X34" s="191">
        <v>6.7619999999999998E-3</v>
      </c>
    </row>
    <row r="35" spans="2:24" ht="15" customHeight="1" x14ac:dyDescent="0.25">
      <c r="B35" s="75"/>
      <c r="C35" s="30"/>
      <c r="D35" s="30"/>
      <c r="E35" s="30"/>
      <c r="F35" s="30"/>
      <c r="G35" s="30"/>
      <c r="H35" s="30"/>
      <c r="I35" s="30"/>
      <c r="J35" s="30"/>
      <c r="K35" s="30"/>
      <c r="L35" s="30"/>
      <c r="M35" s="30"/>
      <c r="N35" s="30"/>
      <c r="O35" s="30"/>
      <c r="P35" s="30"/>
      <c r="Q35" s="30"/>
      <c r="R35" s="30"/>
      <c r="S35" s="30"/>
      <c r="T35" s="26"/>
      <c r="W35" s="190" t="s">
        <v>194</v>
      </c>
      <c r="X35" s="191">
        <v>6.509E-3</v>
      </c>
    </row>
    <row r="36" spans="2:24" ht="15" customHeight="1" x14ac:dyDescent="0.25">
      <c r="B36" s="75"/>
      <c r="C36" s="30"/>
      <c r="D36" s="30"/>
      <c r="E36" s="30"/>
      <c r="F36" s="30"/>
      <c r="G36" s="30"/>
      <c r="H36" s="30"/>
      <c r="I36" s="30"/>
      <c r="J36" s="30"/>
      <c r="K36" s="30"/>
      <c r="L36" s="30"/>
      <c r="M36" s="30"/>
      <c r="N36" s="30"/>
      <c r="O36" s="30"/>
      <c r="P36" s="30"/>
      <c r="Q36" s="30"/>
      <c r="R36" s="30"/>
      <c r="S36" s="30"/>
      <c r="T36" s="26"/>
      <c r="W36" s="190" t="s">
        <v>97</v>
      </c>
      <c r="X36" s="191">
        <v>6.3070000000000001E-3</v>
      </c>
    </row>
    <row r="37" spans="2:24" ht="15" customHeight="1" x14ac:dyDescent="0.25">
      <c r="B37" s="75"/>
      <c r="C37" s="30"/>
      <c r="D37" s="30"/>
      <c r="E37" s="30"/>
      <c r="F37" s="30"/>
      <c r="G37" s="30"/>
      <c r="H37" s="30"/>
      <c r="I37" s="30"/>
      <c r="J37" s="30"/>
      <c r="K37" s="30"/>
      <c r="L37" s="30"/>
      <c r="M37" s="30"/>
      <c r="N37" s="30"/>
      <c r="O37" s="30"/>
      <c r="P37" s="30"/>
      <c r="Q37" s="30"/>
      <c r="R37" s="30"/>
      <c r="S37" s="30"/>
      <c r="T37" s="26"/>
      <c r="W37" s="42" t="s">
        <v>23</v>
      </c>
      <c r="X37" s="172">
        <v>5.8389999999999996E-3</v>
      </c>
    </row>
    <row r="38" spans="2:24" ht="15" customHeight="1" thickBot="1" x14ac:dyDescent="0.3">
      <c r="B38" s="88"/>
      <c r="C38" s="31"/>
      <c r="D38" s="31"/>
      <c r="E38" s="31"/>
      <c r="F38" s="31"/>
      <c r="G38" s="31"/>
      <c r="H38" s="31"/>
      <c r="I38" s="31"/>
      <c r="J38" s="31"/>
      <c r="K38" s="31"/>
      <c r="L38" s="31"/>
      <c r="M38" s="31"/>
      <c r="N38" s="31"/>
      <c r="O38" s="31"/>
      <c r="P38" s="31"/>
      <c r="Q38" s="31"/>
      <c r="R38" s="31"/>
      <c r="S38" s="31"/>
      <c r="T38" s="27"/>
      <c r="W38" s="42" t="s">
        <v>89</v>
      </c>
      <c r="X38" s="172">
        <v>5.4520000000000002E-3</v>
      </c>
    </row>
    <row r="39" spans="2:24" ht="15" customHeight="1" x14ac:dyDescent="0.25">
      <c r="B39" s="30"/>
      <c r="C39" s="30"/>
      <c r="D39" s="30"/>
      <c r="E39" s="30"/>
      <c r="F39" s="30"/>
      <c r="G39" s="30"/>
      <c r="H39" s="30"/>
      <c r="I39" s="30"/>
      <c r="J39" s="30"/>
      <c r="K39" s="30"/>
      <c r="L39" s="30"/>
      <c r="M39" s="30"/>
      <c r="N39" s="30"/>
      <c r="O39" s="30"/>
      <c r="P39" s="30"/>
      <c r="Q39" s="30"/>
      <c r="R39" s="30"/>
      <c r="S39" s="30"/>
      <c r="T39" s="30"/>
      <c r="W39" s="42" t="s">
        <v>151</v>
      </c>
      <c r="X39" s="172">
        <v>2.2560000000000002E-3</v>
      </c>
    </row>
    <row r="40" spans="2:24" ht="15" customHeight="1" x14ac:dyDescent="0.25">
      <c r="B40" s="30"/>
      <c r="C40" s="30"/>
      <c r="D40" s="30"/>
      <c r="E40" s="30"/>
      <c r="F40" s="30"/>
      <c r="G40" s="30"/>
      <c r="H40" s="30"/>
      <c r="I40" s="30"/>
      <c r="J40" s="30"/>
      <c r="K40" s="30"/>
      <c r="L40" s="30"/>
      <c r="M40" s="30"/>
      <c r="N40" s="30"/>
      <c r="O40" s="30"/>
      <c r="P40" s="30"/>
      <c r="Q40" s="30"/>
      <c r="R40" s="30"/>
      <c r="S40" s="30"/>
      <c r="T40" s="30"/>
    </row>
    <row r="41" spans="2:24" ht="15" customHeight="1" thickBot="1" x14ac:dyDescent="0.3">
      <c r="B41" s="30"/>
      <c r="C41" s="30"/>
      <c r="D41" s="30"/>
      <c r="E41" s="30"/>
      <c r="F41" s="30"/>
      <c r="G41" s="30"/>
      <c r="H41" s="30"/>
      <c r="I41" s="30"/>
      <c r="J41" s="30"/>
      <c r="K41" s="30"/>
      <c r="L41" s="30"/>
      <c r="M41" s="30"/>
      <c r="N41" s="30"/>
      <c r="O41" s="30"/>
      <c r="P41" s="30"/>
      <c r="Q41" s="30"/>
      <c r="R41" s="30"/>
      <c r="S41" s="30"/>
      <c r="T41" s="30"/>
    </row>
    <row r="42" spans="2:24" ht="15" customHeight="1" x14ac:dyDescent="0.25">
      <c r="B42" s="245" t="s">
        <v>265</v>
      </c>
      <c r="C42" s="246"/>
      <c r="D42" s="246"/>
      <c r="E42" s="246"/>
      <c r="F42" s="246"/>
      <c r="G42" s="246"/>
      <c r="H42" s="246"/>
      <c r="I42" s="246"/>
      <c r="J42" s="246"/>
      <c r="K42" s="246"/>
      <c r="L42" s="246"/>
      <c r="M42" s="246"/>
      <c r="N42" s="246"/>
      <c r="O42" s="246"/>
      <c r="P42" s="246"/>
      <c r="Q42" s="246"/>
      <c r="R42" s="247"/>
      <c r="T42" s="30"/>
    </row>
    <row r="43" spans="2:24" ht="15" customHeight="1" x14ac:dyDescent="0.25">
      <c r="B43" s="248"/>
      <c r="C43" s="249"/>
      <c r="D43" s="249"/>
      <c r="E43" s="249"/>
      <c r="F43" s="249"/>
      <c r="G43" s="249"/>
      <c r="H43" s="249"/>
      <c r="I43" s="249"/>
      <c r="J43" s="249"/>
      <c r="K43" s="249"/>
      <c r="L43" s="249"/>
      <c r="M43" s="249"/>
      <c r="N43" s="249"/>
      <c r="O43" s="249"/>
      <c r="P43" s="249"/>
      <c r="Q43" s="249"/>
      <c r="R43" s="250"/>
      <c r="T43" s="30"/>
    </row>
    <row r="44" spans="2:24" ht="15" customHeight="1" x14ac:dyDescent="0.25">
      <c r="B44" s="248"/>
      <c r="C44" s="249"/>
      <c r="D44" s="249"/>
      <c r="E44" s="249"/>
      <c r="F44" s="249"/>
      <c r="G44" s="249"/>
      <c r="H44" s="249"/>
      <c r="I44" s="249"/>
      <c r="J44" s="249"/>
      <c r="K44" s="249"/>
      <c r="L44" s="249"/>
      <c r="M44" s="249"/>
      <c r="N44" s="249"/>
      <c r="O44" s="249"/>
      <c r="P44" s="249"/>
      <c r="Q44" s="249"/>
      <c r="R44" s="250"/>
      <c r="T44" s="30"/>
    </row>
    <row r="45" spans="2:24" ht="15" customHeight="1" x14ac:dyDescent="0.25">
      <c r="B45" s="248"/>
      <c r="C45" s="249"/>
      <c r="D45" s="249"/>
      <c r="E45" s="249"/>
      <c r="F45" s="249"/>
      <c r="G45" s="249"/>
      <c r="H45" s="249"/>
      <c r="I45" s="249"/>
      <c r="J45" s="249"/>
      <c r="K45" s="249"/>
      <c r="L45" s="249"/>
      <c r="M45" s="249"/>
      <c r="N45" s="249"/>
      <c r="O45" s="249"/>
      <c r="P45" s="249"/>
      <c r="Q45" s="249"/>
      <c r="R45" s="250"/>
      <c r="T45" s="30"/>
    </row>
    <row r="46" spans="2:24" ht="15" customHeight="1" x14ac:dyDescent="0.25">
      <c r="B46" s="248"/>
      <c r="C46" s="249"/>
      <c r="D46" s="249"/>
      <c r="E46" s="249"/>
      <c r="F46" s="249"/>
      <c r="G46" s="249"/>
      <c r="H46" s="249"/>
      <c r="I46" s="249"/>
      <c r="J46" s="249"/>
      <c r="K46" s="249"/>
      <c r="L46" s="249"/>
      <c r="M46" s="249"/>
      <c r="N46" s="249"/>
      <c r="O46" s="249"/>
      <c r="P46" s="249"/>
      <c r="Q46" s="249"/>
      <c r="R46" s="250"/>
      <c r="T46" s="30"/>
    </row>
    <row r="47" spans="2:24" ht="15" customHeight="1" x14ac:dyDescent="0.25">
      <c r="B47" s="248"/>
      <c r="C47" s="249"/>
      <c r="D47" s="249"/>
      <c r="E47" s="249"/>
      <c r="F47" s="249"/>
      <c r="G47" s="249"/>
      <c r="H47" s="249"/>
      <c r="I47" s="249"/>
      <c r="J47" s="249"/>
      <c r="K47" s="249"/>
      <c r="L47" s="249"/>
      <c r="M47" s="249"/>
      <c r="N47" s="249"/>
      <c r="O47" s="249"/>
      <c r="P47" s="249"/>
      <c r="Q47" s="249"/>
      <c r="R47" s="250"/>
      <c r="T47" s="30"/>
    </row>
    <row r="48" spans="2:24" ht="15" customHeight="1" thickBot="1" x14ac:dyDescent="0.3">
      <c r="B48" s="251"/>
      <c r="C48" s="252"/>
      <c r="D48" s="252"/>
      <c r="E48" s="252"/>
      <c r="F48" s="252"/>
      <c r="G48" s="252"/>
      <c r="H48" s="252"/>
      <c r="I48" s="252"/>
      <c r="J48" s="252"/>
      <c r="K48" s="252"/>
      <c r="L48" s="252"/>
      <c r="M48" s="252"/>
      <c r="N48" s="252"/>
      <c r="O48" s="252"/>
      <c r="P48" s="252"/>
      <c r="Q48" s="252"/>
      <c r="R48" s="253"/>
      <c r="T48" s="30"/>
    </row>
    <row r="49" spans="2:20" ht="15.75" customHeight="1" x14ac:dyDescent="0.25">
      <c r="B49" s="30"/>
      <c r="C49" s="30"/>
      <c r="D49" s="30"/>
      <c r="E49" s="30"/>
      <c r="F49" s="30"/>
      <c r="G49" s="30"/>
      <c r="H49" s="30"/>
      <c r="I49" s="30"/>
      <c r="J49" s="30"/>
      <c r="K49" s="30"/>
      <c r="L49" s="30"/>
      <c r="M49" s="30"/>
      <c r="N49" s="30"/>
      <c r="O49" s="30"/>
      <c r="P49" s="30"/>
      <c r="Q49" s="30"/>
      <c r="R49" s="30"/>
      <c r="S49" s="30"/>
      <c r="T49" s="30"/>
    </row>
    <row r="50" spans="2:20" ht="15" customHeight="1" x14ac:dyDescent="0.25">
      <c r="B50" s="30"/>
      <c r="C50" s="30"/>
      <c r="D50" s="30"/>
      <c r="E50" s="30"/>
      <c r="F50" s="30"/>
      <c r="G50" s="30"/>
      <c r="H50" s="30"/>
      <c r="I50" s="30"/>
      <c r="J50" s="30"/>
      <c r="K50" s="30"/>
      <c r="L50" s="30"/>
      <c r="M50" s="30"/>
      <c r="N50" s="30"/>
      <c r="O50" s="30"/>
      <c r="P50" s="30"/>
      <c r="Q50" s="30"/>
      <c r="R50" s="30"/>
      <c r="S50" s="30"/>
      <c r="T50" s="30"/>
    </row>
    <row r="51" spans="2:20" ht="15.75" customHeight="1" x14ac:dyDescent="0.25">
      <c r="B51" s="30"/>
      <c r="C51" s="30"/>
      <c r="D51" s="30"/>
      <c r="E51" s="30"/>
      <c r="F51" s="30"/>
      <c r="G51" s="30"/>
      <c r="H51" s="30"/>
      <c r="I51" s="30"/>
      <c r="J51" s="30"/>
      <c r="K51" s="30"/>
      <c r="L51" s="30"/>
      <c r="M51" s="30"/>
      <c r="N51" s="30"/>
      <c r="O51" s="30"/>
      <c r="P51" s="30"/>
      <c r="Q51" s="30"/>
      <c r="R51" s="30"/>
      <c r="S51" s="30"/>
      <c r="T51" s="30"/>
    </row>
    <row r="52" spans="2:20" ht="15" customHeight="1" x14ac:dyDescent="0.25">
      <c r="B52" s="30"/>
      <c r="C52" s="30"/>
      <c r="D52" s="30"/>
      <c r="E52" s="30"/>
      <c r="F52" s="30"/>
      <c r="G52" s="30"/>
      <c r="H52" s="30"/>
      <c r="I52" s="30"/>
      <c r="J52" s="30"/>
      <c r="K52" s="30"/>
      <c r="L52" s="30"/>
      <c r="M52" s="30"/>
      <c r="N52" s="30"/>
      <c r="O52" s="30"/>
      <c r="P52" s="30"/>
      <c r="Q52" s="30"/>
      <c r="R52" s="30"/>
      <c r="S52" s="30"/>
      <c r="T52" s="30"/>
    </row>
    <row r="53" spans="2:20" ht="15" customHeight="1" x14ac:dyDescent="0.25">
      <c r="B53" s="30"/>
      <c r="C53" s="30"/>
      <c r="D53" s="30"/>
      <c r="E53" s="30"/>
      <c r="F53" s="30"/>
      <c r="G53" s="30"/>
      <c r="H53" s="30"/>
      <c r="I53" s="30"/>
      <c r="J53" s="30"/>
      <c r="K53" s="30"/>
      <c r="L53" s="30"/>
      <c r="M53" s="30"/>
      <c r="N53" s="30"/>
      <c r="O53" s="30"/>
      <c r="P53" s="30"/>
      <c r="Q53" s="30"/>
      <c r="R53" s="30"/>
      <c r="S53" s="30"/>
      <c r="T53" s="30"/>
    </row>
    <row r="54" spans="2:20" ht="15" customHeight="1" x14ac:dyDescent="0.25">
      <c r="B54" s="30"/>
      <c r="C54" s="30"/>
      <c r="D54" s="30"/>
      <c r="E54" s="30"/>
      <c r="F54" s="30"/>
      <c r="G54" s="30"/>
      <c r="H54" s="30"/>
      <c r="I54" s="30"/>
      <c r="J54" s="30"/>
      <c r="K54" s="30"/>
      <c r="L54" s="30"/>
      <c r="M54" s="30"/>
      <c r="N54" s="30"/>
      <c r="O54" s="30"/>
      <c r="P54" s="30"/>
      <c r="Q54" s="30"/>
      <c r="R54" s="30"/>
      <c r="S54" s="30"/>
      <c r="T54" s="30"/>
    </row>
    <row r="55" spans="2:20" ht="15" customHeight="1" x14ac:dyDescent="0.25">
      <c r="B55" s="30"/>
      <c r="C55" s="30"/>
      <c r="D55" s="30"/>
      <c r="E55" s="30"/>
      <c r="F55" s="30"/>
      <c r="G55" s="30"/>
      <c r="H55" s="30"/>
      <c r="I55" s="30"/>
      <c r="J55" s="30"/>
      <c r="K55" s="30"/>
      <c r="L55" s="30"/>
      <c r="M55" s="30"/>
      <c r="N55" s="30"/>
      <c r="O55" s="30"/>
      <c r="P55" s="30"/>
      <c r="Q55" s="30"/>
      <c r="R55" s="30"/>
      <c r="S55" s="30"/>
      <c r="T55" s="30"/>
    </row>
    <row r="56" spans="2:20" ht="15" customHeight="1" x14ac:dyDescent="0.25">
      <c r="B56" s="30"/>
      <c r="C56" s="30"/>
      <c r="D56" s="30"/>
      <c r="E56" s="30"/>
      <c r="F56" s="30"/>
      <c r="G56" s="30"/>
      <c r="H56" s="30"/>
      <c r="I56" s="30"/>
      <c r="J56" s="30"/>
      <c r="K56" s="30"/>
      <c r="L56" s="30"/>
      <c r="M56" s="30"/>
      <c r="N56" s="30"/>
      <c r="O56" s="30"/>
      <c r="P56" s="30"/>
      <c r="Q56" s="30"/>
      <c r="R56" s="30"/>
      <c r="S56" s="30"/>
      <c r="T56" s="30"/>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 style="20" customWidth="1"/>
    <col min="5" max="5" width="10.42578125" style="20" bestFit="1" customWidth="1"/>
    <col min="6" max="18" width="9.140625" style="20"/>
    <col min="19" max="19" width="9.85546875" style="20" customWidth="1"/>
    <col min="20" max="22" width="9.140625" style="20"/>
    <col min="23" max="23" width="46.42578125" style="20" bestFit="1" customWidth="1"/>
    <col min="24"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5"/>
    </row>
    <row r="3" spans="1:24" ht="20.25" customHeight="1" x14ac:dyDescent="0.25">
      <c r="B3" s="75"/>
      <c r="C3" s="254" t="s">
        <v>236</v>
      </c>
      <c r="D3" s="255"/>
      <c r="E3" s="255"/>
      <c r="F3" s="255"/>
      <c r="G3" s="255"/>
      <c r="H3" s="255"/>
      <c r="I3" s="255"/>
      <c r="J3" s="255"/>
      <c r="K3" s="255"/>
      <c r="L3" s="255"/>
      <c r="M3" s="255"/>
      <c r="N3" s="255"/>
      <c r="O3" s="255"/>
      <c r="P3" s="255"/>
      <c r="Q3" s="255"/>
      <c r="R3" s="255"/>
      <c r="S3" s="255"/>
      <c r="T3" s="26"/>
    </row>
    <row r="4" spans="1:24" ht="15.75" customHeight="1" x14ac:dyDescent="0.25">
      <c r="B4" s="75"/>
      <c r="C4" s="78" t="s">
        <v>303</v>
      </c>
      <c r="D4" s="30"/>
      <c r="E4" s="30"/>
      <c r="F4" s="30"/>
      <c r="G4" s="30"/>
      <c r="H4" s="30"/>
      <c r="I4" s="30"/>
      <c r="J4" s="30"/>
      <c r="K4" s="30"/>
      <c r="L4" s="30"/>
      <c r="M4" s="30"/>
      <c r="N4" s="30"/>
      <c r="O4" s="30"/>
      <c r="P4" s="30"/>
      <c r="Q4" s="30"/>
      <c r="R4" s="30"/>
      <c r="S4" s="30"/>
      <c r="T4" s="26"/>
    </row>
    <row r="5" spans="1:24" ht="18" customHeight="1" x14ac:dyDescent="0.25">
      <c r="B5" s="75"/>
      <c r="C5" s="79" t="s">
        <v>304</v>
      </c>
      <c r="D5" s="256" t="s">
        <v>279</v>
      </c>
      <c r="E5" s="256"/>
      <c r="F5" s="30"/>
      <c r="G5" s="58"/>
      <c r="H5" s="58"/>
      <c r="I5" s="58"/>
      <c r="J5" s="58"/>
      <c r="K5" s="58"/>
      <c r="L5" s="58"/>
      <c r="M5" s="58"/>
      <c r="N5" s="58"/>
      <c r="O5" s="58"/>
      <c r="P5" s="58"/>
      <c r="Q5" s="58"/>
      <c r="R5" s="58"/>
      <c r="S5" s="58"/>
      <c r="T5" s="26"/>
    </row>
    <row r="6" spans="1:24" ht="15" customHeight="1" x14ac:dyDescent="0.25">
      <c r="B6" s="75"/>
      <c r="C6" s="30"/>
      <c r="D6" s="30"/>
      <c r="E6" s="30"/>
      <c r="F6" s="30"/>
      <c r="G6" s="58"/>
      <c r="H6" s="58"/>
      <c r="I6" s="58"/>
      <c r="J6" s="58"/>
      <c r="K6" s="58"/>
      <c r="L6" s="58"/>
      <c r="M6" s="58"/>
      <c r="N6" s="58"/>
      <c r="O6" s="58"/>
      <c r="P6" s="58"/>
      <c r="Q6" s="58"/>
      <c r="R6" s="58"/>
      <c r="S6" s="58"/>
      <c r="T6" s="26"/>
    </row>
    <row r="7" spans="1:24" ht="32.25" customHeight="1" x14ac:dyDescent="0.25">
      <c r="B7" s="75"/>
      <c r="C7" s="80" t="s">
        <v>0</v>
      </c>
      <c r="D7" s="81" t="s">
        <v>1</v>
      </c>
      <c r="E7" s="82" t="s">
        <v>2</v>
      </c>
      <c r="F7" s="30"/>
      <c r="G7" s="30"/>
      <c r="H7" s="30"/>
      <c r="I7" s="30"/>
      <c r="J7" s="30"/>
      <c r="K7" s="30"/>
      <c r="L7" s="30"/>
      <c r="M7" s="30"/>
      <c r="N7" s="30"/>
      <c r="O7" s="30"/>
      <c r="P7" s="30"/>
      <c r="Q7" s="30"/>
      <c r="R7" s="30"/>
      <c r="S7" s="30"/>
      <c r="T7" s="26"/>
      <c r="W7" s="42" t="s">
        <v>22</v>
      </c>
      <c r="X7" s="42" t="s">
        <v>2</v>
      </c>
    </row>
    <row r="8" spans="1:24" ht="15" customHeight="1" x14ac:dyDescent="0.25">
      <c r="B8" s="75"/>
      <c r="C8" s="230" t="s">
        <v>33</v>
      </c>
      <c r="D8" s="222" t="s">
        <v>3</v>
      </c>
      <c r="E8" s="223">
        <v>9.7961999999999994E-2</v>
      </c>
      <c r="F8" s="30"/>
      <c r="G8" s="30"/>
      <c r="H8" s="30"/>
      <c r="I8" s="30"/>
      <c r="J8" s="30"/>
      <c r="K8" s="30"/>
      <c r="L8" s="30"/>
      <c r="M8" s="30"/>
      <c r="N8" s="30"/>
      <c r="O8" s="30"/>
      <c r="P8" s="30"/>
      <c r="Q8" s="30"/>
      <c r="R8" s="30"/>
      <c r="S8" s="30"/>
      <c r="T8" s="26"/>
      <c r="W8" s="190" t="s">
        <v>3</v>
      </c>
      <c r="X8" s="191">
        <v>0.30069899999999999</v>
      </c>
    </row>
    <row r="9" spans="1:24" ht="15.75" customHeight="1" x14ac:dyDescent="0.25">
      <c r="B9" s="75"/>
      <c r="C9" s="231" t="s">
        <v>29</v>
      </c>
      <c r="D9" s="224" t="s">
        <v>3</v>
      </c>
      <c r="E9" s="225">
        <v>9.2777999999999999E-2</v>
      </c>
      <c r="F9" s="30"/>
      <c r="G9" s="30"/>
      <c r="H9" s="30"/>
      <c r="I9" s="30"/>
      <c r="J9" s="30"/>
      <c r="K9" s="30"/>
      <c r="L9" s="30"/>
      <c r="M9" s="30"/>
      <c r="N9" s="30"/>
      <c r="O9" s="30"/>
      <c r="P9" s="30"/>
      <c r="Q9" s="30"/>
      <c r="R9" s="30"/>
      <c r="S9" s="30"/>
      <c r="T9" s="26"/>
      <c r="W9" s="190" t="s">
        <v>135</v>
      </c>
      <c r="X9" s="191">
        <v>0.113289</v>
      </c>
    </row>
    <row r="10" spans="1:24" ht="15" customHeight="1" x14ac:dyDescent="0.25">
      <c r="B10" s="75"/>
      <c r="C10" s="231" t="s">
        <v>32</v>
      </c>
      <c r="D10" s="224" t="s">
        <v>6</v>
      </c>
      <c r="E10" s="225">
        <v>6.8840999999999999E-2</v>
      </c>
      <c r="F10" s="30"/>
      <c r="G10" s="30"/>
      <c r="H10" s="30"/>
      <c r="I10" s="30"/>
      <c r="J10" s="30"/>
      <c r="K10" s="30"/>
      <c r="L10" s="30"/>
      <c r="M10" s="30"/>
      <c r="N10" s="30"/>
      <c r="O10" s="30"/>
      <c r="P10" s="30"/>
      <c r="Q10" s="30"/>
      <c r="R10" s="30"/>
      <c r="S10" s="30"/>
      <c r="T10" s="26"/>
      <c r="W10" s="190" t="s">
        <v>4</v>
      </c>
      <c r="X10" s="191">
        <v>7.1885000000000004E-2</v>
      </c>
    </row>
    <row r="11" spans="1:24" ht="15" customHeight="1" x14ac:dyDescent="0.25">
      <c r="B11" s="75"/>
      <c r="C11" s="231" t="s">
        <v>30</v>
      </c>
      <c r="D11" s="224" t="s">
        <v>4</v>
      </c>
      <c r="E11" s="225">
        <v>5.2301E-2</v>
      </c>
      <c r="F11" s="30"/>
      <c r="G11" s="30"/>
      <c r="H11" s="30"/>
      <c r="I11" s="30"/>
      <c r="J11" s="30"/>
      <c r="K11" s="30"/>
      <c r="L11" s="30"/>
      <c r="M11" s="30"/>
      <c r="N11" s="30"/>
      <c r="O11" s="30"/>
      <c r="P11" s="30"/>
      <c r="Q11" s="30"/>
      <c r="R11" s="30"/>
      <c r="S11" s="30"/>
      <c r="T11" s="26"/>
      <c r="W11" s="190" t="s">
        <v>6</v>
      </c>
      <c r="X11" s="191">
        <v>6.8840999999999999E-2</v>
      </c>
    </row>
    <row r="12" spans="1:24" ht="15" customHeight="1" x14ac:dyDescent="0.25">
      <c r="B12" s="75"/>
      <c r="C12" s="231" t="s">
        <v>28</v>
      </c>
      <c r="D12" s="224" t="s">
        <v>135</v>
      </c>
      <c r="E12" s="225">
        <v>5.0813999999999998E-2</v>
      </c>
      <c r="F12" s="30"/>
      <c r="G12" s="30"/>
      <c r="H12" s="30"/>
      <c r="I12" s="30"/>
      <c r="J12" s="30"/>
      <c r="K12" s="30"/>
      <c r="L12" s="30"/>
      <c r="M12" s="30"/>
      <c r="N12" s="30"/>
      <c r="O12" s="30"/>
      <c r="P12" s="30"/>
      <c r="Q12" s="30"/>
      <c r="R12" s="30"/>
      <c r="S12" s="30"/>
      <c r="T12" s="26"/>
      <c r="W12" s="190" t="s">
        <v>145</v>
      </c>
      <c r="X12" s="191">
        <v>6.2969999999999998E-2</v>
      </c>
    </row>
    <row r="13" spans="1:24" ht="15" customHeight="1" x14ac:dyDescent="0.25">
      <c r="B13" s="75"/>
      <c r="C13" s="231" t="s">
        <v>31</v>
      </c>
      <c r="D13" s="224" t="s">
        <v>146</v>
      </c>
      <c r="E13" s="225">
        <v>5.0680999999999997E-2</v>
      </c>
      <c r="F13" s="30"/>
      <c r="G13" s="30"/>
      <c r="H13" s="30"/>
      <c r="I13" s="30"/>
      <c r="J13" s="30"/>
      <c r="K13" s="30"/>
      <c r="L13" s="30"/>
      <c r="M13" s="30"/>
      <c r="N13" s="30"/>
      <c r="O13" s="30"/>
      <c r="P13" s="30"/>
      <c r="Q13" s="30"/>
      <c r="R13" s="30"/>
      <c r="S13" s="30"/>
      <c r="T13" s="26"/>
      <c r="W13" s="190" t="s">
        <v>146</v>
      </c>
      <c r="X13" s="191">
        <v>6.1067999999999997E-2</v>
      </c>
    </row>
    <row r="14" spans="1:24" ht="15" customHeight="1" x14ac:dyDescent="0.25">
      <c r="B14" s="75"/>
      <c r="C14" s="231" t="s">
        <v>37</v>
      </c>
      <c r="D14" s="224" t="s">
        <v>3</v>
      </c>
      <c r="E14" s="225">
        <v>4.4472999999999999E-2</v>
      </c>
      <c r="F14" s="30"/>
      <c r="G14" s="30"/>
      <c r="H14" s="30"/>
      <c r="I14" s="30"/>
      <c r="J14" s="30"/>
      <c r="K14" s="30"/>
      <c r="L14" s="30"/>
      <c r="M14" s="30"/>
      <c r="N14" s="30"/>
      <c r="O14" s="30"/>
      <c r="P14" s="30"/>
      <c r="Q14" s="30"/>
      <c r="R14" s="30"/>
      <c r="S14" s="30"/>
      <c r="T14" s="26"/>
      <c r="W14" s="190" t="s">
        <v>141</v>
      </c>
      <c r="X14" s="191">
        <v>5.3023000000000001E-2</v>
      </c>
    </row>
    <row r="15" spans="1:24" ht="15" customHeight="1" x14ac:dyDescent="0.25">
      <c r="B15" s="75"/>
      <c r="C15" s="231" t="s">
        <v>167</v>
      </c>
      <c r="D15" s="224" t="s">
        <v>145</v>
      </c>
      <c r="E15" s="225">
        <v>3.8228999999999999E-2</v>
      </c>
      <c r="F15" s="30"/>
      <c r="G15" s="30"/>
      <c r="H15" s="30"/>
      <c r="I15" s="30"/>
      <c r="J15" s="30"/>
      <c r="K15" s="30"/>
      <c r="L15" s="30"/>
      <c r="M15" s="30"/>
      <c r="N15" s="30"/>
      <c r="O15" s="30"/>
      <c r="P15" s="30"/>
      <c r="Q15" s="30"/>
      <c r="R15" s="30"/>
      <c r="S15" s="30"/>
      <c r="T15" s="26"/>
      <c r="W15" s="190" t="s">
        <v>140</v>
      </c>
      <c r="X15" s="191">
        <v>5.1916000000000004E-2</v>
      </c>
    </row>
    <row r="16" spans="1:24" ht="15" customHeight="1" x14ac:dyDescent="0.25">
      <c r="B16" s="75"/>
      <c r="C16" s="231" t="s">
        <v>168</v>
      </c>
      <c r="D16" s="224" t="s">
        <v>3</v>
      </c>
      <c r="E16" s="225">
        <v>3.5034999999999997E-2</v>
      </c>
      <c r="F16" s="30"/>
      <c r="G16" s="30"/>
      <c r="H16" s="30"/>
      <c r="I16" s="30"/>
      <c r="J16" s="30"/>
      <c r="K16" s="30"/>
      <c r="L16" s="30"/>
      <c r="M16" s="30"/>
      <c r="N16" s="30"/>
      <c r="O16" s="30"/>
      <c r="P16" s="30"/>
      <c r="Q16" s="30"/>
      <c r="R16" s="30"/>
      <c r="S16" s="30"/>
      <c r="T16" s="26"/>
      <c r="W16" s="190" t="s">
        <v>138</v>
      </c>
      <c r="X16" s="191">
        <v>2.6935000000000001E-2</v>
      </c>
    </row>
    <row r="17" spans="2:24" ht="15" customHeight="1" x14ac:dyDescent="0.25">
      <c r="B17" s="75"/>
      <c r="C17" s="231" t="s">
        <v>199</v>
      </c>
      <c r="D17" s="224" t="s">
        <v>135</v>
      </c>
      <c r="E17" s="225">
        <v>3.4868000000000003E-2</v>
      </c>
      <c r="F17" s="30"/>
      <c r="G17" s="30"/>
      <c r="H17" s="30"/>
      <c r="I17" s="30"/>
      <c r="J17" s="30"/>
      <c r="K17" s="30"/>
      <c r="L17" s="30"/>
      <c r="M17" s="30"/>
      <c r="N17" s="30"/>
      <c r="O17" s="30"/>
      <c r="P17" s="30"/>
      <c r="Q17" s="30"/>
      <c r="R17" s="30"/>
      <c r="S17" s="30"/>
      <c r="T17" s="26"/>
      <c r="W17" s="190" t="s">
        <v>23</v>
      </c>
      <c r="X17" s="191">
        <v>2.2869E-2</v>
      </c>
    </row>
    <row r="18" spans="2:24" ht="15" customHeight="1" x14ac:dyDescent="0.25">
      <c r="B18" s="75"/>
      <c r="C18" s="231" t="s">
        <v>36</v>
      </c>
      <c r="D18" s="224" t="s">
        <v>3</v>
      </c>
      <c r="E18" s="225">
        <v>3.0450999999999999E-2</v>
      </c>
      <c r="F18" s="30"/>
      <c r="G18" s="30"/>
      <c r="H18" s="30"/>
      <c r="I18" s="30"/>
      <c r="J18" s="30"/>
      <c r="K18" s="30"/>
      <c r="L18" s="30"/>
      <c r="M18" s="30"/>
      <c r="N18" s="30"/>
      <c r="O18" s="30"/>
      <c r="P18" s="30"/>
      <c r="Q18" s="30"/>
      <c r="R18" s="30"/>
      <c r="S18" s="30"/>
      <c r="T18" s="26"/>
      <c r="W18" s="190" t="s">
        <v>16</v>
      </c>
      <c r="X18" s="191">
        <v>2.1193E-2</v>
      </c>
    </row>
    <row r="19" spans="2:24" ht="15" customHeight="1" x14ac:dyDescent="0.25">
      <c r="B19" s="75"/>
      <c r="C19" s="231" t="s">
        <v>201</v>
      </c>
      <c r="D19" s="224" t="s">
        <v>145</v>
      </c>
      <c r="E19" s="225">
        <v>2.4740999999999999E-2</v>
      </c>
      <c r="F19" s="30"/>
      <c r="G19" s="30"/>
      <c r="H19" s="30"/>
      <c r="I19" s="30"/>
      <c r="J19" s="30"/>
      <c r="K19" s="30"/>
      <c r="L19" s="30"/>
      <c r="M19" s="30"/>
      <c r="N19" s="30"/>
      <c r="O19" s="30"/>
      <c r="P19" s="30"/>
      <c r="Q19" s="30"/>
      <c r="R19" s="30"/>
      <c r="S19" s="30"/>
      <c r="T19" s="26"/>
      <c r="W19" s="190" t="s">
        <v>154</v>
      </c>
      <c r="X19" s="191">
        <v>2.0650000000000002E-2</v>
      </c>
    </row>
    <row r="20" spans="2:24" ht="15" customHeight="1" x14ac:dyDescent="0.25">
      <c r="B20" s="75"/>
      <c r="C20" s="231" t="s">
        <v>35</v>
      </c>
      <c r="D20" s="224" t="s">
        <v>23</v>
      </c>
      <c r="E20" s="225">
        <v>2.2869E-2</v>
      </c>
      <c r="F20" s="30"/>
      <c r="G20" s="30"/>
      <c r="H20" s="30"/>
      <c r="I20" s="30"/>
      <c r="J20" s="30"/>
      <c r="K20" s="30"/>
      <c r="L20" s="30"/>
      <c r="M20" s="30"/>
      <c r="N20" s="30"/>
      <c r="O20" s="30"/>
      <c r="P20" s="30"/>
      <c r="Q20" s="30"/>
      <c r="R20" s="30"/>
      <c r="S20" s="30"/>
      <c r="T20" s="26"/>
      <c r="W20" s="190" t="s">
        <v>97</v>
      </c>
      <c r="X20" s="191">
        <v>1.9007E-2</v>
      </c>
    </row>
    <row r="21" spans="2:24" ht="15" customHeight="1" x14ac:dyDescent="0.25">
      <c r="B21" s="75"/>
      <c r="C21" s="231" t="s">
        <v>34</v>
      </c>
      <c r="D21" s="224" t="s">
        <v>135</v>
      </c>
      <c r="E21" s="225">
        <v>2.2096999999999999E-2</v>
      </c>
      <c r="F21" s="30"/>
      <c r="G21" s="30"/>
      <c r="H21" s="30"/>
      <c r="I21" s="30"/>
      <c r="J21" s="30"/>
      <c r="K21" s="30"/>
      <c r="L21" s="30"/>
      <c r="M21" s="30"/>
      <c r="N21" s="30"/>
      <c r="O21" s="30"/>
      <c r="P21" s="30"/>
      <c r="Q21" s="30"/>
      <c r="R21" s="30"/>
      <c r="S21" s="30"/>
      <c r="T21" s="26"/>
      <c r="W21" s="190" t="s">
        <v>24</v>
      </c>
      <c r="X21" s="191">
        <v>1.8757000000000003E-2</v>
      </c>
    </row>
    <row r="22" spans="2:24" ht="15" customHeight="1" x14ac:dyDescent="0.25">
      <c r="B22" s="75"/>
      <c r="C22" s="231" t="s">
        <v>192</v>
      </c>
      <c r="D22" s="224" t="s">
        <v>154</v>
      </c>
      <c r="E22" s="225">
        <v>2.0650000000000002E-2</v>
      </c>
      <c r="F22" s="30"/>
      <c r="G22" s="30"/>
      <c r="H22" s="30"/>
      <c r="I22" s="30"/>
      <c r="J22" s="30"/>
      <c r="K22" s="30"/>
      <c r="L22" s="30"/>
      <c r="M22" s="30"/>
      <c r="N22" s="30"/>
      <c r="O22" s="30"/>
      <c r="P22" s="30"/>
      <c r="Q22" s="30"/>
      <c r="R22" s="30"/>
      <c r="S22" s="30"/>
      <c r="T22" s="26"/>
      <c r="W22" s="190" t="s">
        <v>143</v>
      </c>
      <c r="X22" s="191">
        <v>1.3701E-2</v>
      </c>
    </row>
    <row r="23" spans="2:24" ht="15" customHeight="1" x14ac:dyDescent="0.25">
      <c r="B23" s="75"/>
      <c r="C23" s="83"/>
      <c r="D23" s="83"/>
      <c r="E23" s="84"/>
      <c r="F23" s="30"/>
      <c r="G23" s="30"/>
      <c r="H23" s="30"/>
      <c r="I23" s="30"/>
      <c r="J23" s="30"/>
      <c r="K23" s="30"/>
      <c r="L23" s="30"/>
      <c r="M23" s="30"/>
      <c r="N23" s="30"/>
      <c r="O23" s="30"/>
      <c r="P23" s="30"/>
      <c r="Q23" s="30"/>
      <c r="R23" s="30"/>
      <c r="S23" s="30"/>
      <c r="T23" s="26"/>
      <c r="W23" s="190" t="s">
        <v>148</v>
      </c>
      <c r="X23" s="191">
        <v>1.2132E-2</v>
      </c>
    </row>
    <row r="24" spans="2:24" ht="15" customHeight="1" x14ac:dyDescent="0.25">
      <c r="B24" s="75"/>
      <c r="C24" s="85" t="s">
        <v>56</v>
      </c>
      <c r="D24" s="86"/>
      <c r="E24" s="87">
        <f>SUM(E8:E23)</f>
        <v>0.68679000000000001</v>
      </c>
      <c r="F24" s="30"/>
      <c r="G24" s="30"/>
      <c r="H24" s="30"/>
      <c r="I24" s="30"/>
      <c r="J24" s="30"/>
      <c r="K24" s="30"/>
      <c r="L24" s="30"/>
      <c r="M24" s="30"/>
      <c r="N24" s="30"/>
      <c r="O24" s="30"/>
      <c r="P24" s="30"/>
      <c r="Q24" s="30"/>
      <c r="R24" s="30"/>
      <c r="S24" s="30"/>
      <c r="T24" s="26"/>
      <c r="W24" s="190" t="s">
        <v>12</v>
      </c>
      <c r="X24" s="191">
        <v>1.0551E-2</v>
      </c>
    </row>
    <row r="25" spans="2:24" ht="15" customHeight="1" x14ac:dyDescent="0.25">
      <c r="B25" s="75"/>
      <c r="C25" s="30"/>
      <c r="D25" s="30"/>
      <c r="E25" s="30"/>
      <c r="F25" s="30"/>
      <c r="G25" s="30"/>
      <c r="H25" s="30"/>
      <c r="I25" s="30"/>
      <c r="J25" s="30"/>
      <c r="K25" s="30"/>
      <c r="L25" s="30"/>
      <c r="M25" s="30"/>
      <c r="N25" s="30"/>
      <c r="O25" s="30"/>
      <c r="P25" s="30"/>
      <c r="Q25" s="30"/>
      <c r="R25" s="30"/>
      <c r="S25" s="30"/>
      <c r="T25" s="26"/>
      <c r="W25" s="190" t="s">
        <v>136</v>
      </c>
      <c r="X25" s="191">
        <v>9.8040000000000002E-3</v>
      </c>
    </row>
    <row r="26" spans="2:24" ht="15" customHeight="1" x14ac:dyDescent="0.25">
      <c r="B26" s="75"/>
      <c r="C26" s="30"/>
      <c r="D26" s="30"/>
      <c r="E26" s="30"/>
      <c r="F26" s="30"/>
      <c r="G26" s="30"/>
      <c r="H26" s="30"/>
      <c r="I26" s="30"/>
      <c r="J26" s="30"/>
      <c r="K26" s="30"/>
      <c r="L26" s="30"/>
      <c r="M26" s="30"/>
      <c r="N26" s="30"/>
      <c r="O26" s="30"/>
      <c r="P26" s="30"/>
      <c r="Q26" s="30"/>
      <c r="R26" s="30"/>
      <c r="S26" s="30"/>
      <c r="T26" s="26"/>
      <c r="W26" s="190" t="s">
        <v>10</v>
      </c>
      <c r="X26" s="191">
        <v>9.606E-3</v>
      </c>
    </row>
    <row r="27" spans="2:24" ht="15" customHeight="1" x14ac:dyDescent="0.25">
      <c r="B27" s="75"/>
      <c r="C27" s="30"/>
      <c r="D27" s="30"/>
      <c r="E27" s="30"/>
      <c r="F27" s="30"/>
      <c r="G27" s="30"/>
      <c r="H27" s="30"/>
      <c r="I27" s="30"/>
      <c r="J27" s="30"/>
      <c r="K27" s="30"/>
      <c r="L27" s="30"/>
      <c r="M27" s="30"/>
      <c r="N27" s="30"/>
      <c r="O27" s="30"/>
      <c r="P27" s="30"/>
      <c r="Q27" s="30"/>
      <c r="R27" s="30"/>
      <c r="S27" s="30"/>
      <c r="T27" s="26"/>
      <c r="W27" s="190" t="s">
        <v>26</v>
      </c>
      <c r="X27" s="191">
        <v>5.5519999999999996E-3</v>
      </c>
    </row>
    <row r="28" spans="2:24" ht="15" customHeight="1" x14ac:dyDescent="0.25">
      <c r="B28" s="75"/>
      <c r="C28" s="30"/>
      <c r="D28" s="30"/>
      <c r="E28" s="30"/>
      <c r="F28" s="30"/>
      <c r="G28" s="30"/>
      <c r="H28" s="30"/>
      <c r="I28" s="30"/>
      <c r="J28" s="30"/>
      <c r="K28" s="30"/>
      <c r="L28" s="30"/>
      <c r="M28" s="30"/>
      <c r="N28" s="30"/>
      <c r="O28" s="30"/>
      <c r="P28" s="30"/>
      <c r="Q28" s="30"/>
      <c r="R28" s="30"/>
      <c r="S28" s="30"/>
      <c r="T28" s="26"/>
      <c r="W28" s="190" t="s">
        <v>142</v>
      </c>
      <c r="X28" s="191">
        <v>5.4619999999999998E-3</v>
      </c>
    </row>
    <row r="29" spans="2:24" ht="15" customHeight="1" x14ac:dyDescent="0.25">
      <c r="B29" s="75"/>
      <c r="C29" s="30"/>
      <c r="D29" s="30"/>
      <c r="E29" s="30"/>
      <c r="F29" s="30"/>
      <c r="G29" s="30"/>
      <c r="H29" s="30"/>
      <c r="I29" s="30"/>
      <c r="J29" s="30"/>
      <c r="K29" s="30"/>
      <c r="L29" s="30"/>
      <c r="M29" s="30"/>
      <c r="N29" s="30"/>
      <c r="O29" s="30"/>
      <c r="P29" s="30"/>
      <c r="Q29" s="30"/>
      <c r="R29" s="30"/>
      <c r="S29" s="30"/>
      <c r="T29" s="26"/>
      <c r="W29" s="190" t="s">
        <v>99</v>
      </c>
      <c r="X29" s="191">
        <v>4.0670000000000003E-3</v>
      </c>
    </row>
    <row r="30" spans="2:24" ht="15" customHeight="1" x14ac:dyDescent="0.25">
      <c r="B30" s="75"/>
      <c r="C30" s="30"/>
      <c r="D30" s="30"/>
      <c r="E30" s="30"/>
      <c r="F30" s="30"/>
      <c r="G30" s="30"/>
      <c r="H30" s="30"/>
      <c r="I30" s="30"/>
      <c r="J30" s="30"/>
      <c r="K30" s="30"/>
      <c r="L30" s="30"/>
      <c r="M30" s="30"/>
      <c r="N30" s="30"/>
      <c r="O30" s="30"/>
      <c r="P30" s="30"/>
      <c r="Q30" s="30"/>
      <c r="R30" s="30"/>
      <c r="S30" s="30"/>
      <c r="T30" s="26"/>
      <c r="W30" s="190"/>
      <c r="X30" s="191"/>
    </row>
    <row r="31" spans="2:24" ht="15" customHeight="1" x14ac:dyDescent="0.25">
      <c r="B31" s="75"/>
      <c r="C31" s="30"/>
      <c r="D31" s="30"/>
      <c r="E31" s="30"/>
      <c r="F31" s="30"/>
      <c r="G31" s="30"/>
      <c r="H31" s="30"/>
      <c r="I31" s="30"/>
      <c r="J31" s="30"/>
      <c r="K31" s="30"/>
      <c r="L31" s="30"/>
      <c r="M31" s="30"/>
      <c r="N31" s="30"/>
      <c r="O31" s="30"/>
      <c r="P31" s="30"/>
      <c r="Q31" s="30"/>
      <c r="R31" s="30"/>
      <c r="S31" s="30"/>
      <c r="T31" s="26"/>
      <c r="W31" s="63"/>
      <c r="X31" s="64"/>
    </row>
    <row r="32" spans="2:24" ht="15" customHeight="1" x14ac:dyDescent="0.25">
      <c r="B32" s="75"/>
      <c r="C32" s="30"/>
      <c r="D32" s="30"/>
      <c r="E32" s="30"/>
      <c r="F32" s="30"/>
      <c r="G32" s="30"/>
      <c r="H32" s="30"/>
      <c r="I32" s="30"/>
      <c r="J32" s="30"/>
      <c r="K32" s="30"/>
      <c r="L32" s="30"/>
      <c r="M32" s="30"/>
      <c r="N32" s="30"/>
      <c r="O32" s="30"/>
      <c r="P32" s="30"/>
      <c r="Q32" s="30"/>
      <c r="R32" s="30"/>
      <c r="S32" s="30"/>
      <c r="T32" s="26"/>
      <c r="W32" s="63"/>
      <c r="X32" s="64"/>
    </row>
    <row r="33" spans="2:24" ht="15" customHeight="1" x14ac:dyDescent="0.25">
      <c r="B33" s="75"/>
      <c r="C33" s="30"/>
      <c r="D33" s="30"/>
      <c r="E33" s="30"/>
      <c r="F33" s="30"/>
      <c r="G33" s="30"/>
      <c r="H33" s="30"/>
      <c r="I33" s="30"/>
      <c r="J33" s="30"/>
      <c r="K33" s="30"/>
      <c r="L33" s="30"/>
      <c r="M33" s="30"/>
      <c r="N33" s="30"/>
      <c r="O33" s="30"/>
      <c r="P33" s="30"/>
      <c r="Q33" s="30"/>
      <c r="R33" s="30"/>
      <c r="S33" s="30"/>
      <c r="T33" s="26"/>
      <c r="W33" s="42"/>
      <c r="X33" s="64"/>
    </row>
    <row r="34" spans="2:24" ht="15" customHeight="1" x14ac:dyDescent="0.25">
      <c r="B34" s="75"/>
      <c r="C34" s="30"/>
      <c r="D34" s="30"/>
      <c r="E34" s="30"/>
      <c r="F34" s="30"/>
      <c r="G34" s="30"/>
      <c r="H34" s="30"/>
      <c r="I34" s="30"/>
      <c r="J34" s="30"/>
      <c r="K34" s="30"/>
      <c r="L34" s="30"/>
      <c r="M34" s="30"/>
      <c r="N34" s="30"/>
      <c r="O34" s="30"/>
      <c r="P34" s="30"/>
      <c r="Q34" s="30"/>
      <c r="R34" s="30"/>
      <c r="S34" s="30"/>
      <c r="T34" s="26"/>
      <c r="W34" s="42"/>
      <c r="X34" s="42"/>
    </row>
    <row r="35" spans="2:24" ht="15" customHeight="1" x14ac:dyDescent="0.25">
      <c r="B35" s="75"/>
      <c r="C35" s="30"/>
      <c r="D35" s="30"/>
      <c r="E35" s="30"/>
      <c r="F35" s="30"/>
      <c r="G35" s="30"/>
      <c r="H35" s="30"/>
      <c r="I35" s="30"/>
      <c r="J35" s="30"/>
      <c r="K35" s="30"/>
      <c r="L35" s="30"/>
      <c r="M35" s="30"/>
      <c r="N35" s="30"/>
      <c r="O35" s="30"/>
      <c r="P35" s="30"/>
      <c r="Q35" s="30"/>
      <c r="R35" s="30"/>
      <c r="S35" s="30"/>
      <c r="T35" s="26"/>
      <c r="W35" s="42"/>
      <c r="X35" s="42"/>
    </row>
    <row r="36" spans="2:24" ht="15" customHeight="1" x14ac:dyDescent="0.25">
      <c r="B36" s="75"/>
      <c r="C36" s="30"/>
      <c r="D36" s="30"/>
      <c r="E36" s="30"/>
      <c r="F36" s="30"/>
      <c r="G36" s="30"/>
      <c r="H36" s="30"/>
      <c r="I36" s="30"/>
      <c r="J36" s="30"/>
      <c r="K36" s="30"/>
      <c r="L36" s="30"/>
      <c r="M36" s="30"/>
      <c r="N36" s="30"/>
      <c r="O36" s="30"/>
      <c r="P36" s="30"/>
      <c r="Q36" s="30"/>
      <c r="R36" s="30"/>
      <c r="S36" s="30"/>
      <c r="T36" s="26"/>
      <c r="W36" s="42"/>
      <c r="X36" s="42"/>
    </row>
    <row r="37" spans="2:24" ht="15" customHeight="1" x14ac:dyDescent="0.25">
      <c r="B37" s="75"/>
      <c r="C37" s="30"/>
      <c r="D37" s="30"/>
      <c r="E37" s="30"/>
      <c r="F37" s="30"/>
      <c r="G37" s="30"/>
      <c r="H37" s="30"/>
      <c r="I37" s="30"/>
      <c r="J37" s="30"/>
      <c r="K37" s="30"/>
      <c r="L37" s="30"/>
      <c r="M37" s="30"/>
      <c r="N37" s="30"/>
      <c r="O37" s="30"/>
      <c r="P37" s="30"/>
      <c r="Q37" s="30"/>
      <c r="R37" s="30"/>
      <c r="S37" s="30"/>
      <c r="T37" s="26"/>
      <c r="W37" s="42"/>
      <c r="X37" s="42"/>
    </row>
    <row r="38" spans="2:24" ht="15" hidden="1" customHeight="1" x14ac:dyDescent="0.25">
      <c r="B38" s="75"/>
      <c r="C38" s="30"/>
      <c r="D38" s="30"/>
      <c r="E38" s="30"/>
      <c r="F38" s="30"/>
      <c r="G38" s="30"/>
      <c r="H38" s="30"/>
      <c r="I38" s="30"/>
      <c r="J38" s="30"/>
      <c r="K38" s="30"/>
      <c r="L38" s="30"/>
      <c r="M38" s="30"/>
      <c r="N38" s="30"/>
      <c r="O38" s="30"/>
      <c r="P38" s="30"/>
      <c r="Q38" s="30"/>
      <c r="R38" s="30"/>
      <c r="S38" s="30"/>
      <c r="T38" s="26"/>
    </row>
    <row r="39" spans="2:24" ht="15" hidden="1" customHeight="1" x14ac:dyDescent="0.25">
      <c r="B39" s="75"/>
      <c r="C39" s="30"/>
      <c r="D39" s="30"/>
      <c r="E39" s="30"/>
      <c r="F39" s="30"/>
      <c r="G39" s="30"/>
      <c r="H39" s="30"/>
      <c r="I39" s="30"/>
      <c r="J39" s="30"/>
      <c r="K39" s="30"/>
      <c r="L39" s="30"/>
      <c r="M39" s="30"/>
      <c r="N39" s="30"/>
      <c r="O39" s="30"/>
      <c r="P39" s="30"/>
      <c r="Q39" s="30"/>
      <c r="R39" s="30"/>
      <c r="S39" s="30"/>
      <c r="T39" s="26"/>
    </row>
    <row r="40" spans="2:24" ht="15" hidden="1" customHeight="1" x14ac:dyDescent="0.25">
      <c r="B40" s="75"/>
      <c r="C40" s="30"/>
      <c r="D40" s="30"/>
      <c r="E40" s="30"/>
      <c r="F40" s="30"/>
      <c r="G40" s="30"/>
      <c r="H40" s="30"/>
      <c r="I40" s="30"/>
      <c r="J40" s="30"/>
      <c r="K40" s="30"/>
      <c r="L40" s="30"/>
      <c r="M40" s="30"/>
      <c r="N40" s="30"/>
      <c r="O40" s="30"/>
      <c r="P40" s="30"/>
      <c r="Q40" s="30"/>
      <c r="R40" s="30"/>
      <c r="S40" s="30"/>
      <c r="T40" s="26"/>
    </row>
    <row r="41" spans="2:24" ht="15" hidden="1" customHeight="1" x14ac:dyDescent="0.25">
      <c r="B41" s="75"/>
      <c r="C41" s="30"/>
      <c r="D41" s="30"/>
      <c r="E41" s="30"/>
      <c r="F41" s="30"/>
      <c r="G41" s="30"/>
      <c r="H41" s="30"/>
      <c r="I41" s="30"/>
      <c r="J41" s="30"/>
      <c r="K41" s="30"/>
      <c r="L41" s="30"/>
      <c r="M41" s="30"/>
      <c r="N41" s="30"/>
      <c r="O41" s="30"/>
      <c r="P41" s="30"/>
      <c r="Q41" s="30"/>
      <c r="R41" s="30"/>
      <c r="S41" s="30"/>
      <c r="T41" s="26"/>
    </row>
    <row r="42" spans="2:24" ht="15" hidden="1" customHeight="1" x14ac:dyDescent="0.25">
      <c r="B42" s="75"/>
      <c r="C42" s="30"/>
      <c r="D42" s="30"/>
      <c r="E42" s="30"/>
      <c r="F42" s="30"/>
      <c r="G42" s="30"/>
      <c r="H42" s="30"/>
      <c r="I42" s="30"/>
      <c r="J42" s="30"/>
      <c r="K42" s="30"/>
      <c r="L42" s="30"/>
      <c r="M42" s="30"/>
      <c r="N42" s="30"/>
      <c r="O42" s="30"/>
      <c r="P42" s="30"/>
      <c r="Q42" s="30"/>
      <c r="R42" s="30"/>
      <c r="S42" s="30"/>
      <c r="T42" s="26"/>
    </row>
    <row r="43" spans="2:24" ht="15" hidden="1" customHeight="1" x14ac:dyDescent="0.25">
      <c r="B43" s="75"/>
      <c r="C43" s="30"/>
      <c r="D43" s="30"/>
      <c r="E43" s="30"/>
      <c r="F43" s="30"/>
      <c r="G43" s="30"/>
      <c r="H43" s="30"/>
      <c r="I43" s="30"/>
      <c r="J43" s="30"/>
      <c r="K43" s="30"/>
      <c r="L43" s="30"/>
      <c r="M43" s="30"/>
      <c r="N43" s="30"/>
      <c r="O43" s="30"/>
      <c r="P43" s="30"/>
      <c r="Q43" s="30"/>
      <c r="R43" s="30"/>
      <c r="S43" s="30"/>
      <c r="T43" s="26"/>
    </row>
    <row r="44" spans="2:24" ht="15" hidden="1" customHeight="1" x14ac:dyDescent="0.25">
      <c r="B44" s="75"/>
      <c r="C44" s="30"/>
      <c r="D44" s="30"/>
      <c r="E44" s="30"/>
      <c r="F44" s="30"/>
      <c r="G44" s="30"/>
      <c r="H44" s="30"/>
      <c r="I44" s="30"/>
      <c r="J44" s="30"/>
      <c r="K44" s="30"/>
      <c r="L44" s="30"/>
      <c r="M44" s="30"/>
      <c r="N44" s="30"/>
      <c r="O44" s="30"/>
      <c r="P44" s="30"/>
      <c r="Q44" s="30"/>
      <c r="R44" s="30"/>
      <c r="S44" s="30"/>
      <c r="T44" s="26"/>
    </row>
    <row r="45" spans="2:24" ht="15" hidden="1" customHeight="1" x14ac:dyDescent="0.25">
      <c r="B45" s="75"/>
      <c r="C45" s="30"/>
      <c r="D45" s="30"/>
      <c r="E45" s="30"/>
      <c r="F45" s="30"/>
      <c r="G45" s="30"/>
      <c r="H45" s="30"/>
      <c r="I45" s="30"/>
      <c r="J45" s="30"/>
      <c r="K45" s="30"/>
      <c r="L45" s="30"/>
      <c r="M45" s="30"/>
      <c r="N45" s="30"/>
      <c r="O45" s="30"/>
      <c r="P45" s="30"/>
      <c r="Q45" s="30"/>
      <c r="R45" s="30"/>
      <c r="S45" s="30"/>
      <c r="T45" s="26"/>
    </row>
    <row r="46" spans="2:24" ht="15" hidden="1" customHeight="1" x14ac:dyDescent="0.25">
      <c r="B46" s="75"/>
      <c r="C46" s="30"/>
      <c r="D46" s="30"/>
      <c r="E46" s="30"/>
      <c r="F46" s="30"/>
      <c r="G46" s="30"/>
      <c r="H46" s="30"/>
      <c r="I46" s="30"/>
      <c r="J46" s="30"/>
      <c r="K46" s="30"/>
      <c r="L46" s="30"/>
      <c r="M46" s="30"/>
      <c r="N46" s="30"/>
      <c r="O46" s="30"/>
      <c r="P46" s="30"/>
      <c r="Q46" s="30"/>
      <c r="R46" s="30"/>
      <c r="S46" s="30"/>
      <c r="T46" s="26"/>
    </row>
    <row r="47" spans="2:24" ht="15" customHeight="1" thickBot="1" x14ac:dyDescent="0.3">
      <c r="B47" s="88"/>
      <c r="C47" s="31"/>
      <c r="D47" s="31"/>
      <c r="E47" s="31"/>
      <c r="F47" s="31"/>
      <c r="G47" s="31"/>
      <c r="H47" s="31"/>
      <c r="I47" s="31"/>
      <c r="J47" s="31"/>
      <c r="K47" s="31"/>
      <c r="L47" s="31"/>
      <c r="M47" s="31"/>
      <c r="N47" s="31"/>
      <c r="O47" s="31"/>
      <c r="P47" s="31"/>
      <c r="Q47" s="31"/>
      <c r="R47" s="31"/>
      <c r="S47" s="31"/>
      <c r="T47" s="27"/>
    </row>
    <row r="48" spans="2:24" ht="15" customHeight="1" thickBot="1" x14ac:dyDescent="0.3"/>
    <row r="49" spans="2:18" ht="15" customHeight="1" x14ac:dyDescent="0.25">
      <c r="B49" s="245" t="s">
        <v>265</v>
      </c>
      <c r="C49" s="246"/>
      <c r="D49" s="246"/>
      <c r="E49" s="246"/>
      <c r="F49" s="246"/>
      <c r="G49" s="246"/>
      <c r="H49" s="246"/>
      <c r="I49" s="246"/>
      <c r="J49" s="246"/>
      <c r="K49" s="246"/>
      <c r="L49" s="246"/>
      <c r="M49" s="246"/>
      <c r="N49" s="246"/>
      <c r="O49" s="246"/>
      <c r="P49" s="246"/>
      <c r="Q49" s="246"/>
      <c r="R49" s="247"/>
    </row>
    <row r="50" spans="2:18" ht="15" customHeight="1" x14ac:dyDescent="0.25">
      <c r="B50" s="248"/>
      <c r="C50" s="249"/>
      <c r="D50" s="249"/>
      <c r="E50" s="249"/>
      <c r="F50" s="249"/>
      <c r="G50" s="249"/>
      <c r="H50" s="249"/>
      <c r="I50" s="249"/>
      <c r="J50" s="249"/>
      <c r="K50" s="249"/>
      <c r="L50" s="249"/>
      <c r="M50" s="249"/>
      <c r="N50" s="249"/>
      <c r="O50" s="249"/>
      <c r="P50" s="249"/>
      <c r="Q50" s="249"/>
      <c r="R50" s="250"/>
    </row>
    <row r="51" spans="2:18" ht="15" customHeight="1" x14ac:dyDescent="0.25">
      <c r="B51" s="248"/>
      <c r="C51" s="249"/>
      <c r="D51" s="249"/>
      <c r="E51" s="249"/>
      <c r="F51" s="249"/>
      <c r="G51" s="249"/>
      <c r="H51" s="249"/>
      <c r="I51" s="249"/>
      <c r="J51" s="249"/>
      <c r="K51" s="249"/>
      <c r="L51" s="249"/>
      <c r="M51" s="249"/>
      <c r="N51" s="249"/>
      <c r="O51" s="249"/>
      <c r="P51" s="249"/>
      <c r="Q51" s="249"/>
      <c r="R51" s="250"/>
    </row>
    <row r="52" spans="2:18" ht="15" customHeight="1" x14ac:dyDescent="0.25">
      <c r="B52" s="248"/>
      <c r="C52" s="249"/>
      <c r="D52" s="249"/>
      <c r="E52" s="249"/>
      <c r="F52" s="249"/>
      <c r="G52" s="249"/>
      <c r="H52" s="249"/>
      <c r="I52" s="249"/>
      <c r="J52" s="249"/>
      <c r="K52" s="249"/>
      <c r="L52" s="249"/>
      <c r="M52" s="249"/>
      <c r="N52" s="249"/>
      <c r="O52" s="249"/>
      <c r="P52" s="249"/>
      <c r="Q52" s="249"/>
      <c r="R52" s="250"/>
    </row>
    <row r="53" spans="2:18" ht="15" customHeight="1" x14ac:dyDescent="0.25">
      <c r="B53" s="248"/>
      <c r="C53" s="249"/>
      <c r="D53" s="249"/>
      <c r="E53" s="249"/>
      <c r="F53" s="249"/>
      <c r="G53" s="249"/>
      <c r="H53" s="249"/>
      <c r="I53" s="249"/>
      <c r="J53" s="249"/>
      <c r="K53" s="249"/>
      <c r="L53" s="249"/>
      <c r="M53" s="249"/>
      <c r="N53" s="249"/>
      <c r="O53" s="249"/>
      <c r="P53" s="249"/>
      <c r="Q53" s="249"/>
      <c r="R53" s="250"/>
    </row>
    <row r="54" spans="2:18" ht="15" customHeight="1" x14ac:dyDescent="0.25">
      <c r="B54" s="248"/>
      <c r="C54" s="249"/>
      <c r="D54" s="249"/>
      <c r="E54" s="249"/>
      <c r="F54" s="249"/>
      <c r="G54" s="249"/>
      <c r="H54" s="249"/>
      <c r="I54" s="249"/>
      <c r="J54" s="249"/>
      <c r="K54" s="249"/>
      <c r="L54" s="249"/>
      <c r="M54" s="249"/>
      <c r="N54" s="249"/>
      <c r="O54" s="249"/>
      <c r="P54" s="249"/>
      <c r="Q54" s="249"/>
      <c r="R54" s="250"/>
    </row>
    <row r="55" spans="2:18" ht="15" customHeight="1" thickBot="1" x14ac:dyDescent="0.3">
      <c r="B55" s="251"/>
      <c r="C55" s="252"/>
      <c r="D55" s="252"/>
      <c r="E55" s="252"/>
      <c r="F55" s="252"/>
      <c r="G55" s="252"/>
      <c r="H55" s="252"/>
      <c r="I55" s="252"/>
      <c r="J55" s="252"/>
      <c r="K55" s="252"/>
      <c r="L55" s="252"/>
      <c r="M55" s="252"/>
      <c r="N55" s="252"/>
      <c r="O55" s="252"/>
      <c r="P55" s="252"/>
      <c r="Q55" s="252"/>
      <c r="R55" s="253"/>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0.42578125" style="20" bestFit="1" customWidth="1"/>
    <col min="6" max="18" width="9.140625" style="20"/>
    <col min="19" max="19" width="9.85546875" style="20" customWidth="1"/>
    <col min="20" max="20" width="9.140625" style="20"/>
    <col min="21" max="21" width="9.140625" style="42"/>
    <col min="22" max="22" width="11" style="42" customWidth="1"/>
    <col min="23" max="23" width="46.42578125" style="42" bestFit="1" customWidth="1"/>
    <col min="24" max="25" width="9.140625" style="42"/>
    <col min="26"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4" t="s">
        <v>235</v>
      </c>
      <c r="D3" s="255"/>
      <c r="E3" s="255"/>
      <c r="F3" s="255"/>
      <c r="G3" s="255"/>
      <c r="H3" s="255"/>
      <c r="I3" s="255"/>
      <c r="J3" s="255"/>
      <c r="K3" s="255"/>
      <c r="L3" s="255"/>
      <c r="M3" s="255"/>
      <c r="N3" s="255"/>
      <c r="O3" s="255"/>
      <c r="P3" s="255"/>
      <c r="Q3" s="255"/>
      <c r="R3" s="255"/>
      <c r="S3" s="255"/>
      <c r="T3" s="23"/>
    </row>
    <row r="4" spans="1:24" ht="15.75" customHeight="1" x14ac:dyDescent="0.25">
      <c r="B4" s="91"/>
      <c r="C4" s="78" t="s">
        <v>303</v>
      </c>
      <c r="D4" s="30"/>
      <c r="E4" s="30"/>
      <c r="F4" s="30"/>
      <c r="G4" s="30"/>
      <c r="H4" s="30"/>
      <c r="I4" s="30"/>
      <c r="J4" s="30"/>
      <c r="K4" s="30"/>
      <c r="L4" s="30"/>
      <c r="M4" s="30"/>
      <c r="N4" s="30"/>
      <c r="O4" s="30"/>
      <c r="P4" s="30"/>
      <c r="Q4" s="30"/>
      <c r="R4" s="30"/>
      <c r="S4" s="30"/>
      <c r="T4" s="23"/>
    </row>
    <row r="5" spans="1:24" ht="18" customHeight="1" x14ac:dyDescent="0.25">
      <c r="B5" s="91"/>
      <c r="C5" s="79" t="s">
        <v>304</v>
      </c>
      <c r="D5" s="256" t="s">
        <v>280</v>
      </c>
      <c r="E5" s="256"/>
      <c r="F5" s="30"/>
      <c r="G5" s="173"/>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172" t="s">
        <v>2</v>
      </c>
    </row>
    <row r="8" spans="1:24" ht="15" customHeight="1" x14ac:dyDescent="0.25">
      <c r="B8" s="91"/>
      <c r="C8" s="221" t="s">
        <v>33</v>
      </c>
      <c r="D8" s="222" t="s">
        <v>3</v>
      </c>
      <c r="E8" s="223">
        <v>9.5112000000000002E-2</v>
      </c>
      <c r="F8" s="30"/>
      <c r="G8" s="30"/>
      <c r="H8" s="30"/>
      <c r="I8" s="30"/>
      <c r="J8" s="30"/>
      <c r="K8" s="30"/>
      <c r="L8" s="30"/>
      <c r="M8" s="30"/>
      <c r="N8" s="30"/>
      <c r="O8" s="30"/>
      <c r="P8" s="30"/>
      <c r="Q8" s="30"/>
      <c r="R8" s="30"/>
      <c r="S8" s="30"/>
      <c r="T8" s="23"/>
      <c r="W8" s="190" t="s">
        <v>3</v>
      </c>
      <c r="X8" s="191">
        <v>0.29808000000000001</v>
      </c>
    </row>
    <row r="9" spans="1:24" ht="15.75" customHeight="1" x14ac:dyDescent="0.25">
      <c r="B9" s="91"/>
      <c r="C9" s="211" t="s">
        <v>29</v>
      </c>
      <c r="D9" s="224" t="s">
        <v>3</v>
      </c>
      <c r="E9" s="225">
        <v>9.1791999999999999E-2</v>
      </c>
      <c r="F9" s="30"/>
      <c r="G9" s="30"/>
      <c r="H9" s="30"/>
      <c r="I9" s="30"/>
      <c r="J9" s="30"/>
      <c r="K9" s="30"/>
      <c r="L9" s="30"/>
      <c r="M9" s="30"/>
      <c r="N9" s="30"/>
      <c r="O9" s="30"/>
      <c r="P9" s="30"/>
      <c r="Q9" s="30"/>
      <c r="R9" s="30"/>
      <c r="S9" s="30"/>
      <c r="T9" s="23"/>
      <c r="W9" s="190" t="s">
        <v>145</v>
      </c>
      <c r="X9" s="191">
        <v>9.1410999999999992E-2</v>
      </c>
    </row>
    <row r="10" spans="1:24" ht="15" customHeight="1" x14ac:dyDescent="0.25">
      <c r="B10" s="91"/>
      <c r="C10" s="211" t="s">
        <v>167</v>
      </c>
      <c r="D10" s="224" t="s">
        <v>145</v>
      </c>
      <c r="E10" s="225">
        <v>5.7438999999999997E-2</v>
      </c>
      <c r="F10" s="30"/>
      <c r="G10" s="30"/>
      <c r="H10" s="30"/>
      <c r="I10" s="30"/>
      <c r="J10" s="30"/>
      <c r="K10" s="30"/>
      <c r="L10" s="30"/>
      <c r="M10" s="30"/>
      <c r="N10" s="30"/>
      <c r="O10" s="30"/>
      <c r="P10" s="30"/>
      <c r="Q10" s="30"/>
      <c r="R10" s="30"/>
      <c r="S10" s="30"/>
      <c r="T10" s="23"/>
      <c r="W10" s="190" t="s">
        <v>135</v>
      </c>
      <c r="X10" s="191">
        <v>8.9702000000000004E-2</v>
      </c>
    </row>
    <row r="11" spans="1:24" ht="15" customHeight="1" x14ac:dyDescent="0.25">
      <c r="B11" s="91"/>
      <c r="C11" s="211" t="s">
        <v>168</v>
      </c>
      <c r="D11" s="224" t="s">
        <v>3</v>
      </c>
      <c r="E11" s="225">
        <v>5.7348999999999997E-2</v>
      </c>
      <c r="F11" s="30"/>
      <c r="G11" s="30"/>
      <c r="H11" s="30"/>
      <c r="I11" s="30"/>
      <c r="J11" s="30"/>
      <c r="K11" s="30"/>
      <c r="L11" s="30"/>
      <c r="M11" s="30"/>
      <c r="N11" s="30"/>
      <c r="O11" s="30"/>
      <c r="P11" s="30"/>
      <c r="Q11" s="30"/>
      <c r="R11" s="30"/>
      <c r="S11" s="30"/>
      <c r="T11" s="23"/>
      <c r="W11" s="190" t="s">
        <v>141</v>
      </c>
      <c r="X11" s="191">
        <v>6.1186999999999991E-2</v>
      </c>
    </row>
    <row r="12" spans="1:24" ht="15" customHeight="1" x14ac:dyDescent="0.25">
      <c r="B12" s="91"/>
      <c r="C12" s="211" t="s">
        <v>28</v>
      </c>
      <c r="D12" s="224" t="s">
        <v>135</v>
      </c>
      <c r="E12" s="225">
        <v>5.7022999999999997E-2</v>
      </c>
      <c r="F12" s="30"/>
      <c r="G12" s="30"/>
      <c r="H12" s="30"/>
      <c r="I12" s="30"/>
      <c r="J12" s="30"/>
      <c r="K12" s="30"/>
      <c r="L12" s="30"/>
      <c r="M12" s="30"/>
      <c r="N12" s="30"/>
      <c r="O12" s="30"/>
      <c r="P12" s="30"/>
      <c r="Q12" s="30"/>
      <c r="R12" s="30"/>
      <c r="S12" s="30"/>
      <c r="T12" s="23"/>
      <c r="W12" s="190" t="s">
        <v>146</v>
      </c>
      <c r="X12" s="191">
        <v>4.9465000000000002E-2</v>
      </c>
    </row>
    <row r="13" spans="1:24" ht="15" customHeight="1" x14ac:dyDescent="0.25">
      <c r="B13" s="91"/>
      <c r="C13" s="211" t="s">
        <v>37</v>
      </c>
      <c r="D13" s="224" t="s">
        <v>3</v>
      </c>
      <c r="E13" s="225">
        <v>5.3827E-2</v>
      </c>
      <c r="F13" s="30"/>
      <c r="G13" s="30"/>
      <c r="H13" s="30"/>
      <c r="I13" s="30"/>
      <c r="J13" s="30"/>
      <c r="K13" s="30"/>
      <c r="L13" s="30"/>
      <c r="M13" s="30"/>
      <c r="N13" s="30"/>
      <c r="O13" s="30"/>
      <c r="P13" s="30"/>
      <c r="Q13" s="30"/>
      <c r="R13" s="30"/>
      <c r="S13" s="30"/>
      <c r="T13" s="23"/>
      <c r="W13" s="190" t="s">
        <v>6</v>
      </c>
      <c r="X13" s="191">
        <v>4.8931000000000002E-2</v>
      </c>
    </row>
    <row r="14" spans="1:24" ht="15" customHeight="1" x14ac:dyDescent="0.25">
      <c r="B14" s="91"/>
      <c r="C14" s="211" t="s">
        <v>31</v>
      </c>
      <c r="D14" s="224" t="s">
        <v>146</v>
      </c>
      <c r="E14" s="225">
        <v>4.9465000000000002E-2</v>
      </c>
      <c r="F14" s="30"/>
      <c r="G14" s="30"/>
      <c r="H14" s="30"/>
      <c r="I14" s="30"/>
      <c r="J14" s="30"/>
      <c r="K14" s="30"/>
      <c r="L14" s="30"/>
      <c r="M14" s="30"/>
      <c r="N14" s="30"/>
      <c r="O14" s="30"/>
      <c r="P14" s="30"/>
      <c r="Q14" s="30"/>
      <c r="R14" s="30"/>
      <c r="S14" s="30"/>
      <c r="T14" s="23"/>
      <c r="W14" s="190" t="s">
        <v>4</v>
      </c>
      <c r="X14" s="191">
        <v>4.5136000000000003E-2</v>
      </c>
    </row>
    <row r="15" spans="1:24" ht="15" customHeight="1" x14ac:dyDescent="0.25">
      <c r="B15" s="91"/>
      <c r="C15" s="211" t="s">
        <v>32</v>
      </c>
      <c r="D15" s="224" t="s">
        <v>6</v>
      </c>
      <c r="E15" s="225">
        <v>4.8931000000000002E-2</v>
      </c>
      <c r="F15" s="30"/>
      <c r="G15" s="30"/>
      <c r="H15" s="30"/>
      <c r="I15" s="30"/>
      <c r="J15" s="30"/>
      <c r="K15" s="30"/>
      <c r="L15" s="30"/>
      <c r="M15" s="30"/>
      <c r="N15" s="30"/>
      <c r="O15" s="30"/>
      <c r="P15" s="30"/>
      <c r="Q15" s="30"/>
      <c r="R15" s="30"/>
      <c r="S15" s="30"/>
      <c r="T15" s="23"/>
      <c r="W15" s="190" t="s">
        <v>140</v>
      </c>
      <c r="X15" s="191">
        <v>4.1176000000000004E-2</v>
      </c>
    </row>
    <row r="16" spans="1:24" ht="15" customHeight="1" x14ac:dyDescent="0.25">
      <c r="B16" s="91"/>
      <c r="C16" s="211" t="s">
        <v>133</v>
      </c>
      <c r="D16" s="224" t="s">
        <v>4</v>
      </c>
      <c r="E16" s="225">
        <v>4.5136000000000003E-2</v>
      </c>
      <c r="F16" s="30"/>
      <c r="G16" s="30"/>
      <c r="H16" s="30"/>
      <c r="I16" s="30"/>
      <c r="J16" s="30"/>
      <c r="K16" s="30"/>
      <c r="L16" s="30"/>
      <c r="M16" s="30"/>
      <c r="N16" s="30"/>
      <c r="O16" s="30"/>
      <c r="P16" s="30"/>
      <c r="Q16" s="30"/>
      <c r="R16" s="30"/>
      <c r="S16" s="30"/>
      <c r="T16" s="23"/>
      <c r="W16" s="190" t="s">
        <v>143</v>
      </c>
      <c r="X16" s="191">
        <v>3.2232999999999998E-2</v>
      </c>
    </row>
    <row r="17" spans="2:24" ht="15" customHeight="1" x14ac:dyDescent="0.25">
      <c r="B17" s="91"/>
      <c r="C17" s="211" t="s">
        <v>201</v>
      </c>
      <c r="D17" s="224" t="s">
        <v>145</v>
      </c>
      <c r="E17" s="225">
        <v>3.3972000000000002E-2</v>
      </c>
      <c r="F17" s="30"/>
      <c r="G17" s="30"/>
      <c r="H17" s="30"/>
      <c r="I17" s="30"/>
      <c r="J17" s="30"/>
      <c r="K17" s="30"/>
      <c r="L17" s="30"/>
      <c r="M17" s="30"/>
      <c r="N17" s="30"/>
      <c r="O17" s="30"/>
      <c r="P17" s="30"/>
      <c r="Q17" s="30"/>
      <c r="R17" s="30"/>
      <c r="S17" s="30"/>
      <c r="T17" s="23"/>
      <c r="W17" s="190" t="s">
        <v>154</v>
      </c>
      <c r="X17" s="191">
        <v>2.9706E-2</v>
      </c>
    </row>
    <row r="18" spans="2:24" ht="15" customHeight="1" x14ac:dyDescent="0.25">
      <c r="B18" s="91"/>
      <c r="C18" s="211" t="s">
        <v>199</v>
      </c>
      <c r="D18" s="224" t="s">
        <v>135</v>
      </c>
      <c r="E18" s="225">
        <v>3.2679E-2</v>
      </c>
      <c r="F18" s="30"/>
      <c r="G18" s="30"/>
      <c r="H18" s="30"/>
      <c r="I18" s="30"/>
      <c r="J18" s="30"/>
      <c r="K18" s="30"/>
      <c r="L18" s="30"/>
      <c r="M18" s="30"/>
      <c r="N18" s="30"/>
      <c r="O18" s="30"/>
      <c r="P18" s="30"/>
      <c r="Q18" s="30"/>
      <c r="R18" s="30"/>
      <c r="S18" s="30"/>
      <c r="T18" s="23"/>
      <c r="W18" s="190" t="s">
        <v>16</v>
      </c>
      <c r="X18" s="191">
        <v>2.7643000000000001E-2</v>
      </c>
    </row>
    <row r="19" spans="2:24" ht="15" customHeight="1" x14ac:dyDescent="0.25">
      <c r="B19" s="91"/>
      <c r="C19" s="211" t="s">
        <v>206</v>
      </c>
      <c r="D19" s="224" t="s">
        <v>143</v>
      </c>
      <c r="E19" s="225">
        <v>3.2232999999999998E-2</v>
      </c>
      <c r="F19" s="30"/>
      <c r="G19" s="30"/>
      <c r="H19" s="30"/>
      <c r="I19" s="30"/>
      <c r="J19" s="30"/>
      <c r="K19" s="30"/>
      <c r="L19" s="30"/>
      <c r="M19" s="30"/>
      <c r="N19" s="30"/>
      <c r="O19" s="30"/>
      <c r="P19" s="30"/>
      <c r="Q19" s="30"/>
      <c r="R19" s="30"/>
      <c r="S19" s="30"/>
      <c r="T19" s="23"/>
      <c r="W19" s="190" t="s">
        <v>136</v>
      </c>
      <c r="X19" s="191">
        <v>2.7028E-2</v>
      </c>
    </row>
    <row r="20" spans="2:24" ht="15" customHeight="1" x14ac:dyDescent="0.25">
      <c r="B20" s="91"/>
      <c r="C20" s="211" t="s">
        <v>192</v>
      </c>
      <c r="D20" s="224" t="s">
        <v>154</v>
      </c>
      <c r="E20" s="225">
        <v>2.9706E-2</v>
      </c>
      <c r="F20" s="30"/>
      <c r="G20" s="30"/>
      <c r="H20" s="30"/>
      <c r="I20" s="30"/>
      <c r="J20" s="30"/>
      <c r="K20" s="30"/>
      <c r="L20" s="30"/>
      <c r="M20" s="30"/>
      <c r="N20" s="30"/>
      <c r="O20" s="30"/>
      <c r="P20" s="30"/>
      <c r="Q20" s="30"/>
      <c r="R20" s="30"/>
      <c r="S20" s="30"/>
      <c r="T20" s="23"/>
      <c r="W20" s="190" t="s">
        <v>26</v>
      </c>
      <c r="X20" s="191">
        <v>2.4618000000000001E-2</v>
      </c>
    </row>
    <row r="21" spans="2:24" ht="15" customHeight="1" x14ac:dyDescent="0.25">
      <c r="B21" s="91"/>
      <c r="C21" s="211" t="s">
        <v>179</v>
      </c>
      <c r="D21" s="224" t="s">
        <v>136</v>
      </c>
      <c r="E21" s="225">
        <v>2.7028E-2</v>
      </c>
      <c r="F21" s="30"/>
      <c r="G21" s="30"/>
      <c r="H21" s="30"/>
      <c r="I21" s="30"/>
      <c r="J21" s="30"/>
      <c r="K21" s="30"/>
      <c r="L21" s="30"/>
      <c r="M21" s="30"/>
      <c r="N21" s="30"/>
      <c r="O21" s="30"/>
      <c r="P21" s="30"/>
      <c r="Q21" s="30"/>
      <c r="R21" s="30"/>
      <c r="S21" s="30"/>
      <c r="T21" s="23"/>
      <c r="W21" s="190" t="s">
        <v>97</v>
      </c>
      <c r="X21" s="191">
        <v>2.3295E-2</v>
      </c>
    </row>
    <row r="22" spans="2:24" ht="15" customHeight="1" x14ac:dyDescent="0.25">
      <c r="B22" s="91"/>
      <c r="C22" s="211" t="s">
        <v>174</v>
      </c>
      <c r="D22" s="224" t="s">
        <v>26</v>
      </c>
      <c r="E22" s="225">
        <v>2.4618000000000001E-2</v>
      </c>
      <c r="F22" s="30"/>
      <c r="G22" s="30"/>
      <c r="H22" s="30"/>
      <c r="I22" s="30"/>
      <c r="J22" s="30"/>
      <c r="K22" s="30"/>
      <c r="L22" s="30"/>
      <c r="M22" s="30"/>
      <c r="N22" s="30"/>
      <c r="O22" s="30"/>
      <c r="P22" s="30"/>
      <c r="Q22" s="30"/>
      <c r="R22" s="30"/>
      <c r="S22" s="30"/>
      <c r="T22" s="23"/>
      <c r="W22" s="190" t="s">
        <v>142</v>
      </c>
      <c r="X22" s="191">
        <v>2.2995999999999999E-2</v>
      </c>
    </row>
    <row r="23" spans="2:24" ht="15" customHeight="1" x14ac:dyDescent="0.25">
      <c r="B23" s="91"/>
      <c r="C23" s="83"/>
      <c r="D23" s="174"/>
      <c r="E23" s="84"/>
      <c r="F23" s="30"/>
      <c r="G23" s="30"/>
      <c r="H23" s="30"/>
      <c r="I23" s="30"/>
      <c r="J23" s="30"/>
      <c r="K23" s="30"/>
      <c r="L23" s="30"/>
      <c r="M23" s="30"/>
      <c r="N23" s="30"/>
      <c r="O23" s="30"/>
      <c r="P23" s="30"/>
      <c r="Q23" s="30"/>
      <c r="R23" s="30"/>
      <c r="S23" s="30"/>
      <c r="T23" s="23"/>
      <c r="W23" s="190" t="s">
        <v>98</v>
      </c>
      <c r="X23" s="191">
        <v>2.2398999999999999E-2</v>
      </c>
    </row>
    <row r="24" spans="2:24" ht="15" customHeight="1" x14ac:dyDescent="0.25">
      <c r="B24" s="91"/>
      <c r="C24" s="85" t="s">
        <v>56</v>
      </c>
      <c r="D24" s="86"/>
      <c r="E24" s="87">
        <f>SUM(E8:E22)</f>
        <v>0.73631000000000002</v>
      </c>
      <c r="F24" s="30"/>
      <c r="G24" s="30"/>
      <c r="H24" s="30"/>
      <c r="I24" s="30"/>
      <c r="J24" s="30"/>
      <c r="K24" s="30"/>
      <c r="L24" s="30"/>
      <c r="M24" s="30"/>
      <c r="N24" s="30"/>
      <c r="O24" s="30"/>
      <c r="P24" s="30"/>
      <c r="Q24" s="30"/>
      <c r="R24" s="30"/>
      <c r="S24" s="30"/>
      <c r="T24" s="23"/>
      <c r="W24" s="190" t="s">
        <v>23</v>
      </c>
      <c r="X24" s="191">
        <v>2.1409000000000001E-2</v>
      </c>
    </row>
    <row r="25" spans="2:24" ht="15" customHeight="1" x14ac:dyDescent="0.25">
      <c r="B25" s="91"/>
      <c r="F25" s="30"/>
      <c r="G25" s="30"/>
      <c r="H25" s="30"/>
      <c r="I25" s="30"/>
      <c r="J25" s="30"/>
      <c r="K25" s="30"/>
      <c r="L25" s="30"/>
      <c r="M25" s="30"/>
      <c r="N25" s="30"/>
      <c r="O25" s="30"/>
      <c r="P25" s="30"/>
      <c r="Q25" s="30"/>
      <c r="R25" s="30"/>
      <c r="S25" s="30"/>
      <c r="T25" s="23"/>
      <c r="W25" s="190" t="s">
        <v>148</v>
      </c>
      <c r="X25" s="191">
        <v>1.5897999999999999E-2</v>
      </c>
    </row>
    <row r="26" spans="2:24" ht="15" customHeight="1" x14ac:dyDescent="0.25">
      <c r="B26" s="91"/>
      <c r="F26" s="30"/>
      <c r="G26" s="30"/>
      <c r="H26" s="30"/>
      <c r="I26" s="30"/>
      <c r="J26" s="30"/>
      <c r="K26" s="30"/>
      <c r="L26" s="30"/>
      <c r="M26" s="30"/>
      <c r="N26" s="30"/>
      <c r="O26" s="30"/>
      <c r="P26" s="30"/>
      <c r="Q26" s="30"/>
      <c r="R26" s="30"/>
      <c r="S26" s="30"/>
      <c r="T26" s="23"/>
      <c r="W26" s="190" t="s">
        <v>138</v>
      </c>
      <c r="X26" s="191">
        <v>1.4791E-2</v>
      </c>
    </row>
    <row r="27" spans="2:24" ht="15" customHeight="1" x14ac:dyDescent="0.25">
      <c r="B27" s="91"/>
      <c r="F27" s="30"/>
      <c r="G27" s="30"/>
      <c r="H27" s="30"/>
      <c r="I27" s="30"/>
      <c r="J27" s="30"/>
      <c r="K27" s="30"/>
      <c r="L27" s="30"/>
      <c r="M27" s="30"/>
      <c r="N27" s="30"/>
      <c r="O27" s="30"/>
      <c r="P27" s="30"/>
      <c r="Q27" s="30"/>
      <c r="R27" s="30"/>
      <c r="S27" s="30"/>
      <c r="T27" s="23"/>
      <c r="W27" s="190" t="s">
        <v>10</v>
      </c>
      <c r="X27" s="191">
        <v>5.0000000000000004E-6</v>
      </c>
    </row>
    <row r="28" spans="2:24" ht="15" customHeight="1" x14ac:dyDescent="0.25">
      <c r="B28" s="91"/>
      <c r="F28" s="30"/>
      <c r="G28" s="30"/>
      <c r="H28" s="30"/>
      <c r="I28" s="30"/>
      <c r="J28" s="30"/>
      <c r="K28" s="30"/>
      <c r="L28" s="30"/>
      <c r="M28" s="30"/>
      <c r="N28" s="30"/>
      <c r="O28" s="30"/>
      <c r="P28" s="30"/>
      <c r="Q28" s="30"/>
      <c r="R28" s="30"/>
      <c r="S28" s="30"/>
      <c r="T28" s="23"/>
      <c r="W28" s="190"/>
      <c r="X28" s="191"/>
    </row>
    <row r="29" spans="2:24" ht="15" customHeight="1" x14ac:dyDescent="0.25">
      <c r="B29" s="91"/>
      <c r="F29" s="30"/>
      <c r="G29" s="30"/>
      <c r="H29" s="30"/>
      <c r="I29" s="30"/>
      <c r="J29" s="30"/>
      <c r="K29" s="30"/>
      <c r="L29" s="30"/>
      <c r="M29" s="30"/>
      <c r="N29" s="30"/>
      <c r="O29" s="30"/>
      <c r="P29" s="30"/>
      <c r="Q29" s="30"/>
      <c r="R29" s="30"/>
      <c r="S29" s="30"/>
      <c r="T29" s="23"/>
      <c r="W29" s="190"/>
      <c r="X29" s="191"/>
    </row>
    <row r="30" spans="2:24" ht="15" customHeight="1" x14ac:dyDescent="0.25">
      <c r="B30" s="91"/>
      <c r="F30" s="30"/>
      <c r="G30" s="30"/>
      <c r="H30" s="30"/>
      <c r="I30" s="30"/>
      <c r="J30" s="30"/>
      <c r="K30" s="30"/>
      <c r="L30" s="30"/>
      <c r="M30" s="30"/>
      <c r="N30" s="30"/>
      <c r="O30" s="30"/>
      <c r="P30" s="30"/>
      <c r="Q30" s="30"/>
      <c r="R30" s="30"/>
      <c r="S30" s="30"/>
      <c r="T30" s="23"/>
    </row>
    <row r="31" spans="2:24" ht="15" customHeight="1" x14ac:dyDescent="0.25">
      <c r="B31" s="91"/>
      <c r="F31" s="30"/>
      <c r="G31" s="30"/>
      <c r="H31" s="30"/>
      <c r="I31" s="30"/>
      <c r="J31" s="30"/>
      <c r="K31" s="30"/>
      <c r="L31" s="30"/>
      <c r="M31" s="30"/>
      <c r="N31" s="30"/>
      <c r="O31" s="30"/>
      <c r="P31" s="30"/>
      <c r="Q31" s="30"/>
      <c r="R31" s="30"/>
      <c r="S31" s="30"/>
      <c r="T31" s="23"/>
    </row>
    <row r="32" spans="2:24" ht="15" customHeight="1" x14ac:dyDescent="0.25">
      <c r="B32" s="91"/>
      <c r="F32" s="30"/>
      <c r="G32" s="30"/>
      <c r="H32" s="30"/>
      <c r="I32" s="30"/>
      <c r="J32" s="30"/>
      <c r="K32" s="30"/>
      <c r="L32" s="30"/>
      <c r="M32" s="30"/>
      <c r="N32" s="30"/>
      <c r="O32" s="30"/>
      <c r="P32" s="30"/>
      <c r="Q32" s="30"/>
      <c r="R32" s="30"/>
      <c r="S32" s="30"/>
      <c r="T32" s="23"/>
    </row>
    <row r="33" spans="2:20" ht="15.75" customHeight="1" x14ac:dyDescent="0.25">
      <c r="B33" s="91"/>
      <c r="F33" s="30"/>
      <c r="G33" s="30"/>
      <c r="H33" s="30"/>
      <c r="I33" s="30"/>
      <c r="J33" s="30"/>
      <c r="K33" s="30"/>
      <c r="L33" s="30"/>
      <c r="M33" s="30"/>
      <c r="N33" s="30"/>
      <c r="O33" s="30"/>
      <c r="P33" s="30"/>
      <c r="Q33" s="30"/>
      <c r="R33" s="30"/>
      <c r="S33" s="30"/>
      <c r="T33" s="23"/>
    </row>
    <row r="34" spans="2:20" ht="15.75" customHeight="1" x14ac:dyDescent="0.25">
      <c r="B34" s="91"/>
      <c r="F34" s="30"/>
      <c r="G34" s="30"/>
      <c r="H34" s="30"/>
      <c r="I34" s="30"/>
      <c r="J34" s="30"/>
      <c r="K34" s="30"/>
      <c r="L34" s="30"/>
      <c r="M34" s="30"/>
      <c r="N34" s="30"/>
      <c r="O34" s="30"/>
      <c r="P34" s="30"/>
      <c r="Q34" s="30"/>
      <c r="R34" s="30"/>
      <c r="S34" s="30"/>
      <c r="T34" s="23"/>
    </row>
    <row r="35" spans="2:20" ht="15.75" customHeight="1" x14ac:dyDescent="0.25">
      <c r="B35" s="91"/>
      <c r="F35" s="30"/>
      <c r="G35" s="30"/>
      <c r="H35" s="30"/>
      <c r="I35" s="30"/>
      <c r="J35" s="30"/>
      <c r="K35" s="30"/>
      <c r="L35" s="30"/>
      <c r="M35" s="30"/>
      <c r="N35" s="30"/>
      <c r="O35" s="30"/>
      <c r="P35" s="30"/>
      <c r="Q35" s="30"/>
      <c r="R35" s="30"/>
      <c r="S35" s="30"/>
      <c r="T35" s="23"/>
    </row>
    <row r="36" spans="2:20" ht="15" customHeight="1" thickBot="1" x14ac:dyDescent="0.3">
      <c r="B36" s="92"/>
      <c r="C36" s="93"/>
      <c r="D36" s="93"/>
      <c r="E36" s="93"/>
      <c r="F36" s="93"/>
      <c r="G36" s="93"/>
      <c r="H36" s="93"/>
      <c r="I36" s="93"/>
      <c r="J36" s="93"/>
      <c r="K36" s="93"/>
      <c r="L36" s="93"/>
      <c r="M36" s="93"/>
      <c r="N36" s="93"/>
      <c r="O36" s="93"/>
      <c r="P36" s="93"/>
      <c r="Q36" s="93"/>
      <c r="R36" s="93"/>
      <c r="S36" s="93"/>
      <c r="T36" s="24"/>
    </row>
    <row r="37" spans="2:20" ht="15" customHeight="1" thickBot="1" x14ac:dyDescent="0.3"/>
    <row r="38" spans="2:20" ht="15" customHeight="1" x14ac:dyDescent="0.25">
      <c r="B38" s="245" t="s">
        <v>265</v>
      </c>
      <c r="C38" s="246"/>
      <c r="D38" s="246"/>
      <c r="E38" s="246"/>
      <c r="F38" s="246"/>
      <c r="G38" s="246"/>
      <c r="H38" s="246"/>
      <c r="I38" s="246"/>
      <c r="J38" s="246"/>
      <c r="K38" s="246"/>
      <c r="L38" s="246"/>
      <c r="M38" s="246"/>
      <c r="N38" s="246"/>
      <c r="O38" s="246"/>
      <c r="P38" s="246"/>
      <c r="Q38" s="246"/>
      <c r="R38" s="247"/>
    </row>
    <row r="39" spans="2:20" ht="15" customHeight="1" x14ac:dyDescent="0.25">
      <c r="B39" s="248"/>
      <c r="C39" s="249"/>
      <c r="D39" s="249"/>
      <c r="E39" s="249"/>
      <c r="F39" s="249"/>
      <c r="G39" s="249"/>
      <c r="H39" s="249"/>
      <c r="I39" s="249"/>
      <c r="J39" s="249"/>
      <c r="K39" s="249"/>
      <c r="L39" s="249"/>
      <c r="M39" s="249"/>
      <c r="N39" s="249"/>
      <c r="O39" s="249"/>
      <c r="P39" s="249"/>
      <c r="Q39" s="249"/>
      <c r="R39" s="250"/>
    </row>
    <row r="40" spans="2:20" ht="15" customHeight="1" x14ac:dyDescent="0.25">
      <c r="B40" s="248"/>
      <c r="C40" s="249"/>
      <c r="D40" s="249"/>
      <c r="E40" s="249"/>
      <c r="F40" s="249"/>
      <c r="G40" s="249"/>
      <c r="H40" s="249"/>
      <c r="I40" s="249"/>
      <c r="J40" s="249"/>
      <c r="K40" s="249"/>
      <c r="L40" s="249"/>
      <c r="M40" s="249"/>
      <c r="N40" s="249"/>
      <c r="O40" s="249"/>
      <c r="P40" s="249"/>
      <c r="Q40" s="249"/>
      <c r="R40" s="250"/>
    </row>
    <row r="41" spans="2:20" ht="15" customHeight="1" x14ac:dyDescent="0.25">
      <c r="B41" s="248"/>
      <c r="C41" s="249"/>
      <c r="D41" s="249"/>
      <c r="E41" s="249"/>
      <c r="F41" s="249"/>
      <c r="G41" s="249"/>
      <c r="H41" s="249"/>
      <c r="I41" s="249"/>
      <c r="J41" s="249"/>
      <c r="K41" s="249"/>
      <c r="L41" s="249"/>
      <c r="M41" s="249"/>
      <c r="N41" s="249"/>
      <c r="O41" s="249"/>
      <c r="P41" s="249"/>
      <c r="Q41" s="249"/>
      <c r="R41" s="250"/>
    </row>
    <row r="42" spans="2:20" ht="15" customHeight="1" x14ac:dyDescent="0.25">
      <c r="B42" s="248"/>
      <c r="C42" s="249"/>
      <c r="D42" s="249"/>
      <c r="E42" s="249"/>
      <c r="F42" s="249"/>
      <c r="G42" s="249"/>
      <c r="H42" s="249"/>
      <c r="I42" s="249"/>
      <c r="J42" s="249"/>
      <c r="K42" s="249"/>
      <c r="L42" s="249"/>
      <c r="M42" s="249"/>
      <c r="N42" s="249"/>
      <c r="O42" s="249"/>
      <c r="P42" s="249"/>
      <c r="Q42" s="249"/>
      <c r="R42" s="250"/>
    </row>
    <row r="43" spans="2:20" ht="15" customHeight="1" x14ac:dyDescent="0.25">
      <c r="B43" s="248"/>
      <c r="C43" s="249"/>
      <c r="D43" s="249"/>
      <c r="E43" s="249"/>
      <c r="F43" s="249"/>
      <c r="G43" s="249"/>
      <c r="H43" s="249"/>
      <c r="I43" s="249"/>
      <c r="J43" s="249"/>
      <c r="K43" s="249"/>
      <c r="L43" s="249"/>
      <c r="M43" s="249"/>
      <c r="N43" s="249"/>
      <c r="O43" s="249"/>
      <c r="P43" s="249"/>
      <c r="Q43" s="249"/>
      <c r="R43" s="250"/>
    </row>
    <row r="44" spans="2:20" ht="15" customHeight="1" thickBot="1" x14ac:dyDescent="0.3">
      <c r="B44" s="251"/>
      <c r="C44" s="252"/>
      <c r="D44" s="252"/>
      <c r="E44" s="252"/>
      <c r="F44" s="252"/>
      <c r="G44" s="252"/>
      <c r="H44" s="252"/>
      <c r="I44" s="252"/>
      <c r="J44" s="252"/>
      <c r="K44" s="252"/>
      <c r="L44" s="252"/>
      <c r="M44" s="252"/>
      <c r="N44" s="252"/>
      <c r="O44" s="252"/>
      <c r="P44" s="252"/>
      <c r="Q44" s="252"/>
      <c r="R44" s="253"/>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customWidth="1"/>
    <col min="4" max="4" width="32.14062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4" width="8.42578125" style="42" customWidth="1"/>
    <col min="25" max="27" width="9.140625" style="42"/>
    <col min="28" max="16384" width="9.140625" style="20"/>
  </cols>
  <sheetData>
    <row r="1" spans="1:37" ht="15.75" customHeight="1" thickBot="1" x14ac:dyDescent="0.3">
      <c r="A1" s="3"/>
    </row>
    <row r="2" spans="1:37" ht="15" customHeight="1" x14ac:dyDescent="0.25">
      <c r="B2" s="89"/>
      <c r="C2" s="90"/>
      <c r="D2" s="90"/>
      <c r="E2" s="90"/>
      <c r="F2" s="90"/>
      <c r="G2" s="90"/>
      <c r="H2" s="90"/>
      <c r="I2" s="90"/>
      <c r="J2" s="90"/>
      <c r="K2" s="90"/>
      <c r="L2" s="90"/>
      <c r="M2" s="90"/>
      <c r="N2" s="90"/>
      <c r="O2" s="90"/>
      <c r="P2" s="90"/>
      <c r="Q2" s="90"/>
      <c r="R2" s="90"/>
      <c r="S2" s="90"/>
      <c r="T2" s="22"/>
    </row>
    <row r="3" spans="1:37" ht="20.25" customHeight="1" x14ac:dyDescent="0.25">
      <c r="B3" s="91"/>
      <c r="C3" s="254" t="s">
        <v>234</v>
      </c>
      <c r="D3" s="255"/>
      <c r="E3" s="255"/>
      <c r="F3" s="255"/>
      <c r="G3" s="255"/>
      <c r="H3" s="255"/>
      <c r="I3" s="255"/>
      <c r="J3" s="255"/>
      <c r="K3" s="255"/>
      <c r="L3" s="255"/>
      <c r="M3" s="255"/>
      <c r="N3" s="255"/>
      <c r="O3" s="255"/>
      <c r="P3" s="255"/>
      <c r="Q3" s="255"/>
      <c r="R3" s="255"/>
      <c r="S3" s="255"/>
      <c r="T3" s="23"/>
    </row>
    <row r="4" spans="1:37" ht="15.75" customHeight="1" x14ac:dyDescent="0.25">
      <c r="B4" s="91"/>
      <c r="C4" s="78" t="s">
        <v>303</v>
      </c>
      <c r="D4" s="30"/>
      <c r="E4" s="30"/>
      <c r="F4" s="30"/>
      <c r="G4" s="30"/>
      <c r="H4" s="30"/>
      <c r="I4" s="30"/>
      <c r="J4" s="30"/>
      <c r="K4" s="30"/>
      <c r="L4" s="30"/>
      <c r="M4" s="30"/>
      <c r="N4" s="30"/>
      <c r="O4" s="30"/>
      <c r="P4" s="30"/>
      <c r="Q4" s="30"/>
      <c r="R4" s="30"/>
      <c r="S4" s="30"/>
      <c r="T4" s="23"/>
    </row>
    <row r="5" spans="1:37" ht="18" customHeight="1" x14ac:dyDescent="0.25">
      <c r="B5" s="91"/>
      <c r="C5" s="79" t="s">
        <v>304</v>
      </c>
      <c r="D5" s="257" t="s">
        <v>281</v>
      </c>
      <c r="E5" s="258"/>
      <c r="F5" s="30"/>
      <c r="G5" s="30"/>
      <c r="H5" s="30"/>
      <c r="I5" s="30"/>
      <c r="J5" s="30"/>
      <c r="K5" s="30"/>
      <c r="L5" s="30"/>
      <c r="M5" s="30"/>
      <c r="N5" s="30"/>
      <c r="O5" s="30"/>
      <c r="P5" s="30"/>
      <c r="Q5" s="30"/>
      <c r="R5" s="30"/>
      <c r="S5" s="30"/>
      <c r="T5" s="23"/>
    </row>
    <row r="6" spans="1:37" ht="15" customHeight="1" x14ac:dyDescent="0.25">
      <c r="B6" s="91"/>
      <c r="C6" s="30"/>
      <c r="D6" s="30"/>
      <c r="E6" s="30"/>
      <c r="F6" s="30"/>
      <c r="G6" s="30"/>
      <c r="H6" s="30"/>
      <c r="I6" s="30"/>
      <c r="J6" s="30"/>
      <c r="K6" s="30"/>
      <c r="L6" s="30"/>
      <c r="M6" s="30"/>
      <c r="N6" s="30"/>
      <c r="O6" s="30"/>
      <c r="P6" s="30"/>
      <c r="Q6" s="30"/>
      <c r="R6" s="30"/>
      <c r="S6" s="30"/>
      <c r="T6" s="23"/>
      <c r="AK6" s="42"/>
    </row>
    <row r="7" spans="1:37"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37" ht="15" customHeight="1" x14ac:dyDescent="0.25">
      <c r="B8" s="91"/>
      <c r="C8" s="221" t="s">
        <v>33</v>
      </c>
      <c r="D8" s="222" t="s">
        <v>3</v>
      </c>
      <c r="E8" s="223">
        <v>4.7553999999999999E-2</v>
      </c>
      <c r="F8" s="30"/>
      <c r="G8" s="30"/>
      <c r="H8" s="30"/>
      <c r="I8" s="30"/>
      <c r="J8" s="30"/>
      <c r="K8" s="30"/>
      <c r="L8" s="30"/>
      <c r="M8" s="30"/>
      <c r="N8" s="30"/>
      <c r="O8" s="30"/>
      <c r="P8" s="30"/>
      <c r="Q8" s="30"/>
      <c r="R8" s="30"/>
      <c r="S8" s="30"/>
      <c r="T8" s="23"/>
      <c r="W8" s="70" t="s">
        <v>3</v>
      </c>
      <c r="X8" s="72">
        <v>0.16960600000000001</v>
      </c>
    </row>
    <row r="9" spans="1:37" ht="15.75" customHeight="1" x14ac:dyDescent="0.25">
      <c r="B9" s="91"/>
      <c r="C9" s="211" t="s">
        <v>37</v>
      </c>
      <c r="D9" s="224" t="s">
        <v>3</v>
      </c>
      <c r="E9" s="225">
        <v>3.4771000000000003E-2</v>
      </c>
      <c r="F9" s="30"/>
      <c r="G9" s="30"/>
      <c r="H9" s="30"/>
      <c r="I9" s="30"/>
      <c r="J9" s="30"/>
      <c r="K9" s="30"/>
      <c r="L9" s="30"/>
      <c r="M9" s="30"/>
      <c r="N9" s="30"/>
      <c r="O9" s="30"/>
      <c r="P9" s="30"/>
      <c r="Q9" s="30"/>
      <c r="R9" s="30"/>
      <c r="S9" s="30"/>
      <c r="T9" s="23"/>
      <c r="W9" s="70" t="s">
        <v>140</v>
      </c>
      <c r="X9" s="72">
        <v>7.4982999999999994E-2</v>
      </c>
    </row>
    <row r="10" spans="1:37" ht="15" customHeight="1" x14ac:dyDescent="0.25">
      <c r="B10" s="91"/>
      <c r="C10" s="211" t="s">
        <v>31</v>
      </c>
      <c r="D10" s="224" t="s">
        <v>146</v>
      </c>
      <c r="E10" s="225">
        <v>3.0786000000000001E-2</v>
      </c>
      <c r="F10" s="30"/>
      <c r="G10" s="30"/>
      <c r="H10" s="30"/>
      <c r="I10" s="30"/>
      <c r="J10" s="30"/>
      <c r="K10" s="30"/>
      <c r="L10" s="30"/>
      <c r="M10" s="30"/>
      <c r="N10" s="30"/>
      <c r="O10" s="30"/>
      <c r="P10" s="30"/>
      <c r="Q10" s="30"/>
      <c r="R10" s="30"/>
      <c r="S10" s="30"/>
      <c r="T10" s="23"/>
      <c r="W10" s="70" t="s">
        <v>135</v>
      </c>
      <c r="X10" s="72">
        <v>6.7176E-2</v>
      </c>
    </row>
    <row r="11" spans="1:37" ht="15" customHeight="1" x14ac:dyDescent="0.25">
      <c r="B11" s="91"/>
      <c r="C11" s="211" t="s">
        <v>115</v>
      </c>
      <c r="D11" s="224" t="s">
        <v>148</v>
      </c>
      <c r="E11" s="225">
        <v>3.0540999999999999E-2</v>
      </c>
      <c r="F11" s="30"/>
      <c r="G11" s="30"/>
      <c r="H11" s="30"/>
      <c r="I11" s="30"/>
      <c r="J11" s="30"/>
      <c r="K11" s="30"/>
      <c r="L11" s="30"/>
      <c r="M11" s="30"/>
      <c r="N11" s="30"/>
      <c r="O11" s="30"/>
      <c r="P11" s="30"/>
      <c r="Q11" s="30"/>
      <c r="R11" s="30"/>
      <c r="S11" s="30"/>
      <c r="T11" s="23"/>
      <c r="W11" s="70" t="s">
        <v>148</v>
      </c>
      <c r="X11" s="72">
        <v>5.2205000000000001E-2</v>
      </c>
    </row>
    <row r="12" spans="1:37" ht="15" customHeight="1" x14ac:dyDescent="0.25">
      <c r="B12" s="91"/>
      <c r="C12" s="211" t="s">
        <v>85</v>
      </c>
      <c r="D12" s="224" t="s">
        <v>11</v>
      </c>
      <c r="E12" s="225">
        <v>2.6807999999999998E-2</v>
      </c>
      <c r="F12" s="30"/>
      <c r="G12" s="30"/>
      <c r="H12" s="30"/>
      <c r="I12" s="30"/>
      <c r="J12" s="30"/>
      <c r="K12" s="30"/>
      <c r="L12" s="30"/>
      <c r="M12" s="30"/>
      <c r="N12" s="30"/>
      <c r="O12" s="30"/>
      <c r="P12" s="30"/>
      <c r="Q12" s="30"/>
      <c r="R12" s="30"/>
      <c r="S12" s="30"/>
      <c r="T12" s="23"/>
      <c r="W12" s="70" t="s">
        <v>4</v>
      </c>
      <c r="X12" s="72">
        <v>4.8847000000000002E-2</v>
      </c>
    </row>
    <row r="13" spans="1:37" ht="15.75" customHeight="1" x14ac:dyDescent="0.25">
      <c r="B13" s="91"/>
      <c r="C13" s="211" t="s">
        <v>131</v>
      </c>
      <c r="D13" s="224" t="s">
        <v>154</v>
      </c>
      <c r="E13" s="225">
        <v>2.6068999999999998E-2</v>
      </c>
      <c r="F13" s="30"/>
      <c r="G13" s="30"/>
      <c r="H13" s="30"/>
      <c r="I13" s="30"/>
      <c r="J13" s="30"/>
      <c r="K13" s="30"/>
      <c r="L13" s="30"/>
      <c r="M13" s="30"/>
      <c r="N13" s="30"/>
      <c r="O13" s="30"/>
      <c r="P13" s="30"/>
      <c r="Q13" s="30"/>
      <c r="R13" s="30"/>
      <c r="S13" s="30"/>
      <c r="T13" s="23"/>
      <c r="W13" s="70" t="s">
        <v>138</v>
      </c>
      <c r="X13" s="72">
        <v>4.8033999999999993E-2</v>
      </c>
    </row>
    <row r="14" spans="1:37" ht="15" customHeight="1" x14ac:dyDescent="0.25">
      <c r="B14" s="91"/>
      <c r="C14" s="211" t="s">
        <v>93</v>
      </c>
      <c r="D14" s="224" t="s">
        <v>3</v>
      </c>
      <c r="E14" s="225">
        <v>2.5044E-2</v>
      </c>
      <c r="F14" s="30"/>
      <c r="G14" s="30"/>
      <c r="H14" s="30"/>
      <c r="I14" s="30"/>
      <c r="J14" s="30"/>
      <c r="K14" s="30"/>
      <c r="L14" s="30"/>
      <c r="M14" s="30"/>
      <c r="N14" s="30"/>
      <c r="O14" s="30"/>
      <c r="P14" s="30"/>
      <c r="Q14" s="30"/>
      <c r="R14" s="30"/>
      <c r="S14" s="30"/>
      <c r="T14" s="23"/>
      <c r="W14" s="70" t="s">
        <v>11</v>
      </c>
      <c r="X14" s="72">
        <v>3.8928999999999998E-2</v>
      </c>
    </row>
    <row r="15" spans="1:37" ht="15" customHeight="1" x14ac:dyDescent="0.25">
      <c r="B15" s="91"/>
      <c r="C15" s="211" t="s">
        <v>127</v>
      </c>
      <c r="D15" s="224" t="s">
        <v>4</v>
      </c>
      <c r="E15" s="225">
        <v>2.4490000000000001E-2</v>
      </c>
      <c r="F15" s="30"/>
      <c r="G15" s="30"/>
      <c r="H15" s="30"/>
      <c r="I15" s="30"/>
      <c r="J15" s="30"/>
      <c r="K15" s="30"/>
      <c r="L15" s="30"/>
      <c r="M15" s="30"/>
      <c r="N15" s="30"/>
      <c r="O15" s="30"/>
      <c r="P15" s="30"/>
      <c r="Q15" s="30"/>
      <c r="R15" s="30"/>
      <c r="S15" s="30"/>
      <c r="T15" s="23"/>
      <c r="W15" s="70" t="s">
        <v>6</v>
      </c>
      <c r="X15" s="72">
        <v>3.8164000000000003E-2</v>
      </c>
    </row>
    <row r="16" spans="1:37" ht="15" customHeight="1" x14ac:dyDescent="0.25">
      <c r="B16" s="91"/>
      <c r="C16" s="211" t="s">
        <v>110</v>
      </c>
      <c r="D16" s="224" t="s">
        <v>98</v>
      </c>
      <c r="E16" s="225">
        <v>2.3564000000000002E-2</v>
      </c>
      <c r="F16" s="30"/>
      <c r="G16" s="30"/>
      <c r="H16" s="30"/>
      <c r="I16" s="30"/>
      <c r="J16" s="30"/>
      <c r="K16" s="30"/>
      <c r="L16" s="30"/>
      <c r="M16" s="30"/>
      <c r="N16" s="30"/>
      <c r="O16" s="30"/>
      <c r="P16" s="30"/>
      <c r="Q16" s="30"/>
      <c r="R16" s="30"/>
      <c r="S16" s="30"/>
      <c r="T16" s="23"/>
      <c r="W16" s="70" t="s">
        <v>98</v>
      </c>
      <c r="X16" s="72">
        <v>3.619E-2</v>
      </c>
    </row>
    <row r="17" spans="2:24" ht="15" customHeight="1" x14ac:dyDescent="0.25">
      <c r="B17" s="91"/>
      <c r="C17" s="211" t="s">
        <v>32</v>
      </c>
      <c r="D17" s="224" t="s">
        <v>6</v>
      </c>
      <c r="E17" s="225">
        <v>2.3469E-2</v>
      </c>
      <c r="F17" s="30"/>
      <c r="G17" s="30"/>
      <c r="H17" s="30"/>
      <c r="I17" s="30"/>
      <c r="J17" s="30"/>
      <c r="K17" s="30"/>
      <c r="L17" s="30"/>
      <c r="M17" s="30"/>
      <c r="N17" s="30"/>
      <c r="O17" s="30"/>
      <c r="P17" s="30"/>
      <c r="Q17" s="30"/>
      <c r="R17" s="30"/>
      <c r="S17" s="30"/>
      <c r="T17" s="23"/>
      <c r="W17" s="70" t="s">
        <v>141</v>
      </c>
      <c r="X17" s="72">
        <v>3.3099000000000003E-2</v>
      </c>
    </row>
    <row r="18" spans="2:24" ht="15" customHeight="1" x14ac:dyDescent="0.25">
      <c r="B18" s="91"/>
      <c r="C18" s="211" t="s">
        <v>170</v>
      </c>
      <c r="D18" s="224" t="s">
        <v>138</v>
      </c>
      <c r="E18" s="225">
        <v>2.3040999999999999E-2</v>
      </c>
      <c r="F18" s="30"/>
      <c r="G18" s="30"/>
      <c r="H18" s="30"/>
      <c r="I18" s="30"/>
      <c r="J18" s="30"/>
      <c r="K18" s="30"/>
      <c r="L18" s="30"/>
      <c r="M18" s="30"/>
      <c r="N18" s="30"/>
      <c r="O18" s="30"/>
      <c r="P18" s="30"/>
      <c r="Q18" s="30"/>
      <c r="R18" s="30"/>
      <c r="S18" s="30"/>
      <c r="T18" s="23"/>
      <c r="W18" s="70" t="s">
        <v>24</v>
      </c>
      <c r="X18" s="72">
        <v>3.2337999999999999E-2</v>
      </c>
    </row>
    <row r="19" spans="2:24" ht="15" customHeight="1" x14ac:dyDescent="0.25">
      <c r="B19" s="91"/>
      <c r="C19" s="211" t="s">
        <v>34</v>
      </c>
      <c r="D19" s="224" t="s">
        <v>135</v>
      </c>
      <c r="E19" s="225">
        <v>2.2731999999999999E-2</v>
      </c>
      <c r="F19" s="30"/>
      <c r="G19" s="30"/>
      <c r="H19" s="30"/>
      <c r="I19" s="30"/>
      <c r="J19" s="30"/>
      <c r="K19" s="30"/>
      <c r="L19" s="30"/>
      <c r="M19" s="30"/>
      <c r="N19" s="30"/>
      <c r="O19" s="30"/>
      <c r="P19" s="30"/>
      <c r="Q19" s="30"/>
      <c r="R19" s="30"/>
      <c r="S19" s="30"/>
      <c r="T19" s="23"/>
      <c r="W19" s="70" t="s">
        <v>97</v>
      </c>
      <c r="X19" s="72">
        <v>3.1524999999999997E-2</v>
      </c>
    </row>
    <row r="20" spans="2:24" ht="15" customHeight="1" x14ac:dyDescent="0.25">
      <c r="B20" s="91"/>
      <c r="C20" s="211" t="s">
        <v>29</v>
      </c>
      <c r="D20" s="224" t="s">
        <v>3</v>
      </c>
      <c r="E20" s="225">
        <v>2.2263999999999999E-2</v>
      </c>
      <c r="F20" s="30"/>
      <c r="G20" s="30"/>
      <c r="H20" s="30"/>
      <c r="I20" s="30"/>
      <c r="J20" s="30"/>
      <c r="K20" s="30"/>
      <c r="L20" s="30"/>
      <c r="M20" s="30"/>
      <c r="N20" s="30"/>
      <c r="O20" s="30"/>
      <c r="P20" s="30"/>
      <c r="Q20" s="30"/>
      <c r="R20" s="30"/>
      <c r="S20" s="30"/>
      <c r="T20" s="23"/>
      <c r="W20" s="70" t="s">
        <v>146</v>
      </c>
      <c r="X20" s="72">
        <v>3.0786000000000001E-2</v>
      </c>
    </row>
    <row r="21" spans="2:24" ht="15" customHeight="1" x14ac:dyDescent="0.25">
      <c r="B21" s="91"/>
      <c r="C21" s="211" t="s">
        <v>195</v>
      </c>
      <c r="D21" s="224" t="s">
        <v>148</v>
      </c>
      <c r="E21" s="225">
        <v>2.1663999999999999E-2</v>
      </c>
      <c r="F21" s="30"/>
      <c r="G21" s="30"/>
      <c r="H21" s="30"/>
      <c r="I21" s="30"/>
      <c r="J21" s="30"/>
      <c r="K21" s="30"/>
      <c r="L21" s="30"/>
      <c r="M21" s="30"/>
      <c r="N21" s="30"/>
      <c r="O21" s="30"/>
      <c r="P21" s="30"/>
      <c r="Q21" s="30"/>
      <c r="R21" s="30"/>
      <c r="S21" s="30"/>
      <c r="T21" s="23"/>
      <c r="W21" s="70" t="s">
        <v>16</v>
      </c>
      <c r="X21" s="72">
        <v>2.8817999999999996E-2</v>
      </c>
    </row>
    <row r="22" spans="2:24" ht="15" customHeight="1" x14ac:dyDescent="0.25">
      <c r="B22" s="91"/>
      <c r="C22" s="211" t="s">
        <v>204</v>
      </c>
      <c r="D22" s="224" t="s">
        <v>23</v>
      </c>
      <c r="E22" s="225">
        <v>2.1158E-2</v>
      </c>
      <c r="F22" s="30"/>
      <c r="G22" s="30"/>
      <c r="H22" s="30"/>
      <c r="I22" s="30"/>
      <c r="J22" s="30"/>
      <c r="K22" s="30"/>
      <c r="L22" s="30"/>
      <c r="M22" s="30"/>
      <c r="N22" s="30"/>
      <c r="O22" s="30"/>
      <c r="P22" s="30"/>
      <c r="Q22" s="30"/>
      <c r="R22" s="30"/>
      <c r="S22" s="30"/>
      <c r="T22" s="23"/>
      <c r="W22" s="70" t="s">
        <v>154</v>
      </c>
      <c r="X22" s="72">
        <v>2.6068999999999998E-2</v>
      </c>
    </row>
    <row r="23" spans="2:24" ht="15" customHeight="1" x14ac:dyDescent="0.25">
      <c r="B23" s="91"/>
      <c r="C23" s="94"/>
      <c r="D23" s="94"/>
      <c r="E23" s="95"/>
      <c r="F23" s="30"/>
      <c r="G23" s="30"/>
      <c r="H23" s="30"/>
      <c r="I23" s="30"/>
      <c r="J23" s="30"/>
      <c r="K23" s="30"/>
      <c r="L23" s="30"/>
      <c r="M23" s="30"/>
      <c r="N23" s="30"/>
      <c r="O23" s="30"/>
      <c r="P23" s="30"/>
      <c r="Q23" s="30"/>
      <c r="R23" s="30"/>
      <c r="S23" s="30"/>
      <c r="T23" s="23"/>
      <c r="W23" s="70" t="s">
        <v>134</v>
      </c>
      <c r="X23" s="72">
        <v>2.5576999999999999E-2</v>
      </c>
    </row>
    <row r="24" spans="2:24" ht="15" customHeight="1" x14ac:dyDescent="0.25">
      <c r="B24" s="91"/>
      <c r="C24" s="85" t="s">
        <v>56</v>
      </c>
      <c r="D24" s="86"/>
      <c r="E24" s="96">
        <f>SUM(E8:E22)</f>
        <v>0.40395500000000006</v>
      </c>
      <c r="F24" s="30"/>
      <c r="G24" s="30"/>
      <c r="H24" s="30"/>
      <c r="I24" s="30"/>
      <c r="J24" s="30"/>
      <c r="K24" s="30"/>
      <c r="L24" s="30"/>
      <c r="M24" s="30"/>
      <c r="N24" s="30"/>
      <c r="O24" s="30"/>
      <c r="P24" s="30"/>
      <c r="Q24" s="30"/>
      <c r="R24" s="30"/>
      <c r="S24" s="30"/>
      <c r="T24" s="23"/>
      <c r="W24" s="70" t="s">
        <v>23</v>
      </c>
      <c r="X24" s="72">
        <v>2.1158E-2</v>
      </c>
    </row>
    <row r="25" spans="2:24" ht="15" customHeight="1" x14ac:dyDescent="0.25">
      <c r="B25" s="91"/>
      <c r="C25" s="58"/>
      <c r="D25" s="58"/>
      <c r="E25" s="58"/>
      <c r="F25" s="30"/>
      <c r="G25" s="30"/>
      <c r="H25" s="30"/>
      <c r="I25" s="30"/>
      <c r="J25" s="30"/>
      <c r="K25" s="30"/>
      <c r="L25" s="30"/>
      <c r="M25" s="30"/>
      <c r="N25" s="30"/>
      <c r="O25" s="30"/>
      <c r="P25" s="30"/>
      <c r="Q25" s="30"/>
      <c r="R25" s="30"/>
      <c r="S25" s="30"/>
      <c r="T25" s="23"/>
      <c r="W25" s="70" t="s">
        <v>100</v>
      </c>
      <c r="X25" s="72">
        <v>1.9605000000000001E-2</v>
      </c>
    </row>
    <row r="26" spans="2:24" ht="15" customHeight="1" x14ac:dyDescent="0.25">
      <c r="B26" s="91"/>
      <c r="C26" s="97"/>
      <c r="D26" s="100"/>
      <c r="E26" s="178"/>
      <c r="F26" s="30"/>
      <c r="G26" s="30"/>
      <c r="H26" s="30"/>
      <c r="I26" s="30"/>
      <c r="J26" s="30"/>
      <c r="K26" s="30"/>
      <c r="L26" s="30"/>
      <c r="M26" s="30"/>
      <c r="N26" s="30"/>
      <c r="O26" s="30"/>
      <c r="P26" s="30"/>
      <c r="Q26" s="30"/>
      <c r="R26" s="30"/>
      <c r="S26" s="30"/>
      <c r="T26" s="23"/>
      <c r="W26" s="70" t="s">
        <v>150</v>
      </c>
      <c r="X26" s="72">
        <v>1.8284000000000002E-2</v>
      </c>
    </row>
    <row r="27" spans="2:24" ht="15" customHeight="1" x14ac:dyDescent="0.25">
      <c r="B27" s="91"/>
      <c r="F27" s="30"/>
      <c r="G27" s="30"/>
      <c r="H27" s="30"/>
      <c r="I27" s="30"/>
      <c r="J27" s="30"/>
      <c r="K27" s="30"/>
      <c r="L27" s="30"/>
      <c r="M27" s="30"/>
      <c r="N27" s="30"/>
      <c r="O27" s="30"/>
      <c r="P27" s="30"/>
      <c r="Q27" s="30"/>
      <c r="R27" s="30"/>
      <c r="S27" s="30"/>
      <c r="T27" s="23"/>
      <c r="W27" s="70" t="s">
        <v>136</v>
      </c>
      <c r="X27" s="72">
        <v>1.6872000000000002E-2</v>
      </c>
    </row>
    <row r="28" spans="2:24" ht="15" customHeight="1" x14ac:dyDescent="0.25">
      <c r="B28" s="91"/>
      <c r="F28" s="30"/>
      <c r="G28" s="30"/>
      <c r="H28" s="30"/>
      <c r="I28" s="30"/>
      <c r="J28" s="30"/>
      <c r="K28" s="30"/>
      <c r="L28" s="30"/>
      <c r="M28" s="30"/>
      <c r="N28" s="30"/>
      <c r="O28" s="30"/>
      <c r="P28" s="30"/>
      <c r="Q28" s="30"/>
      <c r="R28" s="30"/>
      <c r="S28" s="30"/>
      <c r="T28" s="23"/>
      <c r="W28" s="70" t="s">
        <v>145</v>
      </c>
      <c r="X28" s="72">
        <v>1.6122000000000001E-2</v>
      </c>
    </row>
    <row r="29" spans="2:24" ht="15" customHeight="1" x14ac:dyDescent="0.25">
      <c r="B29" s="91"/>
      <c r="F29" s="30"/>
      <c r="G29" s="30"/>
      <c r="H29" s="30"/>
      <c r="I29" s="30"/>
      <c r="J29" s="30"/>
      <c r="K29" s="30"/>
      <c r="L29" s="30"/>
      <c r="M29" s="30"/>
      <c r="N29" s="30"/>
      <c r="O29" s="30"/>
      <c r="P29" s="30"/>
      <c r="Q29" s="30"/>
      <c r="R29" s="30"/>
      <c r="S29" s="30"/>
      <c r="T29" s="23"/>
      <c r="W29" s="70" t="s">
        <v>25</v>
      </c>
      <c r="X29" s="72">
        <v>1.5754000000000001E-2</v>
      </c>
    </row>
    <row r="30" spans="2:24" ht="15" customHeight="1" x14ac:dyDescent="0.25">
      <c r="B30" s="91"/>
      <c r="F30" s="30"/>
      <c r="G30" s="30"/>
      <c r="H30" s="30"/>
      <c r="I30" s="30"/>
      <c r="J30" s="30"/>
      <c r="K30" s="30"/>
      <c r="L30" s="30"/>
      <c r="M30" s="30"/>
      <c r="N30" s="30"/>
      <c r="O30" s="30"/>
      <c r="P30" s="30"/>
      <c r="Q30" s="30"/>
      <c r="R30" s="30"/>
      <c r="S30" s="30"/>
      <c r="T30" s="23"/>
      <c r="W30" s="70" t="s">
        <v>10</v>
      </c>
      <c r="X30" s="72">
        <v>1.5017000000000001E-2</v>
      </c>
    </row>
    <row r="31" spans="2:24" ht="15" customHeight="1" x14ac:dyDescent="0.25">
      <c r="B31" s="91"/>
      <c r="F31" s="30"/>
      <c r="G31" s="30"/>
      <c r="H31" s="30"/>
      <c r="I31" s="30"/>
      <c r="J31" s="30"/>
      <c r="K31" s="30"/>
      <c r="L31" s="30"/>
      <c r="M31" s="30"/>
      <c r="N31" s="30"/>
      <c r="O31" s="30"/>
      <c r="P31" s="30"/>
      <c r="Q31" s="30"/>
      <c r="R31" s="30"/>
      <c r="S31" s="30"/>
      <c r="T31" s="23"/>
      <c r="W31" s="70" t="s">
        <v>151</v>
      </c>
      <c r="X31" s="72">
        <v>1.2899000000000001E-2</v>
      </c>
    </row>
    <row r="32" spans="2:24" ht="15" customHeight="1" x14ac:dyDescent="0.25">
      <c r="B32" s="91"/>
      <c r="F32" s="30"/>
      <c r="G32" s="30"/>
      <c r="H32" s="30"/>
      <c r="I32" s="30"/>
      <c r="J32" s="30"/>
      <c r="K32" s="30"/>
      <c r="L32" s="30"/>
      <c r="M32" s="30"/>
      <c r="N32" s="30"/>
      <c r="O32" s="30"/>
      <c r="P32" s="30"/>
      <c r="Q32" s="30"/>
      <c r="R32" s="30"/>
      <c r="S32" s="30"/>
      <c r="T32" s="23"/>
      <c r="W32" s="70" t="s">
        <v>13</v>
      </c>
      <c r="X32" s="72">
        <v>1.2042000000000001E-2</v>
      </c>
    </row>
    <row r="33" spans="2:24" ht="15" customHeight="1" thickBot="1" x14ac:dyDescent="0.3">
      <c r="B33" s="92"/>
      <c r="C33" s="93"/>
      <c r="D33" s="93"/>
      <c r="E33" s="93"/>
      <c r="F33" s="93"/>
      <c r="G33" s="93"/>
      <c r="H33" s="93"/>
      <c r="I33" s="93"/>
      <c r="J33" s="93"/>
      <c r="K33" s="93"/>
      <c r="L33" s="93"/>
      <c r="M33" s="93"/>
      <c r="N33" s="93"/>
      <c r="O33" s="93"/>
      <c r="P33" s="93"/>
      <c r="Q33" s="93"/>
      <c r="R33" s="93"/>
      <c r="S33" s="93"/>
      <c r="T33" s="24"/>
      <c r="W33" s="70" t="s">
        <v>26</v>
      </c>
      <c r="X33" s="72">
        <v>1.0338E-2</v>
      </c>
    </row>
    <row r="34" spans="2:24" ht="15" customHeight="1" thickBot="1" x14ac:dyDescent="0.3">
      <c r="W34" s="42" t="s">
        <v>111</v>
      </c>
      <c r="X34" s="72">
        <v>6.7390000000000002E-3</v>
      </c>
    </row>
    <row r="35" spans="2:24" ht="15" customHeight="1" x14ac:dyDescent="0.25">
      <c r="B35" s="245" t="s">
        <v>265</v>
      </c>
      <c r="C35" s="246"/>
      <c r="D35" s="246"/>
      <c r="E35" s="246"/>
      <c r="F35" s="246"/>
      <c r="G35" s="246"/>
      <c r="H35" s="246"/>
      <c r="I35" s="246"/>
      <c r="J35" s="246"/>
      <c r="K35" s="246"/>
      <c r="L35" s="246"/>
      <c r="M35" s="246"/>
      <c r="N35" s="246"/>
      <c r="O35" s="246"/>
      <c r="P35" s="246"/>
      <c r="Q35" s="246"/>
      <c r="R35" s="247"/>
      <c r="X35" s="72"/>
    </row>
    <row r="36" spans="2:24" ht="15" customHeight="1" x14ac:dyDescent="0.25">
      <c r="B36" s="248"/>
      <c r="C36" s="249"/>
      <c r="D36" s="249"/>
      <c r="E36" s="249"/>
      <c r="F36" s="249"/>
      <c r="G36" s="249"/>
      <c r="H36" s="249"/>
      <c r="I36" s="249"/>
      <c r="J36" s="249"/>
      <c r="K36" s="249"/>
      <c r="L36" s="249"/>
      <c r="M36" s="249"/>
      <c r="N36" s="249"/>
      <c r="O36" s="249"/>
      <c r="P36" s="249"/>
      <c r="Q36" s="249"/>
      <c r="R36" s="250"/>
    </row>
    <row r="37" spans="2:24" ht="15" customHeight="1" x14ac:dyDescent="0.25">
      <c r="B37" s="248"/>
      <c r="C37" s="249"/>
      <c r="D37" s="249"/>
      <c r="E37" s="249"/>
      <c r="F37" s="249"/>
      <c r="G37" s="249"/>
      <c r="H37" s="249"/>
      <c r="I37" s="249"/>
      <c r="J37" s="249"/>
      <c r="K37" s="249"/>
      <c r="L37" s="249"/>
      <c r="M37" s="249"/>
      <c r="N37" s="249"/>
      <c r="O37" s="249"/>
      <c r="P37" s="249"/>
      <c r="Q37" s="249"/>
      <c r="R37" s="250"/>
    </row>
    <row r="38" spans="2:24" ht="15" customHeight="1" x14ac:dyDescent="0.25">
      <c r="B38" s="248"/>
      <c r="C38" s="249"/>
      <c r="D38" s="249"/>
      <c r="E38" s="249"/>
      <c r="F38" s="249"/>
      <c r="G38" s="249"/>
      <c r="H38" s="249"/>
      <c r="I38" s="249"/>
      <c r="J38" s="249"/>
      <c r="K38" s="249"/>
      <c r="L38" s="249"/>
      <c r="M38" s="249"/>
      <c r="N38" s="249"/>
      <c r="O38" s="249"/>
      <c r="P38" s="249"/>
      <c r="Q38" s="249"/>
      <c r="R38" s="250"/>
    </row>
    <row r="39" spans="2:24" ht="15" customHeight="1" x14ac:dyDescent="0.25">
      <c r="B39" s="248"/>
      <c r="C39" s="249"/>
      <c r="D39" s="249"/>
      <c r="E39" s="249"/>
      <c r="F39" s="249"/>
      <c r="G39" s="249"/>
      <c r="H39" s="249"/>
      <c r="I39" s="249"/>
      <c r="J39" s="249"/>
      <c r="K39" s="249"/>
      <c r="L39" s="249"/>
      <c r="M39" s="249"/>
      <c r="N39" s="249"/>
      <c r="O39" s="249"/>
      <c r="P39" s="249"/>
      <c r="Q39" s="249"/>
      <c r="R39" s="250"/>
    </row>
    <row r="40" spans="2:24" ht="15" customHeight="1" x14ac:dyDescent="0.25">
      <c r="B40" s="248"/>
      <c r="C40" s="249"/>
      <c r="D40" s="249"/>
      <c r="E40" s="249"/>
      <c r="F40" s="249"/>
      <c r="G40" s="249"/>
      <c r="H40" s="249"/>
      <c r="I40" s="249"/>
      <c r="J40" s="249"/>
      <c r="K40" s="249"/>
      <c r="L40" s="249"/>
      <c r="M40" s="249"/>
      <c r="N40" s="249"/>
      <c r="O40" s="249"/>
      <c r="P40" s="249"/>
      <c r="Q40" s="249"/>
      <c r="R40" s="250"/>
    </row>
    <row r="41" spans="2:24" ht="15" customHeight="1" thickBot="1" x14ac:dyDescent="0.3">
      <c r="B41" s="251"/>
      <c r="C41" s="252"/>
      <c r="D41" s="252"/>
      <c r="E41" s="252"/>
      <c r="F41" s="252"/>
      <c r="G41" s="252"/>
      <c r="H41" s="252"/>
      <c r="I41" s="252"/>
      <c r="J41" s="252"/>
      <c r="K41" s="252"/>
      <c r="L41" s="252"/>
      <c r="M41" s="252"/>
      <c r="N41" s="252"/>
      <c r="O41" s="252"/>
      <c r="P41" s="252"/>
      <c r="Q41" s="252"/>
      <c r="R41" s="253"/>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79"/>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6" width="12.7109375" style="20" bestFit="1" customWidth="1"/>
    <col min="7"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4" t="s">
        <v>233</v>
      </c>
      <c r="D3" s="255"/>
      <c r="E3" s="255"/>
      <c r="F3" s="255"/>
      <c r="G3" s="255"/>
      <c r="H3" s="255"/>
      <c r="I3" s="255"/>
      <c r="J3" s="255"/>
      <c r="K3" s="255"/>
      <c r="L3" s="255"/>
      <c r="M3" s="255"/>
      <c r="N3" s="255"/>
      <c r="O3" s="255"/>
      <c r="P3" s="255"/>
      <c r="Q3" s="255"/>
      <c r="R3" s="255"/>
      <c r="S3" s="255"/>
      <c r="T3" s="23"/>
      <c r="V3" s="43"/>
      <c r="W3" s="43"/>
      <c r="X3" s="43"/>
      <c r="Y3" s="43"/>
      <c r="Z3" s="43"/>
      <c r="AA3" s="43"/>
    </row>
    <row r="4" spans="1:27" ht="15.75" customHeight="1" x14ac:dyDescent="0.25">
      <c r="B4" s="91"/>
      <c r="C4" s="78" t="s">
        <v>303</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304</v>
      </c>
      <c r="D5" s="256" t="s">
        <v>282</v>
      </c>
      <c r="E5" s="256"/>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1" t="s">
        <v>33</v>
      </c>
      <c r="D8" s="222" t="s">
        <v>3</v>
      </c>
      <c r="E8" s="232">
        <v>4.4290999999999997E-2</v>
      </c>
      <c r="F8" s="30"/>
      <c r="G8" s="30"/>
      <c r="H8" s="30"/>
      <c r="I8" s="30"/>
      <c r="J8" s="30"/>
      <c r="K8" s="30"/>
      <c r="L8" s="30"/>
      <c r="M8" s="30"/>
      <c r="N8" s="30"/>
      <c r="O8" s="30"/>
      <c r="P8" s="30"/>
      <c r="Q8" s="30"/>
      <c r="R8" s="30"/>
      <c r="S8" s="30"/>
      <c r="T8" s="23"/>
      <c r="V8" s="175"/>
      <c r="W8" s="70" t="s">
        <v>24</v>
      </c>
      <c r="X8" s="72">
        <v>0.135377</v>
      </c>
      <c r="Y8" s="175"/>
      <c r="Z8" s="43"/>
      <c r="AA8" s="43"/>
    </row>
    <row r="9" spans="1:27" ht="15.75" customHeight="1" x14ac:dyDescent="0.25">
      <c r="B9" s="91"/>
      <c r="C9" s="211" t="s">
        <v>165</v>
      </c>
      <c r="D9" s="224" t="s">
        <v>141</v>
      </c>
      <c r="E9" s="233">
        <v>3.8982000000000003E-2</v>
      </c>
      <c r="F9" s="30"/>
      <c r="G9" s="30"/>
      <c r="H9" s="30"/>
      <c r="I9" s="30"/>
      <c r="J9" s="30"/>
      <c r="K9" s="30"/>
      <c r="L9" s="30"/>
      <c r="M9" s="30"/>
      <c r="N9" s="30"/>
      <c r="O9" s="30"/>
      <c r="P9" s="30"/>
      <c r="Q9" s="30"/>
      <c r="R9" s="30"/>
      <c r="S9" s="30"/>
      <c r="T9" s="23"/>
      <c r="V9" s="175"/>
      <c r="W9" s="70" t="s">
        <v>138</v>
      </c>
      <c r="X9" s="72">
        <v>0.11439199999999999</v>
      </c>
      <c r="Y9" s="175"/>
      <c r="Z9" s="43"/>
      <c r="AA9" s="43"/>
    </row>
    <row r="10" spans="1:27" ht="15" customHeight="1" x14ac:dyDescent="0.25">
      <c r="B10" s="91"/>
      <c r="C10" s="211" t="s">
        <v>175</v>
      </c>
      <c r="D10" s="224" t="s">
        <v>24</v>
      </c>
      <c r="E10" s="233">
        <v>3.3954999999999999E-2</v>
      </c>
      <c r="F10" s="30"/>
      <c r="G10" s="30"/>
      <c r="H10" s="30"/>
      <c r="I10" s="30"/>
      <c r="J10" s="30"/>
      <c r="K10" s="30"/>
      <c r="L10" s="30"/>
      <c r="M10" s="30"/>
      <c r="N10" s="30"/>
      <c r="O10" s="30"/>
      <c r="P10" s="30"/>
      <c r="Q10" s="30"/>
      <c r="R10" s="30"/>
      <c r="S10" s="30"/>
      <c r="T10" s="23"/>
      <c r="V10" s="175"/>
      <c r="W10" s="70" t="s">
        <v>3</v>
      </c>
      <c r="X10" s="72">
        <v>9.3895000000000006E-2</v>
      </c>
      <c r="Y10" s="175"/>
      <c r="Z10" s="43"/>
      <c r="AA10" s="43"/>
    </row>
    <row r="11" spans="1:27" ht="15" customHeight="1" x14ac:dyDescent="0.25">
      <c r="B11" s="91"/>
      <c r="C11" s="211" t="s">
        <v>256</v>
      </c>
      <c r="D11" s="224" t="s">
        <v>145</v>
      </c>
      <c r="E11" s="233">
        <v>3.2252000000000003E-2</v>
      </c>
      <c r="F11" s="30"/>
      <c r="G11" s="30"/>
      <c r="H11" s="30"/>
      <c r="I11" s="30"/>
      <c r="J11" s="30"/>
      <c r="K11" s="30"/>
      <c r="L11" s="30"/>
      <c r="M11" s="30"/>
      <c r="N11" s="30"/>
      <c r="O11" s="30"/>
      <c r="P11" s="30"/>
      <c r="Q11" s="30"/>
      <c r="R11" s="30"/>
      <c r="S11" s="30"/>
      <c r="T11" s="23"/>
      <c r="V11" s="175"/>
      <c r="W11" s="70" t="s">
        <v>145</v>
      </c>
      <c r="X11" s="72">
        <v>7.7896999999999994E-2</v>
      </c>
      <c r="Y11" s="175"/>
      <c r="Z11" s="43"/>
      <c r="AA11" s="43"/>
    </row>
    <row r="12" spans="1:27" ht="15" customHeight="1" x14ac:dyDescent="0.25">
      <c r="B12" s="91"/>
      <c r="C12" s="211" t="s">
        <v>115</v>
      </c>
      <c r="D12" s="224" t="s">
        <v>148</v>
      </c>
      <c r="E12" s="233">
        <v>3.1026999999999999E-2</v>
      </c>
      <c r="F12" s="30"/>
      <c r="G12" s="30"/>
      <c r="H12" s="30"/>
      <c r="I12" s="30"/>
      <c r="J12" s="30"/>
      <c r="K12" s="30"/>
      <c r="L12" s="30"/>
      <c r="M12" s="30"/>
      <c r="N12" s="30"/>
      <c r="O12" s="30"/>
      <c r="P12" s="30"/>
      <c r="Q12" s="30"/>
      <c r="R12" s="30"/>
      <c r="S12" s="30"/>
      <c r="T12" s="23"/>
      <c r="V12" s="175"/>
      <c r="W12" s="70" t="s">
        <v>135</v>
      </c>
      <c r="X12" s="72">
        <v>6.3032000000000005E-2</v>
      </c>
      <c r="Y12" s="175"/>
      <c r="Z12" s="43"/>
      <c r="AA12" s="43"/>
    </row>
    <row r="13" spans="1:27" ht="15" customHeight="1" x14ac:dyDescent="0.25">
      <c r="B13" s="91"/>
      <c r="C13" s="211" t="s">
        <v>257</v>
      </c>
      <c r="D13" s="224" t="s">
        <v>135</v>
      </c>
      <c r="E13" s="233">
        <v>3.0512000000000001E-2</v>
      </c>
      <c r="F13" s="30"/>
      <c r="G13" s="30"/>
      <c r="H13" s="30"/>
      <c r="I13" s="30"/>
      <c r="J13" s="30"/>
      <c r="K13" s="30"/>
      <c r="L13" s="30"/>
      <c r="M13" s="30"/>
      <c r="N13" s="30"/>
      <c r="O13" s="30"/>
      <c r="P13" s="30"/>
      <c r="Q13" s="30"/>
      <c r="R13" s="30"/>
      <c r="S13" s="30"/>
      <c r="T13" s="23"/>
      <c r="V13" s="175"/>
      <c r="W13" s="70" t="s">
        <v>16</v>
      </c>
      <c r="X13" s="72">
        <v>6.0486999999999999E-2</v>
      </c>
      <c r="Y13" s="175"/>
      <c r="Z13" s="43"/>
      <c r="AA13" s="43"/>
    </row>
    <row r="14" spans="1:27" ht="15" customHeight="1" x14ac:dyDescent="0.25">
      <c r="B14" s="91"/>
      <c r="C14" s="211" t="s">
        <v>270</v>
      </c>
      <c r="D14" s="224" t="s">
        <v>24</v>
      </c>
      <c r="E14" s="233">
        <v>3.0335999999999998E-2</v>
      </c>
      <c r="F14" s="30"/>
      <c r="G14" s="30"/>
      <c r="H14" s="30"/>
      <c r="I14" s="30"/>
      <c r="J14" s="30"/>
      <c r="K14" s="30"/>
      <c r="L14" s="30"/>
      <c r="M14" s="30"/>
      <c r="N14" s="30"/>
      <c r="O14" s="30"/>
      <c r="P14" s="30"/>
      <c r="Q14" s="30"/>
      <c r="R14" s="30"/>
      <c r="S14" s="30"/>
      <c r="T14" s="23"/>
      <c r="V14" s="175"/>
      <c r="W14" s="70" t="s">
        <v>141</v>
      </c>
      <c r="X14" s="72">
        <v>5.9010000000000007E-2</v>
      </c>
      <c r="Y14" s="175"/>
      <c r="Z14" s="43"/>
      <c r="AA14" s="43"/>
    </row>
    <row r="15" spans="1:27" ht="15.75" customHeight="1" x14ac:dyDescent="0.25">
      <c r="B15" s="91"/>
      <c r="C15" s="211" t="s">
        <v>174</v>
      </c>
      <c r="D15" s="224" t="s">
        <v>26</v>
      </c>
      <c r="E15" s="233">
        <v>2.8826000000000001E-2</v>
      </c>
      <c r="F15" s="30"/>
      <c r="G15" s="30"/>
      <c r="H15" s="30"/>
      <c r="I15" s="30"/>
      <c r="J15" s="30"/>
      <c r="K15" s="30"/>
      <c r="L15" s="30"/>
      <c r="M15" s="30"/>
      <c r="N15" s="30"/>
      <c r="O15" s="30"/>
      <c r="P15" s="30"/>
      <c r="Q15" s="30"/>
      <c r="R15" s="30"/>
      <c r="S15" s="30"/>
      <c r="T15" s="23"/>
      <c r="V15" s="175"/>
      <c r="W15" s="70" t="s">
        <v>26</v>
      </c>
      <c r="X15" s="72">
        <v>5.1504999999999995E-2</v>
      </c>
      <c r="Y15" s="175"/>
      <c r="Z15" s="43"/>
      <c r="AA15" s="43"/>
    </row>
    <row r="16" spans="1:27" ht="15" customHeight="1" x14ac:dyDescent="0.25">
      <c r="B16" s="91"/>
      <c r="C16" s="211" t="s">
        <v>88</v>
      </c>
      <c r="D16" s="224" t="s">
        <v>16</v>
      </c>
      <c r="E16" s="233">
        <v>2.8419E-2</v>
      </c>
      <c r="F16" s="30"/>
      <c r="G16" s="30"/>
      <c r="H16" s="30"/>
      <c r="I16" s="30"/>
      <c r="J16" s="30"/>
      <c r="K16" s="30"/>
      <c r="L16" s="30"/>
      <c r="M16" s="30"/>
      <c r="N16" s="30"/>
      <c r="O16" s="30"/>
      <c r="P16" s="30"/>
      <c r="Q16" s="30"/>
      <c r="R16" s="30"/>
      <c r="S16" s="30"/>
      <c r="T16" s="23"/>
      <c r="V16" s="175"/>
      <c r="W16" s="70" t="s">
        <v>98</v>
      </c>
      <c r="X16" s="72">
        <v>4.8168000000000002E-2</v>
      </c>
      <c r="Y16" s="175"/>
      <c r="Z16" s="43"/>
      <c r="AA16" s="43"/>
    </row>
    <row r="17" spans="2:27" ht="15.75" customHeight="1" x14ac:dyDescent="0.25">
      <c r="B17" s="91"/>
      <c r="C17" s="211" t="s">
        <v>110</v>
      </c>
      <c r="D17" s="224" t="s">
        <v>98</v>
      </c>
      <c r="E17" s="233">
        <v>2.7028E-2</v>
      </c>
      <c r="F17" s="30"/>
      <c r="G17" s="30"/>
      <c r="H17" s="30"/>
      <c r="I17" s="30"/>
      <c r="J17" s="30"/>
      <c r="K17" s="30"/>
      <c r="L17" s="30"/>
      <c r="M17" s="30"/>
      <c r="N17" s="30"/>
      <c r="O17" s="30"/>
      <c r="P17" s="30"/>
      <c r="Q17" s="30"/>
      <c r="R17" s="30"/>
      <c r="S17" s="30"/>
      <c r="T17" s="23"/>
      <c r="V17" s="175"/>
      <c r="W17" s="70" t="s">
        <v>148</v>
      </c>
      <c r="X17" s="72">
        <v>4.6647999999999995E-2</v>
      </c>
      <c r="Y17" s="175"/>
      <c r="Z17" s="43"/>
      <c r="AA17" s="43"/>
    </row>
    <row r="18" spans="2:27" ht="15.75" x14ac:dyDescent="0.25">
      <c r="B18" s="91"/>
      <c r="C18" s="211" t="s">
        <v>202</v>
      </c>
      <c r="D18" s="224" t="s">
        <v>3</v>
      </c>
      <c r="E18" s="233">
        <v>2.6839999999999999E-2</v>
      </c>
      <c r="F18" s="30"/>
      <c r="G18" s="30"/>
      <c r="H18" s="30"/>
      <c r="I18" s="30"/>
      <c r="J18" s="30"/>
      <c r="K18" s="30"/>
      <c r="L18" s="30"/>
      <c r="M18" s="30"/>
      <c r="N18" s="30"/>
      <c r="O18" s="30"/>
      <c r="P18" s="30"/>
      <c r="Q18" s="30"/>
      <c r="R18" s="30"/>
      <c r="S18" s="30"/>
      <c r="T18" s="23"/>
      <c r="V18" s="175"/>
      <c r="W18" s="70" t="s">
        <v>4</v>
      </c>
      <c r="X18" s="72">
        <v>3.6764999999999999E-2</v>
      </c>
      <c r="Y18" s="175"/>
      <c r="Z18" s="43"/>
      <c r="AA18" s="43"/>
    </row>
    <row r="19" spans="2:27" ht="15.75" customHeight="1" x14ac:dyDescent="0.25">
      <c r="B19" s="91"/>
      <c r="C19" s="211" t="s">
        <v>170</v>
      </c>
      <c r="D19" s="224" t="s">
        <v>138</v>
      </c>
      <c r="E19" s="233">
        <v>2.6335999999999998E-2</v>
      </c>
      <c r="F19" s="30"/>
      <c r="G19" s="30"/>
      <c r="H19" s="30"/>
      <c r="I19" s="30"/>
      <c r="J19" s="30"/>
      <c r="K19" s="30"/>
      <c r="L19" s="30"/>
      <c r="M19" s="30"/>
      <c r="N19" s="30"/>
      <c r="O19" s="30"/>
      <c r="P19" s="30"/>
      <c r="Q19" s="30"/>
      <c r="R19" s="30"/>
      <c r="S19" s="30"/>
      <c r="T19" s="23"/>
      <c r="V19" s="175"/>
      <c r="W19" s="70" t="s">
        <v>134</v>
      </c>
      <c r="X19" s="72">
        <v>3.3794999999999999E-2</v>
      </c>
      <c r="Y19" s="175"/>
      <c r="Z19" s="43"/>
      <c r="AA19" s="43"/>
    </row>
    <row r="20" spans="2:27" ht="15" customHeight="1" x14ac:dyDescent="0.25">
      <c r="B20" s="91"/>
      <c r="C20" s="211" t="s">
        <v>169</v>
      </c>
      <c r="D20" s="224" t="s">
        <v>138</v>
      </c>
      <c r="E20" s="233">
        <v>2.3585999999999999E-2</v>
      </c>
      <c r="F20" s="30"/>
      <c r="G20" s="30"/>
      <c r="H20" s="30"/>
      <c r="I20" s="30"/>
      <c r="J20" s="30"/>
      <c r="K20" s="30"/>
      <c r="L20" s="30"/>
      <c r="M20" s="30"/>
      <c r="N20" s="30"/>
      <c r="O20" s="30"/>
      <c r="P20" s="30"/>
      <c r="Q20" s="30"/>
      <c r="R20" s="30"/>
      <c r="S20" s="30"/>
      <c r="T20" s="23"/>
      <c r="V20" s="175"/>
      <c r="W20" s="70" t="s">
        <v>12</v>
      </c>
      <c r="X20" s="72">
        <v>2.0896999999999999E-2</v>
      </c>
      <c r="Y20" s="175"/>
      <c r="Z20" s="43"/>
      <c r="AA20" s="43"/>
    </row>
    <row r="21" spans="2:27" ht="15" customHeight="1" x14ac:dyDescent="0.25">
      <c r="B21" s="91"/>
      <c r="C21" s="211" t="s">
        <v>37</v>
      </c>
      <c r="D21" s="224" t="s">
        <v>3</v>
      </c>
      <c r="E21" s="233">
        <v>2.2764E-2</v>
      </c>
      <c r="F21" s="30"/>
      <c r="G21" s="30"/>
      <c r="H21" s="30"/>
      <c r="I21" s="30"/>
      <c r="J21" s="30"/>
      <c r="K21" s="30"/>
      <c r="L21" s="30"/>
      <c r="M21" s="30"/>
      <c r="N21" s="30"/>
      <c r="O21" s="30"/>
      <c r="P21" s="30"/>
      <c r="Q21" s="30"/>
      <c r="R21" s="30"/>
      <c r="S21" s="30"/>
      <c r="T21" s="23"/>
      <c r="V21" s="175"/>
      <c r="W21" s="70" t="s">
        <v>89</v>
      </c>
      <c r="X21" s="72">
        <v>2.0173E-2</v>
      </c>
      <c r="Y21" s="175"/>
      <c r="Z21" s="43"/>
      <c r="AA21" s="43"/>
    </row>
    <row r="22" spans="2:27" ht="15" customHeight="1" x14ac:dyDescent="0.25">
      <c r="B22" s="91"/>
      <c r="C22" s="211" t="s">
        <v>258</v>
      </c>
      <c r="D22" s="224" t="s">
        <v>145</v>
      </c>
      <c r="E22" s="233">
        <v>2.1911E-2</v>
      </c>
      <c r="F22" s="30"/>
      <c r="G22" s="30"/>
      <c r="H22" s="30"/>
      <c r="I22" s="30"/>
      <c r="J22" s="30"/>
      <c r="K22" s="30"/>
      <c r="L22" s="30"/>
      <c r="M22" s="30"/>
      <c r="N22" s="30"/>
      <c r="O22" s="30"/>
      <c r="P22" s="30"/>
      <c r="Q22" s="30"/>
      <c r="R22" s="30"/>
      <c r="S22" s="30"/>
      <c r="T22" s="23"/>
      <c r="V22" s="175"/>
      <c r="W22" s="70" t="s">
        <v>140</v>
      </c>
      <c r="X22" s="72">
        <v>1.9428000000000001E-2</v>
      </c>
      <c r="Y22" s="175"/>
      <c r="Z22" s="43"/>
      <c r="AA22" s="43"/>
    </row>
    <row r="23" spans="2:27" ht="15" customHeight="1" x14ac:dyDescent="0.25">
      <c r="B23" s="91"/>
      <c r="C23" s="15"/>
      <c r="D23" s="16"/>
      <c r="E23" s="18"/>
      <c r="F23" s="30"/>
      <c r="G23" s="30"/>
      <c r="H23" s="30"/>
      <c r="I23" s="30"/>
      <c r="J23" s="30"/>
      <c r="K23" s="30"/>
      <c r="L23" s="30"/>
      <c r="M23" s="30"/>
      <c r="N23" s="30"/>
      <c r="O23" s="30"/>
      <c r="P23" s="30"/>
      <c r="Q23" s="30"/>
      <c r="R23" s="30"/>
      <c r="S23" s="30"/>
      <c r="T23" s="23"/>
      <c r="V23" s="175"/>
      <c r="W23" s="70" t="s">
        <v>147</v>
      </c>
      <c r="X23" s="72">
        <v>1.7408E-2</v>
      </c>
      <c r="Y23" s="175"/>
      <c r="Z23" s="43"/>
      <c r="AA23" s="43"/>
    </row>
    <row r="24" spans="2:27" ht="15" customHeight="1" x14ac:dyDescent="0.25">
      <c r="B24" s="91"/>
      <c r="C24" s="85" t="s">
        <v>56</v>
      </c>
      <c r="D24" s="86"/>
      <c r="E24" s="87">
        <f>SUM(E8:E23)</f>
        <v>0.44706499999999993</v>
      </c>
      <c r="F24" s="30"/>
      <c r="G24" s="30"/>
      <c r="H24" s="30"/>
      <c r="I24" s="30"/>
      <c r="J24" s="30"/>
      <c r="K24" s="30"/>
      <c r="L24" s="30"/>
      <c r="M24" s="30"/>
      <c r="N24" s="30"/>
      <c r="O24" s="30"/>
      <c r="P24" s="30"/>
      <c r="Q24" s="30"/>
      <c r="R24" s="30"/>
      <c r="S24" s="30"/>
      <c r="T24" s="23"/>
      <c r="V24" s="175"/>
      <c r="W24" s="70" t="s">
        <v>151</v>
      </c>
      <c r="X24" s="72">
        <v>1.6480999999999999E-2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101</v>
      </c>
      <c r="X25" s="72">
        <v>1.5524E-2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153</v>
      </c>
      <c r="X26" s="72">
        <v>1.1266999999999999E-2</v>
      </c>
      <c r="Y26" s="175"/>
      <c r="Z26" s="43"/>
      <c r="AA26" s="43"/>
    </row>
    <row r="27" spans="2:27" ht="15" customHeight="1" x14ac:dyDescent="0.25">
      <c r="B27" s="91"/>
      <c r="F27" s="30"/>
      <c r="G27" s="30"/>
      <c r="H27" s="30"/>
      <c r="I27" s="30"/>
      <c r="J27" s="30"/>
      <c r="K27" s="30"/>
      <c r="L27" s="30"/>
      <c r="M27" s="30"/>
      <c r="N27" s="30"/>
      <c r="O27" s="30"/>
      <c r="P27" s="30"/>
      <c r="Q27" s="30"/>
      <c r="R27" s="30"/>
      <c r="S27" s="30"/>
      <c r="T27" s="23"/>
      <c r="V27" s="175"/>
      <c r="W27" s="70" t="s">
        <v>99</v>
      </c>
      <c r="X27" s="72">
        <v>9.4230000000000008E-3</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171</v>
      </c>
      <c r="X28" s="72">
        <v>6.1469999999999997E-3</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63"/>
      <c r="X29" s="72"/>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c r="X30" s="72"/>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73"/>
      <c r="X31" s="72"/>
      <c r="Y31" s="175"/>
      <c r="Z31" s="43"/>
      <c r="AA31" s="43"/>
    </row>
    <row r="32" spans="2:27" ht="15" customHeight="1" thickBot="1" x14ac:dyDescent="0.3">
      <c r="B32" s="92"/>
      <c r="C32" s="93"/>
      <c r="D32" s="93"/>
      <c r="E32" s="93"/>
      <c r="F32" s="93"/>
      <c r="G32" s="93"/>
      <c r="H32" s="93"/>
      <c r="I32" s="93"/>
      <c r="J32" s="93"/>
      <c r="K32" s="93"/>
      <c r="L32" s="93"/>
      <c r="M32" s="93"/>
      <c r="N32" s="93"/>
      <c r="O32" s="93"/>
      <c r="P32" s="93"/>
      <c r="Q32" s="93"/>
      <c r="R32" s="93"/>
      <c r="S32" s="93"/>
      <c r="T32" s="24"/>
      <c r="X32" s="72"/>
    </row>
    <row r="33" spans="2:24" ht="15" customHeight="1" thickBot="1" x14ac:dyDescent="0.3">
      <c r="X33" s="72"/>
    </row>
    <row r="34" spans="2:24" ht="15" customHeight="1" x14ac:dyDescent="0.25">
      <c r="B34" s="245" t="s">
        <v>265</v>
      </c>
      <c r="C34" s="246"/>
      <c r="D34" s="246"/>
      <c r="E34" s="246"/>
      <c r="F34" s="246"/>
      <c r="G34" s="246"/>
      <c r="H34" s="246"/>
      <c r="I34" s="246"/>
      <c r="J34" s="246"/>
      <c r="K34" s="246"/>
      <c r="L34" s="246"/>
      <c r="M34" s="246"/>
      <c r="N34" s="246"/>
      <c r="O34" s="246"/>
      <c r="P34" s="246"/>
      <c r="Q34" s="246"/>
      <c r="R34" s="247"/>
      <c r="X34" s="72"/>
    </row>
    <row r="35" spans="2:24" ht="15" customHeight="1" x14ac:dyDescent="0.25">
      <c r="B35" s="248"/>
      <c r="C35" s="249"/>
      <c r="D35" s="249"/>
      <c r="E35" s="249"/>
      <c r="F35" s="249"/>
      <c r="G35" s="249"/>
      <c r="H35" s="249"/>
      <c r="I35" s="249"/>
      <c r="J35" s="249"/>
      <c r="K35" s="249"/>
      <c r="L35" s="249"/>
      <c r="M35" s="249"/>
      <c r="N35" s="249"/>
      <c r="O35" s="249"/>
      <c r="P35" s="249"/>
      <c r="Q35" s="249"/>
      <c r="R35" s="250"/>
      <c r="X35" s="72"/>
    </row>
    <row r="36" spans="2:24" ht="15" customHeight="1" x14ac:dyDescent="0.25">
      <c r="B36" s="248"/>
      <c r="C36" s="249"/>
      <c r="D36" s="249"/>
      <c r="E36" s="249"/>
      <c r="F36" s="249"/>
      <c r="G36" s="249"/>
      <c r="H36" s="249"/>
      <c r="I36" s="249"/>
      <c r="J36" s="249"/>
      <c r="K36" s="249"/>
      <c r="L36" s="249"/>
      <c r="M36" s="249"/>
      <c r="N36" s="249"/>
      <c r="O36" s="249"/>
      <c r="P36" s="249"/>
      <c r="Q36" s="249"/>
      <c r="R36" s="250"/>
      <c r="X36" s="72"/>
    </row>
    <row r="37" spans="2:24" ht="15" customHeight="1" x14ac:dyDescent="0.25">
      <c r="B37" s="248"/>
      <c r="C37" s="249"/>
      <c r="D37" s="249"/>
      <c r="E37" s="249"/>
      <c r="F37" s="249"/>
      <c r="G37" s="249"/>
      <c r="H37" s="249"/>
      <c r="I37" s="249"/>
      <c r="J37" s="249"/>
      <c r="K37" s="249"/>
      <c r="L37" s="249"/>
      <c r="M37" s="249"/>
      <c r="N37" s="249"/>
      <c r="O37" s="249"/>
      <c r="P37" s="249"/>
      <c r="Q37" s="249"/>
      <c r="R37" s="250"/>
      <c r="X37" s="72"/>
    </row>
    <row r="38" spans="2:24" ht="15" customHeight="1" x14ac:dyDescent="0.25">
      <c r="B38" s="248"/>
      <c r="C38" s="249"/>
      <c r="D38" s="249"/>
      <c r="E38" s="249"/>
      <c r="F38" s="249"/>
      <c r="G38" s="249"/>
      <c r="H38" s="249"/>
      <c r="I38" s="249"/>
      <c r="J38" s="249"/>
      <c r="K38" s="249"/>
      <c r="L38" s="249"/>
      <c r="M38" s="249"/>
      <c r="N38" s="249"/>
      <c r="O38" s="249"/>
      <c r="P38" s="249"/>
      <c r="Q38" s="249"/>
      <c r="R38" s="250"/>
    </row>
    <row r="39" spans="2:24" ht="15" customHeight="1" x14ac:dyDescent="0.25">
      <c r="B39" s="248"/>
      <c r="C39" s="249"/>
      <c r="D39" s="249"/>
      <c r="E39" s="249"/>
      <c r="F39" s="249"/>
      <c r="G39" s="249"/>
      <c r="H39" s="249"/>
      <c r="I39" s="249"/>
      <c r="J39" s="249"/>
      <c r="K39" s="249"/>
      <c r="L39" s="249"/>
      <c r="M39" s="249"/>
      <c r="N39" s="249"/>
      <c r="O39" s="249"/>
      <c r="P39" s="249"/>
      <c r="Q39" s="249"/>
      <c r="R39" s="250"/>
    </row>
    <row r="40" spans="2:24" ht="21.75" customHeight="1" thickBot="1" x14ac:dyDescent="0.3">
      <c r="B40" s="251"/>
      <c r="C40" s="252"/>
      <c r="D40" s="252"/>
      <c r="E40" s="252"/>
      <c r="F40" s="252"/>
      <c r="G40" s="252"/>
      <c r="H40" s="252"/>
      <c r="I40" s="252"/>
      <c r="J40" s="252"/>
      <c r="K40" s="252"/>
      <c r="L40" s="252"/>
      <c r="M40" s="252"/>
      <c r="N40" s="252"/>
      <c r="O40" s="252"/>
      <c r="P40" s="252"/>
      <c r="Q40" s="252"/>
      <c r="R40" s="253"/>
    </row>
    <row r="41" spans="2:24" ht="15" customHeight="1" x14ac:dyDescent="0.25"/>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24">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6" width="12.7109375" style="20" bestFit="1" customWidth="1"/>
    <col min="7"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4" t="s">
        <v>232</v>
      </c>
      <c r="D3" s="255"/>
      <c r="E3" s="255"/>
      <c r="F3" s="255"/>
      <c r="G3" s="255"/>
      <c r="H3" s="255"/>
      <c r="I3" s="255"/>
      <c r="J3" s="255"/>
      <c r="K3" s="255"/>
      <c r="L3" s="255"/>
      <c r="M3" s="255"/>
      <c r="N3" s="255"/>
      <c r="O3" s="255"/>
      <c r="P3" s="255"/>
      <c r="Q3" s="255"/>
      <c r="R3" s="255"/>
      <c r="S3" s="255"/>
      <c r="T3" s="23"/>
      <c r="V3" s="43"/>
      <c r="W3" s="43"/>
      <c r="X3" s="43"/>
      <c r="Y3" s="43"/>
      <c r="Z3" s="43"/>
      <c r="AA3" s="43"/>
    </row>
    <row r="4" spans="1:27" ht="15.75" customHeight="1" x14ac:dyDescent="0.25">
      <c r="B4" s="91"/>
      <c r="C4" s="78" t="s">
        <v>303</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304</v>
      </c>
      <c r="D5" s="256" t="s">
        <v>283</v>
      </c>
      <c r="E5" s="256"/>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1" t="s">
        <v>33</v>
      </c>
      <c r="D8" s="222" t="s">
        <v>3</v>
      </c>
      <c r="E8" s="232">
        <v>3.0547999999999999E-2</v>
      </c>
      <c r="F8" s="30"/>
      <c r="G8" s="30"/>
      <c r="H8" s="30"/>
      <c r="I8" s="30"/>
      <c r="J8" s="30"/>
      <c r="K8" s="30"/>
      <c r="L8" s="30"/>
      <c r="M8" s="30"/>
      <c r="N8" s="30"/>
      <c r="O8" s="30"/>
      <c r="P8" s="30"/>
      <c r="Q8" s="30"/>
      <c r="R8" s="30"/>
      <c r="S8" s="30"/>
      <c r="T8" s="23"/>
      <c r="V8" s="175"/>
      <c r="W8" s="70" t="s">
        <v>3</v>
      </c>
      <c r="X8" s="72">
        <v>0.14752200000000001</v>
      </c>
      <c r="Y8" s="175"/>
      <c r="Z8" s="43"/>
      <c r="AA8" s="43"/>
    </row>
    <row r="9" spans="1:27" ht="15.75" customHeight="1" x14ac:dyDescent="0.25">
      <c r="B9" s="91"/>
      <c r="C9" s="211" t="s">
        <v>187</v>
      </c>
      <c r="D9" s="224" t="s">
        <v>143</v>
      </c>
      <c r="E9" s="233">
        <v>2.6047000000000001E-2</v>
      </c>
      <c r="F9" s="30"/>
      <c r="G9" s="30"/>
      <c r="H9" s="30"/>
      <c r="I9" s="30"/>
      <c r="J9" s="30"/>
      <c r="K9" s="30"/>
      <c r="L9" s="30"/>
      <c r="M9" s="30"/>
      <c r="N9" s="30"/>
      <c r="O9" s="30"/>
      <c r="P9" s="30"/>
      <c r="Q9" s="30"/>
      <c r="R9" s="30"/>
      <c r="S9" s="30"/>
      <c r="T9" s="23"/>
      <c r="V9" s="175"/>
      <c r="W9" s="70" t="s">
        <v>135</v>
      </c>
      <c r="X9" s="72">
        <v>6.7912E-2</v>
      </c>
      <c r="Y9" s="175"/>
      <c r="Z9" s="43"/>
      <c r="AA9" s="43"/>
    </row>
    <row r="10" spans="1:27" ht="15" customHeight="1" x14ac:dyDescent="0.25">
      <c r="B10" s="91"/>
      <c r="C10" s="211" t="s">
        <v>29</v>
      </c>
      <c r="D10" s="224" t="s">
        <v>3</v>
      </c>
      <c r="E10" s="233">
        <v>2.4398E-2</v>
      </c>
      <c r="F10" s="30"/>
      <c r="G10" s="30"/>
      <c r="H10" s="30"/>
      <c r="I10" s="30"/>
      <c r="J10" s="30"/>
      <c r="K10" s="30"/>
      <c r="L10" s="30"/>
      <c r="M10" s="30"/>
      <c r="N10" s="30"/>
      <c r="O10" s="30"/>
      <c r="P10" s="30"/>
      <c r="Q10" s="30"/>
      <c r="R10" s="30"/>
      <c r="S10" s="30"/>
      <c r="T10" s="23"/>
      <c r="V10" s="175"/>
      <c r="W10" s="70" t="s">
        <v>4</v>
      </c>
      <c r="X10" s="72">
        <v>5.8743000000000004E-2</v>
      </c>
      <c r="Y10" s="175"/>
      <c r="Z10" s="43"/>
      <c r="AA10" s="43"/>
    </row>
    <row r="11" spans="1:27" ht="15" customHeight="1" x14ac:dyDescent="0.25">
      <c r="B11" s="91"/>
      <c r="C11" s="211" t="s">
        <v>207</v>
      </c>
      <c r="D11" s="224" t="s">
        <v>97</v>
      </c>
      <c r="E11" s="233">
        <v>2.2594E-2</v>
      </c>
      <c r="F11" s="30"/>
      <c r="G11" s="30"/>
      <c r="H11" s="30"/>
      <c r="I11" s="30"/>
      <c r="J11" s="30"/>
      <c r="K11" s="30"/>
      <c r="L11" s="30"/>
      <c r="M11" s="30"/>
      <c r="N11" s="30"/>
      <c r="O11" s="30"/>
      <c r="P11" s="30"/>
      <c r="Q11" s="30"/>
      <c r="R11" s="30"/>
      <c r="S11" s="30"/>
      <c r="T11" s="23"/>
      <c r="V11" s="175"/>
      <c r="W11" s="70" t="s">
        <v>140</v>
      </c>
      <c r="X11" s="72">
        <v>5.7782E-2</v>
      </c>
      <c r="Y11" s="175"/>
      <c r="Z11" s="43"/>
      <c r="AA11" s="43"/>
    </row>
    <row r="12" spans="1:27" ht="15" customHeight="1" x14ac:dyDescent="0.25">
      <c r="B12" s="91"/>
      <c r="C12" s="211" t="s">
        <v>37</v>
      </c>
      <c r="D12" s="224" t="s">
        <v>3</v>
      </c>
      <c r="E12" s="233">
        <v>2.2516000000000001E-2</v>
      </c>
      <c r="F12" s="30"/>
      <c r="G12" s="30"/>
      <c r="H12" s="30"/>
      <c r="I12" s="30"/>
      <c r="J12" s="30"/>
      <c r="K12" s="30"/>
      <c r="L12" s="30"/>
      <c r="M12" s="30"/>
      <c r="N12" s="30"/>
      <c r="O12" s="30"/>
      <c r="P12" s="30"/>
      <c r="Q12" s="30"/>
      <c r="R12" s="30"/>
      <c r="S12" s="30"/>
      <c r="T12" s="23"/>
      <c r="V12" s="175"/>
      <c r="W12" s="70" t="s">
        <v>97</v>
      </c>
      <c r="X12" s="72">
        <v>5.4389000000000007E-2</v>
      </c>
      <c r="Y12" s="175"/>
      <c r="Z12" s="43"/>
      <c r="AA12" s="43"/>
    </row>
    <row r="13" spans="1:27" ht="15" customHeight="1" x14ac:dyDescent="0.25">
      <c r="B13" s="91"/>
      <c r="C13" s="211" t="s">
        <v>32</v>
      </c>
      <c r="D13" s="224" t="s">
        <v>6</v>
      </c>
      <c r="E13" s="233">
        <v>2.2445E-2</v>
      </c>
      <c r="F13" s="30"/>
      <c r="G13" s="30"/>
      <c r="H13" s="30"/>
      <c r="I13" s="30"/>
      <c r="J13" s="30"/>
      <c r="K13" s="30"/>
      <c r="L13" s="30"/>
      <c r="M13" s="30"/>
      <c r="N13" s="30"/>
      <c r="O13" s="30"/>
      <c r="P13" s="30"/>
      <c r="Q13" s="30"/>
      <c r="R13" s="30"/>
      <c r="S13" s="30"/>
      <c r="T13" s="23"/>
      <c r="V13" s="175"/>
      <c r="W13" s="70" t="s">
        <v>138</v>
      </c>
      <c r="X13" s="72">
        <v>4.913E-2</v>
      </c>
      <c r="Y13" s="175"/>
      <c r="Z13" s="43"/>
      <c r="AA13" s="43"/>
    </row>
    <row r="14" spans="1:27" ht="15" customHeight="1" x14ac:dyDescent="0.25">
      <c r="B14" s="91"/>
      <c r="C14" s="211" t="s">
        <v>34</v>
      </c>
      <c r="D14" s="224" t="s">
        <v>135</v>
      </c>
      <c r="E14" s="233">
        <v>2.2419999999999999E-2</v>
      </c>
      <c r="F14" s="30"/>
      <c r="G14" s="30"/>
      <c r="H14" s="30"/>
      <c r="I14" s="30"/>
      <c r="J14" s="30"/>
      <c r="K14" s="30"/>
      <c r="L14" s="30"/>
      <c r="M14" s="30"/>
      <c r="N14" s="30"/>
      <c r="O14" s="30"/>
      <c r="P14" s="30"/>
      <c r="Q14" s="30"/>
      <c r="R14" s="30"/>
      <c r="S14" s="30"/>
      <c r="T14" s="23"/>
      <c r="V14" s="175"/>
      <c r="W14" s="70" t="s">
        <v>24</v>
      </c>
      <c r="X14" s="72">
        <v>4.7841000000000002E-2</v>
      </c>
      <c r="Y14" s="175"/>
      <c r="Z14" s="43"/>
      <c r="AA14" s="43"/>
    </row>
    <row r="15" spans="1:27" ht="15.75" customHeight="1" x14ac:dyDescent="0.25">
      <c r="B15" s="91"/>
      <c r="C15" s="211" t="s">
        <v>36</v>
      </c>
      <c r="D15" s="224" t="s">
        <v>3</v>
      </c>
      <c r="E15" s="233">
        <v>2.1356E-2</v>
      </c>
      <c r="F15" s="30"/>
      <c r="G15" s="30"/>
      <c r="H15" s="30"/>
      <c r="I15" s="30"/>
      <c r="J15" s="30"/>
      <c r="K15" s="30"/>
      <c r="L15" s="30"/>
      <c r="M15" s="30"/>
      <c r="N15" s="30"/>
      <c r="O15" s="30"/>
      <c r="P15" s="30"/>
      <c r="Q15" s="30"/>
      <c r="R15" s="30"/>
      <c r="S15" s="30"/>
      <c r="T15" s="23"/>
      <c r="V15" s="175"/>
      <c r="W15" s="70" t="s">
        <v>16</v>
      </c>
      <c r="X15" s="72">
        <v>4.2208000000000002E-2</v>
      </c>
      <c r="Y15" s="175"/>
      <c r="Z15" s="43"/>
      <c r="AA15" s="43"/>
    </row>
    <row r="16" spans="1:27" ht="15" customHeight="1" x14ac:dyDescent="0.25">
      <c r="B16" s="91"/>
      <c r="C16" s="211" t="s">
        <v>137</v>
      </c>
      <c r="D16" s="224" t="s">
        <v>138</v>
      </c>
      <c r="E16" s="233">
        <v>2.1093000000000001E-2</v>
      </c>
      <c r="F16" s="30"/>
      <c r="G16" s="30"/>
      <c r="H16" s="30"/>
      <c r="I16" s="30"/>
      <c r="J16" s="30"/>
      <c r="K16" s="30"/>
      <c r="L16" s="30"/>
      <c r="M16" s="30"/>
      <c r="N16" s="30"/>
      <c r="O16" s="30"/>
      <c r="P16" s="30"/>
      <c r="Q16" s="30"/>
      <c r="R16" s="30"/>
      <c r="S16" s="30"/>
      <c r="T16" s="23"/>
      <c r="V16" s="175"/>
      <c r="W16" s="70" t="s">
        <v>6</v>
      </c>
      <c r="X16" s="72">
        <v>3.3312000000000001E-2</v>
      </c>
      <c r="Y16" s="175"/>
      <c r="Z16" s="43"/>
      <c r="AA16" s="43"/>
    </row>
    <row r="17" spans="2:27" ht="15.75" customHeight="1" x14ac:dyDescent="0.25">
      <c r="B17" s="91"/>
      <c r="C17" s="211" t="s">
        <v>129</v>
      </c>
      <c r="D17" s="224" t="s">
        <v>97</v>
      </c>
      <c r="E17" s="233">
        <v>2.0083E-2</v>
      </c>
      <c r="F17" s="30"/>
      <c r="G17" s="30"/>
      <c r="H17" s="30"/>
      <c r="I17" s="30"/>
      <c r="J17" s="30"/>
      <c r="K17" s="30"/>
      <c r="L17" s="30"/>
      <c r="M17" s="30"/>
      <c r="N17" s="30"/>
      <c r="O17" s="30"/>
      <c r="P17" s="30"/>
      <c r="Q17" s="30"/>
      <c r="R17" s="30"/>
      <c r="S17" s="30"/>
      <c r="T17" s="23"/>
      <c r="V17" s="175"/>
      <c r="W17" s="70" t="s">
        <v>100</v>
      </c>
      <c r="X17" s="72">
        <v>3.0698E-2</v>
      </c>
      <c r="Y17" s="175"/>
      <c r="Z17" s="43"/>
      <c r="AA17" s="43"/>
    </row>
    <row r="18" spans="2:27" ht="15.75" x14ac:dyDescent="0.25">
      <c r="B18" s="91"/>
      <c r="C18" s="211" t="s">
        <v>30</v>
      </c>
      <c r="D18" s="224" t="s">
        <v>4</v>
      </c>
      <c r="E18" s="233">
        <v>1.9996E-2</v>
      </c>
      <c r="F18" s="30"/>
      <c r="G18" s="30"/>
      <c r="H18" s="30"/>
      <c r="I18" s="30"/>
      <c r="J18" s="30"/>
      <c r="K18" s="30"/>
      <c r="L18" s="30"/>
      <c r="M18" s="30"/>
      <c r="N18" s="30"/>
      <c r="O18" s="30"/>
      <c r="P18" s="30"/>
      <c r="Q18" s="30"/>
      <c r="R18" s="30"/>
      <c r="S18" s="30"/>
      <c r="T18" s="23"/>
      <c r="V18" s="175"/>
      <c r="W18" s="70" t="s">
        <v>23</v>
      </c>
      <c r="X18" s="72">
        <v>2.9069999999999999E-2</v>
      </c>
      <c r="Y18" s="175"/>
      <c r="Z18" s="43"/>
      <c r="AA18" s="43"/>
    </row>
    <row r="19" spans="2:27" ht="15.75" customHeight="1" x14ac:dyDescent="0.25">
      <c r="B19" s="91"/>
      <c r="C19" s="211" t="s">
        <v>260</v>
      </c>
      <c r="D19" s="224" t="s">
        <v>98</v>
      </c>
      <c r="E19" s="233">
        <v>1.8974999999999999E-2</v>
      </c>
      <c r="F19" s="30"/>
      <c r="G19" s="30"/>
      <c r="H19" s="30"/>
      <c r="I19" s="30"/>
      <c r="J19" s="30"/>
      <c r="K19" s="30"/>
      <c r="L19" s="30"/>
      <c r="M19" s="30"/>
      <c r="N19" s="30"/>
      <c r="O19" s="30"/>
      <c r="P19" s="30"/>
      <c r="Q19" s="30"/>
      <c r="R19" s="30"/>
      <c r="S19" s="30"/>
      <c r="T19" s="23"/>
      <c r="V19" s="175"/>
      <c r="W19" s="70" t="s">
        <v>134</v>
      </c>
      <c r="X19" s="72">
        <v>2.8580000000000001E-2</v>
      </c>
      <c r="Y19" s="175"/>
      <c r="Z19" s="43"/>
      <c r="AA19" s="43"/>
    </row>
    <row r="20" spans="2:27" ht="15" customHeight="1" x14ac:dyDescent="0.25">
      <c r="B20" s="91"/>
      <c r="C20" s="211" t="s">
        <v>208</v>
      </c>
      <c r="D20" s="224" t="s">
        <v>135</v>
      </c>
      <c r="E20" s="233">
        <v>1.8896E-2</v>
      </c>
      <c r="F20" s="30"/>
      <c r="G20" s="30"/>
      <c r="H20" s="30"/>
      <c r="I20" s="30"/>
      <c r="J20" s="30"/>
      <c r="K20" s="30"/>
      <c r="L20" s="30"/>
      <c r="M20" s="30"/>
      <c r="N20" s="30"/>
      <c r="O20" s="30"/>
      <c r="P20" s="30"/>
      <c r="Q20" s="30"/>
      <c r="R20" s="30"/>
      <c r="S20" s="30"/>
      <c r="T20" s="23"/>
      <c r="V20" s="175"/>
      <c r="W20" s="70" t="s">
        <v>141</v>
      </c>
      <c r="X20" s="72">
        <v>2.7140999999999998E-2</v>
      </c>
      <c r="Y20" s="175"/>
      <c r="Z20" s="43"/>
      <c r="AA20" s="43"/>
    </row>
    <row r="21" spans="2:27" ht="15" customHeight="1" x14ac:dyDescent="0.25">
      <c r="B21" s="91"/>
      <c r="C21" s="211" t="s">
        <v>130</v>
      </c>
      <c r="D21" s="224" t="s">
        <v>134</v>
      </c>
      <c r="E21" s="233">
        <v>1.8728000000000002E-2</v>
      </c>
      <c r="F21" s="30"/>
      <c r="G21" s="30"/>
      <c r="H21" s="30"/>
      <c r="I21" s="30"/>
      <c r="J21" s="30"/>
      <c r="K21" s="30"/>
      <c r="L21" s="30"/>
      <c r="M21" s="30"/>
      <c r="N21" s="30"/>
      <c r="O21" s="30"/>
      <c r="P21" s="30"/>
      <c r="Q21" s="30"/>
      <c r="R21" s="30"/>
      <c r="S21" s="30"/>
      <c r="T21" s="23"/>
      <c r="V21" s="175"/>
      <c r="W21" s="70" t="s">
        <v>143</v>
      </c>
      <c r="X21" s="72">
        <v>2.6047000000000001E-2</v>
      </c>
      <c r="Y21" s="175"/>
      <c r="Z21" s="43"/>
      <c r="AA21" s="43"/>
    </row>
    <row r="22" spans="2:27" ht="15" customHeight="1" x14ac:dyDescent="0.25">
      <c r="B22" s="91"/>
      <c r="C22" s="211" t="s">
        <v>271</v>
      </c>
      <c r="D22" s="224" t="s">
        <v>4</v>
      </c>
      <c r="E22" s="233">
        <v>1.83E-2</v>
      </c>
      <c r="F22" s="30"/>
      <c r="G22" s="30"/>
      <c r="H22" s="30"/>
      <c r="I22" s="30"/>
      <c r="J22" s="30"/>
      <c r="K22" s="30"/>
      <c r="L22" s="30"/>
      <c r="M22" s="30"/>
      <c r="N22" s="30"/>
      <c r="O22" s="30"/>
      <c r="P22" s="30"/>
      <c r="Q22" s="30"/>
      <c r="R22" s="30"/>
      <c r="S22" s="30"/>
      <c r="T22" s="23"/>
      <c r="V22" s="175"/>
      <c r="W22" s="70" t="s">
        <v>154</v>
      </c>
      <c r="X22" s="72">
        <v>2.3593000000000003E-2</v>
      </c>
      <c r="Y22" s="175"/>
      <c r="Z22" s="43"/>
      <c r="AA22" s="43"/>
    </row>
    <row r="23" spans="2:27" ht="15" customHeight="1" x14ac:dyDescent="0.25">
      <c r="B23" s="91"/>
      <c r="C23" s="83"/>
      <c r="D23" s="83"/>
      <c r="E23" s="170"/>
      <c r="F23" s="30"/>
      <c r="G23" s="30"/>
      <c r="H23" s="30"/>
      <c r="I23" s="30"/>
      <c r="J23" s="30"/>
      <c r="K23" s="30"/>
      <c r="L23" s="30"/>
      <c r="M23" s="30"/>
      <c r="N23" s="30"/>
      <c r="O23" s="30"/>
      <c r="P23" s="30"/>
      <c r="Q23" s="30"/>
      <c r="R23" s="30"/>
      <c r="S23" s="30"/>
      <c r="T23" s="23"/>
      <c r="V23" s="175"/>
      <c r="W23" s="70" t="s">
        <v>98</v>
      </c>
      <c r="X23" s="72">
        <v>2.3382999999999998E-2</v>
      </c>
      <c r="Y23" s="175"/>
      <c r="Z23" s="43"/>
      <c r="AA23" s="43"/>
    </row>
    <row r="24" spans="2:27" ht="15" customHeight="1" x14ac:dyDescent="0.25">
      <c r="B24" s="91"/>
      <c r="C24" s="85" t="s">
        <v>56</v>
      </c>
      <c r="D24" s="86"/>
      <c r="E24" s="87">
        <f>SUM(E8:E22)</f>
        <v>0.32839500000000005</v>
      </c>
      <c r="F24" s="30"/>
      <c r="G24" s="30"/>
      <c r="H24" s="30"/>
      <c r="I24" s="30"/>
      <c r="J24" s="30"/>
      <c r="K24" s="30"/>
      <c r="L24" s="30"/>
      <c r="M24" s="30"/>
      <c r="N24" s="30"/>
      <c r="O24" s="30"/>
      <c r="P24" s="30"/>
      <c r="Q24" s="30"/>
      <c r="R24" s="30"/>
      <c r="S24" s="30"/>
      <c r="T24" s="23"/>
      <c r="V24" s="175"/>
      <c r="W24" s="70" t="s">
        <v>142</v>
      </c>
      <c r="X24" s="72">
        <v>2.3024999999999997E-2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111</v>
      </c>
      <c r="X25" s="72">
        <v>2.2665999999999999E-2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148</v>
      </c>
      <c r="X26" s="72">
        <v>2.0742E-2</v>
      </c>
      <c r="Y26" s="175"/>
      <c r="Z26" s="43"/>
      <c r="AA26" s="43"/>
    </row>
    <row r="27" spans="2:27" ht="15" customHeight="1" x14ac:dyDescent="0.25">
      <c r="B27" s="91"/>
      <c r="D27" s="177"/>
      <c r="F27" s="30"/>
      <c r="G27" s="30"/>
      <c r="H27" s="30"/>
      <c r="I27" s="30"/>
      <c r="J27" s="30"/>
      <c r="K27" s="30"/>
      <c r="L27" s="30"/>
      <c r="M27" s="30"/>
      <c r="N27" s="30"/>
      <c r="O27" s="30"/>
      <c r="P27" s="30"/>
      <c r="Q27" s="30"/>
      <c r="R27" s="30"/>
      <c r="S27" s="30"/>
      <c r="T27" s="23"/>
      <c r="V27" s="175"/>
      <c r="W27" s="70" t="s">
        <v>11</v>
      </c>
      <c r="X27" s="72">
        <v>1.9332999999999999E-2</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145</v>
      </c>
      <c r="X28" s="72">
        <v>1.8033E-2</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63" t="s">
        <v>136</v>
      </c>
      <c r="X29" s="64">
        <v>1.7454000000000001E-2</v>
      </c>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t="s">
        <v>146</v>
      </c>
      <c r="X30" s="71">
        <v>1.6868999999999999E-2</v>
      </c>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73" t="s">
        <v>25</v>
      </c>
      <c r="X31" s="71">
        <v>1.6305E-2</v>
      </c>
      <c r="Y31" s="175"/>
      <c r="Z31" s="43"/>
      <c r="AA31" s="43"/>
    </row>
    <row r="32" spans="2:27" ht="15" customHeight="1" x14ac:dyDescent="0.25">
      <c r="B32" s="91"/>
      <c r="F32" s="30"/>
      <c r="G32" s="30"/>
      <c r="H32" s="30"/>
      <c r="I32" s="30"/>
      <c r="J32" s="30"/>
      <c r="K32" s="30"/>
      <c r="L32" s="30"/>
      <c r="M32" s="30"/>
      <c r="N32" s="30"/>
      <c r="O32" s="30"/>
      <c r="P32" s="30"/>
      <c r="Q32" s="30"/>
      <c r="R32" s="30"/>
      <c r="S32" s="30"/>
      <c r="T32" s="23"/>
      <c r="V32" s="175"/>
      <c r="W32" s="73" t="s">
        <v>12</v>
      </c>
      <c r="X32" s="71">
        <v>1.2872E-2</v>
      </c>
      <c r="Y32" s="175"/>
      <c r="Z32" s="43"/>
      <c r="AA32" s="43"/>
    </row>
    <row r="33" spans="2:27" ht="15" customHeight="1" x14ac:dyDescent="0.25">
      <c r="B33" s="91"/>
      <c r="F33" s="30"/>
      <c r="G33" s="30"/>
      <c r="H33" s="30"/>
      <c r="I33" s="30"/>
      <c r="J33" s="30"/>
      <c r="K33" s="30"/>
      <c r="L33" s="30"/>
      <c r="M33" s="30"/>
      <c r="N33" s="30"/>
      <c r="O33" s="30"/>
      <c r="P33" s="30"/>
      <c r="Q33" s="30"/>
      <c r="R33" s="30"/>
      <c r="S33" s="30"/>
      <c r="T33" s="23"/>
      <c r="V33" s="175"/>
      <c r="W33" s="73" t="s">
        <v>144</v>
      </c>
      <c r="X33" s="71">
        <v>1.2096000000000001E-2</v>
      </c>
      <c r="Y33" s="175"/>
      <c r="Z33" s="43"/>
      <c r="AA33" s="43"/>
    </row>
    <row r="34" spans="2:27" ht="15" customHeight="1" x14ac:dyDescent="0.25">
      <c r="B34" s="91"/>
      <c r="F34" s="30"/>
      <c r="G34" s="30"/>
      <c r="H34" s="30"/>
      <c r="I34" s="30"/>
      <c r="J34" s="30"/>
      <c r="K34" s="30"/>
      <c r="L34" s="30"/>
      <c r="M34" s="30"/>
      <c r="N34" s="30"/>
      <c r="O34" s="30"/>
      <c r="P34" s="30"/>
      <c r="Q34" s="30"/>
      <c r="R34" s="30"/>
      <c r="S34" s="30"/>
      <c r="T34" s="23"/>
      <c r="V34" s="175"/>
      <c r="W34" s="175" t="s">
        <v>26</v>
      </c>
      <c r="X34" s="71">
        <v>1.1542E-2</v>
      </c>
      <c r="Y34" s="175"/>
      <c r="Z34" s="43"/>
      <c r="AA34" s="43"/>
    </row>
    <row r="35" spans="2:27" ht="15" customHeight="1" x14ac:dyDescent="0.25">
      <c r="B35" s="91"/>
      <c r="F35" s="30"/>
      <c r="G35" s="30"/>
      <c r="H35" s="30"/>
      <c r="I35" s="30"/>
      <c r="J35" s="30"/>
      <c r="K35" s="30"/>
      <c r="L35" s="30"/>
      <c r="M35" s="30"/>
      <c r="N35" s="30"/>
      <c r="O35" s="30"/>
      <c r="P35" s="30"/>
      <c r="Q35" s="30"/>
      <c r="R35" s="30"/>
      <c r="S35" s="30"/>
      <c r="T35" s="23"/>
      <c r="V35" s="175"/>
      <c r="W35" s="175" t="s">
        <v>147</v>
      </c>
      <c r="X35" s="71">
        <v>1.1495999999999999E-2</v>
      </c>
      <c r="Y35" s="175"/>
      <c r="Z35" s="43"/>
      <c r="AA35" s="43"/>
    </row>
    <row r="36" spans="2:27" ht="15" customHeight="1" x14ac:dyDescent="0.25">
      <c r="B36" s="91"/>
      <c r="F36" s="30"/>
      <c r="G36" s="30"/>
      <c r="H36" s="30"/>
      <c r="I36" s="30"/>
      <c r="J36" s="30"/>
      <c r="K36" s="30"/>
      <c r="L36" s="30"/>
      <c r="M36" s="30"/>
      <c r="N36" s="30"/>
      <c r="O36" s="30"/>
      <c r="P36" s="30"/>
      <c r="Q36" s="30"/>
      <c r="R36" s="30"/>
      <c r="S36" s="30"/>
      <c r="T36" s="23"/>
      <c r="V36" s="175"/>
      <c r="W36" s="175" t="s">
        <v>171</v>
      </c>
      <c r="X36" s="71">
        <v>1.0407E-2</v>
      </c>
      <c r="Y36" s="175"/>
      <c r="Z36" s="43"/>
      <c r="AA36" s="43"/>
    </row>
    <row r="37" spans="2:27" ht="15" customHeight="1" x14ac:dyDescent="0.25">
      <c r="B37" s="91"/>
      <c r="C37" s="30"/>
      <c r="D37" s="30"/>
      <c r="E37" s="30"/>
      <c r="F37" s="30"/>
      <c r="G37" s="30"/>
      <c r="H37" s="30"/>
      <c r="I37" s="30"/>
      <c r="J37" s="30"/>
      <c r="K37" s="30"/>
      <c r="L37" s="30"/>
      <c r="M37" s="30"/>
      <c r="N37" s="30"/>
      <c r="O37" s="30"/>
      <c r="P37" s="30"/>
      <c r="Q37" s="30"/>
      <c r="R37" s="30"/>
      <c r="S37" s="30"/>
      <c r="T37" s="23"/>
      <c r="W37" s="20" t="s">
        <v>194</v>
      </c>
      <c r="X37" s="71">
        <v>4.8529999999999997E-3</v>
      </c>
    </row>
    <row r="38" spans="2:27" ht="15" customHeight="1" thickBot="1" x14ac:dyDescent="0.3">
      <c r="B38" s="92"/>
      <c r="C38" s="93"/>
      <c r="D38" s="93"/>
      <c r="E38" s="93"/>
      <c r="F38" s="93"/>
      <c r="G38" s="93"/>
      <c r="H38" s="93"/>
      <c r="I38" s="93"/>
      <c r="J38" s="93"/>
      <c r="K38" s="93"/>
      <c r="L38" s="93"/>
      <c r="M38" s="93"/>
      <c r="N38" s="93"/>
      <c r="O38" s="93"/>
      <c r="P38" s="93"/>
      <c r="Q38" s="93"/>
      <c r="R38" s="93"/>
      <c r="S38" s="93"/>
      <c r="T38" s="24"/>
      <c r="W38" s="20" t="s">
        <v>153</v>
      </c>
      <c r="X38" s="64">
        <v>2.9500000000000001E-4</v>
      </c>
    </row>
    <row r="39" spans="2:27" ht="15" customHeight="1" thickBot="1" x14ac:dyDescent="0.3"/>
    <row r="40" spans="2:27" ht="15" customHeight="1" x14ac:dyDescent="0.25">
      <c r="B40" s="245" t="s">
        <v>265</v>
      </c>
      <c r="C40" s="246"/>
      <c r="D40" s="246"/>
      <c r="E40" s="246"/>
      <c r="F40" s="246"/>
      <c r="G40" s="246"/>
      <c r="H40" s="246"/>
      <c r="I40" s="246"/>
      <c r="J40" s="246"/>
      <c r="K40" s="246"/>
      <c r="L40" s="246"/>
      <c r="M40" s="246"/>
      <c r="N40" s="246"/>
      <c r="O40" s="246"/>
      <c r="P40" s="246"/>
      <c r="Q40" s="246"/>
      <c r="R40" s="247"/>
    </row>
    <row r="41" spans="2:27" ht="15" customHeight="1" x14ac:dyDescent="0.25">
      <c r="B41" s="248"/>
      <c r="C41" s="249"/>
      <c r="D41" s="249"/>
      <c r="E41" s="249"/>
      <c r="F41" s="249"/>
      <c r="G41" s="249"/>
      <c r="H41" s="249"/>
      <c r="I41" s="249"/>
      <c r="J41" s="249"/>
      <c r="K41" s="249"/>
      <c r="L41" s="249"/>
      <c r="M41" s="249"/>
      <c r="N41" s="249"/>
      <c r="O41" s="249"/>
      <c r="P41" s="249"/>
      <c r="Q41" s="249"/>
      <c r="R41" s="250"/>
    </row>
    <row r="42" spans="2:27" ht="15" customHeight="1" x14ac:dyDescent="0.25">
      <c r="B42" s="248"/>
      <c r="C42" s="249"/>
      <c r="D42" s="249"/>
      <c r="E42" s="249"/>
      <c r="F42" s="249"/>
      <c r="G42" s="249"/>
      <c r="H42" s="249"/>
      <c r="I42" s="249"/>
      <c r="J42" s="249"/>
      <c r="K42" s="249"/>
      <c r="L42" s="249"/>
      <c r="M42" s="249"/>
      <c r="N42" s="249"/>
      <c r="O42" s="249"/>
      <c r="P42" s="249"/>
      <c r="Q42" s="249"/>
      <c r="R42" s="250"/>
    </row>
    <row r="43" spans="2:27" ht="15" customHeight="1" x14ac:dyDescent="0.25">
      <c r="B43" s="248"/>
      <c r="C43" s="249"/>
      <c r="D43" s="249"/>
      <c r="E43" s="249"/>
      <c r="F43" s="249"/>
      <c r="G43" s="249"/>
      <c r="H43" s="249"/>
      <c r="I43" s="249"/>
      <c r="J43" s="249"/>
      <c r="K43" s="249"/>
      <c r="L43" s="249"/>
      <c r="M43" s="249"/>
      <c r="N43" s="249"/>
      <c r="O43" s="249"/>
      <c r="P43" s="249"/>
      <c r="Q43" s="249"/>
      <c r="R43" s="250"/>
    </row>
    <row r="44" spans="2:27" ht="15" customHeight="1" x14ac:dyDescent="0.25">
      <c r="B44" s="248"/>
      <c r="C44" s="249"/>
      <c r="D44" s="249"/>
      <c r="E44" s="249"/>
      <c r="F44" s="249"/>
      <c r="G44" s="249"/>
      <c r="H44" s="249"/>
      <c r="I44" s="249"/>
      <c r="J44" s="249"/>
      <c r="K44" s="249"/>
      <c r="L44" s="249"/>
      <c r="M44" s="249"/>
      <c r="N44" s="249"/>
      <c r="O44" s="249"/>
      <c r="P44" s="249"/>
      <c r="Q44" s="249"/>
      <c r="R44" s="250"/>
    </row>
    <row r="45" spans="2:27" ht="15" customHeight="1" x14ac:dyDescent="0.25">
      <c r="B45" s="248"/>
      <c r="C45" s="249"/>
      <c r="D45" s="249"/>
      <c r="E45" s="249"/>
      <c r="F45" s="249"/>
      <c r="G45" s="249"/>
      <c r="H45" s="249"/>
      <c r="I45" s="249"/>
      <c r="J45" s="249"/>
      <c r="K45" s="249"/>
      <c r="L45" s="249"/>
      <c r="M45" s="249"/>
      <c r="N45" s="249"/>
      <c r="O45" s="249"/>
      <c r="P45" s="249"/>
      <c r="Q45" s="249"/>
      <c r="R45" s="250"/>
    </row>
    <row r="46" spans="2:27" ht="21.75" customHeight="1" thickBot="1" x14ac:dyDescent="0.3">
      <c r="B46" s="251"/>
      <c r="C46" s="252"/>
      <c r="D46" s="252"/>
      <c r="E46" s="252"/>
      <c r="F46" s="252"/>
      <c r="G46" s="252"/>
      <c r="H46" s="252"/>
      <c r="I46" s="252"/>
      <c r="J46" s="252"/>
      <c r="K46" s="252"/>
      <c r="L46" s="252"/>
      <c r="M46" s="252"/>
      <c r="N46" s="252"/>
      <c r="O46" s="252"/>
      <c r="P46" s="252"/>
      <c r="Q46" s="252"/>
      <c r="R46" s="253"/>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4" t="s">
        <v>231</v>
      </c>
      <c r="D3" s="254"/>
      <c r="E3" s="254"/>
      <c r="F3" s="254"/>
      <c r="G3" s="254"/>
      <c r="H3" s="254"/>
      <c r="I3" s="254"/>
      <c r="J3" s="254"/>
      <c r="K3" s="254"/>
      <c r="L3" s="254"/>
      <c r="M3" s="254"/>
      <c r="N3" s="254"/>
      <c r="O3" s="254"/>
      <c r="P3" s="254"/>
      <c r="Q3" s="254"/>
      <c r="R3" s="254"/>
      <c r="S3" s="254"/>
      <c r="T3" s="23"/>
      <c r="V3" s="43"/>
      <c r="W3" s="43"/>
      <c r="X3" s="43"/>
      <c r="Y3" s="43"/>
      <c r="Z3" s="43"/>
      <c r="AA3" s="43"/>
    </row>
    <row r="4" spans="1:27" ht="15.75" customHeight="1" x14ac:dyDescent="0.25">
      <c r="B4" s="91"/>
      <c r="C4" s="78" t="s">
        <v>303</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304</v>
      </c>
      <c r="D5" s="256" t="s">
        <v>284</v>
      </c>
      <c r="E5" s="256"/>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1" t="s">
        <v>33</v>
      </c>
      <c r="D8" s="222" t="s">
        <v>3</v>
      </c>
      <c r="E8" s="232">
        <v>9.3028E-2</v>
      </c>
      <c r="F8" s="30"/>
      <c r="G8" s="30"/>
      <c r="H8" s="30"/>
      <c r="I8" s="30"/>
      <c r="J8" s="30"/>
      <c r="K8" s="30"/>
      <c r="L8" s="30"/>
      <c r="M8" s="30"/>
      <c r="N8" s="30"/>
      <c r="O8" s="30"/>
      <c r="P8" s="30"/>
      <c r="Q8" s="30"/>
      <c r="R8" s="30"/>
      <c r="S8" s="30"/>
      <c r="T8" s="23"/>
      <c r="V8" s="175"/>
      <c r="W8" s="70" t="s">
        <v>3</v>
      </c>
      <c r="X8" s="72">
        <v>0.23650099999999999</v>
      </c>
      <c r="Y8" s="175"/>
      <c r="Z8" s="43"/>
      <c r="AA8" s="43"/>
    </row>
    <row r="9" spans="1:27" ht="15.75" customHeight="1" x14ac:dyDescent="0.25">
      <c r="B9" s="91"/>
      <c r="C9" s="211" t="s">
        <v>29</v>
      </c>
      <c r="D9" s="224" t="s">
        <v>3</v>
      </c>
      <c r="E9" s="233">
        <v>7.5971999999999998E-2</v>
      </c>
      <c r="F9" s="30"/>
      <c r="G9" s="30"/>
      <c r="H9" s="30"/>
      <c r="I9" s="30"/>
      <c r="J9" s="30"/>
      <c r="K9" s="30"/>
      <c r="L9" s="30"/>
      <c r="M9" s="30"/>
      <c r="N9" s="30"/>
      <c r="O9" s="30"/>
      <c r="P9" s="30"/>
      <c r="Q9" s="30"/>
      <c r="R9" s="30"/>
      <c r="S9" s="30"/>
      <c r="T9" s="23"/>
      <c r="V9" s="175"/>
      <c r="W9" s="70" t="s">
        <v>135</v>
      </c>
      <c r="X9" s="72">
        <v>0.10066800000000001</v>
      </c>
      <c r="Y9" s="175"/>
      <c r="Z9" s="43"/>
      <c r="AA9" s="43"/>
    </row>
    <row r="10" spans="1:27" ht="15" customHeight="1" x14ac:dyDescent="0.25">
      <c r="B10" s="91"/>
      <c r="C10" s="211" t="s">
        <v>28</v>
      </c>
      <c r="D10" s="224" t="s">
        <v>135</v>
      </c>
      <c r="E10" s="233">
        <v>6.4004000000000005E-2</v>
      </c>
      <c r="F10" s="30"/>
      <c r="G10" s="30"/>
      <c r="H10" s="30"/>
      <c r="I10" s="30"/>
      <c r="J10" s="30"/>
      <c r="K10" s="30"/>
      <c r="L10" s="30"/>
      <c r="M10" s="30"/>
      <c r="N10" s="30"/>
      <c r="O10" s="30"/>
      <c r="P10" s="30"/>
      <c r="Q10" s="30"/>
      <c r="R10" s="30"/>
      <c r="S10" s="30"/>
      <c r="T10" s="23"/>
      <c r="V10" s="175"/>
      <c r="W10" s="70" t="s">
        <v>138</v>
      </c>
      <c r="X10" s="72">
        <v>7.882900000000001E-2</v>
      </c>
      <c r="Y10" s="175"/>
      <c r="Z10" s="43"/>
      <c r="AA10" s="43"/>
    </row>
    <row r="11" spans="1:27" ht="15" customHeight="1" x14ac:dyDescent="0.25">
      <c r="B11" s="91"/>
      <c r="C11" s="211" t="s">
        <v>95</v>
      </c>
      <c r="D11" s="224" t="s">
        <v>4</v>
      </c>
      <c r="E11" s="233">
        <v>4.9516999999999999E-2</v>
      </c>
      <c r="F11" s="30"/>
      <c r="G11" s="30"/>
      <c r="H11" s="30"/>
      <c r="I11" s="30"/>
      <c r="J11" s="30"/>
      <c r="K11" s="30"/>
      <c r="L11" s="30"/>
      <c r="M11" s="30"/>
      <c r="N11" s="30"/>
      <c r="O11" s="30"/>
      <c r="P11" s="30"/>
      <c r="Q11" s="30"/>
      <c r="R11" s="30"/>
      <c r="S11" s="30"/>
      <c r="T11" s="23"/>
      <c r="V11" s="175"/>
      <c r="W11" s="70" t="s">
        <v>4</v>
      </c>
      <c r="X11" s="72">
        <v>7.1084999999999995E-2</v>
      </c>
      <c r="Y11" s="175"/>
      <c r="Z11" s="43"/>
      <c r="AA11" s="43"/>
    </row>
    <row r="12" spans="1:27" ht="15" customHeight="1" x14ac:dyDescent="0.25">
      <c r="B12" s="91"/>
      <c r="C12" s="211" t="s">
        <v>67</v>
      </c>
      <c r="D12" s="224" t="s">
        <v>97</v>
      </c>
      <c r="E12" s="233">
        <v>3.7877000000000001E-2</v>
      </c>
      <c r="F12" s="30"/>
      <c r="G12" s="30"/>
      <c r="H12" s="30"/>
      <c r="I12" s="30"/>
      <c r="J12" s="30"/>
      <c r="K12" s="30"/>
      <c r="L12" s="30"/>
      <c r="M12" s="30"/>
      <c r="N12" s="30"/>
      <c r="O12" s="30"/>
      <c r="P12" s="30"/>
      <c r="Q12" s="30"/>
      <c r="R12" s="30"/>
      <c r="S12" s="30"/>
      <c r="T12" s="23"/>
      <c r="V12" s="175"/>
      <c r="W12" s="70" t="s">
        <v>24</v>
      </c>
      <c r="X12" s="72">
        <v>6.6958999999999991E-2</v>
      </c>
      <c r="Y12" s="175"/>
      <c r="Z12" s="43"/>
      <c r="AA12" s="43"/>
    </row>
    <row r="13" spans="1:27" ht="15" customHeight="1" x14ac:dyDescent="0.25">
      <c r="B13" s="91"/>
      <c r="C13" s="211" t="s">
        <v>37</v>
      </c>
      <c r="D13" s="224" t="s">
        <v>3</v>
      </c>
      <c r="E13" s="233">
        <v>3.6575999999999997E-2</v>
      </c>
      <c r="F13" s="30"/>
      <c r="G13" s="30"/>
      <c r="H13" s="30"/>
      <c r="I13" s="30"/>
      <c r="J13" s="30"/>
      <c r="K13" s="30"/>
      <c r="L13" s="30"/>
      <c r="M13" s="30"/>
      <c r="N13" s="30"/>
      <c r="O13" s="30"/>
      <c r="P13" s="30"/>
      <c r="Q13" s="30"/>
      <c r="R13" s="30"/>
      <c r="S13" s="30"/>
      <c r="T13" s="23"/>
      <c r="V13" s="175"/>
      <c r="W13" s="70" t="s">
        <v>141</v>
      </c>
      <c r="X13" s="72">
        <v>6.5107999999999999E-2</v>
      </c>
      <c r="Y13" s="175"/>
      <c r="Z13" s="43"/>
      <c r="AA13" s="43"/>
    </row>
    <row r="14" spans="1:27" ht="15" customHeight="1" x14ac:dyDescent="0.25">
      <c r="B14" s="91"/>
      <c r="C14" s="211" t="s">
        <v>170</v>
      </c>
      <c r="D14" s="224" t="s">
        <v>138</v>
      </c>
      <c r="E14" s="233">
        <v>3.1806000000000001E-2</v>
      </c>
      <c r="F14" s="30"/>
      <c r="G14" s="30"/>
      <c r="H14" s="30"/>
      <c r="I14" s="30"/>
      <c r="J14" s="30"/>
      <c r="K14" s="30"/>
      <c r="L14" s="30"/>
      <c r="M14" s="30"/>
      <c r="N14" s="30"/>
      <c r="O14" s="30"/>
      <c r="P14" s="30"/>
      <c r="Q14" s="30"/>
      <c r="R14" s="30"/>
      <c r="S14" s="30"/>
      <c r="T14" s="23"/>
      <c r="V14" s="175"/>
      <c r="W14" s="70" t="s">
        <v>97</v>
      </c>
      <c r="X14" s="72">
        <v>4.5711000000000002E-2</v>
      </c>
      <c r="Y14" s="175"/>
      <c r="Z14" s="43"/>
      <c r="AA14" s="43"/>
    </row>
    <row r="15" spans="1:27" ht="15.75" customHeight="1" x14ac:dyDescent="0.25">
      <c r="B15" s="91"/>
      <c r="C15" s="211" t="s">
        <v>93</v>
      </c>
      <c r="D15" s="224" t="s">
        <v>3</v>
      </c>
      <c r="E15" s="233">
        <v>3.0925000000000001E-2</v>
      </c>
      <c r="F15" s="30"/>
      <c r="G15" s="30"/>
      <c r="H15" s="30"/>
      <c r="I15" s="30"/>
      <c r="J15" s="30"/>
      <c r="K15" s="30"/>
      <c r="L15" s="30"/>
      <c r="M15" s="30"/>
      <c r="N15" s="30"/>
      <c r="O15" s="30"/>
      <c r="P15" s="30"/>
      <c r="Q15" s="30"/>
      <c r="R15" s="30"/>
      <c r="S15" s="30"/>
      <c r="T15" s="23"/>
      <c r="V15" s="175"/>
      <c r="W15" s="70" t="s">
        <v>26</v>
      </c>
      <c r="X15" s="72">
        <v>3.5333000000000003E-2</v>
      </c>
      <c r="Y15" s="175"/>
      <c r="Z15" s="43"/>
      <c r="AA15" s="43"/>
    </row>
    <row r="16" spans="1:27" ht="15" customHeight="1" x14ac:dyDescent="0.25">
      <c r="B16" s="91"/>
      <c r="C16" s="211" t="s">
        <v>76</v>
      </c>
      <c r="D16" s="224" t="s">
        <v>12</v>
      </c>
      <c r="E16" s="233">
        <v>3.0057E-2</v>
      </c>
      <c r="F16" s="30"/>
      <c r="G16" s="30"/>
      <c r="H16" s="30"/>
      <c r="I16" s="30"/>
      <c r="J16" s="30"/>
      <c r="K16" s="30"/>
      <c r="L16" s="30"/>
      <c r="M16" s="30"/>
      <c r="N16" s="30"/>
      <c r="O16" s="30"/>
      <c r="P16" s="30"/>
      <c r="Q16" s="30"/>
      <c r="R16" s="30"/>
      <c r="S16" s="30"/>
      <c r="T16" s="23"/>
      <c r="V16" s="175"/>
      <c r="W16" s="70" t="s">
        <v>145</v>
      </c>
      <c r="X16" s="72">
        <v>3.4166000000000002E-2</v>
      </c>
      <c r="Y16" s="175"/>
      <c r="Z16" s="43"/>
      <c r="AA16" s="43"/>
    </row>
    <row r="17" spans="2:27" ht="15.75" customHeight="1" x14ac:dyDescent="0.25">
      <c r="B17" s="91"/>
      <c r="C17" s="211" t="s">
        <v>94</v>
      </c>
      <c r="D17" s="224" t="s">
        <v>141</v>
      </c>
      <c r="E17" s="233">
        <v>2.9898000000000001E-2</v>
      </c>
      <c r="F17" s="30"/>
      <c r="G17" s="30"/>
      <c r="H17" s="30"/>
      <c r="I17" s="30"/>
      <c r="J17" s="30"/>
      <c r="K17" s="30"/>
      <c r="L17" s="30"/>
      <c r="M17" s="30"/>
      <c r="N17" s="30"/>
      <c r="O17" s="30"/>
      <c r="P17" s="30"/>
      <c r="Q17" s="30"/>
      <c r="R17" s="30"/>
      <c r="S17" s="30"/>
      <c r="T17" s="23"/>
      <c r="V17" s="175"/>
      <c r="W17" s="70" t="s">
        <v>12</v>
      </c>
      <c r="X17" s="72">
        <v>3.0057E-2</v>
      </c>
      <c r="Y17" s="175"/>
      <c r="Z17" s="43"/>
      <c r="AA17" s="43"/>
    </row>
    <row r="18" spans="2:27" ht="15.75" x14ac:dyDescent="0.25">
      <c r="B18" s="91"/>
      <c r="C18" s="211" t="s">
        <v>35</v>
      </c>
      <c r="D18" s="224" t="s">
        <v>23</v>
      </c>
      <c r="E18" s="233">
        <v>2.9484E-2</v>
      </c>
      <c r="F18" s="30"/>
      <c r="G18" s="30"/>
      <c r="H18" s="30"/>
      <c r="I18" s="30"/>
      <c r="J18" s="30"/>
      <c r="K18" s="30"/>
      <c r="L18" s="30"/>
      <c r="M18" s="30"/>
      <c r="N18" s="30"/>
      <c r="O18" s="30"/>
      <c r="P18" s="30"/>
      <c r="Q18" s="30"/>
      <c r="R18" s="30"/>
      <c r="S18" s="30"/>
      <c r="T18" s="23"/>
      <c r="V18" s="175"/>
      <c r="W18" s="70" t="s">
        <v>23</v>
      </c>
      <c r="X18" s="72">
        <v>2.9484E-2</v>
      </c>
      <c r="Y18" s="175"/>
      <c r="Z18" s="43"/>
      <c r="AA18" s="43"/>
    </row>
    <row r="19" spans="2:27" ht="15.75" customHeight="1" x14ac:dyDescent="0.25">
      <c r="B19" s="91"/>
      <c r="C19" s="211" t="s">
        <v>149</v>
      </c>
      <c r="D19" s="224" t="s">
        <v>141</v>
      </c>
      <c r="E19" s="233">
        <v>2.8924999999999999E-2</v>
      </c>
      <c r="F19" s="30"/>
      <c r="G19" s="30"/>
      <c r="H19" s="30"/>
      <c r="I19" s="30"/>
      <c r="J19" s="30"/>
      <c r="K19" s="30"/>
      <c r="L19" s="30"/>
      <c r="M19" s="30"/>
      <c r="N19" s="30"/>
      <c r="O19" s="30"/>
      <c r="P19" s="30"/>
      <c r="Q19" s="30"/>
      <c r="R19" s="30"/>
      <c r="S19" s="30"/>
      <c r="T19" s="23"/>
      <c r="V19" s="175"/>
      <c r="W19" s="70" t="s">
        <v>16</v>
      </c>
      <c r="X19" s="72">
        <v>2.6047000000000001E-2</v>
      </c>
      <c r="Y19" s="175"/>
      <c r="Z19" s="43"/>
      <c r="AA19" s="43"/>
    </row>
    <row r="20" spans="2:27" ht="15" customHeight="1" x14ac:dyDescent="0.25">
      <c r="B20" s="91"/>
      <c r="C20" s="211" t="s">
        <v>172</v>
      </c>
      <c r="D20" s="224" t="s">
        <v>16</v>
      </c>
      <c r="E20" s="233">
        <v>2.6047000000000001E-2</v>
      </c>
      <c r="F20" s="30"/>
      <c r="G20" s="30"/>
      <c r="H20" s="30"/>
      <c r="I20" s="30"/>
      <c r="J20" s="30"/>
      <c r="K20" s="30"/>
      <c r="L20" s="30"/>
      <c r="M20" s="30"/>
      <c r="N20" s="30"/>
      <c r="O20" s="30"/>
      <c r="P20" s="30"/>
      <c r="Q20" s="30"/>
      <c r="R20" s="30"/>
      <c r="S20" s="30"/>
      <c r="T20" s="23"/>
      <c r="V20" s="175"/>
      <c r="W20" s="70" t="s">
        <v>101</v>
      </c>
      <c r="X20" s="72">
        <v>1.7516E-2</v>
      </c>
      <c r="Y20" s="175"/>
      <c r="Z20" s="43"/>
      <c r="AA20" s="43"/>
    </row>
    <row r="21" spans="2:27" ht="15" customHeight="1" x14ac:dyDescent="0.25">
      <c r="B21" s="91"/>
      <c r="C21" s="211" t="s">
        <v>103</v>
      </c>
      <c r="D21" s="224" t="s">
        <v>26</v>
      </c>
      <c r="E21" s="233">
        <v>2.418E-2</v>
      </c>
      <c r="F21" s="30"/>
      <c r="G21" s="30"/>
      <c r="H21" s="30"/>
      <c r="I21" s="30"/>
      <c r="J21" s="30"/>
      <c r="K21" s="30"/>
      <c r="L21" s="30"/>
      <c r="M21" s="30"/>
      <c r="N21" s="30"/>
      <c r="O21" s="30"/>
      <c r="P21" s="30"/>
      <c r="Q21" s="30"/>
      <c r="R21" s="30"/>
      <c r="S21" s="30"/>
      <c r="T21" s="23"/>
      <c r="V21" s="175"/>
      <c r="W21" s="70" t="s">
        <v>153</v>
      </c>
      <c r="X21" s="72">
        <v>1.7219000000000002E-2</v>
      </c>
      <c r="Y21" s="175"/>
      <c r="Z21" s="43"/>
      <c r="AA21" s="43"/>
    </row>
    <row r="22" spans="2:27" ht="15" customHeight="1" x14ac:dyDescent="0.25">
      <c r="B22" s="91"/>
      <c r="C22" s="211" t="s">
        <v>169</v>
      </c>
      <c r="D22" s="224" t="s">
        <v>138</v>
      </c>
      <c r="E22" s="233">
        <v>2.4145E-2</v>
      </c>
      <c r="F22" s="30"/>
      <c r="G22" s="30"/>
      <c r="H22" s="30"/>
      <c r="I22" s="30"/>
      <c r="J22" s="30"/>
      <c r="K22" s="30"/>
      <c r="L22" s="30"/>
      <c r="M22" s="30"/>
      <c r="N22" s="30"/>
      <c r="O22" s="30"/>
      <c r="P22" s="30"/>
      <c r="Q22" s="30"/>
      <c r="R22" s="30"/>
      <c r="S22" s="30"/>
      <c r="T22" s="23"/>
      <c r="V22" s="175"/>
      <c r="W22" s="70" t="s">
        <v>146</v>
      </c>
      <c r="X22" s="72">
        <v>1.61E-2</v>
      </c>
      <c r="Y22" s="175"/>
      <c r="Z22" s="43"/>
      <c r="AA22" s="43"/>
    </row>
    <row r="23" spans="2:27" ht="15" customHeight="1" x14ac:dyDescent="0.25">
      <c r="B23" s="91"/>
      <c r="C23" s="83"/>
      <c r="D23" s="83"/>
      <c r="E23" s="170"/>
      <c r="F23" s="30"/>
      <c r="G23" s="30"/>
      <c r="H23" s="30"/>
      <c r="I23" s="30"/>
      <c r="J23" s="30"/>
      <c r="K23" s="30"/>
      <c r="L23" s="30"/>
      <c r="M23" s="30"/>
      <c r="N23" s="30"/>
      <c r="O23" s="30"/>
      <c r="P23" s="30"/>
      <c r="Q23" s="30"/>
      <c r="R23" s="30"/>
      <c r="S23" s="30"/>
      <c r="T23" s="23"/>
      <c r="V23" s="175"/>
      <c r="W23" s="70" t="s">
        <v>134</v>
      </c>
      <c r="X23" s="72">
        <v>1.3938000000000001E-2</v>
      </c>
      <c r="Y23" s="175"/>
      <c r="Z23" s="43"/>
      <c r="AA23" s="43"/>
    </row>
    <row r="24" spans="2:27" ht="15" customHeight="1" x14ac:dyDescent="0.25">
      <c r="B24" s="91"/>
      <c r="C24" s="85" t="s">
        <v>56</v>
      </c>
      <c r="D24" s="86"/>
      <c r="E24" s="87">
        <f>SUM(E8:E22)</f>
        <v>0.6124409999999999</v>
      </c>
      <c r="F24" s="30"/>
      <c r="G24" s="30"/>
      <c r="H24" s="30"/>
      <c r="I24" s="30"/>
      <c r="J24" s="30"/>
      <c r="K24" s="30"/>
      <c r="L24" s="30"/>
      <c r="M24" s="30"/>
      <c r="N24" s="30"/>
      <c r="O24" s="30"/>
      <c r="P24" s="30"/>
      <c r="Q24" s="30"/>
      <c r="R24" s="30"/>
      <c r="S24" s="30"/>
      <c r="T24" s="23"/>
      <c r="V24" s="175"/>
      <c r="W24" s="70" t="s">
        <v>98</v>
      </c>
      <c r="X24" s="72">
        <v>1.3582E-2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154</v>
      </c>
      <c r="X25" s="72">
        <v>1.124E-2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151</v>
      </c>
      <c r="X26" s="72">
        <v>1.009E-2</v>
      </c>
      <c r="Y26" s="175"/>
      <c r="Z26" s="43"/>
      <c r="AA26" s="43"/>
    </row>
    <row r="27" spans="2:27" ht="15" customHeight="1" x14ac:dyDescent="0.25">
      <c r="B27" s="91"/>
      <c r="D27" s="177"/>
      <c r="F27" s="30"/>
      <c r="G27" s="30"/>
      <c r="H27" s="30"/>
      <c r="I27" s="30"/>
      <c r="J27" s="30"/>
      <c r="K27" s="30"/>
      <c r="L27" s="30"/>
      <c r="M27" s="30"/>
      <c r="N27" s="30"/>
      <c r="O27" s="30"/>
      <c r="P27" s="30"/>
      <c r="Q27" s="30"/>
      <c r="R27" s="30"/>
      <c r="S27" s="30"/>
      <c r="T27" s="23"/>
      <c r="V27" s="175"/>
      <c r="W27" s="70" t="s">
        <v>89</v>
      </c>
      <c r="X27" s="72">
        <v>1.0071999999999999E-2</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140</v>
      </c>
      <c r="X28" s="72">
        <v>6.7499999999999999E-3</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70" t="s">
        <v>155</v>
      </c>
      <c r="X29" s="72">
        <v>5.6950000000000004E-3</v>
      </c>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t="s">
        <v>136</v>
      </c>
      <c r="X30" s="71">
        <v>2.5850000000000001E-3</v>
      </c>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70" t="s">
        <v>148</v>
      </c>
      <c r="X31" s="71">
        <v>2.3999999999999998E-3</v>
      </c>
      <c r="Y31" s="175"/>
      <c r="Z31" s="43"/>
      <c r="AA31" s="43"/>
    </row>
    <row r="32" spans="2:27" ht="15" customHeight="1" thickBot="1" x14ac:dyDescent="0.3">
      <c r="B32" s="92"/>
      <c r="C32" s="93"/>
      <c r="D32" s="93"/>
      <c r="E32" s="93"/>
      <c r="F32" s="93"/>
      <c r="G32" s="93"/>
      <c r="H32" s="93"/>
      <c r="I32" s="93"/>
      <c r="J32" s="93"/>
      <c r="K32" s="93"/>
      <c r="L32" s="93"/>
      <c r="M32" s="93"/>
      <c r="N32" s="93"/>
      <c r="O32" s="93"/>
      <c r="P32" s="93"/>
      <c r="Q32" s="93"/>
      <c r="R32" s="93"/>
      <c r="S32" s="93"/>
      <c r="T32" s="24"/>
      <c r="W32" s="20" t="s">
        <v>142</v>
      </c>
      <c r="X32" s="71">
        <v>7.2900000000000005E-4</v>
      </c>
    </row>
    <row r="33" spans="2:18" ht="15" customHeight="1" thickBot="1" x14ac:dyDescent="0.3"/>
    <row r="34" spans="2:18" ht="15" customHeight="1" x14ac:dyDescent="0.25">
      <c r="B34" s="245" t="s">
        <v>265</v>
      </c>
      <c r="C34" s="246"/>
      <c r="D34" s="246"/>
      <c r="E34" s="246"/>
      <c r="F34" s="246"/>
      <c r="G34" s="246"/>
      <c r="H34" s="246"/>
      <c r="I34" s="246"/>
      <c r="J34" s="246"/>
      <c r="K34" s="246"/>
      <c r="L34" s="246"/>
      <c r="M34" s="246"/>
      <c r="N34" s="246"/>
      <c r="O34" s="246"/>
      <c r="P34" s="246"/>
      <c r="Q34" s="246"/>
      <c r="R34" s="247"/>
    </row>
    <row r="35" spans="2:18" ht="15" customHeight="1" x14ac:dyDescent="0.25">
      <c r="B35" s="248"/>
      <c r="C35" s="249"/>
      <c r="D35" s="249"/>
      <c r="E35" s="249"/>
      <c r="F35" s="249"/>
      <c r="G35" s="249"/>
      <c r="H35" s="249"/>
      <c r="I35" s="249"/>
      <c r="J35" s="249"/>
      <c r="K35" s="249"/>
      <c r="L35" s="249"/>
      <c r="M35" s="249"/>
      <c r="N35" s="249"/>
      <c r="O35" s="249"/>
      <c r="P35" s="249"/>
      <c r="Q35" s="249"/>
      <c r="R35" s="250"/>
    </row>
    <row r="36" spans="2:18" ht="15" customHeight="1" x14ac:dyDescent="0.25">
      <c r="B36" s="248"/>
      <c r="C36" s="249"/>
      <c r="D36" s="249"/>
      <c r="E36" s="249"/>
      <c r="F36" s="249"/>
      <c r="G36" s="249"/>
      <c r="H36" s="249"/>
      <c r="I36" s="249"/>
      <c r="J36" s="249"/>
      <c r="K36" s="249"/>
      <c r="L36" s="249"/>
      <c r="M36" s="249"/>
      <c r="N36" s="249"/>
      <c r="O36" s="249"/>
      <c r="P36" s="249"/>
      <c r="Q36" s="249"/>
      <c r="R36" s="250"/>
    </row>
    <row r="37" spans="2:18" ht="15" customHeight="1" x14ac:dyDescent="0.25">
      <c r="B37" s="248"/>
      <c r="C37" s="249"/>
      <c r="D37" s="249"/>
      <c r="E37" s="249"/>
      <c r="F37" s="249"/>
      <c r="G37" s="249"/>
      <c r="H37" s="249"/>
      <c r="I37" s="249"/>
      <c r="J37" s="249"/>
      <c r="K37" s="249"/>
      <c r="L37" s="249"/>
      <c r="M37" s="249"/>
      <c r="N37" s="249"/>
      <c r="O37" s="249"/>
      <c r="P37" s="249"/>
      <c r="Q37" s="249"/>
      <c r="R37" s="250"/>
    </row>
    <row r="38" spans="2:18" ht="15" customHeight="1" x14ac:dyDescent="0.25">
      <c r="B38" s="248"/>
      <c r="C38" s="249"/>
      <c r="D38" s="249"/>
      <c r="E38" s="249"/>
      <c r="F38" s="249"/>
      <c r="G38" s="249"/>
      <c r="H38" s="249"/>
      <c r="I38" s="249"/>
      <c r="J38" s="249"/>
      <c r="K38" s="249"/>
      <c r="L38" s="249"/>
      <c r="M38" s="249"/>
      <c r="N38" s="249"/>
      <c r="O38" s="249"/>
      <c r="P38" s="249"/>
      <c r="Q38" s="249"/>
      <c r="R38" s="250"/>
    </row>
    <row r="39" spans="2:18" ht="15" customHeight="1" x14ac:dyDescent="0.25">
      <c r="B39" s="248"/>
      <c r="C39" s="249"/>
      <c r="D39" s="249"/>
      <c r="E39" s="249"/>
      <c r="F39" s="249"/>
      <c r="G39" s="249"/>
      <c r="H39" s="249"/>
      <c r="I39" s="249"/>
      <c r="J39" s="249"/>
      <c r="K39" s="249"/>
      <c r="L39" s="249"/>
      <c r="M39" s="249"/>
      <c r="N39" s="249"/>
      <c r="O39" s="249"/>
      <c r="P39" s="249"/>
      <c r="Q39" s="249"/>
      <c r="R39" s="250"/>
    </row>
    <row r="40" spans="2:18" ht="21.75" customHeight="1" thickBot="1" x14ac:dyDescent="0.3">
      <c r="B40" s="251"/>
      <c r="C40" s="252"/>
      <c r="D40" s="252"/>
      <c r="E40" s="252"/>
      <c r="F40" s="252"/>
      <c r="G40" s="252"/>
      <c r="H40" s="252"/>
      <c r="I40" s="252"/>
      <c r="J40" s="252"/>
      <c r="K40" s="252"/>
      <c r="L40" s="252"/>
      <c r="M40" s="252"/>
      <c r="N40" s="252"/>
      <c r="O40" s="252"/>
      <c r="P40" s="252"/>
      <c r="Q40" s="252"/>
      <c r="R40" s="253"/>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0.42578125" style="20" bestFit="1" customWidth="1"/>
    <col min="6" max="18" width="9.140625" style="20"/>
    <col min="19" max="19" width="9.85546875" style="20" customWidth="1"/>
    <col min="20" max="20" width="9.140625" style="20"/>
    <col min="21" max="21" width="9.140625" style="42"/>
    <col min="22" max="22" width="11" style="42" customWidth="1"/>
    <col min="23" max="23" width="46.42578125" style="42" bestFit="1" customWidth="1"/>
    <col min="24" max="25" width="9.140625" style="42"/>
    <col min="26"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4" t="s">
        <v>230</v>
      </c>
      <c r="D3" s="255"/>
      <c r="E3" s="255"/>
      <c r="F3" s="255"/>
      <c r="G3" s="255"/>
      <c r="H3" s="255"/>
      <c r="I3" s="255"/>
      <c r="J3" s="255"/>
      <c r="K3" s="255"/>
      <c r="L3" s="255"/>
      <c r="M3" s="255"/>
      <c r="N3" s="255"/>
      <c r="O3" s="255"/>
      <c r="P3" s="255"/>
      <c r="Q3" s="255"/>
      <c r="R3" s="255"/>
      <c r="S3" s="255"/>
      <c r="T3" s="23"/>
    </row>
    <row r="4" spans="1:24" ht="15.75" customHeight="1" x14ac:dyDescent="0.25">
      <c r="B4" s="91"/>
      <c r="C4" s="78" t="s">
        <v>303</v>
      </c>
      <c r="D4" s="30"/>
      <c r="E4" s="30"/>
      <c r="F4" s="30"/>
      <c r="G4" s="30"/>
      <c r="H4" s="30"/>
      <c r="I4" s="30"/>
      <c r="J4" s="30"/>
      <c r="K4" s="30"/>
      <c r="L4" s="30"/>
      <c r="M4" s="30"/>
      <c r="N4" s="30"/>
      <c r="O4" s="30"/>
      <c r="P4" s="30"/>
      <c r="Q4" s="30"/>
      <c r="R4" s="30"/>
      <c r="S4" s="30"/>
      <c r="T4" s="23"/>
    </row>
    <row r="5" spans="1:24" ht="18" customHeight="1" x14ac:dyDescent="0.25">
      <c r="B5" s="91"/>
      <c r="C5" s="79" t="s">
        <v>304</v>
      </c>
      <c r="D5" s="256" t="s">
        <v>285</v>
      </c>
      <c r="E5" s="256"/>
      <c r="F5" s="30"/>
      <c r="G5" s="173"/>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172" t="s">
        <v>2</v>
      </c>
    </row>
    <row r="8" spans="1:24" ht="15" customHeight="1" x14ac:dyDescent="0.25">
      <c r="B8" s="91"/>
      <c r="C8" s="221" t="s">
        <v>87</v>
      </c>
      <c r="D8" s="222" t="s">
        <v>134</v>
      </c>
      <c r="E8" s="223">
        <v>3.0203000000000001E-2</v>
      </c>
      <c r="F8" s="30"/>
      <c r="G8" s="30"/>
      <c r="H8" s="30"/>
      <c r="I8" s="30"/>
      <c r="J8" s="30"/>
      <c r="K8" s="30"/>
      <c r="L8" s="30"/>
      <c r="M8" s="30"/>
      <c r="N8" s="30"/>
      <c r="O8" s="30"/>
      <c r="P8" s="30"/>
      <c r="Q8" s="30"/>
      <c r="R8" s="30"/>
      <c r="S8" s="30"/>
      <c r="T8" s="23"/>
      <c r="W8" s="70" t="s">
        <v>24</v>
      </c>
      <c r="X8" s="72">
        <v>9.1592000000000007E-2</v>
      </c>
    </row>
    <row r="9" spans="1:24" ht="15.75" customHeight="1" x14ac:dyDescent="0.25">
      <c r="B9" s="91"/>
      <c r="C9" s="211" t="s">
        <v>188</v>
      </c>
      <c r="D9" s="224" t="s">
        <v>98</v>
      </c>
      <c r="E9" s="225">
        <v>2.4464E-2</v>
      </c>
      <c r="F9" s="30"/>
      <c r="G9" s="30"/>
      <c r="H9" s="30"/>
      <c r="I9" s="30"/>
      <c r="J9" s="30"/>
      <c r="K9" s="30"/>
      <c r="L9" s="30"/>
      <c r="M9" s="30"/>
      <c r="N9" s="30"/>
      <c r="O9" s="30"/>
      <c r="P9" s="30"/>
      <c r="Q9" s="30"/>
      <c r="R9" s="30"/>
      <c r="S9" s="30"/>
      <c r="T9" s="23"/>
      <c r="W9" s="70" t="s">
        <v>16</v>
      </c>
      <c r="X9" s="72">
        <v>9.0438999999999992E-2</v>
      </c>
    </row>
    <row r="10" spans="1:24" ht="15" customHeight="1" x14ac:dyDescent="0.25">
      <c r="B10" s="91"/>
      <c r="C10" s="211" t="s">
        <v>91</v>
      </c>
      <c r="D10" s="224" t="s">
        <v>24</v>
      </c>
      <c r="E10" s="225">
        <v>2.2959E-2</v>
      </c>
      <c r="F10" s="30"/>
      <c r="G10" s="30"/>
      <c r="H10" s="30"/>
      <c r="I10" s="30"/>
      <c r="J10" s="30"/>
      <c r="K10" s="30"/>
      <c r="L10" s="30"/>
      <c r="M10" s="30"/>
      <c r="N10" s="30"/>
      <c r="O10" s="30"/>
      <c r="P10" s="30"/>
      <c r="Q10" s="30"/>
      <c r="R10" s="30"/>
      <c r="S10" s="30"/>
      <c r="T10" s="23"/>
      <c r="W10" s="70" t="s">
        <v>138</v>
      </c>
      <c r="X10" s="72">
        <v>6.7603999999999997E-2</v>
      </c>
    </row>
    <row r="11" spans="1:24" ht="15" customHeight="1" x14ac:dyDescent="0.25">
      <c r="B11" s="91"/>
      <c r="C11" s="211" t="s">
        <v>113</v>
      </c>
      <c r="D11" s="224" t="s">
        <v>24</v>
      </c>
      <c r="E11" s="225">
        <v>2.2771E-2</v>
      </c>
      <c r="F11" s="30"/>
      <c r="G11" s="30"/>
      <c r="H11" s="30"/>
      <c r="I11" s="30"/>
      <c r="J11" s="30"/>
      <c r="K11" s="30"/>
      <c r="L11" s="30"/>
      <c r="M11" s="30"/>
      <c r="N11" s="30"/>
      <c r="O11" s="30"/>
      <c r="P11" s="30"/>
      <c r="Q11" s="30"/>
      <c r="R11" s="30"/>
      <c r="S11" s="30"/>
      <c r="T11" s="23"/>
      <c r="W11" s="70" t="s">
        <v>4</v>
      </c>
      <c r="X11" s="72">
        <v>5.9996999999999995E-2</v>
      </c>
    </row>
    <row r="12" spans="1:24" ht="15" customHeight="1" x14ac:dyDescent="0.25">
      <c r="B12" s="91"/>
      <c r="C12" s="211" t="s">
        <v>189</v>
      </c>
      <c r="D12" s="224" t="s">
        <v>144</v>
      </c>
      <c r="E12" s="225">
        <v>2.2081E-2</v>
      </c>
      <c r="F12" s="30"/>
      <c r="G12" s="30"/>
      <c r="H12" s="30"/>
      <c r="I12" s="30"/>
      <c r="J12" s="30"/>
      <c r="K12" s="30"/>
      <c r="L12" s="30"/>
      <c r="M12" s="30"/>
      <c r="N12" s="30"/>
      <c r="O12" s="30"/>
      <c r="P12" s="30"/>
      <c r="Q12" s="30"/>
      <c r="R12" s="30"/>
      <c r="S12" s="30"/>
      <c r="T12" s="23"/>
      <c r="W12" s="70" t="s">
        <v>98</v>
      </c>
      <c r="X12" s="72">
        <v>5.1057999999999999E-2</v>
      </c>
    </row>
    <row r="13" spans="1:24" ht="15" customHeight="1" x14ac:dyDescent="0.25">
      <c r="B13" s="91"/>
      <c r="C13" s="211" t="s">
        <v>128</v>
      </c>
      <c r="D13" s="224" t="s">
        <v>16</v>
      </c>
      <c r="E13" s="225">
        <v>2.1159000000000001E-2</v>
      </c>
      <c r="F13" s="30"/>
      <c r="G13" s="30"/>
      <c r="H13" s="30"/>
      <c r="I13" s="30"/>
      <c r="J13" s="30"/>
      <c r="K13" s="30"/>
      <c r="L13" s="30"/>
      <c r="M13" s="30"/>
      <c r="N13" s="30"/>
      <c r="O13" s="30"/>
      <c r="P13" s="30"/>
      <c r="Q13" s="30"/>
      <c r="R13" s="30"/>
      <c r="S13" s="30"/>
      <c r="T13" s="23"/>
      <c r="W13" s="70" t="s">
        <v>3</v>
      </c>
      <c r="X13" s="72">
        <v>5.0892E-2</v>
      </c>
    </row>
    <row r="14" spans="1:24" ht="15" customHeight="1" x14ac:dyDescent="0.25">
      <c r="B14" s="91"/>
      <c r="C14" s="211" t="s">
        <v>88</v>
      </c>
      <c r="D14" s="224" t="s">
        <v>16</v>
      </c>
      <c r="E14" s="225">
        <v>2.0806000000000002E-2</v>
      </c>
      <c r="F14" s="30"/>
      <c r="G14" s="30"/>
      <c r="H14" s="30"/>
      <c r="I14" s="30"/>
      <c r="J14" s="30"/>
      <c r="K14" s="30"/>
      <c r="L14" s="30"/>
      <c r="M14" s="30"/>
      <c r="N14" s="30"/>
      <c r="O14" s="30"/>
      <c r="P14" s="30"/>
      <c r="Q14" s="30"/>
      <c r="R14" s="30"/>
      <c r="S14" s="30"/>
      <c r="T14" s="23"/>
      <c r="W14" s="70" t="s">
        <v>99</v>
      </c>
      <c r="X14" s="72">
        <v>4.2359000000000001E-2</v>
      </c>
    </row>
    <row r="15" spans="1:24" ht="15" customHeight="1" x14ac:dyDescent="0.25">
      <c r="B15" s="91"/>
      <c r="C15" s="211" t="s">
        <v>272</v>
      </c>
      <c r="D15" s="224" t="s">
        <v>138</v>
      </c>
      <c r="E15" s="225">
        <v>1.9257E-2</v>
      </c>
      <c r="F15" s="30"/>
      <c r="G15" s="30"/>
      <c r="H15" s="30"/>
      <c r="I15" s="30"/>
      <c r="J15" s="30"/>
      <c r="K15" s="30"/>
      <c r="L15" s="30"/>
      <c r="M15" s="30"/>
      <c r="N15" s="30"/>
      <c r="O15" s="30"/>
      <c r="P15" s="30"/>
      <c r="Q15" s="30"/>
      <c r="R15" s="30"/>
      <c r="S15" s="30"/>
      <c r="T15" s="23"/>
      <c r="W15" s="70" t="s">
        <v>97</v>
      </c>
      <c r="X15" s="72">
        <v>4.2219E-2</v>
      </c>
    </row>
    <row r="16" spans="1:24" ht="15" customHeight="1" x14ac:dyDescent="0.25">
      <c r="B16" s="91"/>
      <c r="C16" s="211" t="s">
        <v>261</v>
      </c>
      <c r="D16" s="224" t="s">
        <v>24</v>
      </c>
      <c r="E16" s="225">
        <v>1.9199999999999998E-2</v>
      </c>
      <c r="F16" s="30"/>
      <c r="G16" s="30"/>
      <c r="H16" s="30"/>
      <c r="I16" s="30"/>
      <c r="J16" s="30"/>
      <c r="K16" s="30"/>
      <c r="L16" s="30"/>
      <c r="M16" s="30"/>
      <c r="N16" s="30"/>
      <c r="O16" s="30"/>
      <c r="P16" s="30"/>
      <c r="Q16" s="30"/>
      <c r="R16" s="30"/>
      <c r="S16" s="30"/>
      <c r="T16" s="23"/>
      <c r="W16" s="70" t="s">
        <v>26</v>
      </c>
      <c r="X16" s="72">
        <v>3.4138000000000002E-2</v>
      </c>
    </row>
    <row r="17" spans="2:24" ht="15" customHeight="1" x14ac:dyDescent="0.25">
      <c r="B17" s="91"/>
      <c r="C17" s="211" t="s">
        <v>64</v>
      </c>
      <c r="D17" s="224" t="s">
        <v>10</v>
      </c>
      <c r="E17" s="225">
        <v>1.8926999999999999E-2</v>
      </c>
      <c r="F17" s="30"/>
      <c r="G17" s="30"/>
      <c r="H17" s="30"/>
      <c r="I17" s="30"/>
      <c r="J17" s="30"/>
      <c r="K17" s="30"/>
      <c r="L17" s="30"/>
      <c r="M17" s="30"/>
      <c r="N17" s="30"/>
      <c r="O17" s="30"/>
      <c r="P17" s="30"/>
      <c r="Q17" s="30"/>
      <c r="R17" s="30"/>
      <c r="S17" s="30"/>
      <c r="T17" s="23"/>
      <c r="W17" s="70" t="s">
        <v>89</v>
      </c>
      <c r="X17" s="72">
        <v>3.1265000000000001E-2</v>
      </c>
    </row>
    <row r="18" spans="2:24" ht="15" customHeight="1" x14ac:dyDescent="0.25">
      <c r="B18" s="91"/>
      <c r="C18" s="211" t="s">
        <v>273</v>
      </c>
      <c r="D18" s="224" t="s">
        <v>16</v>
      </c>
      <c r="E18" s="225">
        <v>1.8644999999999998E-2</v>
      </c>
      <c r="F18" s="30"/>
      <c r="G18" s="30"/>
      <c r="H18" s="30"/>
      <c r="I18" s="30"/>
      <c r="J18" s="30"/>
      <c r="K18" s="30"/>
      <c r="L18" s="30"/>
      <c r="M18" s="30"/>
      <c r="N18" s="30"/>
      <c r="O18" s="30"/>
      <c r="P18" s="30"/>
      <c r="Q18" s="30"/>
      <c r="R18" s="30"/>
      <c r="S18" s="30"/>
      <c r="T18" s="23"/>
      <c r="W18" s="70" t="s">
        <v>135</v>
      </c>
      <c r="X18" s="72">
        <v>3.0721999999999999E-2</v>
      </c>
    </row>
    <row r="19" spans="2:24" ht="15" customHeight="1" x14ac:dyDescent="0.25">
      <c r="B19" s="91"/>
      <c r="C19" s="211" t="s">
        <v>274</v>
      </c>
      <c r="D19" s="224" t="s">
        <v>16</v>
      </c>
      <c r="E19" s="225">
        <v>1.8248E-2</v>
      </c>
      <c r="F19" s="30"/>
      <c r="G19" s="30"/>
      <c r="H19" s="30"/>
      <c r="I19" s="30"/>
      <c r="J19" s="30"/>
      <c r="K19" s="30"/>
      <c r="L19" s="30"/>
      <c r="M19" s="30"/>
      <c r="N19" s="30"/>
      <c r="O19" s="30"/>
      <c r="P19" s="30"/>
      <c r="Q19" s="30"/>
      <c r="R19" s="30"/>
      <c r="S19" s="30"/>
      <c r="T19" s="23"/>
      <c r="W19" s="70" t="s">
        <v>134</v>
      </c>
      <c r="X19" s="72">
        <v>3.0203000000000001E-2</v>
      </c>
    </row>
    <row r="20" spans="2:24" ht="15" customHeight="1" x14ac:dyDescent="0.25">
      <c r="B20" s="91"/>
      <c r="C20" s="211" t="s">
        <v>37</v>
      </c>
      <c r="D20" s="224" t="s">
        <v>3</v>
      </c>
      <c r="E20" s="225">
        <v>1.8213E-2</v>
      </c>
      <c r="F20" s="30"/>
      <c r="G20" s="30"/>
      <c r="H20" s="30"/>
      <c r="I20" s="30"/>
      <c r="J20" s="30"/>
      <c r="K20" s="30"/>
      <c r="L20" s="30"/>
      <c r="M20" s="30"/>
      <c r="N20" s="30"/>
      <c r="O20" s="30"/>
      <c r="P20" s="30"/>
      <c r="Q20" s="30"/>
      <c r="R20" s="30"/>
      <c r="S20" s="30"/>
      <c r="T20" s="23"/>
      <c r="W20" s="70" t="s">
        <v>154</v>
      </c>
      <c r="X20" s="72">
        <v>2.9283E-2</v>
      </c>
    </row>
    <row r="21" spans="2:24" ht="15" customHeight="1" x14ac:dyDescent="0.25">
      <c r="B21" s="91"/>
      <c r="C21" s="211" t="s">
        <v>275</v>
      </c>
      <c r="D21" s="224" t="s">
        <v>156</v>
      </c>
      <c r="E21" s="225">
        <v>1.8120000000000001E-2</v>
      </c>
      <c r="F21" s="30"/>
      <c r="G21" s="30"/>
      <c r="H21" s="30"/>
      <c r="I21" s="30"/>
      <c r="J21" s="30"/>
      <c r="K21" s="30"/>
      <c r="L21" s="30"/>
      <c r="M21" s="30"/>
      <c r="N21" s="30"/>
      <c r="O21" s="30"/>
      <c r="P21" s="30"/>
      <c r="Q21" s="30"/>
      <c r="R21" s="30"/>
      <c r="S21" s="30"/>
      <c r="T21" s="23"/>
      <c r="W21" s="70" t="s">
        <v>145</v>
      </c>
      <c r="X21" s="72">
        <v>2.4964E-2</v>
      </c>
    </row>
    <row r="22" spans="2:24" ht="15" customHeight="1" x14ac:dyDescent="0.25">
      <c r="B22" s="91"/>
      <c r="C22" s="211" t="s">
        <v>29</v>
      </c>
      <c r="D22" s="224" t="s">
        <v>3</v>
      </c>
      <c r="E22" s="225">
        <v>1.8037999999999998E-2</v>
      </c>
      <c r="F22" s="30"/>
      <c r="G22" s="30"/>
      <c r="H22" s="30"/>
      <c r="I22" s="30"/>
      <c r="J22" s="30"/>
      <c r="K22" s="30"/>
      <c r="L22" s="30"/>
      <c r="M22" s="30"/>
      <c r="N22" s="30"/>
      <c r="O22" s="30"/>
      <c r="P22" s="30"/>
      <c r="Q22" s="30"/>
      <c r="R22" s="30"/>
      <c r="S22" s="30"/>
      <c r="T22" s="23"/>
      <c r="W22" s="70" t="s">
        <v>136</v>
      </c>
      <c r="X22" s="72">
        <v>2.2265E-2</v>
      </c>
    </row>
    <row r="23" spans="2:24" ht="15" customHeight="1" x14ac:dyDescent="0.25">
      <c r="B23" s="91"/>
      <c r="C23" s="83"/>
      <c r="D23" s="174"/>
      <c r="E23" s="84"/>
      <c r="F23" s="30"/>
      <c r="G23" s="30"/>
      <c r="H23" s="30"/>
      <c r="I23" s="30"/>
      <c r="J23" s="30"/>
      <c r="K23" s="30"/>
      <c r="L23" s="30"/>
      <c r="M23" s="30"/>
      <c r="N23" s="30"/>
      <c r="O23" s="30"/>
      <c r="P23" s="30"/>
      <c r="Q23" s="30"/>
      <c r="R23" s="30"/>
      <c r="S23" s="30"/>
      <c r="T23" s="23"/>
      <c r="W23" s="70" t="s">
        <v>144</v>
      </c>
      <c r="X23" s="72">
        <v>2.2081E-2</v>
      </c>
    </row>
    <row r="24" spans="2:24" ht="15" customHeight="1" x14ac:dyDescent="0.25">
      <c r="B24" s="91"/>
      <c r="C24" s="85" t="s">
        <v>56</v>
      </c>
      <c r="D24" s="86"/>
      <c r="E24" s="87">
        <f>SUM(E8:E22)</f>
        <v>0.31309100000000001</v>
      </c>
      <c r="F24" s="30"/>
      <c r="G24" s="30"/>
      <c r="H24" s="30"/>
      <c r="I24" s="30"/>
      <c r="J24" s="30"/>
      <c r="K24" s="30"/>
      <c r="L24" s="30"/>
      <c r="M24" s="30"/>
      <c r="N24" s="30"/>
      <c r="O24" s="30"/>
      <c r="P24" s="30"/>
      <c r="Q24" s="30"/>
      <c r="R24" s="30"/>
      <c r="S24" s="30"/>
      <c r="T24" s="23"/>
      <c r="W24" s="70" t="s">
        <v>142</v>
      </c>
      <c r="X24" s="72">
        <v>2.0400000000000001E-2</v>
      </c>
    </row>
    <row r="25" spans="2:24" ht="15" customHeight="1" x14ac:dyDescent="0.25">
      <c r="B25" s="91"/>
      <c r="F25" s="30"/>
      <c r="G25" s="30"/>
      <c r="H25" s="30"/>
      <c r="I25" s="30"/>
      <c r="J25" s="30"/>
      <c r="K25" s="30"/>
      <c r="L25" s="30"/>
      <c r="M25" s="30"/>
      <c r="N25" s="30"/>
      <c r="O25" s="30"/>
      <c r="P25" s="30"/>
      <c r="Q25" s="30"/>
      <c r="R25" s="30"/>
      <c r="S25" s="30"/>
      <c r="T25" s="23"/>
      <c r="W25" s="70" t="s">
        <v>10</v>
      </c>
      <c r="X25" s="72">
        <v>1.8926999999999999E-2</v>
      </c>
    </row>
    <row r="26" spans="2:24" ht="15" customHeight="1" x14ac:dyDescent="0.25">
      <c r="B26" s="91"/>
      <c r="F26" s="30"/>
      <c r="G26" s="30"/>
      <c r="H26" s="30"/>
      <c r="I26" s="30"/>
      <c r="J26" s="30"/>
      <c r="K26" s="30"/>
      <c r="L26" s="30"/>
      <c r="M26" s="30"/>
      <c r="N26" s="30"/>
      <c r="O26" s="30"/>
      <c r="P26" s="30"/>
      <c r="Q26" s="30"/>
      <c r="R26" s="30"/>
      <c r="S26" s="30"/>
      <c r="T26" s="23"/>
      <c r="W26" s="70" t="s">
        <v>156</v>
      </c>
      <c r="X26" s="72">
        <v>1.8120000000000001E-2</v>
      </c>
    </row>
    <row r="27" spans="2:24" ht="15" customHeight="1" x14ac:dyDescent="0.25">
      <c r="B27" s="91"/>
      <c r="F27" s="30"/>
      <c r="G27" s="30"/>
      <c r="H27" s="30"/>
      <c r="I27" s="30"/>
      <c r="J27" s="30"/>
      <c r="K27" s="30"/>
      <c r="L27" s="30"/>
      <c r="M27" s="30"/>
      <c r="N27" s="30"/>
      <c r="O27" s="30"/>
      <c r="P27" s="30"/>
      <c r="Q27" s="30"/>
      <c r="R27" s="30"/>
      <c r="S27" s="30"/>
      <c r="T27" s="23"/>
      <c r="W27" s="70" t="s">
        <v>140</v>
      </c>
      <c r="X27" s="72">
        <v>1.7859E-2</v>
      </c>
    </row>
    <row r="28" spans="2:24" ht="15" customHeight="1" x14ac:dyDescent="0.25">
      <c r="B28" s="91"/>
      <c r="F28" s="30"/>
      <c r="G28" s="30"/>
      <c r="H28" s="30"/>
      <c r="I28" s="30"/>
      <c r="J28" s="30"/>
      <c r="K28" s="30"/>
      <c r="L28" s="30"/>
      <c r="M28" s="30"/>
      <c r="N28" s="30"/>
      <c r="O28" s="30"/>
      <c r="P28" s="30"/>
      <c r="Q28" s="30"/>
      <c r="R28" s="30"/>
      <c r="S28" s="30"/>
      <c r="T28" s="23"/>
      <c r="W28" s="70" t="s">
        <v>143</v>
      </c>
      <c r="X28" s="72">
        <v>1.6965000000000001E-2</v>
      </c>
    </row>
    <row r="29" spans="2:24" ht="15" customHeight="1" x14ac:dyDescent="0.25">
      <c r="B29" s="91"/>
      <c r="F29" s="30"/>
      <c r="G29" s="30"/>
      <c r="H29" s="30"/>
      <c r="I29" s="30"/>
      <c r="J29" s="30"/>
      <c r="K29" s="30"/>
      <c r="L29" s="30"/>
      <c r="M29" s="30"/>
      <c r="N29" s="30"/>
      <c r="O29" s="30"/>
      <c r="P29" s="30"/>
      <c r="Q29" s="30"/>
      <c r="R29" s="30"/>
      <c r="S29" s="30"/>
      <c r="T29" s="23"/>
      <c r="W29" s="70" t="s">
        <v>101</v>
      </c>
      <c r="X29" s="72">
        <v>1.6222E-2</v>
      </c>
    </row>
    <row r="30" spans="2:24" ht="15" customHeight="1" x14ac:dyDescent="0.25">
      <c r="B30" s="91"/>
      <c r="F30" s="30"/>
      <c r="G30" s="30"/>
      <c r="H30" s="30"/>
      <c r="I30" s="30"/>
      <c r="J30" s="30"/>
      <c r="K30" s="30"/>
      <c r="L30" s="30"/>
      <c r="M30" s="30"/>
      <c r="N30" s="30"/>
      <c r="O30" s="30"/>
      <c r="P30" s="30"/>
      <c r="Q30" s="30"/>
      <c r="R30" s="30"/>
      <c r="S30" s="30"/>
      <c r="T30" s="23"/>
      <c r="W30" s="70" t="s">
        <v>171</v>
      </c>
      <c r="X30" s="72">
        <v>1.5374000000000001E-2</v>
      </c>
    </row>
    <row r="31" spans="2:24" ht="15" customHeight="1" x14ac:dyDescent="0.25">
      <c r="B31" s="91"/>
      <c r="F31" s="30"/>
      <c r="G31" s="30"/>
      <c r="H31" s="30"/>
      <c r="I31" s="30"/>
      <c r="J31" s="30"/>
      <c r="K31" s="30"/>
      <c r="L31" s="30"/>
      <c r="M31" s="30"/>
      <c r="N31" s="30"/>
      <c r="O31" s="30"/>
      <c r="P31" s="30"/>
      <c r="Q31" s="30"/>
      <c r="R31" s="30"/>
      <c r="S31" s="30"/>
      <c r="T31" s="23"/>
      <c r="W31" s="70" t="s">
        <v>151</v>
      </c>
      <c r="X31" s="72">
        <v>1.4044000000000001E-2</v>
      </c>
    </row>
    <row r="32" spans="2:24" ht="15" customHeight="1" x14ac:dyDescent="0.25">
      <c r="B32" s="91"/>
      <c r="F32" s="30"/>
      <c r="G32" s="30"/>
      <c r="H32" s="30"/>
      <c r="I32" s="30"/>
      <c r="J32" s="30"/>
      <c r="K32" s="30"/>
      <c r="L32" s="30"/>
      <c r="M32" s="30"/>
      <c r="N32" s="30"/>
      <c r="O32" s="30"/>
      <c r="P32" s="30"/>
      <c r="Q32" s="30"/>
      <c r="R32" s="30"/>
      <c r="S32" s="30"/>
      <c r="T32" s="23"/>
      <c r="W32" s="70" t="s">
        <v>6</v>
      </c>
      <c r="X32" s="72">
        <v>1.086E-2</v>
      </c>
    </row>
    <row r="33" spans="2:24" ht="15.75" customHeight="1" x14ac:dyDescent="0.25">
      <c r="B33" s="91"/>
      <c r="F33" s="30"/>
      <c r="G33" s="30"/>
      <c r="H33" s="30"/>
      <c r="I33" s="30"/>
      <c r="J33" s="30"/>
      <c r="K33" s="30"/>
      <c r="L33" s="30"/>
      <c r="M33" s="30"/>
      <c r="N33" s="30"/>
      <c r="O33" s="30"/>
      <c r="P33" s="30"/>
      <c r="Q33" s="30"/>
      <c r="R33" s="30"/>
      <c r="S33" s="30"/>
      <c r="T33" s="23"/>
      <c r="W33" s="70" t="s">
        <v>158</v>
      </c>
      <c r="X33" s="72">
        <v>1.0014E-2</v>
      </c>
    </row>
    <row r="34" spans="2:24" ht="15.75" customHeight="1" x14ac:dyDescent="0.25">
      <c r="B34" s="91"/>
      <c r="F34" s="30"/>
      <c r="G34" s="30"/>
      <c r="H34" s="30"/>
      <c r="I34" s="30"/>
      <c r="J34" s="30"/>
      <c r="K34" s="30"/>
      <c r="L34" s="30"/>
      <c r="M34" s="30"/>
      <c r="N34" s="30"/>
      <c r="O34" s="30"/>
      <c r="P34" s="30"/>
      <c r="Q34" s="30"/>
      <c r="R34" s="30"/>
      <c r="S34" s="30"/>
      <c r="T34" s="23"/>
      <c r="W34" s="70" t="s">
        <v>153</v>
      </c>
      <c r="X34" s="72">
        <v>9.7520000000000003E-3</v>
      </c>
    </row>
    <row r="35" spans="2:24" ht="15.75" customHeight="1" x14ac:dyDescent="0.25">
      <c r="B35" s="91"/>
      <c r="F35" s="30"/>
      <c r="G35" s="30"/>
      <c r="H35" s="30"/>
      <c r="I35" s="30"/>
      <c r="J35" s="30"/>
      <c r="K35" s="30"/>
      <c r="L35" s="30"/>
      <c r="M35" s="30"/>
      <c r="N35" s="30"/>
      <c r="O35" s="30"/>
      <c r="P35" s="30"/>
      <c r="Q35" s="30"/>
      <c r="R35" s="30"/>
      <c r="S35" s="30"/>
      <c r="T35" s="23"/>
      <c r="W35" s="70" t="s">
        <v>25</v>
      </c>
      <c r="X35" s="72">
        <v>9.0030000000000006E-3</v>
      </c>
    </row>
    <row r="36" spans="2:24" ht="15.75" customHeight="1" x14ac:dyDescent="0.25">
      <c r="B36" s="91"/>
      <c r="F36" s="30"/>
      <c r="G36" s="30"/>
      <c r="H36" s="30"/>
      <c r="I36" s="30"/>
      <c r="J36" s="30"/>
      <c r="K36" s="30"/>
      <c r="L36" s="30"/>
      <c r="M36" s="30"/>
      <c r="N36" s="30"/>
      <c r="O36" s="30"/>
      <c r="P36" s="30"/>
      <c r="Q36" s="30"/>
      <c r="R36" s="30"/>
      <c r="S36" s="30"/>
      <c r="T36" s="23"/>
      <c r="W36" s="70" t="s">
        <v>147</v>
      </c>
      <c r="X36" s="72">
        <v>8.8849999999999988E-3</v>
      </c>
    </row>
    <row r="37" spans="2:24" ht="15.75" customHeight="1" x14ac:dyDescent="0.25">
      <c r="B37" s="91"/>
      <c r="F37" s="30"/>
      <c r="G37" s="30"/>
      <c r="H37" s="30"/>
      <c r="I37" s="30"/>
      <c r="J37" s="30"/>
      <c r="K37" s="30"/>
      <c r="L37" s="30"/>
      <c r="M37" s="30"/>
      <c r="N37" s="30"/>
      <c r="O37" s="30"/>
      <c r="P37" s="30"/>
      <c r="Q37" s="30"/>
      <c r="R37" s="30"/>
      <c r="S37" s="30"/>
      <c r="T37" s="23"/>
      <c r="W37" s="70" t="s">
        <v>23</v>
      </c>
      <c r="X37" s="72">
        <v>8.515E-3</v>
      </c>
    </row>
    <row r="38" spans="2:24" ht="15" customHeight="1" thickBot="1" x14ac:dyDescent="0.3">
      <c r="B38" s="92"/>
      <c r="C38" s="93"/>
      <c r="D38" s="93"/>
      <c r="E38" s="93"/>
      <c r="F38" s="93"/>
      <c r="G38" s="93"/>
      <c r="H38" s="93"/>
      <c r="I38" s="93"/>
      <c r="J38" s="93"/>
      <c r="K38" s="93"/>
      <c r="L38" s="93"/>
      <c r="M38" s="93"/>
      <c r="N38" s="93"/>
      <c r="O38" s="93"/>
      <c r="P38" s="93"/>
      <c r="Q38" s="93"/>
      <c r="R38" s="93"/>
      <c r="S38" s="93"/>
      <c r="T38" s="24"/>
      <c r="W38" s="42" t="s">
        <v>148</v>
      </c>
      <c r="X38" s="72">
        <v>5.9820000000000003E-3</v>
      </c>
    </row>
    <row r="39" spans="2:24" ht="15" customHeight="1" thickBot="1" x14ac:dyDescent="0.3">
      <c r="W39" s="42" t="s">
        <v>100</v>
      </c>
      <c r="X39" s="172">
        <v>5.2750000000000002E-3</v>
      </c>
    </row>
    <row r="40" spans="2:24" ht="15" customHeight="1" x14ac:dyDescent="0.25">
      <c r="B40" s="245" t="s">
        <v>265</v>
      </c>
      <c r="C40" s="246"/>
      <c r="D40" s="246"/>
      <c r="E40" s="246"/>
      <c r="F40" s="246"/>
      <c r="G40" s="246"/>
      <c r="H40" s="246"/>
      <c r="I40" s="246"/>
      <c r="J40" s="246"/>
      <c r="K40" s="246"/>
      <c r="L40" s="246"/>
      <c r="M40" s="246"/>
      <c r="N40" s="246"/>
      <c r="O40" s="246"/>
      <c r="P40" s="246"/>
      <c r="Q40" s="246"/>
      <c r="R40" s="247"/>
      <c r="W40" s="42" t="s">
        <v>150</v>
      </c>
      <c r="X40" s="172">
        <v>5.2119999999999996E-3</v>
      </c>
    </row>
    <row r="41" spans="2:24" ht="15" customHeight="1" x14ac:dyDescent="0.25">
      <c r="B41" s="248"/>
      <c r="C41" s="249"/>
      <c r="D41" s="249"/>
      <c r="E41" s="249"/>
      <c r="F41" s="249"/>
      <c r="G41" s="249"/>
      <c r="H41" s="249"/>
      <c r="I41" s="249"/>
      <c r="J41" s="249"/>
      <c r="K41" s="249"/>
      <c r="L41" s="249"/>
      <c r="M41" s="249"/>
      <c r="N41" s="249"/>
      <c r="O41" s="249"/>
      <c r="P41" s="249"/>
      <c r="Q41" s="249"/>
      <c r="R41" s="250"/>
      <c r="W41" s="42" t="s">
        <v>111</v>
      </c>
      <c r="X41" s="172">
        <v>4.8539999999999998E-3</v>
      </c>
    </row>
    <row r="42" spans="2:24" ht="15" customHeight="1" x14ac:dyDescent="0.25">
      <c r="B42" s="248"/>
      <c r="C42" s="249"/>
      <c r="D42" s="249"/>
      <c r="E42" s="249"/>
      <c r="F42" s="249"/>
      <c r="G42" s="249"/>
      <c r="H42" s="249"/>
      <c r="I42" s="249"/>
      <c r="J42" s="249"/>
      <c r="K42" s="249"/>
      <c r="L42" s="249"/>
      <c r="M42" s="249"/>
      <c r="N42" s="249"/>
      <c r="O42" s="249"/>
      <c r="P42" s="249"/>
      <c r="Q42" s="249"/>
      <c r="R42" s="250"/>
      <c r="W42" s="42" t="s">
        <v>11</v>
      </c>
      <c r="X42" s="172">
        <v>1.5E-3</v>
      </c>
    </row>
    <row r="43" spans="2:24" ht="15" customHeight="1" x14ac:dyDescent="0.25">
      <c r="B43" s="248"/>
      <c r="C43" s="249"/>
      <c r="D43" s="249"/>
      <c r="E43" s="249"/>
      <c r="F43" s="249"/>
      <c r="G43" s="249"/>
      <c r="H43" s="249"/>
      <c r="I43" s="249"/>
      <c r="J43" s="249"/>
      <c r="K43" s="249"/>
      <c r="L43" s="249"/>
      <c r="M43" s="249"/>
      <c r="N43" s="249"/>
      <c r="O43" s="249"/>
      <c r="P43" s="249"/>
      <c r="Q43" s="249"/>
      <c r="R43" s="250"/>
      <c r="W43" s="42" t="s">
        <v>141</v>
      </c>
      <c r="X43" s="172">
        <v>7.18E-4</v>
      </c>
    </row>
    <row r="44" spans="2:24" ht="15" customHeight="1" x14ac:dyDescent="0.25">
      <c r="B44" s="248"/>
      <c r="C44" s="249"/>
      <c r="D44" s="249"/>
      <c r="E44" s="249"/>
      <c r="F44" s="249"/>
      <c r="G44" s="249"/>
      <c r="H44" s="249"/>
      <c r="I44" s="249"/>
      <c r="J44" s="249"/>
      <c r="K44" s="249"/>
      <c r="L44" s="249"/>
      <c r="M44" s="249"/>
      <c r="N44" s="249"/>
      <c r="O44" s="249"/>
      <c r="P44" s="249"/>
      <c r="Q44" s="249"/>
      <c r="R44" s="250"/>
    </row>
    <row r="45" spans="2:24" ht="15" customHeight="1" x14ac:dyDescent="0.25">
      <c r="B45" s="248"/>
      <c r="C45" s="249"/>
      <c r="D45" s="249"/>
      <c r="E45" s="249"/>
      <c r="F45" s="249"/>
      <c r="G45" s="249"/>
      <c r="H45" s="249"/>
      <c r="I45" s="249"/>
      <c r="J45" s="249"/>
      <c r="K45" s="249"/>
      <c r="L45" s="249"/>
      <c r="M45" s="249"/>
      <c r="N45" s="249"/>
      <c r="O45" s="249"/>
      <c r="P45" s="249"/>
      <c r="Q45" s="249"/>
      <c r="R45" s="250"/>
    </row>
    <row r="46" spans="2:24" ht="15" customHeight="1" thickBot="1" x14ac:dyDescent="0.3">
      <c r="B46" s="251"/>
      <c r="C46" s="252"/>
      <c r="D46" s="252"/>
      <c r="E46" s="252"/>
      <c r="F46" s="252"/>
      <c r="G46" s="252"/>
      <c r="H46" s="252"/>
      <c r="I46" s="252"/>
      <c r="J46" s="252"/>
      <c r="K46" s="252"/>
      <c r="L46" s="252"/>
      <c r="M46" s="252"/>
      <c r="N46" s="252"/>
      <c r="O46" s="252"/>
      <c r="P46" s="252"/>
      <c r="Q46" s="252"/>
      <c r="R46" s="25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7.14062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4" width="9.140625" style="42" bestFit="1" customWidth="1"/>
    <col min="25" max="28" width="9.140625" style="42"/>
    <col min="29"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4" t="s">
        <v>229</v>
      </c>
      <c r="D3" s="255"/>
      <c r="E3" s="255"/>
      <c r="F3" s="255"/>
      <c r="G3" s="255"/>
      <c r="H3" s="255"/>
      <c r="I3" s="255"/>
      <c r="J3" s="255"/>
      <c r="K3" s="255"/>
      <c r="L3" s="255"/>
      <c r="M3" s="255"/>
      <c r="N3" s="255"/>
      <c r="O3" s="255"/>
      <c r="P3" s="255"/>
      <c r="Q3" s="255"/>
      <c r="R3" s="255"/>
      <c r="S3" s="255"/>
      <c r="T3" s="23"/>
    </row>
    <row r="4" spans="1:24" ht="15.75" customHeight="1" x14ac:dyDescent="0.25">
      <c r="B4" s="91"/>
      <c r="C4" s="78" t="s">
        <v>303</v>
      </c>
      <c r="D4" s="30"/>
      <c r="E4" s="30"/>
      <c r="F4" s="30"/>
      <c r="G4" s="30"/>
      <c r="H4" s="30"/>
      <c r="I4" s="30"/>
      <c r="J4" s="30"/>
      <c r="K4" s="30"/>
      <c r="L4" s="30"/>
      <c r="M4" s="30"/>
      <c r="N4" s="30"/>
      <c r="O4" s="30"/>
      <c r="P4" s="30"/>
      <c r="Q4" s="30"/>
      <c r="R4" s="30"/>
      <c r="S4" s="30"/>
      <c r="T4" s="23"/>
    </row>
    <row r="5" spans="1:24" ht="18" customHeight="1" x14ac:dyDescent="0.25">
      <c r="B5" s="91"/>
      <c r="C5" s="79" t="s">
        <v>304</v>
      </c>
      <c r="D5" s="256" t="s">
        <v>286</v>
      </c>
      <c r="E5" s="256"/>
      <c r="F5" s="167"/>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168" t="s">
        <v>0</v>
      </c>
      <c r="D7" s="169" t="s">
        <v>1</v>
      </c>
      <c r="E7" s="168" t="s">
        <v>2</v>
      </c>
      <c r="F7" s="30"/>
      <c r="G7" s="30"/>
      <c r="H7" s="30"/>
      <c r="I7" s="30"/>
      <c r="J7" s="30"/>
      <c r="K7" s="30"/>
      <c r="L7" s="30"/>
      <c r="M7" s="30"/>
      <c r="N7" s="30"/>
      <c r="O7" s="30"/>
      <c r="P7" s="30"/>
      <c r="Q7" s="30"/>
      <c r="R7" s="30"/>
      <c r="S7" s="30"/>
      <c r="T7" s="23"/>
      <c r="W7" s="42" t="s">
        <v>22</v>
      </c>
      <c r="X7" s="42" t="s">
        <v>2</v>
      </c>
    </row>
    <row r="8" spans="1:24" ht="15" customHeight="1" x14ac:dyDescent="0.25">
      <c r="B8" s="91"/>
      <c r="C8" s="211" t="s">
        <v>35</v>
      </c>
      <c r="D8" s="224" t="s">
        <v>23</v>
      </c>
      <c r="E8" s="233">
        <v>9.6536999999999998E-2</v>
      </c>
      <c r="F8" s="30"/>
      <c r="G8" s="30"/>
      <c r="H8" s="30"/>
      <c r="I8" s="30"/>
      <c r="J8" s="30"/>
      <c r="K8" s="30"/>
      <c r="L8" s="30"/>
      <c r="M8" s="30"/>
      <c r="N8" s="30"/>
      <c r="O8" s="30"/>
      <c r="P8" s="30"/>
      <c r="Q8" s="30"/>
      <c r="R8" s="30"/>
      <c r="S8" s="30"/>
      <c r="T8" s="23"/>
      <c r="W8" s="70" t="s">
        <v>23</v>
      </c>
      <c r="X8" s="72">
        <v>0.29333300000000001</v>
      </c>
    </row>
    <row r="9" spans="1:24" ht="15.75" customHeight="1" x14ac:dyDescent="0.25">
      <c r="B9" s="91"/>
      <c r="C9" s="211" t="s">
        <v>67</v>
      </c>
      <c r="D9" s="224" t="s">
        <v>97</v>
      </c>
      <c r="E9" s="233">
        <v>7.2572999999999999E-2</v>
      </c>
      <c r="F9" s="30"/>
      <c r="G9" s="30"/>
      <c r="H9" s="30"/>
      <c r="I9" s="30"/>
      <c r="J9" s="30"/>
      <c r="K9" s="30"/>
      <c r="L9" s="30"/>
      <c r="M9" s="30"/>
      <c r="N9" s="30"/>
      <c r="O9" s="30"/>
      <c r="P9" s="30"/>
      <c r="Q9" s="30"/>
      <c r="R9" s="30"/>
      <c r="S9" s="30"/>
      <c r="T9" s="23"/>
      <c r="W9" s="70" t="s">
        <v>97</v>
      </c>
      <c r="X9" s="72">
        <v>0.15700600000000001</v>
      </c>
    </row>
    <row r="10" spans="1:24" ht="15" customHeight="1" x14ac:dyDescent="0.25">
      <c r="B10" s="91"/>
      <c r="C10" s="211" t="s">
        <v>116</v>
      </c>
      <c r="D10" s="224" t="s">
        <v>148</v>
      </c>
      <c r="E10" s="233">
        <v>5.6388000000000001E-2</v>
      </c>
      <c r="F10" s="30"/>
      <c r="G10" s="30"/>
      <c r="H10" s="30"/>
      <c r="I10" s="30"/>
      <c r="J10" s="30"/>
      <c r="K10" s="30"/>
      <c r="L10" s="30"/>
      <c r="M10" s="30"/>
      <c r="N10" s="30"/>
      <c r="O10" s="30"/>
      <c r="P10" s="30"/>
      <c r="Q10" s="30"/>
      <c r="R10" s="30"/>
      <c r="S10" s="30"/>
      <c r="T10" s="23"/>
      <c r="W10" s="70" t="s">
        <v>148</v>
      </c>
      <c r="X10" s="72">
        <v>9.7542999999999991E-2</v>
      </c>
    </row>
    <row r="11" spans="1:24" ht="15" customHeight="1" x14ac:dyDescent="0.25">
      <c r="B11" s="91"/>
      <c r="C11" s="211" t="s">
        <v>76</v>
      </c>
      <c r="D11" s="224" t="s">
        <v>12</v>
      </c>
      <c r="E11" s="233">
        <v>5.2659000000000004E-2</v>
      </c>
      <c r="F11" s="30"/>
      <c r="G11" s="30"/>
      <c r="H11" s="30"/>
      <c r="I11" s="30"/>
      <c r="J11" s="30"/>
      <c r="K11" s="30"/>
      <c r="L11" s="30"/>
      <c r="M11" s="30"/>
      <c r="N11" s="30"/>
      <c r="O11" s="30"/>
      <c r="P11" s="30"/>
      <c r="Q11" s="30"/>
      <c r="R11" s="30"/>
      <c r="S11" s="30"/>
      <c r="T11" s="23"/>
      <c r="W11" s="70" t="s">
        <v>154</v>
      </c>
      <c r="X11" s="72">
        <v>9.3490999999999991E-2</v>
      </c>
    </row>
    <row r="12" spans="1:24" ht="15" customHeight="1" x14ac:dyDescent="0.25">
      <c r="B12" s="91"/>
      <c r="C12" s="211" t="s">
        <v>75</v>
      </c>
      <c r="D12" s="224" t="s">
        <v>97</v>
      </c>
      <c r="E12" s="233">
        <v>4.5282000000000003E-2</v>
      </c>
      <c r="F12" s="30"/>
      <c r="G12" s="30"/>
      <c r="H12" s="30"/>
      <c r="I12" s="30"/>
      <c r="J12" s="30"/>
      <c r="K12" s="30"/>
      <c r="L12" s="30"/>
      <c r="M12" s="30"/>
      <c r="N12" s="30"/>
      <c r="O12" s="30"/>
      <c r="P12" s="30"/>
      <c r="Q12" s="30"/>
      <c r="R12" s="30"/>
      <c r="S12" s="30"/>
      <c r="T12" s="23"/>
      <c r="W12" s="70" t="s">
        <v>24</v>
      </c>
      <c r="X12" s="72">
        <v>7.9008999999999996E-2</v>
      </c>
    </row>
    <row r="13" spans="1:24" ht="15" customHeight="1" x14ac:dyDescent="0.25">
      <c r="B13" s="91"/>
      <c r="C13" s="211" t="s">
        <v>159</v>
      </c>
      <c r="D13" s="224" t="s">
        <v>101</v>
      </c>
      <c r="E13" s="233">
        <v>4.3535999999999998E-2</v>
      </c>
      <c r="F13" s="30"/>
      <c r="G13" s="30"/>
      <c r="H13" s="30"/>
      <c r="I13" s="30"/>
      <c r="J13" s="30"/>
      <c r="K13" s="30"/>
      <c r="L13" s="30"/>
      <c r="M13" s="30"/>
      <c r="N13" s="30"/>
      <c r="O13" s="30"/>
      <c r="P13" s="30"/>
      <c r="Q13" s="30"/>
      <c r="R13" s="30"/>
      <c r="S13" s="30"/>
      <c r="T13" s="23"/>
      <c r="W13" s="70" t="s">
        <v>12</v>
      </c>
      <c r="X13" s="72">
        <v>5.2659000000000004E-2</v>
      </c>
    </row>
    <row r="14" spans="1:24" ht="15" customHeight="1" x14ac:dyDescent="0.25">
      <c r="B14" s="91"/>
      <c r="C14" s="211" t="s">
        <v>117</v>
      </c>
      <c r="D14" s="224" t="s">
        <v>148</v>
      </c>
      <c r="E14" s="233">
        <v>4.1154999999999997E-2</v>
      </c>
      <c r="F14" s="30"/>
      <c r="G14" s="30"/>
      <c r="H14" s="30"/>
      <c r="I14" s="30"/>
      <c r="J14" s="30"/>
      <c r="K14" s="30"/>
      <c r="L14" s="30"/>
      <c r="M14" s="30"/>
      <c r="N14" s="30"/>
      <c r="O14" s="30"/>
      <c r="P14" s="30"/>
      <c r="Q14" s="30"/>
      <c r="R14" s="30"/>
      <c r="S14" s="30"/>
      <c r="T14" s="23"/>
      <c r="W14" s="70" t="s">
        <v>25</v>
      </c>
      <c r="X14" s="72">
        <v>5.1239999999999994E-2</v>
      </c>
    </row>
    <row r="15" spans="1:24" ht="15" customHeight="1" x14ac:dyDescent="0.25">
      <c r="B15" s="91"/>
      <c r="C15" s="211" t="s">
        <v>73</v>
      </c>
      <c r="D15" s="224" t="s">
        <v>154</v>
      </c>
      <c r="E15" s="233">
        <v>4.1142999999999999E-2</v>
      </c>
      <c r="F15" s="30"/>
      <c r="G15" s="30"/>
      <c r="H15" s="30"/>
      <c r="I15" s="30"/>
      <c r="J15" s="30"/>
      <c r="K15" s="30"/>
      <c r="L15" s="30"/>
      <c r="M15" s="30"/>
      <c r="N15" s="30"/>
      <c r="O15" s="30"/>
      <c r="P15" s="30"/>
      <c r="Q15" s="30"/>
      <c r="R15" s="30"/>
      <c r="S15" s="30"/>
      <c r="T15" s="23"/>
      <c r="W15" s="70" t="s">
        <v>101</v>
      </c>
      <c r="X15" s="72">
        <v>4.3535999999999998E-2</v>
      </c>
    </row>
    <row r="16" spans="1:24" ht="15" customHeight="1" x14ac:dyDescent="0.25">
      <c r="B16" s="91"/>
      <c r="C16" s="211" t="s">
        <v>255</v>
      </c>
      <c r="D16" s="224" t="s">
        <v>24</v>
      </c>
      <c r="E16" s="233">
        <v>3.8862000000000001E-2</v>
      </c>
      <c r="F16" s="30"/>
      <c r="G16" s="30"/>
      <c r="H16" s="30"/>
      <c r="I16" s="30"/>
      <c r="J16" s="30"/>
      <c r="K16" s="30"/>
      <c r="L16" s="30"/>
      <c r="M16" s="30"/>
      <c r="N16" s="30"/>
      <c r="O16" s="30"/>
      <c r="P16" s="30"/>
      <c r="Q16" s="30"/>
      <c r="R16" s="30"/>
      <c r="S16" s="30"/>
      <c r="T16" s="23"/>
      <c r="W16" s="70" t="s">
        <v>11</v>
      </c>
      <c r="X16" s="72">
        <v>4.3174000000000004E-2</v>
      </c>
    </row>
    <row r="17" spans="2:24" ht="15" customHeight="1" x14ac:dyDescent="0.25">
      <c r="B17" s="91"/>
      <c r="C17" s="211" t="s">
        <v>190</v>
      </c>
      <c r="D17" s="224" t="s">
        <v>23</v>
      </c>
      <c r="E17" s="233">
        <v>3.8260000000000002E-2</v>
      </c>
      <c r="F17" s="30"/>
      <c r="G17" s="30"/>
      <c r="H17" s="30"/>
      <c r="I17" s="30"/>
      <c r="J17" s="30"/>
      <c r="K17" s="30"/>
      <c r="L17" s="30"/>
      <c r="M17" s="30"/>
      <c r="N17" s="30"/>
      <c r="O17" s="30"/>
      <c r="P17" s="30"/>
      <c r="Q17" s="30"/>
      <c r="R17" s="30"/>
      <c r="S17" s="30"/>
      <c r="T17" s="23"/>
      <c r="W17" s="70" t="s">
        <v>10</v>
      </c>
      <c r="X17" s="72">
        <v>3.5577999999999999E-2</v>
      </c>
    </row>
    <row r="18" spans="2:24" ht="15" customHeight="1" x14ac:dyDescent="0.25">
      <c r="B18" s="91"/>
      <c r="C18" s="211" t="s">
        <v>196</v>
      </c>
      <c r="D18" s="224" t="s">
        <v>23</v>
      </c>
      <c r="E18" s="233">
        <v>3.6736999999999999E-2</v>
      </c>
      <c r="F18" s="30"/>
      <c r="G18" s="30"/>
      <c r="H18" s="30"/>
      <c r="I18" s="30"/>
      <c r="J18" s="30"/>
      <c r="K18" s="30"/>
      <c r="L18" s="30"/>
      <c r="M18" s="30"/>
      <c r="N18" s="30"/>
      <c r="O18" s="30"/>
      <c r="P18" s="30"/>
      <c r="Q18" s="30"/>
      <c r="R18" s="30"/>
      <c r="S18" s="30"/>
      <c r="T18" s="23"/>
      <c r="W18" s="70" t="s">
        <v>142</v>
      </c>
      <c r="X18" s="72">
        <v>1.3053E-2</v>
      </c>
    </row>
    <row r="19" spans="2:24" ht="15" customHeight="1" x14ac:dyDescent="0.25">
      <c r="B19" s="91"/>
      <c r="C19" s="211" t="s">
        <v>85</v>
      </c>
      <c r="D19" s="224" t="s">
        <v>11</v>
      </c>
      <c r="E19" s="233">
        <v>3.6329E-2</v>
      </c>
      <c r="F19" s="30"/>
      <c r="G19" s="30"/>
      <c r="H19" s="30"/>
      <c r="I19" s="30"/>
      <c r="J19" s="30"/>
      <c r="K19" s="30"/>
      <c r="L19" s="30"/>
      <c r="M19" s="30"/>
      <c r="N19" s="30"/>
      <c r="O19" s="30"/>
      <c r="P19" s="30"/>
      <c r="Q19" s="30"/>
      <c r="R19" s="30"/>
      <c r="S19" s="30"/>
      <c r="T19" s="23"/>
      <c r="W19" s="70" t="s">
        <v>6</v>
      </c>
      <c r="X19" s="72">
        <v>9.502E-3</v>
      </c>
    </row>
    <row r="20" spans="2:24" ht="15" customHeight="1" x14ac:dyDescent="0.25">
      <c r="B20" s="91"/>
      <c r="C20" s="211" t="s">
        <v>78</v>
      </c>
      <c r="D20" s="224" t="s">
        <v>10</v>
      </c>
      <c r="E20" s="233">
        <v>3.5577999999999999E-2</v>
      </c>
      <c r="F20" s="30"/>
      <c r="G20" s="30"/>
      <c r="H20" s="30"/>
      <c r="I20" s="30"/>
      <c r="J20" s="30"/>
      <c r="K20" s="30"/>
      <c r="L20" s="30"/>
      <c r="M20" s="30"/>
      <c r="N20" s="30"/>
      <c r="O20" s="30"/>
      <c r="P20" s="30"/>
      <c r="Q20" s="30"/>
      <c r="R20" s="30"/>
      <c r="S20" s="30"/>
      <c r="T20" s="23"/>
      <c r="W20" s="70" t="s">
        <v>15</v>
      </c>
      <c r="X20" s="72">
        <v>8.3379999999999999E-3</v>
      </c>
    </row>
    <row r="21" spans="2:24" ht="15" customHeight="1" x14ac:dyDescent="0.25">
      <c r="B21" s="91"/>
      <c r="C21" s="211" t="s">
        <v>66</v>
      </c>
      <c r="D21" s="224" t="s">
        <v>23</v>
      </c>
      <c r="E21" s="233">
        <v>3.5325000000000002E-2</v>
      </c>
      <c r="F21" s="30"/>
      <c r="G21" s="30"/>
      <c r="H21" s="30"/>
      <c r="I21" s="30"/>
      <c r="J21" s="30"/>
      <c r="K21" s="30"/>
      <c r="L21" s="30"/>
      <c r="M21" s="30"/>
      <c r="N21" s="30"/>
      <c r="O21" s="30"/>
      <c r="P21" s="30"/>
      <c r="Q21" s="30"/>
      <c r="R21" s="30"/>
      <c r="S21" s="30"/>
      <c r="T21" s="23"/>
      <c r="W21" s="70" t="s">
        <v>155</v>
      </c>
      <c r="X21" s="72">
        <v>7.8530000000000006E-3</v>
      </c>
    </row>
    <row r="22" spans="2:24" ht="15" customHeight="1" x14ac:dyDescent="0.25">
      <c r="B22" s="91"/>
      <c r="C22" s="211" t="s">
        <v>173</v>
      </c>
      <c r="D22" s="224" t="s">
        <v>97</v>
      </c>
      <c r="E22" s="233">
        <v>2.9971000000000001E-2</v>
      </c>
      <c r="F22" s="30"/>
      <c r="G22" s="30"/>
      <c r="H22" s="30"/>
      <c r="I22" s="30"/>
      <c r="J22" s="30"/>
      <c r="K22" s="30"/>
      <c r="L22" s="30"/>
      <c r="M22" s="30"/>
      <c r="N22" s="30"/>
      <c r="O22" s="30"/>
      <c r="P22" s="30"/>
      <c r="Q22" s="30"/>
      <c r="R22" s="30"/>
      <c r="S22" s="30"/>
      <c r="T22" s="23"/>
      <c r="W22" s="63"/>
      <c r="X22" s="64"/>
    </row>
    <row r="23" spans="2:24" ht="15" customHeight="1" x14ac:dyDescent="0.25">
      <c r="B23" s="91"/>
      <c r="C23" s="83"/>
      <c r="D23" s="83"/>
      <c r="E23" s="170"/>
      <c r="F23" s="30"/>
      <c r="G23" s="30"/>
      <c r="H23" s="30"/>
      <c r="I23" s="30"/>
      <c r="J23" s="30"/>
      <c r="K23" s="30"/>
      <c r="L23" s="30"/>
      <c r="M23" s="30"/>
      <c r="N23" s="30"/>
      <c r="O23" s="30"/>
      <c r="P23" s="30"/>
      <c r="Q23" s="30"/>
      <c r="R23" s="30"/>
      <c r="S23" s="30"/>
      <c r="T23" s="23"/>
      <c r="W23" s="63"/>
      <c r="X23" s="64"/>
    </row>
    <row r="24" spans="2:24" ht="15" customHeight="1" x14ac:dyDescent="0.25">
      <c r="B24" s="91"/>
      <c r="C24" s="85" t="s">
        <v>56</v>
      </c>
      <c r="D24" s="86"/>
      <c r="E24" s="87">
        <f>SUM(E8:E22)</f>
        <v>0.70033500000000004</v>
      </c>
      <c r="F24" s="30"/>
      <c r="G24" s="30"/>
      <c r="H24" s="30"/>
      <c r="I24" s="30"/>
      <c r="J24" s="30"/>
      <c r="K24" s="30"/>
      <c r="L24" s="30"/>
      <c r="M24" s="30"/>
      <c r="N24" s="30"/>
      <c r="O24" s="30"/>
      <c r="P24" s="30"/>
      <c r="Q24" s="30"/>
      <c r="R24" s="30"/>
      <c r="S24" s="30"/>
      <c r="T24" s="23"/>
      <c r="W24" s="63"/>
      <c r="X24" s="64"/>
    </row>
    <row r="25" spans="2:24" ht="15" customHeight="1" x14ac:dyDescent="0.25">
      <c r="B25" s="91"/>
      <c r="F25" s="30"/>
      <c r="G25" s="30"/>
      <c r="H25" s="30"/>
      <c r="I25" s="30"/>
      <c r="J25" s="30"/>
      <c r="K25" s="30"/>
      <c r="L25" s="30"/>
      <c r="M25" s="30"/>
      <c r="N25" s="30"/>
      <c r="O25" s="30"/>
      <c r="P25" s="30"/>
      <c r="Q25" s="30"/>
      <c r="R25" s="30"/>
      <c r="S25" s="30"/>
      <c r="T25" s="23"/>
      <c r="W25" s="63"/>
      <c r="X25" s="64"/>
    </row>
    <row r="26" spans="2:24" ht="15" customHeight="1" x14ac:dyDescent="0.25">
      <c r="B26" s="91"/>
      <c r="F26" s="30"/>
      <c r="G26" s="30"/>
      <c r="H26" s="30"/>
      <c r="I26" s="30"/>
      <c r="J26" s="30"/>
      <c r="K26" s="30"/>
      <c r="L26" s="30"/>
      <c r="M26" s="30"/>
      <c r="N26" s="30"/>
      <c r="O26" s="30"/>
      <c r="P26" s="30"/>
      <c r="Q26" s="30"/>
      <c r="R26" s="30"/>
      <c r="S26" s="30"/>
      <c r="T26" s="23"/>
      <c r="W26" s="63"/>
      <c r="X26" s="64"/>
    </row>
    <row r="27" spans="2:24" ht="15" customHeight="1" x14ac:dyDescent="0.25">
      <c r="B27" s="91"/>
      <c r="F27" s="30"/>
      <c r="G27" s="30"/>
      <c r="H27" s="30"/>
      <c r="I27" s="30"/>
      <c r="J27" s="30"/>
      <c r="K27" s="30"/>
      <c r="L27" s="30"/>
      <c r="M27" s="30"/>
      <c r="N27" s="30"/>
      <c r="O27" s="30"/>
      <c r="P27" s="30"/>
      <c r="Q27" s="30"/>
      <c r="R27" s="30"/>
      <c r="S27" s="30"/>
      <c r="T27" s="23"/>
      <c r="W27" s="171"/>
      <c r="X27" s="172"/>
    </row>
    <row r="28" spans="2:24" ht="15" customHeight="1" x14ac:dyDescent="0.25">
      <c r="B28" s="91"/>
      <c r="F28" s="30"/>
      <c r="G28" s="30"/>
      <c r="H28" s="30"/>
      <c r="I28" s="30"/>
      <c r="J28" s="30"/>
      <c r="K28" s="30"/>
      <c r="L28" s="30"/>
      <c r="M28" s="30"/>
      <c r="N28" s="30"/>
      <c r="O28" s="30"/>
      <c r="P28" s="30"/>
      <c r="Q28" s="30"/>
      <c r="R28" s="30"/>
      <c r="S28" s="30"/>
      <c r="T28" s="23"/>
      <c r="W28" s="171"/>
      <c r="X28" s="172"/>
    </row>
    <row r="29" spans="2:24" ht="15" customHeight="1" x14ac:dyDescent="0.25">
      <c r="B29" s="91"/>
      <c r="F29" s="30"/>
      <c r="G29" s="30"/>
      <c r="H29" s="30"/>
      <c r="I29" s="30"/>
      <c r="J29" s="30"/>
      <c r="K29" s="30"/>
      <c r="L29" s="30"/>
      <c r="M29" s="30"/>
      <c r="N29" s="30"/>
      <c r="O29" s="30"/>
      <c r="P29" s="30"/>
      <c r="Q29" s="30"/>
      <c r="R29" s="30"/>
      <c r="S29" s="30"/>
      <c r="T29" s="23"/>
    </row>
    <row r="30" spans="2:24" ht="15" customHeight="1" x14ac:dyDescent="0.25">
      <c r="B30" s="91"/>
      <c r="F30" s="30"/>
      <c r="G30" s="30"/>
      <c r="H30" s="30"/>
      <c r="I30" s="30"/>
      <c r="J30" s="30"/>
      <c r="K30" s="30"/>
      <c r="L30" s="30"/>
      <c r="M30" s="30"/>
      <c r="N30" s="30"/>
      <c r="O30" s="30"/>
      <c r="P30" s="30"/>
      <c r="Q30" s="30"/>
      <c r="R30" s="30"/>
      <c r="S30" s="30"/>
      <c r="T30" s="23"/>
    </row>
    <row r="31" spans="2:24" ht="15" customHeight="1" x14ac:dyDescent="0.25">
      <c r="B31" s="91"/>
      <c r="F31" s="30"/>
      <c r="G31" s="30"/>
      <c r="H31" s="30"/>
      <c r="I31" s="30"/>
      <c r="J31" s="30"/>
      <c r="K31" s="30"/>
      <c r="L31" s="30"/>
      <c r="M31" s="30"/>
      <c r="N31" s="30"/>
      <c r="O31" s="30"/>
      <c r="P31" s="30"/>
      <c r="Q31" s="30"/>
      <c r="R31" s="30"/>
      <c r="S31" s="30"/>
      <c r="T31" s="23"/>
    </row>
    <row r="32" spans="2:24" ht="15.75" customHeight="1" x14ac:dyDescent="0.25">
      <c r="B32" s="91"/>
      <c r="F32" s="30"/>
      <c r="G32" s="30"/>
      <c r="H32" s="30"/>
      <c r="I32" s="30"/>
      <c r="J32" s="30"/>
      <c r="K32" s="30"/>
      <c r="L32" s="30"/>
      <c r="M32" s="30"/>
      <c r="N32" s="30"/>
      <c r="O32" s="30"/>
      <c r="P32" s="30"/>
      <c r="Q32" s="30"/>
      <c r="R32" s="30"/>
      <c r="S32" s="30"/>
      <c r="T32" s="23"/>
    </row>
    <row r="33" spans="2:20" ht="15" customHeight="1" x14ac:dyDescent="0.25">
      <c r="B33" s="91"/>
      <c r="F33" s="30"/>
      <c r="G33" s="30"/>
      <c r="H33" s="30"/>
      <c r="I33" s="30"/>
      <c r="J33" s="30"/>
      <c r="K33" s="30"/>
      <c r="L33" s="30"/>
      <c r="M33" s="30"/>
      <c r="N33" s="30"/>
      <c r="O33" s="30"/>
      <c r="P33" s="30"/>
      <c r="Q33" s="30"/>
      <c r="R33" s="30"/>
      <c r="S33" s="30"/>
      <c r="T33" s="23"/>
    </row>
    <row r="34" spans="2:20" ht="15" customHeight="1" thickBot="1" x14ac:dyDescent="0.3">
      <c r="B34" s="92"/>
      <c r="C34" s="93"/>
      <c r="D34" s="93"/>
      <c r="E34" s="93"/>
      <c r="F34" s="93"/>
      <c r="G34" s="93"/>
      <c r="H34" s="93"/>
      <c r="I34" s="93"/>
      <c r="J34" s="93"/>
      <c r="K34" s="93"/>
      <c r="L34" s="93"/>
      <c r="M34" s="93"/>
      <c r="N34" s="93"/>
      <c r="O34" s="93"/>
      <c r="P34" s="93"/>
      <c r="Q34" s="93"/>
      <c r="R34" s="93"/>
      <c r="S34" s="93"/>
      <c r="T34" s="24"/>
    </row>
    <row r="35" spans="2:20" ht="15" customHeight="1" thickBot="1" x14ac:dyDescent="0.3"/>
    <row r="36" spans="2:20" ht="15" customHeight="1" x14ac:dyDescent="0.25">
      <c r="B36" s="245" t="s">
        <v>265</v>
      </c>
      <c r="C36" s="246"/>
      <c r="D36" s="246"/>
      <c r="E36" s="246"/>
      <c r="F36" s="246"/>
      <c r="G36" s="246"/>
      <c r="H36" s="246"/>
      <c r="I36" s="246"/>
      <c r="J36" s="246"/>
      <c r="K36" s="246"/>
      <c r="L36" s="246"/>
      <c r="M36" s="246"/>
      <c r="N36" s="246"/>
      <c r="O36" s="246"/>
      <c r="P36" s="246"/>
      <c r="Q36" s="246"/>
      <c r="R36" s="247"/>
    </row>
    <row r="37" spans="2:20" ht="15" customHeight="1" x14ac:dyDescent="0.25">
      <c r="B37" s="248"/>
      <c r="C37" s="249"/>
      <c r="D37" s="249"/>
      <c r="E37" s="249"/>
      <c r="F37" s="249"/>
      <c r="G37" s="249"/>
      <c r="H37" s="249"/>
      <c r="I37" s="249"/>
      <c r="J37" s="249"/>
      <c r="K37" s="249"/>
      <c r="L37" s="249"/>
      <c r="M37" s="249"/>
      <c r="N37" s="249"/>
      <c r="O37" s="249"/>
      <c r="P37" s="249"/>
      <c r="Q37" s="249"/>
      <c r="R37" s="250"/>
    </row>
    <row r="38" spans="2:20" ht="15" customHeight="1" x14ac:dyDescent="0.25">
      <c r="B38" s="248"/>
      <c r="C38" s="249"/>
      <c r="D38" s="249"/>
      <c r="E38" s="249"/>
      <c r="F38" s="249"/>
      <c r="G38" s="249"/>
      <c r="H38" s="249"/>
      <c r="I38" s="249"/>
      <c r="J38" s="249"/>
      <c r="K38" s="249"/>
      <c r="L38" s="249"/>
      <c r="M38" s="249"/>
      <c r="N38" s="249"/>
      <c r="O38" s="249"/>
      <c r="P38" s="249"/>
      <c r="Q38" s="249"/>
      <c r="R38" s="250"/>
    </row>
    <row r="39" spans="2:20" ht="15" customHeight="1" x14ac:dyDescent="0.25">
      <c r="B39" s="248"/>
      <c r="C39" s="249"/>
      <c r="D39" s="249"/>
      <c r="E39" s="249"/>
      <c r="F39" s="249"/>
      <c r="G39" s="249"/>
      <c r="H39" s="249"/>
      <c r="I39" s="249"/>
      <c r="J39" s="249"/>
      <c r="K39" s="249"/>
      <c r="L39" s="249"/>
      <c r="M39" s="249"/>
      <c r="N39" s="249"/>
      <c r="O39" s="249"/>
      <c r="P39" s="249"/>
      <c r="Q39" s="249"/>
      <c r="R39" s="250"/>
    </row>
    <row r="40" spans="2:20" ht="15" customHeight="1" x14ac:dyDescent="0.25">
      <c r="B40" s="248"/>
      <c r="C40" s="249"/>
      <c r="D40" s="249"/>
      <c r="E40" s="249"/>
      <c r="F40" s="249"/>
      <c r="G40" s="249"/>
      <c r="H40" s="249"/>
      <c r="I40" s="249"/>
      <c r="J40" s="249"/>
      <c r="K40" s="249"/>
      <c r="L40" s="249"/>
      <c r="M40" s="249"/>
      <c r="N40" s="249"/>
      <c r="O40" s="249"/>
      <c r="P40" s="249"/>
      <c r="Q40" s="249"/>
      <c r="R40" s="250"/>
    </row>
    <row r="41" spans="2:20" ht="15" customHeight="1" x14ac:dyDescent="0.25">
      <c r="B41" s="248"/>
      <c r="C41" s="249"/>
      <c r="D41" s="249"/>
      <c r="E41" s="249"/>
      <c r="F41" s="249"/>
      <c r="G41" s="249"/>
      <c r="H41" s="249"/>
      <c r="I41" s="249"/>
      <c r="J41" s="249"/>
      <c r="K41" s="249"/>
      <c r="L41" s="249"/>
      <c r="M41" s="249"/>
      <c r="N41" s="249"/>
      <c r="O41" s="249"/>
      <c r="P41" s="249"/>
      <c r="Q41" s="249"/>
      <c r="R41" s="250"/>
    </row>
    <row r="42" spans="2:20" ht="15" customHeight="1" thickBot="1" x14ac:dyDescent="0.3">
      <c r="B42" s="251"/>
      <c r="C42" s="252"/>
      <c r="D42" s="252"/>
      <c r="E42" s="252"/>
      <c r="F42" s="252"/>
      <c r="G42" s="252"/>
      <c r="H42" s="252"/>
      <c r="I42" s="252"/>
      <c r="J42" s="252"/>
      <c r="K42" s="252"/>
      <c r="L42" s="252"/>
      <c r="M42" s="252"/>
      <c r="N42" s="252"/>
      <c r="O42" s="252"/>
      <c r="P42" s="252"/>
      <c r="Q42" s="252"/>
      <c r="R42" s="253"/>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9"/>
      <c r="U2" s="25"/>
    </row>
    <row r="3" spans="1:24" ht="20.25" customHeight="1" x14ac:dyDescent="0.25">
      <c r="B3" s="75"/>
      <c r="C3" s="254" t="s">
        <v>228</v>
      </c>
      <c r="D3" s="255"/>
      <c r="E3" s="255"/>
      <c r="F3" s="255"/>
      <c r="G3" s="255"/>
      <c r="H3" s="255"/>
      <c r="I3" s="255"/>
      <c r="J3" s="255"/>
      <c r="K3" s="255"/>
      <c r="L3" s="255"/>
      <c r="M3" s="255"/>
      <c r="N3" s="255"/>
      <c r="O3" s="255"/>
      <c r="P3" s="255"/>
      <c r="Q3" s="255"/>
      <c r="R3" s="255"/>
      <c r="S3" s="255"/>
      <c r="T3" s="76"/>
      <c r="U3" s="77"/>
    </row>
    <row r="4" spans="1:24" ht="15.75" customHeight="1" x14ac:dyDescent="0.25">
      <c r="B4" s="75"/>
      <c r="C4" s="78" t="s">
        <v>303</v>
      </c>
      <c r="D4" s="30"/>
      <c r="E4" s="30"/>
      <c r="F4" s="30"/>
      <c r="G4" s="30"/>
      <c r="H4" s="30"/>
      <c r="I4" s="30"/>
      <c r="J4" s="30"/>
      <c r="K4" s="30"/>
      <c r="L4" s="30"/>
      <c r="M4" s="30"/>
      <c r="N4" s="30"/>
      <c r="O4" s="30"/>
      <c r="P4" s="30"/>
      <c r="Q4" s="30"/>
      <c r="R4" s="30"/>
      <c r="S4" s="30"/>
      <c r="T4" s="30"/>
      <c r="U4" s="26"/>
    </row>
    <row r="5" spans="1:24" ht="18" customHeight="1" x14ac:dyDescent="0.25">
      <c r="B5" s="75"/>
      <c r="C5" s="79" t="s">
        <v>304</v>
      </c>
      <c r="D5" s="258" t="s">
        <v>287</v>
      </c>
      <c r="E5" s="258"/>
      <c r="F5" s="30"/>
      <c r="G5" s="30"/>
      <c r="H5" s="30"/>
      <c r="I5" s="30"/>
      <c r="J5" s="30"/>
      <c r="K5" s="30"/>
      <c r="L5" s="30"/>
      <c r="M5" s="30"/>
      <c r="N5" s="30"/>
      <c r="O5" s="30"/>
      <c r="P5" s="30"/>
      <c r="Q5" s="30"/>
      <c r="R5" s="30"/>
      <c r="S5" s="30"/>
      <c r="T5" s="30"/>
      <c r="U5" s="26"/>
    </row>
    <row r="6" spans="1:24" ht="15" customHeight="1" x14ac:dyDescent="0.25">
      <c r="B6" s="75"/>
      <c r="C6" s="30"/>
      <c r="D6" s="30"/>
      <c r="E6" s="30"/>
      <c r="F6" s="30"/>
      <c r="G6" s="30"/>
      <c r="H6" s="30"/>
      <c r="I6" s="30"/>
      <c r="J6" s="30"/>
      <c r="K6" s="30"/>
      <c r="L6" s="30"/>
      <c r="M6" s="30"/>
      <c r="N6" s="30"/>
      <c r="O6" s="30"/>
      <c r="P6" s="30"/>
      <c r="Q6" s="30"/>
      <c r="R6" s="30"/>
      <c r="S6" s="30"/>
      <c r="T6" s="30"/>
      <c r="U6" s="26"/>
    </row>
    <row r="7" spans="1:24" ht="32.25" customHeight="1"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 customHeight="1" x14ac:dyDescent="0.25">
      <c r="B8" s="75"/>
      <c r="C8" s="221" t="s">
        <v>94</v>
      </c>
      <c r="D8" s="222" t="s">
        <v>141</v>
      </c>
      <c r="E8" s="223">
        <v>8.0759999999999998E-2</v>
      </c>
      <c r="F8" s="30"/>
      <c r="G8" s="30"/>
      <c r="H8" s="30"/>
      <c r="I8" s="30"/>
      <c r="J8" s="30"/>
      <c r="K8" s="30"/>
      <c r="L8" s="30"/>
      <c r="M8" s="30"/>
      <c r="N8" s="30"/>
      <c r="O8" s="30"/>
      <c r="P8" s="30"/>
      <c r="Q8" s="30"/>
      <c r="R8" s="30"/>
      <c r="S8" s="30"/>
      <c r="T8" s="30"/>
      <c r="U8" s="26"/>
      <c r="W8" s="197" t="s">
        <v>141</v>
      </c>
      <c r="X8" s="196">
        <v>0.35213500000000003</v>
      </c>
    </row>
    <row r="9" spans="1:24" ht="15.75" customHeight="1" x14ac:dyDescent="0.25">
      <c r="B9" s="75"/>
      <c r="C9" s="211" t="s">
        <v>112</v>
      </c>
      <c r="D9" s="224" t="s">
        <v>141</v>
      </c>
      <c r="E9" s="225">
        <v>6.4263000000000001E-2</v>
      </c>
      <c r="F9" s="30"/>
      <c r="G9" s="30"/>
      <c r="H9" s="30"/>
      <c r="I9" s="30"/>
      <c r="J9" s="30"/>
      <c r="K9" s="30"/>
      <c r="L9" s="30"/>
      <c r="M9" s="30"/>
      <c r="N9" s="30"/>
      <c r="O9" s="30"/>
      <c r="P9" s="30"/>
      <c r="Q9" s="30"/>
      <c r="R9" s="30"/>
      <c r="S9" s="30"/>
      <c r="T9" s="30"/>
      <c r="U9" s="26"/>
      <c r="W9" s="197" t="s">
        <v>138</v>
      </c>
      <c r="X9" s="196">
        <v>0.330621</v>
      </c>
    </row>
    <row r="10" spans="1:24" ht="15.75" x14ac:dyDescent="0.25">
      <c r="B10" s="75"/>
      <c r="C10" s="211" t="s">
        <v>184</v>
      </c>
      <c r="D10" s="224" t="s">
        <v>141</v>
      </c>
      <c r="E10" s="225">
        <v>5.7715000000000002E-2</v>
      </c>
      <c r="F10" s="30"/>
      <c r="G10" s="30"/>
      <c r="H10" s="30"/>
      <c r="I10" s="30"/>
      <c r="J10" s="30"/>
      <c r="K10" s="30"/>
      <c r="L10" s="30"/>
      <c r="M10" s="30"/>
      <c r="N10" s="30"/>
      <c r="O10" s="30"/>
      <c r="P10" s="30"/>
      <c r="Q10" s="30"/>
      <c r="R10" s="30"/>
      <c r="S10" s="30"/>
      <c r="T10" s="30"/>
      <c r="U10" s="26"/>
      <c r="W10" s="197" t="s">
        <v>154</v>
      </c>
      <c r="X10" s="196">
        <v>0.13781599999999999</v>
      </c>
    </row>
    <row r="11" spans="1:24" ht="15.75" customHeight="1" x14ac:dyDescent="0.25">
      <c r="B11" s="75"/>
      <c r="C11" s="211" t="s">
        <v>149</v>
      </c>
      <c r="D11" s="224" t="s">
        <v>141</v>
      </c>
      <c r="E11" s="225">
        <v>5.7147999999999997E-2</v>
      </c>
      <c r="F11" s="30"/>
      <c r="G11" s="30"/>
      <c r="H11" s="30"/>
      <c r="I11" s="30"/>
      <c r="J11" s="30"/>
      <c r="K11" s="30"/>
      <c r="L11" s="30"/>
      <c r="M11" s="30"/>
      <c r="N11" s="30"/>
      <c r="O11" s="30"/>
      <c r="P11" s="30"/>
      <c r="Q11" s="30"/>
      <c r="R11" s="30"/>
      <c r="S11" s="30"/>
      <c r="T11" s="30"/>
      <c r="U11" s="26"/>
      <c r="W11" s="197" t="s">
        <v>157</v>
      </c>
      <c r="X11" s="196">
        <v>5.6488999999999998E-2</v>
      </c>
    </row>
    <row r="12" spans="1:24" ht="15" customHeight="1" x14ac:dyDescent="0.25">
      <c r="B12" s="75"/>
      <c r="C12" s="211" t="s">
        <v>191</v>
      </c>
      <c r="D12" s="224" t="s">
        <v>141</v>
      </c>
      <c r="E12" s="225">
        <v>4.9824E-2</v>
      </c>
      <c r="F12" s="30"/>
      <c r="G12" s="30"/>
      <c r="H12" s="30"/>
      <c r="I12" s="30"/>
      <c r="J12" s="30"/>
      <c r="K12" s="30"/>
      <c r="L12" s="30"/>
      <c r="M12" s="30"/>
      <c r="N12" s="30"/>
      <c r="O12" s="30"/>
      <c r="P12" s="30"/>
      <c r="Q12" s="30"/>
      <c r="R12" s="30"/>
      <c r="S12" s="30"/>
      <c r="T12" s="30"/>
      <c r="U12" s="26"/>
      <c r="W12" s="197" t="s">
        <v>24</v>
      </c>
      <c r="X12" s="196">
        <v>1.4285000000000001E-2</v>
      </c>
    </row>
    <row r="13" spans="1:24" ht="15" customHeight="1" x14ac:dyDescent="0.25">
      <c r="B13" s="75"/>
      <c r="C13" s="211" t="s">
        <v>137</v>
      </c>
      <c r="D13" s="224" t="s">
        <v>138</v>
      </c>
      <c r="E13" s="225">
        <v>4.3577999999999999E-2</v>
      </c>
      <c r="F13" s="30"/>
      <c r="G13" s="30"/>
      <c r="H13" s="30"/>
      <c r="I13" s="30"/>
      <c r="J13" s="30"/>
      <c r="K13" s="30"/>
      <c r="L13" s="30"/>
      <c r="M13" s="30"/>
      <c r="N13" s="30"/>
      <c r="O13" s="30"/>
      <c r="P13" s="30"/>
      <c r="Q13" s="30"/>
      <c r="R13" s="30"/>
      <c r="S13" s="30"/>
      <c r="T13" s="30"/>
      <c r="U13" s="26"/>
      <c r="W13" s="70"/>
      <c r="X13" s="72"/>
    </row>
    <row r="14" spans="1:24" ht="15" customHeight="1" x14ac:dyDescent="0.25">
      <c r="B14" s="75"/>
      <c r="C14" s="211" t="s">
        <v>193</v>
      </c>
      <c r="D14" s="224" t="s">
        <v>141</v>
      </c>
      <c r="E14" s="225">
        <v>4.2424999999999997E-2</v>
      </c>
      <c r="F14" s="30"/>
      <c r="G14" s="30"/>
      <c r="H14" s="30"/>
      <c r="I14" s="30"/>
      <c r="J14" s="30"/>
      <c r="K14" s="30"/>
      <c r="L14" s="30"/>
      <c r="M14" s="30"/>
      <c r="N14" s="30"/>
      <c r="O14" s="30"/>
      <c r="P14" s="30"/>
      <c r="Q14" s="30"/>
      <c r="R14" s="30"/>
      <c r="S14" s="30"/>
      <c r="T14" s="30"/>
      <c r="U14" s="26"/>
      <c r="W14" s="70"/>
      <c r="X14" s="72"/>
    </row>
    <row r="15" spans="1:24" ht="15" customHeight="1" x14ac:dyDescent="0.25">
      <c r="B15" s="75"/>
      <c r="C15" s="211" t="s">
        <v>192</v>
      </c>
      <c r="D15" s="224" t="s">
        <v>154</v>
      </c>
      <c r="E15" s="225">
        <v>4.0260999999999998E-2</v>
      </c>
      <c r="F15" s="30"/>
      <c r="G15" s="30"/>
      <c r="H15" s="30"/>
      <c r="I15" s="30"/>
      <c r="J15" s="30"/>
      <c r="K15" s="30"/>
      <c r="L15" s="30"/>
      <c r="M15" s="30"/>
      <c r="N15" s="30"/>
      <c r="O15" s="30"/>
      <c r="P15" s="30"/>
      <c r="Q15" s="30"/>
      <c r="R15" s="30"/>
      <c r="S15" s="30"/>
      <c r="T15" s="30"/>
      <c r="U15" s="26"/>
      <c r="W15" s="70"/>
      <c r="X15" s="72"/>
    </row>
    <row r="16" spans="1:24" ht="15" customHeight="1" x14ac:dyDescent="0.25">
      <c r="B16" s="75"/>
      <c r="C16" s="211" t="s">
        <v>131</v>
      </c>
      <c r="D16" s="224" t="s">
        <v>154</v>
      </c>
      <c r="E16" s="225">
        <v>3.7665999999999998E-2</v>
      </c>
      <c r="F16" s="30"/>
      <c r="G16" s="30"/>
      <c r="H16" s="30"/>
      <c r="I16" s="30"/>
      <c r="J16" s="30"/>
      <c r="K16" s="30"/>
      <c r="L16" s="30"/>
      <c r="M16" s="30"/>
      <c r="N16" s="30"/>
      <c r="O16" s="30"/>
      <c r="P16" s="30"/>
      <c r="Q16" s="30"/>
      <c r="R16" s="30"/>
      <c r="S16" s="30"/>
      <c r="T16" s="30"/>
      <c r="U16" s="26"/>
      <c r="W16" s="70"/>
      <c r="X16" s="72"/>
    </row>
    <row r="17" spans="2:24" ht="15" customHeight="1" x14ac:dyDescent="0.25">
      <c r="B17" s="75"/>
      <c r="C17" s="211" t="s">
        <v>186</v>
      </c>
      <c r="D17" s="224" t="s">
        <v>157</v>
      </c>
      <c r="E17" s="225">
        <v>3.5360000000000003E-2</v>
      </c>
      <c r="F17" s="30"/>
      <c r="G17" s="30"/>
      <c r="H17" s="30"/>
      <c r="I17" s="30"/>
      <c r="J17" s="30"/>
      <c r="K17" s="30"/>
      <c r="L17" s="30"/>
      <c r="M17" s="30"/>
      <c r="N17" s="30"/>
      <c r="O17" s="30"/>
      <c r="P17" s="30"/>
      <c r="Q17" s="30"/>
      <c r="R17" s="30"/>
      <c r="S17" s="30"/>
      <c r="T17" s="30"/>
      <c r="U17" s="26"/>
      <c r="W17" s="70"/>
      <c r="X17" s="72"/>
    </row>
    <row r="18" spans="2:24" ht="15" customHeight="1" x14ac:dyDescent="0.25">
      <c r="B18" s="75"/>
      <c r="C18" s="211" t="s">
        <v>185</v>
      </c>
      <c r="D18" s="224" t="s">
        <v>138</v>
      </c>
      <c r="E18" s="225">
        <v>3.5275000000000001E-2</v>
      </c>
      <c r="F18" s="30"/>
      <c r="G18" s="30"/>
      <c r="H18" s="30"/>
      <c r="I18" s="30"/>
      <c r="J18" s="30"/>
      <c r="K18" s="30"/>
      <c r="L18" s="30"/>
      <c r="M18" s="30"/>
      <c r="N18" s="30"/>
      <c r="O18" s="30"/>
      <c r="P18" s="30"/>
      <c r="Q18" s="30"/>
      <c r="R18" s="30"/>
      <c r="S18" s="30"/>
      <c r="T18" s="30"/>
      <c r="U18" s="26"/>
      <c r="W18" s="70"/>
      <c r="X18" s="72"/>
    </row>
    <row r="19" spans="2:24" ht="15" customHeight="1" x14ac:dyDescent="0.25">
      <c r="B19" s="75"/>
      <c r="C19" s="211" t="s">
        <v>166</v>
      </c>
      <c r="D19" s="224" t="s">
        <v>154</v>
      </c>
      <c r="E19" s="225">
        <v>3.0280999999999999E-2</v>
      </c>
      <c r="F19" s="30"/>
      <c r="G19" s="30"/>
      <c r="H19" s="30"/>
      <c r="I19" s="30"/>
      <c r="J19" s="30"/>
      <c r="K19" s="30"/>
      <c r="L19" s="30"/>
      <c r="M19" s="30"/>
      <c r="N19" s="30"/>
      <c r="O19" s="30"/>
      <c r="P19" s="30"/>
      <c r="Q19" s="30"/>
      <c r="R19" s="30"/>
      <c r="S19" s="30"/>
      <c r="T19" s="30"/>
      <c r="U19" s="26"/>
      <c r="W19" s="70"/>
      <c r="X19" s="72"/>
    </row>
    <row r="20" spans="2:24" ht="15" customHeight="1" x14ac:dyDescent="0.25">
      <c r="B20" s="75"/>
      <c r="C20" s="211" t="s">
        <v>203</v>
      </c>
      <c r="D20" s="224" t="s">
        <v>138</v>
      </c>
      <c r="E20" s="225">
        <v>2.9833999999999999E-2</v>
      </c>
      <c r="F20" s="30"/>
      <c r="G20" s="30"/>
      <c r="H20" s="30"/>
      <c r="I20" s="30"/>
      <c r="J20" s="30"/>
      <c r="K20" s="30"/>
      <c r="L20" s="30"/>
      <c r="M20" s="30"/>
      <c r="N20" s="30"/>
      <c r="O20" s="30"/>
      <c r="P20" s="30"/>
      <c r="Q20" s="30"/>
      <c r="R20" s="30"/>
      <c r="S20" s="30"/>
      <c r="T20" s="30"/>
      <c r="U20" s="26"/>
      <c r="W20" s="70"/>
      <c r="X20" s="72"/>
    </row>
    <row r="21" spans="2:24" ht="15" customHeight="1" x14ac:dyDescent="0.25">
      <c r="B21" s="75"/>
      <c r="C21" s="211" t="s">
        <v>276</v>
      </c>
      <c r="D21" s="224" t="s">
        <v>138</v>
      </c>
      <c r="E21" s="225">
        <v>2.1932E-2</v>
      </c>
      <c r="F21" s="30"/>
      <c r="G21" s="30"/>
      <c r="H21" s="30"/>
      <c r="I21" s="30"/>
      <c r="J21" s="30"/>
      <c r="K21" s="30"/>
      <c r="L21" s="30"/>
      <c r="M21" s="30"/>
      <c r="N21" s="30"/>
      <c r="O21" s="30"/>
      <c r="P21" s="30"/>
      <c r="Q21" s="30"/>
      <c r="R21" s="30"/>
      <c r="S21" s="30"/>
      <c r="T21" s="30"/>
      <c r="U21" s="26"/>
      <c r="W21" s="70"/>
      <c r="X21" s="72"/>
    </row>
    <row r="22" spans="2:24" ht="15" customHeight="1" x14ac:dyDescent="0.25">
      <c r="B22" s="75"/>
      <c r="C22" s="211" t="s">
        <v>262</v>
      </c>
      <c r="D22" s="224" t="s">
        <v>157</v>
      </c>
      <c r="E22" s="225">
        <v>2.1128999999999998E-2</v>
      </c>
      <c r="F22" s="30"/>
      <c r="G22" s="30"/>
      <c r="H22" s="30"/>
      <c r="I22" s="30"/>
      <c r="J22" s="30"/>
      <c r="K22" s="30"/>
      <c r="L22" s="30"/>
      <c r="M22" s="30"/>
      <c r="N22" s="30"/>
      <c r="O22" s="30"/>
      <c r="P22" s="30"/>
      <c r="Q22" s="30"/>
      <c r="R22" s="30"/>
      <c r="S22" s="30"/>
      <c r="T22" s="30"/>
      <c r="U22" s="26"/>
      <c r="W22" s="70"/>
      <c r="X22" s="72"/>
    </row>
    <row r="23" spans="2:24" ht="15" customHeight="1" x14ac:dyDescent="0.25">
      <c r="B23" s="75"/>
      <c r="C23" s="15"/>
      <c r="D23" s="16"/>
      <c r="E23" s="17"/>
      <c r="F23" s="30"/>
      <c r="G23" s="30"/>
      <c r="H23" s="30"/>
      <c r="I23" s="30"/>
      <c r="J23" s="30"/>
      <c r="K23" s="30"/>
      <c r="L23" s="30"/>
      <c r="M23" s="30"/>
      <c r="N23" s="30"/>
      <c r="O23" s="30"/>
      <c r="P23" s="30"/>
      <c r="Q23" s="30"/>
      <c r="R23" s="30"/>
      <c r="S23" s="30"/>
      <c r="T23" s="30"/>
      <c r="U23" s="26"/>
      <c r="W23" s="70"/>
      <c r="X23" s="72"/>
    </row>
    <row r="24" spans="2:24" ht="15" customHeight="1" x14ac:dyDescent="0.25">
      <c r="B24" s="75"/>
      <c r="C24" s="85" t="s">
        <v>56</v>
      </c>
      <c r="D24" s="86"/>
      <c r="E24" s="87">
        <f>SUM(E8:E22)</f>
        <v>0.64745099999999978</v>
      </c>
      <c r="F24" s="30"/>
      <c r="G24" s="30"/>
      <c r="H24" s="30"/>
      <c r="I24" s="30"/>
      <c r="J24" s="30"/>
      <c r="K24" s="30"/>
      <c r="L24" s="30"/>
      <c r="M24" s="30"/>
      <c r="N24" s="30"/>
      <c r="O24" s="30"/>
      <c r="P24" s="30"/>
      <c r="Q24" s="30"/>
      <c r="R24" s="30"/>
      <c r="S24" s="30"/>
      <c r="T24" s="30"/>
      <c r="U24" s="26"/>
      <c r="W24" s="70"/>
      <c r="X24" s="72"/>
    </row>
    <row r="25" spans="2:24" ht="15" customHeight="1"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ht="15" customHeight="1"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ht="15" customHeight="1"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ht="15" customHeight="1"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ht="15" customHeight="1"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ht="15" customHeight="1"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ht="15" customHeight="1"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ht="15" customHeight="1"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ht="15" customHeight="1"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ht="15" customHeight="1"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ht="15" customHeight="1"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ht="15" customHeight="1"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 customHeight="1"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 customHeight="1" thickBot="1" x14ac:dyDescent="0.3">
      <c r="W38" s="70"/>
      <c r="X38" s="72"/>
    </row>
    <row r="39" spans="2:24" ht="15" customHeight="1" x14ac:dyDescent="0.25">
      <c r="B39" s="245" t="s">
        <v>265</v>
      </c>
      <c r="C39" s="246"/>
      <c r="D39" s="246"/>
      <c r="E39" s="246"/>
      <c r="F39" s="246"/>
      <c r="G39" s="246"/>
      <c r="H39" s="246"/>
      <c r="I39" s="246"/>
      <c r="J39" s="246"/>
      <c r="K39" s="246"/>
      <c r="L39" s="246"/>
      <c r="M39" s="246"/>
      <c r="N39" s="246"/>
      <c r="O39" s="246"/>
      <c r="P39" s="246"/>
      <c r="Q39" s="246"/>
      <c r="R39" s="247"/>
      <c r="W39" s="70"/>
      <c r="X39" s="72"/>
    </row>
    <row r="40" spans="2:24" ht="15" customHeight="1" x14ac:dyDescent="0.25">
      <c r="B40" s="248"/>
      <c r="C40" s="249"/>
      <c r="D40" s="249"/>
      <c r="E40" s="249"/>
      <c r="F40" s="249"/>
      <c r="G40" s="249"/>
      <c r="H40" s="249"/>
      <c r="I40" s="249"/>
      <c r="J40" s="249"/>
      <c r="K40" s="249"/>
      <c r="L40" s="249"/>
      <c r="M40" s="249"/>
      <c r="N40" s="249"/>
      <c r="O40" s="249"/>
      <c r="P40" s="249"/>
      <c r="Q40" s="249"/>
      <c r="R40" s="250"/>
      <c r="W40" s="70"/>
      <c r="X40" s="72"/>
    </row>
    <row r="41" spans="2:24" ht="15" customHeight="1" x14ac:dyDescent="0.25">
      <c r="B41" s="248"/>
      <c r="C41" s="249"/>
      <c r="D41" s="249"/>
      <c r="E41" s="249"/>
      <c r="F41" s="249"/>
      <c r="G41" s="249"/>
      <c r="H41" s="249"/>
      <c r="I41" s="249"/>
      <c r="J41" s="249"/>
      <c r="K41" s="249"/>
      <c r="L41" s="249"/>
      <c r="M41" s="249"/>
      <c r="N41" s="249"/>
      <c r="O41" s="249"/>
      <c r="P41" s="249"/>
      <c r="Q41" s="249"/>
      <c r="R41" s="250"/>
      <c r="W41" s="70"/>
      <c r="X41" s="72"/>
    </row>
    <row r="42" spans="2:24" ht="15" customHeight="1" x14ac:dyDescent="0.25">
      <c r="B42" s="248"/>
      <c r="C42" s="249"/>
      <c r="D42" s="249"/>
      <c r="E42" s="249"/>
      <c r="F42" s="249"/>
      <c r="G42" s="249"/>
      <c r="H42" s="249"/>
      <c r="I42" s="249"/>
      <c r="J42" s="249"/>
      <c r="K42" s="249"/>
      <c r="L42" s="249"/>
      <c r="M42" s="249"/>
      <c r="N42" s="249"/>
      <c r="O42" s="249"/>
      <c r="P42" s="249"/>
      <c r="Q42" s="249"/>
      <c r="R42" s="250"/>
      <c r="W42" s="70"/>
      <c r="X42" s="72"/>
    </row>
    <row r="43" spans="2:24" ht="15" customHeight="1" x14ac:dyDescent="0.25">
      <c r="B43" s="248"/>
      <c r="C43" s="249"/>
      <c r="D43" s="249"/>
      <c r="E43" s="249"/>
      <c r="F43" s="249"/>
      <c r="G43" s="249"/>
      <c r="H43" s="249"/>
      <c r="I43" s="249"/>
      <c r="J43" s="249"/>
      <c r="K43" s="249"/>
      <c r="L43" s="249"/>
      <c r="M43" s="249"/>
      <c r="N43" s="249"/>
      <c r="O43" s="249"/>
      <c r="P43" s="249"/>
      <c r="Q43" s="249"/>
      <c r="R43" s="250"/>
    </row>
    <row r="44" spans="2:24" ht="15" customHeight="1" x14ac:dyDescent="0.25">
      <c r="B44" s="248"/>
      <c r="C44" s="249"/>
      <c r="D44" s="249"/>
      <c r="E44" s="249"/>
      <c r="F44" s="249"/>
      <c r="G44" s="249"/>
      <c r="H44" s="249"/>
      <c r="I44" s="249"/>
      <c r="J44" s="249"/>
      <c r="K44" s="249"/>
      <c r="L44" s="249"/>
      <c r="M44" s="249"/>
      <c r="N44" s="249"/>
      <c r="O44" s="249"/>
      <c r="P44" s="249"/>
      <c r="Q44" s="249"/>
      <c r="R44" s="250"/>
    </row>
    <row r="45" spans="2:24" ht="27.75" customHeight="1" thickBot="1" x14ac:dyDescent="0.3">
      <c r="B45" s="251"/>
      <c r="C45" s="252"/>
      <c r="D45" s="252"/>
      <c r="E45" s="252"/>
      <c r="F45" s="252"/>
      <c r="G45" s="252"/>
      <c r="H45" s="252"/>
      <c r="I45" s="252"/>
      <c r="J45" s="252"/>
      <c r="K45" s="252"/>
      <c r="L45" s="252"/>
      <c r="M45" s="252"/>
      <c r="N45" s="252"/>
      <c r="O45" s="252"/>
      <c r="P45" s="252"/>
      <c r="Q45" s="252"/>
      <c r="R45" s="25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bestFit="1" customWidth="1"/>
    <col min="5" max="5" width="10.42578125" style="20" bestFit="1" customWidth="1"/>
    <col min="6" max="6" width="26.5703125" style="20" customWidth="1"/>
    <col min="7" max="7" width="13.7109375" style="20" bestFit="1" customWidth="1"/>
    <col min="8" max="8" width="12.7109375" style="20" bestFit="1" customWidth="1"/>
    <col min="9" max="18" width="9.140625" style="20"/>
    <col min="19" max="19" width="9.85546875" style="20" customWidth="1"/>
    <col min="20" max="20" width="9.140625" style="20"/>
    <col min="21" max="21" width="8.42578125" style="20" customWidth="1"/>
    <col min="22" max="16384" width="9.140625" style="20"/>
  </cols>
  <sheetData>
    <row r="1" spans="1:25" ht="15.75" customHeight="1" thickBot="1" x14ac:dyDescent="0.3">
      <c r="A1" s="3"/>
    </row>
    <row r="2" spans="1:25" ht="15" customHeight="1" x14ac:dyDescent="0.25">
      <c r="B2" s="89"/>
      <c r="C2" s="90"/>
      <c r="D2" s="90"/>
      <c r="E2" s="90"/>
      <c r="F2" s="90"/>
      <c r="G2" s="90"/>
      <c r="H2" s="90"/>
      <c r="I2" s="90"/>
      <c r="J2" s="90"/>
      <c r="K2" s="90"/>
      <c r="L2" s="90"/>
      <c r="M2" s="90"/>
      <c r="N2" s="90"/>
      <c r="O2" s="90"/>
      <c r="P2" s="90"/>
      <c r="Q2" s="90"/>
      <c r="R2" s="90"/>
      <c r="S2" s="90"/>
      <c r="T2" s="22"/>
    </row>
    <row r="3" spans="1:25" ht="20.25" customHeight="1" x14ac:dyDescent="0.25">
      <c r="B3" s="91"/>
      <c r="C3" s="254" t="s">
        <v>227</v>
      </c>
      <c r="D3" s="255"/>
      <c r="E3" s="255"/>
      <c r="F3" s="255"/>
      <c r="G3" s="255"/>
      <c r="H3" s="255"/>
      <c r="I3" s="255"/>
      <c r="J3" s="255"/>
      <c r="K3" s="255"/>
      <c r="L3" s="255"/>
      <c r="M3" s="255"/>
      <c r="N3" s="255"/>
      <c r="O3" s="255"/>
      <c r="P3" s="255"/>
      <c r="Q3" s="255"/>
      <c r="R3" s="255"/>
      <c r="S3" s="255"/>
      <c r="T3" s="23"/>
    </row>
    <row r="4" spans="1:25" ht="15.75" customHeight="1" x14ac:dyDescent="0.25">
      <c r="B4" s="91"/>
      <c r="C4" s="78" t="s">
        <v>303</v>
      </c>
      <c r="D4" s="30"/>
      <c r="E4" s="30"/>
      <c r="F4" s="30"/>
      <c r="G4" s="30"/>
      <c r="H4" s="30"/>
      <c r="I4" s="30"/>
      <c r="J4" s="30"/>
      <c r="K4" s="30"/>
      <c r="L4" s="30"/>
      <c r="M4" s="30"/>
      <c r="N4" s="30"/>
      <c r="O4" s="30"/>
      <c r="P4" s="30"/>
      <c r="Q4" s="30"/>
      <c r="R4" s="30"/>
      <c r="S4" s="30"/>
      <c r="T4" s="23"/>
    </row>
    <row r="5" spans="1:25" ht="18" customHeight="1" x14ac:dyDescent="0.25">
      <c r="B5" s="91"/>
      <c r="C5" s="79" t="s">
        <v>304</v>
      </c>
      <c r="D5" s="256" t="s">
        <v>288</v>
      </c>
      <c r="E5" s="256"/>
      <c r="F5" s="30"/>
      <c r="G5" s="30"/>
      <c r="H5" s="30"/>
      <c r="I5" s="30"/>
      <c r="J5" s="30"/>
      <c r="K5" s="30"/>
      <c r="L5" s="30"/>
      <c r="M5" s="30"/>
      <c r="N5" s="30"/>
      <c r="O5" s="30"/>
      <c r="P5" s="30"/>
      <c r="Q5" s="30"/>
      <c r="R5" s="30"/>
      <c r="S5" s="30"/>
      <c r="T5" s="23"/>
    </row>
    <row r="6" spans="1:25" ht="15" customHeight="1" x14ac:dyDescent="0.25">
      <c r="B6" s="91"/>
      <c r="C6" s="30"/>
      <c r="D6" s="30"/>
      <c r="E6" s="30"/>
      <c r="F6" s="30"/>
      <c r="G6" s="30"/>
      <c r="H6" s="30"/>
      <c r="I6" s="30"/>
      <c r="J6" s="30"/>
      <c r="K6" s="30"/>
      <c r="L6" s="30"/>
      <c r="M6" s="30"/>
      <c r="N6" s="30"/>
      <c r="O6" s="30"/>
      <c r="P6" s="30"/>
      <c r="Q6" s="30"/>
      <c r="R6" s="30"/>
      <c r="S6" s="30"/>
      <c r="T6" s="23"/>
    </row>
    <row r="7" spans="1:25"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5" ht="15" customHeight="1" x14ac:dyDescent="0.25">
      <c r="B8" s="91"/>
      <c r="C8" s="221" t="s">
        <v>33</v>
      </c>
      <c r="D8" s="222" t="s">
        <v>3</v>
      </c>
      <c r="E8" s="223">
        <v>7.9036999999999996E-2</v>
      </c>
      <c r="F8" s="30"/>
      <c r="G8" s="30"/>
      <c r="H8" s="30"/>
      <c r="I8" s="30"/>
      <c r="J8" s="30"/>
      <c r="K8" s="30"/>
      <c r="L8" s="30"/>
      <c r="M8" s="30"/>
      <c r="N8" s="30"/>
      <c r="O8" s="30"/>
      <c r="P8" s="30"/>
      <c r="Q8" s="30"/>
      <c r="R8" s="30"/>
      <c r="S8" s="30"/>
      <c r="T8" s="23"/>
      <c r="W8" s="70" t="s">
        <v>3</v>
      </c>
      <c r="X8" s="72">
        <v>0.18696000000000002</v>
      </c>
      <c r="Y8" s="166"/>
    </row>
    <row r="9" spans="1:25" ht="15.75" customHeight="1" x14ac:dyDescent="0.25">
      <c r="B9" s="91"/>
      <c r="C9" s="211" t="s">
        <v>32</v>
      </c>
      <c r="D9" s="224" t="s">
        <v>6</v>
      </c>
      <c r="E9" s="225">
        <v>3.9239999999999997E-2</v>
      </c>
      <c r="F9" s="30"/>
      <c r="G9" s="30"/>
      <c r="H9" s="30"/>
      <c r="I9" s="30"/>
      <c r="J9" s="30"/>
      <c r="K9" s="30"/>
      <c r="L9" s="30"/>
      <c r="M9" s="30"/>
      <c r="N9" s="30"/>
      <c r="O9" s="30"/>
      <c r="P9" s="30"/>
      <c r="Q9" s="30"/>
      <c r="R9" s="30"/>
      <c r="S9" s="30"/>
      <c r="T9" s="23"/>
      <c r="W9" s="70" t="s">
        <v>135</v>
      </c>
      <c r="X9" s="72">
        <v>8.6331000000000005E-2</v>
      </c>
      <c r="Y9" s="166"/>
    </row>
    <row r="10" spans="1:25" ht="15" customHeight="1" x14ac:dyDescent="0.25">
      <c r="B10" s="91"/>
      <c r="C10" s="211" t="s">
        <v>37</v>
      </c>
      <c r="D10" s="224" t="s">
        <v>3</v>
      </c>
      <c r="E10" s="225">
        <v>3.9093000000000003E-2</v>
      </c>
      <c r="F10" s="30"/>
      <c r="G10" s="30"/>
      <c r="H10" s="30"/>
      <c r="I10" s="30"/>
      <c r="J10" s="30"/>
      <c r="K10" s="30"/>
      <c r="L10" s="30"/>
      <c r="M10" s="30"/>
      <c r="N10" s="30"/>
      <c r="O10" s="30"/>
      <c r="P10" s="30"/>
      <c r="Q10" s="30"/>
      <c r="R10" s="30"/>
      <c r="S10" s="30"/>
      <c r="T10" s="23"/>
      <c r="W10" s="70" t="s">
        <v>140</v>
      </c>
      <c r="X10" s="72">
        <v>6.4410000000000009E-2</v>
      </c>
      <c r="Y10" s="166"/>
    </row>
    <row r="11" spans="1:25" ht="15" customHeight="1" x14ac:dyDescent="0.25">
      <c r="B11" s="91"/>
      <c r="C11" s="211" t="s">
        <v>28</v>
      </c>
      <c r="D11" s="224" t="s">
        <v>135</v>
      </c>
      <c r="E11" s="225">
        <v>3.9E-2</v>
      </c>
      <c r="F11" s="30"/>
      <c r="G11" s="30"/>
      <c r="H11" s="30"/>
      <c r="I11" s="30"/>
      <c r="J11" s="30"/>
      <c r="K11" s="30"/>
      <c r="L11" s="30"/>
      <c r="M11" s="30"/>
      <c r="N11" s="30"/>
      <c r="O11" s="30"/>
      <c r="P11" s="30"/>
      <c r="Q11" s="30"/>
      <c r="R11" s="30"/>
      <c r="S11" s="30"/>
      <c r="T11" s="23"/>
      <c r="W11" s="70" t="s">
        <v>141</v>
      </c>
      <c r="X11" s="72">
        <v>5.3109000000000003E-2</v>
      </c>
      <c r="Y11" s="166"/>
    </row>
    <row r="12" spans="1:25" ht="15" customHeight="1" x14ac:dyDescent="0.25">
      <c r="B12" s="91"/>
      <c r="C12" s="211" t="s">
        <v>29</v>
      </c>
      <c r="D12" s="224" t="s">
        <v>3</v>
      </c>
      <c r="E12" s="225">
        <v>3.7064E-2</v>
      </c>
      <c r="F12" s="30"/>
      <c r="G12" s="30"/>
      <c r="H12" s="30"/>
      <c r="I12" s="30"/>
      <c r="J12" s="30"/>
      <c r="K12" s="30"/>
      <c r="L12" s="30"/>
      <c r="M12" s="30"/>
      <c r="N12" s="30"/>
      <c r="O12" s="30"/>
      <c r="P12" s="30"/>
      <c r="Q12" s="30"/>
      <c r="R12" s="30"/>
      <c r="S12" s="30"/>
      <c r="T12" s="23"/>
      <c r="W12" s="70" t="s">
        <v>4</v>
      </c>
      <c r="X12" s="72">
        <v>5.2017999999999995E-2</v>
      </c>
      <c r="Y12" s="166"/>
    </row>
    <row r="13" spans="1:25" ht="15" customHeight="1" x14ac:dyDescent="0.25">
      <c r="B13" s="91"/>
      <c r="C13" s="211" t="s">
        <v>93</v>
      </c>
      <c r="D13" s="224" t="s">
        <v>3</v>
      </c>
      <c r="E13" s="225">
        <v>3.1766000000000003E-2</v>
      </c>
      <c r="F13" s="30"/>
      <c r="G13" s="30"/>
      <c r="H13" s="30"/>
      <c r="I13" s="30"/>
      <c r="J13" s="30"/>
      <c r="K13" s="30"/>
      <c r="L13" s="30"/>
      <c r="M13" s="30"/>
      <c r="N13" s="30"/>
      <c r="O13" s="30"/>
      <c r="P13" s="30"/>
      <c r="Q13" s="30"/>
      <c r="R13" s="30"/>
      <c r="S13" s="30"/>
      <c r="T13" s="23"/>
      <c r="W13" s="70" t="s">
        <v>97</v>
      </c>
      <c r="X13" s="72">
        <v>4.2151000000000001E-2</v>
      </c>
      <c r="Y13" s="166"/>
    </row>
    <row r="14" spans="1:25" ht="15" customHeight="1" x14ac:dyDescent="0.25">
      <c r="B14" s="91"/>
      <c r="C14" s="211" t="s">
        <v>94</v>
      </c>
      <c r="D14" s="224" t="s">
        <v>141</v>
      </c>
      <c r="E14" s="225">
        <v>2.9985999999999999E-2</v>
      </c>
      <c r="F14" s="30"/>
      <c r="G14" s="30"/>
      <c r="H14" s="30"/>
      <c r="I14" s="30"/>
      <c r="J14" s="30"/>
      <c r="K14" s="30"/>
      <c r="L14" s="30"/>
      <c r="M14" s="30"/>
      <c r="N14" s="30"/>
      <c r="O14" s="30"/>
      <c r="P14" s="30"/>
      <c r="Q14" s="30"/>
      <c r="R14" s="30"/>
      <c r="S14" s="30"/>
      <c r="T14" s="23"/>
      <c r="W14" s="70" t="s">
        <v>148</v>
      </c>
      <c r="X14" s="72">
        <v>4.2132000000000003E-2</v>
      </c>
      <c r="Y14" s="166"/>
    </row>
    <row r="15" spans="1:25" ht="15" customHeight="1" x14ac:dyDescent="0.25">
      <c r="B15" s="91"/>
      <c r="C15" s="211" t="s">
        <v>76</v>
      </c>
      <c r="D15" s="224" t="s">
        <v>12</v>
      </c>
      <c r="E15" s="225">
        <v>2.4677000000000001E-2</v>
      </c>
      <c r="F15" s="30"/>
      <c r="G15" s="30"/>
      <c r="H15" s="30"/>
      <c r="I15" s="30"/>
      <c r="J15" s="30"/>
      <c r="K15" s="30"/>
      <c r="L15" s="30"/>
      <c r="M15" s="30"/>
      <c r="N15" s="30"/>
      <c r="O15" s="30"/>
      <c r="P15" s="30"/>
      <c r="Q15" s="30"/>
      <c r="R15" s="30"/>
      <c r="S15" s="30"/>
      <c r="T15" s="23"/>
      <c r="W15" s="70" t="s">
        <v>6</v>
      </c>
      <c r="X15" s="72">
        <v>3.9239999999999997E-2</v>
      </c>
      <c r="Y15" s="166"/>
    </row>
    <row r="16" spans="1:25" ht="15" customHeight="1" x14ac:dyDescent="0.25">
      <c r="B16" s="91"/>
      <c r="C16" s="211" t="s">
        <v>30</v>
      </c>
      <c r="D16" s="224" t="s">
        <v>4</v>
      </c>
      <c r="E16" s="225">
        <v>2.4590999999999998E-2</v>
      </c>
      <c r="F16" s="30"/>
      <c r="G16" s="30"/>
      <c r="H16" s="30"/>
      <c r="I16" s="30"/>
      <c r="J16" s="30"/>
      <c r="K16" s="30"/>
      <c r="L16" s="30"/>
      <c r="M16" s="30"/>
      <c r="N16" s="30"/>
      <c r="O16" s="30"/>
      <c r="P16" s="30"/>
      <c r="Q16" s="30"/>
      <c r="R16" s="30"/>
      <c r="S16" s="30"/>
      <c r="T16" s="23"/>
      <c r="W16" s="70" t="s">
        <v>138</v>
      </c>
      <c r="X16" s="72">
        <v>3.8148000000000001E-2</v>
      </c>
      <c r="Y16" s="166"/>
    </row>
    <row r="17" spans="2:25" ht="15" customHeight="1" x14ac:dyDescent="0.25">
      <c r="B17" s="91"/>
      <c r="C17" s="211" t="s">
        <v>131</v>
      </c>
      <c r="D17" s="224" t="s">
        <v>154</v>
      </c>
      <c r="E17" s="225">
        <v>2.3269000000000001E-2</v>
      </c>
      <c r="F17" s="30"/>
      <c r="G17" s="30"/>
      <c r="H17" s="30"/>
      <c r="I17" s="30"/>
      <c r="J17" s="30"/>
      <c r="K17" s="30"/>
      <c r="L17" s="30"/>
      <c r="M17" s="30"/>
      <c r="N17" s="30"/>
      <c r="O17" s="30"/>
      <c r="P17" s="30"/>
      <c r="Q17" s="30"/>
      <c r="R17" s="30"/>
      <c r="S17" s="30"/>
      <c r="T17" s="23"/>
      <c r="W17" s="70" t="s">
        <v>23</v>
      </c>
      <c r="X17" s="72">
        <v>3.5154999999999999E-2</v>
      </c>
      <c r="Y17" s="166"/>
    </row>
    <row r="18" spans="2:25" ht="15" customHeight="1" x14ac:dyDescent="0.25">
      <c r="B18" s="91"/>
      <c r="C18" s="211" t="s">
        <v>149</v>
      </c>
      <c r="D18" s="224" t="s">
        <v>141</v>
      </c>
      <c r="E18" s="225">
        <v>2.3123000000000001E-2</v>
      </c>
      <c r="F18" s="30"/>
      <c r="G18" s="30"/>
      <c r="H18" s="30"/>
      <c r="I18" s="30"/>
      <c r="J18" s="30"/>
      <c r="K18" s="30"/>
      <c r="L18" s="30"/>
      <c r="M18" s="30"/>
      <c r="N18" s="30"/>
      <c r="O18" s="30"/>
      <c r="P18" s="30"/>
      <c r="Q18" s="30"/>
      <c r="R18" s="30"/>
      <c r="S18" s="30"/>
      <c r="T18" s="23"/>
      <c r="W18" s="70" t="s">
        <v>154</v>
      </c>
      <c r="X18" s="72">
        <v>3.4447000000000005E-2</v>
      </c>
      <c r="Y18" s="166"/>
    </row>
    <row r="19" spans="2:25" ht="15" customHeight="1" x14ac:dyDescent="0.25">
      <c r="B19" s="91"/>
      <c r="C19" s="211" t="s">
        <v>204</v>
      </c>
      <c r="D19" s="224" t="s">
        <v>23</v>
      </c>
      <c r="E19" s="225">
        <v>2.2582999999999999E-2</v>
      </c>
      <c r="F19" s="30"/>
      <c r="G19" s="30"/>
      <c r="H19" s="30"/>
      <c r="I19" s="30"/>
      <c r="J19" s="30"/>
      <c r="K19" s="30"/>
      <c r="L19" s="30"/>
      <c r="M19" s="30"/>
      <c r="N19" s="30"/>
      <c r="O19" s="30"/>
      <c r="P19" s="30"/>
      <c r="Q19" s="30"/>
      <c r="R19" s="30"/>
      <c r="S19" s="30"/>
      <c r="T19" s="23"/>
      <c r="W19" s="70" t="s">
        <v>24</v>
      </c>
      <c r="X19" s="72">
        <v>3.1307000000000001E-2</v>
      </c>
      <c r="Y19" s="166"/>
    </row>
    <row r="20" spans="2:25" ht="15" customHeight="1" x14ac:dyDescent="0.25">
      <c r="B20" s="91"/>
      <c r="C20" s="211" t="s">
        <v>115</v>
      </c>
      <c r="D20" s="224" t="s">
        <v>148</v>
      </c>
      <c r="E20" s="225">
        <v>2.1521999999999999E-2</v>
      </c>
      <c r="F20" s="30"/>
      <c r="G20" s="30"/>
      <c r="H20" s="30"/>
      <c r="I20" s="30"/>
      <c r="J20" s="30"/>
      <c r="K20" s="30"/>
      <c r="L20" s="30"/>
      <c r="M20" s="30"/>
      <c r="N20" s="30"/>
      <c r="O20" s="30"/>
      <c r="P20" s="30"/>
      <c r="Q20" s="30"/>
      <c r="R20" s="30"/>
      <c r="S20" s="30"/>
      <c r="T20" s="23"/>
      <c r="W20" s="70" t="s">
        <v>145</v>
      </c>
      <c r="X20" s="72">
        <v>3.0793000000000001E-2</v>
      </c>
      <c r="Y20" s="166"/>
    </row>
    <row r="21" spans="2:25" ht="15" customHeight="1" x14ac:dyDescent="0.25">
      <c r="B21" s="91"/>
      <c r="C21" s="211" t="s">
        <v>195</v>
      </c>
      <c r="D21" s="224" t="s">
        <v>148</v>
      </c>
      <c r="E21" s="225">
        <v>2.061E-2</v>
      </c>
      <c r="F21" s="30"/>
      <c r="G21" s="30"/>
      <c r="H21" s="30"/>
      <c r="I21" s="30"/>
      <c r="J21" s="30"/>
      <c r="K21" s="30"/>
      <c r="L21" s="30"/>
      <c r="M21" s="30"/>
      <c r="N21" s="30"/>
      <c r="O21" s="30"/>
      <c r="P21" s="30"/>
      <c r="Q21" s="30"/>
      <c r="R21" s="30"/>
      <c r="S21" s="30"/>
      <c r="T21" s="23"/>
      <c r="W21" s="70" t="s">
        <v>98</v>
      </c>
      <c r="X21" s="72">
        <v>3.0012999999999998E-2</v>
      </c>
      <c r="Y21" s="166"/>
    </row>
    <row r="22" spans="2:25" ht="15" customHeight="1" x14ac:dyDescent="0.25">
      <c r="B22" s="91"/>
      <c r="C22" s="211" t="s">
        <v>85</v>
      </c>
      <c r="D22" s="224" t="s">
        <v>11</v>
      </c>
      <c r="E22" s="225">
        <v>1.8135999999999999E-2</v>
      </c>
      <c r="F22" s="30"/>
      <c r="G22" s="30"/>
      <c r="H22" s="30"/>
      <c r="I22" s="30"/>
      <c r="J22" s="30"/>
      <c r="K22" s="30"/>
      <c r="L22" s="30"/>
      <c r="M22" s="30"/>
      <c r="N22" s="30"/>
      <c r="O22" s="30"/>
      <c r="P22" s="30"/>
      <c r="Q22" s="30"/>
      <c r="R22" s="30"/>
      <c r="S22" s="30"/>
      <c r="T22" s="23"/>
      <c r="W22" s="70" t="s">
        <v>11</v>
      </c>
      <c r="X22" s="72">
        <v>2.9666999999999999E-2</v>
      </c>
      <c r="Y22" s="166"/>
    </row>
    <row r="23" spans="2:25" ht="15" customHeight="1" x14ac:dyDescent="0.25">
      <c r="B23" s="91"/>
      <c r="C23" s="83"/>
      <c r="D23" s="83"/>
      <c r="E23" s="84"/>
      <c r="F23" s="30"/>
      <c r="G23" s="30"/>
      <c r="H23" s="30"/>
      <c r="I23" s="30"/>
      <c r="J23" s="30"/>
      <c r="K23" s="30"/>
      <c r="L23" s="30"/>
      <c r="M23" s="30"/>
      <c r="N23" s="30"/>
      <c r="O23" s="30"/>
      <c r="P23" s="30"/>
      <c r="Q23" s="30"/>
      <c r="R23" s="30"/>
      <c r="S23" s="30"/>
      <c r="T23" s="23"/>
      <c r="W23" s="70" t="s">
        <v>134</v>
      </c>
      <c r="X23" s="72">
        <v>2.7134999999999999E-2</v>
      </c>
      <c r="Y23" s="166"/>
    </row>
    <row r="24" spans="2:25" ht="15" customHeight="1" x14ac:dyDescent="0.25">
      <c r="B24" s="91"/>
      <c r="C24" s="85" t="s">
        <v>56</v>
      </c>
      <c r="D24" s="86"/>
      <c r="E24" s="87">
        <f>SUM(E8:E22)</f>
        <v>0.47369700000000003</v>
      </c>
      <c r="F24" s="30"/>
      <c r="G24" s="30"/>
      <c r="H24" s="30"/>
      <c r="I24" s="30"/>
      <c r="J24" s="30"/>
      <c r="K24" s="30"/>
      <c r="L24" s="30"/>
      <c r="M24" s="30"/>
      <c r="N24" s="30"/>
      <c r="O24" s="30"/>
      <c r="P24" s="30"/>
      <c r="Q24" s="30"/>
      <c r="R24" s="30"/>
      <c r="S24" s="30"/>
      <c r="T24" s="23"/>
      <c r="W24" s="70" t="s">
        <v>100</v>
      </c>
      <c r="X24" s="72">
        <v>2.6575000000000001E-2</v>
      </c>
      <c r="Y24" s="166"/>
    </row>
    <row r="25" spans="2:25" ht="15" customHeight="1" x14ac:dyDescent="0.25">
      <c r="B25" s="91"/>
      <c r="F25" s="30"/>
      <c r="G25" s="30"/>
      <c r="H25" s="30"/>
      <c r="I25" s="30"/>
      <c r="J25" s="30"/>
      <c r="K25" s="30"/>
      <c r="L25" s="30"/>
      <c r="M25" s="30"/>
      <c r="N25" s="30"/>
      <c r="O25" s="30"/>
      <c r="P25" s="30"/>
      <c r="Q25" s="30"/>
      <c r="R25" s="30"/>
      <c r="S25" s="30"/>
      <c r="T25" s="23"/>
      <c r="W25" s="70" t="s">
        <v>12</v>
      </c>
      <c r="X25" s="72">
        <v>2.4677000000000001E-2</v>
      </c>
      <c r="Y25" s="166"/>
    </row>
    <row r="26" spans="2:25" ht="15" customHeight="1" x14ac:dyDescent="0.25">
      <c r="B26" s="91"/>
      <c r="F26" s="30"/>
      <c r="G26" s="30"/>
      <c r="H26" s="30"/>
      <c r="I26" s="30"/>
      <c r="J26" s="30"/>
      <c r="K26" s="30"/>
      <c r="L26" s="30"/>
      <c r="M26" s="30"/>
      <c r="N26" s="30"/>
      <c r="O26" s="30"/>
      <c r="P26" s="30"/>
      <c r="Q26" s="30"/>
      <c r="R26" s="30"/>
      <c r="S26" s="30"/>
      <c r="T26" s="23"/>
      <c r="W26" s="70" t="s">
        <v>16</v>
      </c>
      <c r="X26" s="72">
        <v>1.8173999999999999E-2</v>
      </c>
      <c r="Y26" s="166"/>
    </row>
    <row r="27" spans="2:25" ht="15" customHeight="1" x14ac:dyDescent="0.25">
      <c r="B27" s="91"/>
      <c r="F27" s="30"/>
      <c r="G27" s="30"/>
      <c r="H27" s="30"/>
      <c r="I27" s="30"/>
      <c r="J27" s="30"/>
      <c r="K27" s="30"/>
      <c r="L27" s="30"/>
      <c r="M27" s="30"/>
      <c r="N27" s="30"/>
      <c r="O27" s="30"/>
      <c r="P27" s="30"/>
      <c r="Q27" s="30"/>
      <c r="R27" s="30"/>
      <c r="S27" s="30"/>
      <c r="T27" s="23"/>
      <c r="W27" s="70" t="s">
        <v>10</v>
      </c>
      <c r="X27" s="72">
        <v>1.4095999999999999E-2</v>
      </c>
      <c r="Y27" s="166"/>
    </row>
    <row r="28" spans="2:25" ht="15" customHeight="1" x14ac:dyDescent="0.25">
      <c r="B28" s="91"/>
      <c r="F28" s="30"/>
      <c r="G28" s="30"/>
      <c r="H28" s="30"/>
      <c r="I28" s="30"/>
      <c r="J28" s="30"/>
      <c r="K28" s="30"/>
      <c r="L28" s="30"/>
      <c r="M28" s="30"/>
      <c r="N28" s="30"/>
      <c r="O28" s="30"/>
      <c r="P28" s="30"/>
      <c r="Q28" s="30"/>
      <c r="R28" s="30"/>
      <c r="S28" s="30"/>
      <c r="T28" s="23"/>
      <c r="W28" s="63" t="s">
        <v>146</v>
      </c>
      <c r="X28" s="64">
        <v>1.2203E-2</v>
      </c>
      <c r="Y28" s="166"/>
    </row>
    <row r="29" spans="2:25" ht="15" customHeight="1" x14ac:dyDescent="0.25">
      <c r="B29" s="91"/>
      <c r="F29" s="30"/>
      <c r="G29" s="30"/>
      <c r="H29" s="30"/>
      <c r="I29" s="30"/>
      <c r="J29" s="30"/>
      <c r="K29" s="30"/>
      <c r="L29" s="30"/>
      <c r="M29" s="30"/>
      <c r="N29" s="30"/>
      <c r="O29" s="30"/>
      <c r="P29" s="30"/>
      <c r="Q29" s="30"/>
      <c r="R29" s="30"/>
      <c r="S29" s="30"/>
      <c r="T29" s="23"/>
      <c r="W29" s="63" t="s">
        <v>144</v>
      </c>
      <c r="X29" s="64">
        <v>1.1376000000000001E-2</v>
      </c>
      <c r="Y29" s="166"/>
    </row>
    <row r="30" spans="2:25" ht="15" customHeight="1" x14ac:dyDescent="0.25">
      <c r="B30" s="91"/>
      <c r="F30" s="30"/>
      <c r="G30" s="30"/>
      <c r="H30" s="30"/>
      <c r="I30" s="30"/>
      <c r="J30" s="30"/>
      <c r="K30" s="30"/>
      <c r="L30" s="30"/>
      <c r="M30" s="30"/>
      <c r="N30" s="30"/>
      <c r="O30" s="30"/>
      <c r="P30" s="30"/>
      <c r="Q30" s="30"/>
      <c r="R30" s="30"/>
      <c r="S30" s="30"/>
      <c r="T30" s="23"/>
      <c r="W30" s="63" t="s">
        <v>26</v>
      </c>
      <c r="X30" s="64">
        <v>7.607E-3</v>
      </c>
    </row>
    <row r="31" spans="2:25" ht="15" customHeight="1" x14ac:dyDescent="0.25">
      <c r="B31" s="91"/>
      <c r="F31" s="30"/>
      <c r="G31" s="30"/>
      <c r="H31" s="30"/>
      <c r="I31" s="30"/>
      <c r="J31" s="30"/>
      <c r="K31" s="30"/>
      <c r="L31" s="30"/>
      <c r="M31" s="30"/>
      <c r="N31" s="30"/>
      <c r="O31" s="30"/>
      <c r="P31" s="30"/>
      <c r="Q31" s="30"/>
      <c r="R31" s="30"/>
      <c r="S31" s="30"/>
      <c r="T31" s="23"/>
      <c r="W31" s="63" t="s">
        <v>136</v>
      </c>
      <c r="X31" s="64">
        <v>6.3309999999999998E-3</v>
      </c>
    </row>
    <row r="32" spans="2:25" ht="15" customHeight="1" x14ac:dyDescent="0.25">
      <c r="B32" s="91"/>
      <c r="F32" s="30"/>
      <c r="G32" s="30"/>
      <c r="H32" s="30"/>
      <c r="I32" s="30"/>
      <c r="J32" s="30"/>
      <c r="K32" s="30"/>
      <c r="L32" s="30"/>
      <c r="M32" s="30"/>
      <c r="N32" s="30"/>
      <c r="O32" s="30"/>
      <c r="P32" s="30"/>
      <c r="Q32" s="30"/>
      <c r="R32" s="30"/>
      <c r="S32" s="30"/>
      <c r="T32" s="23"/>
      <c r="W32" s="63"/>
      <c r="X32" s="64"/>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row>
    <row r="35" spans="2:24" ht="15" customHeight="1" x14ac:dyDescent="0.25">
      <c r="B35" s="91"/>
      <c r="F35" s="30"/>
      <c r="G35" s="30"/>
      <c r="H35" s="30"/>
      <c r="I35" s="30"/>
      <c r="J35" s="30"/>
      <c r="K35" s="30"/>
      <c r="L35" s="30"/>
      <c r="M35" s="30"/>
      <c r="N35" s="30"/>
      <c r="O35" s="30"/>
      <c r="P35" s="30"/>
      <c r="Q35" s="30"/>
      <c r="R35" s="30"/>
      <c r="S35" s="30"/>
      <c r="T35" s="23"/>
    </row>
    <row r="36" spans="2:24" ht="15" customHeight="1" x14ac:dyDescent="0.25">
      <c r="B36" s="91"/>
      <c r="F36" s="30"/>
      <c r="G36" s="30"/>
      <c r="H36" s="30"/>
      <c r="I36" s="30"/>
      <c r="J36" s="30"/>
      <c r="K36" s="30"/>
      <c r="L36" s="30"/>
      <c r="M36" s="30"/>
      <c r="N36" s="30"/>
      <c r="O36" s="30"/>
      <c r="P36" s="30"/>
      <c r="Q36" s="30"/>
      <c r="R36" s="30"/>
      <c r="S36" s="30"/>
      <c r="T36" s="23"/>
    </row>
    <row r="37" spans="2:24" ht="15" customHeight="1" x14ac:dyDescent="0.25">
      <c r="B37" s="91"/>
      <c r="F37" s="30"/>
      <c r="G37" s="30"/>
      <c r="H37" s="30"/>
      <c r="I37" s="30"/>
      <c r="J37" s="30"/>
      <c r="K37" s="30"/>
      <c r="L37" s="30"/>
      <c r="M37" s="30"/>
      <c r="N37" s="30"/>
      <c r="O37" s="30"/>
      <c r="P37" s="30"/>
      <c r="Q37" s="30"/>
      <c r="R37" s="30"/>
      <c r="S37" s="30"/>
      <c r="T37" s="23"/>
    </row>
    <row r="38" spans="2:24" ht="15" customHeight="1" thickBot="1" x14ac:dyDescent="0.3">
      <c r="B38" s="92"/>
      <c r="C38" s="93"/>
      <c r="D38" s="93"/>
      <c r="E38" s="93"/>
      <c r="F38" s="93"/>
      <c r="G38" s="93"/>
      <c r="H38" s="93"/>
      <c r="I38" s="93"/>
      <c r="J38" s="93"/>
      <c r="K38" s="93"/>
      <c r="L38" s="93"/>
      <c r="M38" s="93"/>
      <c r="N38" s="93"/>
      <c r="O38" s="93"/>
      <c r="P38" s="93"/>
      <c r="Q38" s="93"/>
      <c r="R38" s="93"/>
      <c r="S38" s="93"/>
      <c r="T38" s="24"/>
    </row>
    <row r="39" spans="2:24" ht="15" customHeight="1" thickBot="1" x14ac:dyDescent="0.3"/>
    <row r="40" spans="2:24" ht="15" customHeight="1" x14ac:dyDescent="0.25">
      <c r="B40" s="245" t="s">
        <v>265</v>
      </c>
      <c r="C40" s="246"/>
      <c r="D40" s="246"/>
      <c r="E40" s="246"/>
      <c r="F40" s="246"/>
      <c r="G40" s="246"/>
      <c r="H40" s="246"/>
      <c r="I40" s="246"/>
      <c r="J40" s="246"/>
      <c r="K40" s="246"/>
      <c r="L40" s="246"/>
      <c r="M40" s="246"/>
      <c r="N40" s="246"/>
      <c r="O40" s="246"/>
      <c r="P40" s="246"/>
      <c r="Q40" s="246"/>
      <c r="R40" s="247"/>
    </row>
    <row r="41" spans="2:24" ht="15" customHeight="1" x14ac:dyDescent="0.25">
      <c r="B41" s="248"/>
      <c r="C41" s="249"/>
      <c r="D41" s="249"/>
      <c r="E41" s="249"/>
      <c r="F41" s="249"/>
      <c r="G41" s="249"/>
      <c r="H41" s="249"/>
      <c r="I41" s="249"/>
      <c r="J41" s="249"/>
      <c r="K41" s="249"/>
      <c r="L41" s="249"/>
      <c r="M41" s="249"/>
      <c r="N41" s="249"/>
      <c r="O41" s="249"/>
      <c r="P41" s="249"/>
      <c r="Q41" s="249"/>
      <c r="R41" s="250"/>
    </row>
    <row r="42" spans="2:24" ht="15" customHeight="1" x14ac:dyDescent="0.25">
      <c r="B42" s="248"/>
      <c r="C42" s="249"/>
      <c r="D42" s="249"/>
      <c r="E42" s="249"/>
      <c r="F42" s="249"/>
      <c r="G42" s="249"/>
      <c r="H42" s="249"/>
      <c r="I42" s="249"/>
      <c r="J42" s="249"/>
      <c r="K42" s="249"/>
      <c r="L42" s="249"/>
      <c r="M42" s="249"/>
      <c r="N42" s="249"/>
      <c r="O42" s="249"/>
      <c r="P42" s="249"/>
      <c r="Q42" s="249"/>
      <c r="R42" s="250"/>
    </row>
    <row r="43" spans="2:24" ht="15" customHeight="1" x14ac:dyDescent="0.25">
      <c r="B43" s="248"/>
      <c r="C43" s="249"/>
      <c r="D43" s="249"/>
      <c r="E43" s="249"/>
      <c r="F43" s="249"/>
      <c r="G43" s="249"/>
      <c r="H43" s="249"/>
      <c r="I43" s="249"/>
      <c r="J43" s="249"/>
      <c r="K43" s="249"/>
      <c r="L43" s="249"/>
      <c r="M43" s="249"/>
      <c r="N43" s="249"/>
      <c r="O43" s="249"/>
      <c r="P43" s="249"/>
      <c r="Q43" s="249"/>
      <c r="R43" s="250"/>
    </row>
    <row r="44" spans="2:24" ht="15" customHeight="1" x14ac:dyDescent="0.25">
      <c r="B44" s="248"/>
      <c r="C44" s="249"/>
      <c r="D44" s="249"/>
      <c r="E44" s="249"/>
      <c r="F44" s="249"/>
      <c r="G44" s="249"/>
      <c r="H44" s="249"/>
      <c r="I44" s="249"/>
      <c r="J44" s="249"/>
      <c r="K44" s="249"/>
      <c r="L44" s="249"/>
      <c r="M44" s="249"/>
      <c r="N44" s="249"/>
      <c r="O44" s="249"/>
      <c r="P44" s="249"/>
      <c r="Q44" s="249"/>
      <c r="R44" s="250"/>
    </row>
    <row r="45" spans="2:24" ht="15" customHeight="1" x14ac:dyDescent="0.25">
      <c r="B45" s="248"/>
      <c r="C45" s="249"/>
      <c r="D45" s="249"/>
      <c r="E45" s="249"/>
      <c r="F45" s="249"/>
      <c r="G45" s="249"/>
      <c r="H45" s="249"/>
      <c r="I45" s="249"/>
      <c r="J45" s="249"/>
      <c r="K45" s="249"/>
      <c r="L45" s="249"/>
      <c r="M45" s="249"/>
      <c r="N45" s="249"/>
      <c r="O45" s="249"/>
      <c r="P45" s="249"/>
      <c r="Q45" s="249"/>
      <c r="R45" s="250"/>
    </row>
    <row r="46" spans="2:24" ht="15" customHeight="1" thickBot="1" x14ac:dyDescent="0.3">
      <c r="B46" s="251"/>
      <c r="C46" s="252"/>
      <c r="D46" s="252"/>
      <c r="E46" s="252"/>
      <c r="F46" s="252"/>
      <c r="G46" s="252"/>
      <c r="H46" s="252"/>
      <c r="I46" s="252"/>
      <c r="J46" s="252"/>
      <c r="K46" s="252"/>
      <c r="L46" s="252"/>
      <c r="M46" s="252"/>
      <c r="N46" s="252"/>
      <c r="O46" s="252"/>
      <c r="P46" s="252"/>
      <c r="Q46" s="252"/>
      <c r="R46" s="25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1"/>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103"/>
      <c r="C2" s="46"/>
      <c r="D2" s="46"/>
      <c r="E2" s="46"/>
      <c r="F2" s="46"/>
      <c r="G2" s="46"/>
      <c r="H2" s="46"/>
      <c r="I2" s="46"/>
      <c r="J2" s="46"/>
      <c r="K2" s="46"/>
      <c r="L2" s="46"/>
      <c r="M2" s="46"/>
      <c r="N2" s="46"/>
      <c r="O2" s="46"/>
      <c r="P2" s="46"/>
      <c r="Q2" s="104"/>
    </row>
    <row r="3" spans="2:27" ht="20.25" customHeight="1" x14ac:dyDescent="0.2">
      <c r="B3" s="105"/>
      <c r="C3" s="239" t="s">
        <v>225</v>
      </c>
      <c r="D3" s="239"/>
      <c r="E3" s="239"/>
      <c r="F3" s="239"/>
      <c r="G3" s="239"/>
      <c r="H3" s="239"/>
      <c r="I3" s="239"/>
      <c r="J3" s="239"/>
      <c r="K3" s="239"/>
      <c r="L3" s="239"/>
      <c r="M3" s="239"/>
      <c r="N3" s="239"/>
      <c r="O3" s="239"/>
      <c r="P3" s="239"/>
      <c r="Q3" s="21"/>
    </row>
    <row r="4" spans="2:27" ht="15.75" x14ac:dyDescent="0.25">
      <c r="B4" s="105"/>
      <c r="C4" s="78" t="s">
        <v>303</v>
      </c>
      <c r="D4" s="5"/>
      <c r="E4" s="5"/>
      <c r="F4" s="5"/>
      <c r="G4" s="5"/>
      <c r="H4" s="5"/>
      <c r="I4" s="5"/>
      <c r="J4" s="5"/>
      <c r="K4" s="5"/>
      <c r="L4" s="5"/>
      <c r="M4" s="5"/>
      <c r="N4" s="5"/>
      <c r="O4" s="5"/>
      <c r="P4" s="5"/>
      <c r="Q4" s="21"/>
    </row>
    <row r="5" spans="2:27" ht="20.25" x14ac:dyDescent="0.2">
      <c r="B5" s="105"/>
      <c r="C5" s="79" t="s">
        <v>304</v>
      </c>
      <c r="D5" s="256" t="s">
        <v>289</v>
      </c>
      <c r="E5" s="256"/>
      <c r="F5" s="5"/>
      <c r="G5" s="5"/>
      <c r="H5" s="5"/>
      <c r="I5" s="5"/>
      <c r="J5" s="5"/>
      <c r="K5" s="5"/>
      <c r="L5" s="5"/>
      <c r="M5" s="5"/>
      <c r="N5" s="5"/>
      <c r="O5" s="5"/>
      <c r="P5" s="5"/>
      <c r="Q5" s="21"/>
    </row>
    <row r="6" spans="2:27" x14ac:dyDescent="0.2">
      <c r="B6" s="105"/>
      <c r="C6" s="5"/>
      <c r="D6" s="5"/>
      <c r="E6" s="5"/>
      <c r="F6" s="5"/>
      <c r="G6" s="5"/>
      <c r="H6" s="5"/>
      <c r="I6" s="5"/>
      <c r="J6" s="5"/>
      <c r="K6" s="5"/>
      <c r="L6" s="5"/>
      <c r="M6" s="5"/>
      <c r="N6" s="5"/>
      <c r="O6" s="5"/>
      <c r="P6" s="5"/>
      <c r="Q6" s="21"/>
      <c r="R6" s="2"/>
      <c r="S6" s="2"/>
      <c r="T6" s="1"/>
    </row>
    <row r="7" spans="2:27" ht="32.25" customHeight="1" x14ac:dyDescent="0.2">
      <c r="B7" s="105"/>
      <c r="C7" s="107" t="s">
        <v>0</v>
      </c>
      <c r="D7" s="207" t="s">
        <v>1</v>
      </c>
      <c r="E7" s="107" t="s">
        <v>2</v>
      </c>
      <c r="F7" s="5"/>
      <c r="G7" s="5"/>
      <c r="H7" s="5"/>
      <c r="I7" s="5"/>
      <c r="J7" s="5"/>
      <c r="K7" s="5"/>
      <c r="L7" s="5"/>
      <c r="M7" s="5"/>
      <c r="N7" s="5"/>
      <c r="O7" s="5"/>
      <c r="P7" s="5"/>
      <c r="Q7" s="21"/>
      <c r="R7" s="12" t="s">
        <v>39</v>
      </c>
      <c r="S7" s="12" t="s">
        <v>226</v>
      </c>
      <c r="T7" s="188"/>
    </row>
    <row r="8" spans="2:27" ht="15.75" x14ac:dyDescent="0.25">
      <c r="B8" s="105"/>
      <c r="C8" s="39"/>
      <c r="D8" s="5"/>
      <c r="E8" s="33"/>
      <c r="F8" s="5"/>
      <c r="G8" s="5"/>
      <c r="H8" s="5"/>
      <c r="I8" s="5"/>
      <c r="J8" s="5"/>
      <c r="K8" s="5"/>
      <c r="L8" s="5"/>
      <c r="M8" s="5"/>
      <c r="N8" s="5"/>
      <c r="O8" s="5"/>
      <c r="P8" s="5"/>
      <c r="Q8" s="21"/>
      <c r="R8" s="12" t="s">
        <v>40</v>
      </c>
      <c r="S8" s="13">
        <f>E9</f>
        <v>0.72777400000000003</v>
      </c>
      <c r="T8" s="188"/>
      <c r="V8" s="63"/>
      <c r="W8" s="64"/>
      <c r="Z8" s="49"/>
      <c r="AA8" s="49"/>
    </row>
    <row r="9" spans="2:27" ht="15.75" x14ac:dyDescent="0.25">
      <c r="B9" s="105"/>
      <c r="C9" s="121" t="s">
        <v>40</v>
      </c>
      <c r="D9" s="206"/>
      <c r="E9" s="205">
        <v>0.72777400000000003</v>
      </c>
      <c r="F9" s="54"/>
      <c r="G9" s="5"/>
      <c r="H9" s="5"/>
      <c r="I9" s="5"/>
      <c r="J9" s="5"/>
      <c r="K9" s="5"/>
      <c r="L9" s="5"/>
      <c r="M9" s="5"/>
      <c r="N9" s="5"/>
      <c r="O9" s="5"/>
      <c r="P9" s="5"/>
      <c r="Q9" s="21"/>
      <c r="R9" s="12" t="s">
        <v>41</v>
      </c>
      <c r="S9" s="13">
        <f>100%-S8</f>
        <v>0.27222599999999997</v>
      </c>
      <c r="T9" s="188"/>
      <c r="V9" s="63"/>
      <c r="W9" s="64"/>
      <c r="Z9" s="49"/>
      <c r="AA9" s="49"/>
    </row>
    <row r="10" spans="2:27" ht="15.75" x14ac:dyDescent="0.25">
      <c r="B10" s="105"/>
      <c r="C10" s="39"/>
      <c r="D10" s="5"/>
      <c r="E10" s="39"/>
      <c r="F10" s="54"/>
      <c r="G10" s="5"/>
      <c r="H10" s="5"/>
      <c r="I10" s="5"/>
      <c r="J10" s="5"/>
      <c r="K10" s="5"/>
      <c r="L10" s="5"/>
      <c r="M10" s="5"/>
      <c r="N10" s="5"/>
      <c r="O10" s="5"/>
      <c r="P10" s="5"/>
      <c r="Q10" s="21"/>
      <c r="R10" s="189"/>
      <c r="S10" s="188"/>
      <c r="T10" s="188"/>
      <c r="V10" s="63"/>
      <c r="W10" s="64"/>
      <c r="Z10" s="49"/>
      <c r="AA10" s="49"/>
    </row>
    <row r="11" spans="2:27" ht="15.75" x14ac:dyDescent="0.25">
      <c r="B11" s="105"/>
      <c r="C11" s="121" t="s">
        <v>42</v>
      </c>
      <c r="D11" s="206"/>
      <c r="E11" s="205">
        <v>2.5604999999999999E-2</v>
      </c>
      <c r="F11" s="54"/>
      <c r="G11" s="5"/>
      <c r="H11" s="5"/>
      <c r="I11" s="5"/>
      <c r="J11" s="5"/>
      <c r="K11" s="5"/>
      <c r="L11" s="5"/>
      <c r="M11" s="5"/>
      <c r="N11" s="5"/>
      <c r="O11" s="5"/>
      <c r="P11" s="5"/>
      <c r="Q11" s="21"/>
      <c r="R11" s="14"/>
      <c r="S11" s="1"/>
      <c r="T11" s="1"/>
      <c r="V11" s="63"/>
      <c r="W11" s="64"/>
    </row>
    <row r="12" spans="2:27" ht="15.75" x14ac:dyDescent="0.25">
      <c r="B12" s="105"/>
      <c r="C12" s="126"/>
      <c r="D12" s="208"/>
      <c r="E12" s="127"/>
      <c r="F12" s="54"/>
      <c r="G12" s="5"/>
      <c r="H12" s="5"/>
      <c r="I12" s="5"/>
      <c r="J12" s="5"/>
      <c r="K12" s="5"/>
      <c r="L12" s="5"/>
      <c r="M12" s="5"/>
      <c r="N12" s="5"/>
      <c r="O12" s="5"/>
      <c r="P12" s="5"/>
      <c r="Q12" s="21"/>
      <c r="R12" s="14"/>
      <c r="S12" s="1"/>
      <c r="T12" s="1"/>
      <c r="V12" s="63"/>
      <c r="W12" s="64"/>
    </row>
    <row r="13" spans="2:27" ht="15.75" x14ac:dyDescent="0.25">
      <c r="B13" s="105"/>
      <c r="C13" s="121" t="s">
        <v>69</v>
      </c>
      <c r="D13" s="206"/>
      <c r="E13" s="205">
        <v>1.4012999999999999E-2</v>
      </c>
      <c r="F13" s="54"/>
      <c r="G13" s="5"/>
      <c r="H13" s="5"/>
      <c r="I13" s="5"/>
      <c r="J13" s="5"/>
      <c r="K13" s="5"/>
      <c r="L13" s="5"/>
      <c r="M13" s="5"/>
      <c r="N13" s="5"/>
      <c r="O13" s="5"/>
      <c r="P13" s="5"/>
      <c r="Q13" s="21"/>
      <c r="R13" s="56"/>
      <c r="V13" s="63"/>
      <c r="W13" s="64"/>
    </row>
    <row r="14" spans="2:27" ht="15.75" x14ac:dyDescent="0.25">
      <c r="B14" s="105"/>
      <c r="C14" s="39"/>
      <c r="D14" s="5"/>
      <c r="E14" s="39"/>
      <c r="F14" s="54"/>
      <c r="G14" s="5"/>
      <c r="H14" s="5"/>
      <c r="I14" s="5"/>
      <c r="J14" s="5"/>
      <c r="K14" s="5"/>
      <c r="L14" s="5"/>
      <c r="M14" s="5"/>
      <c r="N14" s="5"/>
      <c r="O14" s="5"/>
      <c r="P14" s="5"/>
      <c r="Q14" s="21"/>
      <c r="R14" s="56"/>
      <c r="V14" s="63"/>
      <c r="W14" s="64"/>
    </row>
    <row r="15" spans="2:27" ht="15.75" x14ac:dyDescent="0.25">
      <c r="B15" s="105"/>
      <c r="C15" s="121" t="s">
        <v>244</v>
      </c>
      <c r="D15" s="206"/>
      <c r="E15" s="205">
        <v>3.6191000000000001E-2</v>
      </c>
      <c r="F15" s="54"/>
      <c r="G15" s="5"/>
      <c r="H15" s="5"/>
      <c r="I15" s="5"/>
      <c r="J15" s="5"/>
      <c r="K15" s="5"/>
      <c r="L15" s="5"/>
      <c r="M15" s="5"/>
      <c r="N15" s="5"/>
      <c r="O15" s="5"/>
      <c r="P15" s="5"/>
      <c r="Q15" s="21"/>
      <c r="R15" s="56"/>
      <c r="V15" s="63"/>
      <c r="W15" s="64"/>
    </row>
    <row r="16" spans="2:27" ht="15.75" x14ac:dyDescent="0.25">
      <c r="B16" s="105"/>
      <c r="C16" s="39"/>
      <c r="D16" s="5"/>
      <c r="E16" s="39"/>
      <c r="F16" s="54"/>
      <c r="G16" s="5"/>
      <c r="H16" s="5"/>
      <c r="I16" s="5"/>
      <c r="J16" s="5"/>
      <c r="K16" s="5"/>
      <c r="L16" s="5"/>
      <c r="M16" s="5"/>
      <c r="N16" s="5"/>
      <c r="O16" s="5"/>
      <c r="P16" s="5"/>
      <c r="Q16" s="21"/>
      <c r="R16" s="56"/>
      <c r="V16" s="63"/>
      <c r="W16" s="64"/>
    </row>
    <row r="17" spans="1:27" ht="15.75" x14ac:dyDescent="0.25">
      <c r="B17" s="105"/>
      <c r="C17" s="121" t="s">
        <v>43</v>
      </c>
      <c r="D17" s="206"/>
      <c r="E17" s="205">
        <v>2.4098000000000001E-2</v>
      </c>
      <c r="F17" s="54"/>
      <c r="G17" s="30"/>
      <c r="H17" s="30"/>
      <c r="I17" s="30"/>
      <c r="J17" s="30"/>
      <c r="K17" s="30"/>
      <c r="L17" s="30"/>
      <c r="M17" s="30"/>
      <c r="N17" s="30"/>
      <c r="O17" s="30"/>
      <c r="P17" s="30"/>
      <c r="Q17" s="21"/>
      <c r="R17" s="56"/>
    </row>
    <row r="18" spans="1:27" ht="15.75" x14ac:dyDescent="0.25">
      <c r="B18" s="105"/>
      <c r="C18" s="39"/>
      <c r="D18" s="5"/>
      <c r="E18" s="39"/>
      <c r="F18" s="5"/>
      <c r="G18" s="30"/>
      <c r="H18" s="30"/>
      <c r="I18" s="30"/>
      <c r="J18" s="30"/>
      <c r="K18" s="30"/>
      <c r="L18" s="30"/>
      <c r="M18" s="30"/>
      <c r="N18" s="30"/>
      <c r="O18" s="30"/>
      <c r="P18" s="30"/>
      <c r="Q18" s="21"/>
      <c r="R18" s="56"/>
    </row>
    <row r="19" spans="1:27" ht="31.5" x14ac:dyDescent="0.2">
      <c r="B19" s="105"/>
      <c r="C19" s="121" t="s">
        <v>238</v>
      </c>
      <c r="D19" s="206"/>
      <c r="E19" s="205">
        <v>8.6358000000000004E-2</v>
      </c>
      <c r="F19" s="164"/>
      <c r="G19" s="5"/>
      <c r="H19" s="5"/>
      <c r="I19" s="5"/>
      <c r="J19" s="5"/>
      <c r="K19" s="5"/>
      <c r="L19" s="5"/>
      <c r="M19" s="5"/>
      <c r="N19" s="5"/>
      <c r="O19" s="5"/>
      <c r="P19" s="5"/>
      <c r="Q19" s="21"/>
      <c r="R19" s="56"/>
    </row>
    <row r="20" spans="1:27" x14ac:dyDescent="0.2">
      <c r="B20" s="105"/>
      <c r="C20" s="39"/>
      <c r="D20" s="5"/>
      <c r="E20" s="39"/>
      <c r="F20" s="5"/>
      <c r="G20" s="5"/>
      <c r="H20" s="5"/>
      <c r="I20" s="5"/>
      <c r="J20" s="5"/>
      <c r="K20" s="5"/>
      <c r="L20" s="5"/>
      <c r="M20" s="5"/>
      <c r="N20" s="5"/>
      <c r="O20" s="5"/>
      <c r="P20" s="5"/>
      <c r="Q20" s="21"/>
      <c r="R20" s="56"/>
    </row>
    <row r="21" spans="1:27" ht="15.75" x14ac:dyDescent="0.2">
      <c r="B21" s="105"/>
      <c r="C21" s="121" t="s">
        <v>80</v>
      </c>
      <c r="D21" s="206"/>
      <c r="E21" s="205">
        <v>7.0390000000000001E-3</v>
      </c>
      <c r="F21" s="164"/>
      <c r="G21" s="5"/>
      <c r="H21" s="5"/>
      <c r="I21" s="5"/>
      <c r="J21" s="5"/>
      <c r="K21" s="5"/>
      <c r="L21" s="5"/>
      <c r="M21" s="5"/>
      <c r="N21" s="5"/>
      <c r="O21" s="5"/>
      <c r="P21" s="5"/>
      <c r="Q21" s="21"/>
      <c r="R21" s="56"/>
    </row>
    <row r="22" spans="1:27" x14ac:dyDescent="0.2">
      <c r="B22" s="105"/>
      <c r="C22" s="39"/>
      <c r="D22" s="5"/>
      <c r="E22" s="39"/>
      <c r="F22" s="5"/>
      <c r="G22" s="5"/>
      <c r="H22" s="5"/>
      <c r="I22" s="5"/>
      <c r="J22" s="5"/>
      <c r="K22" s="5"/>
      <c r="L22" s="5"/>
      <c r="M22" s="5"/>
      <c r="N22" s="5"/>
      <c r="O22" s="5"/>
      <c r="P22" s="5"/>
      <c r="Q22" s="21"/>
      <c r="R22" s="56"/>
    </row>
    <row r="23" spans="1:27" ht="15.75" x14ac:dyDescent="0.2">
      <c r="B23" s="105"/>
      <c r="C23" s="121" t="s">
        <v>92</v>
      </c>
      <c r="D23" s="206"/>
      <c r="E23" s="205">
        <v>7.664E-2</v>
      </c>
      <c r="F23" s="32"/>
      <c r="G23" s="5"/>
      <c r="H23" s="5"/>
      <c r="I23" s="5"/>
      <c r="J23" s="5"/>
      <c r="K23" s="5"/>
      <c r="L23" s="5"/>
      <c r="M23" s="5"/>
      <c r="N23" s="5"/>
      <c r="O23" s="5"/>
      <c r="P23" s="5"/>
      <c r="Q23" s="21"/>
      <c r="R23" s="56"/>
    </row>
    <row r="24" spans="1:27" x14ac:dyDescent="0.2">
      <c r="B24" s="105"/>
      <c r="C24" s="39"/>
      <c r="D24" s="5"/>
      <c r="E24" s="39"/>
      <c r="F24" s="5"/>
      <c r="G24" s="5"/>
      <c r="H24" s="5"/>
      <c r="I24" s="5"/>
      <c r="J24" s="5"/>
      <c r="K24" s="5"/>
      <c r="L24" s="5"/>
      <c r="M24" s="5"/>
      <c r="N24" s="5"/>
      <c r="O24" s="5"/>
      <c r="P24" s="5"/>
      <c r="Q24" s="21"/>
      <c r="R24" s="56"/>
    </row>
    <row r="25" spans="1:27" ht="15.75" x14ac:dyDescent="0.2">
      <c r="B25" s="105"/>
      <c r="C25" s="121" t="s">
        <v>20</v>
      </c>
      <c r="D25" s="206"/>
      <c r="E25" s="205">
        <v>2.2819999999999785E-3</v>
      </c>
      <c r="F25" s="32"/>
      <c r="G25" s="5"/>
      <c r="H25" s="165"/>
      <c r="I25" s="5"/>
      <c r="J25" s="5"/>
      <c r="K25" s="5"/>
      <c r="L25" s="5"/>
      <c r="M25" s="5"/>
      <c r="N25" s="5"/>
      <c r="O25" s="5"/>
      <c r="P25" s="5"/>
      <c r="Q25" s="21"/>
      <c r="R25" s="56"/>
    </row>
    <row r="26" spans="1:27" x14ac:dyDescent="0.2">
      <c r="B26" s="105"/>
      <c r="C26" s="39"/>
      <c r="D26" s="5"/>
      <c r="E26" s="39"/>
      <c r="F26" s="5"/>
      <c r="G26" s="5"/>
      <c r="H26" s="5"/>
      <c r="I26" s="5"/>
      <c r="J26" s="5"/>
      <c r="K26" s="5"/>
      <c r="L26" s="5"/>
      <c r="M26" s="5"/>
      <c r="N26" s="5"/>
      <c r="O26" s="5"/>
      <c r="P26" s="5"/>
      <c r="Q26" s="21"/>
      <c r="R26" s="56"/>
    </row>
    <row r="27" spans="1:27" ht="15.75" x14ac:dyDescent="0.2">
      <c r="B27" s="105"/>
      <c r="C27" s="128" t="s">
        <v>21</v>
      </c>
      <c r="D27" s="209"/>
      <c r="E27" s="129">
        <f>E25+E23+E21+E19+E17+E13+E11+E9+E15</f>
        <v>1</v>
      </c>
      <c r="F27" s="5"/>
      <c r="G27" s="5"/>
      <c r="H27" s="5"/>
      <c r="I27" s="5"/>
      <c r="J27" s="5"/>
      <c r="K27" s="5"/>
      <c r="L27" s="5"/>
      <c r="M27" s="5"/>
      <c r="N27" s="5"/>
      <c r="O27" s="5"/>
      <c r="P27" s="5"/>
      <c r="Q27" s="21"/>
      <c r="R27" s="56"/>
    </row>
    <row r="28" spans="1:27" x14ac:dyDescent="0.2">
      <c r="B28" s="105"/>
      <c r="F28" s="5"/>
      <c r="G28" s="5"/>
      <c r="H28" s="5"/>
      <c r="I28" s="5"/>
      <c r="J28" s="5"/>
      <c r="K28" s="5"/>
      <c r="L28" s="5"/>
      <c r="M28" s="5"/>
      <c r="N28" s="5"/>
      <c r="O28" s="5"/>
      <c r="P28" s="5"/>
      <c r="Q28" s="21"/>
      <c r="R28" s="56"/>
    </row>
    <row r="29" spans="1:27" ht="15.75" thickBot="1" x14ac:dyDescent="0.25">
      <c r="A29" s="5"/>
      <c r="B29" s="108"/>
      <c r="C29" s="51"/>
      <c r="D29" s="51"/>
      <c r="E29" s="51"/>
      <c r="F29" s="51"/>
      <c r="G29" s="51"/>
      <c r="H29" s="51"/>
      <c r="I29" s="51"/>
      <c r="J29" s="51"/>
      <c r="K29" s="51"/>
      <c r="L29" s="51"/>
      <c r="M29" s="51"/>
      <c r="N29" s="51"/>
      <c r="O29" s="51"/>
      <c r="P29" s="51"/>
      <c r="Q29" s="132"/>
      <c r="R29" s="57"/>
      <c r="S29" s="5"/>
      <c r="T29" s="5"/>
      <c r="U29" s="5"/>
      <c r="V29" s="5"/>
      <c r="W29" s="5"/>
      <c r="X29" s="5"/>
      <c r="Y29" s="5"/>
      <c r="Z29" s="5"/>
      <c r="AA29" s="5"/>
    </row>
    <row r="30" spans="1:27" ht="15.75" thickBot="1" x14ac:dyDescent="0.25">
      <c r="A30" s="5"/>
      <c r="B30" s="5"/>
      <c r="C30" s="5"/>
      <c r="D30" s="5"/>
      <c r="E30" s="5"/>
      <c r="F30" s="5"/>
      <c r="G30" s="5"/>
      <c r="H30" s="5"/>
      <c r="I30" s="5"/>
      <c r="J30" s="5"/>
      <c r="K30" s="5"/>
      <c r="L30" s="5"/>
      <c r="M30" s="5"/>
      <c r="N30" s="5"/>
      <c r="O30" s="5"/>
      <c r="P30" s="5"/>
      <c r="Q30" s="5"/>
      <c r="R30" s="57"/>
      <c r="S30" s="5"/>
      <c r="T30" s="5"/>
      <c r="U30" s="5"/>
      <c r="V30" s="5"/>
      <c r="W30" s="5"/>
      <c r="X30" s="5"/>
      <c r="Y30" s="5"/>
      <c r="Z30" s="5"/>
      <c r="AA30" s="5"/>
    </row>
    <row r="31" spans="1:27" ht="15" customHeight="1" x14ac:dyDescent="0.2">
      <c r="A31" s="5"/>
      <c r="B31" s="245" t="s">
        <v>265</v>
      </c>
      <c r="C31" s="246"/>
      <c r="D31" s="246"/>
      <c r="E31" s="246"/>
      <c r="F31" s="246"/>
      <c r="G31" s="246"/>
      <c r="H31" s="246"/>
      <c r="I31" s="246"/>
      <c r="J31" s="246"/>
      <c r="K31" s="246"/>
      <c r="L31" s="246"/>
      <c r="M31" s="246"/>
      <c r="N31" s="246"/>
      <c r="O31" s="246"/>
      <c r="P31" s="246"/>
      <c r="Q31" s="246"/>
      <c r="R31" s="247"/>
      <c r="S31" s="5"/>
      <c r="T31" s="5"/>
      <c r="U31" s="5"/>
      <c r="V31" s="5"/>
      <c r="W31" s="5"/>
      <c r="X31" s="5"/>
      <c r="Y31" s="5"/>
      <c r="Z31" s="5"/>
      <c r="AA31" s="5"/>
    </row>
    <row r="32" spans="1:27" x14ac:dyDescent="0.2">
      <c r="A32" s="5"/>
      <c r="B32" s="248"/>
      <c r="C32" s="249"/>
      <c r="D32" s="249"/>
      <c r="E32" s="249"/>
      <c r="F32" s="249"/>
      <c r="G32" s="249"/>
      <c r="H32" s="249"/>
      <c r="I32" s="249"/>
      <c r="J32" s="249"/>
      <c r="K32" s="249"/>
      <c r="L32" s="249"/>
      <c r="M32" s="249"/>
      <c r="N32" s="249"/>
      <c r="O32" s="249"/>
      <c r="P32" s="249"/>
      <c r="Q32" s="249"/>
      <c r="R32" s="250"/>
      <c r="S32" s="5"/>
      <c r="T32" s="5"/>
      <c r="U32" s="5"/>
      <c r="V32" s="5"/>
      <c r="W32" s="5"/>
      <c r="X32" s="5"/>
      <c r="Y32" s="5"/>
      <c r="Z32" s="5"/>
      <c r="AA32" s="5"/>
    </row>
    <row r="33" spans="1:27" x14ac:dyDescent="0.2">
      <c r="A33" s="5"/>
      <c r="B33" s="248"/>
      <c r="C33" s="249"/>
      <c r="D33" s="249"/>
      <c r="E33" s="249"/>
      <c r="F33" s="249"/>
      <c r="G33" s="249"/>
      <c r="H33" s="249"/>
      <c r="I33" s="249"/>
      <c r="J33" s="249"/>
      <c r="K33" s="249"/>
      <c r="L33" s="249"/>
      <c r="M33" s="249"/>
      <c r="N33" s="249"/>
      <c r="O33" s="249"/>
      <c r="P33" s="249"/>
      <c r="Q33" s="249"/>
      <c r="R33" s="250"/>
      <c r="S33" s="5"/>
      <c r="T33" s="5"/>
      <c r="U33" s="5"/>
      <c r="V33" s="5"/>
      <c r="W33" s="5"/>
      <c r="X33" s="5"/>
      <c r="Y33" s="5"/>
      <c r="Z33" s="5"/>
      <c r="AA33" s="5"/>
    </row>
    <row r="34" spans="1:27" x14ac:dyDescent="0.2">
      <c r="A34" s="5"/>
      <c r="B34" s="248"/>
      <c r="C34" s="249"/>
      <c r="D34" s="249"/>
      <c r="E34" s="249"/>
      <c r="F34" s="249"/>
      <c r="G34" s="249"/>
      <c r="H34" s="249"/>
      <c r="I34" s="249"/>
      <c r="J34" s="249"/>
      <c r="K34" s="249"/>
      <c r="L34" s="249"/>
      <c r="M34" s="249"/>
      <c r="N34" s="249"/>
      <c r="O34" s="249"/>
      <c r="P34" s="249"/>
      <c r="Q34" s="249"/>
      <c r="R34" s="250"/>
      <c r="S34" s="5"/>
      <c r="T34" s="5"/>
      <c r="U34" s="5"/>
      <c r="V34" s="5"/>
      <c r="W34" s="5"/>
      <c r="X34" s="5"/>
      <c r="Y34" s="5"/>
      <c r="Z34" s="5"/>
      <c r="AA34" s="5"/>
    </row>
    <row r="35" spans="1:27" x14ac:dyDescent="0.2">
      <c r="A35" s="5"/>
      <c r="B35" s="248"/>
      <c r="C35" s="249"/>
      <c r="D35" s="249"/>
      <c r="E35" s="249"/>
      <c r="F35" s="249"/>
      <c r="G35" s="249"/>
      <c r="H35" s="249"/>
      <c r="I35" s="249"/>
      <c r="J35" s="249"/>
      <c r="K35" s="249"/>
      <c r="L35" s="249"/>
      <c r="M35" s="249"/>
      <c r="N35" s="249"/>
      <c r="O35" s="249"/>
      <c r="P35" s="249"/>
      <c r="Q35" s="249"/>
      <c r="R35" s="250"/>
      <c r="S35" s="5"/>
      <c r="T35" s="5"/>
      <c r="U35" s="5"/>
      <c r="V35" s="5"/>
      <c r="W35" s="5"/>
      <c r="X35" s="5"/>
      <c r="Y35" s="5"/>
      <c r="Z35" s="5"/>
      <c r="AA35" s="5"/>
    </row>
    <row r="36" spans="1:27" x14ac:dyDescent="0.2">
      <c r="A36" s="5"/>
      <c r="B36" s="248"/>
      <c r="C36" s="249"/>
      <c r="D36" s="249"/>
      <c r="E36" s="249"/>
      <c r="F36" s="249"/>
      <c r="G36" s="249"/>
      <c r="H36" s="249"/>
      <c r="I36" s="249"/>
      <c r="J36" s="249"/>
      <c r="K36" s="249"/>
      <c r="L36" s="249"/>
      <c r="M36" s="249"/>
      <c r="N36" s="249"/>
      <c r="O36" s="249"/>
      <c r="P36" s="249"/>
      <c r="Q36" s="249"/>
      <c r="R36" s="250"/>
      <c r="S36" s="5"/>
      <c r="T36" s="5"/>
      <c r="U36" s="5"/>
      <c r="V36" s="5"/>
      <c r="W36" s="5"/>
      <c r="X36" s="5"/>
      <c r="Y36" s="5"/>
      <c r="Z36" s="5"/>
      <c r="AA36" s="5"/>
    </row>
    <row r="37" spans="1:27" ht="15.75" thickBot="1" x14ac:dyDescent="0.25">
      <c r="A37" s="5"/>
      <c r="B37" s="251"/>
      <c r="C37" s="252"/>
      <c r="D37" s="252"/>
      <c r="E37" s="252"/>
      <c r="F37" s="252"/>
      <c r="G37" s="252"/>
      <c r="H37" s="252"/>
      <c r="I37" s="252"/>
      <c r="J37" s="252"/>
      <c r="K37" s="252"/>
      <c r="L37" s="252"/>
      <c r="M37" s="252"/>
      <c r="N37" s="252"/>
      <c r="O37" s="252"/>
      <c r="P37" s="252"/>
      <c r="Q37" s="252"/>
      <c r="R37" s="253"/>
      <c r="S37" s="5"/>
      <c r="T37" s="5"/>
      <c r="U37" s="5"/>
      <c r="V37" s="5"/>
      <c r="W37" s="5"/>
      <c r="X37" s="5"/>
      <c r="Y37" s="5"/>
      <c r="Z37" s="5"/>
      <c r="AA37" s="5"/>
    </row>
    <row r="38" spans="1:27" x14ac:dyDescent="0.2">
      <c r="A38" s="5"/>
      <c r="B38" s="5"/>
      <c r="F38" s="5"/>
      <c r="G38" s="5"/>
      <c r="H38" s="5"/>
      <c r="I38" s="5"/>
      <c r="J38" s="5"/>
      <c r="K38" s="5"/>
      <c r="L38" s="5"/>
      <c r="M38" s="5"/>
      <c r="N38" s="5"/>
      <c r="O38" s="5"/>
      <c r="P38" s="5"/>
      <c r="Q38" s="5"/>
      <c r="R38" s="57"/>
      <c r="S38" s="5"/>
      <c r="T38" s="5"/>
      <c r="U38" s="5"/>
      <c r="V38" s="5"/>
      <c r="W38" s="5"/>
      <c r="X38" s="5"/>
      <c r="Y38" s="5"/>
      <c r="Z38" s="5"/>
      <c r="AA38" s="5"/>
    </row>
    <row r="39" spans="1:27" x14ac:dyDescent="0.2">
      <c r="A39" s="5"/>
      <c r="B39" s="5"/>
      <c r="F39" s="5"/>
      <c r="G39" s="5"/>
      <c r="H39" s="5"/>
      <c r="I39" s="5"/>
      <c r="J39" s="5"/>
      <c r="K39" s="5"/>
      <c r="L39" s="5"/>
      <c r="M39" s="5"/>
      <c r="N39" s="5"/>
      <c r="O39" s="5"/>
      <c r="P39" s="5"/>
      <c r="Q39" s="5"/>
      <c r="R39" s="57"/>
      <c r="S39" s="5"/>
      <c r="T39" s="5"/>
      <c r="U39" s="5"/>
      <c r="V39" s="5"/>
      <c r="W39" s="5"/>
      <c r="X39" s="5"/>
      <c r="Y39" s="5"/>
      <c r="Z39" s="5"/>
      <c r="AA39" s="5"/>
    </row>
    <row r="40" spans="1:27" x14ac:dyDescent="0.2">
      <c r="A40" s="5"/>
      <c r="B40" s="5"/>
      <c r="F40" s="5"/>
      <c r="G40" s="5"/>
      <c r="H40" s="5"/>
      <c r="I40" s="5"/>
      <c r="J40" s="5"/>
      <c r="K40" s="5"/>
      <c r="L40" s="5"/>
      <c r="M40" s="5"/>
      <c r="N40" s="5"/>
      <c r="O40" s="5"/>
      <c r="P40" s="5"/>
      <c r="Q40" s="5"/>
      <c r="R40" s="57"/>
      <c r="S40" s="5"/>
      <c r="T40" s="5"/>
      <c r="U40" s="5"/>
      <c r="V40" s="5"/>
      <c r="W40" s="5"/>
      <c r="X40" s="5"/>
      <c r="Y40" s="5"/>
      <c r="Z40" s="5"/>
      <c r="AA40" s="5"/>
    </row>
    <row r="41" spans="1:27" x14ac:dyDescent="0.2">
      <c r="A41" s="5"/>
      <c r="B41" s="5"/>
      <c r="F41" s="5"/>
      <c r="G41" s="5"/>
      <c r="H41" s="5"/>
      <c r="I41" s="5"/>
      <c r="J41" s="5"/>
      <c r="K41" s="5"/>
      <c r="L41" s="5"/>
      <c r="M41" s="5"/>
      <c r="N41" s="5"/>
      <c r="O41" s="5"/>
      <c r="P41" s="5"/>
      <c r="Q41" s="5"/>
      <c r="R41" s="57"/>
      <c r="S41" s="5"/>
      <c r="T41" s="5"/>
      <c r="U41" s="5"/>
      <c r="V41" s="5"/>
      <c r="W41" s="5"/>
      <c r="X41" s="5"/>
      <c r="Y41" s="5"/>
      <c r="Z41" s="5"/>
      <c r="AA41" s="5"/>
    </row>
    <row r="42" spans="1:27" x14ac:dyDescent="0.2">
      <c r="A42" s="5"/>
      <c r="B42" s="5"/>
      <c r="F42" s="5"/>
      <c r="G42" s="5"/>
      <c r="H42" s="5"/>
      <c r="I42" s="5"/>
      <c r="J42" s="5"/>
      <c r="K42" s="5"/>
      <c r="L42" s="5"/>
      <c r="M42" s="5"/>
      <c r="N42" s="5"/>
      <c r="O42" s="5"/>
      <c r="P42" s="5"/>
      <c r="Q42" s="5"/>
      <c r="R42" s="57"/>
      <c r="S42" s="5"/>
      <c r="T42" s="5"/>
      <c r="U42" s="5"/>
      <c r="V42" s="5"/>
      <c r="W42" s="5"/>
      <c r="X42" s="5"/>
      <c r="Y42" s="5"/>
      <c r="Z42" s="5"/>
      <c r="AA42" s="5"/>
    </row>
    <row r="43" spans="1:27" x14ac:dyDescent="0.2">
      <c r="A43" s="5"/>
      <c r="B43" s="5"/>
      <c r="F43" s="5"/>
      <c r="G43" s="5"/>
      <c r="H43" s="5"/>
      <c r="I43" s="5"/>
      <c r="J43" s="5"/>
      <c r="K43" s="5"/>
      <c r="L43" s="5"/>
      <c r="M43" s="5"/>
      <c r="N43" s="5"/>
      <c r="O43" s="5"/>
      <c r="P43" s="5"/>
      <c r="Q43" s="5"/>
      <c r="R43" s="57"/>
      <c r="S43" s="5"/>
      <c r="T43" s="5"/>
      <c r="U43" s="5"/>
      <c r="V43" s="5"/>
      <c r="W43" s="5"/>
      <c r="X43" s="5"/>
      <c r="Y43" s="5"/>
      <c r="Z43" s="5"/>
      <c r="AA43" s="5"/>
    </row>
    <row r="44" spans="1:27" x14ac:dyDescent="0.2">
      <c r="A44" s="5"/>
      <c r="B44" s="5"/>
      <c r="F44" s="5"/>
      <c r="G44" s="5"/>
      <c r="H44" s="5"/>
      <c r="I44" s="5"/>
      <c r="J44" s="5"/>
      <c r="K44" s="5"/>
      <c r="L44" s="5"/>
      <c r="M44" s="5"/>
      <c r="N44" s="5"/>
      <c r="O44" s="5"/>
      <c r="P44" s="5"/>
      <c r="Q44" s="5"/>
      <c r="R44" s="57"/>
      <c r="S44" s="5"/>
      <c r="T44" s="5"/>
      <c r="U44" s="5"/>
      <c r="V44" s="5"/>
      <c r="W44" s="5"/>
      <c r="X44" s="5"/>
      <c r="Y44" s="5"/>
      <c r="Z44" s="5"/>
      <c r="AA44" s="5"/>
    </row>
    <row r="45" spans="1:27" x14ac:dyDescent="0.2">
      <c r="A45" s="5"/>
      <c r="B45" s="5"/>
      <c r="F45" s="5"/>
      <c r="G45" s="5"/>
      <c r="H45" s="5"/>
      <c r="I45" s="5"/>
      <c r="J45" s="5"/>
      <c r="K45" s="5"/>
      <c r="L45" s="5"/>
      <c r="M45" s="5"/>
      <c r="N45" s="5"/>
      <c r="O45" s="5"/>
      <c r="P45" s="5"/>
      <c r="Q45" s="5"/>
      <c r="R45" s="57"/>
      <c r="S45" s="5"/>
      <c r="T45" s="5"/>
      <c r="U45" s="5"/>
      <c r="V45" s="5"/>
      <c r="W45" s="5"/>
      <c r="X45" s="5"/>
      <c r="Y45" s="5"/>
      <c r="Z45" s="5"/>
      <c r="AA45" s="5"/>
    </row>
    <row r="46" spans="1:27" x14ac:dyDescent="0.2">
      <c r="A46" s="5"/>
      <c r="B46" s="5"/>
      <c r="F46" s="5"/>
      <c r="G46" s="5"/>
      <c r="H46" s="5"/>
      <c r="I46" s="5"/>
      <c r="J46" s="5"/>
      <c r="K46" s="5"/>
      <c r="L46" s="5"/>
      <c r="M46" s="5"/>
      <c r="N46" s="5"/>
      <c r="O46" s="5"/>
      <c r="P46" s="5"/>
      <c r="Q46" s="5"/>
      <c r="R46" s="57"/>
      <c r="S46" s="5"/>
      <c r="T46" s="5"/>
      <c r="U46" s="5"/>
      <c r="V46" s="5"/>
      <c r="W46" s="5"/>
      <c r="X46" s="5"/>
      <c r="Y46" s="5"/>
      <c r="Z46" s="5"/>
      <c r="AA46" s="5"/>
    </row>
    <row r="47" spans="1:27" x14ac:dyDescent="0.2">
      <c r="A47" s="5"/>
      <c r="B47" s="5"/>
      <c r="F47" s="5"/>
      <c r="G47" s="5"/>
      <c r="H47" s="5"/>
      <c r="I47" s="5"/>
      <c r="J47" s="5"/>
      <c r="K47" s="5"/>
      <c r="L47" s="5"/>
      <c r="M47" s="5"/>
      <c r="N47" s="5"/>
      <c r="O47" s="5"/>
      <c r="P47" s="5"/>
      <c r="Q47" s="5"/>
      <c r="R47" s="57"/>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7"/>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7"/>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7"/>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7"/>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7"/>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7"/>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7"/>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7"/>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7"/>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7"/>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7"/>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7"/>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7"/>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7"/>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7"/>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7"/>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7"/>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7"/>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7"/>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7"/>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7"/>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7"/>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7"/>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7"/>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7"/>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7"/>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7"/>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7"/>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7"/>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7"/>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7"/>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7"/>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7"/>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7"/>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7"/>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7"/>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7"/>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7"/>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7"/>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7"/>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7"/>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7"/>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7"/>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7"/>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7"/>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7"/>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7"/>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7"/>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7"/>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7"/>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7"/>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7"/>
      <c r="S99" s="5"/>
      <c r="T99" s="5"/>
      <c r="U99" s="5"/>
      <c r="V99" s="5"/>
      <c r="W99" s="5"/>
      <c r="X99" s="5"/>
      <c r="Y99" s="5"/>
      <c r="Z99" s="5"/>
      <c r="AA99" s="5"/>
    </row>
    <row r="100" spans="1:27" x14ac:dyDescent="0.2">
      <c r="B100" s="5"/>
      <c r="C100" s="5"/>
      <c r="D100" s="5"/>
      <c r="E100" s="5"/>
      <c r="F100" s="5"/>
      <c r="G100" s="5"/>
      <c r="H100" s="5"/>
      <c r="I100" s="5"/>
      <c r="J100" s="5"/>
      <c r="K100" s="5"/>
      <c r="L100" s="5"/>
      <c r="M100" s="5"/>
      <c r="N100" s="5"/>
      <c r="O100" s="5"/>
      <c r="P100" s="5"/>
      <c r="Q100" s="5"/>
      <c r="R100" s="56"/>
    </row>
    <row r="101" spans="1:27" x14ac:dyDescent="0.2">
      <c r="B101" s="5"/>
      <c r="C101" s="5"/>
      <c r="D101" s="5"/>
      <c r="E101" s="5"/>
      <c r="F101" s="5"/>
      <c r="G101" s="5"/>
      <c r="H101" s="5"/>
      <c r="I101" s="5"/>
      <c r="J101" s="5"/>
      <c r="K101" s="5"/>
      <c r="L101" s="5"/>
      <c r="M101" s="5"/>
      <c r="N101" s="5"/>
      <c r="O101" s="5"/>
      <c r="P101" s="5"/>
      <c r="Q101" s="5"/>
      <c r="R101" s="56"/>
    </row>
    <row r="102" spans="1:27" x14ac:dyDescent="0.2">
      <c r="B102" s="5"/>
      <c r="C102" s="5"/>
      <c r="D102" s="5"/>
      <c r="E102" s="5"/>
      <c r="F102" s="5"/>
      <c r="G102" s="5"/>
      <c r="H102" s="5"/>
      <c r="I102" s="5"/>
      <c r="J102" s="5"/>
      <c r="K102" s="5"/>
      <c r="L102" s="5"/>
      <c r="M102" s="5"/>
      <c r="N102" s="5"/>
      <c r="O102" s="5"/>
      <c r="P102" s="5"/>
      <c r="Q102" s="5"/>
      <c r="R102" s="56"/>
    </row>
    <row r="103" spans="1:27" x14ac:dyDescent="0.2">
      <c r="B103" s="5"/>
      <c r="C103" s="5"/>
      <c r="D103" s="5"/>
      <c r="E103" s="5"/>
      <c r="F103" s="5"/>
      <c r="G103" s="5"/>
      <c r="H103" s="5"/>
      <c r="I103" s="5"/>
      <c r="J103" s="5"/>
      <c r="K103" s="5"/>
      <c r="L103" s="5"/>
      <c r="M103" s="5"/>
      <c r="N103" s="5"/>
      <c r="O103" s="5"/>
      <c r="P103" s="5"/>
      <c r="Q103" s="5"/>
      <c r="R103" s="56"/>
    </row>
    <row r="104" spans="1:27" x14ac:dyDescent="0.2">
      <c r="R104" s="56"/>
    </row>
    <row r="105" spans="1:27" x14ac:dyDescent="0.2">
      <c r="R105" s="56"/>
    </row>
    <row r="106" spans="1:27" x14ac:dyDescent="0.2">
      <c r="R106" s="56"/>
    </row>
    <row r="107" spans="1:27" x14ac:dyDescent="0.2">
      <c r="R107" s="56"/>
    </row>
    <row r="108" spans="1:27" x14ac:dyDescent="0.2">
      <c r="R108" s="56"/>
    </row>
    <row r="109" spans="1:27" x14ac:dyDescent="0.2">
      <c r="R109" s="56"/>
    </row>
    <row r="110" spans="1:27" x14ac:dyDescent="0.2">
      <c r="R110" s="56"/>
    </row>
    <row r="111" spans="1:27" x14ac:dyDescent="0.2">
      <c r="R111" s="56"/>
    </row>
    <row r="112" spans="1:27"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row r="668" spans="18:18" x14ac:dyDescent="0.2">
      <c r="R668" s="56"/>
    </row>
    <row r="669" spans="18:18" x14ac:dyDescent="0.2">
      <c r="R669" s="56"/>
    </row>
    <row r="670" spans="18:18" x14ac:dyDescent="0.2">
      <c r="R670" s="56"/>
    </row>
    <row r="671" spans="18:18" x14ac:dyDescent="0.2">
      <c r="R671" s="56"/>
    </row>
    <row r="672" spans="18:18" x14ac:dyDescent="0.2">
      <c r="R672" s="56"/>
    </row>
    <row r="673" spans="18:18" x14ac:dyDescent="0.2">
      <c r="R673" s="56"/>
    </row>
    <row r="674" spans="18:18" x14ac:dyDescent="0.2">
      <c r="R674" s="56"/>
    </row>
    <row r="675" spans="18:18" x14ac:dyDescent="0.2">
      <c r="R675" s="56"/>
    </row>
    <row r="676" spans="18:18" x14ac:dyDescent="0.2">
      <c r="R676" s="56"/>
    </row>
    <row r="677" spans="18:18" x14ac:dyDescent="0.2">
      <c r="R677" s="56"/>
    </row>
    <row r="678" spans="18:18" x14ac:dyDescent="0.2">
      <c r="R678" s="56"/>
    </row>
    <row r="679" spans="18:18" x14ac:dyDescent="0.2">
      <c r="R679" s="56"/>
    </row>
    <row r="680" spans="18:18" x14ac:dyDescent="0.2">
      <c r="R680" s="56"/>
    </row>
    <row r="681" spans="18:18" x14ac:dyDescent="0.2">
      <c r="R681" s="56"/>
    </row>
    <row r="682" spans="18:18" x14ac:dyDescent="0.2">
      <c r="R682" s="56"/>
    </row>
    <row r="683" spans="18:18" x14ac:dyDescent="0.2">
      <c r="R683" s="56"/>
    </row>
    <row r="684" spans="18:18" x14ac:dyDescent="0.2">
      <c r="R684" s="56"/>
    </row>
    <row r="685" spans="18:18" x14ac:dyDescent="0.2">
      <c r="R685" s="56"/>
    </row>
    <row r="686" spans="18:18" x14ac:dyDescent="0.2">
      <c r="R686" s="56"/>
    </row>
    <row r="687" spans="18:18" x14ac:dyDescent="0.2">
      <c r="R687" s="56"/>
    </row>
    <row r="688" spans="18:18" x14ac:dyDescent="0.2">
      <c r="R688" s="56"/>
    </row>
    <row r="689" spans="18:18" x14ac:dyDescent="0.2">
      <c r="R689" s="56"/>
    </row>
    <row r="690" spans="18:18" x14ac:dyDescent="0.2">
      <c r="R690" s="56"/>
    </row>
    <row r="691" spans="18:18" x14ac:dyDescent="0.2">
      <c r="R691" s="56"/>
    </row>
    <row r="692" spans="18:18" x14ac:dyDescent="0.2">
      <c r="R692" s="56"/>
    </row>
    <row r="693" spans="18:18" x14ac:dyDescent="0.2">
      <c r="R693" s="56"/>
    </row>
    <row r="694" spans="18:18" x14ac:dyDescent="0.2">
      <c r="R694" s="56"/>
    </row>
    <row r="695" spans="18:18" x14ac:dyDescent="0.2">
      <c r="R695" s="56"/>
    </row>
    <row r="696" spans="18:18" x14ac:dyDescent="0.2">
      <c r="R696" s="56"/>
    </row>
    <row r="697" spans="18:18" x14ac:dyDescent="0.2">
      <c r="R697" s="56"/>
    </row>
    <row r="698" spans="18:18" x14ac:dyDescent="0.2">
      <c r="R698" s="56"/>
    </row>
    <row r="699" spans="18:18" x14ac:dyDescent="0.2">
      <c r="R699" s="56"/>
    </row>
    <row r="700" spans="18:18" x14ac:dyDescent="0.2">
      <c r="R700" s="56"/>
    </row>
    <row r="701" spans="18:18" x14ac:dyDescent="0.2">
      <c r="R701" s="56"/>
    </row>
    <row r="702" spans="18:18" x14ac:dyDescent="0.2">
      <c r="R702" s="56"/>
    </row>
    <row r="703" spans="18:18" x14ac:dyDescent="0.2">
      <c r="R703" s="56"/>
    </row>
    <row r="704" spans="18:18" x14ac:dyDescent="0.2">
      <c r="R704" s="56"/>
    </row>
    <row r="705" spans="18:18" x14ac:dyDescent="0.2">
      <c r="R705" s="56"/>
    </row>
    <row r="706" spans="18:18" x14ac:dyDescent="0.2">
      <c r="R706" s="56"/>
    </row>
    <row r="707" spans="18:18" x14ac:dyDescent="0.2">
      <c r="R707" s="56"/>
    </row>
    <row r="708" spans="18:18" x14ac:dyDescent="0.2">
      <c r="R708" s="56"/>
    </row>
    <row r="709" spans="18:18" x14ac:dyDescent="0.2">
      <c r="R709" s="56"/>
    </row>
    <row r="710" spans="18:18" x14ac:dyDescent="0.2">
      <c r="R710" s="56"/>
    </row>
    <row r="711" spans="18:18" x14ac:dyDescent="0.2">
      <c r="R711" s="56"/>
    </row>
    <row r="712" spans="18:18" x14ac:dyDescent="0.2">
      <c r="R712" s="56"/>
    </row>
    <row r="713" spans="18:18" x14ac:dyDescent="0.2">
      <c r="R713" s="56"/>
    </row>
    <row r="714" spans="18:18" x14ac:dyDescent="0.2">
      <c r="R714" s="56"/>
    </row>
    <row r="715" spans="18:18" x14ac:dyDescent="0.2">
      <c r="R715" s="56"/>
    </row>
    <row r="716" spans="18:18" x14ac:dyDescent="0.2">
      <c r="R716" s="56"/>
    </row>
    <row r="717" spans="18:18" x14ac:dyDescent="0.2">
      <c r="R717" s="56"/>
    </row>
    <row r="718" spans="18:18" x14ac:dyDescent="0.2">
      <c r="R718" s="56"/>
    </row>
    <row r="719" spans="18:18" x14ac:dyDescent="0.2">
      <c r="R719" s="56"/>
    </row>
    <row r="720" spans="18:18" x14ac:dyDescent="0.2">
      <c r="R720" s="56"/>
    </row>
    <row r="721" spans="18:18" x14ac:dyDescent="0.2">
      <c r="R721" s="56"/>
    </row>
    <row r="722" spans="18:18" x14ac:dyDescent="0.2">
      <c r="R722" s="56"/>
    </row>
    <row r="723" spans="18:18" x14ac:dyDescent="0.2">
      <c r="R723" s="56"/>
    </row>
    <row r="724" spans="18:18" x14ac:dyDescent="0.2">
      <c r="R724" s="56"/>
    </row>
    <row r="725" spans="18:18" x14ac:dyDescent="0.2">
      <c r="R725" s="56"/>
    </row>
    <row r="726" spans="18:18" x14ac:dyDescent="0.2">
      <c r="R726" s="56"/>
    </row>
    <row r="727" spans="18:18" x14ac:dyDescent="0.2">
      <c r="R727" s="56"/>
    </row>
    <row r="728" spans="18:18" x14ac:dyDescent="0.2">
      <c r="R728" s="56"/>
    </row>
    <row r="729" spans="18:18" x14ac:dyDescent="0.2">
      <c r="R729" s="56"/>
    </row>
    <row r="730" spans="18:18" x14ac:dyDescent="0.2">
      <c r="R730" s="56"/>
    </row>
    <row r="731" spans="18:18" x14ac:dyDescent="0.2">
      <c r="R731" s="56"/>
    </row>
    <row r="732" spans="18:18" x14ac:dyDescent="0.2">
      <c r="R732" s="56"/>
    </row>
    <row r="733" spans="18:18" x14ac:dyDescent="0.2">
      <c r="R733" s="56"/>
    </row>
    <row r="734" spans="18:18" x14ac:dyDescent="0.2">
      <c r="R734" s="56"/>
    </row>
    <row r="735" spans="18:18" x14ac:dyDescent="0.2">
      <c r="R735" s="56"/>
    </row>
    <row r="736" spans="18:18" x14ac:dyDescent="0.2">
      <c r="R736" s="56"/>
    </row>
    <row r="737" spans="18:18" x14ac:dyDescent="0.2">
      <c r="R737" s="56"/>
    </row>
    <row r="738" spans="18:18" x14ac:dyDescent="0.2">
      <c r="R738" s="56"/>
    </row>
    <row r="739" spans="18:18" x14ac:dyDescent="0.2">
      <c r="R739" s="56"/>
    </row>
    <row r="740" spans="18:18" x14ac:dyDescent="0.2">
      <c r="R740" s="56"/>
    </row>
    <row r="741" spans="18:18" x14ac:dyDescent="0.2">
      <c r="R741" s="56"/>
    </row>
    <row r="742" spans="18:18" x14ac:dyDescent="0.2">
      <c r="R742" s="56"/>
    </row>
    <row r="743" spans="18:18" x14ac:dyDescent="0.2">
      <c r="R743" s="56"/>
    </row>
    <row r="744" spans="18:18" x14ac:dyDescent="0.2">
      <c r="R744" s="56"/>
    </row>
    <row r="745" spans="18:18" x14ac:dyDescent="0.2">
      <c r="R745" s="56"/>
    </row>
    <row r="746" spans="18:18" x14ac:dyDescent="0.2">
      <c r="R746" s="56"/>
    </row>
    <row r="747" spans="18:18" x14ac:dyDescent="0.2">
      <c r="R747" s="56"/>
    </row>
    <row r="748" spans="18:18" x14ac:dyDescent="0.2">
      <c r="R748" s="56"/>
    </row>
    <row r="749" spans="18:18" x14ac:dyDescent="0.2">
      <c r="R749" s="56"/>
    </row>
    <row r="750" spans="18:18" x14ac:dyDescent="0.2">
      <c r="R750" s="56"/>
    </row>
    <row r="751" spans="18:18" x14ac:dyDescent="0.2">
      <c r="R751" s="56"/>
    </row>
    <row r="752" spans="18:18" x14ac:dyDescent="0.2">
      <c r="R752" s="56"/>
    </row>
    <row r="753" spans="18:18" x14ac:dyDescent="0.2">
      <c r="R753" s="56"/>
    </row>
    <row r="754" spans="18:18" x14ac:dyDescent="0.2">
      <c r="R754" s="56"/>
    </row>
    <row r="755" spans="18:18" x14ac:dyDescent="0.2">
      <c r="R755" s="56"/>
    </row>
    <row r="756" spans="18:18" x14ac:dyDescent="0.2">
      <c r="R756" s="56"/>
    </row>
    <row r="757" spans="18:18" x14ac:dyDescent="0.2">
      <c r="R757" s="56"/>
    </row>
    <row r="758" spans="18:18" x14ac:dyDescent="0.2">
      <c r="R758" s="56"/>
    </row>
    <row r="759" spans="18:18" x14ac:dyDescent="0.2">
      <c r="R759" s="56"/>
    </row>
    <row r="760" spans="18:18" x14ac:dyDescent="0.2">
      <c r="R760" s="56"/>
    </row>
    <row r="761" spans="18:18" x14ac:dyDescent="0.2">
      <c r="R761" s="56"/>
    </row>
    <row r="762" spans="18:18" x14ac:dyDescent="0.2">
      <c r="R762" s="56"/>
    </row>
    <row r="763" spans="18:18" x14ac:dyDescent="0.2">
      <c r="R763" s="56"/>
    </row>
    <row r="764" spans="18:18" x14ac:dyDescent="0.2">
      <c r="R764" s="56"/>
    </row>
    <row r="765" spans="18:18" x14ac:dyDescent="0.2">
      <c r="R765" s="56"/>
    </row>
    <row r="766" spans="18:18" x14ac:dyDescent="0.2">
      <c r="R766" s="56"/>
    </row>
    <row r="767" spans="18:18" x14ac:dyDescent="0.2">
      <c r="R767" s="56"/>
    </row>
    <row r="768" spans="18:18" x14ac:dyDescent="0.2">
      <c r="R768" s="56"/>
    </row>
    <row r="769" spans="18:18" x14ac:dyDescent="0.2">
      <c r="R769" s="56"/>
    </row>
    <row r="770" spans="18:18" x14ac:dyDescent="0.2">
      <c r="R770" s="56"/>
    </row>
    <row r="771" spans="18:18" x14ac:dyDescent="0.2">
      <c r="R771" s="56"/>
    </row>
    <row r="772" spans="18:18" x14ac:dyDescent="0.2">
      <c r="R772" s="56"/>
    </row>
    <row r="773" spans="18:18" x14ac:dyDescent="0.2">
      <c r="R773" s="56"/>
    </row>
    <row r="774" spans="18:18" x14ac:dyDescent="0.2">
      <c r="R774" s="56"/>
    </row>
    <row r="775" spans="18:18" x14ac:dyDescent="0.2">
      <c r="R775" s="56"/>
    </row>
    <row r="776" spans="18:18" x14ac:dyDescent="0.2">
      <c r="R776" s="56"/>
    </row>
    <row r="777" spans="18:18" x14ac:dyDescent="0.2">
      <c r="R777" s="56"/>
    </row>
    <row r="778" spans="18:18" x14ac:dyDescent="0.2">
      <c r="R778" s="56"/>
    </row>
    <row r="779" spans="18:18" x14ac:dyDescent="0.2">
      <c r="R779" s="56"/>
    </row>
    <row r="780" spans="18:18" x14ac:dyDescent="0.2">
      <c r="R780" s="56"/>
    </row>
    <row r="781" spans="18:18" x14ac:dyDescent="0.2">
      <c r="R781" s="56"/>
    </row>
    <row r="782" spans="18:18" x14ac:dyDescent="0.2">
      <c r="R782" s="56"/>
    </row>
    <row r="783" spans="18:18" x14ac:dyDescent="0.2">
      <c r="R783" s="56"/>
    </row>
    <row r="784" spans="18:18" x14ac:dyDescent="0.2">
      <c r="R784" s="56"/>
    </row>
    <row r="785" spans="18:18" x14ac:dyDescent="0.2">
      <c r="R785" s="56"/>
    </row>
    <row r="786" spans="18:18" x14ac:dyDescent="0.2">
      <c r="R786" s="56"/>
    </row>
    <row r="787" spans="18:18" x14ac:dyDescent="0.2">
      <c r="R787" s="56"/>
    </row>
    <row r="788" spans="18:18" x14ac:dyDescent="0.2">
      <c r="R788" s="56"/>
    </row>
    <row r="789" spans="18:18" x14ac:dyDescent="0.2">
      <c r="R789" s="56"/>
    </row>
    <row r="790" spans="18:18" x14ac:dyDescent="0.2">
      <c r="R790" s="56"/>
    </row>
    <row r="791" spans="18:18" x14ac:dyDescent="0.2">
      <c r="R791" s="56"/>
    </row>
    <row r="792" spans="18:18" x14ac:dyDescent="0.2">
      <c r="R792" s="56"/>
    </row>
    <row r="793" spans="18:18" x14ac:dyDescent="0.2">
      <c r="R793" s="56"/>
    </row>
    <row r="794" spans="18:18" x14ac:dyDescent="0.2">
      <c r="R794" s="56"/>
    </row>
    <row r="795" spans="18:18" x14ac:dyDescent="0.2">
      <c r="R795" s="56"/>
    </row>
    <row r="796" spans="18:18" x14ac:dyDescent="0.2">
      <c r="R796" s="56"/>
    </row>
    <row r="797" spans="18:18" x14ac:dyDescent="0.2">
      <c r="R797" s="56"/>
    </row>
    <row r="798" spans="18:18" x14ac:dyDescent="0.2">
      <c r="R798" s="56"/>
    </row>
    <row r="799" spans="18:18" x14ac:dyDescent="0.2">
      <c r="R799" s="56"/>
    </row>
    <row r="800" spans="18:18" x14ac:dyDescent="0.2">
      <c r="R800" s="56"/>
    </row>
    <row r="801" spans="18:18" x14ac:dyDescent="0.2">
      <c r="R801" s="56"/>
    </row>
    <row r="802" spans="18:18" x14ac:dyDescent="0.2">
      <c r="R802" s="56"/>
    </row>
    <row r="803" spans="18:18" x14ac:dyDescent="0.2">
      <c r="R803" s="56"/>
    </row>
    <row r="804" spans="18:18" x14ac:dyDescent="0.2">
      <c r="R804" s="56"/>
    </row>
    <row r="805" spans="18:18" x14ac:dyDescent="0.2">
      <c r="R805" s="56"/>
    </row>
    <row r="806" spans="18:18" x14ac:dyDescent="0.2">
      <c r="R806" s="56"/>
    </row>
    <row r="807" spans="18:18" x14ac:dyDescent="0.2">
      <c r="R807" s="56"/>
    </row>
    <row r="808" spans="18:18" x14ac:dyDescent="0.2">
      <c r="R808" s="56"/>
    </row>
    <row r="809" spans="18:18" x14ac:dyDescent="0.2">
      <c r="R809" s="56"/>
    </row>
    <row r="810" spans="18:18" x14ac:dyDescent="0.2">
      <c r="R810" s="56"/>
    </row>
    <row r="811" spans="18:18" x14ac:dyDescent="0.2">
      <c r="R811" s="56"/>
    </row>
    <row r="812" spans="18:18" x14ac:dyDescent="0.2">
      <c r="R812" s="56"/>
    </row>
    <row r="813" spans="18:18" x14ac:dyDescent="0.2">
      <c r="R813" s="56"/>
    </row>
    <row r="814" spans="18:18" x14ac:dyDescent="0.2">
      <c r="R814" s="56"/>
    </row>
    <row r="815" spans="18:18" x14ac:dyDescent="0.2">
      <c r="R815" s="56"/>
    </row>
    <row r="816" spans="18:18" x14ac:dyDescent="0.2">
      <c r="R816" s="56"/>
    </row>
    <row r="817" spans="18:18" x14ac:dyDescent="0.2">
      <c r="R817" s="56"/>
    </row>
    <row r="818" spans="18:18" x14ac:dyDescent="0.2">
      <c r="R818" s="56"/>
    </row>
    <row r="819" spans="18:18" x14ac:dyDescent="0.2">
      <c r="R819" s="56"/>
    </row>
    <row r="820" spans="18:18" x14ac:dyDescent="0.2">
      <c r="R820" s="56"/>
    </row>
    <row r="821" spans="18:18" x14ac:dyDescent="0.2">
      <c r="R821" s="56"/>
    </row>
    <row r="822" spans="18:18" x14ac:dyDescent="0.2">
      <c r="R822" s="56"/>
    </row>
    <row r="823" spans="18:18" x14ac:dyDescent="0.2">
      <c r="R823" s="56"/>
    </row>
    <row r="824" spans="18:18" x14ac:dyDescent="0.2">
      <c r="R824" s="56"/>
    </row>
    <row r="825" spans="18:18" x14ac:dyDescent="0.2">
      <c r="R825" s="56"/>
    </row>
    <row r="826" spans="18:18" x14ac:dyDescent="0.2">
      <c r="R826" s="56"/>
    </row>
    <row r="827" spans="18:18" x14ac:dyDescent="0.2">
      <c r="R827" s="56"/>
    </row>
    <row r="828" spans="18:18" x14ac:dyDescent="0.2">
      <c r="R828" s="56"/>
    </row>
    <row r="829" spans="18:18" x14ac:dyDescent="0.2">
      <c r="R829" s="56"/>
    </row>
    <row r="830" spans="18:18" x14ac:dyDescent="0.2">
      <c r="R830" s="56"/>
    </row>
    <row r="831" spans="18:18" x14ac:dyDescent="0.2">
      <c r="R831" s="56"/>
    </row>
    <row r="832" spans="18:18" x14ac:dyDescent="0.2">
      <c r="R832" s="56"/>
    </row>
    <row r="833" spans="18:18" x14ac:dyDescent="0.2">
      <c r="R833" s="56"/>
    </row>
    <row r="834" spans="18:18" x14ac:dyDescent="0.2">
      <c r="R834" s="56"/>
    </row>
    <row r="835" spans="18:18" x14ac:dyDescent="0.2">
      <c r="R835" s="56"/>
    </row>
    <row r="836" spans="18:18" x14ac:dyDescent="0.2">
      <c r="R836" s="56"/>
    </row>
    <row r="837" spans="18:18" x14ac:dyDescent="0.2">
      <c r="R837" s="56"/>
    </row>
    <row r="838" spans="18:18" x14ac:dyDescent="0.2">
      <c r="R838" s="56"/>
    </row>
    <row r="839" spans="18:18" x14ac:dyDescent="0.2">
      <c r="R839" s="56"/>
    </row>
    <row r="840" spans="18:18" x14ac:dyDescent="0.2">
      <c r="R840" s="56"/>
    </row>
    <row r="841" spans="18:18" x14ac:dyDescent="0.2">
      <c r="R841" s="56"/>
    </row>
    <row r="842" spans="18:18" x14ac:dyDescent="0.2">
      <c r="R842" s="56"/>
    </row>
    <row r="843" spans="18:18" x14ac:dyDescent="0.2">
      <c r="R843" s="56"/>
    </row>
    <row r="844" spans="18:18" x14ac:dyDescent="0.2">
      <c r="R844" s="56"/>
    </row>
    <row r="845" spans="18:18" x14ac:dyDescent="0.2">
      <c r="R845" s="56"/>
    </row>
    <row r="846" spans="18:18" x14ac:dyDescent="0.2">
      <c r="R846" s="56"/>
    </row>
    <row r="847" spans="18:18" x14ac:dyDescent="0.2">
      <c r="R847" s="56"/>
    </row>
    <row r="848" spans="18:18" x14ac:dyDescent="0.2">
      <c r="R848" s="56"/>
    </row>
    <row r="849" spans="18:18" x14ac:dyDescent="0.2">
      <c r="R849" s="56"/>
    </row>
    <row r="850" spans="18:18" x14ac:dyDescent="0.2">
      <c r="R850" s="56"/>
    </row>
    <row r="851" spans="18:18" x14ac:dyDescent="0.2">
      <c r="R851" s="56"/>
    </row>
    <row r="852" spans="18:18" x14ac:dyDescent="0.2">
      <c r="R852" s="56"/>
    </row>
    <row r="853" spans="18:18" x14ac:dyDescent="0.2">
      <c r="R853" s="56"/>
    </row>
    <row r="854" spans="18:18" x14ac:dyDescent="0.2">
      <c r="R854" s="56"/>
    </row>
    <row r="855" spans="18:18" x14ac:dyDescent="0.2">
      <c r="R855" s="56"/>
    </row>
    <row r="856" spans="18:18" x14ac:dyDescent="0.2">
      <c r="R856" s="56"/>
    </row>
    <row r="857" spans="18:18" x14ac:dyDescent="0.2">
      <c r="R857" s="56"/>
    </row>
    <row r="858" spans="18:18" x14ac:dyDescent="0.2">
      <c r="R858" s="56"/>
    </row>
    <row r="859" spans="18:18" x14ac:dyDescent="0.2">
      <c r="R859" s="56"/>
    </row>
    <row r="860" spans="18:18" x14ac:dyDescent="0.2">
      <c r="R860" s="56"/>
    </row>
    <row r="861" spans="18:18" x14ac:dyDescent="0.2">
      <c r="R861" s="56"/>
    </row>
    <row r="862" spans="18:18" x14ac:dyDescent="0.2">
      <c r="R862" s="56"/>
    </row>
    <row r="863" spans="18:18" x14ac:dyDescent="0.2">
      <c r="R863" s="56"/>
    </row>
    <row r="864" spans="18:18" x14ac:dyDescent="0.2">
      <c r="R864" s="56"/>
    </row>
    <row r="865" spans="18:18" x14ac:dyDescent="0.2">
      <c r="R865" s="56"/>
    </row>
    <row r="866" spans="18:18" x14ac:dyDescent="0.2">
      <c r="R866" s="56"/>
    </row>
    <row r="867" spans="18:18" x14ac:dyDescent="0.2">
      <c r="R867" s="56"/>
    </row>
    <row r="868" spans="18:18" x14ac:dyDescent="0.2">
      <c r="R868" s="56"/>
    </row>
    <row r="869" spans="18:18" x14ac:dyDescent="0.2">
      <c r="R869" s="56"/>
    </row>
    <row r="870" spans="18:18" x14ac:dyDescent="0.2">
      <c r="R870" s="56"/>
    </row>
    <row r="871" spans="18:18" x14ac:dyDescent="0.2">
      <c r="R871" s="56"/>
    </row>
    <row r="872" spans="18:18" x14ac:dyDescent="0.2">
      <c r="R872" s="56"/>
    </row>
    <row r="873" spans="18:18" x14ac:dyDescent="0.2">
      <c r="R873" s="56"/>
    </row>
    <row r="874" spans="18:18" x14ac:dyDescent="0.2">
      <c r="R874" s="56"/>
    </row>
    <row r="875" spans="18:18" x14ac:dyDescent="0.2">
      <c r="R875" s="56"/>
    </row>
    <row r="876" spans="18:18" x14ac:dyDescent="0.2">
      <c r="R876" s="56"/>
    </row>
    <row r="877" spans="18:18" x14ac:dyDescent="0.2">
      <c r="R877" s="56"/>
    </row>
    <row r="878" spans="18:18" x14ac:dyDescent="0.2">
      <c r="R878" s="56"/>
    </row>
    <row r="879" spans="18:18" x14ac:dyDescent="0.2">
      <c r="R879" s="56"/>
    </row>
    <row r="880" spans="18:18" x14ac:dyDescent="0.2">
      <c r="R880" s="56"/>
    </row>
    <row r="881" spans="18:18" x14ac:dyDescent="0.2">
      <c r="R881" s="56"/>
    </row>
    <row r="882" spans="18:18" x14ac:dyDescent="0.2">
      <c r="R882" s="56"/>
    </row>
    <row r="883" spans="18:18" x14ac:dyDescent="0.2">
      <c r="R883" s="56"/>
    </row>
    <row r="884" spans="18:18" x14ac:dyDescent="0.2">
      <c r="R884" s="56"/>
    </row>
    <row r="885" spans="18:18" x14ac:dyDescent="0.2">
      <c r="R885" s="56"/>
    </row>
    <row r="886" spans="18:18" x14ac:dyDescent="0.2">
      <c r="R886" s="56"/>
    </row>
    <row r="887" spans="18:18" x14ac:dyDescent="0.2">
      <c r="R887" s="56"/>
    </row>
    <row r="888" spans="18:18" x14ac:dyDescent="0.2">
      <c r="R888" s="56"/>
    </row>
    <row r="889" spans="18:18" x14ac:dyDescent="0.2">
      <c r="R889" s="56"/>
    </row>
    <row r="890" spans="18:18" x14ac:dyDescent="0.2">
      <c r="R890" s="56"/>
    </row>
    <row r="891" spans="18:18" x14ac:dyDescent="0.2">
      <c r="R891" s="56"/>
    </row>
    <row r="892" spans="18:18" x14ac:dyDescent="0.2">
      <c r="R892" s="56"/>
    </row>
    <row r="893" spans="18:18" x14ac:dyDescent="0.2">
      <c r="R893" s="56"/>
    </row>
    <row r="894" spans="18:18" x14ac:dyDescent="0.2">
      <c r="R894" s="56"/>
    </row>
    <row r="895" spans="18:18" x14ac:dyDescent="0.2">
      <c r="R895" s="56"/>
    </row>
    <row r="896" spans="18:18" x14ac:dyDescent="0.2">
      <c r="R896" s="56"/>
    </row>
    <row r="897" spans="18:18" x14ac:dyDescent="0.2">
      <c r="R897" s="56"/>
    </row>
    <row r="898" spans="18:18" x14ac:dyDescent="0.2">
      <c r="R898" s="56"/>
    </row>
    <row r="899" spans="18:18" x14ac:dyDescent="0.2">
      <c r="R899" s="56"/>
    </row>
    <row r="900" spans="18:18" x14ac:dyDescent="0.2">
      <c r="R900" s="56"/>
    </row>
    <row r="901" spans="18:18" x14ac:dyDescent="0.2">
      <c r="R901" s="56"/>
    </row>
    <row r="902" spans="18:18" x14ac:dyDescent="0.2">
      <c r="R902" s="56"/>
    </row>
    <row r="903" spans="18:18" x14ac:dyDescent="0.2">
      <c r="R903" s="56"/>
    </row>
    <row r="904" spans="18:18" x14ac:dyDescent="0.2">
      <c r="R904" s="56"/>
    </row>
    <row r="905" spans="18:18" x14ac:dyDescent="0.2">
      <c r="R905" s="56"/>
    </row>
    <row r="906" spans="18:18" x14ac:dyDescent="0.2">
      <c r="R906" s="56"/>
    </row>
    <row r="907" spans="18:18" x14ac:dyDescent="0.2">
      <c r="R907" s="56"/>
    </row>
    <row r="908" spans="18:18" x14ac:dyDescent="0.2">
      <c r="R908" s="56"/>
    </row>
    <row r="909" spans="18:18" x14ac:dyDescent="0.2">
      <c r="R909" s="56"/>
    </row>
    <row r="910" spans="18:18" x14ac:dyDescent="0.2">
      <c r="R910" s="56"/>
    </row>
    <row r="911" spans="18:18" x14ac:dyDescent="0.2">
      <c r="R911" s="56"/>
    </row>
    <row r="912" spans="18:18" x14ac:dyDescent="0.2">
      <c r="R912" s="56"/>
    </row>
    <row r="913" spans="18:18" x14ac:dyDescent="0.2">
      <c r="R913" s="56"/>
    </row>
    <row r="914" spans="18:18" x14ac:dyDescent="0.2">
      <c r="R914" s="56"/>
    </row>
    <row r="915" spans="18:18" x14ac:dyDescent="0.2">
      <c r="R915" s="56"/>
    </row>
    <row r="916" spans="18:18" x14ac:dyDescent="0.2">
      <c r="R916" s="56"/>
    </row>
    <row r="917" spans="18:18" x14ac:dyDescent="0.2">
      <c r="R917" s="56"/>
    </row>
    <row r="918" spans="18:18" x14ac:dyDescent="0.2">
      <c r="R918" s="56"/>
    </row>
    <row r="919" spans="18:18" x14ac:dyDescent="0.2">
      <c r="R919" s="56"/>
    </row>
    <row r="920" spans="18:18" x14ac:dyDescent="0.2">
      <c r="R920" s="56"/>
    </row>
    <row r="921" spans="18:18" x14ac:dyDescent="0.2">
      <c r="R921" s="56"/>
    </row>
    <row r="922" spans="18:18" x14ac:dyDescent="0.2">
      <c r="R922" s="56"/>
    </row>
    <row r="923" spans="18:18" x14ac:dyDescent="0.2">
      <c r="R923" s="56"/>
    </row>
    <row r="924" spans="18:18" x14ac:dyDescent="0.2">
      <c r="R924" s="56"/>
    </row>
    <row r="925" spans="18:18" x14ac:dyDescent="0.2">
      <c r="R925" s="56"/>
    </row>
    <row r="926" spans="18:18" x14ac:dyDescent="0.2">
      <c r="R926" s="56"/>
    </row>
    <row r="927" spans="18:18" x14ac:dyDescent="0.2">
      <c r="R927" s="56"/>
    </row>
    <row r="928" spans="18:18" x14ac:dyDescent="0.2">
      <c r="R928" s="56"/>
    </row>
    <row r="929" spans="18:18" x14ac:dyDescent="0.2">
      <c r="R929" s="56"/>
    </row>
    <row r="930" spans="18:18" x14ac:dyDescent="0.2">
      <c r="R930" s="56"/>
    </row>
    <row r="931" spans="18:18" x14ac:dyDescent="0.2">
      <c r="R931" s="56"/>
    </row>
    <row r="932" spans="18:18" x14ac:dyDescent="0.2">
      <c r="R932" s="56"/>
    </row>
    <row r="933" spans="18:18" x14ac:dyDescent="0.2">
      <c r="R933" s="56"/>
    </row>
    <row r="934" spans="18:18" x14ac:dyDescent="0.2">
      <c r="R934" s="56"/>
    </row>
    <row r="935" spans="18:18" x14ac:dyDescent="0.2">
      <c r="R935" s="56"/>
    </row>
    <row r="936" spans="18:18" x14ac:dyDescent="0.2">
      <c r="R936" s="56"/>
    </row>
    <row r="937" spans="18:18" x14ac:dyDescent="0.2">
      <c r="R937" s="56"/>
    </row>
    <row r="938" spans="18:18" x14ac:dyDescent="0.2">
      <c r="R938" s="56"/>
    </row>
    <row r="939" spans="18:18" x14ac:dyDescent="0.2">
      <c r="R939" s="56"/>
    </row>
    <row r="940" spans="18:18" x14ac:dyDescent="0.2">
      <c r="R940" s="56"/>
    </row>
    <row r="941" spans="18:18" x14ac:dyDescent="0.2">
      <c r="R941" s="56"/>
    </row>
    <row r="942" spans="18:18" x14ac:dyDescent="0.2">
      <c r="R942" s="56"/>
    </row>
    <row r="943" spans="18:18" x14ac:dyDescent="0.2">
      <c r="R943" s="56"/>
    </row>
    <row r="944" spans="18:18" x14ac:dyDescent="0.2">
      <c r="R944" s="56"/>
    </row>
    <row r="945" spans="18:18" x14ac:dyDescent="0.2">
      <c r="R945" s="56"/>
    </row>
    <row r="946" spans="18:18" x14ac:dyDescent="0.2">
      <c r="R946" s="56"/>
    </row>
    <row r="947" spans="18:18" x14ac:dyDescent="0.2">
      <c r="R947" s="56"/>
    </row>
    <row r="948" spans="18:18" x14ac:dyDescent="0.2">
      <c r="R948" s="56"/>
    </row>
    <row r="949" spans="18:18" x14ac:dyDescent="0.2">
      <c r="R949" s="56"/>
    </row>
    <row r="950" spans="18:18" x14ac:dyDescent="0.2">
      <c r="R950" s="56"/>
    </row>
    <row r="951" spans="18:18" x14ac:dyDescent="0.2">
      <c r="R951" s="56"/>
    </row>
    <row r="952" spans="18:18" x14ac:dyDescent="0.2">
      <c r="R952" s="56"/>
    </row>
    <row r="953" spans="18:18" x14ac:dyDescent="0.2">
      <c r="R953" s="56"/>
    </row>
    <row r="954" spans="18:18" x14ac:dyDescent="0.2">
      <c r="R954" s="56"/>
    </row>
    <row r="955" spans="18:18" x14ac:dyDescent="0.2">
      <c r="R955" s="56"/>
    </row>
    <row r="956" spans="18:18" x14ac:dyDescent="0.2">
      <c r="R956" s="56"/>
    </row>
    <row r="957" spans="18:18" x14ac:dyDescent="0.2">
      <c r="R957" s="56"/>
    </row>
    <row r="958" spans="18:18" x14ac:dyDescent="0.2">
      <c r="R958" s="56"/>
    </row>
    <row r="959" spans="18:18" x14ac:dyDescent="0.2">
      <c r="R959" s="56"/>
    </row>
    <row r="960" spans="18:18" x14ac:dyDescent="0.2">
      <c r="R960" s="56"/>
    </row>
    <row r="961" spans="18:18" x14ac:dyDescent="0.2">
      <c r="R961" s="56"/>
    </row>
    <row r="962" spans="18:18" x14ac:dyDescent="0.2">
      <c r="R962" s="56"/>
    </row>
    <row r="963" spans="18:18" x14ac:dyDescent="0.2">
      <c r="R963" s="56"/>
    </row>
    <row r="964" spans="18:18" x14ac:dyDescent="0.2">
      <c r="R964" s="56"/>
    </row>
    <row r="965" spans="18:18" x14ac:dyDescent="0.2">
      <c r="R965" s="56"/>
    </row>
    <row r="966" spans="18:18" x14ac:dyDescent="0.2">
      <c r="R966" s="56"/>
    </row>
    <row r="967" spans="18:18" x14ac:dyDescent="0.2">
      <c r="R967" s="56"/>
    </row>
    <row r="968" spans="18:18" x14ac:dyDescent="0.2">
      <c r="R968" s="56"/>
    </row>
    <row r="969" spans="18:18" x14ac:dyDescent="0.2">
      <c r="R969" s="56"/>
    </row>
    <row r="970" spans="18:18" x14ac:dyDescent="0.2">
      <c r="R970" s="56"/>
    </row>
    <row r="971" spans="18:18" x14ac:dyDescent="0.2">
      <c r="R971" s="56"/>
    </row>
    <row r="972" spans="18:18" x14ac:dyDescent="0.2">
      <c r="R972" s="56"/>
    </row>
    <row r="973" spans="18:18" x14ac:dyDescent="0.2">
      <c r="R973" s="56"/>
    </row>
    <row r="974" spans="18:18" x14ac:dyDescent="0.2">
      <c r="R974" s="56"/>
    </row>
    <row r="975" spans="18:18" x14ac:dyDescent="0.2">
      <c r="R975" s="56"/>
    </row>
    <row r="976" spans="18:18" x14ac:dyDescent="0.2">
      <c r="R976" s="56"/>
    </row>
    <row r="977" spans="18:18" x14ac:dyDescent="0.2">
      <c r="R977" s="56"/>
    </row>
    <row r="978" spans="18:18" x14ac:dyDescent="0.2">
      <c r="R978" s="56"/>
    </row>
    <row r="979" spans="18:18" x14ac:dyDescent="0.2">
      <c r="R979" s="56"/>
    </row>
    <row r="980" spans="18:18" x14ac:dyDescent="0.2">
      <c r="R980" s="56"/>
    </row>
    <row r="981" spans="18:18" x14ac:dyDescent="0.2">
      <c r="R981" s="56"/>
    </row>
    <row r="982" spans="18:18" x14ac:dyDescent="0.2">
      <c r="R982" s="56"/>
    </row>
    <row r="983" spans="18:18" x14ac:dyDescent="0.2">
      <c r="R983" s="56"/>
    </row>
    <row r="984" spans="18:18" x14ac:dyDescent="0.2">
      <c r="R984" s="56"/>
    </row>
    <row r="985" spans="18:18" x14ac:dyDescent="0.2">
      <c r="R985" s="56"/>
    </row>
    <row r="986" spans="18:18" x14ac:dyDescent="0.2">
      <c r="R986" s="56"/>
    </row>
    <row r="987" spans="18:18" x14ac:dyDescent="0.2">
      <c r="R987" s="56"/>
    </row>
    <row r="988" spans="18:18" x14ac:dyDescent="0.2">
      <c r="R988" s="56"/>
    </row>
    <row r="989" spans="18:18" x14ac:dyDescent="0.2">
      <c r="R989" s="56"/>
    </row>
    <row r="990" spans="18:18" x14ac:dyDescent="0.2">
      <c r="R990" s="56"/>
    </row>
    <row r="991" spans="18:18" x14ac:dyDescent="0.2">
      <c r="R991" s="56"/>
    </row>
    <row r="992" spans="18:18" x14ac:dyDescent="0.2">
      <c r="R992" s="56"/>
    </row>
    <row r="993" spans="18:18" x14ac:dyDescent="0.2">
      <c r="R993" s="56"/>
    </row>
    <row r="994" spans="18:18" x14ac:dyDescent="0.2">
      <c r="R994" s="56"/>
    </row>
    <row r="995" spans="18:18" x14ac:dyDescent="0.2">
      <c r="R995" s="56"/>
    </row>
    <row r="996" spans="18:18" x14ac:dyDescent="0.2">
      <c r="R996" s="56"/>
    </row>
    <row r="997" spans="18:18" x14ac:dyDescent="0.2">
      <c r="R997" s="56"/>
    </row>
    <row r="998" spans="18:18" x14ac:dyDescent="0.2">
      <c r="R998" s="56"/>
    </row>
    <row r="999" spans="18:18" x14ac:dyDescent="0.2">
      <c r="R999" s="56"/>
    </row>
    <row r="1000" spans="18:18" x14ac:dyDescent="0.2">
      <c r="R1000" s="56"/>
    </row>
    <row r="1001" spans="18:18" x14ac:dyDescent="0.2">
      <c r="R1001" s="56"/>
    </row>
    <row r="1002" spans="18:18" x14ac:dyDescent="0.2">
      <c r="R1002" s="56"/>
    </row>
    <row r="1003" spans="18:18" x14ac:dyDescent="0.2">
      <c r="R1003" s="56"/>
    </row>
    <row r="1004" spans="18:18" x14ac:dyDescent="0.2">
      <c r="R1004" s="56"/>
    </row>
    <row r="1005" spans="18:18" x14ac:dyDescent="0.2">
      <c r="R1005" s="56"/>
    </row>
    <row r="1006" spans="18:18" x14ac:dyDescent="0.2">
      <c r="R1006" s="56"/>
    </row>
    <row r="1007" spans="18:18" x14ac:dyDescent="0.2">
      <c r="R1007" s="56"/>
    </row>
    <row r="1008" spans="18:18" x14ac:dyDescent="0.2">
      <c r="R1008" s="56"/>
    </row>
    <row r="1009" spans="18:18" x14ac:dyDescent="0.2">
      <c r="R1009" s="56"/>
    </row>
    <row r="1010" spans="18:18" x14ac:dyDescent="0.2">
      <c r="R1010" s="56"/>
    </row>
    <row r="1011" spans="18:18" x14ac:dyDescent="0.2">
      <c r="R1011" s="56"/>
    </row>
    <row r="1012" spans="18:18" x14ac:dyDescent="0.2">
      <c r="R1012" s="56"/>
    </row>
    <row r="1013" spans="18:18" x14ac:dyDescent="0.2">
      <c r="R1013" s="56"/>
    </row>
    <row r="1014" spans="18:18" x14ac:dyDescent="0.2">
      <c r="R1014" s="56"/>
    </row>
    <row r="1015" spans="18:18" x14ac:dyDescent="0.2">
      <c r="R1015" s="56"/>
    </row>
    <row r="1016" spans="18:18" x14ac:dyDescent="0.2">
      <c r="R1016" s="56"/>
    </row>
    <row r="1017" spans="18:18" x14ac:dyDescent="0.2">
      <c r="R1017" s="56"/>
    </row>
    <row r="1018" spans="18:18" x14ac:dyDescent="0.2">
      <c r="R1018" s="56"/>
    </row>
    <row r="1019" spans="18:18" x14ac:dyDescent="0.2">
      <c r="R1019" s="56"/>
    </row>
    <row r="1020" spans="18:18" x14ac:dyDescent="0.2">
      <c r="R1020" s="56"/>
    </row>
    <row r="1021" spans="18:18" x14ac:dyDescent="0.2">
      <c r="R1021" s="56"/>
    </row>
    <row r="1022" spans="18:18" x14ac:dyDescent="0.2">
      <c r="R1022" s="56"/>
    </row>
    <row r="1023" spans="18:18" x14ac:dyDescent="0.2">
      <c r="R1023" s="56"/>
    </row>
    <row r="1024" spans="18:18" x14ac:dyDescent="0.2">
      <c r="R1024" s="56"/>
    </row>
    <row r="1025" spans="18:18" x14ac:dyDescent="0.2">
      <c r="R1025" s="56"/>
    </row>
    <row r="1026" spans="18:18" x14ac:dyDescent="0.2">
      <c r="R1026" s="56"/>
    </row>
    <row r="1027" spans="18:18" x14ac:dyDescent="0.2">
      <c r="R1027" s="56"/>
    </row>
    <row r="1028" spans="18:18" x14ac:dyDescent="0.2">
      <c r="R1028" s="56"/>
    </row>
    <row r="1029" spans="18:18" x14ac:dyDescent="0.2">
      <c r="R1029" s="56"/>
    </row>
    <row r="1030" spans="18:18" x14ac:dyDescent="0.2">
      <c r="R1030" s="56"/>
    </row>
    <row r="1031" spans="18:18" x14ac:dyDescent="0.2">
      <c r="R1031" s="56"/>
    </row>
    <row r="1032" spans="18:18" x14ac:dyDescent="0.2">
      <c r="R1032" s="56"/>
    </row>
    <row r="1033" spans="18:18" x14ac:dyDescent="0.2">
      <c r="R1033" s="56"/>
    </row>
    <row r="1034" spans="18:18" x14ac:dyDescent="0.2">
      <c r="R1034" s="56"/>
    </row>
    <row r="1035" spans="18:18" x14ac:dyDescent="0.2">
      <c r="R1035" s="56"/>
    </row>
    <row r="1036" spans="18:18" x14ac:dyDescent="0.2">
      <c r="R1036" s="56"/>
    </row>
    <row r="1037" spans="18:18" x14ac:dyDescent="0.2">
      <c r="R1037" s="56"/>
    </row>
    <row r="1038" spans="18:18" x14ac:dyDescent="0.2">
      <c r="R1038" s="56"/>
    </row>
    <row r="1039" spans="18:18" x14ac:dyDescent="0.2">
      <c r="R1039" s="56"/>
    </row>
    <row r="1040" spans="18:18" x14ac:dyDescent="0.2">
      <c r="R1040" s="56"/>
    </row>
    <row r="1041" spans="18:18" x14ac:dyDescent="0.2">
      <c r="R1041" s="56"/>
    </row>
    <row r="1042" spans="18:18" x14ac:dyDescent="0.2">
      <c r="R1042" s="56"/>
    </row>
    <row r="1043" spans="18:18" x14ac:dyDescent="0.2">
      <c r="R1043" s="56"/>
    </row>
    <row r="1044" spans="18:18" x14ac:dyDescent="0.2">
      <c r="R1044" s="56"/>
    </row>
    <row r="1045" spans="18:18" x14ac:dyDescent="0.2">
      <c r="R1045" s="56"/>
    </row>
    <row r="1046" spans="18:18" x14ac:dyDescent="0.2">
      <c r="R1046" s="56"/>
    </row>
    <row r="1047" spans="18:18" x14ac:dyDescent="0.2">
      <c r="R1047" s="56"/>
    </row>
    <row r="1048" spans="18:18" x14ac:dyDescent="0.2">
      <c r="R1048" s="56"/>
    </row>
    <row r="1049" spans="18:18" x14ac:dyDescent="0.2">
      <c r="R1049" s="56"/>
    </row>
    <row r="1050" spans="18:18" x14ac:dyDescent="0.2">
      <c r="R1050" s="56"/>
    </row>
    <row r="1051" spans="18:18" x14ac:dyDescent="0.2">
      <c r="R1051" s="56"/>
    </row>
    <row r="1052" spans="18:18" x14ac:dyDescent="0.2">
      <c r="R1052" s="56"/>
    </row>
    <row r="1053" spans="18:18" x14ac:dyDescent="0.2">
      <c r="R1053" s="56"/>
    </row>
    <row r="1054" spans="18:18" x14ac:dyDescent="0.2">
      <c r="R1054" s="56"/>
    </row>
    <row r="1055" spans="18:18" x14ac:dyDescent="0.2">
      <c r="R1055" s="56"/>
    </row>
    <row r="1056" spans="18:18" x14ac:dyDescent="0.2">
      <c r="R1056" s="56"/>
    </row>
    <row r="1057" spans="18:18" x14ac:dyDescent="0.2">
      <c r="R1057" s="56"/>
    </row>
    <row r="1058" spans="18:18" x14ac:dyDescent="0.2">
      <c r="R1058" s="56"/>
    </row>
    <row r="1059" spans="18:18" x14ac:dyDescent="0.2">
      <c r="R1059" s="56"/>
    </row>
    <row r="1060" spans="18:18" x14ac:dyDescent="0.2">
      <c r="R1060" s="56"/>
    </row>
    <row r="1061" spans="18:18" x14ac:dyDescent="0.2">
      <c r="R1061" s="56"/>
    </row>
    <row r="1062" spans="18:18" x14ac:dyDescent="0.2">
      <c r="R1062" s="56"/>
    </row>
    <row r="1063" spans="18:18" x14ac:dyDescent="0.2">
      <c r="R1063" s="56"/>
    </row>
    <row r="1064" spans="18:18" x14ac:dyDescent="0.2">
      <c r="R1064" s="56"/>
    </row>
    <row r="1065" spans="18:18" x14ac:dyDescent="0.2">
      <c r="R1065" s="56"/>
    </row>
    <row r="1066" spans="18:18" x14ac:dyDescent="0.2">
      <c r="R1066" s="56"/>
    </row>
    <row r="1067" spans="18:18" x14ac:dyDescent="0.2">
      <c r="R1067" s="56"/>
    </row>
    <row r="1068" spans="18:18" x14ac:dyDescent="0.2">
      <c r="R1068" s="56"/>
    </row>
    <row r="1069" spans="18:18" x14ac:dyDescent="0.2">
      <c r="R1069" s="56"/>
    </row>
    <row r="1070" spans="18:18" x14ac:dyDescent="0.2">
      <c r="R1070" s="56"/>
    </row>
    <row r="1071" spans="18:18" x14ac:dyDescent="0.2">
      <c r="R1071" s="56"/>
    </row>
    <row r="1072" spans="18:18" x14ac:dyDescent="0.2">
      <c r="R1072" s="56"/>
    </row>
    <row r="1073" spans="18:18" x14ac:dyDescent="0.2">
      <c r="R1073" s="56"/>
    </row>
    <row r="1074" spans="18:18" x14ac:dyDescent="0.2">
      <c r="R1074" s="56"/>
    </row>
    <row r="1075" spans="18:18" x14ac:dyDescent="0.2">
      <c r="R1075" s="56"/>
    </row>
    <row r="1076" spans="18:18" x14ac:dyDescent="0.2">
      <c r="R1076" s="56"/>
    </row>
    <row r="1077" spans="18:18" x14ac:dyDescent="0.2">
      <c r="R1077" s="56"/>
    </row>
    <row r="1078" spans="18:18" x14ac:dyDescent="0.2">
      <c r="R1078" s="56"/>
    </row>
    <row r="1079" spans="18:18" x14ac:dyDescent="0.2">
      <c r="R1079" s="56"/>
    </row>
    <row r="1080" spans="18:18" x14ac:dyDescent="0.2">
      <c r="R1080" s="56"/>
    </row>
    <row r="1081" spans="18:18" x14ac:dyDescent="0.2">
      <c r="R1081" s="56"/>
    </row>
    <row r="1082" spans="18:18" x14ac:dyDescent="0.2">
      <c r="R1082" s="56"/>
    </row>
    <row r="1083" spans="18:18" x14ac:dyDescent="0.2">
      <c r="R1083" s="56"/>
    </row>
    <row r="1084" spans="18:18" x14ac:dyDescent="0.2">
      <c r="R1084" s="56"/>
    </row>
    <row r="1085" spans="18:18" x14ac:dyDescent="0.2">
      <c r="R1085" s="56"/>
    </row>
    <row r="1086" spans="18:18" x14ac:dyDescent="0.2">
      <c r="R1086" s="56"/>
    </row>
    <row r="1087" spans="18:18" x14ac:dyDescent="0.2">
      <c r="R1087" s="56"/>
    </row>
    <row r="1088" spans="18:18" x14ac:dyDescent="0.2">
      <c r="R1088" s="56"/>
    </row>
    <row r="1089" spans="18:18" x14ac:dyDescent="0.2">
      <c r="R1089" s="56"/>
    </row>
    <row r="1090" spans="18:18" x14ac:dyDescent="0.2">
      <c r="R1090" s="56"/>
    </row>
    <row r="1091" spans="18:18" x14ac:dyDescent="0.2">
      <c r="R1091" s="56"/>
    </row>
    <row r="1092" spans="18:18" x14ac:dyDescent="0.2">
      <c r="R1092" s="56"/>
    </row>
    <row r="1093" spans="18:18" x14ac:dyDescent="0.2">
      <c r="R1093" s="56"/>
    </row>
    <row r="1094" spans="18:18" x14ac:dyDescent="0.2">
      <c r="R1094" s="56"/>
    </row>
    <row r="1095" spans="18:18" x14ac:dyDescent="0.2">
      <c r="R1095" s="56"/>
    </row>
    <row r="1096" spans="18:18" x14ac:dyDescent="0.2">
      <c r="R1096" s="56"/>
    </row>
    <row r="1097" spans="18:18" x14ac:dyDescent="0.2">
      <c r="R1097" s="56"/>
    </row>
    <row r="1098" spans="18:18" x14ac:dyDescent="0.2">
      <c r="R1098" s="56"/>
    </row>
    <row r="1099" spans="18:18" x14ac:dyDescent="0.2">
      <c r="R1099" s="56"/>
    </row>
    <row r="1100" spans="18:18" x14ac:dyDescent="0.2">
      <c r="R1100" s="56"/>
    </row>
    <row r="1101" spans="18:18" x14ac:dyDescent="0.2">
      <c r="R1101" s="56"/>
    </row>
    <row r="1102" spans="18:18" x14ac:dyDescent="0.2">
      <c r="R1102" s="56"/>
    </row>
    <row r="1103" spans="18:18" x14ac:dyDescent="0.2">
      <c r="R1103" s="56"/>
    </row>
    <row r="1104" spans="18:18" x14ac:dyDescent="0.2">
      <c r="R1104" s="56"/>
    </row>
    <row r="1105" spans="18:18" x14ac:dyDescent="0.2">
      <c r="R1105" s="56"/>
    </row>
    <row r="1106" spans="18:18" x14ac:dyDescent="0.2">
      <c r="R1106" s="56"/>
    </row>
    <row r="1107" spans="18:18" x14ac:dyDescent="0.2">
      <c r="R1107" s="56"/>
    </row>
    <row r="1108" spans="18:18" x14ac:dyDescent="0.2">
      <c r="R1108" s="56"/>
    </row>
    <row r="1109" spans="18:18" x14ac:dyDescent="0.2">
      <c r="R1109" s="56"/>
    </row>
    <row r="1110" spans="18:18" x14ac:dyDescent="0.2">
      <c r="R1110" s="56"/>
    </row>
    <row r="1111" spans="18:18" x14ac:dyDescent="0.2">
      <c r="R1111" s="56"/>
    </row>
    <row r="1112" spans="18:18" x14ac:dyDescent="0.2">
      <c r="R1112" s="56"/>
    </row>
    <row r="1113" spans="18:18" x14ac:dyDescent="0.2">
      <c r="R1113" s="56"/>
    </row>
    <row r="1114" spans="18:18" x14ac:dyDescent="0.2">
      <c r="R1114" s="56"/>
    </row>
    <row r="1115" spans="18:18" x14ac:dyDescent="0.2">
      <c r="R1115" s="56"/>
    </row>
    <row r="1116" spans="18:18" x14ac:dyDescent="0.2">
      <c r="R1116" s="56"/>
    </row>
    <row r="1117" spans="18:18" x14ac:dyDescent="0.2">
      <c r="R1117" s="56"/>
    </row>
    <row r="1118" spans="18:18" x14ac:dyDescent="0.2">
      <c r="R1118" s="56"/>
    </row>
    <row r="1119" spans="18:18" x14ac:dyDescent="0.2">
      <c r="R1119" s="56"/>
    </row>
    <row r="1120" spans="18:18" x14ac:dyDescent="0.2">
      <c r="R1120" s="56"/>
    </row>
    <row r="1121" spans="18:18" x14ac:dyDescent="0.2">
      <c r="R1121" s="56"/>
    </row>
    <row r="1122" spans="18:18" x14ac:dyDescent="0.2">
      <c r="R1122" s="56"/>
    </row>
    <row r="1123" spans="18:18" x14ac:dyDescent="0.2">
      <c r="R1123" s="56"/>
    </row>
    <row r="1124" spans="18:18" x14ac:dyDescent="0.2">
      <c r="R1124" s="56"/>
    </row>
    <row r="1125" spans="18:18" x14ac:dyDescent="0.2">
      <c r="R1125" s="56"/>
    </row>
    <row r="1126" spans="18:18" x14ac:dyDescent="0.2">
      <c r="R1126" s="56"/>
    </row>
    <row r="1127" spans="18:18" x14ac:dyDescent="0.2">
      <c r="R1127" s="56"/>
    </row>
    <row r="1128" spans="18:18" x14ac:dyDescent="0.2">
      <c r="R1128" s="56"/>
    </row>
    <row r="1129" spans="18:18" x14ac:dyDescent="0.2">
      <c r="R1129" s="56"/>
    </row>
    <row r="1130" spans="18:18" x14ac:dyDescent="0.2">
      <c r="R1130" s="56"/>
    </row>
    <row r="1131" spans="18:18" x14ac:dyDescent="0.2">
      <c r="R1131" s="56"/>
    </row>
    <row r="1132" spans="18:18" x14ac:dyDescent="0.2">
      <c r="R1132" s="56"/>
    </row>
    <row r="1133" spans="18:18" x14ac:dyDescent="0.2">
      <c r="R1133" s="56"/>
    </row>
    <row r="1134" spans="18:18" x14ac:dyDescent="0.2">
      <c r="R1134" s="56"/>
    </row>
    <row r="1135" spans="18:18" x14ac:dyDescent="0.2">
      <c r="R1135" s="56"/>
    </row>
    <row r="1136" spans="18:18" x14ac:dyDescent="0.2">
      <c r="R1136" s="56"/>
    </row>
    <row r="1137" spans="18:18" x14ac:dyDescent="0.2">
      <c r="R1137" s="56"/>
    </row>
    <row r="1138" spans="18:18" x14ac:dyDescent="0.2">
      <c r="R1138" s="56"/>
    </row>
    <row r="1139" spans="18:18" x14ac:dyDescent="0.2">
      <c r="R1139" s="56"/>
    </row>
    <row r="1140" spans="18:18" x14ac:dyDescent="0.2">
      <c r="R1140" s="56"/>
    </row>
    <row r="1141" spans="18:18" x14ac:dyDescent="0.2">
      <c r="R1141" s="56"/>
    </row>
    <row r="1142" spans="18:18" x14ac:dyDescent="0.2">
      <c r="R1142" s="56"/>
    </row>
    <row r="1143" spans="18:18" x14ac:dyDescent="0.2">
      <c r="R1143" s="56"/>
    </row>
    <row r="1144" spans="18:18" x14ac:dyDescent="0.2">
      <c r="R1144" s="56"/>
    </row>
    <row r="1145" spans="18:18" x14ac:dyDescent="0.2">
      <c r="R1145" s="56"/>
    </row>
    <row r="1146" spans="18:18" x14ac:dyDescent="0.2">
      <c r="R1146" s="56"/>
    </row>
    <row r="1147" spans="18:18" x14ac:dyDescent="0.2">
      <c r="R1147" s="56"/>
    </row>
    <row r="1148" spans="18:18" x14ac:dyDescent="0.2">
      <c r="R1148" s="56"/>
    </row>
    <row r="1149" spans="18:18" x14ac:dyDescent="0.2">
      <c r="R1149" s="56"/>
    </row>
    <row r="1150" spans="18:18" x14ac:dyDescent="0.2">
      <c r="R1150" s="56"/>
    </row>
    <row r="1151" spans="18:18" x14ac:dyDescent="0.2">
      <c r="R1151" s="56"/>
    </row>
    <row r="1152" spans="18:18" x14ac:dyDescent="0.2">
      <c r="R1152" s="56"/>
    </row>
    <row r="1153" spans="18:18" x14ac:dyDescent="0.2">
      <c r="R1153" s="56"/>
    </row>
    <row r="1154" spans="18:18" x14ac:dyDescent="0.2">
      <c r="R1154" s="56"/>
    </row>
    <row r="1155" spans="18:18" x14ac:dyDescent="0.2">
      <c r="R1155" s="56"/>
    </row>
    <row r="1156" spans="18:18" x14ac:dyDescent="0.2">
      <c r="R1156" s="56"/>
    </row>
    <row r="1157" spans="18:18" x14ac:dyDescent="0.2">
      <c r="R1157" s="56"/>
    </row>
    <row r="1158" spans="18:18" x14ac:dyDescent="0.2">
      <c r="R1158" s="56"/>
    </row>
    <row r="1159" spans="18:18" x14ac:dyDescent="0.2">
      <c r="R1159" s="56"/>
    </row>
    <row r="1160" spans="18:18" x14ac:dyDescent="0.2">
      <c r="R1160" s="56"/>
    </row>
    <row r="1161" spans="18:18" x14ac:dyDescent="0.2">
      <c r="R1161" s="56"/>
    </row>
    <row r="1162" spans="18:18" x14ac:dyDescent="0.2">
      <c r="R1162" s="56"/>
    </row>
    <row r="1163" spans="18:18" x14ac:dyDescent="0.2">
      <c r="R1163" s="56"/>
    </row>
    <row r="1164" spans="18:18" x14ac:dyDescent="0.2">
      <c r="R1164" s="56"/>
    </row>
    <row r="1165" spans="18:18" x14ac:dyDescent="0.2">
      <c r="R1165" s="56"/>
    </row>
    <row r="1166" spans="18:18" x14ac:dyDescent="0.2">
      <c r="R1166" s="56"/>
    </row>
    <row r="1167" spans="18:18" x14ac:dyDescent="0.2">
      <c r="R1167" s="56"/>
    </row>
    <row r="1168" spans="18:18" x14ac:dyDescent="0.2">
      <c r="R1168" s="56"/>
    </row>
    <row r="1169" spans="18:18" x14ac:dyDescent="0.2">
      <c r="R1169" s="56"/>
    </row>
    <row r="1170" spans="18:18" x14ac:dyDescent="0.2">
      <c r="R1170" s="56"/>
    </row>
    <row r="1171" spans="18:18" x14ac:dyDescent="0.2">
      <c r="R1171" s="56"/>
    </row>
    <row r="1172" spans="18:18" x14ac:dyDescent="0.2">
      <c r="R1172" s="56"/>
    </row>
    <row r="1173" spans="18:18" x14ac:dyDescent="0.2">
      <c r="R1173" s="56"/>
    </row>
    <row r="1174" spans="18:18" x14ac:dyDescent="0.2">
      <c r="R1174" s="56"/>
    </row>
    <row r="1175" spans="18:18" x14ac:dyDescent="0.2">
      <c r="R1175" s="56"/>
    </row>
    <row r="1176" spans="18:18" x14ac:dyDescent="0.2">
      <c r="R1176" s="56"/>
    </row>
    <row r="1177" spans="18:18" x14ac:dyDescent="0.2">
      <c r="R1177" s="56"/>
    </row>
    <row r="1178" spans="18:18" x14ac:dyDescent="0.2">
      <c r="R1178" s="56"/>
    </row>
    <row r="1179" spans="18:18" x14ac:dyDescent="0.2">
      <c r="R1179" s="56"/>
    </row>
    <row r="1180" spans="18:18" x14ac:dyDescent="0.2">
      <c r="R1180" s="56"/>
    </row>
    <row r="1181" spans="18:18" x14ac:dyDescent="0.2">
      <c r="R1181" s="56"/>
    </row>
    <row r="1182" spans="18:18" x14ac:dyDescent="0.2">
      <c r="R1182" s="56"/>
    </row>
    <row r="1183" spans="18:18" x14ac:dyDescent="0.2">
      <c r="R1183" s="56"/>
    </row>
    <row r="1184" spans="18:18" x14ac:dyDescent="0.2">
      <c r="R1184" s="56"/>
    </row>
    <row r="1185" spans="18:18" x14ac:dyDescent="0.2">
      <c r="R1185" s="56"/>
    </row>
    <row r="1186" spans="18:18" x14ac:dyDescent="0.2">
      <c r="R1186" s="56"/>
    </row>
    <row r="1187" spans="18:18" x14ac:dyDescent="0.2">
      <c r="R1187" s="56"/>
    </row>
    <row r="1188" spans="18:18" x14ac:dyDescent="0.2">
      <c r="R1188" s="56"/>
    </row>
    <row r="1189" spans="18:18" x14ac:dyDescent="0.2">
      <c r="R1189" s="56"/>
    </row>
    <row r="1190" spans="18:18" x14ac:dyDescent="0.2">
      <c r="R1190" s="56"/>
    </row>
    <row r="1191" spans="18:18" x14ac:dyDescent="0.2">
      <c r="R1191" s="56"/>
    </row>
    <row r="1192" spans="18:18" x14ac:dyDescent="0.2">
      <c r="R1192" s="56"/>
    </row>
    <row r="1193" spans="18:18" x14ac:dyDescent="0.2">
      <c r="R1193" s="56"/>
    </row>
    <row r="1194" spans="18:18" x14ac:dyDescent="0.2">
      <c r="R1194" s="56"/>
    </row>
    <row r="1195" spans="18:18" x14ac:dyDescent="0.2">
      <c r="R1195" s="56"/>
    </row>
    <row r="1196" spans="18:18" x14ac:dyDescent="0.2">
      <c r="R1196" s="56"/>
    </row>
    <row r="1197" spans="18:18" x14ac:dyDescent="0.2">
      <c r="R1197" s="56"/>
    </row>
    <row r="1198" spans="18:18" x14ac:dyDescent="0.2">
      <c r="R1198" s="56"/>
    </row>
    <row r="1199" spans="18:18" x14ac:dyDescent="0.2">
      <c r="R1199" s="56"/>
    </row>
    <row r="1200" spans="18:18" x14ac:dyDescent="0.2">
      <c r="R1200" s="56"/>
    </row>
    <row r="1201" spans="18:18" x14ac:dyDescent="0.2">
      <c r="R1201" s="56"/>
    </row>
    <row r="1202" spans="18:18" x14ac:dyDescent="0.2">
      <c r="R1202" s="56"/>
    </row>
    <row r="1203" spans="18:18" x14ac:dyDescent="0.2">
      <c r="R1203" s="56"/>
    </row>
    <row r="1204" spans="18:18" x14ac:dyDescent="0.2">
      <c r="R1204" s="56"/>
    </row>
    <row r="1205" spans="18:18" x14ac:dyDescent="0.2">
      <c r="R1205" s="56"/>
    </row>
    <row r="1206" spans="18:18" x14ac:dyDescent="0.2">
      <c r="R1206" s="56"/>
    </row>
    <row r="1207" spans="18:18" x14ac:dyDescent="0.2">
      <c r="R1207" s="56"/>
    </row>
    <row r="1208" spans="18:18" x14ac:dyDescent="0.2">
      <c r="R1208" s="56"/>
    </row>
    <row r="1209" spans="18:18" x14ac:dyDescent="0.2">
      <c r="R1209" s="56"/>
    </row>
    <row r="1210" spans="18:18" x14ac:dyDescent="0.2">
      <c r="R1210" s="56"/>
    </row>
    <row r="1211" spans="18:18" x14ac:dyDescent="0.2">
      <c r="R1211" s="56"/>
    </row>
    <row r="1212" spans="18:18" x14ac:dyDescent="0.2">
      <c r="R1212" s="56"/>
    </row>
    <row r="1213" spans="18:18" x14ac:dyDescent="0.2">
      <c r="R1213" s="56"/>
    </row>
    <row r="1214" spans="18:18" x14ac:dyDescent="0.2">
      <c r="R1214" s="56"/>
    </row>
    <row r="1215" spans="18:18" x14ac:dyDescent="0.2">
      <c r="R1215" s="56"/>
    </row>
    <row r="1216" spans="18:18" x14ac:dyDescent="0.2">
      <c r="R1216" s="56"/>
    </row>
    <row r="1217" spans="18:18" x14ac:dyDescent="0.2">
      <c r="R1217" s="56"/>
    </row>
    <row r="1218" spans="18:18" x14ac:dyDescent="0.2">
      <c r="R1218" s="56"/>
    </row>
    <row r="1219" spans="18:18" x14ac:dyDescent="0.2">
      <c r="R1219" s="56"/>
    </row>
    <row r="1220" spans="18:18" x14ac:dyDescent="0.2">
      <c r="R1220" s="56"/>
    </row>
    <row r="1221" spans="18:18" x14ac:dyDescent="0.2">
      <c r="R1221" s="56"/>
    </row>
    <row r="1222" spans="18:18" x14ac:dyDescent="0.2">
      <c r="R1222" s="56"/>
    </row>
    <row r="1223" spans="18:18" x14ac:dyDescent="0.2">
      <c r="R1223" s="56"/>
    </row>
    <row r="1224" spans="18:18" x14ac:dyDescent="0.2">
      <c r="R1224" s="56"/>
    </row>
    <row r="1225" spans="18:18" x14ac:dyDescent="0.2">
      <c r="R1225" s="56"/>
    </row>
    <row r="1226" spans="18:18" x14ac:dyDescent="0.2">
      <c r="R1226" s="56"/>
    </row>
    <row r="1227" spans="18:18" x14ac:dyDescent="0.2">
      <c r="R1227" s="56"/>
    </row>
    <row r="1228" spans="18:18" x14ac:dyDescent="0.2">
      <c r="R1228" s="56"/>
    </row>
    <row r="1229" spans="18:18" x14ac:dyDescent="0.2">
      <c r="R1229" s="56"/>
    </row>
    <row r="1230" spans="18:18" x14ac:dyDescent="0.2">
      <c r="R1230" s="56"/>
    </row>
    <row r="1231" spans="18:18" x14ac:dyDescent="0.2">
      <c r="R1231" s="56"/>
    </row>
    <row r="1232" spans="18:18" x14ac:dyDescent="0.2">
      <c r="R1232" s="56"/>
    </row>
    <row r="1233" spans="18:18" x14ac:dyDescent="0.2">
      <c r="R1233" s="56"/>
    </row>
    <row r="1234" spans="18:18" x14ac:dyDescent="0.2">
      <c r="R1234" s="56"/>
    </row>
    <row r="1235" spans="18:18" x14ac:dyDescent="0.2">
      <c r="R1235" s="56"/>
    </row>
    <row r="1236" spans="18:18" x14ac:dyDescent="0.2">
      <c r="R1236" s="56"/>
    </row>
    <row r="1237" spans="18:18" x14ac:dyDescent="0.2">
      <c r="R1237" s="56"/>
    </row>
    <row r="1238" spans="18:18" x14ac:dyDescent="0.2">
      <c r="R1238" s="56"/>
    </row>
    <row r="1239" spans="18:18" x14ac:dyDescent="0.2">
      <c r="R1239" s="56"/>
    </row>
    <row r="1240" spans="18:18" x14ac:dyDescent="0.2">
      <c r="R1240" s="56"/>
    </row>
    <row r="1241" spans="18:18" x14ac:dyDescent="0.2">
      <c r="R1241" s="56"/>
    </row>
    <row r="1242" spans="18:18" x14ac:dyDescent="0.2">
      <c r="R1242" s="56"/>
    </row>
    <row r="1243" spans="18:18" x14ac:dyDescent="0.2">
      <c r="R1243" s="56"/>
    </row>
    <row r="1244" spans="18:18" x14ac:dyDescent="0.2">
      <c r="R1244" s="56"/>
    </row>
    <row r="1245" spans="18:18" x14ac:dyDescent="0.2">
      <c r="R1245" s="56"/>
    </row>
    <row r="1246" spans="18:18" x14ac:dyDescent="0.2">
      <c r="R1246" s="56"/>
    </row>
    <row r="1247" spans="18:18" x14ac:dyDescent="0.2">
      <c r="R1247" s="56"/>
    </row>
    <row r="1248" spans="18:18" x14ac:dyDescent="0.2">
      <c r="R1248" s="56"/>
    </row>
    <row r="1249" spans="18:18" x14ac:dyDescent="0.2">
      <c r="R1249" s="56"/>
    </row>
    <row r="1250" spans="18:18" x14ac:dyDescent="0.2">
      <c r="R1250" s="56"/>
    </row>
    <row r="1251" spans="18:18" x14ac:dyDescent="0.2">
      <c r="R1251" s="56"/>
    </row>
    <row r="1252" spans="18:18" x14ac:dyDescent="0.2">
      <c r="R1252" s="56"/>
    </row>
    <row r="1253" spans="18:18" x14ac:dyDescent="0.2">
      <c r="R1253" s="56"/>
    </row>
    <row r="1254" spans="18:18" x14ac:dyDescent="0.2">
      <c r="R1254" s="56"/>
    </row>
    <row r="1255" spans="18:18" x14ac:dyDescent="0.2">
      <c r="R1255" s="56"/>
    </row>
    <row r="1256" spans="18:18" x14ac:dyDescent="0.2">
      <c r="R1256" s="56"/>
    </row>
    <row r="1257" spans="18:18" x14ac:dyDescent="0.2">
      <c r="R1257" s="56"/>
    </row>
    <row r="1258" spans="18:18" x14ac:dyDescent="0.2">
      <c r="R1258" s="56"/>
    </row>
    <row r="1259" spans="18:18" x14ac:dyDescent="0.2">
      <c r="R1259" s="56"/>
    </row>
    <row r="1260" spans="18:18" x14ac:dyDescent="0.2">
      <c r="R1260" s="56"/>
    </row>
    <row r="1261" spans="18:18" x14ac:dyDescent="0.2">
      <c r="R1261" s="56"/>
    </row>
    <row r="1262" spans="18:18" x14ac:dyDescent="0.2">
      <c r="R1262" s="56"/>
    </row>
    <row r="1263" spans="18:18" x14ac:dyDescent="0.2">
      <c r="R1263" s="56"/>
    </row>
    <row r="1264" spans="18:18" x14ac:dyDescent="0.2">
      <c r="R1264" s="56"/>
    </row>
    <row r="1265" spans="18:18" x14ac:dyDescent="0.2">
      <c r="R1265" s="56"/>
    </row>
    <row r="1266" spans="18:18" x14ac:dyDescent="0.2">
      <c r="R1266" s="56"/>
    </row>
    <row r="1267" spans="18:18" x14ac:dyDescent="0.2">
      <c r="R1267" s="56"/>
    </row>
    <row r="1268" spans="18:18" x14ac:dyDescent="0.2">
      <c r="R1268" s="56"/>
    </row>
    <row r="1269" spans="18:18" x14ac:dyDescent="0.2">
      <c r="R1269" s="56"/>
    </row>
    <row r="1270" spans="18:18" x14ac:dyDescent="0.2">
      <c r="R1270" s="56"/>
    </row>
    <row r="1271" spans="18:18" x14ac:dyDescent="0.2">
      <c r="R1271" s="56"/>
    </row>
    <row r="1272" spans="18:18" x14ac:dyDescent="0.2">
      <c r="R1272" s="56"/>
    </row>
    <row r="1273" spans="18:18" x14ac:dyDescent="0.2">
      <c r="R1273" s="56"/>
    </row>
    <row r="1274" spans="18:18" x14ac:dyDescent="0.2">
      <c r="R1274" s="56"/>
    </row>
    <row r="1275" spans="18:18" x14ac:dyDescent="0.2">
      <c r="R1275" s="56"/>
    </row>
    <row r="1276" spans="18:18" x14ac:dyDescent="0.2">
      <c r="R1276" s="56"/>
    </row>
    <row r="1277" spans="18:18" x14ac:dyDescent="0.2">
      <c r="R1277" s="56"/>
    </row>
    <row r="1278" spans="18:18" x14ac:dyDescent="0.2">
      <c r="R1278" s="56"/>
    </row>
    <row r="1279" spans="18:18" x14ac:dyDescent="0.2">
      <c r="R1279" s="56"/>
    </row>
    <row r="1280" spans="18:18" x14ac:dyDescent="0.2">
      <c r="R1280" s="56"/>
    </row>
    <row r="1281" spans="18:18" x14ac:dyDescent="0.2">
      <c r="R1281" s="56"/>
    </row>
    <row r="1282" spans="18:18" x14ac:dyDescent="0.2">
      <c r="R1282" s="56"/>
    </row>
    <row r="1283" spans="18:18" x14ac:dyDescent="0.2">
      <c r="R1283" s="56"/>
    </row>
    <row r="1284" spans="18:18" x14ac:dyDescent="0.2">
      <c r="R1284" s="56"/>
    </row>
    <row r="1285" spans="18:18" x14ac:dyDescent="0.2">
      <c r="R1285" s="56"/>
    </row>
    <row r="1286" spans="18:18" x14ac:dyDescent="0.2">
      <c r="R1286" s="56"/>
    </row>
    <row r="1287" spans="18:18" x14ac:dyDescent="0.2">
      <c r="R1287" s="56"/>
    </row>
    <row r="1288" spans="18:18" x14ac:dyDescent="0.2">
      <c r="R1288" s="56"/>
    </row>
    <row r="1289" spans="18:18" x14ac:dyDescent="0.2">
      <c r="R1289" s="56"/>
    </row>
    <row r="1290" spans="18:18" x14ac:dyDescent="0.2">
      <c r="R1290" s="56"/>
    </row>
    <row r="1291" spans="18:18" x14ac:dyDescent="0.2">
      <c r="R1291" s="56"/>
    </row>
    <row r="1292" spans="18:18" x14ac:dyDescent="0.2">
      <c r="R1292" s="56"/>
    </row>
    <row r="1293" spans="18:18" x14ac:dyDescent="0.2">
      <c r="R1293" s="56"/>
    </row>
    <row r="1294" spans="18:18" x14ac:dyDescent="0.2">
      <c r="R1294" s="56"/>
    </row>
    <row r="1295" spans="18:18" x14ac:dyDescent="0.2">
      <c r="R1295" s="56"/>
    </row>
    <row r="1296" spans="18:18" x14ac:dyDescent="0.2">
      <c r="R1296" s="56"/>
    </row>
    <row r="1297" spans="18:18" x14ac:dyDescent="0.2">
      <c r="R1297" s="56"/>
    </row>
    <row r="1298" spans="18:18" x14ac:dyDescent="0.2">
      <c r="R1298" s="56"/>
    </row>
    <row r="1299" spans="18:18" x14ac:dyDescent="0.2">
      <c r="R1299" s="56"/>
    </row>
    <row r="1300" spans="18:18" x14ac:dyDescent="0.2">
      <c r="R1300" s="56"/>
    </row>
    <row r="1301" spans="18:18" x14ac:dyDescent="0.2">
      <c r="R1301" s="56"/>
    </row>
    <row r="1302" spans="18:18" x14ac:dyDescent="0.2">
      <c r="R1302" s="56"/>
    </row>
    <row r="1303" spans="18:18" x14ac:dyDescent="0.2">
      <c r="R1303" s="56"/>
    </row>
    <row r="1304" spans="18:18" x14ac:dyDescent="0.2">
      <c r="R1304" s="56"/>
    </row>
    <row r="1305" spans="18:18" x14ac:dyDescent="0.2">
      <c r="R1305" s="56"/>
    </row>
    <row r="1306" spans="18:18" x14ac:dyDescent="0.2">
      <c r="R1306" s="56"/>
    </row>
    <row r="1307" spans="18:18" x14ac:dyDescent="0.2">
      <c r="R1307" s="56"/>
    </row>
    <row r="1308" spans="18:18" x14ac:dyDescent="0.2">
      <c r="R1308" s="56"/>
    </row>
    <row r="1309" spans="18:18" x14ac:dyDescent="0.2">
      <c r="R1309" s="56"/>
    </row>
    <row r="1310" spans="18:18" x14ac:dyDescent="0.2">
      <c r="R1310" s="56"/>
    </row>
    <row r="1311" spans="18:18" x14ac:dyDescent="0.2">
      <c r="R1311" s="56"/>
    </row>
    <row r="1312" spans="18:18" x14ac:dyDescent="0.2">
      <c r="R1312" s="56"/>
    </row>
    <row r="1313" spans="18:18" x14ac:dyDescent="0.2">
      <c r="R1313" s="56"/>
    </row>
    <row r="1314" spans="18:18" x14ac:dyDescent="0.2">
      <c r="R1314" s="56"/>
    </row>
    <row r="1315" spans="18:18" x14ac:dyDescent="0.2">
      <c r="R1315" s="56"/>
    </row>
    <row r="1316" spans="18:18" x14ac:dyDescent="0.2">
      <c r="R1316" s="56"/>
    </row>
    <row r="1317" spans="18:18" x14ac:dyDescent="0.2">
      <c r="R1317" s="56"/>
    </row>
    <row r="1318" spans="18:18" x14ac:dyDescent="0.2">
      <c r="R1318" s="56"/>
    </row>
    <row r="1319" spans="18:18" x14ac:dyDescent="0.2">
      <c r="R1319" s="56"/>
    </row>
    <row r="1320" spans="18:18" x14ac:dyDescent="0.2">
      <c r="R1320" s="56"/>
    </row>
    <row r="1321" spans="18:18" x14ac:dyDescent="0.2">
      <c r="R1321" s="56"/>
    </row>
    <row r="1322" spans="18:18" x14ac:dyDescent="0.2">
      <c r="R1322" s="56"/>
    </row>
    <row r="1323" spans="18:18" x14ac:dyDescent="0.2">
      <c r="R1323" s="56"/>
    </row>
    <row r="1324" spans="18:18" x14ac:dyDescent="0.2">
      <c r="R1324" s="56"/>
    </row>
    <row r="1325" spans="18:18" x14ac:dyDescent="0.2">
      <c r="R1325" s="56"/>
    </row>
    <row r="1326" spans="18:18" x14ac:dyDescent="0.2">
      <c r="R1326" s="56"/>
    </row>
    <row r="1327" spans="18:18" x14ac:dyDescent="0.2">
      <c r="R1327" s="56"/>
    </row>
    <row r="1328" spans="18:18" x14ac:dyDescent="0.2">
      <c r="R1328" s="56"/>
    </row>
    <row r="1329" spans="18:18" x14ac:dyDescent="0.2">
      <c r="R1329" s="56"/>
    </row>
    <row r="1330" spans="18:18" x14ac:dyDescent="0.2">
      <c r="R1330" s="56"/>
    </row>
    <row r="1331" spans="18:18" x14ac:dyDescent="0.2">
      <c r="R1331" s="56"/>
    </row>
    <row r="1332" spans="18:18" x14ac:dyDescent="0.2">
      <c r="R1332" s="56"/>
    </row>
    <row r="1333" spans="18:18" x14ac:dyDescent="0.2">
      <c r="R1333" s="56"/>
    </row>
    <row r="1334" spans="18:18" x14ac:dyDescent="0.2">
      <c r="R1334" s="56"/>
    </row>
    <row r="1335" spans="18:18" x14ac:dyDescent="0.2">
      <c r="R1335" s="56"/>
    </row>
    <row r="1336" spans="18:18" x14ac:dyDescent="0.2">
      <c r="R1336" s="56"/>
    </row>
    <row r="1337" spans="18:18" x14ac:dyDescent="0.2">
      <c r="R1337" s="56"/>
    </row>
    <row r="1338" spans="18:18" x14ac:dyDescent="0.2">
      <c r="R1338" s="56"/>
    </row>
    <row r="1339" spans="18:18" x14ac:dyDescent="0.2">
      <c r="R1339" s="56"/>
    </row>
    <row r="1340" spans="18:18" x14ac:dyDescent="0.2">
      <c r="R1340" s="56"/>
    </row>
    <row r="1341" spans="18:18" x14ac:dyDescent="0.2">
      <c r="R1341" s="56"/>
    </row>
    <row r="1342" spans="18:18" x14ac:dyDescent="0.2">
      <c r="R1342" s="56"/>
    </row>
    <row r="1343" spans="18:18" x14ac:dyDescent="0.2">
      <c r="R1343" s="56"/>
    </row>
    <row r="1344" spans="18:18" x14ac:dyDescent="0.2">
      <c r="R1344" s="56"/>
    </row>
    <row r="1345" spans="18:18" x14ac:dyDescent="0.2">
      <c r="R1345" s="56"/>
    </row>
    <row r="1346" spans="18:18" x14ac:dyDescent="0.2">
      <c r="R1346" s="56"/>
    </row>
    <row r="1347" spans="18:18" x14ac:dyDescent="0.2">
      <c r="R1347" s="56"/>
    </row>
    <row r="1348" spans="18:18" x14ac:dyDescent="0.2">
      <c r="R1348" s="56"/>
    </row>
    <row r="1349" spans="18:18" x14ac:dyDescent="0.2">
      <c r="R1349" s="56"/>
    </row>
    <row r="1350" spans="18:18" x14ac:dyDescent="0.2">
      <c r="R1350" s="56"/>
    </row>
    <row r="1351" spans="18:18" x14ac:dyDescent="0.2">
      <c r="R1351" s="56"/>
    </row>
    <row r="1352" spans="18:18" x14ac:dyDescent="0.2">
      <c r="R1352" s="56"/>
    </row>
    <row r="1353" spans="18:18" x14ac:dyDescent="0.2">
      <c r="R1353" s="56"/>
    </row>
    <row r="1354" spans="18:18" x14ac:dyDescent="0.2">
      <c r="R1354" s="56"/>
    </row>
    <row r="1355" spans="18:18" x14ac:dyDescent="0.2">
      <c r="R1355" s="56"/>
    </row>
    <row r="1356" spans="18:18" x14ac:dyDescent="0.2">
      <c r="R1356" s="56"/>
    </row>
    <row r="1357" spans="18:18" x14ac:dyDescent="0.2">
      <c r="R1357" s="56"/>
    </row>
    <row r="1358" spans="18:18" x14ac:dyDescent="0.2">
      <c r="R1358" s="56"/>
    </row>
    <row r="1359" spans="18:18" x14ac:dyDescent="0.2">
      <c r="R1359" s="56"/>
    </row>
    <row r="1360" spans="18:18" x14ac:dyDescent="0.2">
      <c r="R1360" s="56"/>
    </row>
    <row r="1361" spans="18:18" x14ac:dyDescent="0.2">
      <c r="R1361" s="56"/>
    </row>
    <row r="1362" spans="18:18" x14ac:dyDescent="0.2">
      <c r="R1362" s="56"/>
    </row>
    <row r="1363" spans="18:18" x14ac:dyDescent="0.2">
      <c r="R1363" s="56"/>
    </row>
    <row r="1364" spans="18:18" x14ac:dyDescent="0.2">
      <c r="R1364" s="56"/>
    </row>
    <row r="1365" spans="18:18" x14ac:dyDescent="0.2">
      <c r="R1365" s="56"/>
    </row>
    <row r="1366" spans="18:18" x14ac:dyDescent="0.2">
      <c r="R1366" s="56"/>
    </row>
    <row r="1367" spans="18:18" x14ac:dyDescent="0.2">
      <c r="R1367" s="56"/>
    </row>
    <row r="1368" spans="18:18" x14ac:dyDescent="0.2">
      <c r="R1368" s="56"/>
    </row>
    <row r="1369" spans="18:18" x14ac:dyDescent="0.2">
      <c r="R1369" s="56"/>
    </row>
    <row r="1370" spans="18:18" x14ac:dyDescent="0.2">
      <c r="R1370" s="56"/>
    </row>
    <row r="1371" spans="18:18" x14ac:dyDescent="0.2">
      <c r="R1371" s="56"/>
    </row>
    <row r="1372" spans="18:18" x14ac:dyDescent="0.2">
      <c r="R1372" s="56"/>
    </row>
    <row r="1373" spans="18:18" x14ac:dyDescent="0.2">
      <c r="R1373" s="56"/>
    </row>
    <row r="1374" spans="18:18" x14ac:dyDescent="0.2">
      <c r="R1374" s="56"/>
    </row>
    <row r="1375" spans="18:18" x14ac:dyDescent="0.2">
      <c r="R1375" s="56"/>
    </row>
    <row r="1376" spans="18:18" x14ac:dyDescent="0.2">
      <c r="R1376" s="56"/>
    </row>
    <row r="1377" spans="18:18" x14ac:dyDescent="0.2">
      <c r="R1377" s="56"/>
    </row>
    <row r="1378" spans="18:18" x14ac:dyDescent="0.2">
      <c r="R1378" s="56"/>
    </row>
    <row r="1379" spans="18:18" x14ac:dyDescent="0.2">
      <c r="R1379" s="56"/>
    </row>
    <row r="1380" spans="18:18" x14ac:dyDescent="0.2">
      <c r="R1380" s="56"/>
    </row>
    <row r="1381" spans="18:18" x14ac:dyDescent="0.2">
      <c r="R1381" s="56"/>
    </row>
    <row r="1382" spans="18:18" x14ac:dyDescent="0.2">
      <c r="R1382" s="56"/>
    </row>
    <row r="1383" spans="18:18" x14ac:dyDescent="0.2">
      <c r="R1383" s="56"/>
    </row>
    <row r="1384" spans="18:18" x14ac:dyDescent="0.2">
      <c r="R1384" s="56"/>
    </row>
    <row r="1385" spans="18:18" x14ac:dyDescent="0.2">
      <c r="R1385" s="56"/>
    </row>
    <row r="1386" spans="18:18" x14ac:dyDescent="0.2">
      <c r="R1386" s="56"/>
    </row>
    <row r="1387" spans="18:18" x14ac:dyDescent="0.2">
      <c r="R1387" s="56"/>
    </row>
    <row r="1388" spans="18:18" x14ac:dyDescent="0.2">
      <c r="R1388" s="56"/>
    </row>
    <row r="1389" spans="18:18" x14ac:dyDescent="0.2">
      <c r="R1389" s="56"/>
    </row>
    <row r="1390" spans="18:18" x14ac:dyDescent="0.2">
      <c r="R1390" s="56"/>
    </row>
    <row r="1391" spans="18:18" x14ac:dyDescent="0.2">
      <c r="R1391" s="56"/>
    </row>
    <row r="1392" spans="18:18" x14ac:dyDescent="0.2">
      <c r="R1392" s="56"/>
    </row>
    <row r="1393" spans="18:18" x14ac:dyDescent="0.2">
      <c r="R1393" s="56"/>
    </row>
    <row r="1394" spans="18:18" x14ac:dyDescent="0.2">
      <c r="R1394" s="56"/>
    </row>
    <row r="1395" spans="18:18" x14ac:dyDescent="0.2">
      <c r="R1395" s="56"/>
    </row>
    <row r="1396" spans="18:18" x14ac:dyDescent="0.2">
      <c r="R1396" s="56"/>
    </row>
    <row r="1397" spans="18:18" x14ac:dyDescent="0.2">
      <c r="R1397" s="56"/>
    </row>
    <row r="1398" spans="18:18" x14ac:dyDescent="0.2">
      <c r="R1398" s="56"/>
    </row>
    <row r="1399" spans="18:18" x14ac:dyDescent="0.2">
      <c r="R1399" s="56"/>
    </row>
    <row r="1400" spans="18:18" x14ac:dyDescent="0.2">
      <c r="R1400" s="56"/>
    </row>
    <row r="1401" spans="18:18" x14ac:dyDescent="0.2">
      <c r="R1401" s="56"/>
    </row>
    <row r="1402" spans="18:18" x14ac:dyDescent="0.2">
      <c r="R1402" s="56"/>
    </row>
    <row r="1403" spans="18:18" x14ac:dyDescent="0.2">
      <c r="R1403" s="56"/>
    </row>
    <row r="1404" spans="18:18" x14ac:dyDescent="0.2">
      <c r="R1404" s="56"/>
    </row>
    <row r="1405" spans="18:18" x14ac:dyDescent="0.2">
      <c r="R1405" s="56"/>
    </row>
    <row r="1406" spans="18:18" x14ac:dyDescent="0.2">
      <c r="R1406" s="56"/>
    </row>
    <row r="1407" spans="18:18" x14ac:dyDescent="0.2">
      <c r="R1407" s="56"/>
    </row>
    <row r="1408" spans="18:18" x14ac:dyDescent="0.2">
      <c r="R1408" s="56"/>
    </row>
    <row r="1409" spans="18:18" x14ac:dyDescent="0.2">
      <c r="R1409" s="56"/>
    </row>
    <row r="1410" spans="18:18" x14ac:dyDescent="0.2">
      <c r="R1410" s="56"/>
    </row>
    <row r="1411" spans="18:18" x14ac:dyDescent="0.2">
      <c r="R1411" s="56"/>
    </row>
    <row r="1412" spans="18:18" x14ac:dyDescent="0.2">
      <c r="R1412" s="56"/>
    </row>
    <row r="1413" spans="18:18" x14ac:dyDescent="0.2">
      <c r="R1413" s="56"/>
    </row>
    <row r="1414" spans="18:18" x14ac:dyDescent="0.2">
      <c r="R1414" s="56"/>
    </row>
    <row r="1415" spans="18:18" x14ac:dyDescent="0.2">
      <c r="R1415" s="56"/>
    </row>
    <row r="1416" spans="18:18" x14ac:dyDescent="0.2">
      <c r="R1416" s="56"/>
    </row>
    <row r="1417" spans="18:18" x14ac:dyDescent="0.2">
      <c r="R1417" s="56"/>
    </row>
    <row r="1418" spans="18:18" x14ac:dyDescent="0.2">
      <c r="R1418" s="56"/>
    </row>
    <row r="1419" spans="18:18" x14ac:dyDescent="0.2">
      <c r="R1419" s="56"/>
    </row>
    <row r="1420" spans="18:18" x14ac:dyDescent="0.2">
      <c r="R1420" s="56"/>
    </row>
    <row r="1421" spans="18:18" x14ac:dyDescent="0.2">
      <c r="R1421" s="56"/>
    </row>
    <row r="1422" spans="18:18" x14ac:dyDescent="0.2">
      <c r="R1422" s="56"/>
    </row>
    <row r="1423" spans="18:18" x14ac:dyDescent="0.2">
      <c r="R1423" s="56"/>
    </row>
    <row r="1424" spans="18:18" x14ac:dyDescent="0.2">
      <c r="R1424" s="56"/>
    </row>
    <row r="1425" spans="18:18" x14ac:dyDescent="0.2">
      <c r="R1425" s="56"/>
    </row>
    <row r="1426" spans="18:18" x14ac:dyDescent="0.2">
      <c r="R1426" s="56"/>
    </row>
    <row r="1427" spans="18:18" x14ac:dyDescent="0.2">
      <c r="R1427" s="56"/>
    </row>
    <row r="1428" spans="18:18" x14ac:dyDescent="0.2">
      <c r="R1428" s="56"/>
    </row>
    <row r="1429" spans="18:18" x14ac:dyDescent="0.2">
      <c r="R1429" s="56"/>
    </row>
    <row r="1430" spans="18:18" x14ac:dyDescent="0.2">
      <c r="R1430" s="56"/>
    </row>
    <row r="1431" spans="18:18" x14ac:dyDescent="0.2">
      <c r="R1431" s="56"/>
    </row>
    <row r="1432" spans="18:18" x14ac:dyDescent="0.2">
      <c r="R1432" s="56"/>
    </row>
    <row r="1433" spans="18:18" x14ac:dyDescent="0.2">
      <c r="R1433" s="56"/>
    </row>
    <row r="1434" spans="18:18" x14ac:dyDescent="0.2">
      <c r="R1434" s="56"/>
    </row>
    <row r="1435" spans="18:18" x14ac:dyDescent="0.2">
      <c r="R1435" s="56"/>
    </row>
    <row r="1436" spans="18:18" x14ac:dyDescent="0.2">
      <c r="R1436" s="56"/>
    </row>
    <row r="1437" spans="18:18" x14ac:dyDescent="0.2">
      <c r="R1437" s="56"/>
    </row>
    <row r="1438" spans="18:18" x14ac:dyDescent="0.2">
      <c r="R1438" s="56"/>
    </row>
    <row r="1439" spans="18:18" x14ac:dyDescent="0.2">
      <c r="R1439" s="56"/>
    </row>
    <row r="1440" spans="18:18" x14ac:dyDescent="0.2">
      <c r="R1440" s="56"/>
    </row>
    <row r="1441" spans="18:18" x14ac:dyDescent="0.2">
      <c r="R1441" s="56"/>
    </row>
    <row r="1442" spans="18:18" x14ac:dyDescent="0.2">
      <c r="R1442" s="56"/>
    </row>
    <row r="1443" spans="18:18" x14ac:dyDescent="0.2">
      <c r="R1443" s="56"/>
    </row>
    <row r="1444" spans="18:18" x14ac:dyDescent="0.2">
      <c r="R1444" s="56"/>
    </row>
    <row r="1445" spans="18:18" x14ac:dyDescent="0.2">
      <c r="R1445" s="56"/>
    </row>
    <row r="1446" spans="18:18" x14ac:dyDescent="0.2">
      <c r="R1446" s="56"/>
    </row>
    <row r="1447" spans="18:18" x14ac:dyDescent="0.2">
      <c r="R1447" s="56"/>
    </row>
    <row r="1448" spans="18:18" x14ac:dyDescent="0.2">
      <c r="R1448" s="56"/>
    </row>
    <row r="1449" spans="18:18" x14ac:dyDescent="0.2">
      <c r="R1449" s="56"/>
    </row>
    <row r="1450" spans="18:18" x14ac:dyDescent="0.2">
      <c r="R1450" s="56"/>
    </row>
    <row r="1451" spans="18:18" x14ac:dyDescent="0.2">
      <c r="R1451" s="56"/>
    </row>
    <row r="1452" spans="18:18" x14ac:dyDescent="0.2">
      <c r="R1452" s="56"/>
    </row>
    <row r="1453" spans="18:18" x14ac:dyDescent="0.2">
      <c r="R1453" s="56"/>
    </row>
    <row r="1454" spans="18:18" x14ac:dyDescent="0.2">
      <c r="R1454" s="56"/>
    </row>
    <row r="1455" spans="18:18" x14ac:dyDescent="0.2">
      <c r="R1455" s="56"/>
    </row>
    <row r="1456" spans="18:18" x14ac:dyDescent="0.2">
      <c r="R1456" s="56"/>
    </row>
    <row r="1457" spans="18:18" x14ac:dyDescent="0.2">
      <c r="R1457" s="56"/>
    </row>
    <row r="1458" spans="18:18" x14ac:dyDescent="0.2">
      <c r="R1458" s="56"/>
    </row>
    <row r="1459" spans="18:18" x14ac:dyDescent="0.2">
      <c r="R1459" s="56"/>
    </row>
    <row r="1460" spans="18:18" x14ac:dyDescent="0.2">
      <c r="R1460" s="56"/>
    </row>
    <row r="1461" spans="18:18" x14ac:dyDescent="0.2">
      <c r="R1461" s="56"/>
    </row>
    <row r="1462" spans="18:18" x14ac:dyDescent="0.2">
      <c r="R1462" s="56"/>
    </row>
    <row r="1463" spans="18:18" x14ac:dyDescent="0.2">
      <c r="R1463" s="56"/>
    </row>
    <row r="1464" spans="18:18" x14ac:dyDescent="0.2">
      <c r="R1464" s="56"/>
    </row>
    <row r="1465" spans="18:18" x14ac:dyDescent="0.2">
      <c r="R1465" s="56"/>
    </row>
    <row r="1466" spans="18:18" x14ac:dyDescent="0.2">
      <c r="R1466" s="56"/>
    </row>
    <row r="1467" spans="18:18" x14ac:dyDescent="0.2">
      <c r="R1467" s="56"/>
    </row>
    <row r="1468" spans="18:18" x14ac:dyDescent="0.2">
      <c r="R1468" s="56"/>
    </row>
    <row r="1469" spans="18:18" x14ac:dyDescent="0.2">
      <c r="R1469" s="56"/>
    </row>
    <row r="1470" spans="18:18" x14ac:dyDescent="0.2">
      <c r="R1470" s="56"/>
    </row>
    <row r="1471" spans="18:18" x14ac:dyDescent="0.2">
      <c r="R1471" s="56"/>
    </row>
    <row r="1472" spans="18:18" x14ac:dyDescent="0.2">
      <c r="R1472" s="56"/>
    </row>
    <row r="1473" spans="18:18" x14ac:dyDescent="0.2">
      <c r="R1473" s="56"/>
    </row>
    <row r="1474" spans="18:18" x14ac:dyDescent="0.2">
      <c r="R1474" s="56"/>
    </row>
    <row r="1475" spans="18:18" x14ac:dyDescent="0.2">
      <c r="R1475" s="56"/>
    </row>
    <row r="1476" spans="18:18" x14ac:dyDescent="0.2">
      <c r="R1476" s="56"/>
    </row>
    <row r="1477" spans="18:18" x14ac:dyDescent="0.2">
      <c r="R1477" s="56"/>
    </row>
    <row r="1478" spans="18:18" x14ac:dyDescent="0.2">
      <c r="R1478" s="56"/>
    </row>
    <row r="1479" spans="18:18" x14ac:dyDescent="0.2">
      <c r="R1479" s="56"/>
    </row>
    <row r="1480" spans="18:18" x14ac:dyDescent="0.2">
      <c r="R1480" s="56"/>
    </row>
    <row r="1481" spans="18:18" x14ac:dyDescent="0.2">
      <c r="R1481" s="56"/>
    </row>
    <row r="1482" spans="18:18" x14ac:dyDescent="0.2">
      <c r="R1482" s="56"/>
    </row>
    <row r="1483" spans="18:18" x14ac:dyDescent="0.2">
      <c r="R1483" s="56"/>
    </row>
    <row r="1484" spans="18:18" x14ac:dyDescent="0.2">
      <c r="R1484" s="56"/>
    </row>
    <row r="1485" spans="18:18" x14ac:dyDescent="0.2">
      <c r="R1485" s="56"/>
    </row>
    <row r="1486" spans="18:18" x14ac:dyDescent="0.2">
      <c r="R1486" s="56"/>
    </row>
    <row r="1487" spans="18:18" x14ac:dyDescent="0.2">
      <c r="R1487" s="56"/>
    </row>
    <row r="1488" spans="18:18" x14ac:dyDescent="0.2">
      <c r="R1488" s="56"/>
    </row>
    <row r="1489" spans="18:18" x14ac:dyDescent="0.2">
      <c r="R1489" s="56"/>
    </row>
    <row r="1490" spans="18:18" x14ac:dyDescent="0.2">
      <c r="R1490" s="56"/>
    </row>
    <row r="1491" spans="18:18" x14ac:dyDescent="0.2">
      <c r="R1491" s="56"/>
    </row>
  </sheetData>
  <mergeCells count="3">
    <mergeCell ref="C3:P3"/>
    <mergeCell ref="D5:E5"/>
    <mergeCell ref="B31:R37"/>
  </mergeCells>
  <pageMargins left="0.7" right="0.7" top="0.75" bottom="0.75" header="0.3" footer="0.3"/>
  <pageSetup scale="6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1"/>
  <sheetViews>
    <sheetView showGridLines="0" zoomScale="80" zoomScaleNormal="80" workbookViewId="0"/>
  </sheetViews>
  <sheetFormatPr defaultRowHeight="15" x14ac:dyDescent="0.25"/>
  <cols>
    <col min="1" max="1" width="2.85546875" style="20" customWidth="1"/>
    <col min="2" max="2" width="3.85546875" style="20" customWidth="1"/>
    <col min="3" max="3" width="58.7109375" style="20" bestFit="1" customWidth="1"/>
    <col min="4" max="4" width="30.5703125" style="20" customWidth="1"/>
    <col min="5" max="5" width="15" style="20" bestFit="1" customWidth="1"/>
    <col min="6" max="6" width="9.140625" style="20"/>
    <col min="7" max="7" width="11.5703125" style="20" bestFit="1" customWidth="1"/>
    <col min="8" max="18" width="9.140625" style="20"/>
    <col min="19" max="19" width="9.85546875" style="20" customWidth="1"/>
    <col min="20" max="22" width="9.140625" style="20"/>
    <col min="23" max="23" width="47" style="20" bestFit="1" customWidth="1"/>
    <col min="24" max="24" width="9.85546875" style="20" bestFit="1" customWidth="1"/>
    <col min="25" max="16384" width="9.140625" style="20"/>
  </cols>
  <sheetData>
    <row r="1" spans="1:25" ht="15.75" customHeight="1" thickBot="1" x14ac:dyDescent="0.3">
      <c r="A1" s="3"/>
    </row>
    <row r="2" spans="1:25" ht="15" customHeight="1" x14ac:dyDescent="0.25">
      <c r="B2" s="74"/>
      <c r="C2" s="29"/>
      <c r="D2" s="29"/>
      <c r="E2" s="29"/>
      <c r="F2" s="29"/>
      <c r="G2" s="29"/>
      <c r="H2" s="29"/>
      <c r="I2" s="29"/>
      <c r="J2" s="29"/>
      <c r="K2" s="29"/>
      <c r="L2" s="29"/>
      <c r="M2" s="29"/>
      <c r="N2" s="29"/>
      <c r="O2" s="29"/>
      <c r="P2" s="29"/>
      <c r="Q2" s="29"/>
      <c r="R2" s="29"/>
      <c r="S2" s="29"/>
      <c r="T2" s="25"/>
    </row>
    <row r="3" spans="1:25" ht="20.25" customHeight="1" x14ac:dyDescent="0.25">
      <c r="B3" s="75"/>
      <c r="C3" s="254" t="s">
        <v>224</v>
      </c>
      <c r="D3" s="255"/>
      <c r="E3" s="255"/>
      <c r="F3" s="255"/>
      <c r="G3" s="255"/>
      <c r="H3" s="255"/>
      <c r="I3" s="255"/>
      <c r="J3" s="255"/>
      <c r="K3" s="255"/>
      <c r="L3" s="255"/>
      <c r="M3" s="255"/>
      <c r="N3" s="255"/>
      <c r="O3" s="255"/>
      <c r="P3" s="255"/>
      <c r="Q3" s="255"/>
      <c r="R3" s="255"/>
      <c r="S3" s="255"/>
      <c r="T3" s="26"/>
    </row>
    <row r="4" spans="1:25" ht="15.75" customHeight="1" x14ac:dyDescent="0.25">
      <c r="B4" s="75"/>
      <c r="C4" s="78" t="s">
        <v>303</v>
      </c>
      <c r="D4" s="30"/>
      <c r="E4" s="30"/>
      <c r="F4" s="30"/>
      <c r="G4" s="30"/>
      <c r="H4" s="30"/>
      <c r="I4" s="30"/>
      <c r="J4" s="30"/>
      <c r="K4" s="30"/>
      <c r="L4" s="30"/>
      <c r="M4" s="30"/>
      <c r="N4" s="30"/>
      <c r="O4" s="30"/>
      <c r="P4" s="30"/>
      <c r="Q4" s="30"/>
      <c r="R4" s="30"/>
      <c r="S4" s="30"/>
      <c r="T4" s="26"/>
    </row>
    <row r="5" spans="1:25" ht="18" customHeight="1" x14ac:dyDescent="0.25">
      <c r="B5" s="75"/>
      <c r="C5" s="79" t="s">
        <v>304</v>
      </c>
      <c r="D5" s="256" t="s">
        <v>290</v>
      </c>
      <c r="E5" s="256"/>
      <c r="F5" s="30"/>
      <c r="G5" s="30"/>
      <c r="H5" s="30"/>
      <c r="I5" s="30"/>
      <c r="J5" s="30"/>
      <c r="K5" s="30"/>
      <c r="L5" s="30"/>
      <c r="M5" s="30"/>
      <c r="N5" s="30"/>
      <c r="O5" s="30"/>
      <c r="P5" s="30"/>
      <c r="Q5" s="30"/>
      <c r="R5" s="30"/>
      <c r="S5" s="30"/>
      <c r="T5" s="26"/>
    </row>
    <row r="6" spans="1:25" ht="15" customHeight="1" x14ac:dyDescent="0.25">
      <c r="B6" s="75"/>
      <c r="C6" s="30"/>
      <c r="D6" s="30"/>
      <c r="E6" s="30"/>
      <c r="F6" s="30"/>
      <c r="G6" s="30"/>
      <c r="H6" s="30"/>
      <c r="I6" s="30"/>
      <c r="J6" s="30"/>
      <c r="K6" s="30"/>
      <c r="L6" s="30"/>
      <c r="M6" s="30"/>
      <c r="N6" s="30"/>
      <c r="O6" s="30"/>
      <c r="P6" s="30"/>
      <c r="Q6" s="30"/>
      <c r="R6" s="30"/>
      <c r="S6" s="30"/>
      <c r="T6" s="26"/>
      <c r="W6" s="42"/>
      <c r="X6" s="42"/>
      <c r="Y6" s="42"/>
    </row>
    <row r="7" spans="1:25" ht="32.25" customHeight="1" x14ac:dyDescent="0.25">
      <c r="B7" s="75"/>
      <c r="C7" s="140" t="s">
        <v>0</v>
      </c>
      <c r="D7" s="81" t="s">
        <v>45</v>
      </c>
      <c r="E7" s="82" t="s">
        <v>2</v>
      </c>
      <c r="F7" s="30"/>
      <c r="G7" s="30"/>
      <c r="H7" s="30"/>
      <c r="I7" s="30"/>
      <c r="J7" s="30"/>
      <c r="K7" s="30"/>
      <c r="L7" s="30"/>
      <c r="M7" s="30"/>
      <c r="N7" s="30"/>
      <c r="O7" s="30"/>
      <c r="P7" s="30"/>
      <c r="Q7" s="30"/>
      <c r="R7" s="30"/>
      <c r="S7" s="30"/>
      <c r="T7" s="26"/>
      <c r="W7" s="42" t="s">
        <v>22</v>
      </c>
      <c r="X7" s="42" t="s">
        <v>2</v>
      </c>
      <c r="Y7" s="42"/>
    </row>
    <row r="8" spans="1:25" ht="15" customHeight="1" x14ac:dyDescent="0.25">
      <c r="B8" s="75"/>
      <c r="C8" s="210" t="s">
        <v>33</v>
      </c>
      <c r="D8" s="211" t="s">
        <v>3</v>
      </c>
      <c r="E8" s="212">
        <v>5.7178E-2</v>
      </c>
      <c r="F8" s="30"/>
      <c r="G8" s="30"/>
      <c r="H8" s="30"/>
      <c r="I8" s="30"/>
      <c r="J8" s="30"/>
      <c r="K8" s="30"/>
      <c r="L8" s="30"/>
      <c r="M8" s="30"/>
      <c r="N8" s="30"/>
      <c r="O8" s="30"/>
      <c r="P8" s="30"/>
      <c r="Q8" s="30"/>
      <c r="R8" s="30"/>
      <c r="S8" s="30"/>
      <c r="T8" s="26"/>
      <c r="W8" s="197" t="s">
        <v>3</v>
      </c>
      <c r="X8" s="196">
        <v>0.114139</v>
      </c>
      <c r="Y8" s="42"/>
    </row>
    <row r="9" spans="1:25" ht="15.75" customHeight="1" x14ac:dyDescent="0.25">
      <c r="B9" s="75"/>
      <c r="C9" s="210" t="s">
        <v>29</v>
      </c>
      <c r="D9" s="211" t="s">
        <v>3</v>
      </c>
      <c r="E9" s="212">
        <v>4.8499E-2</v>
      </c>
      <c r="F9" s="30"/>
      <c r="G9" s="30"/>
      <c r="H9" s="30"/>
      <c r="I9" s="30"/>
      <c r="J9" s="30"/>
      <c r="K9" s="30"/>
      <c r="L9" s="30"/>
      <c r="M9" s="30"/>
      <c r="N9" s="30"/>
      <c r="O9" s="30"/>
      <c r="P9" s="30"/>
      <c r="Q9" s="30"/>
      <c r="R9" s="30"/>
      <c r="S9" s="30"/>
      <c r="T9" s="26"/>
      <c r="W9" s="197" t="s">
        <v>4</v>
      </c>
      <c r="X9" s="196">
        <v>7.1875999999999995E-2</v>
      </c>
      <c r="Y9" s="42"/>
    </row>
    <row r="10" spans="1:25" ht="15" customHeight="1" x14ac:dyDescent="0.25">
      <c r="B10" s="75"/>
      <c r="C10" s="210" t="s">
        <v>28</v>
      </c>
      <c r="D10" s="211" t="s">
        <v>135</v>
      </c>
      <c r="E10" s="212">
        <v>4.3888999999999997E-2</v>
      </c>
      <c r="F10" s="30"/>
      <c r="G10" s="30"/>
      <c r="H10" s="30"/>
      <c r="I10" s="30"/>
      <c r="J10" s="30"/>
      <c r="K10" s="30"/>
      <c r="L10" s="30"/>
      <c r="M10" s="30"/>
      <c r="N10" s="30"/>
      <c r="O10" s="30"/>
      <c r="P10" s="30"/>
      <c r="Q10" s="30"/>
      <c r="R10" s="30"/>
      <c r="S10" s="30"/>
      <c r="T10" s="26"/>
      <c r="W10" s="197" t="s">
        <v>135</v>
      </c>
      <c r="X10" s="196">
        <v>6.6003999999999993E-2</v>
      </c>
      <c r="Y10" s="42"/>
    </row>
    <row r="11" spans="1:25" ht="15" customHeight="1" x14ac:dyDescent="0.25">
      <c r="B11" s="75"/>
      <c r="C11" s="210" t="s">
        <v>95</v>
      </c>
      <c r="D11" s="211" t="s">
        <v>4</v>
      </c>
      <c r="E11" s="212">
        <v>3.6253999999999995E-2</v>
      </c>
      <c r="F11" s="30"/>
      <c r="G11" s="30"/>
      <c r="H11" s="30"/>
      <c r="I11" s="30"/>
      <c r="J11" s="30"/>
      <c r="K11" s="30"/>
      <c r="L11" s="30"/>
      <c r="M11" s="30"/>
      <c r="N11" s="30"/>
      <c r="O11" s="30"/>
      <c r="P11" s="30"/>
      <c r="Q11" s="30"/>
      <c r="R11" s="30"/>
      <c r="S11" s="30"/>
      <c r="T11" s="26"/>
      <c r="W11" s="197" t="s">
        <v>141</v>
      </c>
      <c r="X11" s="196">
        <v>5.4947999999999997E-2</v>
      </c>
      <c r="Y11" s="42"/>
    </row>
    <row r="12" spans="1:25" ht="15" customHeight="1" x14ac:dyDescent="0.25">
      <c r="B12" s="75"/>
      <c r="C12" s="210" t="s">
        <v>133</v>
      </c>
      <c r="D12" s="211" t="s">
        <v>4</v>
      </c>
      <c r="E12" s="212">
        <v>3.2217999999999997E-2</v>
      </c>
      <c r="F12" s="30"/>
      <c r="G12" s="30"/>
      <c r="H12" s="30"/>
      <c r="I12" s="30"/>
      <c r="J12" s="30"/>
      <c r="K12" s="30"/>
      <c r="L12" s="30"/>
      <c r="M12" s="30"/>
      <c r="N12" s="30"/>
      <c r="O12" s="30"/>
      <c r="P12" s="30"/>
      <c r="Q12" s="30"/>
      <c r="R12" s="30"/>
      <c r="S12" s="30"/>
      <c r="T12" s="26"/>
      <c r="W12" s="197" t="s">
        <v>138</v>
      </c>
      <c r="X12" s="196">
        <v>4.7836000000000004E-2</v>
      </c>
      <c r="Y12" s="42"/>
    </row>
    <row r="13" spans="1:25" ht="15" customHeight="1" x14ac:dyDescent="0.25">
      <c r="B13" s="75"/>
      <c r="C13" s="210" t="s">
        <v>149</v>
      </c>
      <c r="D13" s="211" t="s">
        <v>141</v>
      </c>
      <c r="E13" s="212">
        <v>2.6762999999999999E-2</v>
      </c>
      <c r="F13" s="30"/>
      <c r="G13" s="30"/>
      <c r="H13" s="30"/>
      <c r="I13" s="30"/>
      <c r="J13" s="30"/>
      <c r="K13" s="30"/>
      <c r="L13" s="30"/>
      <c r="M13" s="30"/>
      <c r="N13" s="30"/>
      <c r="O13" s="30"/>
      <c r="P13" s="30"/>
      <c r="Q13" s="30"/>
      <c r="R13" s="30"/>
      <c r="S13" s="30"/>
      <c r="T13" s="26"/>
      <c r="W13" s="197" t="s">
        <v>145</v>
      </c>
      <c r="X13" s="196">
        <v>3.1433000000000003E-2</v>
      </c>
      <c r="Y13" s="42"/>
    </row>
    <row r="14" spans="1:25" ht="15.75" customHeight="1" x14ac:dyDescent="0.25">
      <c r="B14" s="75"/>
      <c r="C14" s="210" t="s">
        <v>76</v>
      </c>
      <c r="D14" s="211" t="s">
        <v>12</v>
      </c>
      <c r="E14" s="212">
        <v>2.4461E-2</v>
      </c>
      <c r="F14" s="30"/>
      <c r="G14" s="30"/>
      <c r="H14" s="30"/>
      <c r="I14" s="30"/>
      <c r="J14" s="30"/>
      <c r="K14" s="30"/>
      <c r="L14" s="30"/>
      <c r="M14" s="30"/>
      <c r="N14" s="30"/>
      <c r="O14" s="30"/>
      <c r="P14" s="30"/>
      <c r="Q14" s="30"/>
      <c r="R14" s="30"/>
      <c r="S14" s="30"/>
      <c r="T14" s="26"/>
      <c r="W14" s="197" t="s">
        <v>12</v>
      </c>
      <c r="X14" s="196">
        <v>2.4461E-2</v>
      </c>
      <c r="Y14" s="42"/>
    </row>
    <row r="15" spans="1:25" ht="15.75" x14ac:dyDescent="0.25">
      <c r="B15" s="75"/>
      <c r="C15" s="210" t="s">
        <v>172</v>
      </c>
      <c r="D15" s="211" t="s">
        <v>16</v>
      </c>
      <c r="E15" s="212">
        <v>1.5445E-2</v>
      </c>
      <c r="F15" s="30"/>
      <c r="G15" s="30"/>
      <c r="H15" s="30"/>
      <c r="I15" s="30"/>
      <c r="J15" s="30"/>
      <c r="K15" s="30"/>
      <c r="L15" s="30"/>
      <c r="M15" s="30"/>
      <c r="N15" s="30"/>
      <c r="O15" s="30"/>
      <c r="P15" s="30"/>
      <c r="Q15" s="30"/>
      <c r="R15" s="30"/>
      <c r="S15" s="30"/>
      <c r="T15" s="26"/>
      <c r="W15" s="197" t="s">
        <v>26</v>
      </c>
      <c r="X15" s="196">
        <v>2.2715999999999997E-2</v>
      </c>
      <c r="Y15" s="42"/>
    </row>
    <row r="16" spans="1:25" ht="15.75" customHeight="1" x14ac:dyDescent="0.25">
      <c r="B16" s="75"/>
      <c r="C16" s="210" t="s">
        <v>94</v>
      </c>
      <c r="D16" s="211" t="s">
        <v>141</v>
      </c>
      <c r="E16" s="212">
        <v>1.4760000000000001E-2</v>
      </c>
      <c r="F16" s="30"/>
      <c r="G16" s="30"/>
      <c r="H16" s="30"/>
      <c r="I16" s="30"/>
      <c r="J16" s="30"/>
      <c r="K16" s="30"/>
      <c r="L16" s="30"/>
      <c r="M16" s="30"/>
      <c r="N16" s="30"/>
      <c r="O16" s="30"/>
      <c r="P16" s="30"/>
      <c r="Q16" s="30"/>
      <c r="R16" s="30"/>
      <c r="S16" s="30"/>
      <c r="T16" s="26"/>
      <c r="W16" s="197" t="s">
        <v>24</v>
      </c>
      <c r="X16" s="196">
        <v>1.8811000000000001E-2</v>
      </c>
      <c r="Y16" s="42"/>
    </row>
    <row r="17" spans="2:25" ht="15" customHeight="1" x14ac:dyDescent="0.25">
      <c r="B17" s="75"/>
      <c r="C17" s="210" t="s">
        <v>103</v>
      </c>
      <c r="D17" s="211" t="s">
        <v>26</v>
      </c>
      <c r="E17" s="212">
        <v>1.4742999999999999E-2</v>
      </c>
      <c r="F17" s="30"/>
      <c r="G17" s="30"/>
      <c r="H17" s="30"/>
      <c r="I17" s="30"/>
      <c r="J17" s="30"/>
      <c r="K17" s="30"/>
      <c r="L17" s="30"/>
      <c r="M17" s="30"/>
      <c r="N17" s="30"/>
      <c r="O17" s="30"/>
      <c r="P17" s="30"/>
      <c r="Q17" s="30"/>
      <c r="R17" s="30"/>
      <c r="S17" s="30"/>
      <c r="T17" s="26"/>
      <c r="W17" s="197" t="s">
        <v>16</v>
      </c>
      <c r="X17" s="196">
        <v>1.5445E-2</v>
      </c>
      <c r="Y17" s="42"/>
    </row>
    <row r="18" spans="2:25" ht="15" customHeight="1" x14ac:dyDescent="0.25">
      <c r="B18" s="75"/>
      <c r="C18" s="210" t="s">
        <v>176</v>
      </c>
      <c r="D18" s="211" t="s">
        <v>145</v>
      </c>
      <c r="E18" s="212">
        <v>1.3963E-2</v>
      </c>
      <c r="F18" s="30"/>
      <c r="G18" s="30"/>
      <c r="H18" s="30"/>
      <c r="I18" s="30"/>
      <c r="J18" s="30"/>
      <c r="K18" s="30"/>
      <c r="L18" s="30"/>
      <c r="M18" s="30"/>
      <c r="N18" s="30"/>
      <c r="O18" s="30"/>
      <c r="P18" s="30"/>
      <c r="Q18" s="30"/>
      <c r="R18" s="30"/>
      <c r="S18" s="30"/>
      <c r="T18" s="26"/>
      <c r="W18" s="197" t="s">
        <v>146</v>
      </c>
      <c r="X18" s="196">
        <v>1.3717999999999999E-2</v>
      </c>
      <c r="Y18" s="42"/>
    </row>
    <row r="19" spans="2:25" ht="15" customHeight="1" x14ac:dyDescent="0.25">
      <c r="B19" s="75"/>
      <c r="C19" s="210" t="s">
        <v>38</v>
      </c>
      <c r="D19" s="211" t="s">
        <v>146</v>
      </c>
      <c r="E19" s="212">
        <v>1.3717999999999999E-2</v>
      </c>
      <c r="F19" s="30"/>
      <c r="G19" s="30"/>
      <c r="H19" s="30"/>
      <c r="I19" s="30"/>
      <c r="J19" s="30"/>
      <c r="K19" s="30"/>
      <c r="L19" s="30"/>
      <c r="M19" s="30"/>
      <c r="N19" s="30"/>
      <c r="O19" s="30"/>
      <c r="P19" s="30"/>
      <c r="Q19" s="30"/>
      <c r="R19" s="30"/>
      <c r="S19" s="30"/>
      <c r="T19" s="26"/>
      <c r="W19" s="197" t="s">
        <v>97</v>
      </c>
      <c r="X19" s="196">
        <v>1.3314999999999999E-2</v>
      </c>
      <c r="Y19" s="42"/>
    </row>
    <row r="20" spans="2:25" ht="15" customHeight="1" x14ac:dyDescent="0.25">
      <c r="B20" s="75"/>
      <c r="C20" s="210" t="s">
        <v>165</v>
      </c>
      <c r="D20" s="211" t="s">
        <v>141</v>
      </c>
      <c r="E20" s="212">
        <v>1.3424999999999999E-2</v>
      </c>
      <c r="F20" s="30"/>
      <c r="G20" s="30"/>
      <c r="H20" s="30"/>
      <c r="I20" s="30"/>
      <c r="J20" s="30"/>
      <c r="K20" s="30"/>
      <c r="L20" s="30"/>
      <c r="M20" s="30"/>
      <c r="N20" s="30"/>
      <c r="O20" s="30"/>
      <c r="P20" s="30"/>
      <c r="Q20" s="30"/>
      <c r="R20" s="30"/>
      <c r="S20" s="30"/>
      <c r="T20" s="26"/>
      <c r="W20" s="197" t="s">
        <v>89</v>
      </c>
      <c r="X20" s="196">
        <v>1.2736000000000001E-2</v>
      </c>
      <c r="Y20" s="42"/>
    </row>
    <row r="21" spans="2:25" ht="15" customHeight="1" x14ac:dyDescent="0.25">
      <c r="B21" s="75"/>
      <c r="C21" s="210" t="s">
        <v>67</v>
      </c>
      <c r="D21" s="211" t="s">
        <v>97</v>
      </c>
      <c r="E21" s="212">
        <v>1.3325999999999999E-2</v>
      </c>
      <c r="F21" s="30"/>
      <c r="G21" s="30"/>
      <c r="H21" s="30"/>
      <c r="I21" s="30"/>
      <c r="J21" s="30"/>
      <c r="K21" s="30"/>
      <c r="L21" s="30"/>
      <c r="M21" s="30"/>
      <c r="N21" s="30"/>
      <c r="O21" s="30"/>
      <c r="P21" s="30"/>
      <c r="Q21" s="30"/>
      <c r="R21" s="30"/>
      <c r="S21" s="30"/>
      <c r="T21" s="26"/>
      <c r="W21" s="197" t="s">
        <v>101</v>
      </c>
      <c r="X21" s="196">
        <v>9.3540000000000012E-3</v>
      </c>
      <c r="Y21" s="42"/>
    </row>
    <row r="22" spans="2:25" ht="15" customHeight="1" x14ac:dyDescent="0.25">
      <c r="B22" s="75"/>
      <c r="C22" s="210" t="s">
        <v>170</v>
      </c>
      <c r="D22" s="211" t="s">
        <v>138</v>
      </c>
      <c r="E22" s="212">
        <v>1.2921E-2</v>
      </c>
      <c r="F22" s="30"/>
      <c r="G22" s="30"/>
      <c r="H22" s="30"/>
      <c r="I22" s="30"/>
      <c r="J22" s="30"/>
      <c r="K22" s="30"/>
      <c r="L22" s="30"/>
      <c r="M22" s="30"/>
      <c r="N22" s="30"/>
      <c r="O22" s="30"/>
      <c r="P22" s="30"/>
      <c r="Q22" s="30"/>
      <c r="R22" s="30"/>
      <c r="S22" s="30"/>
      <c r="T22" s="26"/>
      <c r="W22" s="197" t="s">
        <v>148</v>
      </c>
      <c r="X22" s="196">
        <v>7.1599999999999997E-3</v>
      </c>
      <c r="Y22" s="42"/>
    </row>
    <row r="23" spans="2:25" ht="16.5" customHeight="1" x14ac:dyDescent="0.25">
      <c r="B23" s="75"/>
      <c r="C23" s="142" t="s">
        <v>68</v>
      </c>
      <c r="D23" s="143"/>
      <c r="E23" s="144">
        <f>SUM(E8:E22)</f>
        <v>0.38156300000000004</v>
      </c>
      <c r="F23" s="30"/>
      <c r="G23" s="30"/>
      <c r="H23" s="30"/>
      <c r="I23" s="30"/>
      <c r="J23" s="30"/>
      <c r="K23" s="30"/>
      <c r="L23" s="30"/>
      <c r="M23" s="30"/>
      <c r="N23" s="30"/>
      <c r="O23" s="30"/>
      <c r="P23" s="30"/>
      <c r="Q23" s="30"/>
      <c r="R23" s="30"/>
      <c r="S23" s="30"/>
      <c r="T23" s="26"/>
      <c r="W23" s="197" t="s">
        <v>136</v>
      </c>
      <c r="X23" s="196">
        <v>6.4879999999999998E-3</v>
      </c>
      <c r="Y23" s="42"/>
    </row>
    <row r="24" spans="2:25" ht="15" customHeight="1" x14ac:dyDescent="0.25">
      <c r="B24" s="75"/>
      <c r="C24" s="145"/>
      <c r="D24" s="94"/>
      <c r="E24" s="141"/>
      <c r="F24" s="30"/>
      <c r="G24" s="30"/>
      <c r="H24" s="30"/>
      <c r="I24" s="30"/>
      <c r="J24" s="30"/>
      <c r="K24" s="30"/>
      <c r="L24" s="30"/>
      <c r="M24" s="30"/>
      <c r="N24" s="30"/>
      <c r="O24" s="30"/>
      <c r="P24" s="30"/>
      <c r="Q24" s="30"/>
      <c r="R24" s="30"/>
      <c r="S24" s="30"/>
      <c r="T24" s="26"/>
      <c r="W24" s="197" t="s">
        <v>134</v>
      </c>
      <c r="X24" s="196">
        <v>5.7769999999999991E-3</v>
      </c>
      <c r="Y24" s="42"/>
    </row>
    <row r="25" spans="2:25" ht="15" customHeight="1" x14ac:dyDescent="0.25">
      <c r="B25" s="75"/>
      <c r="C25" s="142" t="s">
        <v>61</v>
      </c>
      <c r="D25" s="143"/>
      <c r="E25" s="213">
        <v>0.17321</v>
      </c>
      <c r="F25" s="30"/>
      <c r="G25" s="30"/>
      <c r="H25" s="30"/>
      <c r="I25" s="30"/>
      <c r="J25" s="30"/>
      <c r="K25" s="30"/>
      <c r="L25" s="30"/>
      <c r="M25" s="30"/>
      <c r="N25" s="30"/>
      <c r="O25" s="30"/>
      <c r="P25" s="30"/>
      <c r="Q25" s="30"/>
      <c r="R25" s="30"/>
      <c r="S25" s="30"/>
      <c r="T25" s="26"/>
      <c r="W25" s="197" t="s">
        <v>147</v>
      </c>
      <c r="X25" s="196">
        <v>5.5879999999999992E-3</v>
      </c>
      <c r="Y25" s="42"/>
    </row>
    <row r="26" spans="2:25" ht="15" customHeight="1" x14ac:dyDescent="0.25">
      <c r="B26" s="75"/>
      <c r="C26" s="145"/>
      <c r="D26" s="94"/>
      <c r="E26" s="141"/>
      <c r="F26" s="30"/>
      <c r="G26" s="30"/>
      <c r="H26" s="30"/>
      <c r="I26" s="30"/>
      <c r="J26" s="30"/>
      <c r="K26" s="30"/>
      <c r="L26" s="30"/>
      <c r="M26" s="30"/>
      <c r="N26" s="30"/>
      <c r="O26" s="30"/>
      <c r="P26" s="30"/>
      <c r="Q26" s="30"/>
      <c r="R26" s="30"/>
      <c r="S26" s="30"/>
      <c r="T26" s="26"/>
      <c r="W26" s="197" t="s">
        <v>151</v>
      </c>
      <c r="X26" s="196">
        <v>5.0559999999999997E-3</v>
      </c>
      <c r="Y26" s="42"/>
    </row>
    <row r="27" spans="2:25" ht="18" customHeight="1" x14ac:dyDescent="0.25">
      <c r="B27" s="75"/>
      <c r="C27" s="142" t="s">
        <v>60</v>
      </c>
      <c r="D27" s="121"/>
      <c r="E27" s="214">
        <v>0.20605399999999999</v>
      </c>
      <c r="F27" s="30"/>
      <c r="G27" s="30"/>
      <c r="H27" s="30"/>
      <c r="I27" s="30"/>
      <c r="J27" s="30"/>
      <c r="K27" s="30"/>
      <c r="L27" s="30"/>
      <c r="M27" s="30"/>
      <c r="N27" s="30"/>
      <c r="O27" s="30"/>
      <c r="P27" s="30"/>
      <c r="Q27" s="30"/>
      <c r="R27" s="30"/>
      <c r="S27" s="30"/>
      <c r="T27" s="26"/>
      <c r="W27" s="197" t="s">
        <v>140</v>
      </c>
      <c r="X27" s="196">
        <v>4.79E-3</v>
      </c>
    </row>
    <row r="28" spans="2:25" ht="18" customHeight="1" x14ac:dyDescent="0.25">
      <c r="B28" s="75"/>
      <c r="C28" s="145"/>
      <c r="D28" s="94"/>
      <c r="E28" s="141"/>
      <c r="F28" s="30"/>
      <c r="G28" s="30"/>
      <c r="H28" s="30"/>
      <c r="I28" s="30"/>
      <c r="J28" s="30"/>
      <c r="K28" s="30"/>
      <c r="L28" s="30"/>
      <c r="M28" s="30"/>
      <c r="N28" s="30"/>
      <c r="O28" s="30"/>
      <c r="P28" s="30"/>
      <c r="Q28" s="30"/>
      <c r="R28" s="30"/>
      <c r="S28" s="30"/>
      <c r="T28" s="26"/>
      <c r="W28" s="197" t="s">
        <v>155</v>
      </c>
      <c r="X28" s="196">
        <v>3.176E-3</v>
      </c>
    </row>
    <row r="29" spans="2:25" ht="15" customHeight="1" x14ac:dyDescent="0.25">
      <c r="B29" s="75"/>
      <c r="C29" s="210" t="s">
        <v>95</v>
      </c>
      <c r="D29" s="15" t="s">
        <v>65</v>
      </c>
      <c r="E29" s="215">
        <v>2.9975000000000002E-2</v>
      </c>
      <c r="F29" s="30"/>
      <c r="G29" s="30"/>
      <c r="H29" s="30"/>
      <c r="I29" s="30"/>
      <c r="J29" s="30"/>
      <c r="K29" s="30"/>
      <c r="L29" s="30"/>
      <c r="M29" s="30"/>
      <c r="N29" s="30"/>
      <c r="O29" s="30"/>
      <c r="P29" s="30"/>
      <c r="Q29" s="30"/>
      <c r="R29" s="30"/>
      <c r="S29" s="30"/>
      <c r="T29" s="26"/>
      <c r="W29" s="197" t="s">
        <v>150</v>
      </c>
      <c r="X29" s="196">
        <v>1.8800000000000067E-4</v>
      </c>
    </row>
    <row r="30" spans="2:25" ht="15" customHeight="1" x14ac:dyDescent="0.25">
      <c r="B30" s="75"/>
      <c r="C30" s="210" t="s">
        <v>30</v>
      </c>
      <c r="D30" s="15" t="s">
        <v>65</v>
      </c>
      <c r="E30" s="215">
        <v>9.9450000000000007E-3</v>
      </c>
      <c r="F30" s="30"/>
      <c r="G30" s="147"/>
      <c r="H30" s="30"/>
      <c r="I30" s="30"/>
      <c r="J30" s="30"/>
      <c r="K30" s="30"/>
      <c r="L30" s="30"/>
      <c r="M30" s="30"/>
      <c r="N30" s="30"/>
      <c r="O30" s="30"/>
      <c r="P30" s="30"/>
      <c r="Q30" s="30"/>
      <c r="R30" s="30"/>
      <c r="S30" s="30"/>
      <c r="T30" s="26"/>
      <c r="W30" s="197" t="s">
        <v>142</v>
      </c>
      <c r="X30" s="196">
        <v>-3.9999999999998804E-6</v>
      </c>
    </row>
    <row r="31" spans="2:25" ht="15" customHeight="1" x14ac:dyDescent="0.25">
      <c r="B31" s="75"/>
      <c r="C31" s="210" t="s">
        <v>64</v>
      </c>
      <c r="D31" s="15" t="s">
        <v>65</v>
      </c>
      <c r="E31" s="215">
        <v>8.1000000000000004E-5</v>
      </c>
      <c r="F31" s="30"/>
      <c r="G31" s="147"/>
      <c r="H31" s="30"/>
      <c r="I31" s="30"/>
      <c r="J31" s="30"/>
      <c r="K31" s="30"/>
      <c r="L31" s="30"/>
      <c r="M31" s="30"/>
      <c r="N31" s="30"/>
      <c r="O31" s="30"/>
      <c r="P31" s="30"/>
      <c r="Q31" s="30"/>
      <c r="R31" s="30"/>
      <c r="S31" s="30"/>
      <c r="T31" s="26"/>
      <c r="W31" s="190" t="s">
        <v>6</v>
      </c>
      <c r="X31" s="191">
        <v>-2.3799999999999863E-4</v>
      </c>
    </row>
    <row r="32" spans="2:25" ht="15" customHeight="1" x14ac:dyDescent="0.25">
      <c r="B32" s="75"/>
      <c r="C32" s="148" t="s">
        <v>5</v>
      </c>
      <c r="D32" s="143"/>
      <c r="E32" s="144">
        <f>SUM(E29:E31)</f>
        <v>4.0001000000000002E-2</v>
      </c>
      <c r="F32" s="30"/>
      <c r="G32" s="149"/>
      <c r="H32" s="30"/>
      <c r="I32" s="30"/>
      <c r="J32" s="30"/>
      <c r="K32" s="30"/>
      <c r="L32" s="30"/>
      <c r="M32" s="30"/>
      <c r="N32" s="30"/>
      <c r="O32" s="30"/>
      <c r="P32" s="30"/>
      <c r="Q32" s="30"/>
      <c r="R32" s="30"/>
      <c r="S32" s="30"/>
      <c r="T32" s="26"/>
    </row>
    <row r="33" spans="2:24" ht="15" customHeight="1" x14ac:dyDescent="0.25">
      <c r="B33" s="75"/>
      <c r="C33" s="145"/>
      <c r="D33" s="94"/>
      <c r="E33" s="141"/>
      <c r="F33" s="30"/>
      <c r="G33" s="30"/>
      <c r="H33" s="30"/>
      <c r="I33" s="150"/>
      <c r="J33" s="30"/>
      <c r="K33" s="30"/>
      <c r="L33" s="30"/>
      <c r="M33" s="30"/>
      <c r="N33" s="30"/>
      <c r="O33" s="30"/>
      <c r="P33" s="30"/>
      <c r="Q33" s="30"/>
      <c r="R33" s="30"/>
      <c r="S33" s="30"/>
      <c r="T33" s="26"/>
      <c r="W33" s="190"/>
      <c r="X33" s="191"/>
    </row>
    <row r="34" spans="2:24" ht="15" customHeight="1" x14ac:dyDescent="0.25">
      <c r="B34" s="75"/>
      <c r="C34" s="145" t="s">
        <v>37</v>
      </c>
      <c r="D34" s="94" t="s">
        <v>122</v>
      </c>
      <c r="E34" s="215">
        <v>3.8155000000000001E-2</v>
      </c>
      <c r="F34" s="30"/>
      <c r="G34" s="30"/>
      <c r="H34" s="30"/>
      <c r="I34" s="150"/>
      <c r="J34" s="30"/>
      <c r="K34" s="30"/>
      <c r="L34" s="30"/>
      <c r="M34" s="30"/>
      <c r="N34" s="30"/>
      <c r="O34" s="30"/>
      <c r="P34" s="30"/>
      <c r="Q34" s="30"/>
      <c r="R34" s="30"/>
      <c r="S34" s="30"/>
      <c r="T34" s="26"/>
      <c r="W34" s="190"/>
      <c r="X34" s="191"/>
    </row>
    <row r="35" spans="2:24" ht="15" customHeight="1" x14ac:dyDescent="0.25">
      <c r="B35" s="75"/>
      <c r="C35" s="145" t="s">
        <v>266</v>
      </c>
      <c r="D35" s="94" t="s">
        <v>122</v>
      </c>
      <c r="E35" s="215">
        <v>5.6620000000000004E-3</v>
      </c>
      <c r="F35" s="30"/>
      <c r="G35" s="30"/>
      <c r="H35" s="30"/>
      <c r="I35" s="150"/>
      <c r="J35" s="30"/>
      <c r="K35" s="30"/>
      <c r="L35" s="30"/>
      <c r="M35" s="30"/>
      <c r="N35" s="30"/>
      <c r="O35" s="30"/>
      <c r="P35" s="30"/>
      <c r="Q35" s="30"/>
      <c r="R35" s="30"/>
      <c r="S35" s="30"/>
      <c r="T35" s="26"/>
      <c r="W35" s="63"/>
      <c r="X35" s="64"/>
    </row>
    <row r="36" spans="2:24" ht="15" customHeight="1" x14ac:dyDescent="0.25">
      <c r="B36" s="75"/>
      <c r="C36" s="148" t="s">
        <v>69</v>
      </c>
      <c r="D36" s="143"/>
      <c r="E36" s="144">
        <f>SUM(E34:E35)</f>
        <v>4.3817000000000002E-2</v>
      </c>
      <c r="F36" s="30"/>
      <c r="G36" s="30"/>
      <c r="H36" s="30"/>
      <c r="I36" s="150"/>
      <c r="J36" s="30"/>
      <c r="K36" s="30"/>
      <c r="L36" s="30"/>
      <c r="M36" s="30"/>
      <c r="N36" s="30"/>
      <c r="O36" s="30"/>
      <c r="P36" s="30"/>
      <c r="Q36" s="30"/>
      <c r="R36" s="30"/>
      <c r="S36" s="30"/>
      <c r="T36" s="26"/>
    </row>
    <row r="37" spans="2:24" s="60" customFormat="1" ht="15" customHeight="1" x14ac:dyDescent="0.25">
      <c r="B37" s="152"/>
      <c r="C37" s="153"/>
      <c r="D37" s="154"/>
      <c r="E37" s="155"/>
      <c r="F37" s="58"/>
      <c r="G37" s="58"/>
      <c r="H37" s="58"/>
      <c r="I37" s="156"/>
      <c r="J37" s="58"/>
      <c r="K37" s="58"/>
      <c r="L37" s="58"/>
      <c r="M37" s="58"/>
      <c r="N37" s="58"/>
      <c r="O37" s="58"/>
      <c r="P37" s="58"/>
      <c r="Q37" s="58"/>
      <c r="R37" s="58"/>
      <c r="S37" s="58"/>
      <c r="T37" s="59"/>
    </row>
    <row r="38" spans="2:24" s="60" customFormat="1" ht="15" customHeight="1" x14ac:dyDescent="0.25">
      <c r="B38" s="152"/>
      <c r="C38" s="157" t="s">
        <v>178</v>
      </c>
      <c r="D38" s="158" t="s">
        <v>63</v>
      </c>
      <c r="E38" s="216">
        <v>4.6634000000000002E-2</v>
      </c>
      <c r="F38" s="58"/>
      <c r="G38" s="58"/>
      <c r="H38" s="58"/>
      <c r="I38" s="156"/>
      <c r="J38" s="58"/>
      <c r="K38" s="58"/>
      <c r="L38" s="58"/>
      <c r="M38" s="58"/>
      <c r="N38" s="58"/>
      <c r="O38" s="58"/>
      <c r="P38" s="58"/>
      <c r="Q38" s="58"/>
      <c r="R38" s="58"/>
      <c r="S38" s="58"/>
      <c r="T38" s="59"/>
    </row>
    <row r="39" spans="2:24" s="60" customFormat="1" ht="15" customHeight="1" x14ac:dyDescent="0.25">
      <c r="B39" s="152"/>
      <c r="C39" s="157" t="s">
        <v>209</v>
      </c>
      <c r="D39" s="158" t="s">
        <v>63</v>
      </c>
      <c r="E39" s="216">
        <v>8.0289999999999997E-3</v>
      </c>
      <c r="F39" s="58"/>
      <c r="G39" s="58"/>
      <c r="H39" s="58"/>
      <c r="I39" s="156"/>
      <c r="J39" s="58"/>
      <c r="K39" s="58"/>
      <c r="L39" s="58"/>
      <c r="M39" s="58"/>
      <c r="N39" s="58"/>
      <c r="O39" s="58"/>
      <c r="P39" s="58"/>
      <c r="Q39" s="58"/>
      <c r="R39" s="58"/>
      <c r="S39" s="58"/>
      <c r="T39" s="59"/>
    </row>
    <row r="40" spans="2:24" s="60" customFormat="1" ht="15" customHeight="1" x14ac:dyDescent="0.25">
      <c r="B40" s="152"/>
      <c r="C40" s="142" t="s">
        <v>43</v>
      </c>
      <c r="D40" s="121"/>
      <c r="E40" s="144">
        <f>SUM(E38:E39)</f>
        <v>5.4663000000000003E-2</v>
      </c>
      <c r="F40" s="58"/>
      <c r="G40" s="58"/>
      <c r="H40" s="58"/>
      <c r="I40" s="156"/>
      <c r="J40" s="58"/>
      <c r="K40" s="58"/>
      <c r="L40" s="58"/>
      <c r="M40" s="58"/>
      <c r="N40" s="58"/>
      <c r="O40" s="58"/>
      <c r="P40" s="58"/>
      <c r="Q40" s="58"/>
      <c r="R40" s="58"/>
      <c r="S40" s="58"/>
      <c r="T40" s="59"/>
    </row>
    <row r="41" spans="2:24" ht="15" customHeight="1" x14ac:dyDescent="0.25">
      <c r="B41" s="75"/>
      <c r="C41" s="153"/>
      <c r="D41" s="154"/>
      <c r="E41" s="155"/>
      <c r="F41" s="30"/>
      <c r="G41" s="30"/>
      <c r="H41" s="30"/>
      <c r="I41" s="150"/>
      <c r="J41" s="30"/>
      <c r="K41" s="30"/>
      <c r="L41" s="30"/>
      <c r="M41" s="30"/>
      <c r="N41" s="30"/>
      <c r="O41" s="30"/>
      <c r="P41" s="30"/>
      <c r="Q41" s="30"/>
      <c r="R41" s="30"/>
      <c r="S41" s="30"/>
      <c r="T41" s="26"/>
    </row>
    <row r="42" spans="2:24" ht="15" customHeight="1" x14ac:dyDescent="0.25">
      <c r="B42" s="75"/>
      <c r="C42" s="157" t="s">
        <v>198</v>
      </c>
      <c r="D42" s="158" t="s">
        <v>63</v>
      </c>
      <c r="E42" s="216">
        <v>1.9931999999999998E-2</v>
      </c>
      <c r="F42" s="30"/>
      <c r="G42" s="30"/>
      <c r="H42" s="30"/>
      <c r="I42" s="150"/>
      <c r="J42" s="30"/>
      <c r="K42" s="30"/>
      <c r="L42" s="30"/>
      <c r="M42" s="30"/>
      <c r="N42" s="30"/>
      <c r="O42" s="30"/>
      <c r="P42" s="30"/>
      <c r="Q42" s="30"/>
      <c r="R42" s="30"/>
      <c r="S42" s="30"/>
      <c r="T42" s="26"/>
    </row>
    <row r="43" spans="2:24" ht="15" customHeight="1" x14ac:dyDescent="0.25">
      <c r="B43" s="75"/>
      <c r="C43" s="157" t="s">
        <v>210</v>
      </c>
      <c r="D43" s="158" t="s">
        <v>63</v>
      </c>
      <c r="E43" s="216">
        <v>1.9859000000000002E-2</v>
      </c>
      <c r="F43" s="30"/>
      <c r="G43" s="30"/>
      <c r="H43" s="30"/>
      <c r="I43" s="30"/>
      <c r="J43" s="30"/>
      <c r="K43" s="30"/>
      <c r="L43" s="30"/>
      <c r="M43" s="30"/>
      <c r="N43" s="30"/>
      <c r="O43" s="30"/>
      <c r="P43" s="30"/>
      <c r="Q43" s="30"/>
      <c r="R43" s="30"/>
      <c r="S43" s="30"/>
      <c r="T43" s="26"/>
    </row>
    <row r="44" spans="2:24" ht="15" customHeight="1" x14ac:dyDescent="0.25">
      <c r="B44" s="75"/>
      <c r="C44" s="157" t="s">
        <v>267</v>
      </c>
      <c r="D44" s="158" t="s">
        <v>63</v>
      </c>
      <c r="E44" s="216">
        <v>9.7599999999999996E-3</v>
      </c>
      <c r="F44" s="30"/>
      <c r="G44" s="30"/>
      <c r="H44" s="30"/>
      <c r="I44" s="30"/>
      <c r="J44" s="30"/>
      <c r="K44" s="30"/>
      <c r="L44" s="30"/>
      <c r="M44" s="30"/>
      <c r="N44" s="30"/>
      <c r="O44" s="30"/>
      <c r="P44" s="30"/>
      <c r="Q44" s="30"/>
      <c r="R44" s="30"/>
      <c r="S44" s="30"/>
      <c r="T44" s="26"/>
    </row>
    <row r="45" spans="2:24" ht="15" customHeight="1" x14ac:dyDescent="0.25">
      <c r="B45" s="75"/>
      <c r="C45" s="159" t="s">
        <v>92</v>
      </c>
      <c r="D45" s="160"/>
      <c r="E45" s="146">
        <f>SUM(E42:E44)</f>
        <v>4.9550999999999998E-2</v>
      </c>
      <c r="F45" s="30"/>
      <c r="G45" s="30"/>
      <c r="H45" s="30"/>
      <c r="I45" s="30"/>
      <c r="J45" s="30"/>
      <c r="K45" s="30"/>
      <c r="L45" s="30"/>
      <c r="M45" s="30"/>
      <c r="N45" s="30"/>
      <c r="O45" s="30"/>
      <c r="P45" s="30"/>
      <c r="Q45" s="30"/>
      <c r="R45" s="30"/>
      <c r="S45" s="30"/>
      <c r="T45" s="26"/>
    </row>
    <row r="46" spans="2:24" ht="15" customHeight="1" x14ac:dyDescent="0.25">
      <c r="B46" s="75"/>
      <c r="C46" s="161"/>
      <c r="D46" s="94"/>
      <c r="E46" s="162"/>
      <c r="F46" s="30"/>
      <c r="G46" s="151"/>
      <c r="H46" s="30"/>
      <c r="I46" s="30"/>
      <c r="J46" s="30"/>
      <c r="K46" s="30"/>
      <c r="L46" s="30"/>
      <c r="M46" s="30"/>
      <c r="N46" s="30"/>
      <c r="O46" s="30"/>
      <c r="P46" s="30"/>
      <c r="Q46" s="30"/>
      <c r="R46" s="30"/>
      <c r="S46" s="30"/>
      <c r="T46" s="26"/>
    </row>
    <row r="47" spans="2:24" ht="15" customHeight="1" x14ac:dyDescent="0.25">
      <c r="B47" s="75"/>
      <c r="C47" s="161" t="s">
        <v>246</v>
      </c>
      <c r="D47" s="94" t="s">
        <v>65</v>
      </c>
      <c r="E47" s="217">
        <v>1.7207E-2</v>
      </c>
      <c r="F47" s="30"/>
      <c r="G47" s="151"/>
      <c r="H47" s="30"/>
      <c r="I47" s="30"/>
      <c r="J47" s="30"/>
      <c r="K47" s="30"/>
      <c r="L47" s="30"/>
      <c r="M47" s="30"/>
      <c r="N47" s="30"/>
      <c r="O47" s="30"/>
      <c r="P47" s="30"/>
      <c r="Q47" s="30"/>
      <c r="R47" s="30"/>
      <c r="S47" s="30"/>
      <c r="T47" s="26"/>
    </row>
    <row r="48" spans="2:24" ht="15" customHeight="1" x14ac:dyDescent="0.25">
      <c r="B48" s="75"/>
      <c r="C48" s="159" t="s">
        <v>245</v>
      </c>
      <c r="D48" s="160"/>
      <c r="E48" s="218">
        <v>1.7207E-2</v>
      </c>
      <c r="F48" s="30"/>
      <c r="G48" s="30"/>
      <c r="H48" s="30"/>
      <c r="I48" s="30"/>
      <c r="J48" s="30"/>
      <c r="K48" s="30"/>
      <c r="L48" s="30"/>
      <c r="M48" s="30"/>
      <c r="N48" s="30"/>
      <c r="O48" s="30"/>
      <c r="P48" s="30"/>
      <c r="Q48" s="30"/>
      <c r="R48" s="30"/>
      <c r="S48" s="30"/>
      <c r="T48" s="26"/>
    </row>
    <row r="49" spans="2:20" ht="15" customHeight="1" x14ac:dyDescent="0.25">
      <c r="B49" s="75"/>
      <c r="C49" s="161"/>
      <c r="D49" s="126"/>
      <c r="E49" s="162"/>
      <c r="F49" s="30"/>
      <c r="G49" s="30"/>
      <c r="H49" s="30"/>
      <c r="I49" s="30"/>
      <c r="J49" s="30"/>
      <c r="K49" s="30"/>
      <c r="L49" s="30"/>
      <c r="M49" s="30"/>
      <c r="N49" s="30"/>
      <c r="O49" s="30"/>
      <c r="P49" s="30"/>
      <c r="Q49" s="30"/>
      <c r="R49" s="30"/>
      <c r="S49" s="30"/>
      <c r="T49" s="26"/>
    </row>
    <row r="50" spans="2:20" ht="15" customHeight="1" x14ac:dyDescent="0.25">
      <c r="B50" s="75"/>
      <c r="C50" s="159" t="s">
        <v>72</v>
      </c>
      <c r="D50" s="160"/>
      <c r="E50" s="213">
        <v>3.3933999999999999E-2</v>
      </c>
      <c r="F50" s="30"/>
      <c r="G50" s="30"/>
      <c r="H50" s="30"/>
      <c r="I50" s="30"/>
      <c r="J50" s="30"/>
      <c r="K50" s="30"/>
      <c r="L50" s="30"/>
      <c r="M50" s="30"/>
      <c r="N50" s="30"/>
      <c r="O50" s="30"/>
      <c r="P50" s="30"/>
      <c r="Q50" s="30"/>
      <c r="R50" s="30"/>
      <c r="S50" s="30"/>
      <c r="T50" s="26"/>
    </row>
    <row r="51" spans="2:20" ht="15" customHeight="1" x14ac:dyDescent="0.25">
      <c r="B51" s="75"/>
      <c r="C51" s="161"/>
      <c r="D51" s="126"/>
      <c r="E51" s="162"/>
      <c r="F51" s="30"/>
      <c r="G51" s="30"/>
      <c r="H51" s="30"/>
      <c r="I51" s="30"/>
      <c r="J51" s="30"/>
      <c r="K51" s="30"/>
      <c r="L51" s="30"/>
      <c r="M51" s="30"/>
      <c r="N51" s="30"/>
      <c r="O51" s="30"/>
      <c r="P51" s="30"/>
      <c r="Q51" s="30"/>
      <c r="R51" s="30"/>
      <c r="S51" s="30"/>
      <c r="T51" s="26"/>
    </row>
    <row r="52" spans="2:20" ht="15" customHeight="1" x14ac:dyDescent="0.25">
      <c r="B52" s="75"/>
      <c r="C52" s="163" t="s">
        <v>21</v>
      </c>
      <c r="D52" s="86"/>
      <c r="E52" s="87">
        <f>E50+E48+E45+E40+E36+E32+E27+E25+E23</f>
        <v>1</v>
      </c>
      <c r="F52" s="30"/>
      <c r="G52" s="30"/>
      <c r="H52" s="30"/>
      <c r="I52" s="30"/>
      <c r="J52" s="30"/>
      <c r="K52" s="30"/>
      <c r="L52" s="30"/>
      <c r="M52" s="30"/>
      <c r="N52" s="30"/>
      <c r="O52" s="30"/>
      <c r="P52" s="30"/>
      <c r="Q52" s="30"/>
      <c r="R52" s="30"/>
      <c r="S52" s="30"/>
      <c r="T52" s="26"/>
    </row>
    <row r="53" spans="2:20" ht="15" customHeight="1" x14ac:dyDescent="0.25">
      <c r="B53" s="75"/>
      <c r="F53" s="30"/>
      <c r="G53" s="30"/>
      <c r="H53" s="30"/>
      <c r="I53" s="30"/>
      <c r="J53" s="30"/>
      <c r="K53" s="30"/>
      <c r="L53" s="30"/>
      <c r="M53" s="30"/>
      <c r="N53" s="30"/>
      <c r="O53" s="30"/>
      <c r="P53" s="30"/>
      <c r="Q53" s="30"/>
      <c r="R53" s="30"/>
      <c r="S53" s="30"/>
      <c r="T53" s="26"/>
    </row>
    <row r="54" spans="2:20" ht="15" customHeight="1" thickBot="1" x14ac:dyDescent="0.3">
      <c r="B54" s="88"/>
      <c r="C54" s="31"/>
      <c r="D54" s="31"/>
      <c r="E54" s="31"/>
      <c r="F54" s="31"/>
      <c r="G54" s="31"/>
      <c r="H54" s="31"/>
      <c r="I54" s="31"/>
      <c r="J54" s="31"/>
      <c r="K54" s="31"/>
      <c r="L54" s="31"/>
      <c r="M54" s="31"/>
      <c r="N54" s="31"/>
      <c r="O54" s="31"/>
      <c r="P54" s="31"/>
      <c r="Q54" s="31"/>
      <c r="R54" s="31"/>
      <c r="S54" s="31"/>
      <c r="T54" s="27"/>
    </row>
    <row r="55" spans="2:20" ht="15" customHeight="1" thickBot="1" x14ac:dyDescent="0.3"/>
    <row r="56" spans="2:20" ht="15" customHeight="1" x14ac:dyDescent="0.25">
      <c r="B56" s="245" t="s">
        <v>265</v>
      </c>
      <c r="C56" s="246"/>
      <c r="D56" s="246"/>
      <c r="E56" s="246"/>
      <c r="F56" s="246"/>
      <c r="G56" s="246"/>
      <c r="H56" s="246"/>
      <c r="I56" s="246"/>
      <c r="J56" s="246"/>
      <c r="K56" s="246"/>
      <c r="L56" s="246"/>
      <c r="M56" s="246"/>
      <c r="N56" s="246"/>
      <c r="O56" s="246"/>
      <c r="P56" s="246"/>
      <c r="Q56" s="246"/>
      <c r="R56" s="247"/>
    </row>
    <row r="57" spans="2:20" ht="15" customHeight="1" x14ac:dyDescent="0.25">
      <c r="B57" s="248"/>
      <c r="C57" s="249"/>
      <c r="D57" s="249"/>
      <c r="E57" s="249"/>
      <c r="F57" s="249"/>
      <c r="G57" s="249"/>
      <c r="H57" s="249"/>
      <c r="I57" s="249"/>
      <c r="J57" s="249"/>
      <c r="K57" s="249"/>
      <c r="L57" s="249"/>
      <c r="M57" s="249"/>
      <c r="N57" s="249"/>
      <c r="O57" s="249"/>
      <c r="P57" s="249"/>
      <c r="Q57" s="249"/>
      <c r="R57" s="250"/>
    </row>
    <row r="58" spans="2:20" ht="15" customHeight="1" x14ac:dyDescent="0.25">
      <c r="B58" s="248"/>
      <c r="C58" s="249"/>
      <c r="D58" s="249"/>
      <c r="E58" s="249"/>
      <c r="F58" s="249"/>
      <c r="G58" s="249"/>
      <c r="H58" s="249"/>
      <c r="I58" s="249"/>
      <c r="J58" s="249"/>
      <c r="K58" s="249"/>
      <c r="L58" s="249"/>
      <c r="M58" s="249"/>
      <c r="N58" s="249"/>
      <c r="O58" s="249"/>
      <c r="P58" s="249"/>
      <c r="Q58" s="249"/>
      <c r="R58" s="250"/>
    </row>
    <row r="59" spans="2:20" ht="15" customHeight="1" x14ac:dyDescent="0.25">
      <c r="B59" s="248"/>
      <c r="C59" s="249"/>
      <c r="D59" s="249"/>
      <c r="E59" s="249"/>
      <c r="F59" s="249"/>
      <c r="G59" s="249"/>
      <c r="H59" s="249"/>
      <c r="I59" s="249"/>
      <c r="J59" s="249"/>
      <c r="K59" s="249"/>
      <c r="L59" s="249"/>
      <c r="M59" s="249"/>
      <c r="N59" s="249"/>
      <c r="O59" s="249"/>
      <c r="P59" s="249"/>
      <c r="Q59" s="249"/>
      <c r="R59" s="250"/>
    </row>
    <row r="60" spans="2:20" ht="15" customHeight="1" x14ac:dyDescent="0.25">
      <c r="B60" s="248"/>
      <c r="C60" s="249"/>
      <c r="D60" s="249"/>
      <c r="E60" s="249"/>
      <c r="F60" s="249"/>
      <c r="G60" s="249"/>
      <c r="H60" s="249"/>
      <c r="I60" s="249"/>
      <c r="J60" s="249"/>
      <c r="K60" s="249"/>
      <c r="L60" s="249"/>
      <c r="M60" s="249"/>
      <c r="N60" s="249"/>
      <c r="O60" s="249"/>
      <c r="P60" s="249"/>
      <c r="Q60" s="249"/>
      <c r="R60" s="250"/>
    </row>
    <row r="61" spans="2:20" ht="15" customHeight="1" x14ac:dyDescent="0.25">
      <c r="B61" s="248"/>
      <c r="C61" s="249"/>
      <c r="D61" s="249"/>
      <c r="E61" s="249"/>
      <c r="F61" s="249"/>
      <c r="G61" s="249"/>
      <c r="H61" s="249"/>
      <c r="I61" s="249"/>
      <c r="J61" s="249"/>
      <c r="K61" s="249"/>
      <c r="L61" s="249"/>
      <c r="M61" s="249"/>
      <c r="N61" s="249"/>
      <c r="O61" s="249"/>
      <c r="P61" s="249"/>
      <c r="Q61" s="249"/>
      <c r="R61" s="250"/>
    </row>
    <row r="62" spans="2:20" ht="24.75" customHeight="1" thickBot="1" x14ac:dyDescent="0.3">
      <c r="B62" s="251"/>
      <c r="C62" s="252"/>
      <c r="D62" s="252"/>
      <c r="E62" s="252"/>
      <c r="F62" s="252"/>
      <c r="G62" s="252"/>
      <c r="H62" s="252"/>
      <c r="I62" s="252"/>
      <c r="J62" s="252"/>
      <c r="K62" s="252"/>
      <c r="L62" s="252"/>
      <c r="M62" s="252"/>
      <c r="N62" s="252"/>
      <c r="O62" s="252"/>
      <c r="P62" s="252"/>
      <c r="Q62" s="252"/>
      <c r="R62" s="253"/>
    </row>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sortState ref="C42:E44">
    <sortCondition descending="1" ref="E42"/>
  </sortState>
  <mergeCells count="3">
    <mergeCell ref="C3:S3"/>
    <mergeCell ref="D5:E5"/>
    <mergeCell ref="B56:R62"/>
  </mergeCells>
  <pageMargins left="0.7" right="0.7" top="0.75" bottom="0.75" header="0.3" footer="0.3"/>
  <pageSetup scale="3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103"/>
      <c r="C2" s="46"/>
      <c r="D2" s="46"/>
      <c r="E2" s="46"/>
      <c r="F2" s="46"/>
      <c r="G2" s="46"/>
      <c r="H2" s="46"/>
      <c r="I2" s="46"/>
      <c r="J2" s="46"/>
      <c r="K2" s="46"/>
      <c r="L2" s="46"/>
      <c r="M2" s="46"/>
      <c r="N2" s="104"/>
    </row>
    <row r="3" spans="2:19" ht="20.25" customHeight="1" x14ac:dyDescent="0.2">
      <c r="B3" s="105"/>
      <c r="C3" s="239" t="s">
        <v>223</v>
      </c>
      <c r="D3" s="239"/>
      <c r="E3" s="239"/>
      <c r="F3" s="239"/>
      <c r="G3" s="239"/>
      <c r="H3" s="239"/>
      <c r="I3" s="239"/>
      <c r="J3" s="239"/>
      <c r="K3" s="239"/>
      <c r="L3" s="239"/>
      <c r="M3" s="239"/>
      <c r="N3" s="240"/>
    </row>
    <row r="4" spans="2:19" ht="15.75" x14ac:dyDescent="0.25">
      <c r="B4" s="105"/>
      <c r="C4" s="78" t="s">
        <v>303</v>
      </c>
      <c r="D4" s="30"/>
      <c r="E4" s="30"/>
      <c r="F4" s="5"/>
      <c r="G4" s="5"/>
      <c r="H4" s="5"/>
      <c r="I4" s="5"/>
      <c r="J4" s="5"/>
      <c r="K4" s="5"/>
      <c r="L4" s="5"/>
      <c r="M4" s="5"/>
      <c r="N4" s="21"/>
    </row>
    <row r="5" spans="2:19" ht="20.25" customHeight="1" x14ac:dyDescent="0.2">
      <c r="B5" s="105"/>
      <c r="C5" s="79" t="s">
        <v>304</v>
      </c>
      <c r="D5" s="256" t="s">
        <v>291</v>
      </c>
      <c r="E5" s="256"/>
      <c r="F5" s="5"/>
      <c r="G5" s="5"/>
      <c r="H5" s="5"/>
      <c r="I5" s="5"/>
      <c r="J5" s="5"/>
      <c r="K5" s="5"/>
      <c r="L5" s="5"/>
      <c r="M5" s="5"/>
      <c r="N5" s="21"/>
    </row>
    <row r="6" spans="2:19" ht="15.75" x14ac:dyDescent="0.25">
      <c r="B6" s="105"/>
      <c r="C6" s="30"/>
      <c r="D6" s="30"/>
      <c r="E6" s="30"/>
      <c r="F6" s="5"/>
      <c r="G6" s="5"/>
      <c r="H6" s="5"/>
      <c r="I6" s="5"/>
      <c r="J6" s="5"/>
      <c r="K6" s="5"/>
      <c r="L6" s="5"/>
      <c r="M6" s="5"/>
      <c r="N6" s="21"/>
    </row>
    <row r="7" spans="2:19" ht="32.25" customHeight="1" x14ac:dyDescent="0.2">
      <c r="B7" s="105"/>
      <c r="C7" s="107" t="s">
        <v>44</v>
      </c>
      <c r="D7" s="133" t="s">
        <v>45</v>
      </c>
      <c r="E7" s="133" t="s">
        <v>46</v>
      </c>
      <c r="F7" s="5"/>
      <c r="G7" s="241" t="s">
        <v>47</v>
      </c>
      <c r="H7" s="241"/>
      <c r="I7" s="241"/>
      <c r="J7" s="241"/>
      <c r="K7" s="241"/>
      <c r="L7" s="241"/>
      <c r="M7" s="241"/>
      <c r="N7" s="242"/>
    </row>
    <row r="8" spans="2:19" x14ac:dyDescent="0.2">
      <c r="B8" s="105"/>
      <c r="C8" s="134" t="s">
        <v>29</v>
      </c>
      <c r="D8" s="135" t="s">
        <v>3</v>
      </c>
      <c r="E8" s="117">
        <v>1.7794000000000001E-2</v>
      </c>
      <c r="F8" s="5"/>
      <c r="G8" s="5" t="s">
        <v>48</v>
      </c>
      <c r="H8" s="32">
        <v>1</v>
      </c>
      <c r="I8" s="52">
        <f>H8/SUM($H$8:$H$10)</f>
        <v>1</v>
      </c>
      <c r="J8" s="5"/>
      <c r="K8" s="32"/>
      <c r="L8" s="5"/>
      <c r="M8" s="5"/>
      <c r="N8" s="21"/>
      <c r="S8" s="56"/>
    </row>
    <row r="9" spans="2:19" ht="15.75" customHeight="1" x14ac:dyDescent="0.2">
      <c r="B9" s="105"/>
      <c r="C9" s="136" t="s">
        <v>33</v>
      </c>
      <c r="D9" s="39" t="s">
        <v>3</v>
      </c>
      <c r="E9" s="41">
        <v>1.6376999999999999E-2</v>
      </c>
      <c r="F9" s="5"/>
      <c r="G9" s="5" t="s">
        <v>58</v>
      </c>
      <c r="H9" s="6">
        <v>0</v>
      </c>
      <c r="I9" s="52">
        <f>H9/SUM($H$8:$H$10)</f>
        <v>0</v>
      </c>
      <c r="J9" s="5" t="s">
        <v>118</v>
      </c>
      <c r="K9" s="32">
        <f>E23+E25</f>
        <v>0.22407699999999997</v>
      </c>
      <c r="L9" s="5"/>
      <c r="M9" s="5"/>
      <c r="N9" s="21"/>
      <c r="S9" s="56"/>
    </row>
    <row r="10" spans="2:19" x14ac:dyDescent="0.2">
      <c r="B10" s="105"/>
      <c r="C10" s="136" t="s">
        <v>32</v>
      </c>
      <c r="D10" s="39" t="s">
        <v>6</v>
      </c>
      <c r="E10" s="41">
        <v>1.1753E-2</v>
      </c>
      <c r="F10" s="32"/>
      <c r="G10" s="5" t="s">
        <v>49</v>
      </c>
      <c r="H10" s="6">
        <v>0</v>
      </c>
      <c r="I10" s="52">
        <f>H10/SUM($H$8:$H$10)</f>
        <v>0</v>
      </c>
      <c r="J10" s="5" t="s">
        <v>20</v>
      </c>
      <c r="K10" s="32">
        <f>E35</f>
        <v>7.0396999999999932E-2</v>
      </c>
      <c r="L10" s="5"/>
      <c r="M10" s="5"/>
      <c r="N10" s="21"/>
      <c r="S10" s="56"/>
    </row>
    <row r="11" spans="2:19" x14ac:dyDescent="0.2">
      <c r="B11" s="105"/>
      <c r="C11" s="136" t="s">
        <v>76</v>
      </c>
      <c r="D11" s="39" t="s">
        <v>12</v>
      </c>
      <c r="E11" s="41">
        <v>9.3299999999999998E-3</v>
      </c>
      <c r="F11" s="5"/>
      <c r="G11" s="5"/>
      <c r="H11" s="5"/>
      <c r="I11" s="5"/>
      <c r="J11" s="5" t="s">
        <v>62</v>
      </c>
      <c r="K11" s="32">
        <f>E29</f>
        <v>0.57745500000000005</v>
      </c>
      <c r="L11" s="5"/>
      <c r="M11" s="5"/>
      <c r="N11" s="21"/>
      <c r="S11" s="56"/>
    </row>
    <row r="12" spans="2:19" ht="15.75" customHeight="1" x14ac:dyDescent="0.2">
      <c r="B12" s="105"/>
      <c r="C12" s="136" t="s">
        <v>28</v>
      </c>
      <c r="D12" s="39" t="s">
        <v>135</v>
      </c>
      <c r="E12" s="41">
        <v>8.2920000000000008E-3</v>
      </c>
      <c r="F12" s="32"/>
      <c r="G12" s="5"/>
      <c r="H12" s="32"/>
      <c r="I12" s="5"/>
      <c r="J12" s="5" t="s">
        <v>42</v>
      </c>
      <c r="K12" s="32">
        <f>E33</f>
        <v>3.4574000000000001E-2</v>
      </c>
      <c r="L12" s="5"/>
      <c r="M12" s="5"/>
      <c r="N12" s="21"/>
      <c r="S12" s="56"/>
    </row>
    <row r="13" spans="2:19" x14ac:dyDescent="0.2">
      <c r="B13" s="105"/>
      <c r="C13" s="136" t="s">
        <v>112</v>
      </c>
      <c r="D13" s="39" t="s">
        <v>141</v>
      </c>
      <c r="E13" s="41">
        <v>7.8379999999999995E-3</v>
      </c>
      <c r="F13" s="32"/>
      <c r="G13" s="5"/>
      <c r="H13" s="5"/>
      <c r="I13" s="5"/>
      <c r="J13" s="5"/>
      <c r="K13" s="32"/>
      <c r="L13" s="5"/>
      <c r="M13" s="5"/>
      <c r="N13" s="21"/>
      <c r="S13" s="56"/>
    </row>
    <row r="14" spans="2:19" x14ac:dyDescent="0.2">
      <c r="B14" s="105"/>
      <c r="C14" s="136" t="s">
        <v>132</v>
      </c>
      <c r="D14" s="39" t="s">
        <v>140</v>
      </c>
      <c r="E14" s="41">
        <v>7.5110000000000003E-3</v>
      </c>
      <c r="F14" s="32"/>
      <c r="G14" s="5"/>
      <c r="H14" s="5"/>
      <c r="I14" s="5"/>
      <c r="J14" s="5" t="s">
        <v>247</v>
      </c>
      <c r="K14" s="32">
        <f>E27</f>
        <v>9.3496999999999997E-2</v>
      </c>
      <c r="L14" s="5"/>
      <c r="M14" s="5"/>
      <c r="N14" s="21"/>
      <c r="S14" s="56"/>
    </row>
    <row r="15" spans="2:19" x14ac:dyDescent="0.2">
      <c r="B15" s="105"/>
      <c r="C15" s="136" t="s">
        <v>95</v>
      </c>
      <c r="D15" s="39" t="s">
        <v>4</v>
      </c>
      <c r="E15" s="41">
        <v>6.849999999999995E-3</v>
      </c>
      <c r="F15" s="5"/>
      <c r="G15" s="5"/>
      <c r="H15" s="5"/>
      <c r="I15" s="5"/>
      <c r="L15" s="5"/>
      <c r="M15" s="5"/>
      <c r="N15" s="21"/>
      <c r="S15" s="56"/>
    </row>
    <row r="16" spans="2:19" x14ac:dyDescent="0.2">
      <c r="B16" s="105"/>
      <c r="C16" s="136" t="s">
        <v>34</v>
      </c>
      <c r="D16" s="39" t="s">
        <v>135</v>
      </c>
      <c r="E16" s="41">
        <v>6.8430000000000019E-3</v>
      </c>
      <c r="F16" s="5"/>
      <c r="G16" s="5"/>
      <c r="H16" s="5"/>
      <c r="I16" s="5"/>
      <c r="J16" s="5"/>
      <c r="K16" s="5"/>
      <c r="L16" s="5"/>
      <c r="M16" s="5"/>
      <c r="N16" s="21"/>
      <c r="S16" s="56"/>
    </row>
    <row r="17" spans="2:19" x14ac:dyDescent="0.2">
      <c r="B17" s="105"/>
      <c r="C17" s="137" t="s">
        <v>139</v>
      </c>
      <c r="D17" s="118" t="s">
        <v>4</v>
      </c>
      <c r="E17" s="41">
        <v>6.6959999999999997E-3</v>
      </c>
      <c r="F17" s="5"/>
      <c r="G17" s="5"/>
      <c r="H17" s="5"/>
      <c r="I17" s="5"/>
      <c r="J17" s="5"/>
      <c r="K17" s="5"/>
      <c r="L17" s="5"/>
      <c r="M17" s="5"/>
      <c r="N17" s="21"/>
      <c r="S17" s="56"/>
    </row>
    <row r="18" spans="2:19" x14ac:dyDescent="0.2">
      <c r="B18" s="105"/>
      <c r="C18" s="136" t="s">
        <v>35</v>
      </c>
      <c r="D18" s="39" t="s">
        <v>23</v>
      </c>
      <c r="E18" s="41">
        <v>6.4209999999999996E-3</v>
      </c>
      <c r="F18" s="5"/>
      <c r="G18" s="5"/>
      <c r="H18" s="5"/>
      <c r="I18" s="5"/>
      <c r="J18" s="5"/>
      <c r="K18" s="5"/>
      <c r="L18" s="5"/>
      <c r="M18" s="5"/>
      <c r="N18" s="21"/>
      <c r="S18" s="56"/>
    </row>
    <row r="19" spans="2:19" x14ac:dyDescent="0.2">
      <c r="B19" s="105"/>
      <c r="C19" s="136" t="s">
        <v>207</v>
      </c>
      <c r="D19" s="39" t="s">
        <v>97</v>
      </c>
      <c r="E19" s="41">
        <v>6.1339999999999997E-3</v>
      </c>
      <c r="F19" s="5"/>
      <c r="G19" s="5"/>
      <c r="H19" s="5"/>
      <c r="I19" s="5"/>
      <c r="J19" s="5"/>
      <c r="K19" s="5"/>
      <c r="L19" s="5"/>
      <c r="M19" s="5"/>
      <c r="N19" s="21"/>
      <c r="S19" s="56"/>
    </row>
    <row r="20" spans="2:19" ht="15.75" customHeight="1" x14ac:dyDescent="0.25">
      <c r="B20" s="105"/>
      <c r="C20" s="136" t="s">
        <v>187</v>
      </c>
      <c r="D20" s="39" t="s">
        <v>143</v>
      </c>
      <c r="E20" s="41">
        <v>5.8269999999999997E-3</v>
      </c>
      <c r="F20" s="5"/>
      <c r="G20" s="259" t="s">
        <v>126</v>
      </c>
      <c r="H20" s="260"/>
      <c r="I20" s="260"/>
      <c r="J20" s="260"/>
      <c r="K20" s="260"/>
      <c r="L20" s="199">
        <v>42.132643317066695</v>
      </c>
      <c r="M20" s="138"/>
      <c r="N20" s="120"/>
      <c r="P20" s="20"/>
      <c r="S20" s="56"/>
    </row>
    <row r="21" spans="2:19" ht="15.75" x14ac:dyDescent="0.25">
      <c r="B21" s="105"/>
      <c r="C21" s="136" t="s">
        <v>37</v>
      </c>
      <c r="D21" s="39" t="s">
        <v>3</v>
      </c>
      <c r="E21" s="41">
        <v>5.7870000000000005E-3</v>
      </c>
      <c r="F21" s="5"/>
      <c r="G21" s="5"/>
      <c r="H21" s="5"/>
      <c r="I21" s="5"/>
      <c r="J21" s="5"/>
      <c r="K21" s="5"/>
      <c r="L21" s="5"/>
      <c r="M21" s="5"/>
      <c r="N21" s="21"/>
      <c r="P21" s="20"/>
      <c r="S21" s="56"/>
    </row>
    <row r="22" spans="2:19" ht="15.75" x14ac:dyDescent="0.25">
      <c r="B22" s="105"/>
      <c r="C22" s="136" t="s">
        <v>30</v>
      </c>
      <c r="D22" s="39" t="s">
        <v>4</v>
      </c>
      <c r="E22" s="41">
        <v>5.7630000000000008E-3</v>
      </c>
      <c r="F22" s="5"/>
      <c r="G22" s="32"/>
      <c r="H22" s="32"/>
      <c r="I22" s="32"/>
      <c r="J22" s="5"/>
      <c r="K22" s="32"/>
      <c r="L22" s="5"/>
      <c r="M22" s="5"/>
      <c r="N22" s="21"/>
      <c r="P22" s="20"/>
      <c r="S22" s="56"/>
    </row>
    <row r="23" spans="2:19" ht="15.75" customHeight="1" x14ac:dyDescent="0.25">
      <c r="B23" s="105"/>
      <c r="C23" s="121" t="s">
        <v>105</v>
      </c>
      <c r="D23" s="121"/>
      <c r="E23" s="122">
        <f>SUM(E8:E22)</f>
        <v>0.12921599999999997</v>
      </c>
      <c r="F23" s="5"/>
      <c r="G23" s="241" t="s">
        <v>51</v>
      </c>
      <c r="H23" s="241"/>
      <c r="I23" s="241"/>
      <c r="J23" s="241"/>
      <c r="K23" s="241"/>
      <c r="L23" s="241"/>
      <c r="M23" s="241"/>
      <c r="N23" s="242"/>
      <c r="P23" s="20"/>
      <c r="S23" s="56"/>
    </row>
    <row r="24" spans="2:19" ht="15.75" x14ac:dyDescent="0.25">
      <c r="B24" s="105"/>
      <c r="C24" s="4"/>
      <c r="D24" s="4"/>
      <c r="E24" s="6"/>
      <c r="F24" s="5"/>
      <c r="G24" s="5"/>
      <c r="H24" s="5"/>
      <c r="I24" s="5"/>
      <c r="J24" s="5"/>
      <c r="K24" s="5"/>
      <c r="L24" s="5"/>
      <c r="M24" s="5"/>
      <c r="N24" s="21"/>
      <c r="P24" s="20"/>
      <c r="S24" s="56"/>
    </row>
    <row r="25" spans="2:19" ht="15.75" x14ac:dyDescent="0.25">
      <c r="B25" s="105"/>
      <c r="C25" s="121" t="s">
        <v>106</v>
      </c>
      <c r="D25" s="121"/>
      <c r="E25" s="122">
        <v>9.4861000000000015E-2</v>
      </c>
      <c r="F25" s="5"/>
      <c r="G25" s="5"/>
      <c r="H25" s="5"/>
      <c r="I25" s="5"/>
      <c r="J25" s="5"/>
      <c r="K25" s="5"/>
      <c r="L25" s="5"/>
      <c r="M25" s="5"/>
      <c r="N25" s="21"/>
      <c r="P25" s="20"/>
      <c r="S25" s="56"/>
    </row>
    <row r="26" spans="2:19" ht="15.75" x14ac:dyDescent="0.25">
      <c r="B26" s="105"/>
      <c r="C26" s="4"/>
      <c r="D26" s="4"/>
      <c r="E26" s="6"/>
      <c r="F26" s="5"/>
      <c r="G26" s="5"/>
      <c r="H26" s="5"/>
      <c r="I26" s="5"/>
      <c r="J26" s="5"/>
      <c r="K26" s="5"/>
      <c r="L26" s="5"/>
      <c r="M26" s="5"/>
      <c r="N26" s="21"/>
      <c r="P26" s="20"/>
      <c r="S26" s="56"/>
    </row>
    <row r="27" spans="2:19" ht="31.5" x14ac:dyDescent="0.25">
      <c r="B27" s="105"/>
      <c r="C27" s="121" t="s">
        <v>239</v>
      </c>
      <c r="D27" s="139"/>
      <c r="E27" s="205">
        <v>9.3496999999999997E-2</v>
      </c>
      <c r="F27" s="5"/>
      <c r="G27" s="5"/>
      <c r="H27" s="5"/>
      <c r="I27" s="5"/>
      <c r="J27" s="5"/>
      <c r="K27" s="5"/>
      <c r="L27" s="5"/>
      <c r="M27" s="5"/>
      <c r="N27" s="21"/>
      <c r="P27" s="20"/>
      <c r="S27" s="56"/>
    </row>
    <row r="28" spans="2:19" ht="15.75" x14ac:dyDescent="0.25">
      <c r="B28" s="105"/>
      <c r="C28" s="4"/>
      <c r="D28" s="4"/>
      <c r="E28" s="6"/>
      <c r="F28" s="5"/>
      <c r="G28" s="5"/>
      <c r="H28" s="5"/>
      <c r="I28" s="5"/>
      <c r="J28" s="5"/>
      <c r="K28" s="5"/>
      <c r="L28" s="5"/>
      <c r="M28" s="5"/>
      <c r="N28" s="21"/>
      <c r="P28" s="20"/>
      <c r="S28" s="56"/>
    </row>
    <row r="29" spans="2:19" ht="15.75" x14ac:dyDescent="0.25">
      <c r="B29" s="105"/>
      <c r="C29" s="121" t="s">
        <v>60</v>
      </c>
      <c r="D29" s="121"/>
      <c r="E29" s="205">
        <v>0.57745500000000005</v>
      </c>
      <c r="F29" s="5"/>
      <c r="G29" s="5"/>
      <c r="H29" s="5"/>
      <c r="I29" s="5"/>
      <c r="J29" s="5"/>
      <c r="K29" s="5"/>
      <c r="L29" s="5"/>
      <c r="M29" s="5"/>
      <c r="N29" s="21"/>
      <c r="P29" s="20"/>
      <c r="S29" s="56"/>
    </row>
    <row r="30" spans="2:19" ht="15.75" x14ac:dyDescent="0.25">
      <c r="B30" s="105"/>
      <c r="C30" s="65"/>
      <c r="D30" s="28"/>
      <c r="E30" s="66"/>
      <c r="F30" s="5"/>
      <c r="G30" s="5"/>
      <c r="H30" s="5"/>
      <c r="I30" s="5"/>
      <c r="J30" s="5"/>
      <c r="K30" s="5"/>
      <c r="L30" s="5"/>
      <c r="M30" s="5"/>
      <c r="N30" s="21"/>
      <c r="P30" s="20"/>
      <c r="S30" s="56"/>
    </row>
    <row r="31" spans="2:19" ht="15.75" x14ac:dyDescent="0.25">
      <c r="B31" s="105"/>
      <c r="C31" s="28" t="s">
        <v>74</v>
      </c>
      <c r="D31" s="28" t="s">
        <v>65</v>
      </c>
      <c r="E31" s="219">
        <v>3.4571999999999999E-2</v>
      </c>
      <c r="F31" s="5"/>
      <c r="G31" s="5"/>
      <c r="H31" s="5"/>
      <c r="I31" s="5"/>
      <c r="J31" s="5"/>
      <c r="K31" s="5"/>
      <c r="L31" s="5"/>
      <c r="M31" s="5"/>
      <c r="N31" s="21"/>
      <c r="P31" s="20"/>
      <c r="S31" s="56"/>
    </row>
    <row r="32" spans="2:19" ht="15.75" x14ac:dyDescent="0.25">
      <c r="B32" s="105"/>
      <c r="C32" s="28" t="s">
        <v>102</v>
      </c>
      <c r="D32" s="28" t="s">
        <v>65</v>
      </c>
      <c r="E32" s="220">
        <v>1.9999999999999999E-6</v>
      </c>
      <c r="F32" s="5"/>
      <c r="G32" s="5"/>
      <c r="H32" s="5"/>
      <c r="I32" s="5"/>
      <c r="J32" s="5"/>
      <c r="K32" s="5"/>
      <c r="L32" s="5"/>
      <c r="M32" s="5"/>
      <c r="N32" s="21"/>
      <c r="P32" s="20"/>
      <c r="S32" s="56"/>
    </row>
    <row r="33" spans="2:19" ht="15" customHeight="1" x14ac:dyDescent="0.25">
      <c r="B33" s="105"/>
      <c r="C33" s="121" t="s">
        <v>50</v>
      </c>
      <c r="D33" s="121"/>
      <c r="E33" s="122">
        <f>E31+E32</f>
        <v>3.4574000000000001E-2</v>
      </c>
      <c r="F33" s="5"/>
      <c r="G33" s="5"/>
      <c r="H33" s="5"/>
      <c r="I33" s="5"/>
      <c r="J33" s="5"/>
      <c r="K33" s="5"/>
      <c r="L33" s="5"/>
      <c r="M33" s="5"/>
      <c r="N33" s="21"/>
      <c r="P33" s="20"/>
      <c r="S33" s="56"/>
    </row>
    <row r="34" spans="2:19" ht="15" customHeight="1" x14ac:dyDescent="0.25">
      <c r="B34" s="105"/>
      <c r="C34" s="126"/>
      <c r="D34" s="126"/>
      <c r="E34" s="127"/>
      <c r="F34" s="5"/>
      <c r="G34" s="5"/>
      <c r="H34" s="5"/>
      <c r="I34" s="5"/>
      <c r="J34" s="5"/>
      <c r="K34" s="5"/>
      <c r="L34" s="5"/>
      <c r="M34" s="5"/>
      <c r="N34" s="21"/>
      <c r="P34" s="20"/>
      <c r="S34" s="56"/>
    </row>
    <row r="35" spans="2:19" s="55" customFormat="1" ht="15.75" x14ac:dyDescent="0.25">
      <c r="B35" s="123"/>
      <c r="C35" s="121" t="s">
        <v>20</v>
      </c>
      <c r="D35" s="121"/>
      <c r="E35" s="122">
        <v>7.0396999999999932E-2</v>
      </c>
      <c r="F35" s="44"/>
      <c r="G35" s="44"/>
      <c r="H35" s="44"/>
      <c r="I35" s="44"/>
      <c r="J35" s="44"/>
      <c r="K35" s="44"/>
      <c r="L35" s="44"/>
      <c r="M35" s="44"/>
      <c r="N35" s="124"/>
      <c r="P35" s="60"/>
      <c r="S35" s="125"/>
    </row>
    <row r="36" spans="2:19" s="55" customFormat="1" ht="15.75" x14ac:dyDescent="0.25">
      <c r="B36" s="123"/>
      <c r="C36" s="4"/>
      <c r="D36" s="4"/>
      <c r="E36" s="33"/>
      <c r="F36" s="44"/>
      <c r="G36" s="44"/>
      <c r="H36" s="44"/>
      <c r="I36" s="44"/>
      <c r="J36" s="44"/>
      <c r="K36" s="44"/>
      <c r="L36" s="44"/>
      <c r="M36" s="44"/>
      <c r="N36" s="124"/>
      <c r="P36" s="60"/>
      <c r="S36" s="125"/>
    </row>
    <row r="37" spans="2:19" ht="15.75" x14ac:dyDescent="0.25">
      <c r="B37" s="105"/>
      <c r="C37" s="128" t="s">
        <v>21</v>
      </c>
      <c r="D37" s="128"/>
      <c r="E37" s="129">
        <f>E35+E33+E29+E27+E25+E23</f>
        <v>0.99999999999999989</v>
      </c>
      <c r="F37" s="5"/>
      <c r="G37" s="5"/>
      <c r="H37" s="5"/>
      <c r="I37" s="5"/>
      <c r="J37" s="5"/>
      <c r="K37" s="5"/>
      <c r="L37" s="5"/>
      <c r="M37" s="5"/>
      <c r="N37" s="21"/>
      <c r="P37" s="20"/>
      <c r="S37" s="56"/>
    </row>
    <row r="38" spans="2:19" ht="15.75" x14ac:dyDescent="0.25">
      <c r="B38" s="105"/>
      <c r="F38" s="5"/>
      <c r="G38" s="5"/>
      <c r="H38" s="5"/>
      <c r="I38" s="5"/>
      <c r="J38" s="5"/>
      <c r="K38" s="5"/>
      <c r="L38" s="5"/>
      <c r="M38" s="5"/>
      <c r="N38" s="21"/>
      <c r="P38" s="20"/>
      <c r="S38" s="56"/>
    </row>
    <row r="39" spans="2:19" ht="15.75" x14ac:dyDescent="0.25">
      <c r="B39" s="105"/>
      <c r="F39" s="5"/>
      <c r="G39" s="5"/>
      <c r="H39" s="5"/>
      <c r="I39" s="5"/>
      <c r="J39" s="5"/>
      <c r="K39" s="5"/>
      <c r="L39" s="5"/>
      <c r="M39" s="5"/>
      <c r="N39" s="21"/>
      <c r="P39" s="20"/>
      <c r="S39" s="56"/>
    </row>
    <row r="40" spans="2:19" ht="15.75" x14ac:dyDescent="0.25">
      <c r="B40" s="105"/>
      <c r="F40" s="5"/>
      <c r="G40" s="5"/>
      <c r="H40" s="5"/>
      <c r="I40" s="5"/>
      <c r="J40" s="5"/>
      <c r="K40" s="5"/>
      <c r="L40" s="5"/>
      <c r="M40" s="5"/>
      <c r="N40" s="21"/>
      <c r="P40" s="20"/>
      <c r="S40" s="56"/>
    </row>
    <row r="41" spans="2:19" ht="15.75" x14ac:dyDescent="0.25">
      <c r="B41" s="105"/>
      <c r="C41" s="5"/>
      <c r="D41" s="5"/>
      <c r="E41" s="5"/>
      <c r="F41" s="5"/>
      <c r="G41" s="5"/>
      <c r="H41" s="5"/>
      <c r="I41" s="5"/>
      <c r="J41" s="5"/>
      <c r="K41" s="5"/>
      <c r="L41" s="5"/>
      <c r="M41" s="5"/>
      <c r="N41" s="21"/>
      <c r="P41" s="20"/>
      <c r="S41" s="56"/>
    </row>
    <row r="42" spans="2:19" ht="15.75" x14ac:dyDescent="0.25">
      <c r="B42" s="105"/>
      <c r="F42" s="5"/>
      <c r="G42" s="5"/>
      <c r="H42" s="5"/>
      <c r="I42" s="5"/>
      <c r="J42" s="5"/>
      <c r="K42" s="5"/>
      <c r="L42" s="5"/>
      <c r="M42" s="5"/>
      <c r="N42" s="21"/>
      <c r="P42" s="20"/>
      <c r="S42" s="56"/>
    </row>
    <row r="43" spans="2:19" ht="15.75" x14ac:dyDescent="0.25">
      <c r="B43" s="105"/>
      <c r="F43" s="5"/>
      <c r="G43" s="5"/>
      <c r="H43" s="5"/>
      <c r="I43" s="5"/>
      <c r="J43" s="5"/>
      <c r="K43" s="5"/>
      <c r="L43" s="5"/>
      <c r="M43" s="5"/>
      <c r="N43" s="21"/>
      <c r="P43" s="20"/>
      <c r="S43" s="56"/>
    </row>
    <row r="44" spans="2:19" ht="15.75" x14ac:dyDescent="0.25">
      <c r="B44" s="105"/>
      <c r="C44" s="5"/>
      <c r="D44" s="5"/>
      <c r="E44" s="5"/>
      <c r="F44" s="5"/>
      <c r="G44" s="5"/>
      <c r="H44" s="5"/>
      <c r="I44" s="5"/>
      <c r="J44" s="5"/>
      <c r="K44" s="5"/>
      <c r="L44" s="5"/>
      <c r="M44" s="5"/>
      <c r="N44" s="21"/>
      <c r="P44" s="20"/>
      <c r="S44" s="56"/>
    </row>
    <row r="45" spans="2:19" ht="15.75" x14ac:dyDescent="0.25">
      <c r="B45" s="105"/>
      <c r="C45" s="5"/>
      <c r="D45" s="5"/>
      <c r="E45" s="5"/>
      <c r="F45" s="5"/>
      <c r="G45" s="5"/>
      <c r="H45" s="5"/>
      <c r="I45" s="5"/>
      <c r="J45" s="5"/>
      <c r="K45" s="5"/>
      <c r="L45" s="5"/>
      <c r="M45" s="5"/>
      <c r="N45" s="21"/>
      <c r="P45" s="20"/>
      <c r="S45" s="56"/>
    </row>
    <row r="46" spans="2:19" ht="11.25" customHeight="1" thickBot="1" x14ac:dyDescent="0.25">
      <c r="B46" s="108"/>
      <c r="C46" s="51"/>
      <c r="D46" s="51"/>
      <c r="E46" s="51"/>
      <c r="F46" s="51"/>
      <c r="G46" s="51"/>
      <c r="H46" s="51"/>
      <c r="I46" s="51"/>
      <c r="J46" s="51"/>
      <c r="K46" s="51"/>
      <c r="L46" s="51"/>
      <c r="M46" s="51"/>
      <c r="N46" s="132"/>
      <c r="S46" s="56"/>
    </row>
    <row r="47" spans="2:19" ht="15.75" thickBot="1" x14ac:dyDescent="0.25">
      <c r="S47" s="56"/>
    </row>
    <row r="48" spans="2:19" ht="15" customHeight="1" x14ac:dyDescent="0.2">
      <c r="B48" s="245" t="s">
        <v>265</v>
      </c>
      <c r="C48" s="246"/>
      <c r="D48" s="246"/>
      <c r="E48" s="246"/>
      <c r="F48" s="246"/>
      <c r="G48" s="246"/>
      <c r="H48" s="246"/>
      <c r="I48" s="246"/>
      <c r="J48" s="246"/>
      <c r="K48" s="246"/>
      <c r="L48" s="246"/>
      <c r="M48" s="246"/>
      <c r="N48" s="246"/>
      <c r="O48" s="246"/>
      <c r="P48" s="246"/>
      <c r="Q48" s="246"/>
      <c r="R48" s="247"/>
      <c r="S48" s="56"/>
    </row>
    <row r="49" spans="2:19" x14ac:dyDescent="0.2">
      <c r="B49" s="248"/>
      <c r="C49" s="249"/>
      <c r="D49" s="249"/>
      <c r="E49" s="249"/>
      <c r="F49" s="249"/>
      <c r="G49" s="249"/>
      <c r="H49" s="249"/>
      <c r="I49" s="249"/>
      <c r="J49" s="249"/>
      <c r="K49" s="249"/>
      <c r="L49" s="249"/>
      <c r="M49" s="249"/>
      <c r="N49" s="249"/>
      <c r="O49" s="249"/>
      <c r="P49" s="249"/>
      <c r="Q49" s="249"/>
      <c r="R49" s="250"/>
      <c r="S49" s="56"/>
    </row>
    <row r="50" spans="2:19" x14ac:dyDescent="0.2">
      <c r="B50" s="248"/>
      <c r="C50" s="249"/>
      <c r="D50" s="249"/>
      <c r="E50" s="249"/>
      <c r="F50" s="249"/>
      <c r="G50" s="249"/>
      <c r="H50" s="249"/>
      <c r="I50" s="249"/>
      <c r="J50" s="249"/>
      <c r="K50" s="249"/>
      <c r="L50" s="249"/>
      <c r="M50" s="249"/>
      <c r="N50" s="249"/>
      <c r="O50" s="249"/>
      <c r="P50" s="249"/>
      <c r="Q50" s="249"/>
      <c r="R50" s="250"/>
      <c r="S50" s="56"/>
    </row>
    <row r="51" spans="2:19" x14ac:dyDescent="0.2">
      <c r="B51" s="248"/>
      <c r="C51" s="249"/>
      <c r="D51" s="249"/>
      <c r="E51" s="249"/>
      <c r="F51" s="249"/>
      <c r="G51" s="249"/>
      <c r="H51" s="249"/>
      <c r="I51" s="249"/>
      <c r="J51" s="249"/>
      <c r="K51" s="249"/>
      <c r="L51" s="249"/>
      <c r="M51" s="249"/>
      <c r="N51" s="249"/>
      <c r="O51" s="249"/>
      <c r="P51" s="249"/>
      <c r="Q51" s="249"/>
      <c r="R51" s="250"/>
      <c r="S51" s="56"/>
    </row>
    <row r="52" spans="2:19" x14ac:dyDescent="0.2">
      <c r="B52" s="248"/>
      <c r="C52" s="249"/>
      <c r="D52" s="249"/>
      <c r="E52" s="249"/>
      <c r="F52" s="249"/>
      <c r="G52" s="249"/>
      <c r="H52" s="249"/>
      <c r="I52" s="249"/>
      <c r="J52" s="249"/>
      <c r="K52" s="249"/>
      <c r="L52" s="249"/>
      <c r="M52" s="249"/>
      <c r="N52" s="249"/>
      <c r="O52" s="249"/>
      <c r="P52" s="249"/>
      <c r="Q52" s="249"/>
      <c r="R52" s="250"/>
      <c r="S52" s="56"/>
    </row>
    <row r="53" spans="2:19" x14ac:dyDescent="0.2">
      <c r="B53" s="248"/>
      <c r="C53" s="249"/>
      <c r="D53" s="249"/>
      <c r="E53" s="249"/>
      <c r="F53" s="249"/>
      <c r="G53" s="249"/>
      <c r="H53" s="249"/>
      <c r="I53" s="249"/>
      <c r="J53" s="249"/>
      <c r="K53" s="249"/>
      <c r="L53" s="249"/>
      <c r="M53" s="249"/>
      <c r="N53" s="249"/>
      <c r="O53" s="249"/>
      <c r="P53" s="249"/>
      <c r="Q53" s="249"/>
      <c r="R53" s="250"/>
      <c r="S53" s="56"/>
    </row>
    <row r="54" spans="2:19" ht="15.75" thickBot="1" x14ac:dyDescent="0.25">
      <c r="B54" s="251"/>
      <c r="C54" s="252"/>
      <c r="D54" s="252"/>
      <c r="E54" s="252"/>
      <c r="F54" s="252"/>
      <c r="G54" s="252"/>
      <c r="H54" s="252"/>
      <c r="I54" s="252"/>
      <c r="J54" s="252"/>
      <c r="K54" s="252"/>
      <c r="L54" s="252"/>
      <c r="M54" s="252"/>
      <c r="N54" s="252"/>
      <c r="O54" s="252"/>
      <c r="P54" s="252"/>
      <c r="Q54" s="252"/>
      <c r="R54" s="253"/>
      <c r="S54" s="56"/>
    </row>
    <row r="55" spans="2:19" x14ac:dyDescent="0.2">
      <c r="S55" s="56"/>
    </row>
    <row r="56" spans="2:19" x14ac:dyDescent="0.2">
      <c r="S56" s="56"/>
    </row>
    <row r="57" spans="2:19" x14ac:dyDescent="0.2">
      <c r="S57" s="56"/>
    </row>
    <row r="58" spans="2:19" x14ac:dyDescent="0.2">
      <c r="S58" s="56"/>
    </row>
    <row r="59" spans="2:19" x14ac:dyDescent="0.2">
      <c r="S59" s="56"/>
    </row>
    <row r="60" spans="2:19" x14ac:dyDescent="0.2">
      <c r="S60" s="56"/>
    </row>
    <row r="61" spans="2:19" x14ac:dyDescent="0.2">
      <c r="S61" s="56"/>
    </row>
    <row r="62" spans="2:19" x14ac:dyDescent="0.2">
      <c r="S62" s="56"/>
    </row>
    <row r="63" spans="2:19" x14ac:dyDescent="0.2">
      <c r="S63" s="56"/>
    </row>
    <row r="64" spans="2: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sheetData>
  <sortState ref="C31:E32">
    <sortCondition descending="1" ref="E31"/>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1"/>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3"/>
      <c r="C2" s="46"/>
      <c r="D2" s="46"/>
      <c r="E2" s="46"/>
      <c r="F2" s="46"/>
      <c r="G2" s="46"/>
      <c r="H2" s="46"/>
      <c r="I2" s="46"/>
      <c r="J2" s="46"/>
      <c r="K2" s="46"/>
      <c r="L2" s="46"/>
      <c r="M2" s="46"/>
      <c r="N2" s="104"/>
    </row>
    <row r="3" spans="2:18" ht="20.25" customHeight="1" x14ac:dyDescent="0.2">
      <c r="B3" s="105"/>
      <c r="C3" s="239" t="s">
        <v>222</v>
      </c>
      <c r="D3" s="239"/>
      <c r="E3" s="239"/>
      <c r="F3" s="239"/>
      <c r="G3" s="239"/>
      <c r="H3" s="239"/>
      <c r="I3" s="239"/>
      <c r="J3" s="239"/>
      <c r="K3" s="239"/>
      <c r="L3" s="239"/>
      <c r="M3" s="239"/>
      <c r="N3" s="240"/>
    </row>
    <row r="4" spans="2:18" ht="15.75" x14ac:dyDescent="0.25">
      <c r="B4" s="105"/>
      <c r="C4" s="78" t="s">
        <v>303</v>
      </c>
      <c r="D4" s="30"/>
      <c r="E4" s="30"/>
      <c r="F4" s="5"/>
      <c r="G4" s="5"/>
      <c r="H4" s="5"/>
      <c r="I4" s="5"/>
      <c r="J4" s="5"/>
      <c r="K4" s="5"/>
      <c r="L4" s="5"/>
      <c r="M4" s="5"/>
      <c r="N4" s="21"/>
    </row>
    <row r="5" spans="2:18" ht="20.25" customHeight="1" x14ac:dyDescent="0.2">
      <c r="B5" s="105"/>
      <c r="C5" s="79" t="s">
        <v>304</v>
      </c>
      <c r="D5" s="256" t="s">
        <v>292</v>
      </c>
      <c r="E5" s="256"/>
      <c r="F5" s="5"/>
      <c r="G5" s="5"/>
      <c r="H5" s="5"/>
      <c r="I5" s="5"/>
      <c r="J5" s="5"/>
      <c r="K5" s="5"/>
      <c r="L5" s="5"/>
      <c r="M5" s="5"/>
      <c r="N5" s="21"/>
    </row>
    <row r="6" spans="2:18" ht="15.75" x14ac:dyDescent="0.25">
      <c r="B6" s="105"/>
      <c r="C6" s="30"/>
      <c r="D6" s="30"/>
      <c r="E6" s="30"/>
      <c r="F6" s="5"/>
      <c r="G6" s="5"/>
      <c r="H6" s="5"/>
      <c r="I6" s="5"/>
      <c r="J6" s="5"/>
      <c r="K6" s="5"/>
      <c r="L6" s="5"/>
      <c r="M6" s="5"/>
      <c r="N6" s="21"/>
    </row>
    <row r="7" spans="2:18" ht="32.25" customHeight="1" x14ac:dyDescent="0.2">
      <c r="B7" s="105"/>
      <c r="C7" s="107" t="s">
        <v>44</v>
      </c>
      <c r="D7" s="107" t="s">
        <v>45</v>
      </c>
      <c r="E7" s="107" t="s">
        <v>46</v>
      </c>
      <c r="F7" s="5"/>
      <c r="G7" s="241" t="s">
        <v>47</v>
      </c>
      <c r="H7" s="241"/>
      <c r="I7" s="241"/>
      <c r="J7" s="241"/>
      <c r="K7" s="241"/>
      <c r="L7" s="241"/>
      <c r="M7" s="241"/>
      <c r="N7" s="242"/>
    </row>
    <row r="8" spans="2:18" x14ac:dyDescent="0.2">
      <c r="B8" s="105"/>
      <c r="C8" s="221" t="s">
        <v>167</v>
      </c>
      <c r="D8" s="222" t="s">
        <v>145</v>
      </c>
      <c r="E8" s="223">
        <v>9.1669999999999998E-3</v>
      </c>
      <c r="F8" s="5"/>
      <c r="G8" s="5" t="s">
        <v>48</v>
      </c>
      <c r="H8" s="32">
        <v>1</v>
      </c>
      <c r="I8" s="52">
        <f>H8/SUM($H$8:$H$10)</f>
        <v>1</v>
      </c>
      <c r="J8" s="5"/>
      <c r="K8" s="32"/>
      <c r="L8" s="5"/>
      <c r="M8" s="5"/>
      <c r="N8" s="21"/>
      <c r="R8" s="56"/>
    </row>
    <row r="9" spans="2:18" ht="15.75" customHeight="1" x14ac:dyDescent="0.2">
      <c r="B9" s="105"/>
      <c r="C9" s="211" t="s">
        <v>177</v>
      </c>
      <c r="D9" s="224" t="s">
        <v>3</v>
      </c>
      <c r="E9" s="225">
        <v>7.7640000000000001E-3</v>
      </c>
      <c r="F9" s="5"/>
      <c r="G9" s="5" t="s">
        <v>58</v>
      </c>
      <c r="H9" s="53">
        <v>0</v>
      </c>
      <c r="I9" s="52">
        <f t="shared" ref="I9:I10" si="0">H9/SUM($H$8:$H$10)</f>
        <v>0</v>
      </c>
      <c r="J9" s="5" t="s">
        <v>42</v>
      </c>
      <c r="K9" s="32">
        <f>E35</f>
        <v>3.8086000000000002E-2</v>
      </c>
      <c r="L9" s="5"/>
      <c r="M9" s="5"/>
      <c r="N9" s="21"/>
      <c r="R9" s="56"/>
    </row>
    <row r="10" spans="2:18" x14ac:dyDescent="0.2">
      <c r="B10" s="105"/>
      <c r="C10" s="211" t="s">
        <v>139</v>
      </c>
      <c r="D10" s="224" t="s">
        <v>4</v>
      </c>
      <c r="E10" s="225">
        <v>7.4650000000000003E-3</v>
      </c>
      <c r="F10" s="32"/>
      <c r="G10" s="5" t="s">
        <v>49</v>
      </c>
      <c r="H10" s="53">
        <v>0</v>
      </c>
      <c r="I10" s="52">
        <f t="shared" si="0"/>
        <v>0</v>
      </c>
      <c r="J10" s="5" t="s">
        <v>114</v>
      </c>
      <c r="K10" s="32">
        <f>E24+E27+E29</f>
        <v>0.24467900000000001</v>
      </c>
      <c r="L10" s="5"/>
      <c r="M10" s="5"/>
      <c r="N10" s="21"/>
      <c r="R10" s="56"/>
    </row>
    <row r="11" spans="2:18" x14ac:dyDescent="0.2">
      <c r="B11" s="105"/>
      <c r="C11" s="211" t="s">
        <v>176</v>
      </c>
      <c r="D11" s="224" t="s">
        <v>145</v>
      </c>
      <c r="E11" s="225">
        <v>7.1349999999999998E-3</v>
      </c>
      <c r="F11" s="5"/>
      <c r="G11" s="5"/>
      <c r="H11" s="5"/>
      <c r="I11" s="5"/>
      <c r="J11" s="5" t="s">
        <v>20</v>
      </c>
      <c r="K11" s="32">
        <f>E48</f>
        <v>9.4885999999999998E-2</v>
      </c>
      <c r="L11" s="5"/>
      <c r="M11" s="5"/>
      <c r="N11" s="21"/>
      <c r="R11" s="56"/>
    </row>
    <row r="12" spans="2:18" ht="15.75" customHeight="1" x14ac:dyDescent="0.2">
      <c r="B12" s="105"/>
      <c r="C12" s="211" t="s">
        <v>165</v>
      </c>
      <c r="D12" s="224" t="s">
        <v>141</v>
      </c>
      <c r="E12" s="225">
        <v>6.3930000000000002E-3</v>
      </c>
      <c r="F12" s="32"/>
      <c r="G12" s="5"/>
      <c r="H12" s="32"/>
      <c r="I12" s="5"/>
      <c r="J12" s="5" t="s">
        <v>43</v>
      </c>
      <c r="K12" s="32">
        <f>E43</f>
        <v>0.55065299999999995</v>
      </c>
      <c r="L12" s="5"/>
      <c r="M12" s="5"/>
      <c r="N12" s="21"/>
      <c r="R12" s="56"/>
    </row>
    <row r="13" spans="2:18" x14ac:dyDescent="0.2">
      <c r="B13" s="105"/>
      <c r="C13" s="211" t="s">
        <v>103</v>
      </c>
      <c r="D13" s="224" t="s">
        <v>26</v>
      </c>
      <c r="E13" s="225">
        <v>6.0540000000000004E-3</v>
      </c>
      <c r="F13" s="32"/>
      <c r="G13" s="5"/>
      <c r="H13" s="5"/>
      <c r="I13" s="5"/>
      <c r="J13" s="5" t="s">
        <v>59</v>
      </c>
      <c r="K13" s="32">
        <f>E46</f>
        <v>7.1695999999999996E-2</v>
      </c>
      <c r="L13" s="5"/>
      <c r="M13" s="5"/>
      <c r="N13" s="21"/>
      <c r="R13" s="56"/>
    </row>
    <row r="14" spans="2:18" x14ac:dyDescent="0.2">
      <c r="B14" s="105"/>
      <c r="C14" s="211" t="s">
        <v>179</v>
      </c>
      <c r="D14" s="224" t="s">
        <v>136</v>
      </c>
      <c r="E14" s="225">
        <v>5.9899999999999997E-3</v>
      </c>
      <c r="F14" s="32"/>
      <c r="G14" s="5"/>
      <c r="H14" s="5"/>
      <c r="I14" s="5"/>
      <c r="L14" s="5"/>
      <c r="M14" s="5"/>
      <c r="N14" s="21"/>
      <c r="R14" s="56"/>
    </row>
    <row r="15" spans="2:18" x14ac:dyDescent="0.2">
      <c r="B15" s="105"/>
      <c r="C15" s="211" t="s">
        <v>152</v>
      </c>
      <c r="D15" s="224" t="s">
        <v>98</v>
      </c>
      <c r="E15" s="225">
        <v>5.934E-3</v>
      </c>
      <c r="F15" s="5"/>
      <c r="G15" s="5"/>
      <c r="H15" s="5"/>
      <c r="I15" s="5"/>
      <c r="L15" s="5"/>
      <c r="M15" s="5"/>
      <c r="N15" s="21"/>
      <c r="R15" s="56"/>
    </row>
    <row r="16" spans="2:18" x14ac:dyDescent="0.2">
      <c r="B16" s="105"/>
      <c r="C16" s="211" t="s">
        <v>205</v>
      </c>
      <c r="D16" s="224" t="s">
        <v>150</v>
      </c>
      <c r="E16" s="225">
        <v>5.8869999999999999E-3</v>
      </c>
      <c r="F16" s="5"/>
      <c r="G16" s="5"/>
      <c r="H16" s="5"/>
      <c r="I16" s="5"/>
      <c r="J16" s="5"/>
      <c r="K16" s="5"/>
      <c r="L16" s="5"/>
      <c r="M16" s="5"/>
      <c r="N16" s="21"/>
      <c r="R16" s="56"/>
    </row>
    <row r="17" spans="2:22" x14ac:dyDescent="0.2">
      <c r="B17" s="105"/>
      <c r="C17" s="211" t="s">
        <v>88</v>
      </c>
      <c r="D17" s="224" t="s">
        <v>16</v>
      </c>
      <c r="E17" s="225">
        <v>5.8009999999999997E-3</v>
      </c>
      <c r="F17" s="5"/>
      <c r="G17" s="5"/>
      <c r="H17" s="5"/>
      <c r="I17" s="5"/>
      <c r="J17" s="5"/>
      <c r="K17" s="5"/>
      <c r="L17" s="5"/>
      <c r="M17" s="5"/>
      <c r="N17" s="21"/>
      <c r="R17" s="56"/>
    </row>
    <row r="18" spans="2:22" x14ac:dyDescent="0.2">
      <c r="B18" s="105"/>
      <c r="C18" s="211" t="s">
        <v>174</v>
      </c>
      <c r="D18" s="224" t="s">
        <v>26</v>
      </c>
      <c r="E18" s="225">
        <v>5.7070000000000003E-3</v>
      </c>
      <c r="F18" s="5"/>
      <c r="G18" s="5"/>
      <c r="H18" s="5"/>
      <c r="I18" s="5"/>
      <c r="J18" s="5"/>
      <c r="K18" s="5"/>
      <c r="L18" s="5"/>
      <c r="M18" s="5"/>
      <c r="N18" s="21"/>
      <c r="R18" s="56"/>
    </row>
    <row r="19" spans="2:22" x14ac:dyDescent="0.2">
      <c r="B19" s="105"/>
      <c r="C19" s="211" t="s">
        <v>199</v>
      </c>
      <c r="D19" s="224" t="s">
        <v>135</v>
      </c>
      <c r="E19" s="225">
        <v>5.7000000000000002E-3</v>
      </c>
      <c r="F19" s="5"/>
      <c r="G19" s="5"/>
      <c r="H19" s="5"/>
      <c r="I19" s="5"/>
      <c r="J19" s="5"/>
      <c r="K19" s="5"/>
      <c r="L19" s="5"/>
      <c r="M19" s="5"/>
      <c r="N19" s="21"/>
      <c r="R19" s="56"/>
    </row>
    <row r="20" spans="2:22" ht="15.75" customHeight="1" x14ac:dyDescent="0.25">
      <c r="B20" s="105"/>
      <c r="C20" s="211" t="s">
        <v>34</v>
      </c>
      <c r="D20" s="224" t="s">
        <v>135</v>
      </c>
      <c r="E20" s="225">
        <v>5.574E-3</v>
      </c>
      <c r="F20" s="5"/>
      <c r="G20" s="259" t="s">
        <v>119</v>
      </c>
      <c r="H20" s="260"/>
      <c r="I20" s="260"/>
      <c r="J20" s="260"/>
      <c r="K20" s="260"/>
      <c r="L20" s="198">
        <v>2.552610321145353</v>
      </c>
      <c r="M20" s="119"/>
      <c r="N20" s="120"/>
      <c r="R20" s="56"/>
    </row>
    <row r="21" spans="2:22" x14ac:dyDescent="0.2">
      <c r="B21" s="105"/>
      <c r="C21" s="211" t="s">
        <v>268</v>
      </c>
      <c r="D21" s="224" t="s">
        <v>138</v>
      </c>
      <c r="E21" s="225">
        <v>5.4580000000000002E-3</v>
      </c>
      <c r="F21" s="5"/>
      <c r="G21" s="5"/>
      <c r="H21" s="5"/>
      <c r="I21" s="5"/>
      <c r="J21" s="5"/>
      <c r="K21" s="5"/>
      <c r="L21" s="5"/>
      <c r="M21" s="5"/>
      <c r="N21" s="21"/>
      <c r="R21" s="56"/>
    </row>
    <row r="22" spans="2:22" x14ac:dyDescent="0.2">
      <c r="B22" s="105"/>
      <c r="C22" s="211" t="s">
        <v>133</v>
      </c>
      <c r="D22" s="224" t="s">
        <v>4</v>
      </c>
      <c r="E22" s="225">
        <v>5.3530000000000001E-3</v>
      </c>
      <c r="F22" s="5"/>
      <c r="G22" s="32"/>
      <c r="H22" s="32"/>
      <c r="I22" s="32"/>
      <c r="J22" s="5"/>
      <c r="K22" s="32"/>
      <c r="L22" s="5"/>
      <c r="M22" s="5"/>
      <c r="N22" s="21"/>
      <c r="R22" s="56"/>
    </row>
    <row r="23" spans="2:22" ht="15.75" customHeight="1" x14ac:dyDescent="0.2">
      <c r="B23" s="105"/>
      <c r="C23" s="19"/>
      <c r="D23" s="19"/>
      <c r="E23" s="40"/>
      <c r="F23" s="5"/>
      <c r="G23" s="241" t="s">
        <v>51</v>
      </c>
      <c r="H23" s="241"/>
      <c r="I23" s="241"/>
      <c r="J23" s="241"/>
      <c r="K23" s="241"/>
      <c r="L23" s="241"/>
      <c r="M23" s="241"/>
      <c r="N23" s="242"/>
      <c r="R23" s="56"/>
    </row>
    <row r="24" spans="2:22" ht="15.75" x14ac:dyDescent="0.2">
      <c r="B24" s="105"/>
      <c r="C24" s="130" t="s">
        <v>57</v>
      </c>
      <c r="D24" s="130"/>
      <c r="E24" s="131">
        <f>SUM(E8:E22)</f>
        <v>9.5382000000000008E-2</v>
      </c>
      <c r="F24" s="5"/>
      <c r="G24" s="5"/>
      <c r="H24" s="5"/>
      <c r="I24" s="5"/>
      <c r="J24" s="5"/>
      <c r="K24" s="5"/>
      <c r="L24" s="5"/>
      <c r="M24" s="5"/>
      <c r="N24" s="21"/>
      <c r="R24" s="56"/>
    </row>
    <row r="25" spans="2:22" x14ac:dyDescent="0.2">
      <c r="B25" s="105"/>
      <c r="C25" s="4"/>
      <c r="D25" s="4"/>
      <c r="E25" s="6"/>
      <c r="F25" s="5"/>
      <c r="G25" s="5"/>
      <c r="H25" s="5"/>
      <c r="I25" s="5"/>
      <c r="J25" s="5"/>
      <c r="K25" s="5"/>
      <c r="L25" s="5"/>
      <c r="M25" s="5"/>
      <c r="N25" s="21"/>
      <c r="R25" s="56"/>
    </row>
    <row r="26" spans="2:22" x14ac:dyDescent="0.2">
      <c r="B26" s="105"/>
      <c r="C26" s="4" t="s">
        <v>240</v>
      </c>
      <c r="D26" s="4"/>
      <c r="E26" s="201">
        <v>9.7809999999999994E-2</v>
      </c>
      <c r="F26" s="5"/>
      <c r="G26" s="5"/>
      <c r="H26" s="5"/>
      <c r="I26" s="5"/>
      <c r="J26" s="5"/>
      <c r="K26" s="5"/>
      <c r="L26" s="5"/>
      <c r="M26" s="5"/>
      <c r="N26" s="21"/>
      <c r="R26" s="56"/>
    </row>
    <row r="27" spans="2:22" ht="15.75" x14ac:dyDescent="0.2">
      <c r="B27" s="105"/>
      <c r="C27" s="121" t="s">
        <v>96</v>
      </c>
      <c r="D27" s="121"/>
      <c r="E27" s="205">
        <v>9.7809999999999994E-2</v>
      </c>
      <c r="F27" s="5"/>
      <c r="G27" s="5"/>
      <c r="H27" s="5"/>
      <c r="I27" s="5"/>
      <c r="J27" s="5"/>
      <c r="K27" s="5"/>
      <c r="L27" s="5"/>
      <c r="M27" s="5"/>
      <c r="N27" s="21"/>
      <c r="R27" s="56"/>
    </row>
    <row r="28" spans="2:22" s="55" customFormat="1" ht="15.75" x14ac:dyDescent="0.2">
      <c r="B28" s="123"/>
      <c r="C28" s="126"/>
      <c r="D28" s="126"/>
      <c r="E28" s="127"/>
      <c r="F28" s="44"/>
      <c r="G28" s="44"/>
      <c r="H28" s="44"/>
      <c r="I28" s="44"/>
      <c r="J28" s="44"/>
      <c r="K28" s="44"/>
      <c r="L28" s="44"/>
      <c r="M28" s="44"/>
      <c r="N28" s="124"/>
      <c r="R28" s="125"/>
    </row>
    <row r="29" spans="2:22" ht="15.75" x14ac:dyDescent="0.2">
      <c r="B29" s="105"/>
      <c r="C29" s="121" t="s">
        <v>70</v>
      </c>
      <c r="D29" s="121"/>
      <c r="E29" s="122">
        <v>5.1487000000000005E-2</v>
      </c>
      <c r="F29" s="5"/>
      <c r="G29" s="5"/>
      <c r="H29" s="5"/>
      <c r="I29" s="5"/>
      <c r="J29" s="5"/>
      <c r="K29" s="5"/>
      <c r="L29" s="5"/>
      <c r="M29" s="5"/>
      <c r="N29" s="21"/>
      <c r="R29" s="56"/>
      <c r="U29" s="3" t="s">
        <v>11</v>
      </c>
      <c r="V29" s="3">
        <v>1.1159000000000001E-2</v>
      </c>
    </row>
    <row r="30" spans="2:22" x14ac:dyDescent="0.2">
      <c r="B30" s="105"/>
      <c r="C30" s="39"/>
      <c r="D30" s="39"/>
      <c r="E30" s="69"/>
      <c r="F30" s="5"/>
      <c r="G30" s="5"/>
      <c r="H30" s="5"/>
      <c r="I30" s="5"/>
      <c r="J30" s="5"/>
      <c r="K30" s="5"/>
      <c r="L30" s="5"/>
      <c r="M30" s="5"/>
      <c r="N30" s="21"/>
      <c r="R30" s="56"/>
      <c r="U30" s="3" t="s">
        <v>18</v>
      </c>
      <c r="V30" s="3">
        <v>1.0543E-2</v>
      </c>
    </row>
    <row r="31" spans="2:22" x14ac:dyDescent="0.2">
      <c r="B31" s="105"/>
      <c r="C31" s="39"/>
      <c r="D31" s="39"/>
      <c r="E31" s="6"/>
      <c r="F31" s="5"/>
      <c r="G31" s="5"/>
      <c r="H31" s="5"/>
      <c r="I31" s="5"/>
      <c r="J31" s="5"/>
      <c r="K31" s="5"/>
      <c r="L31" s="5"/>
      <c r="M31" s="5"/>
      <c r="N31" s="21"/>
      <c r="R31" s="56"/>
    </row>
    <row r="32" spans="2:22" x14ac:dyDescent="0.2">
      <c r="B32" s="105"/>
      <c r="C32" s="39" t="s">
        <v>86</v>
      </c>
      <c r="D32" s="39" t="s">
        <v>65</v>
      </c>
      <c r="E32" s="201">
        <v>3.5955000000000001E-2</v>
      </c>
      <c r="F32" s="5"/>
      <c r="G32" s="5"/>
      <c r="H32" s="5"/>
      <c r="I32" s="5"/>
      <c r="J32" s="5"/>
      <c r="K32" s="5"/>
      <c r="L32" s="5"/>
      <c r="M32" s="5"/>
      <c r="N32" s="21"/>
      <c r="R32" s="56"/>
    </row>
    <row r="33" spans="1:18" x14ac:dyDescent="0.2">
      <c r="B33" s="105"/>
      <c r="C33" s="39" t="s">
        <v>77</v>
      </c>
      <c r="D33" s="39" t="s">
        <v>65</v>
      </c>
      <c r="E33" s="201">
        <v>2.1189999999999998E-3</v>
      </c>
      <c r="F33" s="5"/>
      <c r="G33" s="5"/>
      <c r="H33" s="5"/>
      <c r="I33" s="5"/>
      <c r="J33" s="5"/>
      <c r="K33" s="5"/>
      <c r="L33" s="5"/>
      <c r="M33" s="5"/>
      <c r="N33" s="21"/>
      <c r="R33" s="56"/>
    </row>
    <row r="34" spans="1:18" x14ac:dyDescent="0.2">
      <c r="B34" s="105"/>
      <c r="C34" s="39" t="s">
        <v>102</v>
      </c>
      <c r="D34" s="39" t="s">
        <v>65</v>
      </c>
      <c r="E34" s="226">
        <v>1.2E-5</v>
      </c>
      <c r="F34" s="5"/>
      <c r="G34" s="5"/>
      <c r="H34" s="5"/>
      <c r="I34" s="5"/>
      <c r="J34" s="5"/>
      <c r="K34" s="5"/>
      <c r="L34" s="5"/>
      <c r="M34" s="5"/>
      <c r="N34" s="21"/>
      <c r="R34" s="56"/>
    </row>
    <row r="35" spans="1:18" ht="15.75" x14ac:dyDescent="0.2">
      <c r="B35" s="105"/>
      <c r="C35" s="121" t="s">
        <v>50</v>
      </c>
      <c r="D35" s="121"/>
      <c r="E35" s="122">
        <f>SUM(E31:E34)</f>
        <v>3.8086000000000002E-2</v>
      </c>
      <c r="F35" s="5"/>
      <c r="G35" s="5"/>
      <c r="H35" s="5"/>
      <c r="I35" s="5"/>
      <c r="J35" s="5"/>
      <c r="K35" s="5"/>
      <c r="L35" s="5"/>
      <c r="M35" s="5"/>
      <c r="N35" s="21"/>
      <c r="R35" s="56"/>
    </row>
    <row r="36" spans="1:18" x14ac:dyDescent="0.2">
      <c r="B36" s="105"/>
      <c r="C36" s="4"/>
      <c r="D36" s="4"/>
      <c r="E36" s="6"/>
      <c r="F36" s="5"/>
      <c r="G36" s="5"/>
      <c r="H36" s="5"/>
      <c r="I36" s="5"/>
      <c r="J36" s="5"/>
      <c r="K36" s="5"/>
      <c r="L36" s="5"/>
      <c r="M36" s="5"/>
      <c r="N36" s="21"/>
      <c r="R36" s="56"/>
    </row>
    <row r="37" spans="1:18" x14ac:dyDescent="0.2">
      <c r="B37" s="105"/>
      <c r="C37" s="39" t="s">
        <v>104</v>
      </c>
      <c r="D37" s="39" t="s">
        <v>63</v>
      </c>
      <c r="E37" s="201">
        <v>0.41008299999999998</v>
      </c>
      <c r="F37" s="5"/>
      <c r="G37" s="5"/>
      <c r="H37" s="5"/>
      <c r="I37" s="5"/>
      <c r="J37" s="5"/>
      <c r="K37" s="5"/>
      <c r="L37" s="5"/>
      <c r="M37" s="5"/>
      <c r="N37" s="21"/>
      <c r="R37" s="56"/>
    </row>
    <row r="38" spans="1:18" x14ac:dyDescent="0.2">
      <c r="B38" s="105"/>
      <c r="C38" s="39" t="s">
        <v>71</v>
      </c>
      <c r="D38" s="39" t="s">
        <v>63</v>
      </c>
      <c r="E38" s="201">
        <v>3.6888999999999998E-2</v>
      </c>
      <c r="F38" s="5"/>
      <c r="G38" s="5"/>
      <c r="H38" s="5"/>
      <c r="I38" s="5"/>
      <c r="J38" s="5"/>
      <c r="K38" s="5"/>
      <c r="L38" s="5"/>
      <c r="M38" s="5"/>
      <c r="N38" s="21"/>
      <c r="R38" s="56"/>
    </row>
    <row r="39" spans="1:18" x14ac:dyDescent="0.2">
      <c r="B39" s="105"/>
      <c r="C39" s="39" t="s">
        <v>125</v>
      </c>
      <c r="D39" s="39" t="s">
        <v>63</v>
      </c>
      <c r="E39" s="201">
        <v>3.6672999999999997E-2</v>
      </c>
      <c r="F39" s="5"/>
      <c r="G39" s="5"/>
      <c r="H39" s="5"/>
      <c r="I39" s="5"/>
      <c r="J39" s="5"/>
      <c r="K39" s="5"/>
      <c r="L39" s="5"/>
      <c r="M39" s="5"/>
      <c r="N39" s="21"/>
      <c r="R39" s="56"/>
    </row>
    <row r="40" spans="1:18" x14ac:dyDescent="0.2">
      <c r="B40" s="105"/>
      <c r="C40" s="39" t="s">
        <v>79</v>
      </c>
      <c r="D40" s="39" t="s">
        <v>63</v>
      </c>
      <c r="E40" s="201">
        <v>2.4077000000000001E-2</v>
      </c>
      <c r="F40" s="5"/>
      <c r="G40" s="5"/>
      <c r="H40" s="5"/>
      <c r="I40" s="5"/>
      <c r="J40" s="5"/>
      <c r="K40" s="5"/>
      <c r="L40" s="5"/>
      <c r="M40" s="5"/>
      <c r="N40" s="21"/>
      <c r="R40" s="56"/>
    </row>
    <row r="41" spans="1:18" x14ac:dyDescent="0.2">
      <c r="B41" s="105"/>
      <c r="C41" s="39" t="s">
        <v>83</v>
      </c>
      <c r="D41" s="39" t="s">
        <v>63</v>
      </c>
      <c r="E41" s="201">
        <v>2.3893999999999999E-2</v>
      </c>
      <c r="F41" s="5"/>
      <c r="G41" s="5"/>
      <c r="H41" s="5"/>
      <c r="I41" s="5"/>
      <c r="J41" s="5"/>
      <c r="K41" s="5"/>
      <c r="L41" s="5"/>
      <c r="M41" s="5"/>
      <c r="N41" s="21"/>
      <c r="R41" s="56"/>
    </row>
    <row r="42" spans="1:18" x14ac:dyDescent="0.2">
      <c r="B42" s="105"/>
      <c r="C42" s="39" t="s">
        <v>124</v>
      </c>
      <c r="D42" s="39" t="s">
        <v>63</v>
      </c>
      <c r="E42" s="201">
        <v>1.9036999999999998E-2</v>
      </c>
      <c r="F42" s="5"/>
      <c r="G42" s="5"/>
      <c r="H42" s="5"/>
      <c r="I42" s="5"/>
      <c r="J42" s="5"/>
      <c r="K42" s="5"/>
      <c r="L42" s="5"/>
      <c r="M42" s="5"/>
      <c r="N42" s="21"/>
      <c r="R42" s="56"/>
    </row>
    <row r="43" spans="1:18" ht="15.75" x14ac:dyDescent="0.2">
      <c r="B43" s="105"/>
      <c r="C43" s="121" t="s">
        <v>43</v>
      </c>
      <c r="D43" s="121"/>
      <c r="E43" s="122">
        <f>SUM(E37:E42)</f>
        <v>0.55065299999999995</v>
      </c>
      <c r="F43" s="5"/>
      <c r="G43" s="50"/>
      <c r="H43" s="5"/>
      <c r="I43" s="5"/>
      <c r="J43" s="5"/>
      <c r="K43" s="5"/>
      <c r="L43" s="5"/>
      <c r="M43" s="5"/>
      <c r="N43" s="21"/>
      <c r="R43" s="56"/>
    </row>
    <row r="44" spans="1:18" x14ac:dyDescent="0.2">
      <c r="B44" s="105"/>
      <c r="C44" s="39"/>
      <c r="D44" s="39"/>
      <c r="E44" s="39"/>
      <c r="F44" s="5"/>
      <c r="G44" s="5"/>
      <c r="H44" s="5"/>
      <c r="I44" s="5"/>
      <c r="J44" s="5"/>
      <c r="K44" s="5"/>
      <c r="L44" s="5"/>
      <c r="M44" s="5"/>
      <c r="N44" s="21"/>
      <c r="R44" s="56"/>
    </row>
    <row r="45" spans="1:18" x14ac:dyDescent="0.2">
      <c r="A45" s="5"/>
      <c r="B45" s="105"/>
      <c r="C45" s="39" t="s">
        <v>123</v>
      </c>
      <c r="D45" s="39" t="s">
        <v>63</v>
      </c>
      <c r="E45" s="201">
        <v>7.1695999999999996E-2</v>
      </c>
      <c r="F45" s="5"/>
      <c r="J45" s="5"/>
      <c r="K45" s="5"/>
      <c r="L45" s="5"/>
      <c r="M45" s="5"/>
      <c r="N45" s="21"/>
      <c r="O45" s="5"/>
      <c r="R45" s="56"/>
    </row>
    <row r="46" spans="1:18" ht="15.75" x14ac:dyDescent="0.2">
      <c r="A46" s="5"/>
      <c r="B46" s="105"/>
      <c r="C46" s="121" t="s">
        <v>59</v>
      </c>
      <c r="D46" s="121"/>
      <c r="E46" s="205">
        <v>7.1695999999999996E-2</v>
      </c>
      <c r="F46" s="5"/>
      <c r="G46" s="5"/>
      <c r="H46" s="5"/>
      <c r="I46" s="5"/>
      <c r="J46" s="5"/>
      <c r="K46" s="5"/>
      <c r="L46" s="5"/>
      <c r="M46" s="5"/>
      <c r="N46" s="21"/>
      <c r="O46" s="5"/>
      <c r="R46" s="56"/>
    </row>
    <row r="47" spans="1:18" x14ac:dyDescent="0.2">
      <c r="A47" s="5"/>
      <c r="B47" s="105"/>
      <c r="C47" s="4"/>
      <c r="D47" s="4"/>
      <c r="E47" s="6"/>
      <c r="F47" s="5"/>
      <c r="G47" s="5"/>
      <c r="H47" s="5"/>
      <c r="I47" s="5"/>
      <c r="J47" s="5"/>
      <c r="K47" s="5"/>
      <c r="L47" s="5"/>
      <c r="M47" s="5"/>
      <c r="N47" s="21"/>
      <c r="O47" s="5"/>
      <c r="R47" s="56"/>
    </row>
    <row r="48" spans="1:18" ht="15.75" x14ac:dyDescent="0.2">
      <c r="A48" s="5"/>
      <c r="B48" s="105"/>
      <c r="C48" s="121" t="s">
        <v>20</v>
      </c>
      <c r="D48" s="121"/>
      <c r="E48" s="122">
        <v>9.4885999999999998E-2</v>
      </c>
      <c r="F48" s="5"/>
      <c r="G48" s="5"/>
      <c r="H48" s="5"/>
      <c r="I48" s="5"/>
      <c r="J48" s="5"/>
      <c r="K48" s="5"/>
      <c r="L48" s="5"/>
      <c r="M48" s="5"/>
      <c r="N48" s="21"/>
      <c r="O48" s="5"/>
      <c r="R48" s="56"/>
    </row>
    <row r="49" spans="1:18" x14ac:dyDescent="0.2">
      <c r="A49" s="5"/>
      <c r="B49" s="105"/>
      <c r="C49" s="4"/>
      <c r="D49" s="4"/>
      <c r="E49" s="33"/>
      <c r="F49" s="5"/>
      <c r="G49" s="5"/>
      <c r="H49" s="5"/>
      <c r="I49" s="5"/>
      <c r="J49" s="5"/>
      <c r="K49" s="5"/>
      <c r="L49" s="5"/>
      <c r="M49" s="5"/>
      <c r="N49" s="21"/>
      <c r="O49" s="5"/>
      <c r="R49" s="56"/>
    </row>
    <row r="50" spans="1:18" ht="15.75" x14ac:dyDescent="0.2">
      <c r="A50" s="5"/>
      <c r="B50" s="105"/>
      <c r="C50" s="128" t="s">
        <v>21</v>
      </c>
      <c r="D50" s="128"/>
      <c r="E50" s="129">
        <f>E48+E46+E43+E35+E29+E27+E24</f>
        <v>0.99999999999999989</v>
      </c>
      <c r="F50" s="5"/>
      <c r="G50" s="5"/>
      <c r="H50" s="5"/>
      <c r="I50" s="5"/>
      <c r="J50" s="5"/>
      <c r="K50" s="5"/>
      <c r="L50" s="5"/>
      <c r="M50" s="5"/>
      <c r="N50" s="21"/>
      <c r="O50" s="5"/>
      <c r="R50" s="56"/>
    </row>
    <row r="51" spans="1:18" x14ac:dyDescent="0.2">
      <c r="A51" s="5"/>
      <c r="B51" s="105"/>
      <c r="F51" s="5"/>
      <c r="G51" s="5"/>
      <c r="H51" s="5"/>
      <c r="I51" s="5"/>
      <c r="J51" s="5"/>
      <c r="K51" s="5"/>
      <c r="L51" s="5"/>
      <c r="M51" s="5"/>
      <c r="N51" s="21"/>
      <c r="O51" s="5"/>
      <c r="R51" s="56"/>
    </row>
    <row r="52" spans="1:18" ht="15.75" thickBot="1" x14ac:dyDescent="0.25">
      <c r="A52" s="5"/>
      <c r="B52" s="108"/>
      <c r="C52" s="61"/>
      <c r="D52" s="61"/>
      <c r="E52" s="62"/>
      <c r="F52" s="51"/>
      <c r="G52" s="51"/>
      <c r="H52" s="51"/>
      <c r="I52" s="51"/>
      <c r="J52" s="51"/>
      <c r="K52" s="51"/>
      <c r="L52" s="51"/>
      <c r="M52" s="51"/>
      <c r="N52" s="132"/>
      <c r="O52" s="5"/>
      <c r="R52" s="56"/>
    </row>
    <row r="53" spans="1:18" ht="15.75" thickBot="1" x14ac:dyDescent="0.25">
      <c r="R53" s="56"/>
    </row>
    <row r="54" spans="1:18" ht="15" customHeight="1" x14ac:dyDescent="0.2">
      <c r="B54" s="245" t="s">
        <v>265</v>
      </c>
      <c r="C54" s="246"/>
      <c r="D54" s="246"/>
      <c r="E54" s="246"/>
      <c r="F54" s="246"/>
      <c r="G54" s="246"/>
      <c r="H54" s="246"/>
      <c r="I54" s="246"/>
      <c r="J54" s="246"/>
      <c r="K54" s="246"/>
      <c r="L54" s="246"/>
      <c r="M54" s="246"/>
      <c r="N54" s="246"/>
      <c r="O54" s="246"/>
      <c r="P54" s="246"/>
      <c r="Q54" s="246"/>
      <c r="R54" s="247"/>
    </row>
    <row r="55" spans="1:18" x14ac:dyDescent="0.2">
      <c r="B55" s="248"/>
      <c r="C55" s="249"/>
      <c r="D55" s="249"/>
      <c r="E55" s="249"/>
      <c r="F55" s="249"/>
      <c r="G55" s="249"/>
      <c r="H55" s="249"/>
      <c r="I55" s="249"/>
      <c r="J55" s="249"/>
      <c r="K55" s="249"/>
      <c r="L55" s="249"/>
      <c r="M55" s="249"/>
      <c r="N55" s="249"/>
      <c r="O55" s="249"/>
      <c r="P55" s="249"/>
      <c r="Q55" s="249"/>
      <c r="R55" s="250"/>
    </row>
    <row r="56" spans="1:18" x14ac:dyDescent="0.2">
      <c r="B56" s="248"/>
      <c r="C56" s="249"/>
      <c r="D56" s="249"/>
      <c r="E56" s="249"/>
      <c r="F56" s="249"/>
      <c r="G56" s="249"/>
      <c r="H56" s="249"/>
      <c r="I56" s="249"/>
      <c r="J56" s="249"/>
      <c r="K56" s="249"/>
      <c r="L56" s="249"/>
      <c r="M56" s="249"/>
      <c r="N56" s="249"/>
      <c r="O56" s="249"/>
      <c r="P56" s="249"/>
      <c r="Q56" s="249"/>
      <c r="R56" s="250"/>
    </row>
    <row r="57" spans="1:18" x14ac:dyDescent="0.2">
      <c r="B57" s="248"/>
      <c r="C57" s="249"/>
      <c r="D57" s="249"/>
      <c r="E57" s="249"/>
      <c r="F57" s="249"/>
      <c r="G57" s="249"/>
      <c r="H57" s="249"/>
      <c r="I57" s="249"/>
      <c r="J57" s="249"/>
      <c r="K57" s="249"/>
      <c r="L57" s="249"/>
      <c r="M57" s="249"/>
      <c r="N57" s="249"/>
      <c r="O57" s="249"/>
      <c r="P57" s="249"/>
      <c r="Q57" s="249"/>
      <c r="R57" s="250"/>
    </row>
    <row r="58" spans="1:18" x14ac:dyDescent="0.2">
      <c r="B58" s="248"/>
      <c r="C58" s="249"/>
      <c r="D58" s="249"/>
      <c r="E58" s="249"/>
      <c r="F58" s="249"/>
      <c r="G58" s="249"/>
      <c r="H58" s="249"/>
      <c r="I58" s="249"/>
      <c r="J58" s="249"/>
      <c r="K58" s="249"/>
      <c r="L58" s="249"/>
      <c r="M58" s="249"/>
      <c r="N58" s="249"/>
      <c r="O58" s="249"/>
      <c r="P58" s="249"/>
      <c r="Q58" s="249"/>
      <c r="R58" s="250"/>
    </row>
    <row r="59" spans="1:18" x14ac:dyDescent="0.2">
      <c r="B59" s="248"/>
      <c r="C59" s="249"/>
      <c r="D59" s="249"/>
      <c r="E59" s="249"/>
      <c r="F59" s="249"/>
      <c r="G59" s="249"/>
      <c r="H59" s="249"/>
      <c r="I59" s="249"/>
      <c r="J59" s="249"/>
      <c r="K59" s="249"/>
      <c r="L59" s="249"/>
      <c r="M59" s="249"/>
      <c r="N59" s="249"/>
      <c r="O59" s="249"/>
      <c r="P59" s="249"/>
      <c r="Q59" s="249"/>
      <c r="R59" s="250"/>
    </row>
    <row r="60" spans="1:18" ht="15.75" thickBot="1" x14ac:dyDescent="0.25">
      <c r="B60" s="251"/>
      <c r="C60" s="252"/>
      <c r="D60" s="252"/>
      <c r="E60" s="252"/>
      <c r="F60" s="252"/>
      <c r="G60" s="252"/>
      <c r="H60" s="252"/>
      <c r="I60" s="252"/>
      <c r="J60" s="252"/>
      <c r="K60" s="252"/>
      <c r="L60" s="252"/>
      <c r="M60" s="252"/>
      <c r="N60" s="252"/>
      <c r="O60" s="252"/>
      <c r="P60" s="252"/>
      <c r="Q60" s="252"/>
      <c r="R60" s="253"/>
    </row>
    <row r="61" spans="1:18" x14ac:dyDescent="0.2">
      <c r="R61" s="56"/>
    </row>
    <row r="62" spans="1:18" x14ac:dyDescent="0.2">
      <c r="R62" s="56"/>
    </row>
    <row r="63" spans="1:18" x14ac:dyDescent="0.2">
      <c r="R63" s="56"/>
    </row>
    <row r="64" spans="1:18" x14ac:dyDescent="0.2">
      <c r="R64" s="56"/>
    </row>
    <row r="65" spans="18:18" x14ac:dyDescent="0.2">
      <c r="R65" s="56"/>
    </row>
    <row r="66" spans="18:18" x14ac:dyDescent="0.2">
      <c r="R66" s="56"/>
    </row>
    <row r="67" spans="18:18" x14ac:dyDescent="0.2">
      <c r="R67" s="56"/>
    </row>
    <row r="68" spans="18:18" x14ac:dyDescent="0.2">
      <c r="R68" s="56"/>
    </row>
    <row r="69" spans="18:18" x14ac:dyDescent="0.2">
      <c r="R69" s="56"/>
    </row>
    <row r="70" spans="18:18" x14ac:dyDescent="0.2">
      <c r="R70" s="56"/>
    </row>
    <row r="71" spans="18:18" x14ac:dyDescent="0.2">
      <c r="R71" s="56"/>
    </row>
    <row r="72" spans="18:18" x14ac:dyDescent="0.2">
      <c r="R72" s="56"/>
    </row>
    <row r="73" spans="18:18" x14ac:dyDescent="0.2">
      <c r="R73" s="56"/>
    </row>
    <row r="74" spans="18:18" x14ac:dyDescent="0.2">
      <c r="R74" s="56"/>
    </row>
    <row r="75" spans="18:18" x14ac:dyDescent="0.2">
      <c r="R75" s="56"/>
    </row>
    <row r="76" spans="18:18" x14ac:dyDescent="0.2">
      <c r="R76" s="56"/>
    </row>
    <row r="77" spans="18:18" x14ac:dyDescent="0.2">
      <c r="R77" s="56"/>
    </row>
    <row r="78" spans="18:18" x14ac:dyDescent="0.2">
      <c r="R78" s="56"/>
    </row>
    <row r="79" spans="18:18" x14ac:dyDescent="0.2">
      <c r="R79" s="56"/>
    </row>
    <row r="80" spans="18: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row r="668" spans="18:18" x14ac:dyDescent="0.2">
      <c r="R668" s="56"/>
    </row>
    <row r="669" spans="18:18" x14ac:dyDescent="0.2">
      <c r="R669" s="56"/>
    </row>
    <row r="670" spans="18:18" x14ac:dyDescent="0.2">
      <c r="R670" s="56"/>
    </row>
    <row r="671" spans="18:18" x14ac:dyDescent="0.2">
      <c r="R671" s="56"/>
    </row>
  </sheetData>
  <sortState ref="C32:E34">
    <sortCondition descending="1" ref="E32"/>
  </sortState>
  <mergeCells count="6">
    <mergeCell ref="B54:R60"/>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bestFit="1"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3"/>
      <c r="C2" s="46"/>
      <c r="D2" s="46"/>
      <c r="E2" s="46"/>
      <c r="F2" s="46"/>
      <c r="G2" s="46"/>
      <c r="H2" s="46"/>
      <c r="I2" s="46"/>
      <c r="J2" s="46"/>
      <c r="K2" s="46"/>
      <c r="L2" s="46"/>
      <c r="M2" s="46"/>
      <c r="N2" s="104"/>
    </row>
    <row r="3" spans="2:18" ht="20.25" customHeight="1" x14ac:dyDescent="0.2">
      <c r="B3" s="105"/>
      <c r="C3" s="239" t="s">
        <v>221</v>
      </c>
      <c r="D3" s="239"/>
      <c r="E3" s="239"/>
      <c r="F3" s="239"/>
      <c r="G3" s="239"/>
      <c r="H3" s="239"/>
      <c r="I3" s="239"/>
      <c r="J3" s="239"/>
      <c r="K3" s="239"/>
      <c r="L3" s="239"/>
      <c r="M3" s="239"/>
      <c r="N3" s="240"/>
    </row>
    <row r="4" spans="2:18" ht="15.75" x14ac:dyDescent="0.25">
      <c r="B4" s="105"/>
      <c r="C4" s="78" t="s">
        <v>303</v>
      </c>
      <c r="D4" s="30"/>
      <c r="E4" s="30"/>
      <c r="F4" s="5"/>
      <c r="G4" s="5"/>
      <c r="H4" s="5"/>
      <c r="I4" s="5"/>
      <c r="J4" s="5"/>
      <c r="K4" s="5"/>
      <c r="L4" s="5"/>
      <c r="M4" s="5"/>
      <c r="N4" s="21"/>
    </row>
    <row r="5" spans="2:18" ht="20.25" customHeight="1" x14ac:dyDescent="0.2">
      <c r="B5" s="105"/>
      <c r="C5" s="79" t="s">
        <v>304</v>
      </c>
      <c r="D5" s="256" t="s">
        <v>293</v>
      </c>
      <c r="E5" s="256"/>
      <c r="F5" s="5"/>
      <c r="G5" s="5"/>
      <c r="H5" s="5"/>
      <c r="I5" s="5"/>
      <c r="J5" s="5"/>
      <c r="K5" s="5"/>
      <c r="L5" s="5"/>
      <c r="M5" s="5"/>
      <c r="N5" s="21"/>
    </row>
    <row r="6" spans="2:18" ht="15.75" x14ac:dyDescent="0.25">
      <c r="B6" s="105"/>
      <c r="C6" s="30"/>
      <c r="D6" s="30"/>
      <c r="E6" s="30"/>
      <c r="F6" s="5"/>
      <c r="G6" s="5"/>
      <c r="H6" s="5"/>
      <c r="I6" s="5"/>
      <c r="J6" s="5"/>
      <c r="K6" s="5"/>
      <c r="L6" s="5"/>
      <c r="M6" s="5"/>
      <c r="N6" s="21"/>
    </row>
    <row r="7" spans="2:18" ht="32.25" customHeight="1" x14ac:dyDescent="0.2">
      <c r="B7" s="105"/>
      <c r="C7" s="107" t="s">
        <v>44</v>
      </c>
      <c r="D7" s="107" t="s">
        <v>45</v>
      </c>
      <c r="E7" s="107" t="s">
        <v>46</v>
      </c>
      <c r="F7" s="5"/>
      <c r="G7" s="241" t="s">
        <v>47</v>
      </c>
      <c r="H7" s="241"/>
      <c r="I7" s="241"/>
      <c r="J7" s="241"/>
      <c r="K7" s="241"/>
      <c r="L7" s="241"/>
      <c r="M7" s="241"/>
      <c r="N7" s="242"/>
    </row>
    <row r="8" spans="2:18" x14ac:dyDescent="0.2">
      <c r="B8" s="105"/>
      <c r="C8" s="227" t="s">
        <v>29</v>
      </c>
      <c r="D8" s="116" t="s">
        <v>3</v>
      </c>
      <c r="E8" s="117">
        <v>5.2996000000000001E-2</v>
      </c>
      <c r="F8" s="5"/>
      <c r="G8" s="44" t="s">
        <v>48</v>
      </c>
      <c r="H8" s="45">
        <v>1</v>
      </c>
      <c r="I8" s="47">
        <f>H8/SUM($H$8:$H$10)</f>
        <v>1</v>
      </c>
      <c r="J8" s="5"/>
      <c r="K8" s="32"/>
      <c r="L8" s="5"/>
      <c r="M8" s="5"/>
      <c r="N8" s="21"/>
      <c r="R8" s="56"/>
    </row>
    <row r="9" spans="2:18" ht="15.75" customHeight="1" x14ac:dyDescent="0.2">
      <c r="B9" s="105"/>
      <c r="C9" s="136" t="s">
        <v>33</v>
      </c>
      <c r="D9" s="39" t="s">
        <v>3</v>
      </c>
      <c r="E9" s="41">
        <v>5.2750999999999999E-2</v>
      </c>
      <c r="F9" s="5"/>
      <c r="G9" s="44" t="s">
        <v>58</v>
      </c>
      <c r="H9" s="48">
        <v>0</v>
      </c>
      <c r="I9" s="47">
        <f>H9/SUM($H$8:$H$10)</f>
        <v>0</v>
      </c>
      <c r="J9" s="5" t="s">
        <v>42</v>
      </c>
      <c r="K9" s="32">
        <f>E32</f>
        <v>5.7983E-2</v>
      </c>
      <c r="L9" s="5"/>
      <c r="M9" s="5"/>
      <c r="N9" s="21"/>
      <c r="R9" s="56"/>
    </row>
    <row r="10" spans="2:18" x14ac:dyDescent="0.2">
      <c r="B10" s="105"/>
      <c r="C10" s="136" t="s">
        <v>32</v>
      </c>
      <c r="D10" s="39" t="s">
        <v>6</v>
      </c>
      <c r="E10" s="41">
        <v>4.6419000000000002E-2</v>
      </c>
      <c r="F10" s="32"/>
      <c r="G10" s="44" t="s">
        <v>49</v>
      </c>
      <c r="H10" s="48">
        <v>0</v>
      </c>
      <c r="I10" s="47">
        <f>H10/SUM($H$8:$H$10)</f>
        <v>0</v>
      </c>
      <c r="J10" s="5" t="s">
        <v>180</v>
      </c>
      <c r="K10" s="32">
        <f>E24+E26</f>
        <v>0.76889800000000008</v>
      </c>
      <c r="L10" s="5"/>
      <c r="M10" s="5"/>
      <c r="N10" s="21"/>
      <c r="R10" s="56"/>
    </row>
    <row r="11" spans="2:18" x14ac:dyDescent="0.2">
      <c r="B11" s="105"/>
      <c r="C11" s="136" t="s">
        <v>28</v>
      </c>
      <c r="D11" s="39" t="s">
        <v>135</v>
      </c>
      <c r="E11" s="41">
        <v>3.9476999999999998E-2</v>
      </c>
      <c r="F11" s="5"/>
      <c r="G11" s="5"/>
      <c r="H11" s="5"/>
      <c r="I11" s="5"/>
      <c r="J11" s="5" t="s">
        <v>69</v>
      </c>
      <c r="K11" s="32">
        <f>E35</f>
        <v>7.9177999999999998E-2</v>
      </c>
      <c r="L11" s="5"/>
      <c r="M11" s="5"/>
      <c r="N11" s="21"/>
      <c r="R11" s="56"/>
    </row>
    <row r="12" spans="2:18" ht="15.75" customHeight="1" x14ac:dyDescent="0.2">
      <c r="B12" s="105"/>
      <c r="C12" s="136" t="s">
        <v>37</v>
      </c>
      <c r="D12" s="39" t="s">
        <v>3</v>
      </c>
      <c r="E12" s="41">
        <v>2.3442000000000001E-2</v>
      </c>
      <c r="F12" s="32"/>
      <c r="G12" s="5"/>
      <c r="H12" s="32"/>
      <c r="I12" s="5"/>
      <c r="J12" s="5" t="s">
        <v>20</v>
      </c>
      <c r="K12" s="32">
        <f>E44</f>
        <v>2.0992E-2</v>
      </c>
      <c r="L12" s="5"/>
      <c r="M12" s="5"/>
      <c r="N12" s="21"/>
      <c r="R12" s="56"/>
    </row>
    <row r="13" spans="2:18" x14ac:dyDescent="0.2">
      <c r="B13" s="105"/>
      <c r="C13" s="136" t="s">
        <v>35</v>
      </c>
      <c r="D13" s="39" t="s">
        <v>23</v>
      </c>
      <c r="E13" s="41">
        <v>2.1426000000000001E-2</v>
      </c>
      <c r="F13" s="32"/>
      <c r="G13" s="5"/>
      <c r="H13" s="5"/>
      <c r="I13" s="5"/>
      <c r="J13" s="5" t="s">
        <v>43</v>
      </c>
      <c r="K13" s="32">
        <f>E42</f>
        <v>7.2949000000000014E-2</v>
      </c>
      <c r="L13" s="5"/>
      <c r="M13" s="5"/>
      <c r="N13" s="21"/>
      <c r="R13" s="56"/>
    </row>
    <row r="14" spans="2:18" x14ac:dyDescent="0.2">
      <c r="B14" s="105"/>
      <c r="C14" s="136" t="s">
        <v>76</v>
      </c>
      <c r="D14" s="39" t="s">
        <v>12</v>
      </c>
      <c r="E14" s="41">
        <v>1.9921000000000001E-2</v>
      </c>
      <c r="F14" s="32"/>
      <c r="G14" s="5"/>
      <c r="H14" s="5"/>
      <c r="I14" s="5"/>
      <c r="J14" s="5"/>
      <c r="K14" s="32"/>
      <c r="L14" s="5"/>
      <c r="M14" s="5"/>
      <c r="N14" s="21"/>
      <c r="R14" s="56"/>
    </row>
    <row r="15" spans="2:18" x14ac:dyDescent="0.2">
      <c r="B15" s="105"/>
      <c r="C15" s="136" t="s">
        <v>168</v>
      </c>
      <c r="D15" s="39" t="s">
        <v>3</v>
      </c>
      <c r="E15" s="41">
        <v>1.8058999999999999E-2</v>
      </c>
      <c r="F15" s="5"/>
      <c r="G15" s="5"/>
      <c r="H15" s="5"/>
      <c r="I15" s="5"/>
      <c r="J15" s="5"/>
      <c r="K15" s="32"/>
      <c r="L15" s="5"/>
      <c r="M15" s="5"/>
      <c r="N15" s="21"/>
      <c r="R15" s="56"/>
    </row>
    <row r="16" spans="2:18" x14ac:dyDescent="0.2">
      <c r="B16" s="105"/>
      <c r="C16" s="136" t="s">
        <v>93</v>
      </c>
      <c r="D16" s="39" t="s">
        <v>3</v>
      </c>
      <c r="E16" s="41">
        <v>1.7978000000000001E-2</v>
      </c>
      <c r="F16" s="5"/>
      <c r="G16" s="5"/>
      <c r="H16" s="5"/>
      <c r="I16" s="5"/>
      <c r="J16" s="5"/>
      <c r="K16" s="5"/>
      <c r="L16" s="5"/>
      <c r="M16" s="5"/>
      <c r="N16" s="21"/>
      <c r="R16" s="56"/>
    </row>
    <row r="17" spans="2:18" x14ac:dyDescent="0.2">
      <c r="B17" s="105"/>
      <c r="C17" s="136" t="s">
        <v>30</v>
      </c>
      <c r="D17" s="118" t="s">
        <v>4</v>
      </c>
      <c r="E17" s="41">
        <v>1.6740000000000001E-2</v>
      </c>
      <c r="F17" s="5"/>
      <c r="G17" s="5"/>
      <c r="H17" s="5"/>
      <c r="I17" s="5"/>
      <c r="J17" s="5"/>
      <c r="K17" s="5"/>
      <c r="L17" s="5"/>
      <c r="M17" s="5"/>
      <c r="N17" s="21"/>
      <c r="R17" s="56"/>
    </row>
    <row r="18" spans="2:18" x14ac:dyDescent="0.2">
      <c r="B18" s="105"/>
      <c r="C18" s="136" t="s">
        <v>152</v>
      </c>
      <c r="D18" s="39" t="s">
        <v>98</v>
      </c>
      <c r="E18" s="41">
        <v>1.6374E-2</v>
      </c>
      <c r="F18" s="5"/>
      <c r="G18" s="5"/>
      <c r="H18" s="5"/>
      <c r="I18" s="5"/>
      <c r="J18" s="5"/>
      <c r="K18" s="5"/>
      <c r="L18" s="5"/>
      <c r="M18" s="5"/>
      <c r="N18" s="21"/>
      <c r="R18" s="56"/>
    </row>
    <row r="19" spans="2:18" x14ac:dyDescent="0.2">
      <c r="B19" s="105"/>
      <c r="C19" s="136" t="s">
        <v>112</v>
      </c>
      <c r="D19" s="39" t="s">
        <v>141</v>
      </c>
      <c r="E19" s="41">
        <v>1.5796000000000001E-2</v>
      </c>
      <c r="F19" s="5"/>
      <c r="G19" s="5"/>
      <c r="H19" s="5"/>
      <c r="I19" s="5"/>
      <c r="J19" s="5"/>
      <c r="K19" s="5"/>
      <c r="L19" s="5"/>
      <c r="M19" s="5"/>
      <c r="N19" s="21"/>
      <c r="R19" s="56"/>
    </row>
    <row r="20" spans="2:18" ht="15.75" customHeight="1" x14ac:dyDescent="0.25">
      <c r="B20" s="105"/>
      <c r="C20" s="136" t="s">
        <v>199</v>
      </c>
      <c r="D20" s="39" t="s">
        <v>135</v>
      </c>
      <c r="E20" s="41">
        <v>1.5643000000000001E-2</v>
      </c>
      <c r="F20" s="5"/>
      <c r="G20" s="259" t="s">
        <v>119</v>
      </c>
      <c r="H20" s="260"/>
      <c r="I20" s="260"/>
      <c r="J20" s="260"/>
      <c r="K20" s="260"/>
      <c r="L20" s="198">
        <v>1.4245162755480041</v>
      </c>
      <c r="M20" s="119"/>
      <c r="N20" s="194"/>
      <c r="R20" s="56"/>
    </row>
    <row r="21" spans="2:18" x14ac:dyDescent="0.2">
      <c r="B21" s="105"/>
      <c r="C21" s="136" t="s">
        <v>38</v>
      </c>
      <c r="D21" s="39" t="s">
        <v>146</v>
      </c>
      <c r="E21" s="41">
        <v>1.5428000000000001E-2</v>
      </c>
      <c r="F21" s="5"/>
      <c r="G21" s="5"/>
      <c r="H21" s="5"/>
      <c r="I21" s="5"/>
      <c r="J21" s="5"/>
      <c r="K21" s="5"/>
      <c r="L21" s="5"/>
      <c r="M21" s="5"/>
      <c r="N21" s="21"/>
      <c r="R21" s="56"/>
    </row>
    <row r="22" spans="2:18" x14ac:dyDescent="0.2">
      <c r="B22" s="105"/>
      <c r="C22" s="136" t="s">
        <v>34</v>
      </c>
      <c r="D22" s="39" t="s">
        <v>135</v>
      </c>
      <c r="E22" s="41">
        <v>1.5311999999999999E-2</v>
      </c>
      <c r="F22" s="5"/>
      <c r="G22" s="32"/>
      <c r="H22" s="32"/>
      <c r="I22" s="32"/>
      <c r="J22" s="5"/>
      <c r="K22" s="32"/>
      <c r="L22" s="5"/>
      <c r="M22" s="5"/>
      <c r="N22" s="21"/>
      <c r="R22" s="56"/>
    </row>
    <row r="23" spans="2:18" ht="15.75" customHeight="1" x14ac:dyDescent="0.2">
      <c r="B23" s="105"/>
      <c r="C23" s="39"/>
      <c r="D23" s="4"/>
      <c r="E23" s="6"/>
      <c r="F23" s="5"/>
      <c r="G23" s="241" t="s">
        <v>51</v>
      </c>
      <c r="H23" s="241"/>
      <c r="I23" s="241"/>
      <c r="J23" s="241"/>
      <c r="K23" s="241"/>
      <c r="L23" s="241"/>
      <c r="M23" s="241"/>
      <c r="N23" s="242"/>
      <c r="R23" s="56"/>
    </row>
    <row r="24" spans="2:18" ht="15.75" x14ac:dyDescent="0.2">
      <c r="B24" s="105"/>
      <c r="C24" s="121" t="s">
        <v>57</v>
      </c>
      <c r="D24" s="121"/>
      <c r="E24" s="122">
        <f>SUM(E8:E22)</f>
        <v>0.38776199999999994</v>
      </c>
      <c r="F24" s="5"/>
      <c r="G24" s="5"/>
      <c r="H24" s="5"/>
      <c r="I24" s="5"/>
      <c r="J24" s="5"/>
      <c r="K24" s="5"/>
      <c r="L24" s="5"/>
      <c r="M24" s="5"/>
      <c r="N24" s="21"/>
      <c r="R24" s="56"/>
    </row>
    <row r="25" spans="2:18" x14ac:dyDescent="0.2">
      <c r="B25" s="105"/>
      <c r="C25" s="4"/>
      <c r="D25" s="4"/>
      <c r="E25" s="6"/>
      <c r="F25" s="5"/>
      <c r="G25" s="5"/>
      <c r="H25" s="5"/>
      <c r="I25" s="5"/>
      <c r="J25" s="5"/>
      <c r="K25" s="5"/>
      <c r="L25" s="5"/>
      <c r="M25" s="5"/>
      <c r="N25" s="21"/>
      <c r="R25" s="56"/>
    </row>
    <row r="26" spans="2:18" ht="15.75" x14ac:dyDescent="0.2">
      <c r="B26" s="105"/>
      <c r="C26" s="121" t="s">
        <v>70</v>
      </c>
      <c r="D26" s="121"/>
      <c r="E26" s="122">
        <v>0.38113600000000009</v>
      </c>
      <c r="F26" s="32"/>
      <c r="G26" s="5"/>
      <c r="H26" s="5"/>
      <c r="I26" s="5"/>
      <c r="J26" s="5"/>
      <c r="K26" s="5"/>
      <c r="L26" s="5"/>
      <c r="M26" s="5"/>
      <c r="N26" s="21"/>
      <c r="R26" s="56"/>
    </row>
    <row r="27" spans="2:18" x14ac:dyDescent="0.2">
      <c r="B27" s="105"/>
      <c r="C27" s="39"/>
      <c r="D27" s="65"/>
      <c r="E27" s="6"/>
      <c r="F27" s="5"/>
      <c r="G27" s="5"/>
      <c r="H27" s="5"/>
      <c r="I27" s="5"/>
      <c r="J27" s="5"/>
      <c r="K27" s="5"/>
      <c r="L27" s="5"/>
      <c r="M27" s="5"/>
      <c r="N27" s="21"/>
      <c r="R27" s="56"/>
    </row>
    <row r="28" spans="2:18" s="55" customFormat="1" ht="13.5" customHeight="1" x14ac:dyDescent="0.2">
      <c r="B28" s="123"/>
      <c r="C28" s="28"/>
      <c r="D28" s="65"/>
      <c r="E28" s="6"/>
      <c r="F28" s="44"/>
      <c r="G28" s="44"/>
      <c r="H28" s="44"/>
      <c r="I28" s="44"/>
      <c r="J28" s="44"/>
      <c r="K28" s="44"/>
      <c r="L28" s="44"/>
      <c r="M28" s="44"/>
      <c r="N28" s="124"/>
      <c r="R28" s="125"/>
    </row>
    <row r="29" spans="2:18" x14ac:dyDescent="0.2">
      <c r="B29" s="105"/>
      <c r="C29" s="28" t="s">
        <v>259</v>
      </c>
      <c r="D29" s="65" t="s">
        <v>65</v>
      </c>
      <c r="E29" s="201">
        <v>4.2523999999999999E-2</v>
      </c>
      <c r="F29" s="5"/>
      <c r="G29" s="5"/>
      <c r="H29" s="5"/>
      <c r="I29" s="5"/>
      <c r="J29" s="5"/>
      <c r="K29" s="5"/>
      <c r="L29" s="5"/>
      <c r="M29" s="5"/>
      <c r="N29" s="21"/>
      <c r="R29" s="56"/>
    </row>
    <row r="30" spans="2:18" x14ac:dyDescent="0.2">
      <c r="B30" s="105"/>
      <c r="C30" s="39" t="s">
        <v>86</v>
      </c>
      <c r="D30" s="65" t="s">
        <v>65</v>
      </c>
      <c r="E30" s="6">
        <v>1.035E-2</v>
      </c>
      <c r="F30" s="5"/>
      <c r="G30" s="5"/>
      <c r="H30" s="5"/>
      <c r="I30" s="5"/>
      <c r="J30" s="5"/>
      <c r="K30" s="5"/>
      <c r="L30" s="5"/>
      <c r="M30" s="5"/>
      <c r="N30" s="21"/>
      <c r="R30" s="56"/>
    </row>
    <row r="31" spans="2:18" x14ac:dyDescent="0.2">
      <c r="B31" s="105"/>
      <c r="C31" s="28" t="s">
        <v>84</v>
      </c>
      <c r="D31" s="65" t="s">
        <v>65</v>
      </c>
      <c r="E31" s="201">
        <v>5.1089999999999998E-3</v>
      </c>
      <c r="F31" s="5"/>
      <c r="G31" s="5"/>
      <c r="H31" s="5"/>
      <c r="I31" s="5"/>
      <c r="J31" s="5"/>
      <c r="K31" s="5"/>
      <c r="L31" s="5"/>
      <c r="M31" s="5"/>
      <c r="N31" s="21"/>
      <c r="R31" s="56"/>
    </row>
    <row r="32" spans="2:18" ht="15.75" x14ac:dyDescent="0.2">
      <c r="B32" s="105"/>
      <c r="C32" s="121" t="s">
        <v>50</v>
      </c>
      <c r="D32" s="121"/>
      <c r="E32" s="122">
        <f>SUM(E28:E31)</f>
        <v>5.7983E-2</v>
      </c>
      <c r="F32" s="5"/>
      <c r="G32" s="5"/>
      <c r="H32" s="5"/>
      <c r="I32" s="5"/>
      <c r="J32" s="5"/>
      <c r="K32" s="5"/>
      <c r="L32" s="5"/>
      <c r="M32" s="5"/>
      <c r="N32" s="21"/>
      <c r="R32" s="56"/>
    </row>
    <row r="33" spans="1:18" x14ac:dyDescent="0.2">
      <c r="B33" s="105"/>
      <c r="C33" s="39"/>
      <c r="D33" s="39"/>
      <c r="E33" s="39"/>
      <c r="F33" s="5"/>
      <c r="G33" s="5"/>
      <c r="H33" s="5"/>
      <c r="I33" s="5"/>
      <c r="J33" s="5"/>
      <c r="K33" s="5"/>
      <c r="L33" s="5"/>
      <c r="M33" s="5"/>
      <c r="N33" s="21"/>
      <c r="R33" s="56"/>
    </row>
    <row r="34" spans="1:18" x14ac:dyDescent="0.2">
      <c r="B34" s="105"/>
      <c r="C34" s="39" t="s">
        <v>36</v>
      </c>
      <c r="D34" s="65" t="s">
        <v>122</v>
      </c>
      <c r="E34" s="201">
        <v>7.9177999999999998E-2</v>
      </c>
      <c r="F34" s="5"/>
      <c r="G34" s="5"/>
      <c r="H34" s="5"/>
      <c r="I34" s="5"/>
      <c r="J34" s="5"/>
      <c r="K34" s="5"/>
      <c r="L34" s="5"/>
      <c r="M34" s="5"/>
      <c r="N34" s="21"/>
      <c r="R34" s="56"/>
    </row>
    <row r="35" spans="1:18" ht="15.75" x14ac:dyDescent="0.2">
      <c r="B35" s="105"/>
      <c r="C35" s="121" t="s">
        <v>69</v>
      </c>
      <c r="D35" s="121"/>
      <c r="E35" s="205">
        <v>7.9177999999999998E-2</v>
      </c>
      <c r="F35" s="5"/>
      <c r="G35" s="5"/>
      <c r="H35" s="5"/>
      <c r="I35" s="5"/>
      <c r="J35" s="5"/>
      <c r="K35" s="5"/>
      <c r="L35" s="5"/>
      <c r="M35" s="5"/>
      <c r="N35" s="21"/>
      <c r="R35" s="56"/>
    </row>
    <row r="36" spans="1:18" x14ac:dyDescent="0.2">
      <c r="B36" s="105"/>
      <c r="C36" s="39"/>
      <c r="D36" s="39"/>
      <c r="E36" s="39"/>
      <c r="F36" s="5"/>
      <c r="G36" s="5"/>
      <c r="H36" s="5"/>
      <c r="I36" s="5"/>
      <c r="J36" s="5"/>
      <c r="K36" s="5"/>
      <c r="L36" s="5"/>
      <c r="M36" s="5"/>
      <c r="N36" s="21"/>
      <c r="R36" s="56"/>
    </row>
    <row r="37" spans="1:18" x14ac:dyDescent="0.2">
      <c r="B37" s="105"/>
      <c r="C37" s="39" t="s">
        <v>90</v>
      </c>
      <c r="D37" s="4" t="s">
        <v>63</v>
      </c>
      <c r="E37" s="228">
        <v>3.4069000000000002E-2</v>
      </c>
      <c r="F37" s="5"/>
      <c r="G37" s="5"/>
      <c r="H37" s="5"/>
      <c r="I37" s="5"/>
      <c r="J37" s="5"/>
      <c r="K37" s="5"/>
      <c r="L37" s="5"/>
      <c r="M37" s="5"/>
      <c r="N37" s="21"/>
      <c r="R37" s="56"/>
    </row>
    <row r="38" spans="1:18" x14ac:dyDescent="0.2">
      <c r="B38" s="105"/>
      <c r="C38" s="39" t="s">
        <v>104</v>
      </c>
      <c r="D38" s="4" t="s">
        <v>63</v>
      </c>
      <c r="E38" s="228">
        <v>1.6447E-2</v>
      </c>
      <c r="F38" s="5"/>
      <c r="G38" s="5"/>
      <c r="H38" s="5"/>
      <c r="I38" s="5"/>
      <c r="J38" s="5"/>
      <c r="K38" s="5"/>
      <c r="L38" s="5"/>
      <c r="M38" s="5"/>
      <c r="N38" s="21"/>
      <c r="R38" s="56"/>
    </row>
    <row r="39" spans="1:18" s="55" customFormat="1" x14ac:dyDescent="0.2">
      <c r="B39" s="123"/>
      <c r="C39" s="39" t="s">
        <v>83</v>
      </c>
      <c r="D39" s="4" t="s">
        <v>63</v>
      </c>
      <c r="E39" s="228">
        <v>1.0147E-2</v>
      </c>
      <c r="F39" s="44"/>
      <c r="G39" s="5"/>
      <c r="H39" s="5"/>
      <c r="I39" s="5"/>
      <c r="J39" s="5"/>
      <c r="K39" s="5"/>
      <c r="L39" s="44"/>
      <c r="M39" s="44"/>
      <c r="N39" s="124"/>
      <c r="R39" s="125"/>
    </row>
    <row r="40" spans="1:18" x14ac:dyDescent="0.2">
      <c r="B40" s="105"/>
      <c r="C40" s="39" t="s">
        <v>79</v>
      </c>
      <c r="D40" s="4" t="s">
        <v>63</v>
      </c>
      <c r="E40" s="228">
        <v>8.8590000000000006E-3</v>
      </c>
      <c r="F40" s="5"/>
      <c r="G40" s="5"/>
      <c r="H40" s="5"/>
      <c r="I40" s="5"/>
      <c r="J40" s="5"/>
      <c r="K40" s="5"/>
      <c r="L40" s="5"/>
      <c r="M40" s="5"/>
      <c r="N40" s="21"/>
      <c r="R40" s="56"/>
    </row>
    <row r="41" spans="1:18" x14ac:dyDescent="0.2">
      <c r="A41" s="5"/>
      <c r="B41" s="105"/>
      <c r="C41" s="39" t="s">
        <v>71</v>
      </c>
      <c r="D41" s="4" t="s">
        <v>63</v>
      </c>
      <c r="E41" s="228">
        <v>3.4269999999999999E-3</v>
      </c>
      <c r="F41" s="5"/>
      <c r="G41" s="5"/>
      <c r="H41" s="5"/>
      <c r="I41" s="5"/>
      <c r="J41" s="5"/>
      <c r="K41" s="5"/>
      <c r="L41" s="5"/>
      <c r="M41" s="5"/>
      <c r="N41" s="21"/>
      <c r="O41" s="5"/>
      <c r="R41" s="56"/>
    </row>
    <row r="42" spans="1:18" ht="15.75" x14ac:dyDescent="0.2">
      <c r="A42" s="5"/>
      <c r="B42" s="105"/>
      <c r="C42" s="121" t="s">
        <v>43</v>
      </c>
      <c r="D42" s="121"/>
      <c r="E42" s="122">
        <f>SUM(E37:E41)</f>
        <v>7.2949000000000014E-2</v>
      </c>
      <c r="F42" s="5"/>
      <c r="G42" s="5"/>
      <c r="H42" s="5"/>
      <c r="I42" s="5"/>
      <c r="J42" s="5"/>
      <c r="K42" s="5"/>
      <c r="L42" s="5"/>
      <c r="M42" s="5"/>
      <c r="N42" s="21"/>
      <c r="O42" s="5"/>
      <c r="R42" s="56"/>
    </row>
    <row r="43" spans="1:18" ht="15.75" x14ac:dyDescent="0.2">
      <c r="A43" s="5"/>
      <c r="B43" s="105"/>
      <c r="C43" s="126"/>
      <c r="D43" s="126"/>
      <c r="E43" s="127"/>
      <c r="F43" s="5"/>
      <c r="G43" s="5"/>
      <c r="H43" s="5"/>
      <c r="I43" s="5"/>
      <c r="J43" s="5"/>
      <c r="K43" s="5"/>
      <c r="L43" s="5"/>
      <c r="M43" s="5"/>
      <c r="N43" s="21"/>
      <c r="O43" s="5"/>
      <c r="R43" s="56"/>
    </row>
    <row r="44" spans="1:18" ht="15.75" x14ac:dyDescent="0.2">
      <c r="A44" s="5"/>
      <c r="B44" s="105"/>
      <c r="C44" s="121" t="s">
        <v>20</v>
      </c>
      <c r="D44" s="121"/>
      <c r="E44" s="122">
        <v>2.0992E-2</v>
      </c>
      <c r="F44" s="5"/>
      <c r="G44" s="5"/>
      <c r="H44" s="5"/>
      <c r="I44" s="5"/>
      <c r="J44" s="5"/>
      <c r="K44" s="5"/>
      <c r="L44" s="5"/>
      <c r="M44" s="5"/>
      <c r="N44" s="21"/>
      <c r="O44" s="5"/>
      <c r="R44" s="56"/>
    </row>
    <row r="45" spans="1:18" x14ac:dyDescent="0.2">
      <c r="A45" s="5"/>
      <c r="B45" s="105"/>
      <c r="C45" s="4"/>
      <c r="D45" s="4"/>
      <c r="E45" s="33"/>
      <c r="F45" s="5"/>
      <c r="G45" s="5"/>
      <c r="H45" s="5"/>
      <c r="I45" s="5"/>
      <c r="J45" s="5"/>
      <c r="K45" s="5"/>
      <c r="L45" s="5"/>
      <c r="M45" s="5"/>
      <c r="N45" s="21"/>
      <c r="O45" s="5"/>
      <c r="R45" s="56"/>
    </row>
    <row r="46" spans="1:18" ht="15.75" x14ac:dyDescent="0.2">
      <c r="A46" s="5"/>
      <c r="B46" s="105"/>
      <c r="C46" s="128" t="s">
        <v>21</v>
      </c>
      <c r="D46" s="128"/>
      <c r="E46" s="129">
        <f>E44+E42+E35+E32+E26+E24</f>
        <v>1</v>
      </c>
      <c r="F46" s="5"/>
      <c r="G46" s="5"/>
      <c r="H46" s="5"/>
      <c r="I46" s="5"/>
      <c r="J46" s="5"/>
      <c r="K46" s="5"/>
      <c r="L46" s="5"/>
      <c r="M46" s="5"/>
      <c r="N46" s="21"/>
      <c r="O46" s="5"/>
      <c r="R46" s="56"/>
    </row>
    <row r="47" spans="1:18" x14ac:dyDescent="0.2">
      <c r="A47" s="5"/>
      <c r="B47" s="105"/>
      <c r="F47" s="5"/>
      <c r="G47" s="5"/>
      <c r="H47" s="5"/>
      <c r="I47" s="5"/>
      <c r="J47" s="5"/>
      <c r="K47" s="5"/>
      <c r="L47" s="5"/>
      <c r="M47" s="5"/>
      <c r="N47" s="21"/>
      <c r="O47" s="5"/>
      <c r="R47" s="56"/>
    </row>
    <row r="48" spans="1:18" ht="15.75" thickBot="1" x14ac:dyDescent="0.25">
      <c r="A48" s="5"/>
      <c r="B48" s="108"/>
      <c r="C48" s="51"/>
      <c r="D48" s="51"/>
      <c r="E48" s="51"/>
      <c r="F48" s="51"/>
      <c r="G48" s="51"/>
      <c r="H48" s="51"/>
      <c r="I48" s="51"/>
      <c r="J48" s="51"/>
      <c r="K48" s="51"/>
      <c r="L48" s="51"/>
      <c r="M48" s="51"/>
      <c r="N48" s="132"/>
      <c r="O48" s="5"/>
      <c r="R48" s="56"/>
    </row>
    <row r="49" spans="2:18" ht="15.75" thickBot="1" x14ac:dyDescent="0.25">
      <c r="R49" s="56"/>
    </row>
    <row r="50" spans="2:18" ht="15" customHeight="1" x14ac:dyDescent="0.2">
      <c r="B50" s="245" t="s">
        <v>265</v>
      </c>
      <c r="C50" s="246"/>
      <c r="D50" s="246"/>
      <c r="E50" s="246"/>
      <c r="F50" s="246"/>
      <c r="G50" s="246"/>
      <c r="H50" s="246"/>
      <c r="I50" s="246"/>
      <c r="J50" s="246"/>
      <c r="K50" s="246"/>
      <c r="L50" s="246"/>
      <c r="M50" s="246"/>
      <c r="N50" s="246"/>
      <c r="O50" s="246"/>
      <c r="P50" s="246"/>
      <c r="Q50" s="246"/>
      <c r="R50" s="247"/>
    </row>
    <row r="51" spans="2:18" x14ac:dyDescent="0.2">
      <c r="B51" s="248"/>
      <c r="C51" s="249"/>
      <c r="D51" s="249"/>
      <c r="E51" s="249"/>
      <c r="F51" s="249"/>
      <c r="G51" s="249"/>
      <c r="H51" s="249"/>
      <c r="I51" s="249"/>
      <c r="J51" s="249"/>
      <c r="K51" s="249"/>
      <c r="L51" s="249"/>
      <c r="M51" s="249"/>
      <c r="N51" s="249"/>
      <c r="O51" s="249"/>
      <c r="P51" s="249"/>
      <c r="Q51" s="249"/>
      <c r="R51" s="250"/>
    </row>
    <row r="52" spans="2:18" x14ac:dyDescent="0.2">
      <c r="B52" s="248"/>
      <c r="C52" s="249"/>
      <c r="D52" s="249"/>
      <c r="E52" s="249"/>
      <c r="F52" s="249"/>
      <c r="G52" s="249"/>
      <c r="H52" s="249"/>
      <c r="I52" s="249"/>
      <c r="J52" s="249"/>
      <c r="K52" s="249"/>
      <c r="L52" s="249"/>
      <c r="M52" s="249"/>
      <c r="N52" s="249"/>
      <c r="O52" s="249"/>
      <c r="P52" s="249"/>
      <c r="Q52" s="249"/>
      <c r="R52" s="250"/>
    </row>
    <row r="53" spans="2:18" x14ac:dyDescent="0.2">
      <c r="B53" s="248"/>
      <c r="C53" s="249"/>
      <c r="D53" s="249"/>
      <c r="E53" s="249"/>
      <c r="F53" s="249"/>
      <c r="G53" s="249"/>
      <c r="H53" s="249"/>
      <c r="I53" s="249"/>
      <c r="J53" s="249"/>
      <c r="K53" s="249"/>
      <c r="L53" s="249"/>
      <c r="M53" s="249"/>
      <c r="N53" s="249"/>
      <c r="O53" s="249"/>
      <c r="P53" s="249"/>
      <c r="Q53" s="249"/>
      <c r="R53" s="250"/>
    </row>
    <row r="54" spans="2:18" x14ac:dyDescent="0.2">
      <c r="B54" s="248"/>
      <c r="C54" s="249"/>
      <c r="D54" s="249"/>
      <c r="E54" s="249"/>
      <c r="F54" s="249"/>
      <c r="G54" s="249"/>
      <c r="H54" s="249"/>
      <c r="I54" s="249"/>
      <c r="J54" s="249"/>
      <c r="K54" s="249"/>
      <c r="L54" s="249"/>
      <c r="M54" s="249"/>
      <c r="N54" s="249"/>
      <c r="O54" s="249"/>
      <c r="P54" s="249"/>
      <c r="Q54" s="249"/>
      <c r="R54" s="250"/>
    </row>
    <row r="55" spans="2:18" x14ac:dyDescent="0.2">
      <c r="B55" s="248"/>
      <c r="C55" s="249"/>
      <c r="D55" s="249"/>
      <c r="E55" s="249"/>
      <c r="F55" s="249"/>
      <c r="G55" s="249"/>
      <c r="H55" s="249"/>
      <c r="I55" s="249"/>
      <c r="J55" s="249"/>
      <c r="K55" s="249"/>
      <c r="L55" s="249"/>
      <c r="M55" s="249"/>
      <c r="N55" s="249"/>
      <c r="O55" s="249"/>
      <c r="P55" s="249"/>
      <c r="Q55" s="249"/>
      <c r="R55" s="250"/>
    </row>
    <row r="56" spans="2:18" ht="15.75" thickBot="1" x14ac:dyDescent="0.25">
      <c r="B56" s="251"/>
      <c r="C56" s="252"/>
      <c r="D56" s="252"/>
      <c r="E56" s="252"/>
      <c r="F56" s="252"/>
      <c r="G56" s="252"/>
      <c r="H56" s="252"/>
      <c r="I56" s="252"/>
      <c r="J56" s="252"/>
      <c r="K56" s="252"/>
      <c r="L56" s="252"/>
      <c r="M56" s="252"/>
      <c r="N56" s="252"/>
      <c r="O56" s="252"/>
      <c r="P56" s="252"/>
      <c r="Q56" s="252"/>
      <c r="R56" s="253"/>
    </row>
    <row r="57" spans="2:18" x14ac:dyDescent="0.2">
      <c r="R57" s="56"/>
    </row>
    <row r="58" spans="2:18" x14ac:dyDescent="0.2">
      <c r="R58" s="56"/>
    </row>
    <row r="59" spans="2:18" x14ac:dyDescent="0.2">
      <c r="R59" s="56"/>
    </row>
    <row r="60" spans="2:18" x14ac:dyDescent="0.2">
      <c r="R60" s="56"/>
    </row>
    <row r="61" spans="2:18" x14ac:dyDescent="0.2">
      <c r="R61" s="56"/>
    </row>
    <row r="62" spans="2:18" x14ac:dyDescent="0.2">
      <c r="R62" s="56"/>
    </row>
    <row r="63" spans="2:18" x14ac:dyDescent="0.2">
      <c r="R63" s="56"/>
    </row>
    <row r="64" spans="2:18" x14ac:dyDescent="0.2">
      <c r="R64" s="56"/>
    </row>
    <row r="65" spans="18:18" x14ac:dyDescent="0.2">
      <c r="R65" s="56"/>
    </row>
    <row r="66" spans="18:18" x14ac:dyDescent="0.2">
      <c r="R66" s="56"/>
    </row>
    <row r="67" spans="18:18" x14ac:dyDescent="0.2">
      <c r="R67" s="56"/>
    </row>
    <row r="68" spans="18:18" x14ac:dyDescent="0.2">
      <c r="R68" s="56"/>
    </row>
    <row r="69" spans="18:18" x14ac:dyDescent="0.2">
      <c r="R69" s="56"/>
    </row>
    <row r="70" spans="18:18" x14ac:dyDescent="0.2">
      <c r="R70" s="56"/>
    </row>
    <row r="71" spans="18:18" x14ac:dyDescent="0.2">
      <c r="R71" s="56"/>
    </row>
    <row r="72" spans="18:18" x14ac:dyDescent="0.2">
      <c r="R72" s="56"/>
    </row>
    <row r="73" spans="18:18" x14ac:dyDescent="0.2">
      <c r="R73" s="56"/>
    </row>
    <row r="74" spans="18:18" x14ac:dyDescent="0.2">
      <c r="R74" s="56"/>
    </row>
    <row r="75" spans="18:18" x14ac:dyDescent="0.2">
      <c r="R75" s="56"/>
    </row>
    <row r="76" spans="18:18" x14ac:dyDescent="0.2">
      <c r="R76" s="56"/>
    </row>
    <row r="77" spans="18:18" x14ac:dyDescent="0.2">
      <c r="R77" s="56"/>
    </row>
    <row r="78" spans="18:18" x14ac:dyDescent="0.2">
      <c r="R78" s="56"/>
    </row>
    <row r="79" spans="18:18" x14ac:dyDescent="0.2">
      <c r="R79" s="56"/>
    </row>
    <row r="80" spans="18: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sheetData>
  <sortState ref="C29:E31">
    <sortCondition descending="1" ref="E29"/>
  </sortState>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103"/>
      <c r="C2" s="46"/>
      <c r="D2" s="46"/>
      <c r="E2" s="46"/>
      <c r="F2" s="46"/>
      <c r="G2" s="46"/>
      <c r="H2" s="46"/>
      <c r="I2" s="46"/>
      <c r="J2" s="46"/>
      <c r="K2" s="46"/>
      <c r="L2" s="46"/>
      <c r="M2" s="104"/>
    </row>
    <row r="3" spans="2:16" ht="20.25" customHeight="1" x14ac:dyDescent="0.2">
      <c r="B3" s="105"/>
      <c r="C3" s="239" t="s">
        <v>220</v>
      </c>
      <c r="D3" s="239"/>
      <c r="E3" s="239"/>
      <c r="F3" s="239"/>
      <c r="G3" s="239"/>
      <c r="H3" s="239"/>
      <c r="I3" s="239"/>
      <c r="J3" s="239"/>
      <c r="K3" s="239"/>
      <c r="L3" s="239"/>
      <c r="M3" s="240"/>
    </row>
    <row r="4" spans="2:16" ht="15.75" x14ac:dyDescent="0.25">
      <c r="B4" s="105"/>
      <c r="C4" s="78" t="s">
        <v>303</v>
      </c>
      <c r="D4" s="30"/>
      <c r="E4" s="30"/>
      <c r="F4" s="5"/>
      <c r="G4" s="5"/>
      <c r="H4" s="5"/>
      <c r="I4" s="5"/>
      <c r="J4" s="5"/>
      <c r="K4" s="5"/>
      <c r="L4" s="5"/>
      <c r="M4" s="21"/>
    </row>
    <row r="5" spans="2:16" ht="20.25" customHeight="1" x14ac:dyDescent="0.25">
      <c r="B5" s="105"/>
      <c r="C5" s="79" t="s">
        <v>304</v>
      </c>
      <c r="D5" s="106" t="s">
        <v>294</v>
      </c>
      <c r="E5" s="20"/>
      <c r="F5" s="5"/>
      <c r="G5" s="5"/>
      <c r="H5" s="5"/>
      <c r="I5" s="5"/>
      <c r="J5" s="5"/>
      <c r="K5" s="5"/>
      <c r="L5" s="5"/>
      <c r="M5" s="21"/>
    </row>
    <row r="6" spans="2:16" x14ac:dyDescent="0.2">
      <c r="B6" s="105"/>
      <c r="C6" s="5"/>
      <c r="D6" s="5"/>
      <c r="E6" s="5"/>
      <c r="F6" s="5"/>
      <c r="G6" s="5"/>
      <c r="H6" s="5"/>
      <c r="I6" s="5"/>
      <c r="J6" s="5"/>
      <c r="K6" s="5"/>
      <c r="L6" s="5"/>
      <c r="M6" s="21"/>
    </row>
    <row r="7" spans="2:16" ht="32.25" customHeight="1" x14ac:dyDescent="0.2">
      <c r="B7" s="105"/>
      <c r="C7" s="107" t="s">
        <v>44</v>
      </c>
      <c r="D7" s="107" t="s">
        <v>46</v>
      </c>
      <c r="E7" s="5"/>
      <c r="F7" s="241" t="s">
        <v>51</v>
      </c>
      <c r="G7" s="241"/>
      <c r="H7" s="241"/>
      <c r="I7" s="241"/>
      <c r="J7" s="241"/>
      <c r="K7" s="241"/>
      <c r="L7" s="241"/>
      <c r="M7" s="242"/>
    </row>
    <row r="8" spans="2:16" ht="15.75" x14ac:dyDescent="0.25">
      <c r="B8" s="105"/>
      <c r="C8" s="39" t="s">
        <v>248</v>
      </c>
      <c r="D8" s="229">
        <v>0.139847</v>
      </c>
      <c r="E8" s="30"/>
      <c r="F8" s="5"/>
      <c r="G8" s="32"/>
      <c r="H8" s="5"/>
      <c r="I8" s="5"/>
      <c r="J8" s="54"/>
      <c r="K8" s="5"/>
      <c r="L8" s="5"/>
      <c r="M8" s="21"/>
      <c r="P8" s="56"/>
    </row>
    <row r="9" spans="2:16" x14ac:dyDescent="0.2">
      <c r="B9" s="105"/>
      <c r="C9" s="114" t="s">
        <v>249</v>
      </c>
      <c r="D9" s="201">
        <v>0.104445</v>
      </c>
      <c r="E9" s="5"/>
      <c r="F9" s="5"/>
      <c r="G9" s="5"/>
      <c r="H9" s="5"/>
      <c r="I9" s="5" t="s">
        <v>52</v>
      </c>
      <c r="J9" s="54">
        <f>D10</f>
        <v>0.24429200000000001</v>
      </c>
      <c r="K9" s="5"/>
      <c r="L9" s="5"/>
      <c r="M9" s="21"/>
      <c r="P9" s="56"/>
    </row>
    <row r="10" spans="2:16" ht="15.75" x14ac:dyDescent="0.25">
      <c r="B10" s="105"/>
      <c r="C10" s="7" t="s">
        <v>53</v>
      </c>
      <c r="D10" s="8">
        <f>SUM(D8:D9)</f>
        <v>0.24429200000000001</v>
      </c>
      <c r="E10" s="5"/>
      <c r="F10" s="5"/>
      <c r="G10" s="5"/>
      <c r="H10" s="5"/>
      <c r="I10" s="5" t="s">
        <v>54</v>
      </c>
      <c r="J10" s="54">
        <f>D15</f>
        <v>0.74990999999999997</v>
      </c>
      <c r="K10" s="5"/>
      <c r="L10" s="5"/>
      <c r="M10" s="21"/>
      <c r="P10" s="56"/>
    </row>
    <row r="11" spans="2:16" x14ac:dyDescent="0.2">
      <c r="B11" s="105"/>
      <c r="C11" s="114"/>
      <c r="D11" s="39"/>
      <c r="E11" s="5"/>
      <c r="F11" s="5"/>
      <c r="G11" s="5"/>
      <c r="H11" s="5"/>
      <c r="I11" s="5" t="s">
        <v>20</v>
      </c>
      <c r="J11" s="54">
        <f>D17</f>
        <v>5.7980000000000254E-3</v>
      </c>
      <c r="K11" s="5"/>
      <c r="L11" s="5"/>
      <c r="M11" s="21"/>
      <c r="P11" s="56"/>
    </row>
    <row r="12" spans="2:16" x14ac:dyDescent="0.2">
      <c r="B12" s="105"/>
      <c r="C12" s="4" t="s">
        <v>251</v>
      </c>
      <c r="D12" s="201">
        <v>0.53779699999999997</v>
      </c>
      <c r="E12" s="5"/>
      <c r="F12" s="5"/>
      <c r="G12" s="5"/>
      <c r="H12" s="5"/>
      <c r="K12" s="5"/>
      <c r="L12" s="5"/>
      <c r="M12" s="21"/>
      <c r="P12" s="56"/>
    </row>
    <row r="13" spans="2:16" ht="15.75" customHeight="1" x14ac:dyDescent="0.2">
      <c r="B13" s="105"/>
      <c r="C13" s="4" t="s">
        <v>252</v>
      </c>
      <c r="D13" s="201">
        <v>0.160243</v>
      </c>
      <c r="E13" s="5"/>
      <c r="F13" s="5"/>
      <c r="G13" s="5"/>
      <c r="H13" s="5"/>
      <c r="I13" s="5"/>
      <c r="J13" s="54"/>
      <c r="K13" s="5"/>
      <c r="L13" s="5"/>
      <c r="M13" s="21"/>
      <c r="P13" s="56"/>
    </row>
    <row r="14" spans="2:16" ht="15.75" customHeight="1" x14ac:dyDescent="0.2">
      <c r="B14" s="105"/>
      <c r="C14" s="4" t="s">
        <v>250</v>
      </c>
      <c r="D14" s="201">
        <v>5.1869999999999999E-2</v>
      </c>
      <c r="E14" s="5"/>
      <c r="F14" s="5"/>
      <c r="G14" s="5"/>
      <c r="H14" s="5"/>
      <c r="I14" s="5"/>
      <c r="J14" s="54"/>
      <c r="K14" s="5"/>
      <c r="L14" s="5"/>
      <c r="M14" s="21"/>
      <c r="P14" s="56"/>
    </row>
    <row r="15" spans="2:16" ht="15.75" x14ac:dyDescent="0.25">
      <c r="B15" s="105"/>
      <c r="C15" s="7" t="s">
        <v>19</v>
      </c>
      <c r="D15" s="8">
        <f>SUM(D12:D14)</f>
        <v>0.74990999999999997</v>
      </c>
      <c r="E15" s="5"/>
      <c r="F15" s="5"/>
      <c r="G15" s="5"/>
      <c r="H15" s="5"/>
      <c r="I15" s="5"/>
      <c r="J15" s="115"/>
      <c r="K15" s="5"/>
      <c r="L15" s="5"/>
      <c r="M15" s="21"/>
      <c r="P15" s="56"/>
    </row>
    <row r="16" spans="2:16" x14ac:dyDescent="0.2">
      <c r="B16" s="105"/>
      <c r="C16" s="4"/>
      <c r="D16" s="6"/>
      <c r="E16" s="5"/>
      <c r="F16" s="5"/>
      <c r="G16" s="5"/>
      <c r="H16" s="5"/>
      <c r="I16" s="5"/>
      <c r="J16" s="5"/>
      <c r="K16" s="5"/>
      <c r="L16" s="5"/>
      <c r="M16" s="21"/>
      <c r="P16" s="56"/>
    </row>
    <row r="17" spans="2:18" ht="15.75" customHeight="1" x14ac:dyDescent="0.25">
      <c r="B17" s="105"/>
      <c r="C17" s="7" t="s">
        <v>20</v>
      </c>
      <c r="D17" s="8">
        <f>100%-D15-D10</f>
        <v>5.7980000000000254E-3</v>
      </c>
      <c r="E17" s="5"/>
      <c r="F17" s="5"/>
      <c r="G17" s="5"/>
      <c r="H17" s="5"/>
      <c r="I17" s="5"/>
      <c r="J17" s="5"/>
      <c r="K17" s="5"/>
      <c r="L17" s="5"/>
      <c r="M17" s="21"/>
      <c r="P17" s="56"/>
    </row>
    <row r="18" spans="2:18" x14ac:dyDescent="0.2">
      <c r="B18" s="105"/>
      <c r="C18" s="4"/>
      <c r="D18" s="6"/>
      <c r="E18" s="5"/>
      <c r="F18" s="5"/>
      <c r="G18" s="5"/>
      <c r="H18" s="5"/>
      <c r="I18" s="5"/>
      <c r="J18" s="5"/>
      <c r="K18" s="5"/>
      <c r="L18" s="5"/>
      <c r="M18" s="21"/>
      <c r="P18" s="56"/>
    </row>
    <row r="19" spans="2:18" ht="15.75" x14ac:dyDescent="0.25">
      <c r="B19" s="105"/>
      <c r="C19" s="9" t="s">
        <v>55</v>
      </c>
      <c r="D19" s="10">
        <f>SUM(D17,D15,D10)</f>
        <v>1</v>
      </c>
      <c r="E19" s="5"/>
      <c r="F19" s="5"/>
      <c r="G19" s="5"/>
      <c r="H19" s="5"/>
      <c r="I19" s="5"/>
      <c r="J19" s="5"/>
      <c r="K19" s="5"/>
      <c r="L19" s="5"/>
      <c r="M19" s="21"/>
      <c r="P19" s="56"/>
    </row>
    <row r="20" spans="2:18" x14ac:dyDescent="0.2">
      <c r="B20" s="105"/>
      <c r="E20" s="5"/>
      <c r="F20" s="5"/>
      <c r="G20" s="5"/>
      <c r="H20" s="5"/>
      <c r="I20" s="5"/>
      <c r="J20" s="5"/>
      <c r="K20" s="5"/>
      <c r="L20" s="5"/>
      <c r="M20" s="21"/>
      <c r="P20" s="56"/>
    </row>
    <row r="21" spans="2:18" x14ac:dyDescent="0.2">
      <c r="B21" s="105"/>
      <c r="E21" s="5"/>
      <c r="F21" s="5"/>
      <c r="G21" s="5"/>
      <c r="H21" s="5"/>
      <c r="I21" s="5"/>
      <c r="J21" s="5"/>
      <c r="K21" s="5"/>
      <c r="L21" s="5"/>
      <c r="M21" s="21"/>
      <c r="P21" s="56"/>
    </row>
    <row r="22" spans="2:18" x14ac:dyDescent="0.2">
      <c r="B22" s="105"/>
      <c r="E22" s="5"/>
      <c r="F22" s="5"/>
      <c r="G22" s="5"/>
      <c r="H22" s="5"/>
      <c r="I22" s="5"/>
      <c r="J22" s="5"/>
      <c r="K22" s="5"/>
      <c r="L22" s="5"/>
      <c r="M22" s="21"/>
      <c r="P22" s="56"/>
    </row>
    <row r="23" spans="2:18" ht="15" customHeight="1" x14ac:dyDescent="0.2">
      <c r="B23" s="105"/>
      <c r="C23" s="261"/>
      <c r="D23" s="261"/>
      <c r="E23" s="261"/>
      <c r="F23" s="261"/>
      <c r="G23" s="261"/>
      <c r="H23" s="5"/>
      <c r="I23" s="5"/>
      <c r="J23" s="5"/>
      <c r="K23" s="5"/>
      <c r="L23" s="5"/>
      <c r="M23" s="11"/>
      <c r="P23" s="56"/>
    </row>
    <row r="24" spans="2:18" ht="16.5" thickBot="1" x14ac:dyDescent="0.3">
      <c r="B24" s="108"/>
      <c r="C24" s="243"/>
      <c r="D24" s="243"/>
      <c r="E24" s="243"/>
      <c r="F24" s="243"/>
      <c r="G24" s="243"/>
      <c r="H24" s="243"/>
      <c r="I24" s="243"/>
      <c r="J24" s="243"/>
      <c r="K24" s="243"/>
      <c r="L24" s="243"/>
      <c r="M24" s="244"/>
      <c r="P24" s="56"/>
    </row>
    <row r="25" spans="2:18" ht="15.75" thickBot="1" x14ac:dyDescent="0.25">
      <c r="P25" s="56"/>
    </row>
    <row r="26" spans="2:18" ht="15" customHeight="1" x14ac:dyDescent="0.2">
      <c r="B26" s="245" t="s">
        <v>265</v>
      </c>
      <c r="C26" s="246"/>
      <c r="D26" s="246"/>
      <c r="E26" s="246"/>
      <c r="F26" s="246"/>
      <c r="G26" s="246"/>
      <c r="H26" s="246"/>
      <c r="I26" s="246"/>
      <c r="J26" s="246"/>
      <c r="K26" s="246"/>
      <c r="L26" s="246"/>
      <c r="M26" s="246"/>
      <c r="N26" s="246"/>
      <c r="O26" s="246"/>
      <c r="P26" s="246"/>
      <c r="Q26" s="246"/>
      <c r="R26" s="247"/>
    </row>
    <row r="27" spans="2:18" x14ac:dyDescent="0.2">
      <c r="B27" s="248"/>
      <c r="C27" s="249"/>
      <c r="D27" s="249"/>
      <c r="E27" s="249"/>
      <c r="F27" s="249"/>
      <c r="G27" s="249"/>
      <c r="H27" s="249"/>
      <c r="I27" s="249"/>
      <c r="J27" s="249"/>
      <c r="K27" s="249"/>
      <c r="L27" s="249"/>
      <c r="M27" s="249"/>
      <c r="N27" s="249"/>
      <c r="O27" s="249"/>
      <c r="P27" s="249"/>
      <c r="Q27" s="249"/>
      <c r="R27" s="250"/>
    </row>
    <row r="28" spans="2:18" x14ac:dyDescent="0.2">
      <c r="B28" s="248"/>
      <c r="C28" s="249"/>
      <c r="D28" s="249"/>
      <c r="E28" s="249"/>
      <c r="F28" s="249"/>
      <c r="G28" s="249"/>
      <c r="H28" s="249"/>
      <c r="I28" s="249"/>
      <c r="J28" s="249"/>
      <c r="K28" s="249"/>
      <c r="L28" s="249"/>
      <c r="M28" s="249"/>
      <c r="N28" s="249"/>
      <c r="O28" s="249"/>
      <c r="P28" s="249"/>
      <c r="Q28" s="249"/>
      <c r="R28" s="250"/>
    </row>
    <row r="29" spans="2:18" x14ac:dyDescent="0.2">
      <c r="B29" s="248"/>
      <c r="C29" s="249"/>
      <c r="D29" s="249"/>
      <c r="E29" s="249"/>
      <c r="F29" s="249"/>
      <c r="G29" s="249"/>
      <c r="H29" s="249"/>
      <c r="I29" s="249"/>
      <c r="J29" s="249"/>
      <c r="K29" s="249"/>
      <c r="L29" s="249"/>
      <c r="M29" s="249"/>
      <c r="N29" s="249"/>
      <c r="O29" s="249"/>
      <c r="P29" s="249"/>
      <c r="Q29" s="249"/>
      <c r="R29" s="250"/>
    </row>
    <row r="30" spans="2:18" x14ac:dyDescent="0.2">
      <c r="B30" s="248"/>
      <c r="C30" s="249"/>
      <c r="D30" s="249"/>
      <c r="E30" s="249"/>
      <c r="F30" s="249"/>
      <c r="G30" s="249"/>
      <c r="H30" s="249"/>
      <c r="I30" s="249"/>
      <c r="J30" s="249"/>
      <c r="K30" s="249"/>
      <c r="L30" s="249"/>
      <c r="M30" s="249"/>
      <c r="N30" s="249"/>
      <c r="O30" s="249"/>
      <c r="P30" s="249"/>
      <c r="Q30" s="249"/>
      <c r="R30" s="250"/>
    </row>
    <row r="31" spans="2:18" x14ac:dyDescent="0.2">
      <c r="B31" s="248"/>
      <c r="C31" s="249"/>
      <c r="D31" s="249"/>
      <c r="E31" s="249"/>
      <c r="F31" s="249"/>
      <c r="G31" s="249"/>
      <c r="H31" s="249"/>
      <c r="I31" s="249"/>
      <c r="J31" s="249"/>
      <c r="K31" s="249"/>
      <c r="L31" s="249"/>
      <c r="M31" s="249"/>
      <c r="N31" s="249"/>
      <c r="O31" s="249"/>
      <c r="P31" s="249"/>
      <c r="Q31" s="249"/>
      <c r="R31" s="250"/>
    </row>
    <row r="32" spans="2:18" ht="15.75" thickBot="1" x14ac:dyDescent="0.25">
      <c r="B32" s="251"/>
      <c r="C32" s="252"/>
      <c r="D32" s="252"/>
      <c r="E32" s="252"/>
      <c r="F32" s="252"/>
      <c r="G32" s="252"/>
      <c r="H32" s="252"/>
      <c r="I32" s="252"/>
      <c r="J32" s="252"/>
      <c r="K32" s="252"/>
      <c r="L32" s="252"/>
      <c r="M32" s="252"/>
      <c r="N32" s="252"/>
      <c r="O32" s="252"/>
      <c r="P32" s="252"/>
      <c r="Q32" s="252"/>
      <c r="R32" s="253"/>
    </row>
    <row r="33" spans="3:16" x14ac:dyDescent="0.2">
      <c r="P33" s="56"/>
    </row>
    <row r="34" spans="3:16" x14ac:dyDescent="0.2">
      <c r="C34" s="192"/>
      <c r="D34" s="193"/>
      <c r="P34" s="56"/>
    </row>
    <row r="35" spans="3:16" x14ac:dyDescent="0.2">
      <c r="C35" s="192"/>
      <c r="D35" s="193"/>
      <c r="P35" s="56"/>
    </row>
    <row r="36" spans="3:16" x14ac:dyDescent="0.2">
      <c r="C36" s="192"/>
      <c r="D36" s="193"/>
      <c r="P36" s="56"/>
    </row>
    <row r="37" spans="3:16" x14ac:dyDescent="0.2">
      <c r="C37" s="192"/>
      <c r="D37" s="193"/>
      <c r="P37" s="56"/>
    </row>
    <row r="38" spans="3:16" x14ac:dyDescent="0.2">
      <c r="C38" s="192"/>
      <c r="D38" s="193"/>
      <c r="P38" s="56"/>
    </row>
    <row r="39" spans="3:16" x14ac:dyDescent="0.2">
      <c r="C39" s="192"/>
      <c r="D39" s="193"/>
      <c r="P39" s="56"/>
    </row>
    <row r="40" spans="3:16" x14ac:dyDescent="0.2">
      <c r="C40" s="192"/>
      <c r="D40" s="193"/>
      <c r="P40" s="56"/>
    </row>
    <row r="41" spans="3:16" x14ac:dyDescent="0.2">
      <c r="C41" s="192"/>
      <c r="D41" s="193"/>
      <c r="P41" s="56"/>
    </row>
    <row r="42" spans="3:16" x14ac:dyDescent="0.2">
      <c r="P42" s="56"/>
    </row>
    <row r="43" spans="3:16" x14ac:dyDescent="0.2">
      <c r="P43" s="56"/>
    </row>
    <row r="44" spans="3:16" x14ac:dyDescent="0.2">
      <c r="P44" s="56"/>
    </row>
    <row r="45" spans="3:16" x14ac:dyDescent="0.2">
      <c r="P45" s="56"/>
    </row>
    <row r="46" spans="3:16" x14ac:dyDescent="0.2">
      <c r="P46" s="56"/>
    </row>
    <row r="47" spans="3:16" x14ac:dyDescent="0.2">
      <c r="P47" s="56"/>
    </row>
    <row r="48" spans="3:16" x14ac:dyDescent="0.2">
      <c r="P48" s="56"/>
    </row>
    <row r="49" spans="16:16" x14ac:dyDescent="0.2">
      <c r="P49" s="56"/>
    </row>
    <row r="50" spans="16:16" x14ac:dyDescent="0.2">
      <c r="P50" s="56"/>
    </row>
    <row r="51" spans="16:16" x14ac:dyDescent="0.2">
      <c r="P51" s="56"/>
    </row>
    <row r="52" spans="16:16" x14ac:dyDescent="0.2">
      <c r="P52" s="56"/>
    </row>
    <row r="53" spans="16:16" x14ac:dyDescent="0.2">
      <c r="P53" s="56"/>
    </row>
    <row r="54" spans="16:16" x14ac:dyDescent="0.2">
      <c r="P54" s="56"/>
    </row>
    <row r="55" spans="16:16" x14ac:dyDescent="0.2">
      <c r="P55" s="56"/>
    </row>
    <row r="56" spans="16:16" x14ac:dyDescent="0.2">
      <c r="P56" s="56"/>
    </row>
    <row r="57" spans="16:16" x14ac:dyDescent="0.2">
      <c r="P57" s="56"/>
    </row>
    <row r="58" spans="16:16" x14ac:dyDescent="0.2">
      <c r="P58" s="56"/>
    </row>
    <row r="59" spans="16:16" x14ac:dyDescent="0.2">
      <c r="P59" s="56"/>
    </row>
    <row r="60" spans="16:16" x14ac:dyDescent="0.2">
      <c r="P60" s="56"/>
    </row>
    <row r="61" spans="16:16" x14ac:dyDescent="0.2">
      <c r="P61" s="56"/>
    </row>
    <row r="62" spans="16:16" x14ac:dyDescent="0.2">
      <c r="P62" s="56"/>
    </row>
    <row r="63" spans="16:16" x14ac:dyDescent="0.2">
      <c r="P63" s="56"/>
    </row>
    <row r="64" spans="16:16" x14ac:dyDescent="0.2">
      <c r="P64" s="56"/>
    </row>
    <row r="65" spans="16:16" x14ac:dyDescent="0.2">
      <c r="P65" s="56"/>
    </row>
    <row r="66" spans="16:16" x14ac:dyDescent="0.2">
      <c r="P66" s="56"/>
    </row>
    <row r="67" spans="16:16" x14ac:dyDescent="0.2">
      <c r="P67" s="56"/>
    </row>
    <row r="68" spans="16:16" x14ac:dyDescent="0.2">
      <c r="P68" s="56"/>
    </row>
    <row r="69" spans="16:16" x14ac:dyDescent="0.2">
      <c r="P69" s="56"/>
    </row>
    <row r="70" spans="16:16" x14ac:dyDescent="0.2">
      <c r="P70" s="56"/>
    </row>
    <row r="71" spans="16:16" x14ac:dyDescent="0.2">
      <c r="P71" s="56"/>
    </row>
    <row r="72" spans="16:16" x14ac:dyDescent="0.2">
      <c r="P72" s="56"/>
    </row>
    <row r="73" spans="16:16" x14ac:dyDescent="0.2">
      <c r="P73" s="56"/>
    </row>
    <row r="74" spans="16:16" x14ac:dyDescent="0.2">
      <c r="P74" s="56"/>
    </row>
    <row r="75" spans="16:16" x14ac:dyDescent="0.2">
      <c r="P75" s="56"/>
    </row>
    <row r="76" spans="16:16" x14ac:dyDescent="0.2">
      <c r="P76" s="56"/>
    </row>
    <row r="77" spans="16:16" x14ac:dyDescent="0.2">
      <c r="P77" s="56"/>
    </row>
    <row r="78" spans="16:16" x14ac:dyDescent="0.2">
      <c r="P78" s="56"/>
    </row>
    <row r="79" spans="16:16" x14ac:dyDescent="0.2">
      <c r="P79" s="56"/>
    </row>
    <row r="80" spans="16:16" x14ac:dyDescent="0.2">
      <c r="P80" s="56"/>
    </row>
    <row r="81" spans="16:16" x14ac:dyDescent="0.2">
      <c r="P81" s="56"/>
    </row>
    <row r="82" spans="16:16" x14ac:dyDescent="0.2">
      <c r="P82" s="56"/>
    </row>
    <row r="83" spans="16:16" x14ac:dyDescent="0.2">
      <c r="P83" s="56"/>
    </row>
    <row r="84" spans="16:16" x14ac:dyDescent="0.2">
      <c r="P84" s="56"/>
    </row>
    <row r="85" spans="16:16" x14ac:dyDescent="0.2">
      <c r="P85" s="56"/>
    </row>
    <row r="86" spans="16:16" x14ac:dyDescent="0.2">
      <c r="P86" s="56"/>
    </row>
    <row r="87" spans="16:16" x14ac:dyDescent="0.2">
      <c r="P87" s="56"/>
    </row>
    <row r="88" spans="16:16" x14ac:dyDescent="0.2">
      <c r="P88" s="56"/>
    </row>
    <row r="89" spans="16:16" x14ac:dyDescent="0.2">
      <c r="P89" s="56"/>
    </row>
    <row r="90" spans="16:16" x14ac:dyDescent="0.2">
      <c r="P90" s="56"/>
    </row>
    <row r="91" spans="16:16" x14ac:dyDescent="0.2">
      <c r="P91" s="56"/>
    </row>
    <row r="92" spans="16:16" x14ac:dyDescent="0.2">
      <c r="P92" s="56"/>
    </row>
    <row r="93" spans="16:16" x14ac:dyDescent="0.2">
      <c r="P93" s="56"/>
    </row>
    <row r="94" spans="16:16" x14ac:dyDescent="0.2">
      <c r="P94" s="56"/>
    </row>
    <row r="95" spans="16:16" x14ac:dyDescent="0.2">
      <c r="P95" s="56"/>
    </row>
    <row r="96" spans="16:16" x14ac:dyDescent="0.2">
      <c r="P96" s="56"/>
    </row>
    <row r="97" spans="16:16" x14ac:dyDescent="0.2">
      <c r="P97" s="56"/>
    </row>
    <row r="98" spans="16:16" x14ac:dyDescent="0.2">
      <c r="P98" s="56"/>
    </row>
    <row r="99" spans="16:16" x14ac:dyDescent="0.2">
      <c r="P99" s="56"/>
    </row>
    <row r="100" spans="16:16" x14ac:dyDescent="0.2">
      <c r="P100" s="56"/>
    </row>
    <row r="101" spans="16:16" x14ac:dyDescent="0.2">
      <c r="P101" s="56"/>
    </row>
    <row r="102" spans="16:16" x14ac:dyDescent="0.2">
      <c r="P102" s="56"/>
    </row>
    <row r="103" spans="16:16" x14ac:dyDescent="0.2">
      <c r="P103" s="56"/>
    </row>
    <row r="104" spans="16:16" x14ac:dyDescent="0.2">
      <c r="P104" s="56"/>
    </row>
    <row r="105" spans="16:16" x14ac:dyDescent="0.2">
      <c r="P105" s="56"/>
    </row>
    <row r="106" spans="16:16" x14ac:dyDescent="0.2">
      <c r="P106" s="56"/>
    </row>
    <row r="107" spans="16:16" x14ac:dyDescent="0.2">
      <c r="P107" s="56"/>
    </row>
    <row r="108" spans="16:16" x14ac:dyDescent="0.2">
      <c r="P108" s="56"/>
    </row>
    <row r="109" spans="16:16" x14ac:dyDescent="0.2">
      <c r="P109" s="56"/>
    </row>
    <row r="110" spans="16:16" x14ac:dyDescent="0.2">
      <c r="P110" s="56"/>
    </row>
    <row r="111" spans="16:16" x14ac:dyDescent="0.2">
      <c r="P111" s="56"/>
    </row>
    <row r="112" spans="16:16" x14ac:dyDescent="0.2">
      <c r="P112" s="56"/>
    </row>
    <row r="113" spans="16:16" x14ac:dyDescent="0.2">
      <c r="P113" s="56"/>
    </row>
    <row r="114" spans="16:16" x14ac:dyDescent="0.2">
      <c r="P114" s="56"/>
    </row>
    <row r="115" spans="16:16" x14ac:dyDescent="0.2">
      <c r="P115" s="56"/>
    </row>
    <row r="116" spans="16:16" x14ac:dyDescent="0.2">
      <c r="P116" s="56"/>
    </row>
    <row r="117" spans="16:16" x14ac:dyDescent="0.2">
      <c r="P117" s="56"/>
    </row>
    <row r="118" spans="16:16" x14ac:dyDescent="0.2">
      <c r="P118" s="56"/>
    </row>
    <row r="119" spans="16:16" x14ac:dyDescent="0.2">
      <c r="P119" s="56"/>
    </row>
    <row r="120" spans="16:16" x14ac:dyDescent="0.2">
      <c r="P120" s="56"/>
    </row>
    <row r="121" spans="16:16" x14ac:dyDescent="0.2">
      <c r="P121" s="56"/>
    </row>
    <row r="122" spans="16:16" x14ac:dyDescent="0.2">
      <c r="P122" s="56"/>
    </row>
    <row r="123" spans="16:16" x14ac:dyDescent="0.2">
      <c r="P123" s="56"/>
    </row>
    <row r="124" spans="16:16" x14ac:dyDescent="0.2">
      <c r="P124" s="56"/>
    </row>
    <row r="125" spans="16:16" x14ac:dyDescent="0.2">
      <c r="P125" s="56"/>
    </row>
    <row r="126" spans="16:16" x14ac:dyDescent="0.2">
      <c r="P126" s="56"/>
    </row>
    <row r="127" spans="16:16" x14ac:dyDescent="0.2">
      <c r="P127" s="56"/>
    </row>
    <row r="128" spans="16:16" x14ac:dyDescent="0.2">
      <c r="P128" s="56"/>
    </row>
    <row r="129" spans="16:16" x14ac:dyDescent="0.2">
      <c r="P129" s="56"/>
    </row>
    <row r="130" spans="16:16" x14ac:dyDescent="0.2">
      <c r="P130" s="56"/>
    </row>
    <row r="131" spans="16:16" x14ac:dyDescent="0.2">
      <c r="P131" s="56"/>
    </row>
    <row r="132" spans="16:16" x14ac:dyDescent="0.2">
      <c r="P132" s="56"/>
    </row>
    <row r="133" spans="16:16" x14ac:dyDescent="0.2">
      <c r="P133" s="56"/>
    </row>
    <row r="134" spans="16:16" x14ac:dyDescent="0.2">
      <c r="P134" s="56"/>
    </row>
    <row r="135" spans="16:16" x14ac:dyDescent="0.2">
      <c r="P135" s="56"/>
    </row>
    <row r="136" spans="16:16" x14ac:dyDescent="0.2">
      <c r="P136" s="56"/>
    </row>
    <row r="137" spans="16:16" x14ac:dyDescent="0.2">
      <c r="P137" s="56"/>
    </row>
    <row r="138" spans="16:16" x14ac:dyDescent="0.2">
      <c r="P138" s="56"/>
    </row>
    <row r="139" spans="16:16" x14ac:dyDescent="0.2">
      <c r="P139" s="56"/>
    </row>
    <row r="140" spans="16:16" x14ac:dyDescent="0.2">
      <c r="P140" s="56"/>
    </row>
    <row r="141" spans="16:16" x14ac:dyDescent="0.2">
      <c r="P141" s="56"/>
    </row>
    <row r="142" spans="16:16" x14ac:dyDescent="0.2">
      <c r="P142" s="56"/>
    </row>
    <row r="143" spans="16:16" x14ac:dyDescent="0.2">
      <c r="P143" s="56"/>
    </row>
    <row r="144" spans="16:16" x14ac:dyDescent="0.2">
      <c r="P144" s="56"/>
    </row>
    <row r="145" spans="16:16" x14ac:dyDescent="0.2">
      <c r="P145" s="56"/>
    </row>
    <row r="146" spans="16:16" x14ac:dyDescent="0.2">
      <c r="P146" s="56"/>
    </row>
    <row r="147" spans="16:16" x14ac:dyDescent="0.2">
      <c r="P147" s="56"/>
    </row>
    <row r="148" spans="16:16" x14ac:dyDescent="0.2">
      <c r="P148" s="56"/>
    </row>
    <row r="149" spans="16:16" x14ac:dyDescent="0.2">
      <c r="P149" s="56"/>
    </row>
    <row r="150" spans="16:16" x14ac:dyDescent="0.2">
      <c r="P150" s="56"/>
    </row>
    <row r="151" spans="16:16" x14ac:dyDescent="0.2">
      <c r="P151" s="56"/>
    </row>
    <row r="152" spans="16:16" x14ac:dyDescent="0.2">
      <c r="P152" s="56"/>
    </row>
    <row r="153" spans="16:16" x14ac:dyDescent="0.2">
      <c r="P153" s="56"/>
    </row>
    <row r="154" spans="16:16" x14ac:dyDescent="0.2">
      <c r="P154" s="56"/>
    </row>
    <row r="155" spans="16:16" x14ac:dyDescent="0.2">
      <c r="P155" s="56"/>
    </row>
    <row r="156" spans="16:16" x14ac:dyDescent="0.2">
      <c r="P156" s="56"/>
    </row>
    <row r="157" spans="16:16" x14ac:dyDescent="0.2">
      <c r="P157" s="56"/>
    </row>
    <row r="158" spans="16:16" x14ac:dyDescent="0.2">
      <c r="P158" s="56"/>
    </row>
    <row r="159" spans="16:16" x14ac:dyDescent="0.2">
      <c r="P159" s="56"/>
    </row>
    <row r="160" spans="16:16" x14ac:dyDescent="0.2">
      <c r="P160" s="56"/>
    </row>
    <row r="161" spans="16:16" x14ac:dyDescent="0.2">
      <c r="P161" s="56"/>
    </row>
    <row r="162" spans="16:16" x14ac:dyDescent="0.2">
      <c r="P162" s="56"/>
    </row>
    <row r="163" spans="16:16" x14ac:dyDescent="0.2">
      <c r="P163" s="56"/>
    </row>
    <row r="164" spans="16:16" x14ac:dyDescent="0.2">
      <c r="P164" s="56"/>
    </row>
    <row r="165" spans="16:16" x14ac:dyDescent="0.2">
      <c r="P165" s="56"/>
    </row>
    <row r="166" spans="16:16" x14ac:dyDescent="0.2">
      <c r="P166" s="56"/>
    </row>
    <row r="167" spans="16:16" x14ac:dyDescent="0.2">
      <c r="P167" s="56"/>
    </row>
    <row r="168" spans="16:16" x14ac:dyDescent="0.2">
      <c r="P168" s="56"/>
    </row>
    <row r="169" spans="16:16" x14ac:dyDescent="0.2">
      <c r="P169" s="56"/>
    </row>
    <row r="170" spans="16:16" x14ac:dyDescent="0.2">
      <c r="P170" s="56"/>
    </row>
    <row r="171" spans="16:16" x14ac:dyDescent="0.2">
      <c r="P171" s="56"/>
    </row>
    <row r="172" spans="16:16" x14ac:dyDescent="0.2">
      <c r="P172" s="56"/>
    </row>
    <row r="173" spans="16:16" x14ac:dyDescent="0.2">
      <c r="P173" s="56"/>
    </row>
    <row r="174" spans="16:16" x14ac:dyDescent="0.2">
      <c r="P174" s="56"/>
    </row>
    <row r="175" spans="16:16" x14ac:dyDescent="0.2">
      <c r="P175" s="56"/>
    </row>
    <row r="176" spans="16:16" x14ac:dyDescent="0.2">
      <c r="P176" s="56"/>
    </row>
    <row r="177" spans="16:16" x14ac:dyDescent="0.2">
      <c r="P177" s="56"/>
    </row>
    <row r="178" spans="16:16" x14ac:dyDescent="0.2">
      <c r="P178" s="56"/>
    </row>
    <row r="179" spans="16:16" x14ac:dyDescent="0.2">
      <c r="P179" s="56"/>
    </row>
    <row r="180" spans="16:16" x14ac:dyDescent="0.2">
      <c r="P180" s="56"/>
    </row>
    <row r="181" spans="16:16" x14ac:dyDescent="0.2">
      <c r="P181" s="56"/>
    </row>
    <row r="182" spans="16:16" x14ac:dyDescent="0.2">
      <c r="P182" s="56"/>
    </row>
    <row r="183" spans="16:16" x14ac:dyDescent="0.2">
      <c r="P183" s="56"/>
    </row>
    <row r="184" spans="16:16" x14ac:dyDescent="0.2">
      <c r="P184" s="56"/>
    </row>
    <row r="185" spans="16:16" x14ac:dyDescent="0.2">
      <c r="P185" s="56"/>
    </row>
    <row r="186" spans="16:16" x14ac:dyDescent="0.2">
      <c r="P186" s="56"/>
    </row>
    <row r="187" spans="16:16" x14ac:dyDescent="0.2">
      <c r="P187" s="56"/>
    </row>
    <row r="188" spans="16:16" x14ac:dyDescent="0.2">
      <c r="P188" s="56"/>
    </row>
    <row r="189" spans="16:16" x14ac:dyDescent="0.2">
      <c r="P189" s="56"/>
    </row>
    <row r="190" spans="16:16" x14ac:dyDescent="0.2">
      <c r="P190" s="56"/>
    </row>
    <row r="191" spans="16:16" x14ac:dyDescent="0.2">
      <c r="P191" s="56"/>
    </row>
    <row r="192" spans="16:16" x14ac:dyDescent="0.2">
      <c r="P192" s="56"/>
    </row>
    <row r="193" spans="16:16" x14ac:dyDescent="0.2">
      <c r="P193" s="56"/>
    </row>
    <row r="194" spans="16:16" x14ac:dyDescent="0.2">
      <c r="P194" s="56"/>
    </row>
    <row r="195" spans="16:16" x14ac:dyDescent="0.2">
      <c r="P195" s="56"/>
    </row>
    <row r="196" spans="16:16" x14ac:dyDescent="0.2">
      <c r="P196" s="56"/>
    </row>
    <row r="197" spans="16:16" x14ac:dyDescent="0.2">
      <c r="P197" s="56"/>
    </row>
    <row r="198" spans="16:16" x14ac:dyDescent="0.2">
      <c r="P198" s="56"/>
    </row>
    <row r="199" spans="16:16" x14ac:dyDescent="0.2">
      <c r="P199" s="56"/>
    </row>
    <row r="200" spans="16:16" x14ac:dyDescent="0.2">
      <c r="P200" s="56"/>
    </row>
    <row r="201" spans="16:16" x14ac:dyDescent="0.2">
      <c r="P201" s="56"/>
    </row>
    <row r="202" spans="16:16" x14ac:dyDescent="0.2">
      <c r="P202" s="56"/>
    </row>
    <row r="203" spans="16:16" x14ac:dyDescent="0.2">
      <c r="P203" s="56"/>
    </row>
    <row r="204" spans="16:16" x14ac:dyDescent="0.2">
      <c r="P204" s="56"/>
    </row>
    <row r="205" spans="16:16" x14ac:dyDescent="0.2">
      <c r="P205" s="56"/>
    </row>
    <row r="206" spans="16:16" x14ac:dyDescent="0.2">
      <c r="P206" s="56"/>
    </row>
    <row r="207" spans="16:16" x14ac:dyDescent="0.2">
      <c r="P207" s="56"/>
    </row>
    <row r="208" spans="16:16" x14ac:dyDescent="0.2">
      <c r="P208" s="56"/>
    </row>
    <row r="209" spans="16:16" x14ac:dyDescent="0.2">
      <c r="P209" s="56"/>
    </row>
    <row r="210" spans="16:16" x14ac:dyDescent="0.2">
      <c r="P210" s="56"/>
    </row>
    <row r="211" spans="16:16" x14ac:dyDescent="0.2">
      <c r="P211" s="56"/>
    </row>
    <row r="212" spans="16:16" x14ac:dyDescent="0.2">
      <c r="P212" s="56"/>
    </row>
    <row r="213" spans="16:16" x14ac:dyDescent="0.2">
      <c r="P213" s="56"/>
    </row>
    <row r="214" spans="16:16" x14ac:dyDescent="0.2">
      <c r="P214" s="56"/>
    </row>
    <row r="215" spans="16:16" x14ac:dyDescent="0.2">
      <c r="P215" s="56"/>
    </row>
    <row r="216" spans="16:16" x14ac:dyDescent="0.2">
      <c r="P216" s="56"/>
    </row>
    <row r="217" spans="16:16" x14ac:dyDescent="0.2">
      <c r="P217" s="56"/>
    </row>
    <row r="218" spans="16:16" x14ac:dyDescent="0.2">
      <c r="P218" s="56"/>
    </row>
    <row r="219" spans="16:16" x14ac:dyDescent="0.2">
      <c r="P219" s="56"/>
    </row>
    <row r="220" spans="16:16" x14ac:dyDescent="0.2">
      <c r="P220" s="56"/>
    </row>
    <row r="221" spans="16:16" x14ac:dyDescent="0.2">
      <c r="P221" s="56"/>
    </row>
    <row r="222" spans="16:16" x14ac:dyDescent="0.2">
      <c r="P222" s="56"/>
    </row>
    <row r="223" spans="16:16" x14ac:dyDescent="0.2">
      <c r="P223" s="56"/>
    </row>
    <row r="224" spans="16:16" x14ac:dyDescent="0.2">
      <c r="P224" s="56"/>
    </row>
    <row r="225" spans="16:16" x14ac:dyDescent="0.2">
      <c r="P225" s="56"/>
    </row>
    <row r="226" spans="16:16" x14ac:dyDescent="0.2">
      <c r="P226" s="56"/>
    </row>
    <row r="227" spans="16:16" x14ac:dyDescent="0.2">
      <c r="P227" s="56"/>
    </row>
    <row r="228" spans="16:16" x14ac:dyDescent="0.2">
      <c r="P228" s="56"/>
    </row>
    <row r="229" spans="16:16" x14ac:dyDescent="0.2">
      <c r="P229" s="56"/>
    </row>
    <row r="230" spans="16:16" x14ac:dyDescent="0.2">
      <c r="P230" s="56"/>
    </row>
    <row r="231" spans="16:16" x14ac:dyDescent="0.2">
      <c r="P231" s="56"/>
    </row>
    <row r="232" spans="16:16" x14ac:dyDescent="0.2">
      <c r="P232" s="56"/>
    </row>
    <row r="233" spans="16:16" x14ac:dyDescent="0.2">
      <c r="P233" s="56"/>
    </row>
    <row r="234" spans="16:16" x14ac:dyDescent="0.2">
      <c r="P234" s="56"/>
    </row>
    <row r="235" spans="16:16" x14ac:dyDescent="0.2">
      <c r="P235" s="56"/>
    </row>
    <row r="236" spans="16:16" x14ac:dyDescent="0.2">
      <c r="P236" s="56"/>
    </row>
    <row r="237" spans="16:16" x14ac:dyDescent="0.2">
      <c r="P237" s="56"/>
    </row>
    <row r="238" spans="16:16" x14ac:dyDescent="0.2">
      <c r="P238" s="56"/>
    </row>
    <row r="239" spans="16:16" x14ac:dyDescent="0.2">
      <c r="P239" s="56"/>
    </row>
    <row r="240" spans="16:16" x14ac:dyDescent="0.2">
      <c r="P240" s="56"/>
    </row>
    <row r="241" spans="16:16" x14ac:dyDescent="0.2">
      <c r="P241" s="56"/>
    </row>
    <row r="242" spans="16:16" x14ac:dyDescent="0.2">
      <c r="P242" s="56"/>
    </row>
    <row r="243" spans="16:16" x14ac:dyDescent="0.2">
      <c r="P243" s="56"/>
    </row>
    <row r="244" spans="16:16" x14ac:dyDescent="0.2">
      <c r="P244" s="56"/>
    </row>
    <row r="245" spans="16:16" x14ac:dyDescent="0.2">
      <c r="P245" s="56"/>
    </row>
    <row r="246" spans="16:16" x14ac:dyDescent="0.2">
      <c r="P246" s="56"/>
    </row>
    <row r="247" spans="16:16" x14ac:dyDescent="0.2">
      <c r="P247" s="56"/>
    </row>
    <row r="248" spans="16:16" x14ac:dyDescent="0.2">
      <c r="P248" s="56"/>
    </row>
    <row r="249" spans="16:16" x14ac:dyDescent="0.2">
      <c r="P249" s="56"/>
    </row>
    <row r="250" spans="16:16" x14ac:dyDescent="0.2">
      <c r="P250" s="56"/>
    </row>
    <row r="251" spans="16:16" x14ac:dyDescent="0.2">
      <c r="P251" s="56"/>
    </row>
    <row r="252" spans="16:16" x14ac:dyDescent="0.2">
      <c r="P252" s="56"/>
    </row>
    <row r="253" spans="16:16" x14ac:dyDescent="0.2">
      <c r="P253" s="56"/>
    </row>
    <row r="254" spans="16:16" x14ac:dyDescent="0.2">
      <c r="P254" s="56"/>
    </row>
    <row r="255" spans="16:16" x14ac:dyDescent="0.2">
      <c r="P255" s="56"/>
    </row>
    <row r="256" spans="16:16" x14ac:dyDescent="0.2">
      <c r="P256" s="56"/>
    </row>
    <row r="257" spans="16:16" x14ac:dyDescent="0.2">
      <c r="P257" s="56"/>
    </row>
    <row r="258" spans="16:16" x14ac:dyDescent="0.2">
      <c r="P258" s="56"/>
    </row>
    <row r="259" spans="16:16" x14ac:dyDescent="0.2">
      <c r="P259" s="56"/>
    </row>
    <row r="260" spans="16:16" x14ac:dyDescent="0.2">
      <c r="P260" s="56"/>
    </row>
    <row r="261" spans="16:16" x14ac:dyDescent="0.2">
      <c r="P261" s="56"/>
    </row>
    <row r="262" spans="16:16" x14ac:dyDescent="0.2">
      <c r="P262" s="56"/>
    </row>
    <row r="263" spans="16:16" x14ac:dyDescent="0.2">
      <c r="P263" s="56"/>
    </row>
    <row r="264" spans="16:16" x14ac:dyDescent="0.2">
      <c r="P264" s="56"/>
    </row>
    <row r="265" spans="16:16" x14ac:dyDescent="0.2">
      <c r="P265" s="56"/>
    </row>
    <row r="266" spans="16:16" x14ac:dyDescent="0.2">
      <c r="P266" s="56"/>
    </row>
    <row r="267" spans="16:16" x14ac:dyDescent="0.2">
      <c r="P267" s="56"/>
    </row>
    <row r="268" spans="16:16" x14ac:dyDescent="0.2">
      <c r="P268" s="56"/>
    </row>
    <row r="269" spans="16:16" x14ac:dyDescent="0.2">
      <c r="P269" s="56"/>
    </row>
    <row r="270" spans="16:16" x14ac:dyDescent="0.2">
      <c r="P270" s="56"/>
    </row>
    <row r="271" spans="16:16" x14ac:dyDescent="0.2">
      <c r="P271" s="56"/>
    </row>
    <row r="272" spans="16:16" x14ac:dyDescent="0.2">
      <c r="P272" s="56"/>
    </row>
    <row r="273" spans="16:16" x14ac:dyDescent="0.2">
      <c r="P273" s="56"/>
    </row>
    <row r="274" spans="16:16" x14ac:dyDescent="0.2">
      <c r="P274" s="56"/>
    </row>
    <row r="275" spans="16:16" x14ac:dyDescent="0.2">
      <c r="P275" s="56"/>
    </row>
    <row r="276" spans="16:16" x14ac:dyDescent="0.2">
      <c r="P276" s="56"/>
    </row>
    <row r="277" spans="16:16" x14ac:dyDescent="0.2">
      <c r="P277" s="56"/>
    </row>
    <row r="278" spans="16:16" x14ac:dyDescent="0.2">
      <c r="P278" s="56"/>
    </row>
    <row r="279" spans="16:16" x14ac:dyDescent="0.2">
      <c r="P279" s="56"/>
    </row>
    <row r="280" spans="16:16" x14ac:dyDescent="0.2">
      <c r="P280" s="56"/>
    </row>
    <row r="281" spans="16:16" x14ac:dyDescent="0.2">
      <c r="P281" s="56"/>
    </row>
    <row r="282" spans="16:16" x14ac:dyDescent="0.2">
      <c r="P282" s="56"/>
    </row>
    <row r="283" spans="16:16" x14ac:dyDescent="0.2">
      <c r="P283" s="56"/>
    </row>
    <row r="284" spans="16:16" x14ac:dyDescent="0.2">
      <c r="P284" s="56"/>
    </row>
    <row r="285" spans="16:16" x14ac:dyDescent="0.2">
      <c r="P285" s="56"/>
    </row>
    <row r="286" spans="16:16" x14ac:dyDescent="0.2">
      <c r="P286" s="56"/>
    </row>
    <row r="287" spans="16:16" x14ac:dyDescent="0.2">
      <c r="P287" s="56"/>
    </row>
    <row r="288" spans="16:16" x14ac:dyDescent="0.2">
      <c r="P288" s="56"/>
    </row>
    <row r="289" spans="16:16" x14ac:dyDescent="0.2">
      <c r="P289" s="56"/>
    </row>
    <row r="290" spans="16:16" x14ac:dyDescent="0.2">
      <c r="P290" s="56"/>
    </row>
    <row r="291" spans="16:16" x14ac:dyDescent="0.2">
      <c r="P291" s="56"/>
    </row>
    <row r="292" spans="16:16" x14ac:dyDescent="0.2">
      <c r="P292" s="56"/>
    </row>
    <row r="293" spans="16:16" x14ac:dyDescent="0.2">
      <c r="P293" s="56"/>
    </row>
    <row r="294" spans="16:16" x14ac:dyDescent="0.2">
      <c r="P294" s="56"/>
    </row>
    <row r="295" spans="16:16" x14ac:dyDescent="0.2">
      <c r="P295" s="56"/>
    </row>
    <row r="296" spans="16:16" x14ac:dyDescent="0.2">
      <c r="P296" s="56"/>
    </row>
    <row r="297" spans="16:16" x14ac:dyDescent="0.2">
      <c r="P297" s="56"/>
    </row>
    <row r="298" spans="16:16" x14ac:dyDescent="0.2">
      <c r="P298" s="56"/>
    </row>
    <row r="299" spans="16:16" x14ac:dyDescent="0.2">
      <c r="P299" s="56"/>
    </row>
    <row r="300" spans="16:16" x14ac:dyDescent="0.2">
      <c r="P300" s="56"/>
    </row>
    <row r="301" spans="16:16" x14ac:dyDescent="0.2">
      <c r="P301" s="56"/>
    </row>
    <row r="302" spans="16:16" x14ac:dyDescent="0.2">
      <c r="P302" s="56"/>
    </row>
    <row r="303" spans="16:16" x14ac:dyDescent="0.2">
      <c r="P303" s="56"/>
    </row>
    <row r="304" spans="16:16" x14ac:dyDescent="0.2">
      <c r="P304" s="56"/>
    </row>
    <row r="305" spans="16:16" x14ac:dyDescent="0.2">
      <c r="P305" s="56"/>
    </row>
    <row r="306" spans="16:16" x14ac:dyDescent="0.2">
      <c r="P306" s="56"/>
    </row>
    <row r="307" spans="16:16" x14ac:dyDescent="0.2">
      <c r="P307" s="56"/>
    </row>
    <row r="308" spans="16:16" x14ac:dyDescent="0.2">
      <c r="P308" s="56"/>
    </row>
    <row r="309" spans="16:16" x14ac:dyDescent="0.2">
      <c r="P309" s="56"/>
    </row>
    <row r="310" spans="16:16" x14ac:dyDescent="0.2">
      <c r="P310" s="56"/>
    </row>
    <row r="311" spans="16:16" x14ac:dyDescent="0.2">
      <c r="P311" s="56"/>
    </row>
    <row r="312" spans="16:16" x14ac:dyDescent="0.2">
      <c r="P312" s="56"/>
    </row>
    <row r="313" spans="16:16" x14ac:dyDescent="0.2">
      <c r="P313" s="56"/>
    </row>
    <row r="314" spans="16:16" x14ac:dyDescent="0.2">
      <c r="P314" s="56"/>
    </row>
    <row r="315" spans="16:16" x14ac:dyDescent="0.2">
      <c r="P315" s="56"/>
    </row>
    <row r="316" spans="16:16" x14ac:dyDescent="0.2">
      <c r="P316" s="56"/>
    </row>
    <row r="317" spans="16:16" x14ac:dyDescent="0.2">
      <c r="P317" s="56"/>
    </row>
    <row r="318" spans="16:16" x14ac:dyDescent="0.2">
      <c r="P318" s="56"/>
    </row>
    <row r="319" spans="16:16" x14ac:dyDescent="0.2">
      <c r="P319" s="56"/>
    </row>
    <row r="320" spans="16:16" x14ac:dyDescent="0.2">
      <c r="P320" s="56"/>
    </row>
    <row r="321" spans="16:16" x14ac:dyDescent="0.2">
      <c r="P321" s="56"/>
    </row>
    <row r="322" spans="16:16" x14ac:dyDescent="0.2">
      <c r="P322" s="56"/>
    </row>
    <row r="323" spans="16:16" x14ac:dyDescent="0.2">
      <c r="P323" s="56"/>
    </row>
    <row r="324" spans="16:16" x14ac:dyDescent="0.2">
      <c r="P324" s="56"/>
    </row>
    <row r="325" spans="16:16" x14ac:dyDescent="0.2">
      <c r="P325" s="56"/>
    </row>
    <row r="326" spans="16:16" x14ac:dyDescent="0.2">
      <c r="P326" s="56"/>
    </row>
    <row r="327" spans="16:16" x14ac:dyDescent="0.2">
      <c r="P327" s="56"/>
    </row>
    <row r="328" spans="16:16" x14ac:dyDescent="0.2">
      <c r="P328" s="56"/>
    </row>
    <row r="329" spans="16:16" x14ac:dyDescent="0.2">
      <c r="P329" s="56"/>
    </row>
    <row r="330" spans="16:16" x14ac:dyDescent="0.2">
      <c r="P330" s="56"/>
    </row>
    <row r="331" spans="16:16" x14ac:dyDescent="0.2">
      <c r="P331" s="56"/>
    </row>
    <row r="332" spans="16:16" x14ac:dyDescent="0.2">
      <c r="P332" s="56"/>
    </row>
    <row r="333" spans="16:16" x14ac:dyDescent="0.2">
      <c r="P333" s="56"/>
    </row>
    <row r="334" spans="16:16" x14ac:dyDescent="0.2">
      <c r="P334" s="56"/>
    </row>
    <row r="335" spans="16:16" x14ac:dyDescent="0.2">
      <c r="P335" s="56"/>
    </row>
    <row r="336" spans="16:16" x14ac:dyDescent="0.2">
      <c r="P336" s="56"/>
    </row>
    <row r="337" spans="16:16" x14ac:dyDescent="0.2">
      <c r="P337" s="56"/>
    </row>
    <row r="338" spans="16:16" x14ac:dyDescent="0.2">
      <c r="P338" s="56"/>
    </row>
    <row r="339" spans="16:16" x14ac:dyDescent="0.2">
      <c r="P339" s="56"/>
    </row>
    <row r="340" spans="16:16" x14ac:dyDescent="0.2">
      <c r="P340" s="56"/>
    </row>
    <row r="341" spans="16:16" x14ac:dyDescent="0.2">
      <c r="P341" s="56"/>
    </row>
    <row r="342" spans="16:16" x14ac:dyDescent="0.2">
      <c r="P342" s="56"/>
    </row>
    <row r="343" spans="16:16" x14ac:dyDescent="0.2">
      <c r="P343" s="56"/>
    </row>
    <row r="344" spans="16:16" x14ac:dyDescent="0.2">
      <c r="P344" s="56"/>
    </row>
    <row r="345" spans="16:16" x14ac:dyDescent="0.2">
      <c r="P345" s="56"/>
    </row>
    <row r="346" spans="16:16" x14ac:dyDescent="0.2">
      <c r="P346" s="56"/>
    </row>
    <row r="347" spans="16:16" x14ac:dyDescent="0.2">
      <c r="P347" s="56"/>
    </row>
    <row r="348" spans="16:16" x14ac:dyDescent="0.2">
      <c r="P348" s="56"/>
    </row>
    <row r="349" spans="16:16" x14ac:dyDescent="0.2">
      <c r="P349" s="56"/>
    </row>
    <row r="350" spans="16:16" x14ac:dyDescent="0.2">
      <c r="P350" s="56"/>
    </row>
    <row r="351" spans="16:16" x14ac:dyDescent="0.2">
      <c r="P351" s="56"/>
    </row>
    <row r="352" spans="16:16" x14ac:dyDescent="0.2">
      <c r="P352" s="56"/>
    </row>
    <row r="353" spans="16:16" x14ac:dyDescent="0.2">
      <c r="P353" s="56"/>
    </row>
    <row r="354" spans="16:16" x14ac:dyDescent="0.2">
      <c r="P354" s="56"/>
    </row>
    <row r="355" spans="16:16" x14ac:dyDescent="0.2">
      <c r="P355" s="56"/>
    </row>
    <row r="356" spans="16:16" x14ac:dyDescent="0.2">
      <c r="P356" s="56"/>
    </row>
    <row r="357" spans="16:16" x14ac:dyDescent="0.2">
      <c r="P357" s="56"/>
    </row>
    <row r="358" spans="16:16" x14ac:dyDescent="0.2">
      <c r="P358" s="56"/>
    </row>
    <row r="359" spans="16:16" x14ac:dyDescent="0.2">
      <c r="P359" s="56"/>
    </row>
    <row r="360" spans="16:16" x14ac:dyDescent="0.2">
      <c r="P360" s="56"/>
    </row>
    <row r="361" spans="16:16" x14ac:dyDescent="0.2">
      <c r="P361" s="56"/>
    </row>
    <row r="362" spans="16:16" x14ac:dyDescent="0.2">
      <c r="P362" s="56"/>
    </row>
    <row r="363" spans="16:16" x14ac:dyDescent="0.2">
      <c r="P363" s="56"/>
    </row>
    <row r="364" spans="16:16" x14ac:dyDescent="0.2">
      <c r="P364" s="56"/>
    </row>
    <row r="365" spans="16:16" x14ac:dyDescent="0.2">
      <c r="P365" s="56"/>
    </row>
    <row r="366" spans="16:16" x14ac:dyDescent="0.2">
      <c r="P366" s="56"/>
    </row>
    <row r="367" spans="16:16" x14ac:dyDescent="0.2">
      <c r="P367" s="56"/>
    </row>
    <row r="368" spans="16:16" x14ac:dyDescent="0.2">
      <c r="P368" s="56"/>
    </row>
    <row r="369" spans="16:16" x14ac:dyDescent="0.2">
      <c r="P369" s="56"/>
    </row>
    <row r="370" spans="16:16" x14ac:dyDescent="0.2">
      <c r="P370" s="56"/>
    </row>
    <row r="371" spans="16:16" x14ac:dyDescent="0.2">
      <c r="P371" s="56"/>
    </row>
    <row r="372" spans="16:16" x14ac:dyDescent="0.2">
      <c r="P372" s="56"/>
    </row>
    <row r="373" spans="16:16" x14ac:dyDescent="0.2">
      <c r="P373" s="56"/>
    </row>
    <row r="374" spans="16:16" x14ac:dyDescent="0.2">
      <c r="P374" s="56"/>
    </row>
    <row r="375" spans="16:16" x14ac:dyDescent="0.2">
      <c r="P375" s="56"/>
    </row>
    <row r="376" spans="16:16" x14ac:dyDescent="0.2">
      <c r="P376" s="56"/>
    </row>
    <row r="377" spans="16:16" x14ac:dyDescent="0.2">
      <c r="P377" s="56"/>
    </row>
    <row r="378" spans="16:16" x14ac:dyDescent="0.2">
      <c r="P378" s="56"/>
    </row>
    <row r="379" spans="16:16" x14ac:dyDescent="0.2">
      <c r="P379" s="56"/>
    </row>
    <row r="380" spans="16:16" x14ac:dyDescent="0.2">
      <c r="P380" s="56"/>
    </row>
    <row r="381" spans="16:16" x14ac:dyDescent="0.2">
      <c r="P381" s="56"/>
    </row>
    <row r="382" spans="16:16" x14ac:dyDescent="0.2">
      <c r="P382" s="56"/>
    </row>
    <row r="383" spans="16:16" x14ac:dyDescent="0.2">
      <c r="P383" s="56"/>
    </row>
    <row r="384" spans="16:16" x14ac:dyDescent="0.2">
      <c r="P384" s="56"/>
    </row>
    <row r="385" spans="16:16" x14ac:dyDescent="0.2">
      <c r="P385" s="56"/>
    </row>
    <row r="386" spans="16:16" x14ac:dyDescent="0.2">
      <c r="P386" s="56"/>
    </row>
    <row r="387" spans="16:16" x14ac:dyDescent="0.2">
      <c r="P387" s="56"/>
    </row>
    <row r="388" spans="16:16" x14ac:dyDescent="0.2">
      <c r="P388" s="56"/>
    </row>
    <row r="389" spans="16:16" x14ac:dyDescent="0.2">
      <c r="P389" s="56"/>
    </row>
    <row r="390" spans="16:16" x14ac:dyDescent="0.2">
      <c r="P390" s="56"/>
    </row>
    <row r="391" spans="16:16" x14ac:dyDescent="0.2">
      <c r="P391" s="56"/>
    </row>
    <row r="392" spans="16:16" x14ac:dyDescent="0.2">
      <c r="P392" s="56"/>
    </row>
    <row r="393" spans="16:16" x14ac:dyDescent="0.2">
      <c r="P393" s="56"/>
    </row>
    <row r="394" spans="16:16" x14ac:dyDescent="0.2">
      <c r="P394" s="56"/>
    </row>
    <row r="395" spans="16:16" x14ac:dyDescent="0.2">
      <c r="P395" s="56"/>
    </row>
    <row r="396" spans="16:16" x14ac:dyDescent="0.2">
      <c r="P396" s="56"/>
    </row>
    <row r="397" spans="16:16" x14ac:dyDescent="0.2">
      <c r="P397" s="56"/>
    </row>
    <row r="398" spans="16:16" x14ac:dyDescent="0.2">
      <c r="P398" s="56"/>
    </row>
    <row r="399" spans="16:16" x14ac:dyDescent="0.2">
      <c r="P399" s="56"/>
    </row>
    <row r="400" spans="16:16" x14ac:dyDescent="0.2">
      <c r="P400" s="56"/>
    </row>
    <row r="401" spans="16:16" x14ac:dyDescent="0.2">
      <c r="P401" s="56"/>
    </row>
    <row r="402" spans="16:16" x14ac:dyDescent="0.2">
      <c r="P402" s="56"/>
    </row>
    <row r="403" spans="16:16" x14ac:dyDescent="0.2">
      <c r="P403" s="56"/>
    </row>
    <row r="404" spans="16:16" x14ac:dyDescent="0.2">
      <c r="P404" s="56"/>
    </row>
    <row r="405" spans="16:16" x14ac:dyDescent="0.2">
      <c r="P405" s="56"/>
    </row>
    <row r="406" spans="16:16" x14ac:dyDescent="0.2">
      <c r="P406" s="56"/>
    </row>
    <row r="407" spans="16:16" x14ac:dyDescent="0.2">
      <c r="P407" s="56"/>
    </row>
    <row r="408" spans="16:16" x14ac:dyDescent="0.2">
      <c r="P408" s="56"/>
    </row>
    <row r="409" spans="16:16" x14ac:dyDescent="0.2">
      <c r="P409" s="56"/>
    </row>
    <row r="410" spans="16:16" x14ac:dyDescent="0.2">
      <c r="P410" s="56"/>
    </row>
    <row r="411" spans="16:16" x14ac:dyDescent="0.2">
      <c r="P411" s="56"/>
    </row>
    <row r="412" spans="16:16" x14ac:dyDescent="0.2">
      <c r="P412" s="56"/>
    </row>
    <row r="413" spans="16:16" x14ac:dyDescent="0.2">
      <c r="P413" s="56"/>
    </row>
    <row r="414" spans="16:16" x14ac:dyDescent="0.2">
      <c r="P414" s="56"/>
    </row>
    <row r="415" spans="16:16" x14ac:dyDescent="0.2">
      <c r="P415" s="56"/>
    </row>
    <row r="416" spans="16:16" x14ac:dyDescent="0.2">
      <c r="P416" s="56"/>
    </row>
    <row r="417" spans="16:16" x14ac:dyDescent="0.2">
      <c r="P417" s="56"/>
    </row>
    <row r="418" spans="16:16" x14ac:dyDescent="0.2">
      <c r="P418" s="56"/>
    </row>
    <row r="419" spans="16:16" x14ac:dyDescent="0.2">
      <c r="P419" s="56"/>
    </row>
    <row r="420" spans="16:16" x14ac:dyDescent="0.2">
      <c r="P420" s="56"/>
    </row>
    <row r="421" spans="16:16" x14ac:dyDescent="0.2">
      <c r="P421" s="56"/>
    </row>
    <row r="422" spans="16:16" x14ac:dyDescent="0.2">
      <c r="P422" s="56"/>
    </row>
    <row r="423" spans="16:16" x14ac:dyDescent="0.2">
      <c r="P423" s="56"/>
    </row>
    <row r="424" spans="16:16" x14ac:dyDescent="0.2">
      <c r="P424" s="56"/>
    </row>
    <row r="425" spans="16:16" x14ac:dyDescent="0.2">
      <c r="P425" s="56"/>
    </row>
    <row r="426" spans="16:16" x14ac:dyDescent="0.2">
      <c r="P426" s="56"/>
    </row>
    <row r="427" spans="16:16" x14ac:dyDescent="0.2">
      <c r="P427" s="56"/>
    </row>
    <row r="428" spans="16:16" x14ac:dyDescent="0.2">
      <c r="P428" s="56"/>
    </row>
    <row r="429" spans="16:16" x14ac:dyDescent="0.2">
      <c r="P429" s="56"/>
    </row>
    <row r="430" spans="16:16" x14ac:dyDescent="0.2">
      <c r="P430" s="56"/>
    </row>
    <row r="431" spans="16:16" x14ac:dyDescent="0.2">
      <c r="P431" s="56"/>
    </row>
    <row r="432" spans="16:16" x14ac:dyDescent="0.2">
      <c r="P432" s="56"/>
    </row>
    <row r="433" spans="16:16" x14ac:dyDescent="0.2">
      <c r="P433" s="56"/>
    </row>
    <row r="434" spans="16:16" x14ac:dyDescent="0.2">
      <c r="P434" s="56"/>
    </row>
    <row r="435" spans="16:16" x14ac:dyDescent="0.2">
      <c r="P435" s="56"/>
    </row>
    <row r="436" spans="16:16" x14ac:dyDescent="0.2">
      <c r="P436" s="56"/>
    </row>
    <row r="437" spans="16:16" x14ac:dyDescent="0.2">
      <c r="P437" s="56"/>
    </row>
    <row r="438" spans="16:16" x14ac:dyDescent="0.2">
      <c r="P438" s="56"/>
    </row>
    <row r="439" spans="16:16" x14ac:dyDescent="0.2">
      <c r="P439" s="56"/>
    </row>
    <row r="440" spans="16:16" x14ac:dyDescent="0.2">
      <c r="P440" s="56"/>
    </row>
    <row r="441" spans="16:16" x14ac:dyDescent="0.2">
      <c r="P441" s="56"/>
    </row>
    <row r="442" spans="16:16" x14ac:dyDescent="0.2">
      <c r="P442" s="56"/>
    </row>
    <row r="443" spans="16:16" x14ac:dyDescent="0.2">
      <c r="P443" s="56"/>
    </row>
    <row r="444" spans="16:16" x14ac:dyDescent="0.2">
      <c r="P444" s="56"/>
    </row>
    <row r="445" spans="16:16" x14ac:dyDescent="0.2">
      <c r="P445" s="56"/>
    </row>
    <row r="446" spans="16:16" x14ac:dyDescent="0.2">
      <c r="P446" s="56"/>
    </row>
    <row r="447" spans="16:16" x14ac:dyDescent="0.2">
      <c r="P447" s="56"/>
    </row>
    <row r="448" spans="16:16" x14ac:dyDescent="0.2">
      <c r="P448" s="56"/>
    </row>
    <row r="449" spans="16:16" x14ac:dyDescent="0.2">
      <c r="P449" s="56"/>
    </row>
    <row r="450" spans="16:16" x14ac:dyDescent="0.2">
      <c r="P450" s="56"/>
    </row>
    <row r="451" spans="16:16" x14ac:dyDescent="0.2">
      <c r="P451" s="56"/>
    </row>
    <row r="452" spans="16:16" x14ac:dyDescent="0.2">
      <c r="P452" s="56"/>
    </row>
    <row r="453" spans="16:16" x14ac:dyDescent="0.2">
      <c r="P453" s="56"/>
    </row>
    <row r="454" spans="16:16" x14ac:dyDescent="0.2">
      <c r="P454" s="56"/>
    </row>
    <row r="455" spans="16:16" x14ac:dyDescent="0.2">
      <c r="P455" s="56"/>
    </row>
    <row r="456" spans="16:16" x14ac:dyDescent="0.2">
      <c r="P456" s="56"/>
    </row>
    <row r="457" spans="16:16" x14ac:dyDescent="0.2">
      <c r="P457" s="56"/>
    </row>
    <row r="458" spans="16:16" x14ac:dyDescent="0.2">
      <c r="P458" s="56"/>
    </row>
    <row r="459" spans="16:16" x14ac:dyDescent="0.2">
      <c r="P459" s="56"/>
    </row>
    <row r="460" spans="16:16" x14ac:dyDescent="0.2">
      <c r="P460" s="56"/>
    </row>
    <row r="461" spans="16:16" x14ac:dyDescent="0.2">
      <c r="P461" s="56"/>
    </row>
    <row r="462" spans="16:16" x14ac:dyDescent="0.2">
      <c r="P462" s="56"/>
    </row>
    <row r="463" spans="16:16" x14ac:dyDescent="0.2">
      <c r="P463" s="56"/>
    </row>
    <row r="464" spans="16:16" x14ac:dyDescent="0.2">
      <c r="P464" s="56"/>
    </row>
    <row r="465" spans="16:16" x14ac:dyDescent="0.2">
      <c r="P465" s="56"/>
    </row>
    <row r="466" spans="16:16" x14ac:dyDescent="0.2">
      <c r="P466" s="56"/>
    </row>
    <row r="467" spans="16:16" x14ac:dyDescent="0.2">
      <c r="P467" s="56"/>
    </row>
    <row r="468" spans="16:16" x14ac:dyDescent="0.2">
      <c r="P468" s="56"/>
    </row>
    <row r="469" spans="16:16" x14ac:dyDescent="0.2">
      <c r="P469" s="56"/>
    </row>
    <row r="470" spans="16:16" x14ac:dyDescent="0.2">
      <c r="P470" s="56"/>
    </row>
    <row r="471" spans="16:16" x14ac:dyDescent="0.2">
      <c r="P471" s="56"/>
    </row>
    <row r="472" spans="16:16" x14ac:dyDescent="0.2">
      <c r="P472" s="56"/>
    </row>
    <row r="473" spans="16:16" x14ac:dyDescent="0.2">
      <c r="P473" s="56"/>
    </row>
    <row r="474" spans="16:16" x14ac:dyDescent="0.2">
      <c r="P474" s="56"/>
    </row>
    <row r="475" spans="16:16" x14ac:dyDescent="0.2">
      <c r="P475" s="56"/>
    </row>
    <row r="476" spans="16:16" x14ac:dyDescent="0.2">
      <c r="P476" s="56"/>
    </row>
    <row r="477" spans="16:16" x14ac:dyDescent="0.2">
      <c r="P477" s="56"/>
    </row>
    <row r="478" spans="16:16" x14ac:dyDescent="0.2">
      <c r="P478" s="56"/>
    </row>
    <row r="479" spans="16:16" x14ac:dyDescent="0.2">
      <c r="P479" s="56"/>
    </row>
    <row r="480" spans="16:16" x14ac:dyDescent="0.2">
      <c r="P480" s="56"/>
    </row>
    <row r="481" spans="16:16" x14ac:dyDescent="0.2">
      <c r="P481" s="56"/>
    </row>
    <row r="482" spans="16:16" x14ac:dyDescent="0.2">
      <c r="P482" s="56"/>
    </row>
    <row r="483" spans="16:16" x14ac:dyDescent="0.2">
      <c r="P483" s="56"/>
    </row>
    <row r="484" spans="16:16" x14ac:dyDescent="0.2">
      <c r="P484" s="56"/>
    </row>
    <row r="485" spans="16:16" x14ac:dyDescent="0.2">
      <c r="P485" s="56"/>
    </row>
    <row r="486" spans="16:16" x14ac:dyDescent="0.2">
      <c r="P486" s="56"/>
    </row>
    <row r="487" spans="16:16" x14ac:dyDescent="0.2">
      <c r="P487" s="56"/>
    </row>
    <row r="488" spans="16:16" x14ac:dyDescent="0.2">
      <c r="P488" s="56"/>
    </row>
    <row r="489" spans="16:16" x14ac:dyDescent="0.2">
      <c r="P489" s="56"/>
    </row>
    <row r="490" spans="16:16" x14ac:dyDescent="0.2">
      <c r="P490" s="56"/>
    </row>
    <row r="491" spans="16:16" x14ac:dyDescent="0.2">
      <c r="P491" s="56"/>
    </row>
    <row r="492" spans="16:16" x14ac:dyDescent="0.2">
      <c r="P492" s="56"/>
    </row>
    <row r="493" spans="16:16" x14ac:dyDescent="0.2">
      <c r="P493" s="56"/>
    </row>
    <row r="494" spans="16:16" x14ac:dyDescent="0.2">
      <c r="P494" s="56"/>
    </row>
    <row r="495" spans="16:16" x14ac:dyDescent="0.2">
      <c r="P495" s="56"/>
    </row>
    <row r="496" spans="16:16" x14ac:dyDescent="0.2">
      <c r="P496" s="56"/>
    </row>
    <row r="497" spans="16:16" x14ac:dyDescent="0.2">
      <c r="P497" s="56"/>
    </row>
    <row r="498" spans="16:16" x14ac:dyDescent="0.2">
      <c r="P498" s="56"/>
    </row>
    <row r="499" spans="16:16" x14ac:dyDescent="0.2">
      <c r="P499" s="56"/>
    </row>
    <row r="500" spans="16:16" x14ac:dyDescent="0.2">
      <c r="P500" s="56"/>
    </row>
    <row r="501" spans="16:16" x14ac:dyDescent="0.2">
      <c r="P501" s="56"/>
    </row>
    <row r="502" spans="16:16" x14ac:dyDescent="0.2">
      <c r="P502" s="56"/>
    </row>
    <row r="503" spans="16:16" x14ac:dyDescent="0.2">
      <c r="P503" s="56"/>
    </row>
    <row r="504" spans="16:16" x14ac:dyDescent="0.2">
      <c r="P504" s="56"/>
    </row>
    <row r="505" spans="16:16" x14ac:dyDescent="0.2">
      <c r="P505" s="56"/>
    </row>
    <row r="506" spans="16:16" x14ac:dyDescent="0.2">
      <c r="P506" s="56"/>
    </row>
    <row r="507" spans="16:16" x14ac:dyDescent="0.2">
      <c r="P507" s="56"/>
    </row>
    <row r="508" spans="16:16" x14ac:dyDescent="0.2">
      <c r="P508" s="56"/>
    </row>
    <row r="509" spans="16:16" x14ac:dyDescent="0.2">
      <c r="P509" s="56"/>
    </row>
    <row r="510" spans="16:16" x14ac:dyDescent="0.2">
      <c r="P510" s="56"/>
    </row>
    <row r="511" spans="16:16" x14ac:dyDescent="0.2">
      <c r="P511" s="56"/>
    </row>
    <row r="512" spans="16:16" x14ac:dyDescent="0.2">
      <c r="P512" s="56"/>
    </row>
    <row r="513" spans="16:16" x14ac:dyDescent="0.2">
      <c r="P513" s="56"/>
    </row>
    <row r="514" spans="16:16" x14ac:dyDescent="0.2">
      <c r="P514" s="56"/>
    </row>
    <row r="515" spans="16:16" x14ac:dyDescent="0.2">
      <c r="P515" s="56"/>
    </row>
    <row r="516" spans="16:16" x14ac:dyDescent="0.2">
      <c r="P516" s="56"/>
    </row>
    <row r="517" spans="16:16" x14ac:dyDescent="0.2">
      <c r="P517" s="56"/>
    </row>
    <row r="518" spans="16:16" x14ac:dyDescent="0.2">
      <c r="P518" s="56"/>
    </row>
    <row r="519" spans="16:16" x14ac:dyDescent="0.2">
      <c r="P519" s="56"/>
    </row>
    <row r="520" spans="16:16" x14ac:dyDescent="0.2">
      <c r="P520" s="56"/>
    </row>
    <row r="521" spans="16:16" x14ac:dyDescent="0.2">
      <c r="P521" s="56"/>
    </row>
    <row r="522" spans="16:16" x14ac:dyDescent="0.2">
      <c r="P522" s="56"/>
    </row>
    <row r="523" spans="16:16" x14ac:dyDescent="0.2">
      <c r="P523" s="56"/>
    </row>
    <row r="524" spans="16:16" x14ac:dyDescent="0.2">
      <c r="P524" s="56"/>
    </row>
    <row r="525" spans="16:16" x14ac:dyDescent="0.2">
      <c r="P525" s="56"/>
    </row>
    <row r="526" spans="16:16" x14ac:dyDescent="0.2">
      <c r="P526" s="56"/>
    </row>
    <row r="527" spans="16:16" x14ac:dyDescent="0.2">
      <c r="P527" s="56"/>
    </row>
    <row r="528" spans="16:16" x14ac:dyDescent="0.2">
      <c r="P528" s="56"/>
    </row>
    <row r="529" spans="16:16" x14ac:dyDescent="0.2">
      <c r="P529" s="56"/>
    </row>
    <row r="530" spans="16:16" x14ac:dyDescent="0.2">
      <c r="P530" s="56"/>
    </row>
    <row r="531" spans="16:16" x14ac:dyDescent="0.2">
      <c r="P531" s="56"/>
    </row>
    <row r="532" spans="16:16" x14ac:dyDescent="0.2">
      <c r="P532" s="56"/>
    </row>
    <row r="533" spans="16:16" x14ac:dyDescent="0.2">
      <c r="P533" s="56"/>
    </row>
    <row r="534" spans="16:16" x14ac:dyDescent="0.2">
      <c r="P534" s="56"/>
    </row>
    <row r="535" spans="16:16" x14ac:dyDescent="0.2">
      <c r="P535" s="56"/>
    </row>
    <row r="536" spans="16:16" x14ac:dyDescent="0.2">
      <c r="P536" s="56"/>
    </row>
    <row r="537" spans="16:16" x14ac:dyDescent="0.2">
      <c r="P537" s="56"/>
    </row>
    <row r="538" spans="16:16" x14ac:dyDescent="0.2">
      <c r="P538" s="56"/>
    </row>
    <row r="539" spans="16:16" x14ac:dyDescent="0.2">
      <c r="P539" s="56"/>
    </row>
    <row r="540" spans="16:16" x14ac:dyDescent="0.2">
      <c r="P540" s="56"/>
    </row>
    <row r="541" spans="16:16" x14ac:dyDescent="0.2">
      <c r="P541" s="56"/>
    </row>
    <row r="542" spans="16:16" x14ac:dyDescent="0.2">
      <c r="P542" s="56"/>
    </row>
    <row r="543" spans="16:16" x14ac:dyDescent="0.2">
      <c r="P543" s="56"/>
    </row>
    <row r="544" spans="16:16" x14ac:dyDescent="0.2">
      <c r="P544" s="56"/>
    </row>
    <row r="545" spans="16:16" x14ac:dyDescent="0.2">
      <c r="P545" s="56"/>
    </row>
    <row r="546" spans="16:16" x14ac:dyDescent="0.2">
      <c r="P546" s="56"/>
    </row>
    <row r="547" spans="16:16" x14ac:dyDescent="0.2">
      <c r="P547" s="56"/>
    </row>
    <row r="548" spans="16:16" x14ac:dyDescent="0.2">
      <c r="P548" s="56"/>
    </row>
    <row r="549" spans="16:16" x14ac:dyDescent="0.2">
      <c r="P549" s="56"/>
    </row>
    <row r="550" spans="16:16" x14ac:dyDescent="0.2">
      <c r="P550" s="56"/>
    </row>
    <row r="551" spans="16:16" x14ac:dyDescent="0.2">
      <c r="P551" s="56"/>
    </row>
    <row r="552" spans="16:16" x14ac:dyDescent="0.2">
      <c r="P552" s="56"/>
    </row>
    <row r="553" spans="16:16" x14ac:dyDescent="0.2">
      <c r="P553" s="56"/>
    </row>
    <row r="554" spans="16:16" x14ac:dyDescent="0.2">
      <c r="P554" s="56"/>
    </row>
    <row r="555" spans="16:16" x14ac:dyDescent="0.2">
      <c r="P555" s="56"/>
    </row>
    <row r="556" spans="16:16" x14ac:dyDescent="0.2">
      <c r="P556" s="56"/>
    </row>
    <row r="557" spans="16:16" x14ac:dyDescent="0.2">
      <c r="P557" s="56"/>
    </row>
    <row r="558" spans="16:16" x14ac:dyDescent="0.2">
      <c r="P558" s="56"/>
    </row>
    <row r="559" spans="16:16" x14ac:dyDescent="0.2">
      <c r="P559" s="56"/>
    </row>
    <row r="560" spans="16:16" x14ac:dyDescent="0.2">
      <c r="P560" s="56"/>
    </row>
    <row r="561" spans="16:16" x14ac:dyDescent="0.2">
      <c r="P561" s="56"/>
    </row>
    <row r="562" spans="16:16" x14ac:dyDescent="0.2">
      <c r="P562" s="56"/>
    </row>
    <row r="563" spans="16:16" x14ac:dyDescent="0.2">
      <c r="P563" s="56"/>
    </row>
    <row r="564" spans="16:16" x14ac:dyDescent="0.2">
      <c r="P564" s="56"/>
    </row>
    <row r="565" spans="16:16" x14ac:dyDescent="0.2">
      <c r="P565" s="56"/>
    </row>
    <row r="566" spans="16:16" x14ac:dyDescent="0.2">
      <c r="P566" s="56"/>
    </row>
    <row r="567" spans="16:16" x14ac:dyDescent="0.2">
      <c r="P567" s="56"/>
    </row>
    <row r="568" spans="16:16" x14ac:dyDescent="0.2">
      <c r="P568" s="56"/>
    </row>
    <row r="569" spans="16:16" x14ac:dyDescent="0.2">
      <c r="P569" s="56"/>
    </row>
    <row r="570" spans="16:16" x14ac:dyDescent="0.2">
      <c r="P570" s="56"/>
    </row>
    <row r="571" spans="16:16" x14ac:dyDescent="0.2">
      <c r="P571" s="56"/>
    </row>
    <row r="572" spans="16:16" x14ac:dyDescent="0.2">
      <c r="P572" s="56"/>
    </row>
    <row r="573" spans="16:16" x14ac:dyDescent="0.2">
      <c r="P573" s="56"/>
    </row>
    <row r="574" spans="16:16" x14ac:dyDescent="0.2">
      <c r="P574" s="56"/>
    </row>
    <row r="575" spans="16:16" x14ac:dyDescent="0.2">
      <c r="P575" s="56"/>
    </row>
    <row r="576" spans="16:16" x14ac:dyDescent="0.2">
      <c r="P576" s="56"/>
    </row>
    <row r="577" spans="16:16" x14ac:dyDescent="0.2">
      <c r="P577" s="56"/>
    </row>
    <row r="578" spans="16:16" x14ac:dyDescent="0.2">
      <c r="P578" s="56"/>
    </row>
    <row r="579" spans="16:16" x14ac:dyDescent="0.2">
      <c r="P579" s="56"/>
    </row>
    <row r="580" spans="16:16" x14ac:dyDescent="0.2">
      <c r="P580" s="56"/>
    </row>
    <row r="581" spans="16:16" x14ac:dyDescent="0.2">
      <c r="P581" s="56"/>
    </row>
    <row r="582" spans="16:16" x14ac:dyDescent="0.2">
      <c r="P582" s="56"/>
    </row>
    <row r="583" spans="16:16" x14ac:dyDescent="0.2">
      <c r="P583" s="56"/>
    </row>
    <row r="584" spans="16:16" x14ac:dyDescent="0.2">
      <c r="P584" s="56"/>
    </row>
    <row r="585" spans="16:16" x14ac:dyDescent="0.2">
      <c r="P585" s="56"/>
    </row>
    <row r="586" spans="16:16" x14ac:dyDescent="0.2">
      <c r="P586" s="56"/>
    </row>
    <row r="587" spans="16:16" x14ac:dyDescent="0.2">
      <c r="P587" s="56"/>
    </row>
    <row r="588" spans="16:16" x14ac:dyDescent="0.2">
      <c r="P588" s="56"/>
    </row>
    <row r="589" spans="16:16" x14ac:dyDescent="0.2">
      <c r="P589" s="56"/>
    </row>
    <row r="590" spans="16:16" x14ac:dyDescent="0.2">
      <c r="P590" s="56"/>
    </row>
    <row r="591" spans="16:16" x14ac:dyDescent="0.2">
      <c r="P591" s="56"/>
    </row>
    <row r="592" spans="16:16" x14ac:dyDescent="0.2">
      <c r="P592" s="56"/>
    </row>
    <row r="593" spans="16:16" x14ac:dyDescent="0.2">
      <c r="P593" s="56"/>
    </row>
    <row r="594" spans="16:16" x14ac:dyDescent="0.2">
      <c r="P594" s="56"/>
    </row>
    <row r="595" spans="16:16" x14ac:dyDescent="0.2">
      <c r="P595" s="56"/>
    </row>
    <row r="596" spans="16:16" x14ac:dyDescent="0.2">
      <c r="P596" s="56"/>
    </row>
    <row r="597" spans="16:16" x14ac:dyDescent="0.2">
      <c r="P597" s="56"/>
    </row>
    <row r="598" spans="16:16" x14ac:dyDescent="0.2">
      <c r="P598" s="56"/>
    </row>
    <row r="599" spans="16:16" x14ac:dyDescent="0.2">
      <c r="P599" s="56"/>
    </row>
    <row r="600" spans="16:16" x14ac:dyDescent="0.2">
      <c r="P600" s="56"/>
    </row>
    <row r="601" spans="16:16" x14ac:dyDescent="0.2">
      <c r="P601" s="56"/>
    </row>
    <row r="602" spans="16:16" x14ac:dyDescent="0.2">
      <c r="P602" s="56"/>
    </row>
    <row r="603" spans="16:16" x14ac:dyDescent="0.2">
      <c r="P603" s="56"/>
    </row>
    <row r="604" spans="16:16" x14ac:dyDescent="0.2">
      <c r="P604" s="56"/>
    </row>
    <row r="605" spans="16:16" x14ac:dyDescent="0.2">
      <c r="P605" s="56"/>
    </row>
    <row r="606" spans="16:16" x14ac:dyDescent="0.2">
      <c r="P606" s="56"/>
    </row>
    <row r="607" spans="16:16" x14ac:dyDescent="0.2">
      <c r="P607" s="56"/>
    </row>
    <row r="608" spans="16:16" x14ac:dyDescent="0.2">
      <c r="P608" s="56"/>
    </row>
    <row r="609" spans="16:16" x14ac:dyDescent="0.2">
      <c r="P609" s="56"/>
    </row>
    <row r="610" spans="16:16" x14ac:dyDescent="0.2">
      <c r="P610" s="56"/>
    </row>
    <row r="611" spans="16:16" x14ac:dyDescent="0.2">
      <c r="P611" s="56"/>
    </row>
    <row r="612" spans="16:16" x14ac:dyDescent="0.2">
      <c r="P612" s="56"/>
    </row>
    <row r="613" spans="16:16" x14ac:dyDescent="0.2">
      <c r="P613" s="56"/>
    </row>
    <row r="614" spans="16:16" x14ac:dyDescent="0.2">
      <c r="P614" s="56"/>
    </row>
    <row r="615" spans="16:16" x14ac:dyDescent="0.2">
      <c r="P615" s="56"/>
    </row>
    <row r="616" spans="16:16" x14ac:dyDescent="0.2">
      <c r="P616" s="56"/>
    </row>
    <row r="617" spans="16:16" x14ac:dyDescent="0.2">
      <c r="P617" s="56"/>
    </row>
    <row r="618" spans="16:16" x14ac:dyDescent="0.2">
      <c r="P618" s="56"/>
    </row>
    <row r="619" spans="16:16" x14ac:dyDescent="0.2">
      <c r="P619" s="56"/>
    </row>
    <row r="620" spans="16:16" x14ac:dyDescent="0.2">
      <c r="P620" s="56"/>
    </row>
    <row r="621" spans="16:16" x14ac:dyDescent="0.2">
      <c r="P621" s="56"/>
    </row>
    <row r="622" spans="16:16" x14ac:dyDescent="0.2">
      <c r="P622" s="56"/>
    </row>
    <row r="623" spans="16:16" x14ac:dyDescent="0.2">
      <c r="P623" s="56"/>
    </row>
    <row r="624" spans="16:16" x14ac:dyDescent="0.2">
      <c r="P624" s="56"/>
    </row>
    <row r="625" spans="16:16" x14ac:dyDescent="0.2">
      <c r="P625" s="56"/>
    </row>
    <row r="626" spans="16:16" x14ac:dyDescent="0.2">
      <c r="P626" s="56"/>
    </row>
    <row r="627" spans="16:16" x14ac:dyDescent="0.2">
      <c r="P627" s="56"/>
    </row>
    <row r="628" spans="16:16" x14ac:dyDescent="0.2">
      <c r="P628" s="56"/>
    </row>
    <row r="629" spans="16:16" x14ac:dyDescent="0.2">
      <c r="P629" s="56"/>
    </row>
    <row r="630" spans="16:16" x14ac:dyDescent="0.2">
      <c r="P630" s="56"/>
    </row>
    <row r="631" spans="16:16" x14ac:dyDescent="0.2">
      <c r="P631" s="56"/>
    </row>
    <row r="632" spans="16:16" x14ac:dyDescent="0.2">
      <c r="P632" s="56"/>
    </row>
    <row r="633" spans="16:16" x14ac:dyDescent="0.2">
      <c r="P633" s="56"/>
    </row>
    <row r="634" spans="16:16" x14ac:dyDescent="0.2">
      <c r="P634" s="56"/>
    </row>
    <row r="635" spans="16:16" x14ac:dyDescent="0.2">
      <c r="P635" s="56"/>
    </row>
    <row r="636" spans="16:16" x14ac:dyDescent="0.2">
      <c r="P636" s="56"/>
    </row>
    <row r="637" spans="16:16" x14ac:dyDescent="0.2">
      <c r="P637" s="56"/>
    </row>
    <row r="638" spans="16:16" x14ac:dyDescent="0.2">
      <c r="P638" s="56"/>
    </row>
    <row r="639" spans="16:16" x14ac:dyDescent="0.2">
      <c r="P639" s="56"/>
    </row>
    <row r="640" spans="16:16" x14ac:dyDescent="0.2">
      <c r="P640" s="56"/>
    </row>
    <row r="641" spans="16:16" x14ac:dyDescent="0.2">
      <c r="P641" s="56"/>
    </row>
    <row r="642" spans="16:16" x14ac:dyDescent="0.2">
      <c r="P642" s="56"/>
    </row>
    <row r="643" spans="16:16" x14ac:dyDescent="0.2">
      <c r="P643" s="56"/>
    </row>
    <row r="644" spans="16:16" x14ac:dyDescent="0.2">
      <c r="P644" s="56"/>
    </row>
    <row r="645" spans="16:16" x14ac:dyDescent="0.2">
      <c r="P645" s="56"/>
    </row>
    <row r="646" spans="16:16" x14ac:dyDescent="0.2">
      <c r="P646" s="56"/>
    </row>
    <row r="647" spans="16:16" x14ac:dyDescent="0.2">
      <c r="P647" s="56"/>
    </row>
    <row r="648" spans="16:16" x14ac:dyDescent="0.2">
      <c r="P648" s="56"/>
    </row>
    <row r="649" spans="16:16" x14ac:dyDescent="0.2">
      <c r="P649" s="56"/>
    </row>
    <row r="650" spans="16:16" x14ac:dyDescent="0.2">
      <c r="P650" s="56"/>
    </row>
    <row r="651" spans="16:16" x14ac:dyDescent="0.2">
      <c r="P651" s="56"/>
    </row>
    <row r="652" spans="16:16" x14ac:dyDescent="0.2">
      <c r="P652" s="56"/>
    </row>
    <row r="653" spans="16:16" x14ac:dyDescent="0.2">
      <c r="P653" s="56"/>
    </row>
    <row r="654" spans="16:16" x14ac:dyDescent="0.2">
      <c r="P654" s="56"/>
    </row>
    <row r="655" spans="16:16" x14ac:dyDescent="0.2">
      <c r="P655" s="56"/>
    </row>
    <row r="656" spans="16:16" x14ac:dyDescent="0.2">
      <c r="P656" s="56"/>
    </row>
    <row r="657" spans="16:16" x14ac:dyDescent="0.2">
      <c r="P657" s="56"/>
    </row>
    <row r="658" spans="16:16" x14ac:dyDescent="0.2">
      <c r="P658" s="56"/>
    </row>
    <row r="659" spans="16:16" x14ac:dyDescent="0.2">
      <c r="P659" s="56"/>
    </row>
    <row r="660" spans="16:16" x14ac:dyDescent="0.2">
      <c r="P660" s="56"/>
    </row>
    <row r="661" spans="16:16" x14ac:dyDescent="0.2">
      <c r="P661" s="56"/>
    </row>
    <row r="662" spans="16:16" x14ac:dyDescent="0.2">
      <c r="P662" s="56"/>
    </row>
    <row r="663" spans="16:16" x14ac:dyDescent="0.2">
      <c r="P663" s="56"/>
    </row>
    <row r="664" spans="16:16" x14ac:dyDescent="0.2">
      <c r="P664" s="56"/>
    </row>
    <row r="665" spans="16:16" x14ac:dyDescent="0.2">
      <c r="P665" s="56"/>
    </row>
    <row r="666" spans="16:16" x14ac:dyDescent="0.2">
      <c r="P666" s="56"/>
    </row>
    <row r="667" spans="16:16" x14ac:dyDescent="0.2">
      <c r="P667" s="56"/>
    </row>
    <row r="668" spans="16:16" x14ac:dyDescent="0.2">
      <c r="P668" s="56"/>
    </row>
    <row r="669" spans="16:16" x14ac:dyDescent="0.2">
      <c r="P669" s="56"/>
    </row>
    <row r="670" spans="16:16" x14ac:dyDescent="0.2">
      <c r="P670" s="56"/>
    </row>
    <row r="671" spans="16:16" x14ac:dyDescent="0.2">
      <c r="P671" s="56"/>
    </row>
    <row r="672" spans="16:16" x14ac:dyDescent="0.2">
      <c r="P672" s="56"/>
    </row>
    <row r="673" spans="16:16" x14ac:dyDescent="0.2">
      <c r="P673" s="56"/>
    </row>
    <row r="674" spans="16:16" x14ac:dyDescent="0.2">
      <c r="P674" s="56"/>
    </row>
    <row r="675" spans="16:16" x14ac:dyDescent="0.2">
      <c r="P675" s="56"/>
    </row>
    <row r="676" spans="16:16" x14ac:dyDescent="0.2">
      <c r="P676" s="56"/>
    </row>
    <row r="677" spans="16:16" x14ac:dyDescent="0.2">
      <c r="P677" s="56"/>
    </row>
    <row r="678" spans="16:16" x14ac:dyDescent="0.2">
      <c r="P678" s="56"/>
    </row>
    <row r="679" spans="16:16" x14ac:dyDescent="0.2">
      <c r="P679" s="56"/>
    </row>
    <row r="680" spans="16:16" x14ac:dyDescent="0.2">
      <c r="P680" s="56"/>
    </row>
    <row r="681" spans="16:16" x14ac:dyDescent="0.2">
      <c r="P681" s="56"/>
    </row>
    <row r="682" spans="16:16" x14ac:dyDescent="0.2">
      <c r="P682" s="56"/>
    </row>
    <row r="683" spans="16:16" x14ac:dyDescent="0.2">
      <c r="P683" s="56"/>
    </row>
    <row r="684" spans="16:16" x14ac:dyDescent="0.2">
      <c r="P684" s="56"/>
    </row>
    <row r="685" spans="16:16" x14ac:dyDescent="0.2">
      <c r="P685" s="56"/>
    </row>
    <row r="686" spans="16:16" x14ac:dyDescent="0.2">
      <c r="P686" s="56"/>
    </row>
    <row r="687" spans="16:16" x14ac:dyDescent="0.2">
      <c r="P687" s="56"/>
    </row>
    <row r="688" spans="16:16" x14ac:dyDescent="0.2">
      <c r="P688" s="56"/>
    </row>
    <row r="689" spans="16:16" x14ac:dyDescent="0.2">
      <c r="P689" s="56"/>
    </row>
    <row r="690" spans="16:16" x14ac:dyDescent="0.2">
      <c r="P690" s="56"/>
    </row>
    <row r="691" spans="16:16" x14ac:dyDescent="0.2">
      <c r="P691" s="56"/>
    </row>
    <row r="692" spans="16:16" x14ac:dyDescent="0.2">
      <c r="P692" s="56"/>
    </row>
    <row r="693" spans="16:16" x14ac:dyDescent="0.2">
      <c r="P693" s="56"/>
    </row>
    <row r="694" spans="16:16" x14ac:dyDescent="0.2">
      <c r="P694" s="56"/>
    </row>
    <row r="695" spans="16:16" x14ac:dyDescent="0.2">
      <c r="P695" s="56"/>
    </row>
    <row r="696" spans="16:16" x14ac:dyDescent="0.2">
      <c r="P696" s="56"/>
    </row>
    <row r="697" spans="16:16" x14ac:dyDescent="0.2">
      <c r="P697" s="56"/>
    </row>
    <row r="698" spans="16:16" x14ac:dyDescent="0.2">
      <c r="P698" s="56"/>
    </row>
    <row r="699" spans="16:16" x14ac:dyDescent="0.2">
      <c r="P699" s="56"/>
    </row>
    <row r="700" spans="16:16" x14ac:dyDescent="0.2">
      <c r="P700" s="56"/>
    </row>
    <row r="701" spans="16:16" x14ac:dyDescent="0.2">
      <c r="P701" s="56"/>
    </row>
    <row r="702" spans="16:16" x14ac:dyDescent="0.2">
      <c r="P702" s="56"/>
    </row>
  </sheetData>
  <sortState ref="C38:D40">
    <sortCondition descending="1" ref="D38"/>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3"/>
      <c r="C2" s="46"/>
      <c r="D2" s="46"/>
      <c r="E2" s="46"/>
      <c r="F2" s="46"/>
      <c r="G2" s="46"/>
      <c r="H2" s="46"/>
      <c r="I2" s="46"/>
      <c r="J2" s="46"/>
      <c r="K2" s="46"/>
      <c r="L2" s="46"/>
      <c r="M2" s="104"/>
    </row>
    <row r="3" spans="2:19" ht="20.25" customHeight="1" x14ac:dyDescent="0.2">
      <c r="B3" s="105"/>
      <c r="C3" s="239" t="s">
        <v>219</v>
      </c>
      <c r="D3" s="239"/>
      <c r="E3" s="239"/>
      <c r="F3" s="239"/>
      <c r="G3" s="239"/>
      <c r="H3" s="239"/>
      <c r="I3" s="239"/>
      <c r="J3" s="239"/>
      <c r="K3" s="239"/>
      <c r="L3" s="239"/>
      <c r="M3" s="240"/>
    </row>
    <row r="4" spans="2:19" ht="15.75" x14ac:dyDescent="0.25">
      <c r="B4" s="105"/>
      <c r="C4" s="78" t="s">
        <v>303</v>
      </c>
      <c r="D4" s="30"/>
      <c r="E4" s="30"/>
      <c r="F4" s="5"/>
      <c r="G4" s="5"/>
      <c r="H4" s="5"/>
      <c r="I4" s="5"/>
      <c r="J4" s="5"/>
      <c r="K4" s="5"/>
      <c r="L4" s="5"/>
      <c r="M4" s="21"/>
    </row>
    <row r="5" spans="2:19" ht="20.25" customHeight="1" x14ac:dyDescent="0.25">
      <c r="B5" s="105"/>
      <c r="C5" s="79" t="s">
        <v>304</v>
      </c>
      <c r="D5" s="106" t="s">
        <v>295</v>
      </c>
      <c r="E5" s="20"/>
      <c r="F5" s="5"/>
      <c r="G5" s="5"/>
      <c r="H5" s="5"/>
      <c r="I5" s="5"/>
      <c r="J5" s="5"/>
      <c r="K5" s="5"/>
      <c r="L5" s="5"/>
      <c r="M5" s="21"/>
    </row>
    <row r="6" spans="2:19" x14ac:dyDescent="0.2">
      <c r="B6" s="105"/>
      <c r="C6" s="5"/>
      <c r="D6" s="5"/>
      <c r="E6" s="5"/>
      <c r="F6" s="5"/>
      <c r="G6" s="5"/>
      <c r="H6" s="5"/>
      <c r="I6" s="5"/>
      <c r="J6" s="5"/>
      <c r="K6" s="5"/>
      <c r="L6" s="5"/>
      <c r="M6" s="21"/>
    </row>
    <row r="7" spans="2:19" ht="32.25" customHeight="1" x14ac:dyDescent="0.2">
      <c r="B7" s="105"/>
      <c r="C7" s="107" t="s">
        <v>44</v>
      </c>
      <c r="D7" s="107" t="s">
        <v>46</v>
      </c>
      <c r="E7" s="5"/>
      <c r="F7" s="241" t="s">
        <v>51</v>
      </c>
      <c r="G7" s="241"/>
      <c r="H7" s="241"/>
      <c r="I7" s="241"/>
      <c r="J7" s="241"/>
      <c r="K7" s="241"/>
      <c r="L7" s="241"/>
      <c r="M7" s="242"/>
    </row>
    <row r="8" spans="2:19" x14ac:dyDescent="0.2">
      <c r="B8" s="105"/>
      <c r="C8" s="4" t="s">
        <v>249</v>
      </c>
      <c r="D8" s="201">
        <v>0.32540000000000002</v>
      </c>
      <c r="E8" s="5"/>
      <c r="F8" s="5"/>
      <c r="G8" s="32"/>
      <c r="H8" s="5"/>
      <c r="I8" s="109" t="s">
        <v>52</v>
      </c>
      <c r="J8" s="110">
        <f>D11</f>
        <v>0.49419600000000002</v>
      </c>
      <c r="K8" s="5"/>
      <c r="L8" s="5"/>
      <c r="M8" s="21"/>
      <c r="S8" s="56"/>
    </row>
    <row r="9" spans="2:19" ht="15.75" customHeight="1" x14ac:dyDescent="0.2">
      <c r="B9" s="105"/>
      <c r="C9" s="4" t="s">
        <v>248</v>
      </c>
      <c r="D9" s="201">
        <v>0.13880600000000001</v>
      </c>
      <c r="E9" s="5"/>
      <c r="F9" s="5"/>
      <c r="G9" s="5"/>
      <c r="H9" s="5"/>
      <c r="I9" s="109" t="s">
        <v>54</v>
      </c>
      <c r="J9" s="111">
        <f>D17</f>
        <v>0.50214499999999995</v>
      </c>
      <c r="K9" s="5"/>
      <c r="L9" s="5"/>
      <c r="M9" s="21"/>
      <c r="S9" s="56"/>
    </row>
    <row r="10" spans="2:19" x14ac:dyDescent="0.2">
      <c r="B10" s="105"/>
      <c r="C10" s="39" t="s">
        <v>253</v>
      </c>
      <c r="D10" s="229">
        <v>2.9989999999999999E-2</v>
      </c>
      <c r="E10" s="5"/>
      <c r="F10" s="5"/>
      <c r="G10" s="5"/>
      <c r="H10" s="5"/>
      <c r="I10" s="109" t="s">
        <v>20</v>
      </c>
      <c r="J10" s="111">
        <f>D19</f>
        <v>3.6590000000000233E-3</v>
      </c>
      <c r="K10" s="5"/>
      <c r="L10" s="5"/>
      <c r="M10" s="21"/>
      <c r="S10" s="56"/>
    </row>
    <row r="11" spans="2:19" ht="15.75" customHeight="1" x14ac:dyDescent="0.25">
      <c r="B11" s="105"/>
      <c r="C11" s="7" t="s">
        <v>53</v>
      </c>
      <c r="D11" s="8">
        <f>SUM(D8:D10)</f>
        <v>0.49419600000000002</v>
      </c>
      <c r="E11" s="5"/>
      <c r="F11" s="5"/>
      <c r="G11" s="5"/>
      <c r="H11" s="5"/>
      <c r="K11" s="5"/>
      <c r="L11" s="5"/>
      <c r="M11" s="21"/>
      <c r="S11" s="56"/>
    </row>
    <row r="12" spans="2:19" x14ac:dyDescent="0.2">
      <c r="B12" s="105"/>
      <c r="C12" s="39"/>
      <c r="D12" s="39"/>
      <c r="E12" s="5"/>
      <c r="F12" s="5"/>
      <c r="G12" s="5"/>
      <c r="H12" s="5"/>
      <c r="K12" s="5"/>
      <c r="L12" s="5"/>
      <c r="M12" s="21"/>
      <c r="S12" s="56"/>
    </row>
    <row r="13" spans="2:19" ht="15.75" customHeight="1" x14ac:dyDescent="0.2">
      <c r="B13" s="105"/>
      <c r="C13" s="4" t="s">
        <v>251</v>
      </c>
      <c r="D13" s="201">
        <v>0.30875999999999998</v>
      </c>
      <c r="E13" s="5"/>
      <c r="F13" s="5"/>
      <c r="G13" s="5"/>
      <c r="H13" s="5"/>
      <c r="I13" s="109"/>
      <c r="J13" s="109"/>
      <c r="K13" s="5"/>
      <c r="L13" s="5"/>
      <c r="M13" s="21"/>
      <c r="S13" s="56"/>
    </row>
    <row r="14" spans="2:19" x14ac:dyDescent="0.2">
      <c r="B14" s="105"/>
      <c r="C14" s="4" t="s">
        <v>252</v>
      </c>
      <c r="D14" s="201">
        <v>0.105905</v>
      </c>
      <c r="E14" s="5"/>
      <c r="F14" s="5"/>
      <c r="G14" s="5"/>
      <c r="H14" s="5"/>
      <c r="I14" s="5"/>
      <c r="J14" s="5"/>
      <c r="K14" s="5"/>
      <c r="L14" s="5"/>
      <c r="M14" s="21"/>
      <c r="S14" s="56"/>
    </row>
    <row r="15" spans="2:19" x14ac:dyDescent="0.2">
      <c r="B15" s="105"/>
      <c r="C15" s="4" t="s">
        <v>250</v>
      </c>
      <c r="D15" s="201">
        <v>8.7480000000000002E-2</v>
      </c>
      <c r="E15" s="5"/>
      <c r="F15" s="5"/>
      <c r="G15" s="5"/>
      <c r="H15" s="5"/>
      <c r="I15" s="5"/>
      <c r="J15" s="5"/>
      <c r="K15" s="5"/>
      <c r="L15" s="5"/>
      <c r="M15" s="21"/>
      <c r="S15" s="56"/>
    </row>
    <row r="16" spans="2:19" x14ac:dyDescent="0.2">
      <c r="B16" s="105"/>
      <c r="C16" s="4"/>
      <c r="D16" s="6"/>
      <c r="E16" s="5"/>
      <c r="F16" s="5"/>
      <c r="G16" s="5"/>
      <c r="H16" s="5"/>
      <c r="I16" s="5"/>
      <c r="J16" s="5"/>
      <c r="K16" s="5"/>
      <c r="L16" s="5"/>
      <c r="M16" s="21"/>
      <c r="S16" s="56"/>
    </row>
    <row r="17" spans="2:19" ht="15.75" x14ac:dyDescent="0.25">
      <c r="B17" s="105"/>
      <c r="C17" s="7" t="s">
        <v>19</v>
      </c>
      <c r="D17" s="8">
        <f>SUM(D13:D16)</f>
        <v>0.50214499999999995</v>
      </c>
      <c r="E17" s="5"/>
      <c r="F17" s="5"/>
      <c r="G17" s="5"/>
      <c r="H17" s="5"/>
      <c r="I17" s="5"/>
      <c r="J17" s="5"/>
      <c r="K17" s="5"/>
      <c r="L17" s="5"/>
      <c r="M17" s="21"/>
      <c r="S17" s="56"/>
    </row>
    <row r="18" spans="2:19" x14ac:dyDescent="0.2">
      <c r="B18" s="105"/>
      <c r="C18" s="4"/>
      <c r="D18" s="6"/>
      <c r="E18" s="5"/>
      <c r="F18" s="5"/>
      <c r="G18" s="5"/>
      <c r="H18" s="5"/>
      <c r="I18" s="5"/>
      <c r="J18" s="5"/>
      <c r="K18" s="5"/>
      <c r="L18" s="5"/>
      <c r="M18" s="21"/>
      <c r="S18" s="56"/>
    </row>
    <row r="19" spans="2:19" ht="15.75" x14ac:dyDescent="0.25">
      <c r="B19" s="105"/>
      <c r="C19" s="7" t="s">
        <v>20</v>
      </c>
      <c r="D19" s="8">
        <f>100%-D17-D11</f>
        <v>3.6590000000000233E-3</v>
      </c>
      <c r="E19" s="5"/>
      <c r="F19" s="5"/>
      <c r="G19" s="5"/>
      <c r="H19" s="5"/>
      <c r="I19" s="5"/>
      <c r="J19" s="5"/>
      <c r="K19" s="5"/>
      <c r="L19" s="5"/>
      <c r="M19" s="21"/>
      <c r="S19" s="56"/>
    </row>
    <row r="20" spans="2:19" x14ac:dyDescent="0.2">
      <c r="B20" s="105"/>
      <c r="C20" s="4"/>
      <c r="D20" s="6"/>
      <c r="E20" s="5"/>
      <c r="F20" s="5"/>
      <c r="G20" s="5"/>
      <c r="H20" s="5"/>
      <c r="I20" s="5"/>
      <c r="J20" s="5"/>
      <c r="K20" s="5"/>
      <c r="L20" s="5"/>
      <c r="M20" s="21"/>
      <c r="S20" s="56"/>
    </row>
    <row r="21" spans="2:19" ht="15.75" x14ac:dyDescent="0.25">
      <c r="B21" s="105"/>
      <c r="C21" s="9" t="s">
        <v>55</v>
      </c>
      <c r="D21" s="10">
        <f>SUM(D19,D17,D11)</f>
        <v>1</v>
      </c>
      <c r="E21" s="5"/>
      <c r="F21" s="5"/>
      <c r="G21" s="5"/>
      <c r="H21" s="5"/>
      <c r="I21" s="5"/>
      <c r="J21" s="5"/>
      <c r="K21" s="5"/>
      <c r="L21" s="5"/>
      <c r="M21" s="21"/>
      <c r="S21" s="56"/>
    </row>
    <row r="22" spans="2:19" ht="15.75" customHeight="1" x14ac:dyDescent="0.2">
      <c r="B22" s="105"/>
      <c r="E22" s="5"/>
      <c r="F22" s="5"/>
      <c r="G22" s="5"/>
      <c r="H22" s="5"/>
      <c r="I22" s="5"/>
      <c r="J22" s="5"/>
      <c r="K22" s="5"/>
      <c r="L22" s="5"/>
      <c r="M22" s="21"/>
      <c r="S22" s="56"/>
    </row>
    <row r="23" spans="2:19" x14ac:dyDescent="0.2">
      <c r="B23" s="105"/>
      <c r="C23" s="34"/>
      <c r="D23" s="35"/>
      <c r="E23" s="5"/>
      <c r="F23" s="5"/>
      <c r="G23" s="5"/>
      <c r="H23" s="5"/>
      <c r="I23" s="5"/>
      <c r="J23" s="5"/>
      <c r="K23" s="5"/>
      <c r="L23" s="5"/>
      <c r="M23" s="21"/>
      <c r="S23" s="56"/>
    </row>
    <row r="24" spans="2:19" ht="15.75" x14ac:dyDescent="0.2">
      <c r="B24" s="105"/>
      <c r="C24" s="102"/>
      <c r="D24" s="102"/>
      <c r="E24" s="5"/>
      <c r="F24" s="32"/>
      <c r="G24" s="5"/>
      <c r="H24" s="5"/>
      <c r="I24" s="5"/>
      <c r="J24" s="5"/>
      <c r="K24" s="5"/>
      <c r="L24" s="5"/>
      <c r="M24" s="21"/>
      <c r="S24" s="56"/>
    </row>
    <row r="25" spans="2:19" ht="15.75" x14ac:dyDescent="0.2">
      <c r="B25" s="105"/>
      <c r="C25" s="102"/>
      <c r="D25" s="102"/>
      <c r="E25" s="5"/>
      <c r="F25" s="32"/>
      <c r="G25" s="5"/>
      <c r="H25" s="5"/>
      <c r="I25" s="5"/>
      <c r="J25" s="5"/>
      <c r="K25" s="5"/>
      <c r="L25" s="5"/>
      <c r="M25" s="21"/>
      <c r="S25" s="56"/>
    </row>
    <row r="26" spans="2:19" ht="16.5" thickBot="1" x14ac:dyDescent="0.3">
      <c r="B26" s="108"/>
      <c r="C26" s="112"/>
      <c r="D26" s="112"/>
      <c r="E26" s="112"/>
      <c r="F26" s="112"/>
      <c r="G26" s="112"/>
      <c r="H26" s="112"/>
      <c r="I26" s="112"/>
      <c r="J26" s="112"/>
      <c r="K26" s="112"/>
      <c r="L26" s="112"/>
      <c r="M26" s="113"/>
      <c r="S26" s="56"/>
    </row>
    <row r="27" spans="2:19" ht="15.75" thickBot="1" x14ac:dyDescent="0.25">
      <c r="S27" s="56"/>
    </row>
    <row r="28" spans="2:19" ht="15" customHeight="1" x14ac:dyDescent="0.2">
      <c r="B28" s="245" t="s">
        <v>265</v>
      </c>
      <c r="C28" s="246"/>
      <c r="D28" s="246"/>
      <c r="E28" s="246"/>
      <c r="F28" s="246"/>
      <c r="G28" s="246"/>
      <c r="H28" s="246"/>
      <c r="I28" s="246"/>
      <c r="J28" s="246"/>
      <c r="K28" s="246"/>
      <c r="L28" s="246"/>
      <c r="M28" s="246"/>
      <c r="N28" s="246"/>
      <c r="O28" s="246"/>
      <c r="P28" s="246"/>
      <c r="Q28" s="246"/>
      <c r="R28" s="247"/>
      <c r="S28" s="56"/>
    </row>
    <row r="29" spans="2:19" x14ac:dyDescent="0.2">
      <c r="B29" s="248"/>
      <c r="C29" s="249"/>
      <c r="D29" s="249"/>
      <c r="E29" s="249"/>
      <c r="F29" s="249"/>
      <c r="G29" s="249"/>
      <c r="H29" s="249"/>
      <c r="I29" s="249"/>
      <c r="J29" s="249"/>
      <c r="K29" s="249"/>
      <c r="L29" s="249"/>
      <c r="M29" s="249"/>
      <c r="N29" s="249"/>
      <c r="O29" s="249"/>
      <c r="P29" s="249"/>
      <c r="Q29" s="249"/>
      <c r="R29" s="250"/>
      <c r="S29" s="56"/>
    </row>
    <row r="30" spans="2:19" x14ac:dyDescent="0.2">
      <c r="B30" s="248"/>
      <c r="C30" s="249"/>
      <c r="D30" s="249"/>
      <c r="E30" s="249"/>
      <c r="F30" s="249"/>
      <c r="G30" s="249"/>
      <c r="H30" s="249"/>
      <c r="I30" s="249"/>
      <c r="J30" s="249"/>
      <c r="K30" s="249"/>
      <c r="L30" s="249"/>
      <c r="M30" s="249"/>
      <c r="N30" s="249"/>
      <c r="O30" s="249"/>
      <c r="P30" s="249"/>
      <c r="Q30" s="249"/>
      <c r="R30" s="250"/>
      <c r="S30" s="56"/>
    </row>
    <row r="31" spans="2:19" x14ac:dyDescent="0.2">
      <c r="B31" s="248"/>
      <c r="C31" s="249"/>
      <c r="D31" s="249"/>
      <c r="E31" s="249"/>
      <c r="F31" s="249"/>
      <c r="G31" s="249"/>
      <c r="H31" s="249"/>
      <c r="I31" s="249"/>
      <c r="J31" s="249"/>
      <c r="K31" s="249"/>
      <c r="L31" s="249"/>
      <c r="M31" s="249"/>
      <c r="N31" s="249"/>
      <c r="O31" s="249"/>
      <c r="P31" s="249"/>
      <c r="Q31" s="249"/>
      <c r="R31" s="250"/>
      <c r="S31" s="56"/>
    </row>
    <row r="32" spans="2:19" x14ac:dyDescent="0.2">
      <c r="B32" s="248"/>
      <c r="C32" s="249"/>
      <c r="D32" s="249"/>
      <c r="E32" s="249"/>
      <c r="F32" s="249"/>
      <c r="G32" s="249"/>
      <c r="H32" s="249"/>
      <c r="I32" s="249"/>
      <c r="J32" s="249"/>
      <c r="K32" s="249"/>
      <c r="L32" s="249"/>
      <c r="M32" s="249"/>
      <c r="N32" s="249"/>
      <c r="O32" s="249"/>
      <c r="P32" s="249"/>
      <c r="Q32" s="249"/>
      <c r="R32" s="250"/>
      <c r="S32" s="56"/>
    </row>
    <row r="33" spans="2:19" x14ac:dyDescent="0.2">
      <c r="B33" s="248"/>
      <c r="C33" s="249"/>
      <c r="D33" s="249"/>
      <c r="E33" s="249"/>
      <c r="F33" s="249"/>
      <c r="G33" s="249"/>
      <c r="H33" s="249"/>
      <c r="I33" s="249"/>
      <c r="J33" s="249"/>
      <c r="K33" s="249"/>
      <c r="L33" s="249"/>
      <c r="M33" s="249"/>
      <c r="N33" s="249"/>
      <c r="O33" s="249"/>
      <c r="P33" s="249"/>
      <c r="Q33" s="249"/>
      <c r="R33" s="250"/>
      <c r="S33" s="56"/>
    </row>
    <row r="34" spans="2:19" ht="15.75" thickBot="1" x14ac:dyDescent="0.25">
      <c r="B34" s="251"/>
      <c r="C34" s="252"/>
      <c r="D34" s="252"/>
      <c r="E34" s="252"/>
      <c r="F34" s="252"/>
      <c r="G34" s="252"/>
      <c r="H34" s="252"/>
      <c r="I34" s="252"/>
      <c r="J34" s="252"/>
      <c r="K34" s="252"/>
      <c r="L34" s="252"/>
      <c r="M34" s="252"/>
      <c r="N34" s="252"/>
      <c r="O34" s="252"/>
      <c r="P34" s="252"/>
      <c r="Q34" s="252"/>
      <c r="R34" s="253"/>
      <c r="S34" s="56"/>
    </row>
    <row r="35" spans="2:19" x14ac:dyDescent="0.2">
      <c r="S35" s="56"/>
    </row>
    <row r="36" spans="2:19" x14ac:dyDescent="0.2">
      <c r="C36" s="192"/>
      <c r="D36" s="193"/>
      <c r="S36" s="56"/>
    </row>
    <row r="37" spans="2:19" x14ac:dyDescent="0.2">
      <c r="C37" s="192"/>
      <c r="D37" s="193"/>
      <c r="S37" s="56"/>
    </row>
    <row r="38" spans="2:19" x14ac:dyDescent="0.2">
      <c r="C38" s="192"/>
      <c r="D38" s="193"/>
      <c r="S38" s="56"/>
    </row>
    <row r="39" spans="2:19" x14ac:dyDescent="0.2">
      <c r="C39" s="192"/>
      <c r="D39" s="193"/>
      <c r="S39" s="56"/>
    </row>
    <row r="40" spans="2:19" x14ac:dyDescent="0.2">
      <c r="C40" s="192"/>
      <c r="D40" s="193"/>
      <c r="S40" s="56"/>
    </row>
    <row r="41" spans="2:19" x14ac:dyDescent="0.2">
      <c r="C41" s="192"/>
      <c r="D41" s="193"/>
      <c r="S41" s="56"/>
    </row>
    <row r="42" spans="2:19" x14ac:dyDescent="0.2">
      <c r="C42" s="192"/>
      <c r="D42" s="193"/>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row r="692" spans="19:19" x14ac:dyDescent="0.2">
      <c r="S692" s="56"/>
    </row>
    <row r="693" spans="19:19" x14ac:dyDescent="0.2">
      <c r="S693" s="56"/>
    </row>
    <row r="694" spans="19:19" x14ac:dyDescent="0.2">
      <c r="S694" s="56"/>
    </row>
    <row r="695" spans="19:19" x14ac:dyDescent="0.2">
      <c r="S695" s="56"/>
    </row>
    <row r="696" spans="19:19" x14ac:dyDescent="0.2">
      <c r="S696" s="56"/>
    </row>
    <row r="697" spans="19:19" x14ac:dyDescent="0.2">
      <c r="S697" s="56"/>
    </row>
    <row r="698" spans="19:19" x14ac:dyDescent="0.2">
      <c r="S698" s="56"/>
    </row>
    <row r="699" spans="19:19" x14ac:dyDescent="0.2">
      <c r="S699" s="56"/>
    </row>
    <row r="700" spans="19:19" x14ac:dyDescent="0.2">
      <c r="S700" s="56"/>
    </row>
    <row r="701" spans="19:19" x14ac:dyDescent="0.2">
      <c r="S701" s="56"/>
    </row>
    <row r="702" spans="19:19" x14ac:dyDescent="0.2">
      <c r="S702" s="56"/>
    </row>
    <row r="703" spans="19:19" x14ac:dyDescent="0.2">
      <c r="S703" s="56"/>
    </row>
    <row r="704" spans="19:19" x14ac:dyDescent="0.2">
      <c r="S704" s="56"/>
    </row>
  </sheetData>
  <sortState ref="C40:D42">
    <sortCondition descending="1" ref="D40"/>
  </sortState>
  <mergeCells count="3">
    <mergeCell ref="C3:M3"/>
    <mergeCell ref="F7:M7"/>
    <mergeCell ref="B28:R34"/>
  </mergeCells>
  <pageMargins left="0.7" right="0.7" top="0.75" bottom="0.75" header="0.3" footer="0.3"/>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3"/>
      <c r="C2" s="46"/>
      <c r="D2" s="46"/>
      <c r="E2" s="46"/>
      <c r="F2" s="46"/>
      <c r="G2" s="46"/>
      <c r="H2" s="46"/>
      <c r="I2" s="46"/>
      <c r="J2" s="46"/>
      <c r="K2" s="46"/>
      <c r="L2" s="46"/>
      <c r="M2" s="104"/>
    </row>
    <row r="3" spans="2:19" ht="20.25" customHeight="1" x14ac:dyDescent="0.2">
      <c r="B3" s="105"/>
      <c r="C3" s="239" t="s">
        <v>241</v>
      </c>
      <c r="D3" s="239"/>
      <c r="E3" s="239"/>
      <c r="F3" s="239"/>
      <c r="G3" s="239"/>
      <c r="H3" s="239"/>
      <c r="I3" s="239"/>
      <c r="J3" s="239"/>
      <c r="K3" s="239"/>
      <c r="L3" s="239"/>
      <c r="M3" s="240"/>
    </row>
    <row r="4" spans="2:19" ht="15.75" x14ac:dyDescent="0.25">
      <c r="B4" s="105"/>
      <c r="C4" s="78" t="s">
        <v>303</v>
      </c>
      <c r="D4" s="30"/>
      <c r="E4" s="30"/>
      <c r="F4" s="5"/>
      <c r="G4" s="5"/>
      <c r="H4" s="5"/>
      <c r="I4" s="5"/>
      <c r="J4" s="5"/>
      <c r="K4" s="5"/>
      <c r="L4" s="5"/>
      <c r="M4" s="21"/>
    </row>
    <row r="5" spans="2:19" ht="20.25" customHeight="1" x14ac:dyDescent="0.25">
      <c r="B5" s="105"/>
      <c r="C5" s="79" t="s">
        <v>304</v>
      </c>
      <c r="D5" s="106" t="s">
        <v>296</v>
      </c>
      <c r="E5" s="20"/>
      <c r="F5" s="5"/>
      <c r="G5" s="5"/>
      <c r="H5" s="5"/>
      <c r="I5" s="5"/>
      <c r="J5" s="5"/>
      <c r="K5" s="5"/>
      <c r="L5" s="5"/>
      <c r="M5" s="21"/>
    </row>
    <row r="6" spans="2:19" x14ac:dyDescent="0.2">
      <c r="B6" s="105"/>
      <c r="C6" s="5"/>
      <c r="D6" s="5"/>
      <c r="E6" s="5"/>
      <c r="F6" s="5"/>
      <c r="G6" s="5"/>
      <c r="H6" s="5"/>
      <c r="I6" s="5"/>
      <c r="J6" s="5"/>
      <c r="K6" s="5"/>
      <c r="L6" s="5"/>
      <c r="M6" s="21"/>
    </row>
    <row r="7" spans="2:19" ht="15.75" x14ac:dyDescent="0.2">
      <c r="B7" s="105"/>
      <c r="C7" s="107" t="s">
        <v>44</v>
      </c>
      <c r="D7" s="107" t="s">
        <v>46</v>
      </c>
      <c r="E7" s="5"/>
      <c r="F7" s="241" t="s">
        <v>51</v>
      </c>
      <c r="G7" s="241"/>
      <c r="H7" s="241"/>
      <c r="I7" s="241"/>
      <c r="J7" s="241"/>
      <c r="K7" s="241"/>
      <c r="L7" s="241"/>
      <c r="M7" s="242"/>
    </row>
    <row r="8" spans="2:19" x14ac:dyDescent="0.2">
      <c r="B8" s="105"/>
      <c r="C8" s="39" t="s">
        <v>248</v>
      </c>
      <c r="D8" s="228">
        <v>0.38727099999999998</v>
      </c>
      <c r="E8" s="5"/>
      <c r="F8" s="5"/>
      <c r="G8" s="32"/>
      <c r="H8" s="5"/>
      <c r="I8" s="5" t="s">
        <v>52</v>
      </c>
      <c r="J8" s="54">
        <f>D11</f>
        <v>0.71679899999999996</v>
      </c>
      <c r="K8" s="5"/>
      <c r="L8" s="5"/>
      <c r="M8" s="21"/>
      <c r="S8" s="56"/>
    </row>
    <row r="9" spans="2:19" ht="15.75" customHeight="1" x14ac:dyDescent="0.2">
      <c r="B9" s="105"/>
      <c r="C9" s="4" t="s">
        <v>249</v>
      </c>
      <c r="D9" s="201">
        <v>0.282254</v>
      </c>
      <c r="E9" s="5"/>
      <c r="F9" s="5"/>
      <c r="G9" s="5"/>
      <c r="H9" s="5"/>
      <c r="I9" s="5" t="s">
        <v>54</v>
      </c>
      <c r="J9" s="54">
        <f>D14</f>
        <v>0.27424799999999999</v>
      </c>
      <c r="K9" s="5"/>
      <c r="L9" s="5"/>
      <c r="M9" s="21"/>
      <c r="S9" s="56"/>
    </row>
    <row r="10" spans="2:19" x14ac:dyDescent="0.2">
      <c r="B10" s="105"/>
      <c r="C10" s="4" t="s">
        <v>253</v>
      </c>
      <c r="D10" s="201">
        <v>4.7273999999999997E-2</v>
      </c>
      <c r="E10" s="5"/>
      <c r="F10" s="5"/>
      <c r="G10" s="5"/>
      <c r="H10" s="5"/>
      <c r="I10" s="5" t="s">
        <v>20</v>
      </c>
      <c r="J10" s="54">
        <f>D16</f>
        <v>8.9529999999999887E-3</v>
      </c>
      <c r="K10" s="5"/>
      <c r="L10" s="5"/>
      <c r="M10" s="21"/>
      <c r="S10" s="56"/>
    </row>
    <row r="11" spans="2:19" ht="15.75" x14ac:dyDescent="0.25">
      <c r="B11" s="105"/>
      <c r="C11" s="7" t="s">
        <v>53</v>
      </c>
      <c r="D11" s="8">
        <f>SUM(D8:D10)</f>
        <v>0.71679899999999996</v>
      </c>
      <c r="E11" s="5"/>
      <c r="F11" s="5"/>
      <c r="G11" s="5"/>
      <c r="H11" s="5"/>
      <c r="K11" s="5"/>
      <c r="L11" s="5"/>
      <c r="M11" s="21"/>
      <c r="S11" s="56"/>
    </row>
    <row r="12" spans="2:19" x14ac:dyDescent="0.2">
      <c r="B12" s="105"/>
      <c r="C12" s="4"/>
      <c r="D12" s="6"/>
      <c r="E12" s="5"/>
      <c r="F12" s="5"/>
      <c r="G12" s="5"/>
      <c r="H12" s="5"/>
      <c r="I12" s="5"/>
      <c r="J12" s="5"/>
      <c r="K12" s="5"/>
      <c r="L12" s="5"/>
      <c r="M12" s="21"/>
      <c r="S12" s="56"/>
    </row>
    <row r="13" spans="2:19" x14ac:dyDescent="0.2">
      <c r="B13" s="105"/>
      <c r="C13" s="4" t="s">
        <v>251</v>
      </c>
      <c r="D13" s="201">
        <v>0.27424799999999999</v>
      </c>
      <c r="E13" s="5"/>
      <c r="F13" s="5"/>
      <c r="G13" s="5"/>
      <c r="H13" s="5"/>
      <c r="I13" s="5"/>
      <c r="J13" s="5"/>
      <c r="K13" s="5"/>
      <c r="L13" s="5"/>
      <c r="M13" s="21"/>
      <c r="S13" s="56"/>
    </row>
    <row r="14" spans="2:19" ht="15.75" x14ac:dyDescent="0.25">
      <c r="B14" s="105"/>
      <c r="C14" s="7" t="s">
        <v>19</v>
      </c>
      <c r="D14" s="8">
        <f>SUM(D13)</f>
        <v>0.27424799999999999</v>
      </c>
      <c r="E14" s="5"/>
      <c r="F14" s="5"/>
      <c r="G14" s="5"/>
      <c r="H14" s="5"/>
      <c r="I14" s="5"/>
      <c r="J14" s="5"/>
      <c r="K14" s="5"/>
      <c r="L14" s="5"/>
      <c r="M14" s="21"/>
      <c r="S14" s="56"/>
    </row>
    <row r="15" spans="2:19" x14ac:dyDescent="0.2">
      <c r="B15" s="105"/>
      <c r="C15" s="4"/>
      <c r="D15" s="6"/>
      <c r="E15" s="5"/>
      <c r="F15" s="5"/>
      <c r="G15" s="5"/>
      <c r="H15" s="5"/>
      <c r="I15" s="5"/>
      <c r="J15" s="5"/>
      <c r="K15" s="5"/>
      <c r="L15" s="5"/>
      <c r="M15" s="21"/>
      <c r="S15" s="56"/>
    </row>
    <row r="16" spans="2:19" ht="15.75" x14ac:dyDescent="0.25">
      <c r="B16" s="105"/>
      <c r="C16" s="7" t="s">
        <v>20</v>
      </c>
      <c r="D16" s="8">
        <f>100%-D14-D11</f>
        <v>8.9529999999999887E-3</v>
      </c>
      <c r="E16" s="5"/>
      <c r="F16" s="5"/>
      <c r="G16" s="5"/>
      <c r="H16" s="5"/>
      <c r="I16" s="5"/>
      <c r="J16" s="5"/>
      <c r="K16" s="5"/>
      <c r="L16" s="5"/>
      <c r="M16" s="21"/>
      <c r="S16" s="56"/>
    </row>
    <row r="17" spans="2:19" x14ac:dyDescent="0.2">
      <c r="B17" s="105"/>
      <c r="C17" s="4"/>
      <c r="D17" s="6"/>
      <c r="E17" s="5"/>
      <c r="F17" s="5"/>
      <c r="G17" s="5"/>
      <c r="H17" s="5"/>
      <c r="I17" s="5"/>
      <c r="J17" s="5"/>
      <c r="K17" s="5"/>
      <c r="L17" s="5"/>
      <c r="M17" s="21"/>
      <c r="S17" s="56"/>
    </row>
    <row r="18" spans="2:19" ht="15.75" x14ac:dyDescent="0.25">
      <c r="B18" s="105"/>
      <c r="C18" s="9" t="s">
        <v>55</v>
      </c>
      <c r="D18" s="10">
        <f>D16+D14+D11</f>
        <v>1</v>
      </c>
      <c r="E18" s="5"/>
      <c r="F18" s="5"/>
      <c r="G18" s="5"/>
      <c r="H18" s="5"/>
      <c r="I18" s="5"/>
      <c r="J18" s="5"/>
      <c r="K18" s="5"/>
      <c r="L18" s="5"/>
      <c r="M18" s="21"/>
      <c r="S18" s="56"/>
    </row>
    <row r="19" spans="2:19" x14ac:dyDescent="0.2">
      <c r="B19" s="105"/>
      <c r="E19" s="5"/>
      <c r="F19" s="5"/>
      <c r="G19" s="5"/>
      <c r="H19" s="5"/>
      <c r="I19" s="5"/>
      <c r="J19" s="5"/>
      <c r="K19" s="5"/>
      <c r="L19" s="5"/>
      <c r="M19" s="21"/>
      <c r="S19" s="56"/>
    </row>
    <row r="20" spans="2:19" x14ac:dyDescent="0.2">
      <c r="B20" s="105"/>
      <c r="E20" s="5"/>
      <c r="F20" s="5"/>
      <c r="G20" s="5"/>
      <c r="H20" s="5"/>
      <c r="I20" s="5"/>
      <c r="J20" s="5"/>
      <c r="K20" s="5"/>
      <c r="L20" s="5"/>
      <c r="M20" s="21"/>
      <c r="S20" s="56"/>
    </row>
    <row r="21" spans="2:19" x14ac:dyDescent="0.2">
      <c r="B21" s="105"/>
      <c r="E21" s="5"/>
      <c r="F21" s="5"/>
      <c r="G21" s="5"/>
      <c r="H21" s="5"/>
      <c r="I21" s="5"/>
      <c r="J21" s="5"/>
      <c r="K21" s="5"/>
      <c r="L21" s="5"/>
      <c r="M21" s="21"/>
      <c r="S21" s="56"/>
    </row>
    <row r="22" spans="2:19" ht="16.5" thickBot="1" x14ac:dyDescent="0.3">
      <c r="B22" s="108"/>
      <c r="C22" s="243"/>
      <c r="D22" s="243"/>
      <c r="E22" s="243"/>
      <c r="F22" s="243"/>
      <c r="G22" s="243"/>
      <c r="H22" s="243"/>
      <c r="I22" s="243"/>
      <c r="J22" s="243"/>
      <c r="K22" s="243"/>
      <c r="L22" s="243"/>
      <c r="M22" s="244"/>
      <c r="S22" s="56"/>
    </row>
    <row r="23" spans="2:19" ht="15.75" thickBot="1" x14ac:dyDescent="0.25">
      <c r="S23" s="56"/>
    </row>
    <row r="24" spans="2:19" ht="15" customHeight="1" x14ac:dyDescent="0.2">
      <c r="B24" s="245" t="s">
        <v>265</v>
      </c>
      <c r="C24" s="246"/>
      <c r="D24" s="246"/>
      <c r="E24" s="246"/>
      <c r="F24" s="246"/>
      <c r="G24" s="246"/>
      <c r="H24" s="246"/>
      <c r="I24" s="246"/>
      <c r="J24" s="246"/>
      <c r="K24" s="246"/>
      <c r="L24" s="246"/>
      <c r="M24" s="246"/>
      <c r="N24" s="246"/>
      <c r="O24" s="246"/>
      <c r="P24" s="246"/>
      <c r="Q24" s="246"/>
      <c r="R24" s="247"/>
      <c r="S24" s="56"/>
    </row>
    <row r="25" spans="2:19" x14ac:dyDescent="0.2">
      <c r="B25" s="248"/>
      <c r="C25" s="249"/>
      <c r="D25" s="249"/>
      <c r="E25" s="249"/>
      <c r="F25" s="249"/>
      <c r="G25" s="249"/>
      <c r="H25" s="249"/>
      <c r="I25" s="249"/>
      <c r="J25" s="249"/>
      <c r="K25" s="249"/>
      <c r="L25" s="249"/>
      <c r="M25" s="249"/>
      <c r="N25" s="249"/>
      <c r="O25" s="249"/>
      <c r="P25" s="249"/>
      <c r="Q25" s="249"/>
      <c r="R25" s="250"/>
      <c r="S25" s="56"/>
    </row>
    <row r="26" spans="2:19" x14ac:dyDescent="0.2">
      <c r="B26" s="248"/>
      <c r="C26" s="249"/>
      <c r="D26" s="249"/>
      <c r="E26" s="249"/>
      <c r="F26" s="249"/>
      <c r="G26" s="249"/>
      <c r="H26" s="249"/>
      <c r="I26" s="249"/>
      <c r="J26" s="249"/>
      <c r="K26" s="249"/>
      <c r="L26" s="249"/>
      <c r="M26" s="249"/>
      <c r="N26" s="249"/>
      <c r="O26" s="249"/>
      <c r="P26" s="249"/>
      <c r="Q26" s="249"/>
      <c r="R26" s="250"/>
      <c r="S26" s="56"/>
    </row>
    <row r="27" spans="2:19" x14ac:dyDescent="0.2">
      <c r="B27" s="248"/>
      <c r="C27" s="249"/>
      <c r="D27" s="249"/>
      <c r="E27" s="249"/>
      <c r="F27" s="249"/>
      <c r="G27" s="249"/>
      <c r="H27" s="249"/>
      <c r="I27" s="249"/>
      <c r="J27" s="249"/>
      <c r="K27" s="249"/>
      <c r="L27" s="249"/>
      <c r="M27" s="249"/>
      <c r="N27" s="249"/>
      <c r="O27" s="249"/>
      <c r="P27" s="249"/>
      <c r="Q27" s="249"/>
      <c r="R27" s="250"/>
      <c r="S27" s="56"/>
    </row>
    <row r="28" spans="2:19" x14ac:dyDescent="0.2">
      <c r="B28" s="248"/>
      <c r="C28" s="249"/>
      <c r="D28" s="249"/>
      <c r="E28" s="249"/>
      <c r="F28" s="249"/>
      <c r="G28" s="249"/>
      <c r="H28" s="249"/>
      <c r="I28" s="249"/>
      <c r="J28" s="249"/>
      <c r="K28" s="249"/>
      <c r="L28" s="249"/>
      <c r="M28" s="249"/>
      <c r="N28" s="249"/>
      <c r="O28" s="249"/>
      <c r="P28" s="249"/>
      <c r="Q28" s="249"/>
      <c r="R28" s="250"/>
      <c r="S28" s="56"/>
    </row>
    <row r="29" spans="2:19" x14ac:dyDescent="0.2">
      <c r="B29" s="248"/>
      <c r="C29" s="249"/>
      <c r="D29" s="249"/>
      <c r="E29" s="249"/>
      <c r="F29" s="249"/>
      <c r="G29" s="249"/>
      <c r="H29" s="249"/>
      <c r="I29" s="249"/>
      <c r="J29" s="249"/>
      <c r="K29" s="249"/>
      <c r="L29" s="249"/>
      <c r="M29" s="249"/>
      <c r="N29" s="249"/>
      <c r="O29" s="249"/>
      <c r="P29" s="249"/>
      <c r="Q29" s="249"/>
      <c r="R29" s="250"/>
      <c r="S29" s="56"/>
    </row>
    <row r="30" spans="2:19" ht="15.75" thickBot="1" x14ac:dyDescent="0.25">
      <c r="B30" s="251"/>
      <c r="C30" s="252"/>
      <c r="D30" s="252"/>
      <c r="E30" s="252"/>
      <c r="F30" s="252"/>
      <c r="G30" s="252"/>
      <c r="H30" s="252"/>
      <c r="I30" s="252"/>
      <c r="J30" s="252"/>
      <c r="K30" s="252"/>
      <c r="L30" s="252"/>
      <c r="M30" s="252"/>
      <c r="N30" s="252"/>
      <c r="O30" s="252"/>
      <c r="P30" s="252"/>
      <c r="Q30" s="252"/>
      <c r="R30" s="253"/>
      <c r="S30" s="56"/>
    </row>
    <row r="31" spans="2:19" x14ac:dyDescent="0.2">
      <c r="S31" s="56"/>
    </row>
    <row r="32" spans="2:19" x14ac:dyDescent="0.2">
      <c r="C32" s="192"/>
      <c r="D32" s="193"/>
      <c r="S32" s="56"/>
    </row>
    <row r="33" spans="3:19" x14ac:dyDescent="0.2">
      <c r="C33" s="192"/>
      <c r="D33" s="193"/>
      <c r="S33" s="56"/>
    </row>
    <row r="34" spans="3:19" x14ac:dyDescent="0.2">
      <c r="C34" s="192"/>
      <c r="D34" s="193"/>
      <c r="S34" s="56"/>
    </row>
    <row r="35" spans="3:19" x14ac:dyDescent="0.2">
      <c r="C35" s="192"/>
      <c r="D35" s="193"/>
      <c r="S35" s="56"/>
    </row>
    <row r="36" spans="3:19" x14ac:dyDescent="0.2">
      <c r="C36" s="192"/>
      <c r="D36" s="193"/>
      <c r="S36" s="56"/>
    </row>
    <row r="37" spans="3:19" x14ac:dyDescent="0.2">
      <c r="S37" s="56"/>
    </row>
    <row r="38" spans="3:19" x14ac:dyDescent="0.2">
      <c r="S38" s="56"/>
    </row>
    <row r="39" spans="3:19" x14ac:dyDescent="0.2">
      <c r="S39" s="56"/>
    </row>
    <row r="40" spans="3:19" x14ac:dyDescent="0.2">
      <c r="S40" s="56"/>
    </row>
    <row r="41" spans="3:19" x14ac:dyDescent="0.2">
      <c r="S41" s="56"/>
    </row>
    <row r="42" spans="3:19" x14ac:dyDescent="0.2">
      <c r="S42" s="56"/>
    </row>
    <row r="43" spans="3:19" x14ac:dyDescent="0.2">
      <c r="S43" s="56"/>
    </row>
    <row r="44" spans="3:19" x14ac:dyDescent="0.2">
      <c r="S44" s="56"/>
    </row>
    <row r="45" spans="3:19" x14ac:dyDescent="0.2">
      <c r="S45" s="56"/>
    </row>
    <row r="46" spans="3:19" x14ac:dyDescent="0.2">
      <c r="S46" s="56"/>
    </row>
    <row r="47" spans="3:19" x14ac:dyDescent="0.2">
      <c r="S47" s="56"/>
    </row>
    <row r="48" spans="3: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row r="692" spans="19:19" x14ac:dyDescent="0.2">
      <c r="S692" s="56"/>
    </row>
    <row r="693" spans="19:19" x14ac:dyDescent="0.2">
      <c r="S693" s="56"/>
    </row>
    <row r="694" spans="19:19" x14ac:dyDescent="0.2">
      <c r="S694" s="56"/>
    </row>
    <row r="695" spans="19:19" x14ac:dyDescent="0.2">
      <c r="S695" s="56"/>
    </row>
    <row r="696" spans="19:19" x14ac:dyDescent="0.2">
      <c r="S696" s="56"/>
    </row>
    <row r="697" spans="19:19" x14ac:dyDescent="0.2">
      <c r="S697" s="56"/>
    </row>
    <row r="698" spans="19:19" x14ac:dyDescent="0.2">
      <c r="S698" s="56"/>
    </row>
    <row r="699" spans="19:19" x14ac:dyDescent="0.2">
      <c r="S699" s="56"/>
    </row>
    <row r="700" spans="19:19" x14ac:dyDescent="0.2">
      <c r="S700" s="56"/>
    </row>
  </sheetData>
  <sortState ref="C33:D35">
    <sortCondition descending="1" ref="D33"/>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4" t="s">
        <v>218</v>
      </c>
      <c r="D3" s="254"/>
      <c r="E3" s="254"/>
      <c r="F3" s="254"/>
      <c r="G3" s="254"/>
      <c r="H3" s="254"/>
      <c r="I3" s="254"/>
      <c r="J3" s="254"/>
      <c r="K3" s="254"/>
      <c r="L3" s="254"/>
      <c r="M3" s="254"/>
      <c r="N3" s="254"/>
      <c r="O3" s="254"/>
      <c r="P3" s="254"/>
      <c r="Q3" s="254"/>
      <c r="R3" s="254"/>
      <c r="S3" s="254"/>
      <c r="T3" s="23"/>
    </row>
    <row r="4" spans="1:24" ht="15.75" customHeight="1" x14ac:dyDescent="0.25">
      <c r="B4" s="91"/>
      <c r="C4" s="78" t="s">
        <v>303</v>
      </c>
      <c r="D4" s="30"/>
      <c r="E4" s="30"/>
      <c r="F4" s="30"/>
      <c r="G4" s="30"/>
      <c r="H4" s="30"/>
      <c r="I4" s="30"/>
      <c r="J4" s="30"/>
      <c r="K4" s="30"/>
      <c r="L4" s="30"/>
      <c r="M4" s="30"/>
      <c r="N4" s="30"/>
      <c r="O4" s="30"/>
      <c r="P4" s="30"/>
      <c r="Q4" s="30"/>
      <c r="R4" s="30"/>
      <c r="S4" s="30"/>
      <c r="T4" s="23"/>
    </row>
    <row r="5" spans="1:24" ht="18" customHeight="1" x14ac:dyDescent="0.25">
      <c r="B5" s="91"/>
      <c r="C5" s="79" t="s">
        <v>304</v>
      </c>
      <c r="D5" s="256" t="s">
        <v>297</v>
      </c>
      <c r="E5" s="256"/>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1" t="s">
        <v>32</v>
      </c>
      <c r="D8" s="222" t="s">
        <v>6</v>
      </c>
      <c r="E8" s="223">
        <v>0.102537</v>
      </c>
      <c r="F8" s="30"/>
      <c r="G8" s="30"/>
      <c r="H8" s="30"/>
      <c r="I8" s="30"/>
      <c r="J8" s="30"/>
      <c r="K8" s="30"/>
      <c r="L8" s="30"/>
      <c r="M8" s="30"/>
      <c r="N8" s="30"/>
      <c r="O8" s="30"/>
      <c r="P8" s="30"/>
      <c r="Q8" s="30"/>
      <c r="R8" s="30"/>
      <c r="S8" s="30"/>
      <c r="T8" s="23"/>
      <c r="W8" s="70" t="s">
        <v>3</v>
      </c>
      <c r="X8" s="72">
        <v>0.27316400000000002</v>
      </c>
    </row>
    <row r="9" spans="1:24" ht="15.75" customHeight="1" x14ac:dyDescent="0.25">
      <c r="B9" s="91"/>
      <c r="C9" s="211" t="s">
        <v>29</v>
      </c>
      <c r="D9" s="224" t="s">
        <v>3</v>
      </c>
      <c r="E9" s="225">
        <v>8.7161000000000002E-2</v>
      </c>
      <c r="F9" s="30"/>
      <c r="G9" s="30"/>
      <c r="H9" s="30"/>
      <c r="I9" s="30"/>
      <c r="J9" s="30"/>
      <c r="K9" s="30"/>
      <c r="L9" s="30"/>
      <c r="M9" s="30"/>
      <c r="N9" s="30"/>
      <c r="O9" s="30"/>
      <c r="P9" s="30"/>
      <c r="Q9" s="30"/>
      <c r="R9" s="30"/>
      <c r="S9" s="30"/>
      <c r="T9" s="23"/>
      <c r="W9" s="70" t="s">
        <v>135</v>
      </c>
      <c r="X9" s="72">
        <v>0.12981699999999999</v>
      </c>
    </row>
    <row r="10" spans="1:24" ht="15.75" x14ac:dyDescent="0.25">
      <c r="B10" s="91"/>
      <c r="C10" s="211" t="s">
        <v>33</v>
      </c>
      <c r="D10" s="224" t="s">
        <v>3</v>
      </c>
      <c r="E10" s="225">
        <v>8.1308000000000005E-2</v>
      </c>
      <c r="F10" s="30"/>
      <c r="G10" s="30"/>
      <c r="H10" s="30"/>
      <c r="I10" s="30"/>
      <c r="J10" s="30"/>
      <c r="K10" s="30"/>
      <c r="L10" s="30"/>
      <c r="M10" s="30"/>
      <c r="N10" s="30"/>
      <c r="O10" s="30"/>
      <c r="P10" s="30"/>
      <c r="Q10" s="30"/>
      <c r="R10" s="30"/>
      <c r="S10" s="30"/>
      <c r="T10" s="23"/>
      <c r="W10" s="70" t="s">
        <v>6</v>
      </c>
      <c r="X10" s="72">
        <v>0.106794</v>
      </c>
    </row>
    <row r="11" spans="1:24" ht="15.75" customHeight="1" x14ac:dyDescent="0.25">
      <c r="B11" s="91"/>
      <c r="C11" s="211" t="s">
        <v>30</v>
      </c>
      <c r="D11" s="224" t="s">
        <v>4</v>
      </c>
      <c r="E11" s="225">
        <v>5.8728000000000002E-2</v>
      </c>
      <c r="F11" s="30"/>
      <c r="G11" s="30"/>
      <c r="H11" s="30"/>
      <c r="I11" s="30"/>
      <c r="J11" s="30"/>
      <c r="K11" s="30"/>
      <c r="L11" s="30"/>
      <c r="M11" s="30"/>
      <c r="N11" s="30"/>
      <c r="O11" s="30"/>
      <c r="P11" s="30"/>
      <c r="Q11" s="30"/>
      <c r="R11" s="30"/>
      <c r="S11" s="30"/>
      <c r="T11" s="23"/>
      <c r="W11" s="70" t="s">
        <v>4</v>
      </c>
      <c r="X11" s="72">
        <v>9.1225000000000001E-2</v>
      </c>
    </row>
    <row r="12" spans="1:24" ht="15" customHeight="1" x14ac:dyDescent="0.25">
      <c r="B12" s="91"/>
      <c r="C12" s="211" t="s">
        <v>28</v>
      </c>
      <c r="D12" s="224" t="s">
        <v>135</v>
      </c>
      <c r="E12" s="225">
        <v>5.7726E-2</v>
      </c>
      <c r="F12" s="30"/>
      <c r="G12" s="30"/>
      <c r="H12" s="30"/>
      <c r="I12" s="30"/>
      <c r="J12" s="30"/>
      <c r="K12" s="30"/>
      <c r="L12" s="30"/>
      <c r="M12" s="30"/>
      <c r="N12" s="30"/>
      <c r="O12" s="30"/>
      <c r="P12" s="30"/>
      <c r="Q12" s="30"/>
      <c r="R12" s="30"/>
      <c r="S12" s="30"/>
      <c r="T12" s="23"/>
      <c r="W12" s="70" t="s">
        <v>146</v>
      </c>
      <c r="X12" s="72">
        <v>7.7445E-2</v>
      </c>
    </row>
    <row r="13" spans="1:24" ht="15" customHeight="1" x14ac:dyDescent="0.25">
      <c r="B13" s="91"/>
      <c r="C13" s="211" t="s">
        <v>31</v>
      </c>
      <c r="D13" s="224" t="s">
        <v>146</v>
      </c>
      <c r="E13" s="225">
        <v>4.8215000000000001E-2</v>
      </c>
      <c r="F13" s="30"/>
      <c r="G13" s="30"/>
      <c r="H13" s="30"/>
      <c r="I13" s="30"/>
      <c r="J13" s="30"/>
      <c r="K13" s="30"/>
      <c r="L13" s="30"/>
      <c r="M13" s="30"/>
      <c r="N13" s="30"/>
      <c r="O13" s="30"/>
      <c r="P13" s="30"/>
      <c r="Q13" s="30"/>
      <c r="R13" s="30"/>
      <c r="S13" s="30"/>
      <c r="T13" s="23"/>
      <c r="W13" s="70" t="s">
        <v>141</v>
      </c>
      <c r="X13" s="72">
        <v>5.8047000000000001E-2</v>
      </c>
    </row>
    <row r="14" spans="1:24" ht="15" customHeight="1" x14ac:dyDescent="0.25">
      <c r="B14" s="91"/>
      <c r="C14" s="211" t="s">
        <v>34</v>
      </c>
      <c r="D14" s="224" t="s">
        <v>135</v>
      </c>
      <c r="E14" s="225">
        <v>4.1341000000000003E-2</v>
      </c>
      <c r="F14" s="30"/>
      <c r="G14" s="30"/>
      <c r="H14" s="30"/>
      <c r="I14" s="30"/>
      <c r="J14" s="30"/>
      <c r="K14" s="30"/>
      <c r="L14" s="30"/>
      <c r="M14" s="30"/>
      <c r="N14" s="30"/>
      <c r="O14" s="30"/>
      <c r="P14" s="30"/>
      <c r="Q14" s="30"/>
      <c r="R14" s="30"/>
      <c r="S14" s="30"/>
      <c r="T14" s="23"/>
      <c r="W14" s="70" t="s">
        <v>23</v>
      </c>
      <c r="X14" s="72">
        <v>3.2723000000000002E-2</v>
      </c>
    </row>
    <row r="15" spans="1:24" ht="15" customHeight="1" x14ac:dyDescent="0.25">
      <c r="B15" s="91"/>
      <c r="C15" s="211" t="s">
        <v>36</v>
      </c>
      <c r="D15" s="224" t="s">
        <v>3</v>
      </c>
      <c r="E15" s="225">
        <v>3.6341999999999999E-2</v>
      </c>
      <c r="F15" s="30"/>
      <c r="G15" s="30"/>
      <c r="H15" s="30"/>
      <c r="I15" s="30"/>
      <c r="J15" s="30"/>
      <c r="K15" s="30"/>
      <c r="L15" s="30"/>
      <c r="M15" s="30"/>
      <c r="N15" s="30"/>
      <c r="O15" s="30"/>
      <c r="P15" s="30"/>
      <c r="Q15" s="30"/>
      <c r="R15" s="30"/>
      <c r="S15" s="30"/>
      <c r="T15" s="23"/>
      <c r="W15" s="70" t="s">
        <v>16</v>
      </c>
      <c r="X15" s="72">
        <v>3.2120000000000003E-2</v>
      </c>
    </row>
    <row r="16" spans="1:24" ht="15" customHeight="1" x14ac:dyDescent="0.25">
      <c r="B16" s="91"/>
      <c r="C16" s="211" t="s">
        <v>35</v>
      </c>
      <c r="D16" s="224" t="s">
        <v>23</v>
      </c>
      <c r="E16" s="225">
        <v>3.2723000000000002E-2</v>
      </c>
      <c r="F16" s="30"/>
      <c r="G16" s="30"/>
      <c r="H16" s="30"/>
      <c r="I16" s="30"/>
      <c r="J16" s="30"/>
      <c r="K16" s="30"/>
      <c r="L16" s="30"/>
      <c r="M16" s="30"/>
      <c r="N16" s="30"/>
      <c r="O16" s="30"/>
      <c r="P16" s="30"/>
      <c r="Q16" s="30"/>
      <c r="R16" s="30"/>
      <c r="S16" s="30"/>
      <c r="T16" s="23"/>
      <c r="W16" s="70" t="s">
        <v>140</v>
      </c>
      <c r="X16" s="72">
        <v>3.1161000000000001E-2</v>
      </c>
    </row>
    <row r="17" spans="2:24" ht="15" customHeight="1" x14ac:dyDescent="0.25">
      <c r="B17" s="91"/>
      <c r="C17" s="211" t="s">
        <v>37</v>
      </c>
      <c r="D17" s="224" t="s">
        <v>3</v>
      </c>
      <c r="E17" s="225">
        <v>3.0748000000000001E-2</v>
      </c>
      <c r="F17" s="30"/>
      <c r="G17" s="30"/>
      <c r="H17" s="30"/>
      <c r="I17" s="30"/>
      <c r="J17" s="30"/>
      <c r="K17" s="30"/>
      <c r="L17" s="30"/>
      <c r="M17" s="30"/>
      <c r="N17" s="30"/>
      <c r="O17" s="30"/>
      <c r="P17" s="30"/>
      <c r="Q17" s="30"/>
      <c r="R17" s="30"/>
      <c r="S17" s="30"/>
      <c r="T17" s="23"/>
      <c r="W17" s="70" t="s">
        <v>12</v>
      </c>
      <c r="X17" s="72">
        <v>2.5590000000000002E-2</v>
      </c>
    </row>
    <row r="18" spans="2:24" ht="15" customHeight="1" x14ac:dyDescent="0.25">
      <c r="B18" s="91"/>
      <c r="C18" s="211" t="s">
        <v>38</v>
      </c>
      <c r="D18" s="224" t="s">
        <v>146</v>
      </c>
      <c r="E18" s="225">
        <v>2.9229999999999999E-2</v>
      </c>
      <c r="F18" s="30"/>
      <c r="G18" s="30"/>
      <c r="H18" s="30"/>
      <c r="I18" s="30"/>
      <c r="J18" s="30"/>
      <c r="K18" s="30"/>
      <c r="L18" s="30"/>
      <c r="M18" s="30"/>
      <c r="N18" s="30"/>
      <c r="O18" s="30"/>
      <c r="P18" s="30"/>
      <c r="Q18" s="30"/>
      <c r="R18" s="30"/>
      <c r="S18" s="30"/>
      <c r="T18" s="23"/>
      <c r="W18" s="70" t="s">
        <v>10</v>
      </c>
      <c r="X18" s="72">
        <v>1.9952999999999999E-2</v>
      </c>
    </row>
    <row r="19" spans="2:24" ht="15" customHeight="1" x14ac:dyDescent="0.25">
      <c r="B19" s="91"/>
      <c r="C19" s="211" t="s">
        <v>93</v>
      </c>
      <c r="D19" s="224" t="s">
        <v>3</v>
      </c>
      <c r="E19" s="225">
        <v>2.7311999999999999E-2</v>
      </c>
      <c r="F19" s="30"/>
      <c r="G19" s="30"/>
      <c r="H19" s="30"/>
      <c r="I19" s="30"/>
      <c r="J19" s="30"/>
      <c r="K19" s="30"/>
      <c r="L19" s="30"/>
      <c r="M19" s="30"/>
      <c r="N19" s="30"/>
      <c r="O19" s="30"/>
      <c r="P19" s="30"/>
      <c r="Q19" s="30"/>
      <c r="R19" s="30"/>
      <c r="S19" s="30"/>
      <c r="T19" s="23"/>
      <c r="W19" s="70" t="s">
        <v>97</v>
      </c>
      <c r="X19" s="72">
        <v>1.8929000000000001E-2</v>
      </c>
    </row>
    <row r="20" spans="2:24" ht="15" customHeight="1" x14ac:dyDescent="0.25">
      <c r="B20" s="91"/>
      <c r="C20" s="211" t="s">
        <v>76</v>
      </c>
      <c r="D20" s="224" t="s">
        <v>12</v>
      </c>
      <c r="E20" s="225">
        <v>2.5590000000000002E-2</v>
      </c>
      <c r="F20" s="30"/>
      <c r="G20" s="30"/>
      <c r="H20" s="30"/>
      <c r="I20" s="30"/>
      <c r="J20" s="30"/>
      <c r="K20" s="30"/>
      <c r="L20" s="30"/>
      <c r="M20" s="30"/>
      <c r="N20" s="30"/>
      <c r="O20" s="30"/>
      <c r="P20" s="30"/>
      <c r="Q20" s="30"/>
      <c r="R20" s="30"/>
      <c r="S20" s="30"/>
      <c r="T20" s="23"/>
      <c r="W20" s="70" t="s">
        <v>11</v>
      </c>
      <c r="X20" s="72">
        <v>1.8539E-2</v>
      </c>
    </row>
    <row r="21" spans="2:24" ht="15" customHeight="1" x14ac:dyDescent="0.25">
      <c r="B21" s="91"/>
      <c r="C21" s="211" t="s">
        <v>95</v>
      </c>
      <c r="D21" s="224" t="s">
        <v>4</v>
      </c>
      <c r="E21" s="225">
        <v>2.2852999999999998E-2</v>
      </c>
      <c r="F21" s="30"/>
      <c r="G21" s="30"/>
      <c r="H21" s="30"/>
      <c r="I21" s="30"/>
      <c r="J21" s="30"/>
      <c r="K21" s="30"/>
      <c r="L21" s="30"/>
      <c r="M21" s="30"/>
      <c r="N21" s="30"/>
      <c r="O21" s="30"/>
      <c r="P21" s="30"/>
      <c r="Q21" s="30"/>
      <c r="R21" s="30"/>
      <c r="S21" s="30"/>
      <c r="T21" s="23"/>
      <c r="W21" s="70" t="s">
        <v>136</v>
      </c>
      <c r="X21" s="72">
        <v>1.6232E-2</v>
      </c>
    </row>
    <row r="22" spans="2:24" ht="15" customHeight="1" x14ac:dyDescent="0.25">
      <c r="B22" s="91"/>
      <c r="C22" s="211" t="s">
        <v>211</v>
      </c>
      <c r="D22" s="224" t="s">
        <v>16</v>
      </c>
      <c r="E22" s="225">
        <v>1.7665E-2</v>
      </c>
      <c r="F22" s="30"/>
      <c r="G22" s="30"/>
      <c r="H22" s="30"/>
      <c r="I22" s="30"/>
      <c r="J22" s="30"/>
      <c r="K22" s="30"/>
      <c r="L22" s="30"/>
      <c r="M22" s="30"/>
      <c r="N22" s="30"/>
      <c r="O22" s="30"/>
      <c r="P22" s="30"/>
      <c r="Q22" s="30"/>
      <c r="R22" s="30"/>
      <c r="S22" s="30"/>
      <c r="T22" s="23"/>
      <c r="W22" s="70" t="s">
        <v>100</v>
      </c>
      <c r="X22" s="72">
        <v>1.4016000000000001E-2</v>
      </c>
    </row>
    <row r="23" spans="2:24" ht="15" customHeight="1" x14ac:dyDescent="0.25">
      <c r="B23" s="91"/>
      <c r="C23" s="94"/>
      <c r="D23" s="94"/>
      <c r="E23" s="95"/>
      <c r="F23" s="30"/>
      <c r="G23" s="30"/>
      <c r="H23" s="30"/>
      <c r="I23" s="30"/>
      <c r="J23" s="30"/>
      <c r="K23" s="30"/>
      <c r="L23" s="30"/>
      <c r="M23" s="30"/>
      <c r="N23" s="30"/>
      <c r="O23" s="30"/>
      <c r="P23" s="30"/>
      <c r="Q23" s="30"/>
      <c r="R23" s="30"/>
      <c r="S23" s="30"/>
      <c r="T23" s="23"/>
      <c r="W23" s="70" t="s">
        <v>162</v>
      </c>
      <c r="X23" s="72">
        <v>8.3739999999999995E-3</v>
      </c>
    </row>
    <row r="24" spans="2:24" ht="15" customHeight="1" x14ac:dyDescent="0.25">
      <c r="B24" s="91"/>
      <c r="C24" s="85" t="s">
        <v>56</v>
      </c>
      <c r="D24" s="86"/>
      <c r="E24" s="96">
        <f>SUM(E8:E22)</f>
        <v>0.69947900000000007</v>
      </c>
      <c r="F24" s="30"/>
      <c r="G24" s="30"/>
      <c r="H24" s="30"/>
      <c r="I24" s="30"/>
      <c r="J24" s="30"/>
      <c r="K24" s="30"/>
      <c r="L24" s="30"/>
      <c r="M24" s="30"/>
      <c r="N24" s="30"/>
      <c r="O24" s="30"/>
      <c r="P24" s="30"/>
      <c r="Q24" s="30"/>
      <c r="R24" s="30"/>
      <c r="S24" s="30"/>
      <c r="T24" s="23"/>
      <c r="W24" s="70" t="s">
        <v>13</v>
      </c>
      <c r="X24" s="72">
        <v>7.4120000000000002E-3</v>
      </c>
    </row>
    <row r="25" spans="2:24" ht="15" customHeight="1" x14ac:dyDescent="0.25">
      <c r="B25" s="91"/>
      <c r="C25" s="30"/>
      <c r="D25" s="30"/>
      <c r="E25" s="30"/>
      <c r="F25" s="30"/>
      <c r="G25" s="30"/>
      <c r="H25" s="30"/>
      <c r="I25" s="30"/>
      <c r="J25" s="30"/>
      <c r="K25" s="30"/>
      <c r="L25" s="30"/>
      <c r="M25" s="30"/>
      <c r="N25" s="30"/>
      <c r="O25" s="30"/>
      <c r="P25" s="30"/>
      <c r="Q25" s="30"/>
      <c r="R25" s="30"/>
      <c r="S25" s="30"/>
      <c r="T25" s="23"/>
      <c r="W25" s="70" t="s">
        <v>15</v>
      </c>
      <c r="X25" s="72">
        <v>7.2760000000000003E-3</v>
      </c>
    </row>
    <row r="26" spans="2:24" ht="15" customHeight="1" x14ac:dyDescent="0.25">
      <c r="B26" s="91"/>
      <c r="C26" s="97"/>
      <c r="D26" s="97"/>
      <c r="E26" s="98"/>
      <c r="F26" s="30"/>
      <c r="G26" s="30"/>
      <c r="H26" s="30"/>
      <c r="I26" s="30"/>
      <c r="J26" s="30"/>
      <c r="K26" s="30"/>
      <c r="L26" s="30"/>
      <c r="M26" s="30"/>
      <c r="N26" s="30"/>
      <c r="O26" s="30"/>
      <c r="P26" s="30"/>
      <c r="Q26" s="30"/>
      <c r="R26" s="30"/>
      <c r="S26" s="30"/>
      <c r="T26" s="23"/>
      <c r="W26" s="70" t="s">
        <v>160</v>
      </c>
      <c r="X26" s="72">
        <v>6.8560000000000001E-3</v>
      </c>
    </row>
    <row r="27" spans="2:24" ht="15" customHeight="1" x14ac:dyDescent="0.25">
      <c r="B27" s="91"/>
      <c r="C27" s="58"/>
      <c r="D27" s="58"/>
      <c r="E27" s="99"/>
      <c r="F27" s="30"/>
      <c r="G27" s="30"/>
      <c r="H27" s="30"/>
      <c r="I27" s="30"/>
      <c r="J27" s="30"/>
      <c r="K27" s="30"/>
      <c r="L27" s="30"/>
      <c r="M27" s="30"/>
      <c r="N27" s="30"/>
      <c r="O27" s="30"/>
      <c r="P27" s="30"/>
      <c r="Q27" s="30"/>
      <c r="R27" s="30"/>
      <c r="S27" s="30"/>
      <c r="T27" s="23"/>
      <c r="W27" s="70" t="s">
        <v>161</v>
      </c>
      <c r="X27" s="72">
        <v>6.2040000000000003E-3</v>
      </c>
    </row>
    <row r="28" spans="2:24" ht="15" customHeight="1" x14ac:dyDescent="0.25">
      <c r="B28" s="91"/>
      <c r="C28" s="97"/>
      <c r="D28" s="100"/>
      <c r="E28" s="101"/>
      <c r="F28" s="30"/>
      <c r="G28" s="30"/>
      <c r="H28" s="30"/>
      <c r="I28" s="30"/>
      <c r="J28" s="30"/>
      <c r="K28" s="30"/>
      <c r="L28" s="30"/>
      <c r="M28" s="30"/>
      <c r="N28" s="30"/>
      <c r="O28" s="30"/>
      <c r="P28" s="30"/>
      <c r="Q28" s="30"/>
      <c r="R28" s="30"/>
      <c r="S28" s="30"/>
      <c r="T28" s="23"/>
      <c r="W28" s="70" t="s">
        <v>144</v>
      </c>
      <c r="X28" s="72">
        <v>5.8279999999999998E-3</v>
      </c>
    </row>
    <row r="29" spans="2:24" ht="15" customHeight="1" x14ac:dyDescent="0.25">
      <c r="B29" s="91"/>
      <c r="C29" s="58"/>
      <c r="D29" s="58"/>
      <c r="E29" s="58"/>
      <c r="F29" s="30"/>
      <c r="G29" s="30"/>
      <c r="H29" s="30"/>
      <c r="I29" s="30"/>
      <c r="J29" s="30"/>
      <c r="K29" s="30"/>
      <c r="L29" s="30"/>
      <c r="M29" s="30"/>
      <c r="N29" s="30"/>
      <c r="O29" s="30"/>
      <c r="P29" s="30"/>
      <c r="Q29" s="30"/>
      <c r="R29" s="30"/>
      <c r="S29" s="30"/>
      <c r="T29" s="23"/>
      <c r="W29" s="70" t="s">
        <v>89</v>
      </c>
      <c r="X29" s="72">
        <v>5.7060000000000001E-3</v>
      </c>
    </row>
    <row r="30" spans="2:24" ht="15" customHeight="1" x14ac:dyDescent="0.25">
      <c r="B30" s="91"/>
      <c r="C30" s="97"/>
      <c r="D30" s="100"/>
      <c r="E30" s="98"/>
      <c r="F30" s="30"/>
      <c r="G30" s="30"/>
      <c r="H30" s="30"/>
      <c r="I30" s="30"/>
      <c r="J30" s="30"/>
      <c r="K30" s="30"/>
      <c r="L30" s="30"/>
      <c r="M30" s="30"/>
      <c r="N30" s="30"/>
      <c r="O30" s="30"/>
      <c r="P30" s="30"/>
      <c r="Q30" s="30"/>
      <c r="R30" s="30"/>
      <c r="S30" s="30"/>
      <c r="T30" s="23"/>
      <c r="W30" s="70" t="s">
        <v>147</v>
      </c>
      <c r="X30" s="72">
        <v>4.3550000000000004E-3</v>
      </c>
    </row>
    <row r="31" spans="2:24" ht="15" customHeight="1" thickBot="1" x14ac:dyDescent="0.3">
      <c r="B31" s="92"/>
      <c r="C31" s="93"/>
      <c r="D31" s="93"/>
      <c r="E31" s="93"/>
      <c r="F31" s="93"/>
      <c r="G31" s="93"/>
      <c r="H31" s="93"/>
      <c r="I31" s="93"/>
      <c r="J31" s="93"/>
      <c r="K31" s="93"/>
      <c r="L31" s="93"/>
      <c r="M31" s="93"/>
      <c r="N31" s="93"/>
      <c r="O31" s="93"/>
      <c r="P31" s="93"/>
      <c r="Q31" s="93"/>
      <c r="R31" s="93"/>
      <c r="S31" s="93"/>
      <c r="T31" s="24"/>
    </row>
    <row r="32" spans="2:24" ht="15" customHeight="1" thickBot="1" x14ac:dyDescent="0.3"/>
    <row r="33" spans="2:18" ht="15" customHeight="1" x14ac:dyDescent="0.25">
      <c r="B33" s="245" t="s">
        <v>265</v>
      </c>
      <c r="C33" s="246"/>
      <c r="D33" s="246"/>
      <c r="E33" s="246"/>
      <c r="F33" s="246"/>
      <c r="G33" s="246"/>
      <c r="H33" s="246"/>
      <c r="I33" s="246"/>
      <c r="J33" s="246"/>
      <c r="K33" s="246"/>
      <c r="L33" s="246"/>
      <c r="M33" s="246"/>
      <c r="N33" s="246"/>
      <c r="O33" s="246"/>
      <c r="P33" s="246"/>
      <c r="Q33" s="246"/>
      <c r="R33" s="247"/>
    </row>
    <row r="34" spans="2:18" ht="15" customHeight="1" x14ac:dyDescent="0.25">
      <c r="B34" s="248"/>
      <c r="C34" s="249"/>
      <c r="D34" s="249"/>
      <c r="E34" s="249"/>
      <c r="F34" s="249"/>
      <c r="G34" s="249"/>
      <c r="H34" s="249"/>
      <c r="I34" s="249"/>
      <c r="J34" s="249"/>
      <c r="K34" s="249"/>
      <c r="L34" s="249"/>
      <c r="M34" s="249"/>
      <c r="N34" s="249"/>
      <c r="O34" s="249"/>
      <c r="P34" s="249"/>
      <c r="Q34" s="249"/>
      <c r="R34" s="250"/>
    </row>
    <row r="35" spans="2:18" ht="15" customHeight="1" x14ac:dyDescent="0.25">
      <c r="B35" s="248"/>
      <c r="C35" s="249"/>
      <c r="D35" s="249"/>
      <c r="E35" s="249"/>
      <c r="F35" s="249"/>
      <c r="G35" s="249"/>
      <c r="H35" s="249"/>
      <c r="I35" s="249"/>
      <c r="J35" s="249"/>
      <c r="K35" s="249"/>
      <c r="L35" s="249"/>
      <c r="M35" s="249"/>
      <c r="N35" s="249"/>
      <c r="O35" s="249"/>
      <c r="P35" s="249"/>
      <c r="Q35" s="249"/>
      <c r="R35" s="250"/>
    </row>
    <row r="36" spans="2:18" ht="15" customHeight="1" x14ac:dyDescent="0.25">
      <c r="B36" s="248"/>
      <c r="C36" s="249"/>
      <c r="D36" s="249"/>
      <c r="E36" s="249"/>
      <c r="F36" s="249"/>
      <c r="G36" s="249"/>
      <c r="H36" s="249"/>
      <c r="I36" s="249"/>
      <c r="J36" s="249"/>
      <c r="K36" s="249"/>
      <c r="L36" s="249"/>
      <c r="M36" s="249"/>
      <c r="N36" s="249"/>
      <c r="O36" s="249"/>
      <c r="P36" s="249"/>
      <c r="Q36" s="249"/>
      <c r="R36" s="250"/>
    </row>
    <row r="37" spans="2:18" ht="15" customHeight="1" x14ac:dyDescent="0.25">
      <c r="B37" s="248"/>
      <c r="C37" s="249"/>
      <c r="D37" s="249"/>
      <c r="E37" s="249"/>
      <c r="F37" s="249"/>
      <c r="G37" s="249"/>
      <c r="H37" s="249"/>
      <c r="I37" s="249"/>
      <c r="J37" s="249"/>
      <c r="K37" s="249"/>
      <c r="L37" s="249"/>
      <c r="M37" s="249"/>
      <c r="N37" s="249"/>
      <c r="O37" s="249"/>
      <c r="P37" s="249"/>
      <c r="Q37" s="249"/>
      <c r="R37" s="250"/>
    </row>
    <row r="38" spans="2:18" ht="15" customHeight="1" x14ac:dyDescent="0.25">
      <c r="B38" s="248"/>
      <c r="C38" s="249"/>
      <c r="D38" s="249"/>
      <c r="E38" s="249"/>
      <c r="F38" s="249"/>
      <c r="G38" s="249"/>
      <c r="H38" s="249"/>
      <c r="I38" s="249"/>
      <c r="J38" s="249"/>
      <c r="K38" s="249"/>
      <c r="L38" s="249"/>
      <c r="M38" s="249"/>
      <c r="N38" s="249"/>
      <c r="O38" s="249"/>
      <c r="P38" s="249"/>
      <c r="Q38" s="249"/>
      <c r="R38" s="250"/>
    </row>
    <row r="39" spans="2:18" ht="15" customHeight="1" thickBot="1" x14ac:dyDescent="0.3">
      <c r="B39" s="251"/>
      <c r="C39" s="252"/>
      <c r="D39" s="252"/>
      <c r="E39" s="252"/>
      <c r="F39" s="252"/>
      <c r="G39" s="252"/>
      <c r="H39" s="252"/>
      <c r="I39" s="252"/>
      <c r="J39" s="252"/>
      <c r="K39" s="252"/>
      <c r="L39" s="252"/>
      <c r="M39" s="252"/>
      <c r="N39" s="252"/>
      <c r="O39" s="252"/>
      <c r="P39" s="252"/>
      <c r="Q39" s="252"/>
      <c r="R39" s="253"/>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customWidth="1"/>
    <col min="5" max="5" width="10.42578125" style="20" bestFit="1" customWidth="1"/>
    <col min="6" max="18" width="9.140625" style="20"/>
    <col min="19" max="19" width="9.85546875" style="20" customWidth="1"/>
    <col min="20" max="20" width="9.140625" style="20"/>
    <col min="21" max="22" width="9.140625" style="20" customWidth="1"/>
    <col min="23"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4" t="s">
        <v>217</v>
      </c>
      <c r="D3" s="255"/>
      <c r="E3" s="255"/>
      <c r="F3" s="255"/>
      <c r="G3" s="255"/>
      <c r="H3" s="255"/>
      <c r="I3" s="255"/>
      <c r="J3" s="255"/>
      <c r="K3" s="255"/>
      <c r="L3" s="255"/>
      <c r="M3" s="255"/>
      <c r="N3" s="255"/>
      <c r="O3" s="255"/>
      <c r="P3" s="255"/>
      <c r="Q3" s="255"/>
      <c r="R3" s="255"/>
      <c r="S3" s="255"/>
      <c r="T3" s="23"/>
    </row>
    <row r="4" spans="1:24" ht="15.75" customHeight="1" x14ac:dyDescent="0.25">
      <c r="B4" s="91"/>
      <c r="C4" s="78" t="s">
        <v>303</v>
      </c>
      <c r="D4" s="30"/>
      <c r="E4" s="30"/>
      <c r="F4" s="30"/>
      <c r="G4" s="30"/>
      <c r="H4" s="30"/>
      <c r="I4" s="30"/>
      <c r="J4" s="30"/>
      <c r="K4" s="30"/>
      <c r="L4" s="30"/>
      <c r="M4" s="30"/>
      <c r="N4" s="30"/>
      <c r="O4" s="30"/>
      <c r="P4" s="30"/>
      <c r="Q4" s="30"/>
      <c r="R4" s="30"/>
      <c r="S4" s="30"/>
      <c r="T4" s="23"/>
    </row>
    <row r="5" spans="1:24" ht="18" customHeight="1" x14ac:dyDescent="0.25">
      <c r="B5" s="91"/>
      <c r="C5" s="79" t="s">
        <v>304</v>
      </c>
      <c r="D5" s="258" t="s">
        <v>298</v>
      </c>
      <c r="E5" s="258"/>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1" t="s">
        <v>32</v>
      </c>
      <c r="D8" s="222" t="s">
        <v>6</v>
      </c>
      <c r="E8" s="223">
        <v>0.118935</v>
      </c>
      <c r="F8" s="30"/>
      <c r="G8" s="30"/>
      <c r="H8" s="30"/>
      <c r="I8" s="30"/>
      <c r="J8" s="30"/>
      <c r="K8" s="30"/>
      <c r="L8" s="30"/>
      <c r="M8" s="30"/>
      <c r="N8" s="30"/>
      <c r="O8" s="30"/>
      <c r="P8" s="30"/>
      <c r="Q8" s="30"/>
      <c r="R8" s="30"/>
      <c r="S8" s="30"/>
      <c r="T8" s="23"/>
      <c r="W8" s="63" t="s">
        <v>3</v>
      </c>
      <c r="X8" s="64">
        <v>0.30797400000000003</v>
      </c>
    </row>
    <row r="9" spans="1:24" ht="15.75" customHeight="1" x14ac:dyDescent="0.25">
      <c r="B9" s="91"/>
      <c r="C9" s="211" t="s">
        <v>29</v>
      </c>
      <c r="D9" s="224" t="s">
        <v>3</v>
      </c>
      <c r="E9" s="225">
        <v>9.8656999999999995E-2</v>
      </c>
      <c r="F9" s="30"/>
      <c r="G9" s="30"/>
      <c r="H9" s="30"/>
      <c r="I9" s="30"/>
      <c r="J9" s="30"/>
      <c r="K9" s="30"/>
      <c r="L9" s="30"/>
      <c r="M9" s="30"/>
      <c r="N9" s="30"/>
      <c r="O9" s="30"/>
      <c r="P9" s="30"/>
      <c r="Q9" s="30"/>
      <c r="R9" s="30"/>
      <c r="S9" s="30"/>
      <c r="T9" s="23"/>
      <c r="W9" s="63" t="s">
        <v>135</v>
      </c>
      <c r="X9" s="64">
        <v>0.151031</v>
      </c>
    </row>
    <row r="10" spans="1:24" ht="15.75" x14ac:dyDescent="0.25">
      <c r="B10" s="91"/>
      <c r="C10" s="211" t="s">
        <v>33</v>
      </c>
      <c r="D10" s="224" t="s">
        <v>3</v>
      </c>
      <c r="E10" s="225">
        <v>9.2789999999999997E-2</v>
      </c>
      <c r="F10" s="30"/>
      <c r="G10" s="30"/>
      <c r="H10" s="30"/>
      <c r="I10" s="30"/>
      <c r="J10" s="30"/>
      <c r="K10" s="30"/>
      <c r="L10" s="30"/>
      <c r="M10" s="30"/>
      <c r="N10" s="30"/>
      <c r="O10" s="30"/>
      <c r="P10" s="30"/>
      <c r="Q10" s="30"/>
      <c r="R10" s="30"/>
      <c r="S10" s="30"/>
      <c r="T10" s="23"/>
      <c r="W10" s="63" t="s">
        <v>6</v>
      </c>
      <c r="X10" s="64">
        <v>0.118935</v>
      </c>
    </row>
    <row r="11" spans="1:24" ht="15.75" customHeight="1" x14ac:dyDescent="0.25">
      <c r="B11" s="91"/>
      <c r="C11" s="211" t="s">
        <v>28</v>
      </c>
      <c r="D11" s="224" t="s">
        <v>135</v>
      </c>
      <c r="E11" s="225">
        <v>6.7785999999999999E-2</v>
      </c>
      <c r="F11" s="30"/>
      <c r="G11" s="30"/>
      <c r="H11" s="30"/>
      <c r="I11" s="30"/>
      <c r="J11" s="30"/>
      <c r="K11" s="30"/>
      <c r="L11" s="30"/>
      <c r="M11" s="30"/>
      <c r="N11" s="30"/>
      <c r="O11" s="30"/>
      <c r="P11" s="30"/>
      <c r="Q11" s="30"/>
      <c r="R11" s="30"/>
      <c r="S11" s="30"/>
      <c r="T11" s="23"/>
      <c r="W11" s="63" t="s">
        <v>4</v>
      </c>
      <c r="X11" s="64">
        <v>0.10472700000000001</v>
      </c>
    </row>
    <row r="12" spans="1:24" ht="15" customHeight="1" x14ac:dyDescent="0.25">
      <c r="B12" s="91"/>
      <c r="C12" s="211" t="s">
        <v>30</v>
      </c>
      <c r="D12" s="224" t="s">
        <v>4</v>
      </c>
      <c r="E12" s="225">
        <v>6.6683000000000006E-2</v>
      </c>
      <c r="F12" s="30"/>
      <c r="G12" s="30"/>
      <c r="H12" s="30"/>
      <c r="I12" s="30"/>
      <c r="J12" s="30"/>
      <c r="K12" s="30"/>
      <c r="L12" s="30"/>
      <c r="M12" s="30"/>
      <c r="N12" s="30"/>
      <c r="O12" s="30"/>
      <c r="P12" s="30"/>
      <c r="Q12" s="30"/>
      <c r="R12" s="30"/>
      <c r="S12" s="30"/>
      <c r="T12" s="23"/>
      <c r="W12" s="63" t="s">
        <v>146</v>
      </c>
      <c r="X12" s="64">
        <v>8.7992999999999988E-2</v>
      </c>
    </row>
    <row r="13" spans="1:24" ht="15" customHeight="1" x14ac:dyDescent="0.25">
      <c r="B13" s="91"/>
      <c r="C13" s="211" t="s">
        <v>31</v>
      </c>
      <c r="D13" s="224" t="s">
        <v>146</v>
      </c>
      <c r="E13" s="225">
        <v>5.4670999999999997E-2</v>
      </c>
      <c r="F13" s="30"/>
      <c r="G13" s="30"/>
      <c r="H13" s="30"/>
      <c r="I13" s="30"/>
      <c r="J13" s="30"/>
      <c r="K13" s="30"/>
      <c r="L13" s="30"/>
      <c r="M13" s="30"/>
      <c r="N13" s="30"/>
      <c r="O13" s="30"/>
      <c r="P13" s="30"/>
      <c r="Q13" s="30"/>
      <c r="R13" s="30"/>
      <c r="S13" s="30"/>
      <c r="T13" s="23"/>
      <c r="W13" s="63" t="s">
        <v>141</v>
      </c>
      <c r="X13" s="64">
        <v>4.7769000000000006E-2</v>
      </c>
    </row>
    <row r="14" spans="1:24" ht="15" customHeight="1" x14ac:dyDescent="0.25">
      <c r="B14" s="91"/>
      <c r="C14" s="211" t="s">
        <v>34</v>
      </c>
      <c r="D14" s="224" t="s">
        <v>135</v>
      </c>
      <c r="E14" s="225">
        <v>4.7556000000000001E-2</v>
      </c>
      <c r="F14" s="30"/>
      <c r="G14" s="30"/>
      <c r="H14" s="30"/>
      <c r="I14" s="30"/>
      <c r="J14" s="30"/>
      <c r="K14" s="30"/>
      <c r="L14" s="30"/>
      <c r="M14" s="30"/>
      <c r="N14" s="30"/>
      <c r="O14" s="30"/>
      <c r="P14" s="30"/>
      <c r="Q14" s="30"/>
      <c r="R14" s="30"/>
      <c r="S14" s="30"/>
      <c r="T14" s="23"/>
      <c r="W14" s="63" t="s">
        <v>23</v>
      </c>
      <c r="X14" s="64">
        <v>3.7552000000000002E-2</v>
      </c>
    </row>
    <row r="15" spans="1:24" ht="15" customHeight="1" x14ac:dyDescent="0.25">
      <c r="B15" s="91"/>
      <c r="C15" s="211" t="s">
        <v>36</v>
      </c>
      <c r="D15" s="224" t="s">
        <v>3</v>
      </c>
      <c r="E15" s="225">
        <v>3.9924000000000001E-2</v>
      </c>
      <c r="F15" s="30"/>
      <c r="G15" s="30"/>
      <c r="H15" s="30"/>
      <c r="I15" s="30"/>
      <c r="J15" s="30"/>
      <c r="K15" s="30"/>
      <c r="L15" s="30"/>
      <c r="M15" s="30"/>
      <c r="N15" s="30"/>
      <c r="O15" s="30"/>
      <c r="P15" s="30"/>
      <c r="Q15" s="30"/>
      <c r="R15" s="30"/>
      <c r="S15" s="30"/>
      <c r="T15" s="23"/>
      <c r="W15" s="63" t="s">
        <v>16</v>
      </c>
      <c r="X15" s="64">
        <v>3.7155999999999995E-2</v>
      </c>
    </row>
    <row r="16" spans="1:24" ht="15" customHeight="1" x14ac:dyDescent="0.25">
      <c r="B16" s="91"/>
      <c r="C16" s="211" t="s">
        <v>35</v>
      </c>
      <c r="D16" s="224" t="s">
        <v>23</v>
      </c>
      <c r="E16" s="225">
        <v>3.7552000000000002E-2</v>
      </c>
      <c r="F16" s="30"/>
      <c r="G16" s="30"/>
      <c r="H16" s="30"/>
      <c r="I16" s="30"/>
      <c r="J16" s="30"/>
      <c r="K16" s="30"/>
      <c r="L16" s="30"/>
      <c r="M16" s="30"/>
      <c r="N16" s="30"/>
      <c r="O16" s="30"/>
      <c r="P16" s="30"/>
      <c r="Q16" s="30"/>
      <c r="R16" s="30"/>
      <c r="S16" s="30"/>
      <c r="T16" s="23"/>
      <c r="W16" s="63" t="s">
        <v>12</v>
      </c>
      <c r="X16" s="64">
        <v>3.0193999999999999E-2</v>
      </c>
    </row>
    <row r="17" spans="2:24" ht="15" customHeight="1" x14ac:dyDescent="0.25">
      <c r="B17" s="91"/>
      <c r="C17" s="211" t="s">
        <v>37</v>
      </c>
      <c r="D17" s="224" t="s">
        <v>3</v>
      </c>
      <c r="E17" s="225">
        <v>3.4757999999999997E-2</v>
      </c>
      <c r="F17" s="30"/>
      <c r="G17" s="30"/>
      <c r="H17" s="30"/>
      <c r="I17" s="30"/>
      <c r="J17" s="30"/>
      <c r="K17" s="30"/>
      <c r="L17" s="30"/>
      <c r="M17" s="30"/>
      <c r="N17" s="30"/>
      <c r="O17" s="30"/>
      <c r="P17" s="30"/>
      <c r="Q17" s="30"/>
      <c r="R17" s="30"/>
      <c r="S17" s="30"/>
      <c r="T17" s="23"/>
      <c r="W17" s="63" t="s">
        <v>10</v>
      </c>
      <c r="X17" s="64">
        <v>2.2554999999999999E-2</v>
      </c>
    </row>
    <row r="18" spans="2:24" ht="15" customHeight="1" x14ac:dyDescent="0.25">
      <c r="B18" s="91"/>
      <c r="C18" s="211" t="s">
        <v>38</v>
      </c>
      <c r="D18" s="224" t="s">
        <v>146</v>
      </c>
      <c r="E18" s="225">
        <v>3.3321999999999997E-2</v>
      </c>
      <c r="F18" s="30"/>
      <c r="G18" s="30"/>
      <c r="H18" s="30"/>
      <c r="I18" s="30"/>
      <c r="J18" s="30"/>
      <c r="K18" s="30"/>
      <c r="L18" s="30"/>
      <c r="M18" s="30"/>
      <c r="N18" s="30"/>
      <c r="O18" s="30"/>
      <c r="P18" s="30"/>
      <c r="Q18" s="30"/>
      <c r="R18" s="30"/>
      <c r="S18" s="30"/>
      <c r="T18" s="23"/>
      <c r="W18" s="63" t="s">
        <v>140</v>
      </c>
      <c r="X18" s="64">
        <v>1.5051999999999999E-2</v>
      </c>
    </row>
    <row r="19" spans="2:24" ht="15" customHeight="1" x14ac:dyDescent="0.25">
      <c r="B19" s="91"/>
      <c r="C19" s="211" t="s">
        <v>76</v>
      </c>
      <c r="D19" s="224" t="s">
        <v>12</v>
      </c>
      <c r="E19" s="225">
        <v>3.0193999999999999E-2</v>
      </c>
      <c r="F19" s="30"/>
      <c r="G19" s="30"/>
      <c r="H19" s="30"/>
      <c r="I19" s="30"/>
      <c r="J19" s="30"/>
      <c r="K19" s="30"/>
      <c r="L19" s="30"/>
      <c r="M19" s="30"/>
      <c r="N19" s="30"/>
      <c r="O19" s="30"/>
      <c r="P19" s="30"/>
      <c r="Q19" s="30"/>
      <c r="R19" s="30"/>
      <c r="S19" s="30"/>
      <c r="T19" s="23"/>
      <c r="W19" s="63" t="s">
        <v>97</v>
      </c>
      <c r="X19" s="64">
        <v>1.2642E-2</v>
      </c>
    </row>
    <row r="20" spans="2:24" ht="15" customHeight="1" x14ac:dyDescent="0.25">
      <c r="B20" s="91"/>
      <c r="C20" s="211" t="s">
        <v>93</v>
      </c>
      <c r="D20" s="224" t="s">
        <v>3</v>
      </c>
      <c r="E20" s="225">
        <v>3.0138999999999999E-2</v>
      </c>
      <c r="F20" s="30"/>
      <c r="G20" s="30"/>
      <c r="H20" s="30"/>
      <c r="I20" s="30"/>
      <c r="J20" s="30"/>
      <c r="K20" s="30"/>
      <c r="L20" s="30"/>
      <c r="M20" s="30"/>
      <c r="N20" s="30"/>
      <c r="O20" s="30"/>
      <c r="P20" s="30"/>
      <c r="Q20" s="30"/>
      <c r="R20" s="30"/>
      <c r="S20" s="30"/>
      <c r="T20" s="23"/>
      <c r="W20" s="63" t="s">
        <v>11</v>
      </c>
      <c r="X20" s="64">
        <v>1.2021E-2</v>
      </c>
    </row>
    <row r="21" spans="2:24" ht="15" customHeight="1" x14ac:dyDescent="0.25">
      <c r="B21" s="91"/>
      <c r="C21" s="211" t="s">
        <v>95</v>
      </c>
      <c r="D21" s="224" t="s">
        <v>4</v>
      </c>
      <c r="E21" s="225">
        <v>2.5448999999999999E-2</v>
      </c>
      <c r="F21" s="30"/>
      <c r="G21" s="30"/>
      <c r="H21" s="30"/>
      <c r="I21" s="30"/>
      <c r="J21" s="30"/>
      <c r="K21" s="30"/>
      <c r="L21" s="30"/>
      <c r="M21" s="30"/>
      <c r="N21" s="30"/>
      <c r="O21" s="30"/>
      <c r="P21" s="30"/>
      <c r="Q21" s="30"/>
      <c r="R21" s="30"/>
      <c r="S21" s="30"/>
      <c r="T21" s="23"/>
      <c r="W21" s="63" t="s">
        <v>136</v>
      </c>
      <c r="X21" s="64">
        <v>9.2879999999999994E-3</v>
      </c>
    </row>
    <row r="22" spans="2:24" ht="15" customHeight="1" x14ac:dyDescent="0.25">
      <c r="B22" s="91"/>
      <c r="C22" s="211" t="s">
        <v>211</v>
      </c>
      <c r="D22" s="224" t="s">
        <v>16</v>
      </c>
      <c r="E22" s="225">
        <v>2.0539999999999999E-2</v>
      </c>
      <c r="F22" s="30"/>
      <c r="G22" s="30"/>
      <c r="H22" s="30"/>
      <c r="I22" s="30"/>
      <c r="J22" s="30"/>
      <c r="K22" s="30"/>
      <c r="L22" s="30"/>
      <c r="M22" s="30"/>
      <c r="N22" s="30"/>
      <c r="O22" s="30"/>
      <c r="P22" s="30"/>
      <c r="Q22" s="30"/>
      <c r="R22" s="30"/>
      <c r="S22" s="30"/>
      <c r="T22" s="23"/>
    </row>
    <row r="23" spans="2:24" ht="15" customHeight="1" x14ac:dyDescent="0.25">
      <c r="B23" s="91"/>
      <c r="C23" s="83"/>
      <c r="D23" s="83"/>
      <c r="E23" s="84"/>
      <c r="F23" s="30"/>
      <c r="G23" s="30"/>
      <c r="H23" s="30"/>
      <c r="I23" s="30"/>
      <c r="J23" s="30"/>
      <c r="K23" s="30"/>
      <c r="L23" s="30"/>
      <c r="M23" s="30"/>
      <c r="N23" s="30"/>
      <c r="O23" s="30"/>
      <c r="P23" s="30"/>
      <c r="Q23" s="30"/>
      <c r="R23" s="30"/>
      <c r="S23" s="30"/>
      <c r="T23" s="23"/>
      <c r="W23" s="63"/>
      <c r="X23" s="64"/>
    </row>
    <row r="24" spans="2:24" ht="15" customHeight="1" x14ac:dyDescent="0.25">
      <c r="B24" s="91"/>
      <c r="C24" s="85" t="s">
        <v>56</v>
      </c>
      <c r="D24" s="86"/>
      <c r="E24" s="87">
        <f>SUM(E8:E22)</f>
        <v>0.798956</v>
      </c>
      <c r="F24" s="30"/>
      <c r="G24" s="30"/>
      <c r="H24" s="30"/>
      <c r="I24" s="30"/>
      <c r="J24" s="30"/>
      <c r="K24" s="30"/>
      <c r="L24" s="30"/>
      <c r="M24" s="30"/>
      <c r="N24" s="30"/>
      <c r="O24" s="30"/>
      <c r="P24" s="30"/>
      <c r="Q24" s="30"/>
      <c r="R24" s="30"/>
      <c r="S24" s="30"/>
      <c r="T24" s="23"/>
      <c r="W24" s="63"/>
      <c r="X24" s="64"/>
    </row>
    <row r="25" spans="2:24" ht="15" customHeight="1" x14ac:dyDescent="0.25">
      <c r="B25" s="91"/>
      <c r="F25" s="30"/>
      <c r="G25" s="30"/>
      <c r="H25" s="30"/>
      <c r="I25" s="30"/>
      <c r="J25" s="30"/>
      <c r="K25" s="30"/>
      <c r="L25" s="30"/>
      <c r="M25" s="30"/>
      <c r="N25" s="30"/>
      <c r="O25" s="30"/>
      <c r="P25" s="30"/>
      <c r="Q25" s="30"/>
      <c r="R25" s="30"/>
      <c r="S25" s="30"/>
      <c r="T25" s="23"/>
      <c r="W25" s="63"/>
      <c r="X25" s="64"/>
    </row>
    <row r="26" spans="2:24" ht="15" customHeight="1" x14ac:dyDescent="0.25">
      <c r="B26" s="91"/>
      <c r="F26" s="30"/>
      <c r="G26" s="30"/>
      <c r="H26" s="30"/>
      <c r="I26" s="30"/>
      <c r="J26" s="30"/>
      <c r="K26" s="30"/>
      <c r="L26" s="30"/>
      <c r="M26" s="30"/>
      <c r="N26" s="30"/>
      <c r="O26" s="30"/>
      <c r="P26" s="30"/>
      <c r="Q26" s="30"/>
      <c r="R26" s="30"/>
      <c r="S26" s="30"/>
      <c r="T26" s="23"/>
      <c r="W26" s="63"/>
      <c r="X26" s="64"/>
    </row>
    <row r="27" spans="2:24" ht="15" customHeight="1" x14ac:dyDescent="0.25">
      <c r="B27" s="91"/>
      <c r="F27" s="30"/>
      <c r="G27" s="30"/>
      <c r="H27" s="30"/>
      <c r="I27" s="30"/>
      <c r="J27" s="30"/>
      <c r="K27" s="30"/>
      <c r="L27" s="30"/>
      <c r="M27" s="30"/>
      <c r="N27" s="30"/>
      <c r="O27" s="30"/>
      <c r="P27" s="30"/>
      <c r="Q27" s="30"/>
      <c r="R27" s="30"/>
      <c r="S27" s="30"/>
      <c r="T27" s="23"/>
      <c r="W27" s="63"/>
      <c r="X27" s="64"/>
    </row>
    <row r="28" spans="2:24" ht="15" customHeight="1" x14ac:dyDescent="0.25">
      <c r="B28" s="91"/>
      <c r="F28" s="30"/>
      <c r="G28" s="30"/>
      <c r="H28" s="30"/>
      <c r="I28" s="30"/>
      <c r="J28" s="30"/>
      <c r="K28" s="30"/>
      <c r="L28" s="30"/>
      <c r="M28" s="30"/>
      <c r="N28" s="30"/>
      <c r="O28" s="30"/>
      <c r="P28" s="30"/>
      <c r="Q28" s="30"/>
      <c r="R28" s="30"/>
      <c r="S28" s="30"/>
      <c r="T28" s="23"/>
      <c r="W28" s="63"/>
      <c r="X28" s="64"/>
    </row>
    <row r="29" spans="2:24" ht="15" customHeight="1" x14ac:dyDescent="0.25">
      <c r="B29" s="91"/>
      <c r="F29" s="30"/>
      <c r="G29" s="30"/>
      <c r="H29" s="30"/>
      <c r="I29" s="30"/>
      <c r="J29" s="30"/>
      <c r="K29" s="30"/>
      <c r="L29" s="30"/>
      <c r="M29" s="30"/>
      <c r="N29" s="30"/>
      <c r="O29" s="30"/>
      <c r="P29" s="30"/>
      <c r="Q29" s="30"/>
      <c r="R29" s="30"/>
      <c r="S29" s="30"/>
      <c r="T29" s="23"/>
      <c r="W29" s="63"/>
      <c r="X29" s="64"/>
    </row>
    <row r="30" spans="2:24" ht="15" customHeight="1" x14ac:dyDescent="0.25">
      <c r="B30" s="91"/>
      <c r="F30" s="30"/>
      <c r="G30" s="30"/>
      <c r="H30" s="30"/>
      <c r="I30" s="30"/>
      <c r="J30" s="30"/>
      <c r="K30" s="30"/>
      <c r="L30" s="30"/>
      <c r="M30" s="30"/>
      <c r="N30" s="30"/>
      <c r="O30" s="30"/>
      <c r="P30" s="30"/>
      <c r="Q30" s="30"/>
      <c r="R30" s="30"/>
      <c r="S30" s="30"/>
      <c r="T30" s="23"/>
      <c r="W30" s="63"/>
      <c r="X30" s="64"/>
    </row>
    <row r="31" spans="2:24" ht="15" customHeight="1" x14ac:dyDescent="0.25">
      <c r="B31" s="91"/>
      <c r="F31" s="30"/>
      <c r="G31" s="30"/>
      <c r="H31" s="30"/>
      <c r="I31" s="30"/>
      <c r="J31" s="30"/>
      <c r="K31" s="30"/>
      <c r="L31" s="30"/>
      <c r="M31" s="30"/>
      <c r="N31" s="30"/>
      <c r="O31" s="30"/>
      <c r="P31" s="30"/>
      <c r="Q31" s="30"/>
      <c r="R31" s="30"/>
      <c r="S31" s="30"/>
      <c r="T31" s="23"/>
      <c r="W31" s="63"/>
      <c r="X31" s="64"/>
    </row>
    <row r="32" spans="2:24" ht="15" customHeight="1" x14ac:dyDescent="0.25">
      <c r="B32" s="91"/>
      <c r="F32" s="30"/>
      <c r="G32" s="30"/>
      <c r="H32" s="30"/>
      <c r="I32" s="30"/>
      <c r="J32" s="30"/>
      <c r="K32" s="30"/>
      <c r="L32" s="30"/>
      <c r="M32" s="30"/>
      <c r="N32" s="30"/>
      <c r="O32" s="30"/>
      <c r="P32" s="30"/>
      <c r="Q32" s="30"/>
      <c r="R32" s="30"/>
      <c r="S32" s="30"/>
      <c r="T32" s="23"/>
      <c r="W32" s="63"/>
      <c r="X32" s="64"/>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c r="W34" s="63"/>
      <c r="X34" s="64"/>
    </row>
    <row r="35" spans="2:24" ht="15" customHeight="1" x14ac:dyDescent="0.25">
      <c r="B35" s="91"/>
      <c r="F35" s="30"/>
      <c r="G35" s="30"/>
      <c r="H35" s="30"/>
      <c r="I35" s="30"/>
      <c r="J35" s="30"/>
      <c r="K35" s="30"/>
      <c r="L35" s="30"/>
      <c r="M35" s="30"/>
      <c r="N35" s="30"/>
      <c r="O35" s="30"/>
      <c r="P35" s="30"/>
      <c r="Q35" s="30"/>
      <c r="R35" s="30"/>
      <c r="S35" s="30"/>
      <c r="T35" s="23"/>
      <c r="W35" s="63"/>
      <c r="X35" s="64"/>
    </row>
    <row r="36" spans="2:24" ht="15" customHeight="1" x14ac:dyDescent="0.25">
      <c r="B36" s="91"/>
      <c r="F36" s="30"/>
      <c r="G36" s="30"/>
      <c r="H36" s="30"/>
      <c r="I36" s="30"/>
      <c r="J36" s="30"/>
      <c r="K36" s="30"/>
      <c r="L36" s="30"/>
      <c r="M36" s="30"/>
      <c r="N36" s="30"/>
      <c r="O36" s="30"/>
      <c r="P36" s="30"/>
      <c r="Q36" s="30"/>
      <c r="R36" s="30"/>
      <c r="S36" s="30"/>
      <c r="T36" s="23"/>
      <c r="W36" s="63"/>
      <c r="X36" s="64"/>
    </row>
    <row r="37" spans="2:24" ht="15" customHeight="1" thickBot="1" x14ac:dyDescent="0.3">
      <c r="B37" s="92"/>
      <c r="C37" s="93"/>
      <c r="D37" s="93"/>
      <c r="E37" s="93"/>
      <c r="F37" s="93"/>
      <c r="G37" s="93"/>
      <c r="H37" s="93"/>
      <c r="I37" s="93"/>
      <c r="J37" s="93"/>
      <c r="K37" s="93"/>
      <c r="L37" s="93"/>
      <c r="M37" s="93"/>
      <c r="N37" s="93"/>
      <c r="O37" s="93"/>
      <c r="P37" s="93"/>
      <c r="Q37" s="93"/>
      <c r="R37" s="93"/>
      <c r="S37" s="93"/>
      <c r="T37" s="24"/>
    </row>
    <row r="38" spans="2:24" ht="15" customHeight="1" thickBot="1" x14ac:dyDescent="0.3"/>
    <row r="39" spans="2:24" ht="15" customHeight="1" x14ac:dyDescent="0.25">
      <c r="B39" s="245" t="s">
        <v>265</v>
      </c>
      <c r="C39" s="246"/>
      <c r="D39" s="246"/>
      <c r="E39" s="246"/>
      <c r="F39" s="246"/>
      <c r="G39" s="246"/>
      <c r="H39" s="246"/>
      <c r="I39" s="246"/>
      <c r="J39" s="246"/>
      <c r="K39" s="246"/>
      <c r="L39" s="246"/>
      <c r="M39" s="246"/>
      <c r="N39" s="246"/>
      <c r="O39" s="246"/>
      <c r="P39" s="246"/>
      <c r="Q39" s="246"/>
      <c r="R39" s="247"/>
    </row>
    <row r="40" spans="2:24" ht="15" customHeight="1" x14ac:dyDescent="0.25">
      <c r="B40" s="248"/>
      <c r="C40" s="249"/>
      <c r="D40" s="249"/>
      <c r="E40" s="249"/>
      <c r="F40" s="249"/>
      <c r="G40" s="249"/>
      <c r="H40" s="249"/>
      <c r="I40" s="249"/>
      <c r="J40" s="249"/>
      <c r="K40" s="249"/>
      <c r="L40" s="249"/>
      <c r="M40" s="249"/>
      <c r="N40" s="249"/>
      <c r="O40" s="249"/>
      <c r="P40" s="249"/>
      <c r="Q40" s="249"/>
      <c r="R40" s="250"/>
    </row>
    <row r="41" spans="2:24" ht="15" customHeight="1" x14ac:dyDescent="0.25">
      <c r="B41" s="248"/>
      <c r="C41" s="249"/>
      <c r="D41" s="249"/>
      <c r="E41" s="249"/>
      <c r="F41" s="249"/>
      <c r="G41" s="249"/>
      <c r="H41" s="249"/>
      <c r="I41" s="249"/>
      <c r="J41" s="249"/>
      <c r="K41" s="249"/>
      <c r="L41" s="249"/>
      <c r="M41" s="249"/>
      <c r="N41" s="249"/>
      <c r="O41" s="249"/>
      <c r="P41" s="249"/>
      <c r="Q41" s="249"/>
      <c r="R41" s="250"/>
    </row>
    <row r="42" spans="2:24" ht="15" customHeight="1" x14ac:dyDescent="0.25">
      <c r="B42" s="248"/>
      <c r="C42" s="249"/>
      <c r="D42" s="249"/>
      <c r="E42" s="249"/>
      <c r="F42" s="249"/>
      <c r="G42" s="249"/>
      <c r="H42" s="249"/>
      <c r="I42" s="249"/>
      <c r="J42" s="249"/>
      <c r="K42" s="249"/>
      <c r="L42" s="249"/>
      <c r="M42" s="249"/>
      <c r="N42" s="249"/>
      <c r="O42" s="249"/>
      <c r="P42" s="249"/>
      <c r="Q42" s="249"/>
      <c r="R42" s="250"/>
    </row>
    <row r="43" spans="2:24" ht="15" customHeight="1" x14ac:dyDescent="0.25">
      <c r="B43" s="248"/>
      <c r="C43" s="249"/>
      <c r="D43" s="249"/>
      <c r="E43" s="249"/>
      <c r="F43" s="249"/>
      <c r="G43" s="249"/>
      <c r="H43" s="249"/>
      <c r="I43" s="249"/>
      <c r="J43" s="249"/>
      <c r="K43" s="249"/>
      <c r="L43" s="249"/>
      <c r="M43" s="249"/>
      <c r="N43" s="249"/>
      <c r="O43" s="249"/>
      <c r="P43" s="249"/>
      <c r="Q43" s="249"/>
      <c r="R43" s="250"/>
    </row>
    <row r="44" spans="2:24" ht="15" customHeight="1" x14ac:dyDescent="0.25">
      <c r="B44" s="248"/>
      <c r="C44" s="249"/>
      <c r="D44" s="249"/>
      <c r="E44" s="249"/>
      <c r="F44" s="249"/>
      <c r="G44" s="249"/>
      <c r="H44" s="249"/>
      <c r="I44" s="249"/>
      <c r="J44" s="249"/>
      <c r="K44" s="249"/>
      <c r="L44" s="249"/>
      <c r="M44" s="249"/>
      <c r="N44" s="249"/>
      <c r="O44" s="249"/>
      <c r="P44" s="249"/>
      <c r="Q44" s="249"/>
      <c r="R44" s="250"/>
    </row>
    <row r="45" spans="2:24" ht="26.25" customHeight="1" thickBot="1" x14ac:dyDescent="0.3">
      <c r="B45" s="251"/>
      <c r="C45" s="252"/>
      <c r="D45" s="252"/>
      <c r="E45" s="252"/>
      <c r="F45" s="252"/>
      <c r="G45" s="252"/>
      <c r="H45" s="252"/>
      <c r="I45" s="252"/>
      <c r="J45" s="252"/>
      <c r="K45" s="252"/>
      <c r="L45" s="252"/>
      <c r="M45" s="252"/>
      <c r="N45" s="252"/>
      <c r="O45" s="252"/>
      <c r="P45" s="252"/>
      <c r="Q45" s="252"/>
      <c r="R45" s="25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4" t="s">
        <v>216</v>
      </c>
      <c r="D3" s="255"/>
      <c r="E3" s="255"/>
      <c r="F3" s="255"/>
      <c r="G3" s="255"/>
      <c r="H3" s="255"/>
      <c r="I3" s="255"/>
      <c r="J3" s="255"/>
      <c r="K3" s="255"/>
      <c r="L3" s="255"/>
      <c r="M3" s="255"/>
      <c r="N3" s="255"/>
      <c r="O3" s="255"/>
      <c r="P3" s="255"/>
      <c r="Q3" s="255"/>
      <c r="R3" s="255"/>
      <c r="S3" s="255"/>
      <c r="T3" s="23"/>
    </row>
    <row r="4" spans="1:24" ht="15.75" customHeight="1" x14ac:dyDescent="0.25">
      <c r="B4" s="91"/>
      <c r="C4" s="78" t="s">
        <v>303</v>
      </c>
      <c r="D4" s="30"/>
      <c r="E4" s="30"/>
      <c r="F4" s="30"/>
      <c r="G4" s="30"/>
      <c r="H4" s="30"/>
      <c r="I4" s="30"/>
      <c r="J4" s="30"/>
      <c r="K4" s="30"/>
      <c r="L4" s="30"/>
      <c r="M4" s="30"/>
      <c r="N4" s="30"/>
      <c r="O4" s="30"/>
      <c r="P4" s="30"/>
      <c r="Q4" s="30"/>
      <c r="R4" s="30"/>
      <c r="S4" s="30"/>
      <c r="T4" s="23"/>
    </row>
    <row r="5" spans="1:24" ht="18" customHeight="1" x14ac:dyDescent="0.25">
      <c r="B5" s="91"/>
      <c r="C5" s="79" t="s">
        <v>304</v>
      </c>
      <c r="D5" s="258" t="s">
        <v>299</v>
      </c>
      <c r="E5" s="258"/>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1" t="s">
        <v>32</v>
      </c>
      <c r="D8" s="222" t="s">
        <v>6</v>
      </c>
      <c r="E8" s="223">
        <v>0.101785</v>
      </c>
      <c r="F8" s="30"/>
      <c r="G8" s="30"/>
      <c r="H8" s="30"/>
      <c r="I8" s="30"/>
      <c r="J8" s="30"/>
      <c r="K8" s="30"/>
      <c r="L8" s="30"/>
      <c r="M8" s="30"/>
      <c r="N8" s="30"/>
      <c r="O8" s="30"/>
      <c r="P8" s="30"/>
      <c r="Q8" s="30"/>
      <c r="R8" s="30"/>
      <c r="S8" s="30"/>
      <c r="T8" s="23"/>
      <c r="W8" s="63" t="s">
        <v>3</v>
      </c>
      <c r="X8" s="64">
        <v>0.27135100000000001</v>
      </c>
    </row>
    <row r="9" spans="1:24" ht="15.75" customHeight="1" x14ac:dyDescent="0.25">
      <c r="B9" s="91"/>
      <c r="C9" s="211" t="s">
        <v>29</v>
      </c>
      <c r="D9" s="224" t="s">
        <v>3</v>
      </c>
      <c r="E9" s="225">
        <v>8.6252999999999996E-2</v>
      </c>
      <c r="F9" s="30"/>
      <c r="G9" s="30"/>
      <c r="H9" s="30"/>
      <c r="I9" s="30"/>
      <c r="J9" s="30"/>
      <c r="K9" s="30"/>
      <c r="L9" s="30"/>
      <c r="M9" s="30"/>
      <c r="N9" s="30"/>
      <c r="O9" s="30"/>
      <c r="P9" s="30"/>
      <c r="Q9" s="30"/>
      <c r="R9" s="30"/>
      <c r="S9" s="30"/>
      <c r="T9" s="23"/>
      <c r="W9" s="63" t="s">
        <v>135</v>
      </c>
      <c r="X9" s="64">
        <v>0.13108700000000001</v>
      </c>
    </row>
    <row r="10" spans="1:24" ht="15.75" x14ac:dyDescent="0.25">
      <c r="B10" s="91"/>
      <c r="C10" s="211" t="s">
        <v>33</v>
      </c>
      <c r="D10" s="224" t="s">
        <v>3</v>
      </c>
      <c r="E10" s="225">
        <v>8.1324999999999995E-2</v>
      </c>
      <c r="F10" s="30"/>
      <c r="G10" s="30"/>
      <c r="H10" s="30"/>
      <c r="I10" s="30"/>
      <c r="J10" s="30"/>
      <c r="K10" s="30"/>
      <c r="L10" s="30"/>
      <c r="M10" s="30"/>
      <c r="N10" s="30"/>
      <c r="O10" s="30"/>
      <c r="P10" s="30"/>
      <c r="Q10" s="30"/>
      <c r="R10" s="30"/>
      <c r="S10" s="30"/>
      <c r="T10" s="23"/>
      <c r="W10" s="63" t="s">
        <v>6</v>
      </c>
      <c r="X10" s="64">
        <v>0.10610899999999999</v>
      </c>
    </row>
    <row r="11" spans="1:24" ht="15.75" customHeight="1" x14ac:dyDescent="0.25">
      <c r="B11" s="91"/>
      <c r="C11" s="211" t="s">
        <v>28</v>
      </c>
      <c r="D11" s="224" t="s">
        <v>135</v>
      </c>
      <c r="E11" s="225">
        <v>5.8345000000000001E-2</v>
      </c>
      <c r="F11" s="30"/>
      <c r="G11" s="30"/>
      <c r="H11" s="30"/>
      <c r="I11" s="30"/>
      <c r="J11" s="30"/>
      <c r="K11" s="30"/>
      <c r="L11" s="30"/>
      <c r="M11" s="30"/>
      <c r="N11" s="30"/>
      <c r="O11" s="30"/>
      <c r="P11" s="30"/>
      <c r="Q11" s="30"/>
      <c r="R11" s="30"/>
      <c r="S11" s="30"/>
      <c r="T11" s="23"/>
      <c r="W11" s="63" t="s">
        <v>4</v>
      </c>
      <c r="X11" s="64">
        <v>9.0414999999999995E-2</v>
      </c>
    </row>
    <row r="12" spans="1:24" ht="15" customHeight="1" x14ac:dyDescent="0.25">
      <c r="B12" s="91"/>
      <c r="C12" s="211" t="s">
        <v>30</v>
      </c>
      <c r="D12" s="224" t="s">
        <v>4</v>
      </c>
      <c r="E12" s="225">
        <v>5.7953999999999999E-2</v>
      </c>
      <c r="F12" s="30"/>
      <c r="G12" s="30"/>
      <c r="H12" s="30"/>
      <c r="I12" s="30"/>
      <c r="J12" s="30"/>
      <c r="K12" s="30"/>
      <c r="L12" s="30"/>
      <c r="M12" s="30"/>
      <c r="N12" s="30"/>
      <c r="O12" s="30"/>
      <c r="P12" s="30"/>
      <c r="Q12" s="30"/>
      <c r="R12" s="30"/>
      <c r="S12" s="30"/>
      <c r="T12" s="23"/>
      <c r="W12" s="63" t="s">
        <v>146</v>
      </c>
      <c r="X12" s="64">
        <v>7.7190999999999996E-2</v>
      </c>
    </row>
    <row r="13" spans="1:24" ht="15" customHeight="1" x14ac:dyDescent="0.25">
      <c r="B13" s="91"/>
      <c r="C13" s="211" t="s">
        <v>31</v>
      </c>
      <c r="D13" s="224" t="s">
        <v>146</v>
      </c>
      <c r="E13" s="225">
        <v>4.7822999999999997E-2</v>
      </c>
      <c r="F13" s="30"/>
      <c r="G13" s="30"/>
      <c r="H13" s="30"/>
      <c r="I13" s="30"/>
      <c r="J13" s="30"/>
      <c r="K13" s="30"/>
      <c r="L13" s="30"/>
      <c r="M13" s="30"/>
      <c r="N13" s="30"/>
      <c r="O13" s="30"/>
      <c r="P13" s="30"/>
      <c r="Q13" s="30"/>
      <c r="R13" s="30"/>
      <c r="S13" s="30"/>
      <c r="T13" s="23"/>
      <c r="W13" s="63" t="s">
        <v>141</v>
      </c>
      <c r="X13" s="64">
        <v>5.8205E-2</v>
      </c>
    </row>
    <row r="14" spans="1:24" ht="15" customHeight="1" x14ac:dyDescent="0.25">
      <c r="B14" s="91"/>
      <c r="C14" s="211" t="s">
        <v>34</v>
      </c>
      <c r="D14" s="224" t="s">
        <v>135</v>
      </c>
      <c r="E14" s="225">
        <v>4.1563000000000003E-2</v>
      </c>
      <c r="F14" s="30"/>
      <c r="G14" s="30"/>
      <c r="H14" s="30"/>
      <c r="I14" s="30"/>
      <c r="J14" s="30"/>
      <c r="K14" s="30"/>
      <c r="L14" s="30"/>
      <c r="M14" s="30"/>
      <c r="N14" s="30"/>
      <c r="O14" s="30"/>
      <c r="P14" s="30"/>
      <c r="Q14" s="30"/>
      <c r="R14" s="30"/>
      <c r="S14" s="30"/>
      <c r="T14" s="23"/>
      <c r="W14" s="63" t="s">
        <v>23</v>
      </c>
      <c r="X14" s="64">
        <v>3.2827000000000002E-2</v>
      </c>
    </row>
    <row r="15" spans="1:24" ht="15" customHeight="1" x14ac:dyDescent="0.25">
      <c r="B15" s="91"/>
      <c r="C15" s="211" t="s">
        <v>36</v>
      </c>
      <c r="D15" s="224" t="s">
        <v>3</v>
      </c>
      <c r="E15" s="225">
        <v>3.6355999999999999E-2</v>
      </c>
      <c r="F15" s="30"/>
      <c r="G15" s="30"/>
      <c r="H15" s="30"/>
      <c r="I15" s="30"/>
      <c r="J15" s="30"/>
      <c r="K15" s="30"/>
      <c r="L15" s="30"/>
      <c r="M15" s="30"/>
      <c r="N15" s="30"/>
      <c r="O15" s="30"/>
      <c r="P15" s="30"/>
      <c r="Q15" s="30"/>
      <c r="R15" s="30"/>
      <c r="S15" s="30"/>
      <c r="T15" s="23"/>
      <c r="W15" s="63" t="s">
        <v>16</v>
      </c>
      <c r="X15" s="64">
        <v>3.2513E-2</v>
      </c>
    </row>
    <row r="16" spans="1:24" ht="15" customHeight="1" x14ac:dyDescent="0.25">
      <c r="B16" s="91"/>
      <c r="C16" s="211" t="s">
        <v>35</v>
      </c>
      <c r="D16" s="224" t="s">
        <v>23</v>
      </c>
      <c r="E16" s="225">
        <v>3.2827000000000002E-2</v>
      </c>
      <c r="F16" s="30"/>
      <c r="G16" s="30"/>
      <c r="H16" s="30"/>
      <c r="I16" s="30"/>
      <c r="J16" s="30"/>
      <c r="K16" s="30"/>
      <c r="L16" s="30"/>
      <c r="M16" s="30"/>
      <c r="N16" s="30"/>
      <c r="O16" s="30"/>
      <c r="P16" s="30"/>
      <c r="Q16" s="30"/>
      <c r="R16" s="30"/>
      <c r="S16" s="30"/>
      <c r="T16" s="23"/>
      <c r="W16" s="63" t="s">
        <v>140</v>
      </c>
      <c r="X16" s="64">
        <v>3.1592000000000002E-2</v>
      </c>
    </row>
    <row r="17" spans="2:24" ht="15" customHeight="1" x14ac:dyDescent="0.25">
      <c r="B17" s="91"/>
      <c r="C17" s="211" t="s">
        <v>37</v>
      </c>
      <c r="D17" s="224" t="s">
        <v>3</v>
      </c>
      <c r="E17" s="225">
        <v>3.0152000000000002E-2</v>
      </c>
      <c r="F17" s="30"/>
      <c r="G17" s="30"/>
      <c r="H17" s="30"/>
      <c r="I17" s="30"/>
      <c r="J17" s="30"/>
      <c r="K17" s="30"/>
      <c r="L17" s="30"/>
      <c r="M17" s="30"/>
      <c r="N17" s="30"/>
      <c r="O17" s="30"/>
      <c r="P17" s="30"/>
      <c r="Q17" s="30"/>
      <c r="R17" s="30"/>
      <c r="S17" s="30"/>
      <c r="T17" s="23"/>
      <c r="W17" s="63" t="s">
        <v>12</v>
      </c>
      <c r="X17" s="64">
        <v>2.6218999999999999E-2</v>
      </c>
    </row>
    <row r="18" spans="2:24" ht="15" customHeight="1" x14ac:dyDescent="0.25">
      <c r="B18" s="91"/>
      <c r="C18" s="211" t="s">
        <v>38</v>
      </c>
      <c r="D18" s="224" t="s">
        <v>146</v>
      </c>
      <c r="E18" s="225">
        <v>2.9367999999999998E-2</v>
      </c>
      <c r="F18" s="30"/>
      <c r="G18" s="30"/>
      <c r="H18" s="30"/>
      <c r="I18" s="30"/>
      <c r="J18" s="30"/>
      <c r="K18" s="30"/>
      <c r="L18" s="30"/>
      <c r="M18" s="30"/>
      <c r="N18" s="30"/>
      <c r="O18" s="30"/>
      <c r="P18" s="30"/>
      <c r="Q18" s="30"/>
      <c r="R18" s="30"/>
      <c r="S18" s="30"/>
      <c r="T18" s="23"/>
      <c r="W18" s="63" t="s">
        <v>10</v>
      </c>
      <c r="X18" s="64">
        <v>1.9753E-2</v>
      </c>
    </row>
    <row r="19" spans="2:24" ht="15" customHeight="1" x14ac:dyDescent="0.25">
      <c r="B19" s="91"/>
      <c r="C19" s="211" t="s">
        <v>93</v>
      </c>
      <c r="D19" s="224" t="s">
        <v>3</v>
      </c>
      <c r="E19" s="225">
        <v>2.6994000000000001E-2</v>
      </c>
      <c r="F19" s="30"/>
      <c r="G19" s="30"/>
      <c r="H19" s="30"/>
      <c r="I19" s="30"/>
      <c r="J19" s="30"/>
      <c r="K19" s="30"/>
      <c r="L19" s="30"/>
      <c r="M19" s="30"/>
      <c r="N19" s="30"/>
      <c r="O19" s="30"/>
      <c r="P19" s="30"/>
      <c r="Q19" s="30"/>
      <c r="R19" s="30"/>
      <c r="S19" s="30"/>
      <c r="T19" s="23"/>
      <c r="W19" s="63" t="s">
        <v>97</v>
      </c>
      <c r="X19" s="64">
        <v>1.8844E-2</v>
      </c>
    </row>
    <row r="20" spans="2:24" ht="15" customHeight="1" x14ac:dyDescent="0.25">
      <c r="B20" s="91"/>
      <c r="C20" s="211" t="s">
        <v>76</v>
      </c>
      <c r="D20" s="224" t="s">
        <v>12</v>
      </c>
      <c r="E20" s="225">
        <v>2.6218999999999999E-2</v>
      </c>
      <c r="F20" s="30"/>
      <c r="G20" s="30"/>
      <c r="H20" s="30"/>
      <c r="I20" s="30"/>
      <c r="J20" s="30"/>
      <c r="K20" s="30"/>
      <c r="L20" s="30"/>
      <c r="M20" s="30"/>
      <c r="N20" s="30"/>
      <c r="O20" s="30"/>
      <c r="P20" s="30"/>
      <c r="Q20" s="30"/>
      <c r="R20" s="30"/>
      <c r="S20" s="30"/>
      <c r="T20" s="23"/>
      <c r="W20" s="63" t="s">
        <v>11</v>
      </c>
      <c r="X20" s="64">
        <v>1.8494E-2</v>
      </c>
    </row>
    <row r="21" spans="2:24" ht="15" customHeight="1" x14ac:dyDescent="0.25">
      <c r="B21" s="91"/>
      <c r="C21" s="211" t="s">
        <v>95</v>
      </c>
      <c r="D21" s="224" t="s">
        <v>4</v>
      </c>
      <c r="E21" s="225">
        <v>2.2839000000000002E-2</v>
      </c>
      <c r="F21" s="30"/>
      <c r="G21" s="30"/>
      <c r="H21" s="30"/>
      <c r="I21" s="30"/>
      <c r="J21" s="30"/>
      <c r="K21" s="30"/>
      <c r="L21" s="30"/>
      <c r="M21" s="30"/>
      <c r="N21" s="30"/>
      <c r="O21" s="30"/>
      <c r="P21" s="30"/>
      <c r="Q21" s="30"/>
      <c r="R21" s="30"/>
      <c r="S21" s="30"/>
      <c r="T21" s="23"/>
      <c r="W21" s="63" t="s">
        <v>136</v>
      </c>
      <c r="X21" s="64">
        <v>1.6330999999999998E-2</v>
      </c>
    </row>
    <row r="22" spans="2:24" ht="15" customHeight="1" x14ac:dyDescent="0.25">
      <c r="B22" s="91"/>
      <c r="C22" s="211" t="s">
        <v>211</v>
      </c>
      <c r="D22" s="224" t="s">
        <v>16</v>
      </c>
      <c r="E22" s="225">
        <v>1.7987E-2</v>
      </c>
      <c r="F22" s="30"/>
      <c r="G22" s="30"/>
      <c r="H22" s="30"/>
      <c r="I22" s="30"/>
      <c r="J22" s="30"/>
      <c r="K22" s="30"/>
      <c r="L22" s="30"/>
      <c r="M22" s="30"/>
      <c r="N22" s="30"/>
      <c r="O22" s="30"/>
      <c r="P22" s="30"/>
      <c r="Q22" s="30"/>
      <c r="R22" s="30"/>
      <c r="S22" s="30"/>
      <c r="T22" s="23"/>
      <c r="W22" s="63" t="s">
        <v>100</v>
      </c>
      <c r="X22" s="64">
        <v>1.4266999999999998E-2</v>
      </c>
    </row>
    <row r="23" spans="2:24" ht="15" customHeight="1" x14ac:dyDescent="0.25">
      <c r="B23" s="91"/>
      <c r="C23" s="83"/>
      <c r="D23" s="83"/>
      <c r="E23" s="84"/>
      <c r="F23" s="30"/>
      <c r="G23" s="30"/>
      <c r="H23" s="30"/>
      <c r="I23" s="30"/>
      <c r="J23" s="30"/>
      <c r="K23" s="30"/>
      <c r="L23" s="30"/>
      <c r="M23" s="30"/>
      <c r="N23" s="30"/>
      <c r="O23" s="30"/>
      <c r="P23" s="30"/>
      <c r="Q23" s="30"/>
      <c r="R23" s="30"/>
      <c r="S23" s="30"/>
      <c r="T23" s="23"/>
      <c r="W23" s="63" t="s">
        <v>162</v>
      </c>
      <c r="X23" s="64">
        <v>8.4950000000000008E-3</v>
      </c>
    </row>
    <row r="24" spans="2:24" ht="15" customHeight="1" x14ac:dyDescent="0.25">
      <c r="B24" s="91"/>
      <c r="C24" s="85" t="s">
        <v>56</v>
      </c>
      <c r="D24" s="86"/>
      <c r="E24" s="87">
        <f>SUM(E8:E22)</f>
        <v>0.69778999999999991</v>
      </c>
      <c r="F24" s="30"/>
      <c r="G24" s="30"/>
      <c r="H24" s="30"/>
      <c r="I24" s="30"/>
      <c r="J24" s="30"/>
      <c r="K24" s="30"/>
      <c r="L24" s="30"/>
      <c r="M24" s="30"/>
      <c r="N24" s="30"/>
      <c r="O24" s="30"/>
      <c r="P24" s="30"/>
      <c r="Q24" s="30"/>
      <c r="R24" s="30"/>
      <c r="S24" s="30"/>
      <c r="T24" s="23"/>
      <c r="W24" s="63" t="s">
        <v>13</v>
      </c>
      <c r="X24" s="64">
        <v>7.3280000000000003E-3</v>
      </c>
    </row>
    <row r="25" spans="2:24" ht="15" customHeight="1" x14ac:dyDescent="0.25">
      <c r="B25" s="91"/>
      <c r="F25" s="30"/>
      <c r="G25" s="30"/>
      <c r="H25" s="30"/>
      <c r="I25" s="30"/>
      <c r="J25" s="30"/>
      <c r="K25" s="30"/>
      <c r="L25" s="30"/>
      <c r="M25" s="30"/>
      <c r="N25" s="30"/>
      <c r="O25" s="30"/>
      <c r="P25" s="30"/>
      <c r="Q25" s="30"/>
      <c r="R25" s="30"/>
      <c r="S25" s="30"/>
      <c r="T25" s="23"/>
      <c r="W25" s="63" t="s">
        <v>15</v>
      </c>
      <c r="X25" s="64">
        <v>7.2560000000000003E-3</v>
      </c>
    </row>
    <row r="26" spans="2:24" ht="15" customHeight="1" x14ac:dyDescent="0.25">
      <c r="B26" s="91"/>
      <c r="F26" s="30"/>
      <c r="G26" s="30"/>
      <c r="H26" s="30"/>
      <c r="I26" s="30"/>
      <c r="J26" s="30"/>
      <c r="K26" s="30"/>
      <c r="L26" s="30"/>
      <c r="M26" s="30"/>
      <c r="N26" s="30"/>
      <c r="O26" s="30"/>
      <c r="P26" s="30"/>
      <c r="Q26" s="30"/>
      <c r="R26" s="30"/>
      <c r="S26" s="30"/>
      <c r="T26" s="23"/>
      <c r="W26" s="63" t="s">
        <v>160</v>
      </c>
      <c r="X26" s="64">
        <v>6.8780000000000004E-3</v>
      </c>
    </row>
    <row r="27" spans="2:24" ht="15" customHeight="1" x14ac:dyDescent="0.25">
      <c r="B27" s="91"/>
      <c r="F27" s="30"/>
      <c r="G27" s="30"/>
      <c r="H27" s="30"/>
      <c r="I27" s="30"/>
      <c r="J27" s="30"/>
      <c r="K27" s="30"/>
      <c r="L27" s="30"/>
      <c r="M27" s="30"/>
      <c r="N27" s="30"/>
      <c r="O27" s="30"/>
      <c r="P27" s="30"/>
      <c r="Q27" s="30"/>
      <c r="R27" s="30"/>
      <c r="S27" s="30"/>
      <c r="T27" s="23"/>
      <c r="W27" s="63" t="s">
        <v>161</v>
      </c>
      <c r="X27" s="64">
        <v>6.1619999999999999E-3</v>
      </c>
    </row>
    <row r="28" spans="2:24" ht="15" customHeight="1" x14ac:dyDescent="0.25">
      <c r="B28" s="91"/>
      <c r="F28" s="30"/>
      <c r="G28" s="30"/>
      <c r="H28" s="30"/>
      <c r="I28" s="30"/>
      <c r="J28" s="30"/>
      <c r="K28" s="30"/>
      <c r="L28" s="30"/>
      <c r="M28" s="30"/>
      <c r="N28" s="30"/>
      <c r="O28" s="30"/>
      <c r="P28" s="30"/>
      <c r="Q28" s="30"/>
      <c r="R28" s="30"/>
      <c r="S28" s="30"/>
      <c r="T28" s="23"/>
      <c r="W28" s="63" t="s">
        <v>144</v>
      </c>
      <c r="X28" s="64">
        <v>5.8830000000000002E-3</v>
      </c>
    </row>
    <row r="29" spans="2:24" ht="15" customHeight="1" x14ac:dyDescent="0.25">
      <c r="B29" s="91"/>
      <c r="F29" s="30"/>
      <c r="G29" s="30"/>
      <c r="H29" s="30"/>
      <c r="I29" s="30"/>
      <c r="J29" s="30"/>
      <c r="K29" s="30"/>
      <c r="L29" s="30"/>
      <c r="M29" s="30"/>
      <c r="N29" s="30"/>
      <c r="O29" s="30"/>
      <c r="P29" s="30"/>
      <c r="Q29" s="30"/>
      <c r="R29" s="30"/>
      <c r="S29" s="30"/>
      <c r="T29" s="23"/>
      <c r="W29" s="20" t="s">
        <v>89</v>
      </c>
      <c r="X29" s="64">
        <v>5.7279999999999996E-3</v>
      </c>
    </row>
    <row r="30" spans="2:24" ht="15" customHeight="1" x14ac:dyDescent="0.25">
      <c r="B30" s="91"/>
      <c r="F30" s="30"/>
      <c r="G30" s="30"/>
      <c r="H30" s="30"/>
      <c r="I30" s="30"/>
      <c r="J30" s="30"/>
      <c r="K30" s="30"/>
      <c r="L30" s="30"/>
      <c r="M30" s="30"/>
      <c r="N30" s="30"/>
      <c r="O30" s="30"/>
      <c r="P30" s="30"/>
      <c r="Q30" s="30"/>
      <c r="R30" s="30"/>
      <c r="S30" s="30"/>
      <c r="T30" s="23"/>
      <c r="W30" s="63" t="s">
        <v>147</v>
      </c>
      <c r="X30" s="64">
        <v>4.385E-3</v>
      </c>
    </row>
    <row r="31" spans="2:24" ht="15" customHeight="1" x14ac:dyDescent="0.25">
      <c r="B31" s="91"/>
      <c r="F31" s="30"/>
      <c r="G31" s="30"/>
      <c r="H31" s="30"/>
      <c r="I31" s="30"/>
      <c r="J31" s="30"/>
      <c r="K31" s="30"/>
      <c r="L31" s="30"/>
      <c r="M31" s="30"/>
      <c r="N31" s="30"/>
      <c r="O31" s="30"/>
      <c r="P31" s="30"/>
      <c r="Q31" s="30"/>
      <c r="R31" s="30"/>
      <c r="S31" s="30"/>
      <c r="T31" s="23"/>
      <c r="W31" s="63"/>
      <c r="X31" s="64"/>
    </row>
    <row r="32" spans="2:24" ht="15" customHeight="1" x14ac:dyDescent="0.25">
      <c r="B32" s="91"/>
      <c r="F32" s="30"/>
      <c r="G32" s="30"/>
      <c r="H32" s="30"/>
      <c r="I32" s="30"/>
      <c r="J32" s="30"/>
      <c r="K32" s="30"/>
      <c r="L32" s="30"/>
      <c r="M32" s="30"/>
      <c r="N32" s="30"/>
      <c r="O32" s="30"/>
      <c r="P32" s="30"/>
      <c r="Q32" s="30"/>
      <c r="R32" s="30"/>
      <c r="S32" s="30"/>
      <c r="T32" s="23"/>
      <c r="W32" s="63"/>
      <c r="X32" s="64"/>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c r="W34" s="42"/>
      <c r="X34" s="42"/>
    </row>
    <row r="35" spans="2:24" ht="15" customHeight="1" x14ac:dyDescent="0.25">
      <c r="B35" s="91"/>
      <c r="F35" s="30"/>
      <c r="G35" s="30"/>
      <c r="H35" s="30"/>
      <c r="I35" s="30"/>
      <c r="J35" s="30"/>
      <c r="K35" s="30"/>
      <c r="L35" s="30"/>
      <c r="M35" s="30"/>
      <c r="N35" s="30"/>
      <c r="O35" s="30"/>
      <c r="P35" s="30"/>
      <c r="Q35" s="30"/>
      <c r="R35" s="30"/>
      <c r="S35" s="30"/>
      <c r="T35" s="23"/>
      <c r="W35" s="42"/>
      <c r="X35" s="42"/>
    </row>
    <row r="36" spans="2:24" ht="15" customHeight="1" x14ac:dyDescent="0.25">
      <c r="B36" s="91"/>
      <c r="F36" s="30"/>
      <c r="G36" s="30"/>
      <c r="H36" s="30"/>
      <c r="I36" s="30"/>
      <c r="J36" s="30"/>
      <c r="K36" s="30"/>
      <c r="L36" s="30"/>
      <c r="M36" s="30"/>
      <c r="N36" s="30"/>
      <c r="O36" s="30"/>
      <c r="P36" s="30"/>
      <c r="Q36" s="30"/>
      <c r="R36" s="30"/>
      <c r="S36" s="30"/>
      <c r="T36" s="23"/>
      <c r="W36" s="42"/>
      <c r="X36" s="42"/>
    </row>
    <row r="37" spans="2:24" ht="15" customHeight="1" thickBot="1" x14ac:dyDescent="0.3">
      <c r="B37" s="92"/>
      <c r="C37" s="93"/>
      <c r="D37" s="93"/>
      <c r="E37" s="93"/>
      <c r="F37" s="93"/>
      <c r="G37" s="93"/>
      <c r="H37" s="93"/>
      <c r="I37" s="93"/>
      <c r="J37" s="93"/>
      <c r="K37" s="93"/>
      <c r="L37" s="93"/>
      <c r="M37" s="93"/>
      <c r="N37" s="93"/>
      <c r="O37" s="93"/>
      <c r="P37" s="93"/>
      <c r="Q37" s="93"/>
      <c r="R37" s="93"/>
      <c r="S37" s="93"/>
      <c r="T37" s="24"/>
    </row>
    <row r="38" spans="2:24" ht="15" customHeight="1" thickBot="1" x14ac:dyDescent="0.3"/>
    <row r="39" spans="2:24" ht="15" customHeight="1" x14ac:dyDescent="0.25">
      <c r="B39" s="245" t="s">
        <v>265</v>
      </c>
      <c r="C39" s="246"/>
      <c r="D39" s="246"/>
      <c r="E39" s="246"/>
      <c r="F39" s="246"/>
      <c r="G39" s="246"/>
      <c r="H39" s="246"/>
      <c r="I39" s="246"/>
      <c r="J39" s="246"/>
      <c r="K39" s="246"/>
      <c r="L39" s="246"/>
      <c r="M39" s="246"/>
      <c r="N39" s="246"/>
      <c r="O39" s="246"/>
      <c r="P39" s="246"/>
      <c r="Q39" s="246"/>
      <c r="R39" s="247"/>
    </row>
    <row r="40" spans="2:24" ht="15" customHeight="1" x14ac:dyDescent="0.25">
      <c r="B40" s="248"/>
      <c r="C40" s="249"/>
      <c r="D40" s="249"/>
      <c r="E40" s="249"/>
      <c r="F40" s="249"/>
      <c r="G40" s="249"/>
      <c r="H40" s="249"/>
      <c r="I40" s="249"/>
      <c r="J40" s="249"/>
      <c r="K40" s="249"/>
      <c r="L40" s="249"/>
      <c r="M40" s="249"/>
      <c r="N40" s="249"/>
      <c r="O40" s="249"/>
      <c r="P40" s="249"/>
      <c r="Q40" s="249"/>
      <c r="R40" s="250"/>
    </row>
    <row r="41" spans="2:24" ht="15" customHeight="1" x14ac:dyDescent="0.25">
      <c r="B41" s="248"/>
      <c r="C41" s="249"/>
      <c r="D41" s="249"/>
      <c r="E41" s="249"/>
      <c r="F41" s="249"/>
      <c r="G41" s="249"/>
      <c r="H41" s="249"/>
      <c r="I41" s="249"/>
      <c r="J41" s="249"/>
      <c r="K41" s="249"/>
      <c r="L41" s="249"/>
      <c r="M41" s="249"/>
      <c r="N41" s="249"/>
      <c r="O41" s="249"/>
      <c r="P41" s="249"/>
      <c r="Q41" s="249"/>
      <c r="R41" s="250"/>
    </row>
    <row r="42" spans="2:24" ht="15" customHeight="1" x14ac:dyDescent="0.25">
      <c r="B42" s="248"/>
      <c r="C42" s="249"/>
      <c r="D42" s="249"/>
      <c r="E42" s="249"/>
      <c r="F42" s="249"/>
      <c r="G42" s="249"/>
      <c r="H42" s="249"/>
      <c r="I42" s="249"/>
      <c r="J42" s="249"/>
      <c r="K42" s="249"/>
      <c r="L42" s="249"/>
      <c r="M42" s="249"/>
      <c r="N42" s="249"/>
      <c r="O42" s="249"/>
      <c r="P42" s="249"/>
      <c r="Q42" s="249"/>
      <c r="R42" s="250"/>
    </row>
    <row r="43" spans="2:24" ht="15" customHeight="1" x14ac:dyDescent="0.25">
      <c r="B43" s="248"/>
      <c r="C43" s="249"/>
      <c r="D43" s="249"/>
      <c r="E43" s="249"/>
      <c r="F43" s="249"/>
      <c r="G43" s="249"/>
      <c r="H43" s="249"/>
      <c r="I43" s="249"/>
      <c r="J43" s="249"/>
      <c r="K43" s="249"/>
      <c r="L43" s="249"/>
      <c r="M43" s="249"/>
      <c r="N43" s="249"/>
      <c r="O43" s="249"/>
      <c r="P43" s="249"/>
      <c r="Q43" s="249"/>
      <c r="R43" s="250"/>
    </row>
    <row r="44" spans="2:24" ht="15" customHeight="1" x14ac:dyDescent="0.25">
      <c r="B44" s="248"/>
      <c r="C44" s="249"/>
      <c r="D44" s="249"/>
      <c r="E44" s="249"/>
      <c r="F44" s="249"/>
      <c r="G44" s="249"/>
      <c r="H44" s="249"/>
      <c r="I44" s="249"/>
      <c r="J44" s="249"/>
      <c r="K44" s="249"/>
      <c r="L44" s="249"/>
      <c r="M44" s="249"/>
      <c r="N44" s="249"/>
      <c r="O44" s="249"/>
      <c r="P44" s="249"/>
      <c r="Q44" s="249"/>
      <c r="R44" s="250"/>
    </row>
    <row r="45" spans="2:24" ht="27.75" customHeight="1" thickBot="1" x14ac:dyDescent="0.3">
      <c r="B45" s="251"/>
      <c r="C45" s="252"/>
      <c r="D45" s="252"/>
      <c r="E45" s="252"/>
      <c r="F45" s="252"/>
      <c r="G45" s="252"/>
      <c r="H45" s="252"/>
      <c r="I45" s="252"/>
      <c r="J45" s="252"/>
      <c r="K45" s="252"/>
      <c r="L45" s="252"/>
      <c r="M45" s="252"/>
      <c r="N45" s="252"/>
      <c r="O45" s="252"/>
      <c r="P45" s="252"/>
      <c r="Q45" s="252"/>
      <c r="R45" s="25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9"/>
      <c r="U2" s="25"/>
    </row>
    <row r="3" spans="1:24" ht="20.25" customHeight="1" x14ac:dyDescent="0.25">
      <c r="B3" s="75"/>
      <c r="C3" s="254" t="s">
        <v>215</v>
      </c>
      <c r="D3" s="255"/>
      <c r="E3" s="255"/>
      <c r="F3" s="255"/>
      <c r="G3" s="255"/>
      <c r="H3" s="255"/>
      <c r="I3" s="255"/>
      <c r="J3" s="255"/>
      <c r="K3" s="255"/>
      <c r="L3" s="255"/>
      <c r="M3" s="255"/>
      <c r="N3" s="255"/>
      <c r="O3" s="255"/>
      <c r="P3" s="255"/>
      <c r="Q3" s="255"/>
      <c r="R3" s="255"/>
      <c r="S3" s="255"/>
      <c r="T3" s="76"/>
      <c r="U3" s="77"/>
    </row>
    <row r="4" spans="1:24" ht="15.75" customHeight="1" x14ac:dyDescent="0.25">
      <c r="B4" s="75"/>
      <c r="C4" s="78" t="s">
        <v>303</v>
      </c>
      <c r="D4" s="30"/>
      <c r="E4" s="30"/>
      <c r="F4" s="30"/>
      <c r="G4" s="30"/>
      <c r="H4" s="30"/>
      <c r="I4" s="30"/>
      <c r="J4" s="30"/>
      <c r="K4" s="30"/>
      <c r="L4" s="30"/>
      <c r="M4" s="30"/>
      <c r="N4" s="30"/>
      <c r="O4" s="30"/>
      <c r="P4" s="30"/>
      <c r="Q4" s="30"/>
      <c r="R4" s="30"/>
      <c r="S4" s="30"/>
      <c r="T4" s="30"/>
      <c r="U4" s="26"/>
    </row>
    <row r="5" spans="1:24" ht="18" customHeight="1" x14ac:dyDescent="0.25">
      <c r="B5" s="75"/>
      <c r="C5" s="79" t="s">
        <v>304</v>
      </c>
      <c r="D5" s="258" t="s">
        <v>300</v>
      </c>
      <c r="E5" s="258"/>
      <c r="F5" s="30"/>
      <c r="G5" s="30"/>
      <c r="H5" s="30"/>
      <c r="I5" s="30"/>
      <c r="J5" s="30"/>
      <c r="K5" s="30"/>
      <c r="L5" s="30"/>
      <c r="M5" s="30"/>
      <c r="N5" s="30"/>
      <c r="O5" s="30"/>
      <c r="P5" s="30"/>
      <c r="Q5" s="30"/>
      <c r="R5" s="30"/>
      <c r="S5" s="30"/>
      <c r="T5" s="30"/>
      <c r="U5" s="26"/>
    </row>
    <row r="6" spans="1:24" ht="15" customHeight="1" x14ac:dyDescent="0.25">
      <c r="B6" s="75"/>
      <c r="C6" s="30"/>
      <c r="D6" s="30"/>
      <c r="E6" s="30"/>
      <c r="F6" s="30"/>
      <c r="G6" s="30"/>
      <c r="H6" s="30"/>
      <c r="I6" s="30"/>
      <c r="J6" s="30"/>
      <c r="K6" s="30"/>
      <c r="L6" s="30"/>
      <c r="M6" s="30"/>
      <c r="N6" s="30"/>
      <c r="O6" s="30"/>
      <c r="P6" s="30"/>
      <c r="Q6" s="30"/>
      <c r="R6" s="30"/>
      <c r="S6" s="30"/>
      <c r="T6" s="30"/>
      <c r="U6" s="26"/>
    </row>
    <row r="7" spans="1:24" ht="32.25" customHeight="1"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 customHeight="1" x14ac:dyDescent="0.25">
      <c r="B8" s="75"/>
      <c r="C8" s="234" t="s">
        <v>32</v>
      </c>
      <c r="D8" s="235" t="s">
        <v>6</v>
      </c>
      <c r="E8" s="223">
        <v>8.8156999999999999E-2</v>
      </c>
      <c r="F8" s="30"/>
      <c r="G8" s="30"/>
      <c r="H8" s="30"/>
      <c r="I8" s="30"/>
      <c r="J8" s="30"/>
      <c r="K8" s="30"/>
      <c r="L8" s="30"/>
      <c r="M8" s="30"/>
      <c r="N8" s="30"/>
      <c r="O8" s="30"/>
      <c r="P8" s="30"/>
      <c r="Q8" s="30"/>
      <c r="R8" s="30"/>
      <c r="S8" s="30"/>
      <c r="T8" s="30"/>
      <c r="U8" s="26"/>
      <c r="W8" s="195" t="s">
        <v>3</v>
      </c>
      <c r="X8" s="196">
        <v>0.240671</v>
      </c>
    </row>
    <row r="9" spans="1:24" ht="15.75" customHeight="1" x14ac:dyDescent="0.25">
      <c r="B9" s="75"/>
      <c r="C9" s="236" t="s">
        <v>29</v>
      </c>
      <c r="D9" s="237" t="s">
        <v>3</v>
      </c>
      <c r="E9" s="225">
        <v>7.4922000000000002E-2</v>
      </c>
      <c r="F9" s="30"/>
      <c r="G9" s="30"/>
      <c r="H9" s="30"/>
      <c r="I9" s="30"/>
      <c r="J9" s="30"/>
      <c r="K9" s="30"/>
      <c r="L9" s="30"/>
      <c r="M9" s="30"/>
      <c r="N9" s="30"/>
      <c r="O9" s="30"/>
      <c r="P9" s="30"/>
      <c r="Q9" s="30"/>
      <c r="R9" s="30"/>
      <c r="S9" s="30"/>
      <c r="T9" s="30"/>
      <c r="U9" s="26"/>
      <c r="W9" s="195" t="s">
        <v>135</v>
      </c>
      <c r="X9" s="196">
        <v>0.116456</v>
      </c>
    </row>
    <row r="10" spans="1:24" ht="15.75" x14ac:dyDescent="0.25">
      <c r="B10" s="75"/>
      <c r="C10" s="236" t="s">
        <v>33</v>
      </c>
      <c r="D10" s="237" t="s">
        <v>3</v>
      </c>
      <c r="E10" s="225">
        <v>6.9921999999999998E-2</v>
      </c>
      <c r="F10" s="30"/>
      <c r="G10" s="30"/>
      <c r="H10" s="30"/>
      <c r="I10" s="30"/>
      <c r="J10" s="30"/>
      <c r="K10" s="30"/>
      <c r="L10" s="30"/>
      <c r="M10" s="30"/>
      <c r="N10" s="30"/>
      <c r="O10" s="30"/>
      <c r="P10" s="30"/>
      <c r="Q10" s="30"/>
      <c r="R10" s="30"/>
      <c r="S10" s="30"/>
      <c r="T10" s="30"/>
      <c r="U10" s="26"/>
      <c r="W10" s="195" t="s">
        <v>6</v>
      </c>
      <c r="X10" s="196">
        <v>9.5305000000000001E-2</v>
      </c>
    </row>
    <row r="11" spans="1:24" ht="15.75" customHeight="1" x14ac:dyDescent="0.25">
      <c r="B11" s="75"/>
      <c r="C11" s="236" t="s">
        <v>30</v>
      </c>
      <c r="D11" s="237" t="s">
        <v>4</v>
      </c>
      <c r="E11" s="225">
        <v>5.0474999999999999E-2</v>
      </c>
      <c r="F11" s="30"/>
      <c r="G11" s="30"/>
      <c r="H11" s="30"/>
      <c r="I11" s="30"/>
      <c r="J11" s="30"/>
      <c r="K11" s="30"/>
      <c r="L11" s="30"/>
      <c r="M11" s="30"/>
      <c r="N11" s="30"/>
      <c r="O11" s="30"/>
      <c r="P11" s="30"/>
      <c r="Q11" s="30"/>
      <c r="R11" s="30"/>
      <c r="S11" s="30"/>
      <c r="T11" s="30"/>
      <c r="U11" s="26"/>
      <c r="W11" s="195" t="s">
        <v>4</v>
      </c>
      <c r="X11" s="196">
        <v>9.0219999999999995E-2</v>
      </c>
    </row>
    <row r="12" spans="1:24" ht="15" customHeight="1" x14ac:dyDescent="0.25">
      <c r="B12" s="75"/>
      <c r="C12" s="236" t="s">
        <v>28</v>
      </c>
      <c r="D12" s="237" t="s">
        <v>135</v>
      </c>
      <c r="E12" s="225">
        <v>4.9626999999999998E-2</v>
      </c>
      <c r="F12" s="30"/>
      <c r="G12" s="30"/>
      <c r="H12" s="30"/>
      <c r="I12" s="30"/>
      <c r="J12" s="30"/>
      <c r="K12" s="30"/>
      <c r="L12" s="30"/>
      <c r="M12" s="30"/>
      <c r="N12" s="30"/>
      <c r="O12" s="30"/>
      <c r="P12" s="30"/>
      <c r="Q12" s="30"/>
      <c r="R12" s="30"/>
      <c r="S12" s="30"/>
      <c r="T12" s="30"/>
      <c r="U12" s="26"/>
      <c r="W12" s="195" t="s">
        <v>146</v>
      </c>
      <c r="X12" s="196">
        <v>6.6583000000000003E-2</v>
      </c>
    </row>
    <row r="13" spans="1:24" ht="15" customHeight="1" x14ac:dyDescent="0.25">
      <c r="B13" s="75"/>
      <c r="C13" s="236" t="s">
        <v>31</v>
      </c>
      <c r="D13" s="237" t="s">
        <v>146</v>
      </c>
      <c r="E13" s="225">
        <v>4.1452000000000003E-2</v>
      </c>
      <c r="F13" s="30"/>
      <c r="G13" s="30"/>
      <c r="H13" s="30"/>
      <c r="I13" s="30"/>
      <c r="J13" s="30"/>
      <c r="K13" s="30"/>
      <c r="L13" s="30"/>
      <c r="M13" s="30"/>
      <c r="N13" s="30"/>
      <c r="O13" s="30"/>
      <c r="P13" s="30"/>
      <c r="Q13" s="30"/>
      <c r="R13" s="30"/>
      <c r="S13" s="30"/>
      <c r="T13" s="30"/>
      <c r="U13" s="26"/>
      <c r="W13" s="195" t="s">
        <v>141</v>
      </c>
      <c r="X13" s="196">
        <v>4.9907E-2</v>
      </c>
    </row>
    <row r="14" spans="1:24" ht="15" customHeight="1" x14ac:dyDescent="0.25">
      <c r="B14" s="75"/>
      <c r="C14" s="236" t="s">
        <v>34</v>
      </c>
      <c r="D14" s="237" t="s">
        <v>135</v>
      </c>
      <c r="E14" s="225">
        <v>3.5559E-2</v>
      </c>
      <c r="F14" s="30"/>
      <c r="G14" s="30"/>
      <c r="H14" s="30"/>
      <c r="I14" s="30"/>
      <c r="J14" s="30"/>
      <c r="K14" s="30"/>
      <c r="L14" s="30"/>
      <c r="M14" s="30"/>
      <c r="N14" s="30"/>
      <c r="O14" s="30"/>
      <c r="P14" s="30"/>
      <c r="Q14" s="30"/>
      <c r="R14" s="30"/>
      <c r="S14" s="30"/>
      <c r="T14" s="30"/>
      <c r="U14" s="26"/>
      <c r="W14" s="195" t="s">
        <v>16</v>
      </c>
      <c r="X14" s="196">
        <v>3.2675999999999997E-2</v>
      </c>
    </row>
    <row r="15" spans="1:24" ht="15" customHeight="1" x14ac:dyDescent="0.25">
      <c r="B15" s="75"/>
      <c r="C15" s="236" t="s">
        <v>36</v>
      </c>
      <c r="D15" s="237" t="s">
        <v>3</v>
      </c>
      <c r="E15" s="225">
        <v>3.1243E-2</v>
      </c>
      <c r="F15" s="30"/>
      <c r="G15" s="30"/>
      <c r="H15" s="30"/>
      <c r="I15" s="30"/>
      <c r="J15" s="30"/>
      <c r="K15" s="30"/>
      <c r="L15" s="30"/>
      <c r="M15" s="30"/>
      <c r="N15" s="30"/>
      <c r="O15" s="30"/>
      <c r="P15" s="30"/>
      <c r="Q15" s="30"/>
      <c r="R15" s="30"/>
      <c r="S15" s="30"/>
      <c r="T15" s="30"/>
      <c r="U15" s="26"/>
      <c r="W15" s="195" t="s">
        <v>140</v>
      </c>
      <c r="X15" s="196">
        <v>2.8560000000000002E-2</v>
      </c>
    </row>
    <row r="16" spans="1:24" ht="15" customHeight="1" x14ac:dyDescent="0.25">
      <c r="B16" s="75"/>
      <c r="C16" s="236" t="s">
        <v>35</v>
      </c>
      <c r="D16" s="237" t="s">
        <v>23</v>
      </c>
      <c r="E16" s="225">
        <v>2.8129999999999999E-2</v>
      </c>
      <c r="F16" s="30"/>
      <c r="G16" s="30"/>
      <c r="H16" s="30"/>
      <c r="I16" s="30"/>
      <c r="J16" s="30"/>
      <c r="K16" s="30"/>
      <c r="L16" s="30"/>
      <c r="M16" s="30"/>
      <c r="N16" s="30"/>
      <c r="O16" s="30"/>
      <c r="P16" s="30"/>
      <c r="Q16" s="30"/>
      <c r="R16" s="30"/>
      <c r="S16" s="30"/>
      <c r="T16" s="30"/>
      <c r="U16" s="26"/>
      <c r="W16" s="195" t="s">
        <v>23</v>
      </c>
      <c r="X16" s="196">
        <v>2.8129999999999999E-2</v>
      </c>
    </row>
    <row r="17" spans="2:24" ht="15" customHeight="1" x14ac:dyDescent="0.25">
      <c r="B17" s="75"/>
      <c r="C17" s="236" t="s">
        <v>37</v>
      </c>
      <c r="D17" s="237" t="s">
        <v>3</v>
      </c>
      <c r="E17" s="225">
        <v>2.6429999999999999E-2</v>
      </c>
      <c r="F17" s="30"/>
      <c r="G17" s="30"/>
      <c r="H17" s="30"/>
      <c r="I17" s="30"/>
      <c r="J17" s="30"/>
      <c r="K17" s="30"/>
      <c r="L17" s="30"/>
      <c r="M17" s="30"/>
      <c r="N17" s="30"/>
      <c r="O17" s="30"/>
      <c r="P17" s="30"/>
      <c r="Q17" s="30"/>
      <c r="R17" s="30"/>
      <c r="S17" s="30"/>
      <c r="T17" s="30"/>
      <c r="U17" s="26"/>
      <c r="W17" s="195" t="s">
        <v>10</v>
      </c>
      <c r="X17" s="196">
        <v>2.5597999999999999E-2</v>
      </c>
    </row>
    <row r="18" spans="2:24" ht="15" customHeight="1" x14ac:dyDescent="0.25">
      <c r="B18" s="75"/>
      <c r="C18" s="236" t="s">
        <v>38</v>
      </c>
      <c r="D18" s="237" t="s">
        <v>146</v>
      </c>
      <c r="E18" s="225">
        <v>2.5131000000000001E-2</v>
      </c>
      <c r="F18" s="30"/>
      <c r="G18" s="30"/>
      <c r="H18" s="30"/>
      <c r="I18" s="30"/>
      <c r="J18" s="30"/>
      <c r="K18" s="30"/>
      <c r="L18" s="30"/>
      <c r="M18" s="30"/>
      <c r="N18" s="30"/>
      <c r="O18" s="30"/>
      <c r="P18" s="30"/>
      <c r="Q18" s="30"/>
      <c r="R18" s="30"/>
      <c r="S18" s="30"/>
      <c r="T18" s="30"/>
      <c r="U18" s="26"/>
      <c r="W18" s="195" t="s">
        <v>97</v>
      </c>
      <c r="X18" s="196">
        <v>2.4601999999999999E-2</v>
      </c>
    </row>
    <row r="19" spans="2:24" ht="15" customHeight="1" x14ac:dyDescent="0.25">
      <c r="B19" s="75"/>
      <c r="C19" s="236" t="s">
        <v>93</v>
      </c>
      <c r="D19" s="237" t="s">
        <v>3</v>
      </c>
      <c r="E19" s="225">
        <v>2.3479E-2</v>
      </c>
      <c r="F19" s="30"/>
      <c r="G19" s="30"/>
      <c r="H19" s="30"/>
      <c r="I19" s="30"/>
      <c r="J19" s="30"/>
      <c r="K19" s="30"/>
      <c r="L19" s="30"/>
      <c r="M19" s="30"/>
      <c r="N19" s="30"/>
      <c r="O19" s="30"/>
      <c r="P19" s="30"/>
      <c r="Q19" s="30"/>
      <c r="R19" s="30"/>
      <c r="S19" s="30"/>
      <c r="T19" s="30"/>
      <c r="U19" s="26"/>
      <c r="W19" s="195" t="s">
        <v>12</v>
      </c>
      <c r="X19" s="196">
        <v>2.3354E-2</v>
      </c>
    </row>
    <row r="20" spans="2:24" ht="15" customHeight="1" x14ac:dyDescent="0.25">
      <c r="B20" s="75"/>
      <c r="C20" s="236" t="s">
        <v>76</v>
      </c>
      <c r="D20" s="237" t="s">
        <v>12</v>
      </c>
      <c r="E20" s="225">
        <v>2.1998E-2</v>
      </c>
      <c r="F20" s="30"/>
      <c r="G20" s="30"/>
      <c r="H20" s="30"/>
      <c r="I20" s="30"/>
      <c r="J20" s="30"/>
      <c r="K20" s="30"/>
      <c r="L20" s="30"/>
      <c r="M20" s="30"/>
      <c r="N20" s="30"/>
      <c r="O20" s="30"/>
      <c r="P20" s="30"/>
      <c r="Q20" s="30"/>
      <c r="R20" s="30"/>
      <c r="S20" s="30"/>
      <c r="T20" s="30"/>
      <c r="U20" s="26"/>
      <c r="W20" s="195" t="s">
        <v>100</v>
      </c>
      <c r="X20" s="196">
        <v>1.8335000000000001E-2</v>
      </c>
    </row>
    <row r="21" spans="2:24" ht="15" customHeight="1" x14ac:dyDescent="0.25">
      <c r="B21" s="75"/>
      <c r="C21" s="236" t="s">
        <v>95</v>
      </c>
      <c r="D21" s="237" t="s">
        <v>4</v>
      </c>
      <c r="E21" s="225">
        <v>1.9643000000000001E-2</v>
      </c>
      <c r="F21" s="30"/>
      <c r="G21" s="30"/>
      <c r="H21" s="30"/>
      <c r="I21" s="30"/>
      <c r="J21" s="30"/>
      <c r="K21" s="30"/>
      <c r="L21" s="30"/>
      <c r="M21" s="30"/>
      <c r="N21" s="30"/>
      <c r="O21" s="30"/>
      <c r="P21" s="30"/>
      <c r="Q21" s="30"/>
      <c r="R21" s="30"/>
      <c r="S21" s="30"/>
      <c r="T21" s="30"/>
      <c r="U21" s="26"/>
      <c r="W21" s="195" t="s">
        <v>11</v>
      </c>
      <c r="X21" s="196">
        <v>1.5931000000000001E-2</v>
      </c>
    </row>
    <row r="22" spans="2:24" ht="15" customHeight="1" x14ac:dyDescent="0.25">
      <c r="B22" s="75"/>
      <c r="C22" s="236" t="s">
        <v>211</v>
      </c>
      <c r="D22" s="237" t="s">
        <v>16</v>
      </c>
      <c r="E22" s="225">
        <v>1.5188E-2</v>
      </c>
      <c r="F22" s="30"/>
      <c r="G22" s="30"/>
      <c r="H22" s="30"/>
      <c r="I22" s="30"/>
      <c r="J22" s="30"/>
      <c r="K22" s="30"/>
      <c r="L22" s="30"/>
      <c r="M22" s="30"/>
      <c r="N22" s="30"/>
      <c r="O22" s="30"/>
      <c r="P22" s="30"/>
      <c r="Q22" s="30"/>
      <c r="R22" s="30"/>
      <c r="S22" s="30"/>
      <c r="T22" s="30"/>
      <c r="U22" s="26"/>
      <c r="W22" s="195" t="s">
        <v>136</v>
      </c>
      <c r="X22" s="196">
        <v>1.3951E-2</v>
      </c>
    </row>
    <row r="23" spans="2:24" ht="15" customHeight="1" x14ac:dyDescent="0.25">
      <c r="B23" s="75"/>
      <c r="C23" s="83"/>
      <c r="D23" s="83"/>
      <c r="E23" s="84"/>
      <c r="F23" s="30"/>
      <c r="G23" s="30"/>
      <c r="H23" s="30"/>
      <c r="I23" s="30"/>
      <c r="J23" s="30"/>
      <c r="K23" s="30"/>
      <c r="L23" s="30"/>
      <c r="M23" s="30"/>
      <c r="N23" s="30"/>
      <c r="O23" s="30"/>
      <c r="P23" s="30"/>
      <c r="Q23" s="30"/>
      <c r="R23" s="30"/>
      <c r="S23" s="30"/>
      <c r="T23" s="30"/>
      <c r="U23" s="26"/>
      <c r="W23" s="195" t="s">
        <v>26</v>
      </c>
      <c r="X23" s="196">
        <v>1.3353E-2</v>
      </c>
    </row>
    <row r="24" spans="2:24" ht="15" customHeight="1" x14ac:dyDescent="0.25">
      <c r="B24" s="75"/>
      <c r="C24" s="85" t="s">
        <v>56</v>
      </c>
      <c r="D24" s="86"/>
      <c r="E24" s="87">
        <f>SUM(E8:E22)</f>
        <v>0.60135599999999989</v>
      </c>
      <c r="F24" s="30"/>
      <c r="G24" s="30"/>
      <c r="H24" s="30"/>
      <c r="I24" s="30"/>
      <c r="J24" s="30"/>
      <c r="K24" s="30"/>
      <c r="L24" s="30"/>
      <c r="M24" s="30"/>
      <c r="N24" s="30"/>
      <c r="O24" s="30"/>
      <c r="P24" s="30"/>
      <c r="Q24" s="30"/>
      <c r="R24" s="30"/>
      <c r="S24" s="30"/>
      <c r="T24" s="30"/>
      <c r="U24" s="26"/>
      <c r="W24" s="195" t="s">
        <v>150</v>
      </c>
      <c r="X24" s="196">
        <v>1.1230999999999998E-2</v>
      </c>
    </row>
    <row r="25" spans="2:24" ht="15" customHeight="1" x14ac:dyDescent="0.25">
      <c r="B25" s="75"/>
      <c r="C25" s="30"/>
      <c r="D25" s="30"/>
      <c r="E25" s="30"/>
      <c r="F25" s="30"/>
      <c r="G25" s="30"/>
      <c r="H25" s="30"/>
      <c r="I25" s="30"/>
      <c r="J25" s="30"/>
      <c r="K25" s="30"/>
      <c r="L25" s="30"/>
      <c r="M25" s="30"/>
      <c r="N25" s="30"/>
      <c r="O25" s="30"/>
      <c r="P25" s="30"/>
      <c r="Q25" s="30"/>
      <c r="R25" s="30"/>
      <c r="S25" s="30"/>
      <c r="T25" s="30"/>
      <c r="U25" s="26"/>
      <c r="W25" s="195" t="s">
        <v>144</v>
      </c>
      <c r="X25" s="196">
        <v>8.6920000000000001E-3</v>
      </c>
    </row>
    <row r="26" spans="2:24" ht="15" customHeight="1" x14ac:dyDescent="0.25">
      <c r="B26" s="75"/>
      <c r="C26" s="30"/>
      <c r="D26" s="30"/>
      <c r="E26" s="30"/>
      <c r="F26" s="30"/>
      <c r="G26" s="30"/>
      <c r="H26" s="30"/>
      <c r="I26" s="30"/>
      <c r="J26" s="30"/>
      <c r="K26" s="30"/>
      <c r="L26" s="30"/>
      <c r="M26" s="30"/>
      <c r="N26" s="30"/>
      <c r="O26" s="30"/>
      <c r="P26" s="30"/>
      <c r="Q26" s="30"/>
      <c r="R26" s="30"/>
      <c r="S26" s="30"/>
      <c r="T26" s="30"/>
      <c r="U26" s="26"/>
      <c r="W26" s="195" t="s">
        <v>145</v>
      </c>
      <c r="X26" s="196">
        <v>8.0590000000000002E-3</v>
      </c>
    </row>
    <row r="27" spans="2:24" ht="15" customHeight="1" x14ac:dyDescent="0.25">
      <c r="B27" s="75"/>
      <c r="C27" s="30"/>
      <c r="D27" s="30"/>
      <c r="E27" s="30"/>
      <c r="F27" s="30"/>
      <c r="G27" s="30"/>
      <c r="H27" s="30"/>
      <c r="I27" s="30"/>
      <c r="J27" s="30"/>
      <c r="K27" s="30"/>
      <c r="L27" s="30"/>
      <c r="M27" s="30"/>
      <c r="N27" s="30"/>
      <c r="O27" s="30"/>
      <c r="P27" s="30"/>
      <c r="Q27" s="30"/>
      <c r="R27" s="30"/>
      <c r="S27" s="30"/>
      <c r="T27" s="30"/>
      <c r="U27" s="26"/>
      <c r="W27" s="195" t="s">
        <v>162</v>
      </c>
      <c r="X27" s="196">
        <v>7.1989999999999997E-3</v>
      </c>
    </row>
    <row r="28" spans="2:24" ht="15" customHeight="1" x14ac:dyDescent="0.25">
      <c r="B28" s="75"/>
      <c r="C28" s="30"/>
      <c r="D28" s="30"/>
      <c r="E28" s="30"/>
      <c r="F28" s="30"/>
      <c r="G28" s="30"/>
      <c r="H28" s="30"/>
      <c r="I28" s="30"/>
      <c r="J28" s="30"/>
      <c r="K28" s="30"/>
      <c r="L28" s="30"/>
      <c r="M28" s="30"/>
      <c r="N28" s="30"/>
      <c r="O28" s="30"/>
      <c r="P28" s="30"/>
      <c r="Q28" s="30"/>
      <c r="R28" s="30"/>
      <c r="S28" s="30"/>
      <c r="T28" s="30"/>
      <c r="U28" s="26"/>
      <c r="W28" s="195" t="s">
        <v>101</v>
      </c>
      <c r="X28" s="196">
        <v>6.9859999999999992E-3</v>
      </c>
    </row>
    <row r="29" spans="2:24" ht="15" customHeight="1" x14ac:dyDescent="0.25">
      <c r="B29" s="75"/>
      <c r="C29" s="30"/>
      <c r="D29" s="30"/>
      <c r="E29" s="30"/>
      <c r="F29" s="30"/>
      <c r="G29" s="30"/>
      <c r="H29" s="30"/>
      <c r="I29" s="30"/>
      <c r="J29" s="30"/>
      <c r="K29" s="30"/>
      <c r="L29" s="30"/>
      <c r="M29" s="30"/>
      <c r="N29" s="30"/>
      <c r="O29" s="30"/>
      <c r="P29" s="30"/>
      <c r="Q29" s="30"/>
      <c r="R29" s="30"/>
      <c r="S29" s="30"/>
      <c r="T29" s="30"/>
      <c r="U29" s="26"/>
      <c r="W29" s="195" t="s">
        <v>134</v>
      </c>
      <c r="X29" s="196">
        <v>6.8929999999999998E-3</v>
      </c>
    </row>
    <row r="30" spans="2:24" ht="15" customHeight="1" x14ac:dyDescent="0.25">
      <c r="B30" s="75"/>
      <c r="C30" s="30"/>
      <c r="D30" s="30"/>
      <c r="E30" s="30"/>
      <c r="F30" s="30"/>
      <c r="G30" s="30"/>
      <c r="H30" s="30"/>
      <c r="I30" s="30"/>
      <c r="J30" s="30"/>
      <c r="K30" s="30"/>
      <c r="L30" s="30"/>
      <c r="M30" s="30"/>
      <c r="N30" s="30"/>
      <c r="O30" s="30"/>
      <c r="P30" s="30"/>
      <c r="Q30" s="30"/>
      <c r="R30" s="30"/>
      <c r="S30" s="30"/>
      <c r="T30" s="30"/>
      <c r="U30" s="26"/>
      <c r="W30" s="195" t="s">
        <v>147</v>
      </c>
      <c r="X30" s="196">
        <v>6.8129999999999996E-3</v>
      </c>
    </row>
    <row r="31" spans="2:24" ht="15" customHeight="1" x14ac:dyDescent="0.25">
      <c r="B31" s="75"/>
      <c r="C31" s="30"/>
      <c r="D31" s="30"/>
      <c r="E31" s="30"/>
      <c r="F31" s="30"/>
      <c r="G31" s="30"/>
      <c r="H31" s="30"/>
      <c r="I31" s="30"/>
      <c r="J31" s="30"/>
      <c r="K31" s="30"/>
      <c r="L31" s="30"/>
      <c r="M31" s="30"/>
      <c r="N31" s="30"/>
      <c r="O31" s="30"/>
      <c r="P31" s="30"/>
      <c r="Q31" s="30"/>
      <c r="R31" s="30"/>
      <c r="S31" s="30"/>
      <c r="T31" s="30"/>
      <c r="U31" s="26"/>
      <c r="W31" s="195" t="s">
        <v>13</v>
      </c>
      <c r="X31" s="196">
        <v>6.3740000000000003E-3</v>
      </c>
    </row>
    <row r="32" spans="2:24" ht="15" customHeight="1" x14ac:dyDescent="0.25">
      <c r="B32" s="75"/>
      <c r="C32" s="30"/>
      <c r="D32" s="30"/>
      <c r="E32" s="30"/>
      <c r="F32" s="30"/>
      <c r="G32" s="30"/>
      <c r="H32" s="30"/>
      <c r="I32" s="30"/>
      <c r="J32" s="30"/>
      <c r="K32" s="30"/>
      <c r="L32" s="30"/>
      <c r="M32" s="30"/>
      <c r="N32" s="30"/>
      <c r="O32" s="30"/>
      <c r="P32" s="30"/>
      <c r="Q32" s="30"/>
      <c r="R32" s="30"/>
      <c r="S32" s="30"/>
      <c r="T32" s="30"/>
      <c r="U32" s="26"/>
      <c r="W32" s="195" t="s">
        <v>15</v>
      </c>
      <c r="X32" s="196">
        <v>6.2560000000000003E-3</v>
      </c>
    </row>
    <row r="33" spans="2:24" ht="15" customHeight="1" x14ac:dyDescent="0.25">
      <c r="B33" s="75"/>
      <c r="C33" s="30"/>
      <c r="D33" s="30"/>
      <c r="E33" s="30"/>
      <c r="F33" s="30"/>
      <c r="G33" s="30"/>
      <c r="H33" s="30"/>
      <c r="I33" s="30"/>
      <c r="J33" s="30"/>
      <c r="K33" s="30"/>
      <c r="L33" s="30"/>
      <c r="M33" s="30"/>
      <c r="N33" s="30"/>
      <c r="O33" s="30"/>
      <c r="P33" s="30"/>
      <c r="Q33" s="30"/>
      <c r="R33" s="30"/>
      <c r="S33" s="30"/>
      <c r="T33" s="30"/>
      <c r="U33" s="26"/>
      <c r="W33" s="195" t="s">
        <v>160</v>
      </c>
      <c r="X33" s="196">
        <v>5.8939999999999999E-3</v>
      </c>
    </row>
    <row r="34" spans="2:24" ht="15" customHeight="1" x14ac:dyDescent="0.25">
      <c r="B34" s="75"/>
      <c r="C34" s="30"/>
      <c r="D34" s="30"/>
      <c r="E34" s="30"/>
      <c r="F34" s="30"/>
      <c r="G34" s="30"/>
      <c r="H34" s="30"/>
      <c r="I34" s="30"/>
      <c r="J34" s="30"/>
      <c r="K34" s="30"/>
      <c r="L34" s="30"/>
      <c r="M34" s="30"/>
      <c r="N34" s="30"/>
      <c r="O34" s="30"/>
      <c r="P34" s="30"/>
      <c r="Q34" s="30"/>
      <c r="R34" s="30"/>
      <c r="S34" s="30"/>
      <c r="T34" s="30"/>
      <c r="U34" s="26"/>
      <c r="W34" s="195" t="s">
        <v>148</v>
      </c>
      <c r="X34" s="196">
        <v>5.6450000000000007E-3</v>
      </c>
    </row>
    <row r="35" spans="2:24" ht="15" customHeight="1" x14ac:dyDescent="0.25">
      <c r="B35" s="75"/>
      <c r="C35" s="30"/>
      <c r="D35" s="30"/>
      <c r="E35" s="30"/>
      <c r="F35" s="30"/>
      <c r="G35" s="30"/>
      <c r="H35" s="30"/>
      <c r="I35" s="30"/>
      <c r="J35" s="30"/>
      <c r="K35" s="30"/>
      <c r="L35" s="30"/>
      <c r="M35" s="30"/>
      <c r="N35" s="30"/>
      <c r="O35" s="30"/>
      <c r="P35" s="30"/>
      <c r="Q35" s="30"/>
      <c r="R35" s="30"/>
      <c r="S35" s="30"/>
      <c r="T35" s="30"/>
      <c r="U35" s="26"/>
      <c r="W35" s="195" t="s">
        <v>161</v>
      </c>
      <c r="X35" s="196">
        <v>5.3340000000000002E-3</v>
      </c>
    </row>
    <row r="36" spans="2:24" ht="15" customHeight="1" x14ac:dyDescent="0.25">
      <c r="B36" s="75"/>
      <c r="C36" s="30"/>
      <c r="D36" s="30"/>
      <c r="E36" s="30"/>
      <c r="F36" s="30"/>
      <c r="G36" s="30"/>
      <c r="H36" s="30"/>
      <c r="I36" s="30"/>
      <c r="J36" s="30"/>
      <c r="K36" s="30"/>
      <c r="L36" s="30"/>
      <c r="M36" s="30"/>
      <c r="N36" s="30"/>
      <c r="O36" s="30"/>
      <c r="P36" s="30"/>
      <c r="Q36" s="30"/>
      <c r="R36" s="30"/>
      <c r="S36" s="30"/>
      <c r="T36" s="30"/>
      <c r="U36" s="26"/>
      <c r="W36" s="195" t="s">
        <v>89</v>
      </c>
      <c r="X36" s="196">
        <v>4.9090000000000002E-3</v>
      </c>
    </row>
    <row r="37" spans="2:24" ht="15" customHeight="1" x14ac:dyDescent="0.25">
      <c r="B37" s="75"/>
      <c r="C37" s="30"/>
      <c r="D37" s="30"/>
      <c r="E37" s="30"/>
      <c r="F37" s="30"/>
      <c r="G37" s="30"/>
      <c r="H37" s="30"/>
      <c r="I37" s="30"/>
      <c r="J37" s="30"/>
      <c r="K37" s="30"/>
      <c r="L37" s="30"/>
      <c r="M37" s="30"/>
      <c r="N37" s="30"/>
      <c r="O37" s="30"/>
      <c r="P37" s="30"/>
      <c r="Q37" s="30"/>
      <c r="R37" s="30"/>
      <c r="S37" s="30"/>
      <c r="T37" s="30"/>
      <c r="U37" s="26"/>
      <c r="W37" s="195" t="s">
        <v>25</v>
      </c>
      <c r="X37" s="196">
        <v>4.908E-3</v>
      </c>
    </row>
    <row r="38" spans="2:24" ht="15" customHeight="1" x14ac:dyDescent="0.25">
      <c r="B38" s="75"/>
      <c r="C38" s="30"/>
      <c r="D38" s="30"/>
      <c r="E38" s="30"/>
      <c r="F38" s="30"/>
      <c r="G38" s="30"/>
      <c r="H38" s="30"/>
      <c r="I38" s="30"/>
      <c r="J38" s="30"/>
      <c r="K38" s="30"/>
      <c r="L38" s="30"/>
      <c r="M38" s="30"/>
      <c r="N38" s="30"/>
      <c r="O38" s="30"/>
      <c r="P38" s="30"/>
      <c r="Q38" s="30"/>
      <c r="R38" s="30"/>
      <c r="S38" s="30"/>
      <c r="T38" s="30"/>
      <c r="U38" s="26"/>
      <c r="W38" s="195" t="s">
        <v>138</v>
      </c>
      <c r="X38" s="196">
        <v>3.3839999999999999E-3</v>
      </c>
    </row>
    <row r="39" spans="2:24" ht="15" customHeight="1" x14ac:dyDescent="0.25">
      <c r="B39" s="75"/>
      <c r="C39" s="30"/>
      <c r="D39" s="30"/>
      <c r="E39" s="30"/>
      <c r="F39" s="30"/>
      <c r="G39" s="30"/>
      <c r="H39" s="30"/>
      <c r="I39" s="30"/>
      <c r="J39" s="30"/>
      <c r="K39" s="30"/>
      <c r="L39" s="30"/>
      <c r="M39" s="30"/>
      <c r="N39" s="30"/>
      <c r="O39" s="30"/>
      <c r="P39" s="30"/>
      <c r="Q39" s="30"/>
      <c r="R39" s="30"/>
      <c r="S39" s="30"/>
      <c r="T39" s="30"/>
      <c r="U39" s="26"/>
      <c r="W39" s="195" t="s">
        <v>163</v>
      </c>
      <c r="X39" s="196">
        <v>3.274E-3</v>
      </c>
    </row>
    <row r="40" spans="2:24" ht="15" customHeight="1" thickBot="1" x14ac:dyDescent="0.3">
      <c r="B40" s="88"/>
      <c r="C40" s="31"/>
      <c r="D40" s="31"/>
      <c r="E40" s="31"/>
      <c r="F40" s="31"/>
      <c r="G40" s="31"/>
      <c r="H40" s="31"/>
      <c r="I40" s="31"/>
      <c r="J40" s="31"/>
      <c r="K40" s="31"/>
      <c r="L40" s="31"/>
      <c r="M40" s="31"/>
      <c r="N40" s="31"/>
      <c r="O40" s="31"/>
      <c r="P40" s="31"/>
      <c r="Q40" s="31"/>
      <c r="R40" s="31"/>
      <c r="S40" s="31"/>
      <c r="T40" s="31"/>
      <c r="U40" s="27"/>
      <c r="W40" s="70" t="s">
        <v>142</v>
      </c>
      <c r="X40" s="72">
        <v>3.101E-3</v>
      </c>
    </row>
    <row r="41" spans="2:24" ht="15" customHeight="1" thickBot="1" x14ac:dyDescent="0.3">
      <c r="W41" s="195" t="s">
        <v>154</v>
      </c>
      <c r="X41" s="196">
        <v>2.7030000000000001E-3</v>
      </c>
    </row>
    <row r="42" spans="2:24" ht="15" customHeight="1" x14ac:dyDescent="0.25">
      <c r="B42" s="245" t="s">
        <v>265</v>
      </c>
      <c r="C42" s="246"/>
      <c r="D42" s="246"/>
      <c r="E42" s="246"/>
      <c r="F42" s="246"/>
      <c r="G42" s="246"/>
      <c r="H42" s="246"/>
      <c r="I42" s="246"/>
      <c r="J42" s="246"/>
      <c r="K42" s="246"/>
      <c r="L42" s="246"/>
      <c r="M42" s="246"/>
      <c r="N42" s="246"/>
      <c r="O42" s="246"/>
      <c r="P42" s="246"/>
      <c r="Q42" s="246"/>
      <c r="R42" s="247"/>
      <c r="W42" s="195" t="s">
        <v>151</v>
      </c>
      <c r="X42" s="196">
        <v>2.457E-3</v>
      </c>
    </row>
    <row r="43" spans="2:24" ht="15" customHeight="1" x14ac:dyDescent="0.25">
      <c r="B43" s="248"/>
      <c r="C43" s="249"/>
      <c r="D43" s="249"/>
      <c r="E43" s="249"/>
      <c r="F43" s="249"/>
      <c r="G43" s="249"/>
      <c r="H43" s="249"/>
      <c r="I43" s="249"/>
      <c r="J43" s="249"/>
      <c r="K43" s="249"/>
      <c r="L43" s="249"/>
      <c r="M43" s="249"/>
      <c r="N43" s="249"/>
      <c r="O43" s="249"/>
      <c r="P43" s="249"/>
      <c r="Q43" s="249"/>
      <c r="R43" s="250"/>
      <c r="W43" s="195" t="s">
        <v>98</v>
      </c>
      <c r="X43" s="196">
        <v>2.0830000000000002E-3</v>
      </c>
    </row>
    <row r="44" spans="2:24" ht="15" customHeight="1" x14ac:dyDescent="0.25">
      <c r="B44" s="248"/>
      <c r="C44" s="249"/>
      <c r="D44" s="249"/>
      <c r="E44" s="249"/>
      <c r="F44" s="249"/>
      <c r="G44" s="249"/>
      <c r="H44" s="249"/>
      <c r="I44" s="249"/>
      <c r="J44" s="249"/>
      <c r="K44" s="249"/>
      <c r="L44" s="249"/>
      <c r="M44" s="249"/>
      <c r="N44" s="249"/>
      <c r="O44" s="249"/>
      <c r="P44" s="249"/>
      <c r="Q44" s="249"/>
      <c r="R44" s="250"/>
      <c r="W44" s="195" t="s">
        <v>99</v>
      </c>
      <c r="X44" s="196">
        <v>1.6360000000000001E-3</v>
      </c>
    </row>
    <row r="45" spans="2:24" ht="15" customHeight="1" x14ac:dyDescent="0.25">
      <c r="B45" s="248"/>
      <c r="C45" s="249"/>
      <c r="D45" s="249"/>
      <c r="E45" s="249"/>
      <c r="F45" s="249"/>
      <c r="G45" s="249"/>
      <c r="H45" s="249"/>
      <c r="I45" s="249"/>
      <c r="J45" s="249"/>
      <c r="K45" s="249"/>
      <c r="L45" s="249"/>
      <c r="M45" s="249"/>
      <c r="N45" s="249"/>
      <c r="O45" s="249"/>
      <c r="P45" s="249"/>
      <c r="Q45" s="249"/>
      <c r="R45" s="250"/>
    </row>
    <row r="46" spans="2:24" ht="15" customHeight="1" x14ac:dyDescent="0.25">
      <c r="B46" s="248"/>
      <c r="C46" s="249"/>
      <c r="D46" s="249"/>
      <c r="E46" s="249"/>
      <c r="F46" s="249"/>
      <c r="G46" s="249"/>
      <c r="H46" s="249"/>
      <c r="I46" s="249"/>
      <c r="J46" s="249"/>
      <c r="K46" s="249"/>
      <c r="L46" s="249"/>
      <c r="M46" s="249"/>
      <c r="N46" s="249"/>
      <c r="O46" s="249"/>
      <c r="P46" s="249"/>
      <c r="Q46" s="249"/>
      <c r="R46" s="250"/>
    </row>
    <row r="47" spans="2:24" ht="15" customHeight="1" x14ac:dyDescent="0.25">
      <c r="B47" s="248"/>
      <c r="C47" s="249"/>
      <c r="D47" s="249"/>
      <c r="E47" s="249"/>
      <c r="F47" s="249"/>
      <c r="G47" s="249"/>
      <c r="H47" s="249"/>
      <c r="I47" s="249"/>
      <c r="J47" s="249"/>
      <c r="K47" s="249"/>
      <c r="L47" s="249"/>
      <c r="M47" s="249"/>
      <c r="N47" s="249"/>
      <c r="O47" s="249"/>
      <c r="P47" s="249"/>
      <c r="Q47" s="249"/>
      <c r="R47" s="250"/>
    </row>
    <row r="48" spans="2:24" ht="15" customHeight="1" thickBot="1" x14ac:dyDescent="0.3">
      <c r="B48" s="251"/>
      <c r="C48" s="252"/>
      <c r="D48" s="252"/>
      <c r="E48" s="252"/>
      <c r="F48" s="252"/>
      <c r="G48" s="252"/>
      <c r="H48" s="252"/>
      <c r="I48" s="252"/>
      <c r="J48" s="252"/>
      <c r="K48" s="252"/>
      <c r="L48" s="252"/>
      <c r="M48" s="252"/>
      <c r="N48" s="252"/>
      <c r="O48" s="252"/>
      <c r="P48" s="252"/>
      <c r="Q48" s="252"/>
      <c r="R48" s="253"/>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6.5" thickBot="1" x14ac:dyDescent="0.3">
      <c r="A1" s="3"/>
    </row>
    <row r="2" spans="1:24" x14ac:dyDescent="0.25">
      <c r="B2" s="74"/>
      <c r="C2" s="29"/>
      <c r="D2" s="29"/>
      <c r="E2" s="29"/>
      <c r="F2" s="29"/>
      <c r="G2" s="29"/>
      <c r="H2" s="29"/>
      <c r="I2" s="29"/>
      <c r="J2" s="29"/>
      <c r="K2" s="29"/>
      <c r="L2" s="29"/>
      <c r="M2" s="29"/>
      <c r="N2" s="29"/>
      <c r="O2" s="29"/>
      <c r="P2" s="29"/>
      <c r="Q2" s="29"/>
      <c r="R2" s="29"/>
      <c r="S2" s="29"/>
      <c r="T2" s="29"/>
      <c r="U2" s="25"/>
    </row>
    <row r="3" spans="1:24" ht="20.25" x14ac:dyDescent="0.25">
      <c r="B3" s="75"/>
      <c r="C3" s="254" t="s">
        <v>214</v>
      </c>
      <c r="D3" s="255"/>
      <c r="E3" s="255"/>
      <c r="F3" s="255"/>
      <c r="G3" s="255"/>
      <c r="H3" s="255"/>
      <c r="I3" s="255"/>
      <c r="J3" s="255"/>
      <c r="K3" s="255"/>
      <c r="L3" s="255"/>
      <c r="M3" s="255"/>
      <c r="N3" s="255"/>
      <c r="O3" s="255"/>
      <c r="P3" s="255"/>
      <c r="Q3" s="255"/>
      <c r="R3" s="255"/>
      <c r="S3" s="255"/>
      <c r="T3" s="76"/>
      <c r="U3" s="77"/>
    </row>
    <row r="4" spans="1:24" ht="15.75" x14ac:dyDescent="0.25">
      <c r="B4" s="75"/>
      <c r="C4" s="78" t="s">
        <v>303</v>
      </c>
      <c r="D4" s="30"/>
      <c r="E4" s="30"/>
      <c r="F4" s="30"/>
      <c r="G4" s="30"/>
      <c r="H4" s="30"/>
      <c r="I4" s="30"/>
      <c r="J4" s="30"/>
      <c r="K4" s="30"/>
      <c r="L4" s="30"/>
      <c r="M4" s="30"/>
      <c r="N4" s="30"/>
      <c r="O4" s="30"/>
      <c r="P4" s="30"/>
      <c r="Q4" s="30"/>
      <c r="R4" s="30"/>
      <c r="S4" s="30"/>
      <c r="T4" s="30"/>
      <c r="U4" s="26"/>
    </row>
    <row r="5" spans="1:24" ht="20.25" x14ac:dyDescent="0.25">
      <c r="B5" s="75"/>
      <c r="C5" s="79" t="s">
        <v>304</v>
      </c>
      <c r="D5" s="258" t="s">
        <v>301</v>
      </c>
      <c r="E5" s="258"/>
      <c r="F5" s="30"/>
      <c r="G5" s="30"/>
      <c r="H5" s="30"/>
      <c r="I5" s="30"/>
      <c r="J5" s="30"/>
      <c r="K5" s="30"/>
      <c r="L5" s="30"/>
      <c r="M5" s="30"/>
      <c r="N5" s="30"/>
      <c r="O5" s="30"/>
      <c r="P5" s="30"/>
      <c r="Q5" s="30"/>
      <c r="R5" s="30"/>
      <c r="S5" s="30"/>
      <c r="T5" s="30"/>
      <c r="U5" s="26"/>
    </row>
    <row r="6" spans="1:24" x14ac:dyDescent="0.25">
      <c r="B6" s="75"/>
      <c r="C6" s="30"/>
      <c r="D6" s="30"/>
      <c r="E6" s="30"/>
      <c r="F6" s="30"/>
      <c r="G6" s="30"/>
      <c r="H6" s="30"/>
      <c r="I6" s="30"/>
      <c r="J6" s="30"/>
      <c r="K6" s="30"/>
      <c r="L6" s="30"/>
      <c r="M6" s="30"/>
      <c r="N6" s="30"/>
      <c r="O6" s="30"/>
      <c r="P6" s="30"/>
      <c r="Q6" s="30"/>
      <c r="R6" s="30"/>
      <c r="S6" s="30"/>
      <c r="T6" s="30"/>
      <c r="U6" s="26"/>
    </row>
    <row r="7" spans="1:24" ht="15.75"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75" x14ac:dyDescent="0.25">
      <c r="B8" s="75"/>
      <c r="C8" s="221" t="s">
        <v>31</v>
      </c>
      <c r="D8" s="222" t="s">
        <v>146</v>
      </c>
      <c r="E8" s="223">
        <v>6.2912999999999997E-2</v>
      </c>
      <c r="F8" s="30"/>
      <c r="G8" s="30"/>
      <c r="H8" s="30"/>
      <c r="I8" s="30"/>
      <c r="J8" s="30"/>
      <c r="K8" s="30"/>
      <c r="L8" s="30"/>
      <c r="M8" s="30"/>
      <c r="N8" s="30"/>
      <c r="O8" s="30"/>
      <c r="P8" s="30"/>
      <c r="Q8" s="30"/>
      <c r="R8" s="30"/>
      <c r="S8" s="30"/>
      <c r="T8" s="30"/>
      <c r="U8" s="26"/>
      <c r="W8" s="70" t="s">
        <v>3</v>
      </c>
      <c r="X8" s="72">
        <v>0.27485300000000001</v>
      </c>
    </row>
    <row r="9" spans="1:24" ht="15.75" x14ac:dyDescent="0.25">
      <c r="B9" s="75"/>
      <c r="C9" s="211" t="s">
        <v>149</v>
      </c>
      <c r="D9" s="224" t="s">
        <v>141</v>
      </c>
      <c r="E9" s="225">
        <v>5.0264000000000003E-2</v>
      </c>
      <c r="F9" s="30"/>
      <c r="G9" s="30"/>
      <c r="H9" s="30"/>
      <c r="I9" s="30"/>
      <c r="J9" s="30"/>
      <c r="K9" s="30"/>
      <c r="L9" s="30"/>
      <c r="M9" s="30"/>
      <c r="N9" s="30"/>
      <c r="O9" s="30"/>
      <c r="P9" s="30"/>
      <c r="Q9" s="30"/>
      <c r="R9" s="30"/>
      <c r="S9" s="30"/>
      <c r="T9" s="30"/>
      <c r="U9" s="26"/>
      <c r="W9" s="70" t="s">
        <v>141</v>
      </c>
      <c r="X9" s="72">
        <v>0.12912699999999999</v>
      </c>
    </row>
    <row r="10" spans="1:24" ht="15.75" x14ac:dyDescent="0.25">
      <c r="B10" s="75"/>
      <c r="C10" s="211" t="s">
        <v>33</v>
      </c>
      <c r="D10" s="224" t="s">
        <v>3</v>
      </c>
      <c r="E10" s="225">
        <v>4.9565999999999999E-2</v>
      </c>
      <c r="F10" s="30"/>
      <c r="G10" s="30"/>
      <c r="H10" s="30"/>
      <c r="I10" s="30"/>
      <c r="J10" s="30"/>
      <c r="K10" s="30"/>
      <c r="L10" s="30"/>
      <c r="M10" s="30"/>
      <c r="N10" s="30"/>
      <c r="O10" s="30"/>
      <c r="P10" s="30"/>
      <c r="Q10" s="30"/>
      <c r="R10" s="30"/>
      <c r="S10" s="30"/>
      <c r="T10" s="30"/>
      <c r="U10" s="26"/>
      <c r="W10" s="70" t="s">
        <v>101</v>
      </c>
      <c r="X10" s="72">
        <v>8.0772999999999998E-2</v>
      </c>
    </row>
    <row r="11" spans="1:24" ht="15.75" x14ac:dyDescent="0.25">
      <c r="B11" s="75"/>
      <c r="C11" s="211" t="s">
        <v>64</v>
      </c>
      <c r="D11" s="224" t="s">
        <v>10</v>
      </c>
      <c r="E11" s="225">
        <v>4.9495999999999998E-2</v>
      </c>
      <c r="F11" s="30"/>
      <c r="G11" s="30"/>
      <c r="H11" s="30"/>
      <c r="I11" s="30"/>
      <c r="J11" s="30"/>
      <c r="K11" s="30"/>
      <c r="L11" s="30"/>
      <c r="M11" s="30"/>
      <c r="N11" s="30"/>
      <c r="O11" s="30"/>
      <c r="P11" s="30"/>
      <c r="Q11" s="30"/>
      <c r="R11" s="30"/>
      <c r="S11" s="30"/>
      <c r="T11" s="30"/>
      <c r="U11" s="26"/>
      <c r="W11" s="70" t="s">
        <v>146</v>
      </c>
      <c r="X11" s="72">
        <v>6.2912999999999997E-2</v>
      </c>
    </row>
    <row r="12" spans="1:24" ht="15.75" x14ac:dyDescent="0.25">
      <c r="B12" s="75"/>
      <c r="C12" s="211" t="s">
        <v>76</v>
      </c>
      <c r="D12" s="224" t="s">
        <v>12</v>
      </c>
      <c r="E12" s="225">
        <v>4.9063000000000002E-2</v>
      </c>
      <c r="F12" s="30"/>
      <c r="G12" s="30"/>
      <c r="H12" s="30"/>
      <c r="I12" s="30"/>
      <c r="J12" s="30"/>
      <c r="K12" s="30"/>
      <c r="L12" s="30"/>
      <c r="M12" s="30"/>
      <c r="N12" s="30"/>
      <c r="O12" s="30"/>
      <c r="P12" s="30"/>
      <c r="Q12" s="30"/>
      <c r="R12" s="30"/>
      <c r="S12" s="30"/>
      <c r="T12" s="30"/>
      <c r="U12" s="26"/>
      <c r="W12" s="70" t="s">
        <v>10</v>
      </c>
      <c r="X12" s="72">
        <v>4.9495999999999998E-2</v>
      </c>
    </row>
    <row r="13" spans="1:24" ht="15.75" x14ac:dyDescent="0.25">
      <c r="B13" s="75"/>
      <c r="C13" s="211" t="s">
        <v>177</v>
      </c>
      <c r="D13" s="224" t="s">
        <v>3</v>
      </c>
      <c r="E13" s="225">
        <v>4.6743E-2</v>
      </c>
      <c r="F13" s="30"/>
      <c r="G13" s="30"/>
      <c r="H13" s="30"/>
      <c r="I13" s="30"/>
      <c r="J13" s="30"/>
      <c r="K13" s="30"/>
      <c r="L13" s="30"/>
      <c r="M13" s="30"/>
      <c r="N13" s="30"/>
      <c r="O13" s="30"/>
      <c r="P13" s="30"/>
      <c r="Q13" s="30"/>
      <c r="R13" s="30"/>
      <c r="S13" s="30"/>
      <c r="T13" s="30"/>
      <c r="U13" s="26"/>
      <c r="W13" s="70" t="s">
        <v>12</v>
      </c>
      <c r="X13" s="72">
        <v>4.9063000000000002E-2</v>
      </c>
    </row>
    <row r="14" spans="1:24" ht="15.75" x14ac:dyDescent="0.25">
      <c r="B14" s="75"/>
      <c r="C14" s="211" t="s">
        <v>37</v>
      </c>
      <c r="D14" s="224" t="s">
        <v>3</v>
      </c>
      <c r="E14" s="225">
        <v>4.6155000000000002E-2</v>
      </c>
      <c r="F14" s="30"/>
      <c r="G14" s="30"/>
      <c r="H14" s="30"/>
      <c r="I14" s="30"/>
      <c r="J14" s="30"/>
      <c r="K14" s="30"/>
      <c r="L14" s="30"/>
      <c r="M14" s="30"/>
      <c r="N14" s="30"/>
      <c r="O14" s="30"/>
      <c r="P14" s="30"/>
      <c r="Q14" s="30"/>
      <c r="R14" s="30"/>
      <c r="S14" s="30"/>
      <c r="T14" s="30"/>
      <c r="U14" s="26"/>
      <c r="W14" s="70" t="s">
        <v>148</v>
      </c>
      <c r="X14" s="72">
        <v>4.6821000000000002E-2</v>
      </c>
    </row>
    <row r="15" spans="1:24" ht="30" x14ac:dyDescent="0.25">
      <c r="B15" s="75"/>
      <c r="C15" s="211" t="s">
        <v>82</v>
      </c>
      <c r="D15" s="224" t="s">
        <v>140</v>
      </c>
      <c r="E15" s="225">
        <v>4.5871000000000002E-2</v>
      </c>
      <c r="F15" s="30"/>
      <c r="G15" s="30"/>
      <c r="H15" s="30"/>
      <c r="I15" s="30"/>
      <c r="J15" s="30"/>
      <c r="K15" s="30"/>
      <c r="L15" s="30"/>
      <c r="M15" s="30"/>
      <c r="N15" s="30"/>
      <c r="O15" s="30"/>
      <c r="P15" s="30"/>
      <c r="Q15" s="30"/>
      <c r="R15" s="30"/>
      <c r="S15" s="30"/>
      <c r="T15" s="30"/>
      <c r="U15" s="26"/>
      <c r="W15" s="70" t="s">
        <v>140</v>
      </c>
      <c r="X15" s="72">
        <v>4.5871000000000002E-2</v>
      </c>
    </row>
    <row r="16" spans="1:24" ht="15.75" x14ac:dyDescent="0.25">
      <c r="B16" s="75"/>
      <c r="C16" s="211" t="s">
        <v>193</v>
      </c>
      <c r="D16" s="224" t="s">
        <v>141</v>
      </c>
      <c r="E16" s="225">
        <v>4.5376E-2</v>
      </c>
      <c r="F16" s="30"/>
      <c r="G16" s="30"/>
      <c r="H16" s="30"/>
      <c r="I16" s="30"/>
      <c r="J16" s="30"/>
      <c r="K16" s="30"/>
      <c r="L16" s="30"/>
      <c r="M16" s="30"/>
      <c r="N16" s="30"/>
      <c r="O16" s="30"/>
      <c r="P16" s="30"/>
      <c r="Q16" s="30"/>
      <c r="R16" s="30"/>
      <c r="S16" s="30"/>
      <c r="T16" s="30"/>
      <c r="U16" s="26"/>
      <c r="W16" s="70" t="s">
        <v>98</v>
      </c>
      <c r="X16" s="72">
        <v>3.7489000000000001E-2</v>
      </c>
    </row>
    <row r="17" spans="2:24" ht="15.75" x14ac:dyDescent="0.25">
      <c r="B17" s="75"/>
      <c r="C17" s="211" t="s">
        <v>93</v>
      </c>
      <c r="D17" s="224" t="s">
        <v>3</v>
      </c>
      <c r="E17" s="225">
        <v>4.5309000000000002E-2</v>
      </c>
      <c r="F17" s="30"/>
      <c r="G17" s="30"/>
      <c r="H17" s="30"/>
      <c r="I17" s="30"/>
      <c r="J17" s="30"/>
      <c r="K17" s="30"/>
      <c r="L17" s="30"/>
      <c r="M17" s="30"/>
      <c r="N17" s="30"/>
      <c r="O17" s="30"/>
      <c r="P17" s="30"/>
      <c r="Q17" s="30"/>
      <c r="R17" s="30"/>
      <c r="S17" s="30"/>
      <c r="T17" s="30"/>
      <c r="U17" s="26"/>
      <c r="W17" s="70" t="s">
        <v>97</v>
      </c>
      <c r="X17" s="72">
        <v>3.5843E-2</v>
      </c>
    </row>
    <row r="18" spans="2:24" ht="15.75" x14ac:dyDescent="0.25">
      <c r="B18" s="75"/>
      <c r="C18" s="211" t="s">
        <v>159</v>
      </c>
      <c r="D18" s="224" t="s">
        <v>101</v>
      </c>
      <c r="E18" s="225">
        <v>4.0712999999999999E-2</v>
      </c>
      <c r="F18" s="30"/>
      <c r="G18" s="30"/>
      <c r="H18" s="30"/>
      <c r="I18" s="30"/>
      <c r="J18" s="30"/>
      <c r="K18" s="30"/>
      <c r="L18" s="30"/>
      <c r="M18" s="30"/>
      <c r="N18" s="30"/>
      <c r="O18" s="30"/>
      <c r="P18" s="30"/>
      <c r="Q18" s="30"/>
      <c r="R18" s="30"/>
      <c r="S18" s="30"/>
      <c r="T18" s="30"/>
      <c r="U18" s="26"/>
      <c r="W18" s="70" t="s">
        <v>161</v>
      </c>
      <c r="X18" s="72">
        <v>3.5444000000000003E-2</v>
      </c>
    </row>
    <row r="19" spans="2:24" ht="15.75" x14ac:dyDescent="0.25">
      <c r="B19" s="75"/>
      <c r="C19" s="211" t="s">
        <v>200</v>
      </c>
      <c r="D19" s="224" t="s">
        <v>101</v>
      </c>
      <c r="E19" s="225">
        <v>4.0059999999999998E-2</v>
      </c>
      <c r="F19" s="30"/>
      <c r="G19" s="30"/>
      <c r="H19" s="30"/>
      <c r="I19" s="30"/>
      <c r="J19" s="30"/>
      <c r="K19" s="30"/>
      <c r="L19" s="30"/>
      <c r="M19" s="30"/>
      <c r="N19" s="30"/>
      <c r="O19" s="30"/>
      <c r="P19" s="30"/>
      <c r="Q19" s="30"/>
      <c r="R19" s="30"/>
      <c r="S19" s="30"/>
      <c r="T19" s="30"/>
      <c r="U19" s="26"/>
      <c r="W19" s="70" t="s">
        <v>162</v>
      </c>
      <c r="X19" s="72">
        <v>3.1111E-2</v>
      </c>
    </row>
    <row r="20" spans="2:24" ht="15.75" x14ac:dyDescent="0.25">
      <c r="B20" s="75"/>
      <c r="C20" s="211" t="s">
        <v>110</v>
      </c>
      <c r="D20" s="224" t="s">
        <v>98</v>
      </c>
      <c r="E20" s="225">
        <v>3.7489000000000001E-2</v>
      </c>
      <c r="F20" s="30"/>
      <c r="G20" s="30"/>
      <c r="H20" s="30"/>
      <c r="I20" s="30"/>
      <c r="J20" s="30"/>
      <c r="K20" s="30"/>
      <c r="L20" s="30"/>
      <c r="M20" s="30"/>
      <c r="N20" s="30"/>
      <c r="O20" s="30"/>
      <c r="P20" s="30"/>
      <c r="Q20" s="30"/>
      <c r="R20" s="30"/>
      <c r="S20" s="30"/>
      <c r="T20" s="30"/>
      <c r="U20" s="26"/>
      <c r="W20" s="70" t="s">
        <v>145</v>
      </c>
      <c r="X20" s="72">
        <v>2.9863000000000001E-2</v>
      </c>
    </row>
    <row r="21" spans="2:24" ht="30" x14ac:dyDescent="0.25">
      <c r="B21" s="75"/>
      <c r="C21" s="211" t="s">
        <v>263</v>
      </c>
      <c r="D21" s="224" t="s">
        <v>97</v>
      </c>
      <c r="E21" s="225">
        <v>3.5843E-2</v>
      </c>
      <c r="F21" s="30"/>
      <c r="G21" s="30"/>
      <c r="H21" s="30"/>
      <c r="I21" s="30"/>
      <c r="J21" s="30"/>
      <c r="K21" s="30"/>
      <c r="L21" s="30"/>
      <c r="M21" s="30"/>
      <c r="N21" s="30"/>
      <c r="O21" s="30"/>
      <c r="P21" s="30"/>
      <c r="Q21" s="30"/>
      <c r="R21" s="30"/>
      <c r="S21" s="30"/>
      <c r="T21" s="30"/>
      <c r="U21" s="26"/>
      <c r="W21" s="70" t="s">
        <v>26</v>
      </c>
      <c r="X21" s="72">
        <v>2.9562999999999999E-2</v>
      </c>
    </row>
    <row r="22" spans="2:24" ht="15.75" x14ac:dyDescent="0.25">
      <c r="B22" s="75"/>
      <c r="C22" s="211" t="s">
        <v>182</v>
      </c>
      <c r="D22" s="224" t="s">
        <v>161</v>
      </c>
      <c r="E22" s="225">
        <v>3.5444000000000003E-2</v>
      </c>
      <c r="F22" s="30"/>
      <c r="G22" s="30"/>
      <c r="H22" s="30"/>
      <c r="I22" s="30"/>
      <c r="J22" s="30"/>
      <c r="K22" s="30"/>
      <c r="L22" s="30"/>
      <c r="M22" s="30"/>
      <c r="N22" s="30"/>
      <c r="O22" s="30"/>
      <c r="P22" s="30"/>
      <c r="Q22" s="30"/>
      <c r="R22" s="30"/>
      <c r="S22" s="30"/>
      <c r="T22" s="30"/>
      <c r="U22" s="26"/>
      <c r="W22" s="70" t="s">
        <v>24</v>
      </c>
      <c r="X22" s="72">
        <v>2.9274000000000001E-2</v>
      </c>
    </row>
    <row r="23" spans="2:24" x14ac:dyDescent="0.25">
      <c r="B23" s="75"/>
      <c r="C23" s="83"/>
      <c r="D23" s="83"/>
      <c r="E23" s="84"/>
      <c r="F23" s="30"/>
      <c r="G23" s="30"/>
      <c r="H23" s="30"/>
      <c r="I23" s="30"/>
      <c r="J23" s="30"/>
      <c r="K23" s="30"/>
      <c r="L23" s="30"/>
      <c r="M23" s="30"/>
      <c r="N23" s="30"/>
      <c r="O23" s="30"/>
      <c r="P23" s="30"/>
      <c r="Q23" s="30"/>
      <c r="R23" s="30"/>
      <c r="S23" s="30"/>
      <c r="T23" s="30"/>
      <c r="U23" s="26"/>
      <c r="W23" s="70" t="s">
        <v>11</v>
      </c>
      <c r="X23" s="72">
        <v>1.6060000000000001E-2</v>
      </c>
    </row>
    <row r="24" spans="2:24" ht="15.75" x14ac:dyDescent="0.25">
      <c r="B24" s="75"/>
      <c r="C24" s="85" t="s">
        <v>56</v>
      </c>
      <c r="D24" s="86"/>
      <c r="E24" s="87">
        <f>SUM(E8:E22)</f>
        <v>0.68030499999999994</v>
      </c>
      <c r="F24" s="30"/>
      <c r="G24" s="30"/>
      <c r="H24" s="30"/>
      <c r="I24" s="30"/>
      <c r="J24" s="30"/>
      <c r="K24" s="30"/>
      <c r="L24" s="30"/>
      <c r="M24" s="30"/>
      <c r="N24" s="30"/>
      <c r="O24" s="30"/>
      <c r="P24" s="30"/>
      <c r="Q24" s="30"/>
      <c r="R24" s="30"/>
      <c r="S24" s="30"/>
      <c r="T24" s="30"/>
      <c r="U24" s="26"/>
      <c r="W24" s="70" t="s">
        <v>4</v>
      </c>
      <c r="X24" s="72">
        <v>8.9569999999999997E-3</v>
      </c>
    </row>
    <row r="25" spans="2:24" x14ac:dyDescent="0.25">
      <c r="B25" s="75"/>
      <c r="C25" s="30"/>
      <c r="D25" s="30"/>
      <c r="E25" s="30"/>
      <c r="F25" s="30"/>
      <c r="G25" s="30"/>
      <c r="H25" s="30"/>
      <c r="I25" s="30"/>
      <c r="J25" s="30"/>
      <c r="K25" s="30"/>
      <c r="L25" s="30"/>
      <c r="M25" s="30"/>
      <c r="N25" s="30"/>
      <c r="O25" s="30"/>
      <c r="P25" s="30"/>
      <c r="Q25" s="30"/>
      <c r="R25" s="30"/>
      <c r="S25" s="30"/>
      <c r="T25" s="30"/>
      <c r="U25" s="26"/>
      <c r="W25" s="70" t="s">
        <v>157</v>
      </c>
      <c r="X25" s="72">
        <v>5.8859999999999997E-3</v>
      </c>
    </row>
    <row r="26" spans="2:24"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45" t="s">
        <v>265</v>
      </c>
      <c r="C39" s="246"/>
      <c r="D39" s="246"/>
      <c r="E39" s="246"/>
      <c r="F39" s="246"/>
      <c r="G39" s="246"/>
      <c r="H39" s="246"/>
      <c r="I39" s="246"/>
      <c r="J39" s="246"/>
      <c r="K39" s="246"/>
      <c r="L39" s="246"/>
      <c r="M39" s="246"/>
      <c r="N39" s="246"/>
      <c r="O39" s="246"/>
      <c r="P39" s="246"/>
      <c r="Q39" s="246"/>
      <c r="R39" s="247"/>
      <c r="W39" s="70"/>
      <c r="X39" s="72"/>
    </row>
    <row r="40" spans="2:24" x14ac:dyDescent="0.25">
      <c r="B40" s="248"/>
      <c r="C40" s="249"/>
      <c r="D40" s="249"/>
      <c r="E40" s="249"/>
      <c r="F40" s="249"/>
      <c r="G40" s="249"/>
      <c r="H40" s="249"/>
      <c r="I40" s="249"/>
      <c r="J40" s="249"/>
      <c r="K40" s="249"/>
      <c r="L40" s="249"/>
      <c r="M40" s="249"/>
      <c r="N40" s="249"/>
      <c r="O40" s="249"/>
      <c r="P40" s="249"/>
      <c r="Q40" s="249"/>
      <c r="R40" s="250"/>
      <c r="W40" s="70"/>
      <c r="X40" s="72"/>
    </row>
    <row r="41" spans="2:24" x14ac:dyDescent="0.25">
      <c r="B41" s="248"/>
      <c r="C41" s="249"/>
      <c r="D41" s="249"/>
      <c r="E41" s="249"/>
      <c r="F41" s="249"/>
      <c r="G41" s="249"/>
      <c r="H41" s="249"/>
      <c r="I41" s="249"/>
      <c r="J41" s="249"/>
      <c r="K41" s="249"/>
      <c r="L41" s="249"/>
      <c r="M41" s="249"/>
      <c r="N41" s="249"/>
      <c r="O41" s="249"/>
      <c r="P41" s="249"/>
      <c r="Q41" s="249"/>
      <c r="R41" s="250"/>
      <c r="W41" s="70"/>
      <c r="X41" s="72"/>
    </row>
    <row r="42" spans="2:24" x14ac:dyDescent="0.25">
      <c r="B42" s="248"/>
      <c r="C42" s="249"/>
      <c r="D42" s="249"/>
      <c r="E42" s="249"/>
      <c r="F42" s="249"/>
      <c r="G42" s="249"/>
      <c r="H42" s="249"/>
      <c r="I42" s="249"/>
      <c r="J42" s="249"/>
      <c r="K42" s="249"/>
      <c r="L42" s="249"/>
      <c r="M42" s="249"/>
      <c r="N42" s="249"/>
      <c r="O42" s="249"/>
      <c r="P42" s="249"/>
      <c r="Q42" s="249"/>
      <c r="R42" s="250"/>
      <c r="W42" s="70"/>
      <c r="X42" s="72"/>
    </row>
    <row r="43" spans="2:24" x14ac:dyDescent="0.25">
      <c r="B43" s="248"/>
      <c r="C43" s="249"/>
      <c r="D43" s="249"/>
      <c r="E43" s="249"/>
      <c r="F43" s="249"/>
      <c r="G43" s="249"/>
      <c r="H43" s="249"/>
      <c r="I43" s="249"/>
      <c r="J43" s="249"/>
      <c r="K43" s="249"/>
      <c r="L43" s="249"/>
      <c r="M43" s="249"/>
      <c r="N43" s="249"/>
      <c r="O43" s="249"/>
      <c r="P43" s="249"/>
      <c r="Q43" s="249"/>
      <c r="R43" s="250"/>
    </row>
    <row r="44" spans="2:24" x14ac:dyDescent="0.25">
      <c r="B44" s="248"/>
      <c r="C44" s="249"/>
      <c r="D44" s="249"/>
      <c r="E44" s="249"/>
      <c r="F44" s="249"/>
      <c r="G44" s="249"/>
      <c r="H44" s="249"/>
      <c r="I44" s="249"/>
      <c r="J44" s="249"/>
      <c r="K44" s="249"/>
      <c r="L44" s="249"/>
      <c r="M44" s="249"/>
      <c r="N44" s="249"/>
      <c r="O44" s="249"/>
      <c r="P44" s="249"/>
      <c r="Q44" s="249"/>
      <c r="R44" s="250"/>
    </row>
    <row r="45" spans="2:24" ht="15.75" thickBot="1" x14ac:dyDescent="0.3">
      <c r="B45" s="251"/>
      <c r="C45" s="252"/>
      <c r="D45" s="252"/>
      <c r="E45" s="252"/>
      <c r="F45" s="252"/>
      <c r="G45" s="252"/>
      <c r="H45" s="252"/>
      <c r="I45" s="252"/>
      <c r="J45" s="252"/>
      <c r="K45" s="252"/>
      <c r="L45" s="252"/>
      <c r="M45" s="252"/>
      <c r="N45" s="252"/>
      <c r="O45" s="252"/>
      <c r="P45" s="252"/>
      <c r="Q45" s="252"/>
      <c r="R45" s="253"/>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22" width="9.140625" style="20"/>
    <col min="23" max="23" width="31.42578125" style="20" bestFit="1" customWidth="1"/>
    <col min="24" max="16384" width="9.140625" style="20"/>
  </cols>
  <sheetData>
    <row r="1" spans="1:24" ht="16.5" thickBot="1" x14ac:dyDescent="0.3">
      <c r="A1" s="3"/>
    </row>
    <row r="2" spans="1:24" x14ac:dyDescent="0.25">
      <c r="B2" s="74"/>
      <c r="C2" s="29"/>
      <c r="D2" s="29"/>
      <c r="E2" s="29"/>
      <c r="F2" s="29"/>
      <c r="G2" s="29"/>
      <c r="H2" s="29"/>
      <c r="I2" s="29"/>
      <c r="J2" s="29"/>
      <c r="K2" s="29"/>
      <c r="L2" s="29"/>
      <c r="M2" s="29"/>
      <c r="N2" s="29"/>
      <c r="O2" s="29"/>
      <c r="P2" s="29"/>
      <c r="Q2" s="29"/>
      <c r="R2" s="29"/>
      <c r="S2" s="29"/>
      <c r="T2" s="29"/>
      <c r="U2" s="25"/>
    </row>
    <row r="3" spans="1:24" ht="20.25" x14ac:dyDescent="0.25">
      <c r="B3" s="75"/>
      <c r="C3" s="254" t="s">
        <v>213</v>
      </c>
      <c r="D3" s="255"/>
      <c r="E3" s="255"/>
      <c r="F3" s="255"/>
      <c r="G3" s="255"/>
      <c r="H3" s="255"/>
      <c r="I3" s="255"/>
      <c r="J3" s="255"/>
      <c r="K3" s="255"/>
      <c r="L3" s="255"/>
      <c r="M3" s="255"/>
      <c r="N3" s="255"/>
      <c r="O3" s="255"/>
      <c r="P3" s="255"/>
      <c r="Q3" s="255"/>
      <c r="R3" s="255"/>
      <c r="S3" s="255"/>
      <c r="T3" s="76"/>
      <c r="U3" s="77"/>
    </row>
    <row r="4" spans="1:24" ht="15.75" x14ac:dyDescent="0.25">
      <c r="B4" s="75"/>
      <c r="C4" s="78" t="s">
        <v>303</v>
      </c>
      <c r="D4" s="30"/>
      <c r="E4" s="30"/>
      <c r="F4" s="30"/>
      <c r="G4" s="30"/>
      <c r="H4" s="30"/>
      <c r="I4" s="30"/>
      <c r="J4" s="30"/>
      <c r="K4" s="30"/>
      <c r="L4" s="30"/>
      <c r="M4" s="30"/>
      <c r="N4" s="30"/>
      <c r="O4" s="30"/>
      <c r="P4" s="30"/>
      <c r="Q4" s="30"/>
      <c r="R4" s="30"/>
      <c r="S4" s="30"/>
      <c r="T4" s="30"/>
      <c r="U4" s="26"/>
    </row>
    <row r="5" spans="1:24" ht="20.25" x14ac:dyDescent="0.25">
      <c r="B5" s="75"/>
      <c r="C5" s="79" t="s">
        <v>304</v>
      </c>
      <c r="D5" s="258" t="s">
        <v>302</v>
      </c>
      <c r="E5" s="258"/>
      <c r="F5" s="30"/>
      <c r="G5" s="30"/>
      <c r="H5" s="30"/>
      <c r="I5" s="30"/>
      <c r="J5" s="30"/>
      <c r="K5" s="30"/>
      <c r="L5" s="30"/>
      <c r="M5" s="30"/>
      <c r="N5" s="30"/>
      <c r="O5" s="30"/>
      <c r="P5" s="30"/>
      <c r="Q5" s="30"/>
      <c r="R5" s="30"/>
      <c r="S5" s="30"/>
      <c r="T5" s="30"/>
      <c r="U5" s="26"/>
    </row>
    <row r="6" spans="1:24" x14ac:dyDescent="0.25">
      <c r="B6" s="75"/>
      <c r="C6" s="30"/>
      <c r="D6" s="30"/>
      <c r="E6" s="30"/>
      <c r="F6" s="30"/>
      <c r="G6" s="30"/>
      <c r="H6" s="30"/>
      <c r="I6" s="30"/>
      <c r="J6" s="30"/>
      <c r="K6" s="30"/>
      <c r="L6" s="30"/>
      <c r="M6" s="30"/>
      <c r="N6" s="30"/>
      <c r="O6" s="30"/>
      <c r="P6" s="30"/>
      <c r="Q6" s="30"/>
      <c r="R6" s="30"/>
      <c r="S6" s="30"/>
      <c r="T6" s="30"/>
      <c r="U6" s="26"/>
    </row>
    <row r="7" spans="1:24" ht="15.75"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75" x14ac:dyDescent="0.25">
      <c r="B8" s="75"/>
      <c r="C8" s="221" t="s">
        <v>164</v>
      </c>
      <c r="D8" s="222" t="s">
        <v>136</v>
      </c>
      <c r="E8" s="223">
        <v>4.3951999999999998E-2</v>
      </c>
      <c r="F8" s="30"/>
      <c r="G8" s="30"/>
      <c r="H8" s="30"/>
      <c r="I8" s="30"/>
      <c r="J8" s="30"/>
      <c r="K8" s="30"/>
      <c r="L8" s="30"/>
      <c r="M8" s="30"/>
      <c r="N8" s="30"/>
      <c r="O8" s="30"/>
      <c r="P8" s="30"/>
      <c r="Q8" s="30"/>
      <c r="R8" s="30"/>
      <c r="S8" s="30"/>
      <c r="T8" s="30"/>
      <c r="U8" s="26"/>
      <c r="W8" s="197" t="s">
        <v>135</v>
      </c>
      <c r="X8" s="196">
        <v>0.158446</v>
      </c>
    </row>
    <row r="9" spans="1:24" ht="15.75" x14ac:dyDescent="0.25">
      <c r="B9" s="75"/>
      <c r="C9" s="211" t="s">
        <v>31</v>
      </c>
      <c r="D9" s="224" t="s">
        <v>146</v>
      </c>
      <c r="E9" s="225">
        <v>4.2418999999999998E-2</v>
      </c>
      <c r="F9" s="30"/>
      <c r="G9" s="30"/>
      <c r="H9" s="30"/>
      <c r="I9" s="30"/>
      <c r="J9" s="30"/>
      <c r="K9" s="30"/>
      <c r="L9" s="30"/>
      <c r="M9" s="30"/>
      <c r="N9" s="30"/>
      <c r="O9" s="30"/>
      <c r="P9" s="30"/>
      <c r="Q9" s="30"/>
      <c r="R9" s="30"/>
      <c r="S9" s="30"/>
      <c r="T9" s="30"/>
      <c r="U9" s="26"/>
      <c r="W9" s="197" t="s">
        <v>140</v>
      </c>
      <c r="X9" s="196">
        <v>0.103537</v>
      </c>
    </row>
    <row r="10" spans="1:24" ht="15.75" x14ac:dyDescent="0.25">
      <c r="B10" s="75"/>
      <c r="C10" s="211" t="s">
        <v>36</v>
      </c>
      <c r="D10" s="224" t="s">
        <v>3</v>
      </c>
      <c r="E10" s="225">
        <v>4.0094999999999999E-2</v>
      </c>
      <c r="F10" s="30"/>
      <c r="G10" s="30"/>
      <c r="H10" s="30"/>
      <c r="I10" s="30"/>
      <c r="J10" s="30"/>
      <c r="K10" s="30"/>
      <c r="L10" s="30"/>
      <c r="M10" s="30"/>
      <c r="N10" s="30"/>
      <c r="O10" s="30"/>
      <c r="P10" s="30"/>
      <c r="Q10" s="30"/>
      <c r="R10" s="30"/>
      <c r="S10" s="30"/>
      <c r="T10" s="30"/>
      <c r="U10" s="26"/>
      <c r="W10" s="197" t="s">
        <v>136</v>
      </c>
      <c r="X10" s="196">
        <v>7.9723999999999989E-2</v>
      </c>
    </row>
    <row r="11" spans="1:24" ht="15.75" x14ac:dyDescent="0.25">
      <c r="B11" s="75"/>
      <c r="C11" s="211" t="s">
        <v>184</v>
      </c>
      <c r="D11" s="224" t="s">
        <v>141</v>
      </c>
      <c r="E11" s="225">
        <v>3.8190000000000002E-2</v>
      </c>
      <c r="F11" s="30"/>
      <c r="G11" s="30"/>
      <c r="H11" s="30"/>
      <c r="I11" s="30"/>
      <c r="J11" s="30"/>
      <c r="K11" s="30"/>
      <c r="L11" s="30"/>
      <c r="M11" s="30"/>
      <c r="N11" s="30"/>
      <c r="O11" s="30"/>
      <c r="P11" s="30"/>
      <c r="Q11" s="30"/>
      <c r="R11" s="30"/>
      <c r="S11" s="30"/>
      <c r="T11" s="30"/>
      <c r="U11" s="26"/>
      <c r="W11" s="197" t="s">
        <v>146</v>
      </c>
      <c r="X11" s="196">
        <v>7.5469999999999995E-2</v>
      </c>
    </row>
    <row r="12" spans="1:24" ht="15.75" x14ac:dyDescent="0.25">
      <c r="B12" s="75"/>
      <c r="C12" s="211" t="s">
        <v>102</v>
      </c>
      <c r="D12" s="224" t="s">
        <v>136</v>
      </c>
      <c r="E12" s="225">
        <v>3.5771999999999998E-2</v>
      </c>
      <c r="F12" s="30"/>
      <c r="G12" s="30"/>
      <c r="H12" s="30"/>
      <c r="I12" s="30"/>
      <c r="J12" s="30"/>
      <c r="K12" s="30"/>
      <c r="L12" s="30"/>
      <c r="M12" s="30"/>
      <c r="N12" s="30"/>
      <c r="O12" s="30"/>
      <c r="P12" s="30"/>
      <c r="Q12" s="30"/>
      <c r="R12" s="30"/>
      <c r="S12" s="30"/>
      <c r="T12" s="30"/>
      <c r="U12" s="26"/>
      <c r="W12" s="197" t="s">
        <v>141</v>
      </c>
      <c r="X12" s="196">
        <v>7.2308999999999998E-2</v>
      </c>
    </row>
    <row r="13" spans="1:24" ht="15.75" x14ac:dyDescent="0.25">
      <c r="B13" s="75"/>
      <c r="C13" s="211" t="s">
        <v>34</v>
      </c>
      <c r="D13" s="224" t="s">
        <v>135</v>
      </c>
      <c r="E13" s="225">
        <v>3.5594000000000001E-2</v>
      </c>
      <c r="F13" s="30"/>
      <c r="G13" s="30"/>
      <c r="H13" s="30"/>
      <c r="I13" s="30"/>
      <c r="J13" s="30"/>
      <c r="K13" s="30"/>
      <c r="L13" s="30"/>
      <c r="M13" s="30"/>
      <c r="N13" s="30"/>
      <c r="O13" s="30"/>
      <c r="P13" s="30"/>
      <c r="Q13" s="30"/>
      <c r="R13" s="30"/>
      <c r="S13" s="30"/>
      <c r="T13" s="30"/>
      <c r="U13" s="26"/>
      <c r="W13" s="197" t="s">
        <v>3</v>
      </c>
      <c r="X13" s="196">
        <v>7.2045999999999999E-2</v>
      </c>
    </row>
    <row r="14" spans="1:24" ht="30" x14ac:dyDescent="0.25">
      <c r="B14" s="75"/>
      <c r="C14" s="211" t="s">
        <v>82</v>
      </c>
      <c r="D14" s="224" t="s">
        <v>140</v>
      </c>
      <c r="E14" s="225">
        <v>3.5482E-2</v>
      </c>
      <c r="F14" s="30"/>
      <c r="G14" s="30"/>
      <c r="H14" s="30"/>
      <c r="I14" s="30"/>
      <c r="J14" s="30"/>
      <c r="K14" s="30"/>
      <c r="L14" s="30"/>
      <c r="M14" s="30"/>
      <c r="N14" s="30"/>
      <c r="O14" s="30"/>
      <c r="P14" s="30"/>
      <c r="Q14" s="30"/>
      <c r="R14" s="30"/>
      <c r="S14" s="30"/>
      <c r="T14" s="30"/>
      <c r="U14" s="26"/>
      <c r="W14" s="197" t="s">
        <v>10</v>
      </c>
      <c r="X14" s="196">
        <v>6.4586000000000005E-2</v>
      </c>
    </row>
    <row r="15" spans="1:24" ht="30" x14ac:dyDescent="0.25">
      <c r="B15" s="75"/>
      <c r="C15" s="211" t="s">
        <v>132</v>
      </c>
      <c r="D15" s="224" t="s">
        <v>140</v>
      </c>
      <c r="E15" s="225">
        <v>3.5106999999999999E-2</v>
      </c>
      <c r="F15" s="30"/>
      <c r="G15" s="30"/>
      <c r="H15" s="30"/>
      <c r="I15" s="30"/>
      <c r="J15" s="30"/>
      <c r="K15" s="30"/>
      <c r="L15" s="30"/>
      <c r="M15" s="30"/>
      <c r="N15" s="30"/>
      <c r="O15" s="30"/>
      <c r="P15" s="30"/>
      <c r="Q15" s="30"/>
      <c r="R15" s="30"/>
      <c r="S15" s="30"/>
      <c r="T15" s="30"/>
      <c r="U15" s="26"/>
      <c r="W15" s="197" t="s">
        <v>6</v>
      </c>
      <c r="X15" s="196">
        <v>6.4551999999999998E-2</v>
      </c>
    </row>
    <row r="16" spans="1:24" ht="15.75" x14ac:dyDescent="0.25">
      <c r="B16" s="75"/>
      <c r="C16" s="211" t="s">
        <v>264</v>
      </c>
      <c r="D16" s="224" t="s">
        <v>135</v>
      </c>
      <c r="E16" s="225">
        <v>3.5054000000000002E-2</v>
      </c>
      <c r="F16" s="30"/>
      <c r="G16" s="30"/>
      <c r="H16" s="30"/>
      <c r="I16" s="30"/>
      <c r="J16" s="30"/>
      <c r="K16" s="30"/>
      <c r="L16" s="30"/>
      <c r="M16" s="30"/>
      <c r="N16" s="30"/>
      <c r="O16" s="30"/>
      <c r="P16" s="30"/>
      <c r="Q16" s="30"/>
      <c r="R16" s="30"/>
      <c r="S16" s="30"/>
      <c r="T16" s="30"/>
      <c r="U16" s="26"/>
      <c r="W16" s="197" t="s">
        <v>16</v>
      </c>
      <c r="X16" s="196">
        <v>6.3879999999999992E-2</v>
      </c>
    </row>
    <row r="17" spans="2:24" ht="15.75" x14ac:dyDescent="0.25">
      <c r="B17" s="75"/>
      <c r="C17" s="211" t="s">
        <v>81</v>
      </c>
      <c r="D17" s="224" t="s">
        <v>135</v>
      </c>
      <c r="E17" s="225">
        <v>3.4929000000000002E-2</v>
      </c>
      <c r="F17" s="30"/>
      <c r="G17" s="30"/>
      <c r="H17" s="30"/>
      <c r="I17" s="30"/>
      <c r="J17" s="30"/>
      <c r="K17" s="30"/>
      <c r="L17" s="30"/>
      <c r="M17" s="30"/>
      <c r="N17" s="30"/>
      <c r="O17" s="30"/>
      <c r="P17" s="30"/>
      <c r="Q17" s="30"/>
      <c r="R17" s="30"/>
      <c r="S17" s="30"/>
      <c r="T17" s="30"/>
      <c r="U17" s="26"/>
      <c r="W17" s="197" t="s">
        <v>100</v>
      </c>
      <c r="X17" s="196">
        <v>6.1966E-2</v>
      </c>
    </row>
    <row r="18" spans="2:24" ht="15.75" x14ac:dyDescent="0.25">
      <c r="B18" s="75"/>
      <c r="C18" s="211" t="s">
        <v>191</v>
      </c>
      <c r="D18" s="224" t="s">
        <v>141</v>
      </c>
      <c r="E18" s="225">
        <v>3.4118999999999997E-2</v>
      </c>
      <c r="F18" s="30"/>
      <c r="G18" s="30"/>
      <c r="H18" s="30"/>
      <c r="I18" s="30"/>
      <c r="J18" s="30"/>
      <c r="K18" s="30"/>
      <c r="L18" s="30"/>
      <c r="M18" s="30"/>
      <c r="N18" s="30"/>
      <c r="O18" s="30"/>
      <c r="P18" s="30"/>
      <c r="Q18" s="30"/>
      <c r="R18" s="30"/>
      <c r="S18" s="30"/>
      <c r="T18" s="30"/>
      <c r="U18" s="26"/>
      <c r="W18" s="197" t="s">
        <v>150</v>
      </c>
      <c r="X18" s="196">
        <v>5.7308999999999999E-2</v>
      </c>
    </row>
    <row r="19" spans="2:24" ht="15.75" x14ac:dyDescent="0.25">
      <c r="B19" s="75"/>
      <c r="C19" s="211" t="s">
        <v>38</v>
      </c>
      <c r="D19" s="224" t="s">
        <v>146</v>
      </c>
      <c r="E19" s="225">
        <v>3.3050999999999997E-2</v>
      </c>
      <c r="F19" s="30"/>
      <c r="G19" s="30"/>
      <c r="H19" s="30"/>
      <c r="I19" s="30"/>
      <c r="J19" s="30"/>
      <c r="K19" s="30"/>
      <c r="L19" s="30"/>
      <c r="M19" s="30"/>
      <c r="N19" s="30"/>
      <c r="O19" s="30"/>
      <c r="P19" s="30"/>
      <c r="Q19" s="30"/>
      <c r="R19" s="30"/>
      <c r="S19" s="30"/>
      <c r="T19" s="30"/>
      <c r="U19" s="26"/>
      <c r="W19" s="197" t="s">
        <v>23</v>
      </c>
      <c r="X19" s="196">
        <v>3.2812000000000001E-2</v>
      </c>
    </row>
    <row r="20" spans="2:24" ht="15.75" x14ac:dyDescent="0.25">
      <c r="B20" s="75"/>
      <c r="C20" s="211" t="s">
        <v>181</v>
      </c>
      <c r="D20" s="224" t="s">
        <v>10</v>
      </c>
      <c r="E20" s="225">
        <v>3.295E-2</v>
      </c>
      <c r="F20" s="30"/>
      <c r="G20" s="30"/>
      <c r="H20" s="30"/>
      <c r="I20" s="30"/>
      <c r="J20" s="30"/>
      <c r="K20" s="30"/>
      <c r="L20" s="30"/>
      <c r="M20" s="30"/>
      <c r="N20" s="30"/>
      <c r="O20" s="30"/>
      <c r="P20" s="30"/>
      <c r="Q20" s="30"/>
      <c r="R20" s="30"/>
      <c r="S20" s="30"/>
      <c r="T20" s="30"/>
      <c r="U20" s="26"/>
      <c r="W20" s="197" t="s">
        <v>144</v>
      </c>
      <c r="X20" s="196">
        <v>3.1092000000000002E-2</v>
      </c>
    </row>
    <row r="21" spans="2:24" ht="30" x14ac:dyDescent="0.25">
      <c r="B21" s="75"/>
      <c r="C21" s="211" t="s">
        <v>183</v>
      </c>
      <c r="D21" s="224" t="s">
        <v>140</v>
      </c>
      <c r="E21" s="225">
        <v>3.2947999999999998E-2</v>
      </c>
      <c r="F21" s="30"/>
      <c r="G21" s="30"/>
      <c r="H21" s="30"/>
      <c r="I21" s="30"/>
      <c r="J21" s="30"/>
      <c r="K21" s="30"/>
      <c r="L21" s="30"/>
      <c r="M21" s="30"/>
      <c r="N21" s="30"/>
      <c r="O21" s="30"/>
      <c r="P21" s="30"/>
      <c r="Q21" s="30"/>
      <c r="R21" s="30"/>
      <c r="S21" s="30"/>
      <c r="T21" s="30"/>
      <c r="U21" s="26"/>
      <c r="W21" s="197" t="s">
        <v>145</v>
      </c>
      <c r="X21" s="196">
        <v>3.0464000000000001E-2</v>
      </c>
    </row>
    <row r="22" spans="2:24" ht="15.75" x14ac:dyDescent="0.25">
      <c r="B22" s="75"/>
      <c r="C22" s="211" t="s">
        <v>211</v>
      </c>
      <c r="D22" s="224" t="s">
        <v>16</v>
      </c>
      <c r="E22" s="225">
        <v>3.2908E-2</v>
      </c>
      <c r="F22" s="30"/>
      <c r="G22" s="30"/>
      <c r="H22" s="30"/>
      <c r="I22" s="30"/>
      <c r="J22" s="30"/>
      <c r="K22" s="30"/>
      <c r="L22" s="30"/>
      <c r="M22" s="30"/>
      <c r="N22" s="30"/>
      <c r="O22" s="30"/>
      <c r="P22" s="30"/>
      <c r="Q22" s="30"/>
      <c r="R22" s="30"/>
      <c r="S22" s="30"/>
      <c r="T22" s="30"/>
      <c r="U22" s="26"/>
      <c r="W22" s="70" t="s">
        <v>97</v>
      </c>
      <c r="X22" s="72">
        <v>3.039E-2</v>
      </c>
    </row>
    <row r="23" spans="2:24" x14ac:dyDescent="0.25">
      <c r="B23" s="75"/>
      <c r="C23" s="83"/>
      <c r="D23" s="83"/>
      <c r="E23" s="84"/>
      <c r="F23" s="30"/>
      <c r="G23" s="30"/>
      <c r="H23" s="30"/>
      <c r="I23" s="30"/>
      <c r="J23" s="30"/>
      <c r="K23" s="30"/>
      <c r="L23" s="30"/>
      <c r="M23" s="30"/>
      <c r="N23" s="30"/>
      <c r="O23" s="30"/>
      <c r="P23" s="30"/>
      <c r="Q23" s="30"/>
      <c r="R23" s="30"/>
      <c r="S23" s="30"/>
      <c r="T23" s="30"/>
      <c r="U23" s="26"/>
      <c r="W23" s="70"/>
      <c r="X23" s="72"/>
    </row>
    <row r="24" spans="2:24" ht="15.75" x14ac:dyDescent="0.25">
      <c r="B24" s="75"/>
      <c r="C24" s="85" t="s">
        <v>56</v>
      </c>
      <c r="D24" s="86"/>
      <c r="E24" s="87">
        <f>SUM(E8:E22)</f>
        <v>0.54257</v>
      </c>
      <c r="F24" s="30"/>
      <c r="G24" s="30"/>
      <c r="H24" s="30"/>
      <c r="I24" s="30"/>
      <c r="J24" s="30"/>
      <c r="K24" s="30"/>
      <c r="L24" s="30"/>
      <c r="M24" s="30"/>
      <c r="N24" s="30"/>
      <c r="O24" s="30"/>
      <c r="P24" s="30"/>
      <c r="Q24" s="30"/>
      <c r="R24" s="30"/>
      <c r="S24" s="30"/>
      <c r="T24" s="30"/>
      <c r="U24" s="26"/>
      <c r="W24" s="70"/>
      <c r="X24" s="72"/>
    </row>
    <row r="25" spans="2:24"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45" t="s">
        <v>265</v>
      </c>
      <c r="C39" s="246"/>
      <c r="D39" s="246"/>
      <c r="E39" s="246"/>
      <c r="F39" s="246"/>
      <c r="G39" s="246"/>
      <c r="H39" s="246"/>
      <c r="I39" s="246"/>
      <c r="J39" s="246"/>
      <c r="K39" s="246"/>
      <c r="L39" s="246"/>
      <c r="M39" s="246"/>
      <c r="N39" s="246"/>
      <c r="O39" s="246"/>
      <c r="P39" s="246"/>
      <c r="Q39" s="246"/>
      <c r="R39" s="247"/>
      <c r="W39" s="70"/>
      <c r="X39" s="72"/>
    </row>
    <row r="40" spans="2:24" x14ac:dyDescent="0.25">
      <c r="B40" s="248"/>
      <c r="C40" s="249"/>
      <c r="D40" s="249"/>
      <c r="E40" s="249"/>
      <c r="F40" s="249"/>
      <c r="G40" s="249"/>
      <c r="H40" s="249"/>
      <c r="I40" s="249"/>
      <c r="J40" s="249"/>
      <c r="K40" s="249"/>
      <c r="L40" s="249"/>
      <c r="M40" s="249"/>
      <c r="N40" s="249"/>
      <c r="O40" s="249"/>
      <c r="P40" s="249"/>
      <c r="Q40" s="249"/>
      <c r="R40" s="250"/>
      <c r="W40" s="70"/>
      <c r="X40" s="72"/>
    </row>
    <row r="41" spans="2:24" x14ac:dyDescent="0.25">
      <c r="B41" s="248"/>
      <c r="C41" s="249"/>
      <c r="D41" s="249"/>
      <c r="E41" s="249"/>
      <c r="F41" s="249"/>
      <c r="G41" s="249"/>
      <c r="H41" s="249"/>
      <c r="I41" s="249"/>
      <c r="J41" s="249"/>
      <c r="K41" s="249"/>
      <c r="L41" s="249"/>
      <c r="M41" s="249"/>
      <c r="N41" s="249"/>
      <c r="O41" s="249"/>
      <c r="P41" s="249"/>
      <c r="Q41" s="249"/>
      <c r="R41" s="250"/>
      <c r="W41" s="70"/>
      <c r="X41" s="72"/>
    </row>
    <row r="42" spans="2:24" x14ac:dyDescent="0.25">
      <c r="B42" s="248"/>
      <c r="C42" s="249"/>
      <c r="D42" s="249"/>
      <c r="E42" s="249"/>
      <c r="F42" s="249"/>
      <c r="G42" s="249"/>
      <c r="H42" s="249"/>
      <c r="I42" s="249"/>
      <c r="J42" s="249"/>
      <c r="K42" s="249"/>
      <c r="L42" s="249"/>
      <c r="M42" s="249"/>
      <c r="N42" s="249"/>
      <c r="O42" s="249"/>
      <c r="P42" s="249"/>
      <c r="Q42" s="249"/>
      <c r="R42" s="250"/>
      <c r="W42" s="70"/>
      <c r="X42" s="72"/>
    </row>
    <row r="43" spans="2:24" x14ac:dyDescent="0.25">
      <c r="B43" s="248"/>
      <c r="C43" s="249"/>
      <c r="D43" s="249"/>
      <c r="E43" s="249"/>
      <c r="F43" s="249"/>
      <c r="G43" s="249"/>
      <c r="H43" s="249"/>
      <c r="I43" s="249"/>
      <c r="J43" s="249"/>
      <c r="K43" s="249"/>
      <c r="L43" s="249"/>
      <c r="M43" s="249"/>
      <c r="N43" s="249"/>
      <c r="O43" s="249"/>
      <c r="P43" s="249"/>
      <c r="Q43" s="249"/>
      <c r="R43" s="250"/>
    </row>
    <row r="44" spans="2:24" x14ac:dyDescent="0.25">
      <c r="B44" s="248"/>
      <c r="C44" s="249"/>
      <c r="D44" s="249"/>
      <c r="E44" s="249"/>
      <c r="F44" s="249"/>
      <c r="G44" s="249"/>
      <c r="H44" s="249"/>
      <c r="I44" s="249"/>
      <c r="J44" s="249"/>
      <c r="K44" s="249"/>
      <c r="L44" s="249"/>
      <c r="M44" s="249"/>
      <c r="N44" s="249"/>
      <c r="O44" s="249"/>
      <c r="P44" s="249"/>
      <c r="Q44" s="249"/>
      <c r="R44" s="250"/>
    </row>
    <row r="45" spans="2:24" ht="15.75" thickBot="1" x14ac:dyDescent="0.3">
      <c r="B45" s="251"/>
      <c r="C45" s="252"/>
      <c r="D45" s="252"/>
      <c r="E45" s="252"/>
      <c r="F45" s="252"/>
      <c r="G45" s="252"/>
      <c r="H45" s="252"/>
      <c r="I45" s="252"/>
      <c r="J45" s="252"/>
      <c r="K45" s="252"/>
      <c r="L45" s="252"/>
      <c r="M45" s="252"/>
      <c r="N45" s="252"/>
      <c r="O45" s="252"/>
      <c r="P45" s="252"/>
      <c r="Q45" s="252"/>
      <c r="R45" s="253"/>
    </row>
  </sheetData>
  <sortState ref="W8:X21">
    <sortCondition descending="1" ref="X8"/>
  </sortState>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BANDHAN-USFOF</vt:lpstr>
      <vt:lpstr>BANDHAN-US TB FOF 0-1 yr</vt:lpstr>
      <vt:lpstr>BANDHAN CEF</vt:lpstr>
      <vt:lpstr>BANDHAN LCF</vt:lpstr>
      <vt:lpstr>BANDHAN FEF</vt:lpstr>
      <vt:lpstr>BANDHAN SVF</vt:lpstr>
      <vt:lpstr>BANDHAN-MCAP</vt:lpstr>
      <vt:lpstr>BANDHAN MCF</vt:lpstr>
      <vt:lpstr>BANDHAN FCF</vt:lpstr>
      <vt:lpstr>BANDHAN EBF</vt:lpstr>
      <vt:lpstr>BANDHAN IF</vt:lpstr>
      <vt:lpstr>BANDHAN TLF</vt:lpstr>
      <vt:lpstr>BANDHAN-TAF</vt:lpstr>
      <vt:lpstr>BANDHAN-AF</vt:lpstr>
      <vt:lpstr>BANDHAN BAF</vt:lpstr>
      <vt:lpstr>BANDHAN-ESF</vt:lpstr>
      <vt:lpstr>BANDHAN-RSF</vt:lpstr>
      <vt:lpstr>BANDHAN-HEF</vt:lpstr>
      <vt:lpstr>BANDHANAAF-AP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2023-06-02T10:37:59Z</dcterms:modified>
</cp:coreProperties>
</file>