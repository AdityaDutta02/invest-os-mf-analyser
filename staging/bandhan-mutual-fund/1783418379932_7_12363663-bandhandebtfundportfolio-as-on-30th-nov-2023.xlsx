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19.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20.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21.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drawings/drawing22.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drawings/drawing23.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drawings/drawing24.xml" ContentType="application/vnd.openxmlformats-officedocument.drawing+xml"/>
  <Override PartName="/xl/charts/chart4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3"/>
  <workbookPr defaultThemeVersion="166925"/>
  <mc:AlternateContent xmlns:mc="http://schemas.openxmlformats.org/markup-compatibility/2006">
    <mc:Choice Requires="x15">
      <x15ac:absPath xmlns:x15ac="http://schemas.microsoft.com/office/spreadsheetml/2010/11/ac" url="Z:\MONTH END DELIVERABLES-1\Portfolios_All\2023\Dec 2023\"/>
    </mc:Choice>
  </mc:AlternateContent>
  <xr:revisionPtr revIDLastSave="0" documentId="13_ncr:1_{4B99B1D3-8A2D-4CAF-A813-572DF181F98A}" xr6:coauthVersionLast="36" xr6:coauthVersionMax="36" xr10:uidLastSave="{00000000-0000-0000-0000-000000000000}"/>
  <bookViews>
    <workbookView xWindow="0" yWindow="0" windowWidth="20490" windowHeight="7545" xr2:uid="{C431BA33-87A0-4331-8EAA-84D641CD83E8}"/>
  </bookViews>
  <sheets>
    <sheet name="BANDHAN OF" sheetId="23" r:id="rId1"/>
    <sheet name="BANDHAN CF" sheetId="20" r:id="rId2"/>
    <sheet name="BANDHAN LDF" sheetId="21" r:id="rId3"/>
    <sheet name="BANDHAN MMF" sheetId="22" r:id="rId4"/>
    <sheet name="BANDHAN USTF" sheetId="24" r:id="rId5"/>
    <sheet name="BANDHAN DBF" sheetId="16" r:id="rId6"/>
    <sheet name="BANDHAN BOND IP" sheetId="4" r:id="rId7"/>
    <sheet name="BANDHAN BOND MT" sheetId="5" r:id="rId8"/>
    <sheet name="BANDHAN BOND ST" sheetId="6" r:id="rId9"/>
    <sheet name="BANDHAN BPDF" sheetId="3" r:id="rId10"/>
    <sheet name="BANDHAN CBF" sheetId="7" r:id="rId11"/>
    <sheet name="BANDHAN FRF" sheetId="17" r:id="rId12"/>
    <sheet name="BANDHAN CRF" sheetId="8" r:id="rId13"/>
    <sheet name="BANDHAN GSF-IP" sheetId="19" r:id="rId14"/>
    <sheet name="BANDHAN GSF - CMP" sheetId="18" r:id="rId15"/>
    <sheet name="BANDHAN GIF26" sheetId="12" r:id="rId16"/>
    <sheet name="BANDHAN GIF2027" sheetId="15" r:id="rId17"/>
    <sheet name="BANDHAN GIF2028" sheetId="13" r:id="rId18"/>
    <sheet name="BANDHAN GIF32" sheetId="14" r:id="rId19"/>
    <sheet name="BANDHAN SDLGIF26" sheetId="10" r:id="rId20"/>
    <sheet name="BANDHAN SDLGIF27" sheetId="11" r:id="rId21"/>
    <sheet name="BANDHAN SDLGIF32" sheetId="9" r:id="rId22"/>
    <sheet name="BANDHAN ASBF" sheetId="2" r:id="rId23"/>
    <sheet name="BANDHAN US TB 0-1yr FOF" sheetId="25" r:id="rId24"/>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 i="25" l="1"/>
  <c r="J10" i="25"/>
  <c r="J9" i="25"/>
  <c r="J8" i="25"/>
</calcChain>
</file>

<file path=xl/sharedStrings.xml><?xml version="1.0" encoding="utf-8"?>
<sst xmlns="http://schemas.openxmlformats.org/spreadsheetml/2006/main" count="1390" uniqueCount="315">
  <si>
    <t>Bandhan All Seasons Bond Fund (30 November, 2023 )</t>
  </si>
  <si>
    <t>Net Assets as on 30 November, 2023</t>
  </si>
  <si>
    <t>123.41 crs</t>
  </si>
  <si>
    <t>Name</t>
  </si>
  <si>
    <t>Rating</t>
  </si>
  <si>
    <t>Total</t>
  </si>
  <si>
    <t>Bandhan Bond Fund -Short Term Pl Direct Pl-Growth</t>
  </si>
  <si>
    <t>Mutual Fund Units Total</t>
  </si>
  <si>
    <t>Clearing Corporation of India Ltd</t>
  </si>
  <si>
    <t>TRI Party Repo Total</t>
  </si>
  <si>
    <t>Net Current Asset</t>
  </si>
  <si>
    <t>Grand Total</t>
  </si>
  <si>
    <t>Company</t>
  </si>
  <si>
    <t>TRI Party Repo</t>
  </si>
  <si>
    <t>Mutual Fund Units</t>
  </si>
  <si>
    <t>AAA EQUIVALENT</t>
  </si>
  <si>
    <t>Asset Quality</t>
  </si>
  <si>
    <t>Average Maturity Years</t>
  </si>
  <si>
    <t>Asset Allocation</t>
  </si>
  <si>
    <t>Bandhan Banking &amp; PSU Debt Fund (30 November, 2023 )</t>
  </si>
  <si>
    <t>15674.54 crs</t>
  </si>
  <si>
    <t>Axis Bank Limited</t>
  </si>
  <si>
    <t xml:space="preserve"> A1+</t>
  </si>
  <si>
    <t>State Bank of India</t>
  </si>
  <si>
    <t>Export Import Bank of India</t>
  </si>
  <si>
    <t>Kotak Mahindra Bank Limited</t>
  </si>
  <si>
    <t>Certificate of Deposit Total</t>
  </si>
  <si>
    <t>Commercial Paper Total</t>
  </si>
  <si>
    <t>National Bank For Agriculture and Rural Development</t>
  </si>
  <si>
    <t xml:space="preserve"> AAA</t>
  </si>
  <si>
    <t>HDFC Bank Limited</t>
  </si>
  <si>
    <t>Indian Railway Finance Corporation Limited</t>
  </si>
  <si>
    <t>Small Industries Dev Bank of India</t>
  </si>
  <si>
    <t>REC Limited</t>
  </si>
  <si>
    <t>Power Finance Corporation Limited</t>
  </si>
  <si>
    <t>Bajaj Housing Finance Limited</t>
  </si>
  <si>
    <t>Hindustan Petroleum Corporation Limited</t>
  </si>
  <si>
    <t>NTPC Limited</t>
  </si>
  <si>
    <t>Indian Oil Corporation Limited</t>
  </si>
  <si>
    <t>Nuclear Power Corporation Of India Limited</t>
  </si>
  <si>
    <t>National Housing Bank</t>
  </si>
  <si>
    <t>ICICI Bank Limited</t>
  </si>
  <si>
    <t>Power Grid Corporation of India Limited</t>
  </si>
  <si>
    <t>NHPC Limited</t>
  </si>
  <si>
    <t>Corporate Bond Total</t>
  </si>
  <si>
    <t>Corporate Debt Market Development Fund</t>
  </si>
  <si>
    <t>Corporate Debt Market Development Fund Total</t>
  </si>
  <si>
    <t>7.38% GOI (MD 20/06/2027)</t>
  </si>
  <si>
    <t>7.27% GOI (MD 08/04/2026)</t>
  </si>
  <si>
    <t>5.63% GOI (MD 12/04/2026)</t>
  </si>
  <si>
    <t>Government Bond Total</t>
  </si>
  <si>
    <t>State Government Bond Total</t>
  </si>
  <si>
    <t>Certificate of Deposit</t>
  </si>
  <si>
    <t>Corporate Bond</t>
  </si>
  <si>
    <t>Commercial Paper</t>
  </si>
  <si>
    <t>Government Bond</t>
  </si>
  <si>
    <t>State Government Bond</t>
  </si>
  <si>
    <t>Bandhan Bond Fund - Income Plan (30 November, 2023 )</t>
  </si>
  <si>
    <t>488.63 crs</t>
  </si>
  <si>
    <t>7.18% GOI (MD 24/07/2037)</t>
  </si>
  <si>
    <t>7.1% GOI (MD 18/04/2029)</t>
  </si>
  <si>
    <t>7.06% GOI (MD 10/04/2028)</t>
  </si>
  <si>
    <t>6.1% GOI (MD 12/07/2031)</t>
  </si>
  <si>
    <t>7.18% GOI (MD 14/08/2033)</t>
  </si>
  <si>
    <t>6.79% GOI (MD 15/05/2027)</t>
  </si>
  <si>
    <t>7.73% GOI (MD 19/12/2034)</t>
  </si>
  <si>
    <t>Bandhan Bond Fund - Medium Term Plan (30 November, 2023 )</t>
  </si>
  <si>
    <t>1657.56 crs</t>
  </si>
  <si>
    <t>8.24% GOI (MD 15/02/2027)</t>
  </si>
  <si>
    <t xml:space="preserve"> AAA(SO)</t>
  </si>
  <si>
    <t>PTC Total</t>
  </si>
  <si>
    <t>PTC</t>
  </si>
  <si>
    <t>Bandhan Bond Fund - Short Term Plan (30 November, 2023 )</t>
  </si>
  <si>
    <t>9260.66 crs</t>
  </si>
  <si>
    <t>Bajaj Finance Limited</t>
  </si>
  <si>
    <t>Kotak Mahindra Prime Limited</t>
  </si>
  <si>
    <t>Sundaram Finance Limited</t>
  </si>
  <si>
    <t>7.17% GOI (MD 17/04/2030)</t>
  </si>
  <si>
    <t>Bandhan Corporate Bond Fund (30 November, 2023 )</t>
  </si>
  <si>
    <t>14107.55 crs</t>
  </si>
  <si>
    <t>UltraTech Cement Limited</t>
  </si>
  <si>
    <t>Larsen &amp; Toubro Limited</t>
  </si>
  <si>
    <t>Grasim Industries Limited</t>
  </si>
  <si>
    <t>Oil &amp; Natural Gas Corporation Limited</t>
  </si>
  <si>
    <t>Tata Capital Financial Services Limited</t>
  </si>
  <si>
    <t>Reliance Industries Limited</t>
  </si>
  <si>
    <t>7.68% GOI (MD 15/12/2023)</t>
  </si>
  <si>
    <t>364 Days Tbill (MD 14/03/2024)</t>
  </si>
  <si>
    <t>364 Days Tbill (MD 07/03/2024)</t>
  </si>
  <si>
    <t>364 Days Tbill (MD 22/03/2024)</t>
  </si>
  <si>
    <t>Treasury Bill Total</t>
  </si>
  <si>
    <t>Zero Coupon Bond Total</t>
  </si>
  <si>
    <t>Treasury Bill</t>
  </si>
  <si>
    <t>Zero Coupon Bond</t>
  </si>
  <si>
    <t>Bandhan Credit Risk Fund (30 November, 2023 )</t>
  </si>
  <si>
    <t>392.64 crs</t>
  </si>
  <si>
    <t>Century Textiles &amp; Industries Limited</t>
  </si>
  <si>
    <t xml:space="preserve"> AA</t>
  </si>
  <si>
    <t>Godrej Industries Limited</t>
  </si>
  <si>
    <t>Tata Projects Limited</t>
  </si>
  <si>
    <t>Tata Power Company Limited</t>
  </si>
  <si>
    <t>AU Small Finance Bank Limited</t>
  </si>
  <si>
    <t>Aadhar Housing Finance Limited</t>
  </si>
  <si>
    <t xml:space="preserve"> AA+</t>
  </si>
  <si>
    <t>Union Bank of India</t>
  </si>
  <si>
    <t>Godrej Housing Finance Limited</t>
  </si>
  <si>
    <t>TVS Credit Services Limited</t>
  </si>
  <si>
    <t>AA</t>
  </si>
  <si>
    <t>AA+</t>
  </si>
  <si>
    <t>Bandhan CRISIL IBX 90:10 SDL+Gilt Apr32 Index Fund (30 November, 2023 )</t>
  </si>
  <si>
    <t>323.81 crs</t>
  </si>
  <si>
    <t>6.54% GOI (MD 17/01/2032)</t>
  </si>
  <si>
    <t>Bandhan CRISIL IBX 90:10 SDL+Gilt Nov26 Index Fund (30 November, 2023 )</t>
  </si>
  <si>
    <t>109.38 crs</t>
  </si>
  <si>
    <t>5.74% GOI (MD 15/11/2026)</t>
  </si>
  <si>
    <t>Bandhan CRISIL IBX 90:10 SDL+Gilt Sep27 Index Fund (30 November, 2023 )</t>
  </si>
  <si>
    <t>164.36 crs</t>
  </si>
  <si>
    <t>Bandhan CRISIL IBX Gilt April 2026 Index Fund (30 November, 2023 )</t>
  </si>
  <si>
    <t>474.40 crs</t>
  </si>
  <si>
    <t>6.99% GOI (MD 17/04/2026)</t>
  </si>
  <si>
    <t>7.59% GOI(MD 11/01/2026)</t>
  </si>
  <si>
    <t>5.15% GOI (MD 09/11/2025)</t>
  </si>
  <si>
    <t>Bandhan CRISIL IBX Gilt April 2028 Index Fund (30 November, 2023 )</t>
  </si>
  <si>
    <t>4850.43 crs</t>
  </si>
  <si>
    <t>7.17% GOI (MD 08/01/2028)</t>
  </si>
  <si>
    <t>8.28% GOI (M/D 21/09/2027)</t>
  </si>
  <si>
    <t>Bandhan CRISIL IBX GILT APRIL 2032 INDEX FUND (30 November, 2023 )</t>
  </si>
  <si>
    <t>329.29 crs</t>
  </si>
  <si>
    <t>Average Maturity in Days</t>
  </si>
  <si>
    <t>Bandhan CRISIL IBX Gilt June 2027 Index Fund (30 November, 2023 )</t>
  </si>
  <si>
    <t>8293.90 crs</t>
  </si>
  <si>
    <t>Bandhan Dynamic Bond Fund (30 November, 2023 )</t>
  </si>
  <si>
    <t>2141.62 crs</t>
  </si>
  <si>
    <t>8.20% GOI (MD 24/09/2025)</t>
  </si>
  <si>
    <t>Bandhan Floating Rate Fund (30 November, 2023 )</t>
  </si>
  <si>
    <t>205.29 crs</t>
  </si>
  <si>
    <t>Bharti Telecom Limited</t>
  </si>
  <si>
    <t>Interest Rate Swaps</t>
  </si>
  <si>
    <t>Interest Rate Swap</t>
  </si>
  <si>
    <t>Bandhan Government Sec Fund-Constant Maturity Plan (30 November, 2023 )</t>
  </si>
  <si>
    <t>300.37 crs</t>
  </si>
  <si>
    <t>Bandhan Government Securities Fund-Investment Plan (30 November, 2023 )</t>
  </si>
  <si>
    <t>1417.24 crs</t>
  </si>
  <si>
    <t>Bandhan Liquid Fund (30 November, 2023 )</t>
  </si>
  <si>
    <t>13318.54 crs</t>
  </si>
  <si>
    <t>Bank of Baroda</t>
  </si>
  <si>
    <t>Canara Bank</t>
  </si>
  <si>
    <t>Reliance Retail Ventures Limited</t>
  </si>
  <si>
    <t>Kotak Securities Limited</t>
  </si>
  <si>
    <t>Tata Steel Limited</t>
  </si>
  <si>
    <t>HDFC Securities Limited</t>
  </si>
  <si>
    <t>ICICI Securities Limited</t>
  </si>
  <si>
    <t>Tata Capital Housing Finance Limited</t>
  </si>
  <si>
    <t>L&amp;T Finance Limited</t>
  </si>
  <si>
    <t>Mahindra &amp; Mahindra Financial Services Limited</t>
  </si>
  <si>
    <t>7.32% GOI (MD 28/01/2024)</t>
  </si>
  <si>
    <t>91 Days Tbill (MD 01/02/2024)</t>
  </si>
  <si>
    <t>91 Days Tbill (MD 25/01/2024)</t>
  </si>
  <si>
    <t>91 Days Tbill (MD 18/01/2024)</t>
  </si>
  <si>
    <t>182 Days Tbill (MD 07/12/2023)</t>
  </si>
  <si>
    <t>364 Days Tbill (MD 11/01/2024)</t>
  </si>
  <si>
    <t>182 Days Tbill (MD 08/02/2024)</t>
  </si>
  <si>
    <t>91 Days Tbill (MD 07/12/2023)</t>
  </si>
  <si>
    <t>91 Days Tbill (MD 11/01/2024)</t>
  </si>
  <si>
    <t>Bandhan Low Duration Fund (30 November, 2023 )</t>
  </si>
  <si>
    <t>5447.06 crs</t>
  </si>
  <si>
    <t>182 Days Tbill (MD 29/02/2024)</t>
  </si>
  <si>
    <t>Bandhan Money Manager Fund (30 November, 2023 )</t>
  </si>
  <si>
    <t>3507.26 crs</t>
  </si>
  <si>
    <t>Kotak Mahindra Investments Limited</t>
  </si>
  <si>
    <t>182 Days Tbill (MD 16/02/2024)</t>
  </si>
  <si>
    <t>364 Days Tbill (MD 15/02/2024)</t>
  </si>
  <si>
    <t>Bandhan Overnight Fund (30 November, 2023 )</t>
  </si>
  <si>
    <t>1744.40 crs</t>
  </si>
  <si>
    <t>REPO Total</t>
  </si>
  <si>
    <t>182 Days Tbill (MD 14/12/2023)</t>
  </si>
  <si>
    <t>182 Days Tbill (MD 21/12/2023)</t>
  </si>
  <si>
    <t>REPO</t>
  </si>
  <si>
    <t>Bandhan Ultra Short Term Fund (30 November, 2023 )</t>
  </si>
  <si>
    <t>3283.11 crs</t>
  </si>
  <si>
    <t xml:space="preserve">SOV </t>
  </si>
  <si>
    <t>8.07% Gujrat SDL (MD 11/02/2025)</t>
  </si>
  <si>
    <t>8.05% Karnataka SDL (MD 25/02/2025)</t>
  </si>
  <si>
    <t>8.25% Gujarat SDL  ( MD 24/12/2024)</t>
  </si>
  <si>
    <t>8.29%  Rajasthan SDL (MD 13/05/2025)</t>
  </si>
  <si>
    <t>8.05% Maharashtra SDL (MD 28/01/2025)</t>
  </si>
  <si>
    <t>8.24% Maharashtra SDL (MD 24/12/2024)</t>
  </si>
  <si>
    <t>8.27% Haryana SDL (MD 13/05/2025)</t>
  </si>
  <si>
    <t>8.08% Haryana SDL (MD 28/01/2025)</t>
  </si>
  <si>
    <t>8.15% Haryana SDL (MD 27/05/2025)</t>
  </si>
  <si>
    <t>8.05% Haryana SDL (MD 25/02/2025)</t>
  </si>
  <si>
    <t>8.08% Uttar Pradesh SDL (MD 25/02/2025)</t>
  </si>
  <si>
    <t>8.1% Uttar Pradesh SDL (MD 28/01/2025)</t>
  </si>
  <si>
    <t>8.09% Andhra Pradesh SDL (MD 28/01/2025)</t>
  </si>
  <si>
    <t>5.8% Maharashtra SDL (MD 02/02/2025)</t>
  </si>
  <si>
    <t>7.41% Uttar Pradesh SDL (MD 09/11/2026)</t>
  </si>
  <si>
    <t>8.05% Gujarat SDL (MD 28/01/2025)</t>
  </si>
  <si>
    <t>8.08% Madhya Pradesh SDL (MD 11/02/2025)</t>
  </si>
  <si>
    <t>8.96% Maharashtra SDL  (MD 09/07/2024)</t>
  </si>
  <si>
    <t>5.77% Gujarat SDL (MD 12/01/2025)</t>
  </si>
  <si>
    <t>5.77% Gujarat SDL (MD 02/02/2025)</t>
  </si>
  <si>
    <t>8.25% Maharastra SDL  ( MD 13/05/2025)</t>
  </si>
  <si>
    <t>8.2% Gujarat SDL (MD 24/06/2025)</t>
  </si>
  <si>
    <t>8.37% Tamil Nadu SDL (MD 05/12/2028)</t>
  </si>
  <si>
    <t>8.26% Maharashtra SDL (MD 12/08/2025)</t>
  </si>
  <si>
    <t>7.96% Gujarat SDL (14/10/2025)</t>
  </si>
  <si>
    <t>8.27% Tamilnadu SDL (MD 13/01/2026)</t>
  </si>
  <si>
    <t>8.27% Gujarat SDL (MD 13/01/2026)</t>
  </si>
  <si>
    <t>8.36% Maharashtra SDL (MD 27/01/2026)</t>
  </si>
  <si>
    <t>8.51% Maharashtra SDL (MD 09/03/2026)</t>
  </si>
  <si>
    <t>8.53% Tamil Nadu SDL (MD 09/03/2026)</t>
  </si>
  <si>
    <t>8.3% Madhya Pradesh SDL (MD  13/01/2026)</t>
  </si>
  <si>
    <t>8.20% GUJARAT SDL (MD 09/12/2025)</t>
  </si>
  <si>
    <t>7.99% Karnatak SDL (MD 28/10/2025)</t>
  </si>
  <si>
    <t>7.18% Tamilnadu SDL (MD 26/07/2027)</t>
  </si>
  <si>
    <t>7.93% Chattisgarh SDL (MD 13/02/2024)</t>
  </si>
  <si>
    <t>8.03% Gujarat SDL (MD 16/04/2025)</t>
  </si>
  <si>
    <t>8.27% Haryana SDL (MD 09/12/2025)</t>
  </si>
  <si>
    <t>8.27% Haryana SDL (MD 23/12/2025)</t>
  </si>
  <si>
    <t>6.18% Gujarat SDL (MD 25/01/2026)</t>
  </si>
  <si>
    <t>7.47% Gujarat SDL (MD 27/10/2025)</t>
  </si>
  <si>
    <t>9.37% Gujarat SDL (MD 30/01/2024)</t>
  </si>
  <si>
    <t>9.55% Karnataka SDL (MD 12/02/2024)</t>
  </si>
  <si>
    <t>9.63% Andhra Pradesh SDL (MD 12/02/2024)</t>
  </si>
  <si>
    <t>9.71% Haryana SDL (MD 12/03/2024)</t>
  </si>
  <si>
    <t>9.47% Tamilnadu SDL (MD 26/03/2024)</t>
  </si>
  <si>
    <t>9.45% Rahasthan SDL (MD 26/03/2024)</t>
  </si>
  <si>
    <t>9.47% Haryana SDL (MD 26/03/2024)</t>
  </si>
  <si>
    <t>9.11% Maharashtra SDL (MD 28/05/2024)</t>
  </si>
  <si>
    <t>9.24% Haryana SDL (MD 16/01/2024)</t>
  </si>
  <si>
    <t>8.83% Tamilnadu SDL (MD 11/06/2024)</t>
  </si>
  <si>
    <t>8.83% Maharashtra SDL (MD 11/06/2024)</t>
  </si>
  <si>
    <t>9.48% Andhra Pradesh SDL (MD 26/03/2024)</t>
  </si>
  <si>
    <t>5.6% Haryana SDL (MD 20/05/2024)</t>
  </si>
  <si>
    <t>5.75% Tamilnadu SDL (MD 27/05/2025)</t>
  </si>
  <si>
    <t>8.72% Tamilnadu SDL (MD 19/09/2026)</t>
  </si>
  <si>
    <t>7.04% Gujarat SDL (MD 07/08/2026)</t>
  </si>
  <si>
    <t>7.22% Maharashtra SDL (MD 26/10/2026)</t>
  </si>
  <si>
    <t>6.82% Maharashtra SDL (MD 23/11/2026)</t>
  </si>
  <si>
    <t>6.24% Maharashtra SDL (MD 11/08/2026)</t>
  </si>
  <si>
    <t>7.38% Rajasthan SDL (MD 14/09/2026)</t>
  </si>
  <si>
    <t>7.4% Madhya Pradesh SDL (MD 09/11/2026)</t>
  </si>
  <si>
    <t>7.17% Rajasthan SDL (MD 28/09/2026)</t>
  </si>
  <si>
    <t>7.69% Uttar Pradesh SDL (MD 27/07/2026)</t>
  </si>
  <si>
    <t>7.57% Gujarat SDL (MD 09/11/2026)</t>
  </si>
  <si>
    <t>7.59% Kerala SDL (MD 24/08/2026)</t>
  </si>
  <si>
    <t>7.16% Madhya Pradesh SDL (MD 28/09/2026)</t>
  </si>
  <si>
    <t>7.49% Gujarat SDL (MD 28/09/2026)</t>
  </si>
  <si>
    <t>7.69% Tamilnadu SDL (MD 27/07/2026)</t>
  </si>
  <si>
    <t>7.18% Haryana SDL (MD 28/09/2026)</t>
  </si>
  <si>
    <t>7.19% West Bangal SDL (MD 28/09/2026)</t>
  </si>
  <si>
    <t>7.15% Madhya Pradesh SDL (MD 13/10/2026)</t>
  </si>
  <si>
    <t>7.2% Maharashtra SDL (MD 09/08/2027)</t>
  </si>
  <si>
    <t>7.47% Chhattisgarh SDL (MD 27/09/2027)</t>
  </si>
  <si>
    <t>7.33% Maharashtra SDL (MD 13/09/2027)</t>
  </si>
  <si>
    <t>6.2% Rajasthan SDL (MD 29/07/2027)</t>
  </si>
  <si>
    <t>7.27% Tamilnadu SDL (MD 12/07/2027)</t>
  </si>
  <si>
    <t>7.25% Gujarat SDL (MD 12/07/2027)</t>
  </si>
  <si>
    <t>8.49% Andhra Pradesh SDL (MD 21/08/2027)</t>
  </si>
  <si>
    <t>7.21% Tamilnadu SDL (MD 09/08/2027)</t>
  </si>
  <si>
    <t>7.28% Madhya Pradesh SDL (MD 23/08/2027)</t>
  </si>
  <si>
    <t>7.93% Karnataka SDL (MD 08/04/2031)</t>
  </si>
  <si>
    <t>6.84% Gujarat SDL (MD 24/03/2031)</t>
  </si>
  <si>
    <t>6.85% Madhya Pradesh SDL (MD 15/09/2031)</t>
  </si>
  <si>
    <t>6.83% Tamilnadu SDL (MD 15/12/2031)</t>
  </si>
  <si>
    <t>7.12% Gujarat SDL (MD 02/03/2032)</t>
  </si>
  <si>
    <t>7.17% Kerala SDL (MD 02/03/2032)</t>
  </si>
  <si>
    <t>7.09% Rajasthan SDL (MD 16/02/2032)</t>
  </si>
  <si>
    <t>7.22% Rajasthan SDL (MD 16/03/2032)</t>
  </si>
  <si>
    <t>7.23% Tamilnadu SDL (MD 23/03/2032)</t>
  </si>
  <si>
    <t>7.29% Gujarat SDL (MD 30/03/2032)</t>
  </si>
  <si>
    <t>7.3% Tamilnadu SDL (MD 30/03/2032)</t>
  </si>
  <si>
    <t>7.8% Andhra Pradesh SDL (MD 22/06/2031)</t>
  </si>
  <si>
    <t>7.68% Karnataka SDL (MD 16/11/2031)</t>
  </si>
  <si>
    <t>7.68% Haryana SDL (MD 23/11/2031)</t>
  </si>
  <si>
    <t>6.9% Andhra Pradesh SDL (MD 03/02/2032)</t>
  </si>
  <si>
    <t>7.57% Gujarat SDL (MD 28/12/2031)</t>
  </si>
  <si>
    <t>7.57% Gujarat SDL (MD 18/01/2032)</t>
  </si>
  <si>
    <t>7.63% Gujarat SDL (MD 25/01/2032)</t>
  </si>
  <si>
    <t>7.74% Andhra Pradesh SDL (MD 01/03/2032)</t>
  </si>
  <si>
    <t>7.72% Maharashtra SDL (MD 23/03/2032)</t>
  </si>
  <si>
    <t>7.73% Maharashtra SDL (MD 29/03/2032)</t>
  </si>
  <si>
    <t>7.73% Andhra Pradesh SDL (MD 23/03/2032)</t>
  </si>
  <si>
    <t>7.72% Haryana SDL (MD 23/03/2032)</t>
  </si>
  <si>
    <t>Bandhan Banking &amp; PSU Debt Fund -Direct Gr</t>
  </si>
  <si>
    <t xml:space="preserve">Pursuant to SEBI circular no. SEBI/HO/IMD/DF2/CIR/P/2021/683 dated December 10, 2021 (“the Circular”), SEBI has notified that with respect to the margin or collateral requirement for execution of
certain transactions, overnight funds can deploy not exceeding 5% of the net assets of the scheme in Government Securities and/or Treasury bills with a residual maturity of upto 30 days for the purpose of placing the same as margin and collateral for certain transactions. </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</si>
  <si>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</si>
  <si>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First Business Receivables Trust^</t>
  </si>
  <si>
    <t>^PTC originated by Reliance Industries Limited</t>
  </si>
  <si>
    <t>^^AT1 Bonds under Basel III</t>
  </si>
  <si>
    <t>Union Bank of India^^</t>
  </si>
  <si>
    <t>Punjab National Bank^^</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</si>
  <si>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The Scheme may or may not have any present or future positions in the above securities. Investors are advised to consult their own investment advisor before making any investment decision in light of their risk appetite, investment goals and horizon.”</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</si>
  <si>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</si>
  <si>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BANDHAN US TREASURY BOND 0-1 YEAR FUND OF FUND</t>
  </si>
  <si>
    <t>JPMorgan ETFs BetaBuilders US Tre Bond0-1 yr UCITS</t>
  </si>
  <si>
    <t>International Mutual Fund Units</t>
  </si>
  <si>
    <t>Banks</t>
  </si>
  <si>
    <t>Software</t>
  </si>
  <si>
    <t>Power</t>
  </si>
  <si>
    <t>Consumer Non Durables</t>
  </si>
  <si>
    <t>Retailing</t>
  </si>
  <si>
    <t>Construction Project</t>
  </si>
  <si>
    <t>Gas</t>
  </si>
  <si>
    <t>Chemicals</t>
  </si>
  <si>
    <t>Hotels, Resorts And Other Recreational Activities</t>
  </si>
  <si>
    <t>Telecom - Services</t>
  </si>
  <si>
    <t>Petroleum Products</t>
  </si>
  <si>
    <t>Auto</t>
  </si>
  <si>
    <t>Ferrous Metals</t>
  </si>
  <si>
    <t>Industrial Capital Goods</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</si>
  <si>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</si>
  <si>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</si>
  <si>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Portfolio as on - (30th November, 2023)</t>
  </si>
  <si>
    <t>164.15 crs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</si>
</sst>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Black]\(0.00%\)"/>
    <numFmt numFmtId="166" formatCode="0.000%;[Black]\(0.000%\)"/>
    <numFmt numFmtId="167" formatCode="#0.00%;\(#0.00%\)"/>
    <numFmt numFmtId="168" formatCode="#,##0.00%_);\(#,##0.00%\)"/>
  </numFmts>
  <fonts count="13"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
      <sz val="11"/>
      <color theme="1"/>
      <name val="Calibri"/>
      <family val="2"/>
      <scheme val="minor"/>
    </font>
    <font>
      <sz val="12"/>
      <name val="Arial"/>
      <family val="2"/>
    </font>
    <font>
      <b/>
      <sz val="16"/>
      <name val="Arial"/>
      <family val="2"/>
    </font>
    <font>
      <b/>
      <sz val="12"/>
      <name val="Arial"/>
      <family val="2"/>
    </font>
    <font>
      <sz val="11"/>
      <name val="Calibri"/>
      <family val="2"/>
      <scheme val="minor"/>
    </font>
    <font>
      <b/>
      <sz val="11"/>
      <name val="Arial"/>
      <family val="2"/>
    </font>
  </fonts>
  <fills count="4">
    <fill>
      <patternFill patternType="none"/>
    </fill>
    <fill>
      <patternFill patternType="gray125"/>
    </fill>
    <fill>
      <patternFill patternType="solid">
        <fgColor rgb="FFD8D8D8"/>
        <bgColor indexed="64"/>
      </patternFill>
    </fill>
    <fill>
      <patternFill patternType="solid">
        <fgColor theme="0" tint="-0.14999847407452621"/>
        <bgColor indexed="64"/>
      </patternFill>
    </fill>
  </fills>
  <borders count="35">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7" fillId="0" borderId="0" applyFont="0" applyFill="0" applyBorder="0" applyAlignment="0" applyProtection="0"/>
  </cellStyleXfs>
  <cellXfs count="104">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0" fontId="0" fillId="2" borderId="0" xfId="0" applyFill="1" applyBorder="1"/>
    <xf numFmtId="0" fontId="0" fillId="2" borderId="12" xfId="0" applyFill="1" applyBorder="1"/>
    <xf numFmtId="10" fontId="6" fillId="0" borderId="0" xfId="0" applyNumberFormat="1" applyFont="1" applyBorder="1"/>
    <xf numFmtId="0" fontId="1" fillId="0" borderId="18" xfId="0" applyFont="1" applyBorder="1" applyAlignment="1">
      <alignment vertical="center"/>
    </xf>
    <xf numFmtId="166" fontId="1" fillId="0" borderId="2" xfId="0" applyNumberFormat="1" applyFont="1" applyBorder="1" applyAlignment="1">
      <alignment vertical="center"/>
    </xf>
    <xf numFmtId="0" fontId="8" fillId="0" borderId="0" xfId="0" applyFont="1"/>
    <xf numFmtId="0" fontId="8" fillId="0" borderId="19" xfId="0" applyFont="1" applyBorder="1"/>
    <xf numFmtId="0" fontId="8" fillId="0" borderId="20" xfId="0" applyFont="1" applyBorder="1"/>
    <xf numFmtId="0" fontId="8" fillId="0" borderId="21" xfId="0" applyFont="1" applyBorder="1"/>
    <xf numFmtId="0" fontId="8" fillId="0" borderId="22" xfId="0" applyFont="1" applyBorder="1"/>
    <xf numFmtId="0" fontId="10" fillId="0" borderId="0" xfId="0" applyFont="1" applyBorder="1" applyAlignment="1">
      <alignment horizontal="left"/>
    </xf>
    <xf numFmtId="0" fontId="11" fillId="0" borderId="0" xfId="0" applyFont="1" applyBorder="1"/>
    <xf numFmtId="0" fontId="8" fillId="0" borderId="0" xfId="0" applyFont="1" applyBorder="1"/>
    <xf numFmtId="0" fontId="8" fillId="0" borderId="23" xfId="0" applyFont="1" applyBorder="1"/>
    <xf numFmtId="0" fontId="9" fillId="3" borderId="0" xfId="0" applyFont="1" applyFill="1" applyBorder="1" applyAlignment="1">
      <alignment vertical="center"/>
    </xf>
    <xf numFmtId="0" fontId="11" fillId="0" borderId="0" xfId="0" applyFont="1"/>
    <xf numFmtId="0" fontId="10" fillId="3" borderId="30" xfId="0" applyFont="1" applyFill="1" applyBorder="1" applyAlignment="1">
      <alignment horizontal="center" vertical="center" wrapText="1"/>
    </xf>
    <xf numFmtId="0" fontId="10" fillId="3" borderId="31" xfId="0" applyFont="1" applyFill="1" applyBorder="1" applyAlignment="1">
      <alignment horizontal="center" vertical="center" wrapText="1"/>
    </xf>
    <xf numFmtId="0" fontId="8" fillId="0" borderId="32" xfId="0" applyFont="1" applyBorder="1" applyAlignment="1">
      <alignment horizontal="left" vertical="center" wrapText="1"/>
    </xf>
    <xf numFmtId="167" fontId="8" fillId="0" borderId="33" xfId="1" applyNumberFormat="1" applyFont="1" applyBorder="1" applyAlignment="1">
      <alignment horizontal="right"/>
    </xf>
    <xf numFmtId="10" fontId="8" fillId="0" borderId="0" xfId="0" applyNumberFormat="1" applyFont="1" applyBorder="1"/>
    <xf numFmtId="10" fontId="8" fillId="0" borderId="0" xfId="1" applyNumberFormat="1" applyFont="1" applyBorder="1"/>
    <xf numFmtId="14" fontId="8" fillId="0" borderId="0" xfId="0" applyNumberFormat="1" applyFont="1"/>
    <xf numFmtId="0" fontId="10" fillId="3" borderId="32" xfId="0" applyFont="1" applyFill="1" applyBorder="1" applyAlignment="1">
      <alignment horizontal="left"/>
    </xf>
    <xf numFmtId="167" fontId="10" fillId="3" borderId="33" xfId="0" applyNumberFormat="1" applyFont="1" applyFill="1" applyBorder="1" applyAlignment="1">
      <alignment horizontal="right"/>
    </xf>
    <xf numFmtId="0" fontId="8" fillId="0" borderId="8" xfId="0" applyFont="1" applyBorder="1" applyAlignment="1">
      <alignment vertical="center"/>
    </xf>
    <xf numFmtId="167" fontId="8" fillId="0" borderId="33" xfId="0" applyNumberFormat="1" applyFont="1" applyBorder="1" applyAlignment="1">
      <alignment vertical="center"/>
    </xf>
    <xf numFmtId="0" fontId="10" fillId="2" borderId="8" xfId="0" applyFont="1" applyFill="1" applyBorder="1" applyAlignment="1">
      <alignment horizontal="left" vertical="center"/>
    </xf>
    <xf numFmtId="167" fontId="10" fillId="2" borderId="33" xfId="0" applyNumberFormat="1" applyFont="1" applyFill="1" applyBorder="1" applyAlignment="1">
      <alignment horizontal="right" vertical="center"/>
    </xf>
    <xf numFmtId="164" fontId="8" fillId="0" borderId="33" xfId="0" applyNumberFormat="1" applyFont="1" applyBorder="1" applyAlignment="1">
      <alignment vertical="center"/>
    </xf>
    <xf numFmtId="0" fontId="10" fillId="2" borderId="9" xfId="0" applyFont="1" applyFill="1" applyBorder="1" applyAlignment="1">
      <alignment horizontal="left" vertical="center"/>
    </xf>
    <xf numFmtId="164" fontId="10" fillId="2" borderId="34" xfId="0" applyNumberFormat="1" applyFont="1" applyFill="1" applyBorder="1" applyAlignment="1">
      <alignment horizontal="right" vertical="center"/>
    </xf>
    <xf numFmtId="0" fontId="10" fillId="0" borderId="0" xfId="0" applyFont="1" applyFill="1" applyBorder="1" applyAlignment="1">
      <alignment horizontal="left"/>
    </xf>
    <xf numFmtId="168" fontId="10" fillId="0" borderId="0" xfId="0" applyNumberFormat="1" applyFont="1" applyFill="1" applyBorder="1" applyAlignment="1">
      <alignment horizontal="right"/>
    </xf>
    <xf numFmtId="0" fontId="8" fillId="0" borderId="0" xfId="0" applyFont="1" applyFill="1" applyBorder="1"/>
    <xf numFmtId="10" fontId="10" fillId="0" borderId="0" xfId="1" applyNumberFormat="1" applyFont="1" applyFill="1" applyBorder="1" applyAlignment="1">
      <alignment horizontal="right"/>
    </xf>
    <xf numFmtId="0" fontId="8" fillId="0" borderId="24" xfId="0" applyFont="1" applyBorder="1"/>
    <xf numFmtId="3" fontId="5" fillId="2" borderId="0" xfId="0" applyNumberFormat="1" applyFont="1" applyFill="1" applyBorder="1" applyAlignment="1">
      <alignment horizontal="center" vertical="center"/>
    </xf>
    <xf numFmtId="1" fontId="5" fillId="2" borderId="0" xfId="0" applyNumberFormat="1" applyFont="1" applyFill="1" applyBorder="1" applyAlignment="1">
      <alignment horizontal="center" vertical="center"/>
    </xf>
    <xf numFmtId="2" fontId="5" fillId="2" borderId="0" xfId="0" applyNumberFormat="1" applyFont="1" applyFill="1" applyBorder="1" applyAlignment="1">
      <alignment horizontal="center" vertical="center"/>
    </xf>
    <xf numFmtId="4" fontId="5" fillId="2" borderId="0" xfId="0" applyNumberFormat="1" applyFont="1" applyFill="1" applyBorder="1" applyAlignment="1">
      <alignment vertical="center"/>
    </xf>
    <xf numFmtId="4" fontId="5" fillId="2" borderId="0" xfId="0" applyNumberFormat="1" applyFont="1" applyFill="1" applyBorder="1" applyAlignment="1">
      <alignment horizontal="center" vertical="center"/>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0"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0" fillId="0" borderId="27" xfId="0" applyBorder="1" applyAlignment="1">
      <alignment horizontal="left" vertical="top" wrapText="1"/>
    </xf>
    <xf numFmtId="0" fontId="0" fillId="0" borderId="28" xfId="0" applyBorder="1" applyAlignment="1">
      <alignment horizontal="left" vertical="top" wrapText="1"/>
    </xf>
    <xf numFmtId="0" fontId="0" fillId="0" borderId="29" xfId="0" applyBorder="1" applyAlignment="1">
      <alignment horizontal="left" vertical="top" wrapText="1"/>
    </xf>
    <xf numFmtId="0" fontId="9" fillId="3" borderId="0" xfId="0" applyFont="1" applyFill="1" applyBorder="1" applyAlignment="1">
      <alignment horizontal="center" vertical="center" wrapText="1"/>
    </xf>
    <xf numFmtId="0" fontId="9" fillId="3" borderId="23" xfId="0" applyFont="1" applyFill="1" applyBorder="1" applyAlignment="1">
      <alignment horizontal="center" vertical="center" wrapText="1"/>
    </xf>
    <xf numFmtId="0" fontId="12" fillId="3" borderId="0" xfId="0" applyFont="1" applyFill="1" applyBorder="1" applyAlignment="1">
      <alignment vertical="center" wrapText="1"/>
    </xf>
    <xf numFmtId="0" fontId="12" fillId="3" borderId="23" xfId="0" applyFont="1" applyFill="1" applyBorder="1" applyAlignment="1">
      <alignment vertical="center" wrapText="1"/>
    </xf>
    <xf numFmtId="0" fontId="10" fillId="0" borderId="25" xfId="0" applyFont="1" applyBorder="1" applyAlignment="1"/>
    <xf numFmtId="0" fontId="10" fillId="0" borderId="26" xfId="0" applyFont="1" applyBorder="1" applyAlignment="1"/>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21" xfId="0" applyFont="1" applyBorder="1" applyAlignment="1">
      <alignment horizontal="left" vertical="top" wrapText="1"/>
    </xf>
    <xf numFmtId="0" fontId="11" fillId="0" borderId="22" xfId="0" applyFont="1" applyBorder="1" applyAlignment="1">
      <alignment horizontal="left" vertical="top" wrapText="1"/>
    </xf>
    <xf numFmtId="0" fontId="11" fillId="0" borderId="0" xfId="0" applyFont="1" applyBorder="1" applyAlignment="1">
      <alignment horizontal="left" vertical="top" wrapText="1"/>
    </xf>
    <xf numFmtId="0" fontId="11" fillId="0" borderId="23" xfId="0" applyFont="1" applyBorder="1" applyAlignment="1">
      <alignment horizontal="left" vertical="top" wrapText="1"/>
    </xf>
    <xf numFmtId="0" fontId="11" fillId="0" borderId="24" xfId="0" applyFont="1" applyBorder="1" applyAlignment="1">
      <alignment horizontal="left" vertical="top" wrapText="1"/>
    </xf>
    <xf numFmtId="0" fontId="11" fillId="0" borderId="25" xfId="0" applyFont="1" applyBorder="1" applyAlignment="1">
      <alignment horizontal="left" vertical="top" wrapText="1"/>
    </xf>
    <xf numFmtId="0" fontId="11" fillId="0" borderId="26" xfId="0" applyFont="1" applyBorder="1" applyAlignment="1">
      <alignment horizontal="left" vertical="top" wrapText="1"/>
    </xf>
    <xf numFmtId="10" fontId="1" fillId="0" borderId="18" xfId="0" applyNumberFormat="1" applyFont="1" applyBorder="1" applyAlignment="1">
      <alignment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134827766443539"/>
                  <c:y val="-4.912663755458514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441-4317-AB6A-71EE3A2C072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OF'!$G$8</c:f>
              <c:strCache>
                <c:ptCount val="1"/>
                <c:pt idx="0">
                  <c:v>AAA EQUIVALENT</c:v>
                </c:pt>
              </c:strCache>
            </c:strRef>
          </c:cat>
          <c:val>
            <c:numRef>
              <c:f>'BANDHAN OF'!$H$8</c:f>
              <c:numCache>
                <c:formatCode>0%</c:formatCode>
                <c:ptCount val="1"/>
                <c:pt idx="0">
                  <c:v>1</c:v>
                </c:pt>
              </c:numCache>
            </c:numRef>
          </c:val>
          <c:extLst>
            <c:ext xmlns:c16="http://schemas.microsoft.com/office/drawing/2014/chart" uri="{C3380CC4-5D6E-409C-BE32-E72D297353CC}">
              <c16:uniqueId val="{0000000C-6441-4317-AB6A-71EE3A2C072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OF'!$K$8</c:f>
              <c:strCache>
                <c:ptCount val="1"/>
                <c:pt idx="0">
                  <c:v>Total</c:v>
                </c:pt>
              </c:strCache>
            </c:strRef>
          </c:tx>
          <c:dLbls>
            <c:dLbl>
              <c:idx val="0"/>
              <c:layout>
                <c:manualLayout>
                  <c:x val="7.0658247483518524E-2"/>
                  <c:y val="-4.922484689413823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A2B-4286-BD44-7C70AB69FFE4}"/>
                </c:ext>
              </c:extLst>
            </c:dLbl>
            <c:dLbl>
              <c:idx val="1"/>
              <c:layout>
                <c:manualLayout>
                  <c:x val="-2.0987708442226465E-2"/>
                  <c:y val="-0.1000836395450568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A2B-4286-BD44-7C70AB69FFE4}"/>
                </c:ext>
              </c:extLst>
            </c:dLbl>
            <c:dLbl>
              <c:idx val="2"/>
              <c:layout>
                <c:manualLayout>
                  <c:x val="5.7454517864067849E-2"/>
                  <c:y val="0.2430306211723534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A2B-4286-BD44-7C70AB69FFE4}"/>
                </c:ext>
              </c:extLst>
            </c:dLbl>
            <c:dLbl>
              <c:idx val="3"/>
              <c:layout>
                <c:manualLayout>
                  <c:x val="9.1998937766612152E-2"/>
                  <c:y val="-4.71447069116360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3A2B-4286-BD44-7C70AB69FFE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OF'!$J$9:$J$12</c:f>
              <c:strCache>
                <c:ptCount val="4"/>
                <c:pt idx="0">
                  <c:v>Net Current Asset</c:v>
                </c:pt>
                <c:pt idx="1">
                  <c:v>TRI Party Repo</c:v>
                </c:pt>
                <c:pt idx="2">
                  <c:v>REPO</c:v>
                </c:pt>
                <c:pt idx="3">
                  <c:v>Treasury Bill</c:v>
                </c:pt>
              </c:strCache>
            </c:strRef>
          </c:cat>
          <c:val>
            <c:numRef>
              <c:f>'BANDHAN OF'!$K$9:$K$12</c:f>
              <c:numCache>
                <c:formatCode>0.00%</c:formatCode>
                <c:ptCount val="4"/>
                <c:pt idx="0">
                  <c:v>-2.8185000000000002E-2</c:v>
                </c:pt>
                <c:pt idx="1">
                  <c:v>0.420624</c:v>
                </c:pt>
                <c:pt idx="2">
                  <c:v>0.57325999999999999</c:v>
                </c:pt>
                <c:pt idx="3">
                  <c:v>3.4300999999999998E-2</c:v>
                </c:pt>
              </c:numCache>
            </c:numRef>
          </c:val>
          <c:extLst>
            <c:ext xmlns:c16="http://schemas.microsoft.com/office/drawing/2014/chart" uri="{C3380CC4-5D6E-409C-BE32-E72D297353CC}">
              <c16:uniqueId val="{0000000C-3A2B-4286-BD44-7C70AB69FFE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922836331754035"/>
                  <c:y val="1.143787889345690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6E2-4146-A4B7-DD5800F08A9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CF'!$G$8</c:f>
              <c:strCache>
                <c:ptCount val="1"/>
                <c:pt idx="0">
                  <c:v>AAA EQUIVALENT</c:v>
                </c:pt>
              </c:strCache>
            </c:strRef>
          </c:cat>
          <c:val>
            <c:numRef>
              <c:f>'BANDHAN CF'!$H$8</c:f>
              <c:numCache>
                <c:formatCode>0%</c:formatCode>
                <c:ptCount val="1"/>
                <c:pt idx="0">
                  <c:v>1</c:v>
                </c:pt>
              </c:numCache>
            </c:numRef>
          </c:val>
          <c:extLst>
            <c:ext xmlns:c16="http://schemas.microsoft.com/office/drawing/2014/chart" uri="{C3380CC4-5D6E-409C-BE32-E72D297353CC}">
              <c16:uniqueId val="{0000000C-F6E2-4146-A4B7-DD5800F08A9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CF'!$K$8</c:f>
              <c:strCache>
                <c:ptCount val="1"/>
                <c:pt idx="0">
                  <c:v>Total</c:v>
                </c:pt>
              </c:strCache>
            </c:strRef>
          </c:tx>
          <c:dLbls>
            <c:dLbl>
              <c:idx val="0"/>
              <c:layout>
                <c:manualLayout>
                  <c:x val="2.5082786760862601E-2"/>
                  <c:y val="-1.236798302731326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F84-4269-9C6C-5A18E4B73685}"/>
                </c:ext>
              </c:extLst>
            </c:dLbl>
            <c:dLbl>
              <c:idx val="1"/>
              <c:layout>
                <c:manualLayout>
                  <c:x val="8.4894198182400571E-2"/>
                  <c:y val="-5.396658933515019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F84-4269-9C6C-5A18E4B73685}"/>
                </c:ext>
              </c:extLst>
            </c:dLbl>
            <c:dLbl>
              <c:idx val="2"/>
              <c:layout>
                <c:manualLayout>
                  <c:x val="-1.0976411674450758E-4"/>
                  <c:y val="-6.512095626600891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F84-4269-9C6C-5A18E4B73685}"/>
                </c:ext>
              </c:extLst>
            </c:dLbl>
            <c:dLbl>
              <c:idx val="3"/>
              <c:layout>
                <c:manualLayout>
                  <c:x val="-5.349306176128428E-2"/>
                  <c:y val="0.1086793559348345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9F84-4269-9C6C-5A18E4B73685}"/>
                </c:ext>
              </c:extLst>
            </c:dLbl>
            <c:dLbl>
              <c:idx val="4"/>
              <c:layout>
                <c:manualLayout>
                  <c:x val="1.0826518740831913E-2"/>
                  <c:y val="1.88707298772757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9F84-4269-9C6C-5A18E4B73685}"/>
                </c:ext>
              </c:extLst>
            </c:dLbl>
            <c:dLbl>
              <c:idx val="5"/>
              <c:layout>
                <c:manualLayout>
                  <c:x val="-2.2010150230150568E-2"/>
                  <c:y val="-8.19242611102965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036402569593149"/>
                      <c:h val="0.21686746987951808"/>
                    </c:manualLayout>
                  </c15:layout>
                </c:ext>
                <c:ext xmlns:c16="http://schemas.microsoft.com/office/drawing/2014/chart" uri="{C3380CC4-5D6E-409C-BE32-E72D297353CC}">
                  <c16:uniqueId val="{00000012-9F84-4269-9C6C-5A18E4B73685}"/>
                </c:ext>
              </c:extLst>
            </c:dLbl>
            <c:dLbl>
              <c:idx val="6"/>
              <c:layout>
                <c:manualLayout>
                  <c:x val="0.13154344197339357"/>
                  <c:y val="-0.231061051651128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9F84-4269-9C6C-5A18E4B73685}"/>
                </c:ext>
              </c:extLst>
            </c:dLbl>
            <c:dLbl>
              <c:idx val="7"/>
              <c:layout>
                <c:manualLayout>
                  <c:x val="0.14674602505521919"/>
                  <c:y val="-8.101180671145570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9F84-4269-9C6C-5A18E4B7368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CF'!$J$9:$J$16</c:f>
              <c:strCache>
                <c:ptCount val="8"/>
                <c:pt idx="0">
                  <c:v>Net Current Asset</c:v>
                </c:pt>
                <c:pt idx="1">
                  <c:v>TRI Party Repo</c:v>
                </c:pt>
                <c:pt idx="2">
                  <c:v>Certificate of Deposit</c:v>
                </c:pt>
                <c:pt idx="3">
                  <c:v>Corporate Bond</c:v>
                </c:pt>
                <c:pt idx="4">
                  <c:v>Commercial Paper</c:v>
                </c:pt>
                <c:pt idx="5">
                  <c:v>Corporate Debt Market Development Fund</c:v>
                </c:pt>
                <c:pt idx="6">
                  <c:v>Government Bond</c:v>
                </c:pt>
                <c:pt idx="7">
                  <c:v>Treasury Bill</c:v>
                </c:pt>
              </c:strCache>
            </c:strRef>
          </c:cat>
          <c:val>
            <c:numRef>
              <c:f>'BANDHAN CF'!$K$9:$K$16</c:f>
              <c:numCache>
                <c:formatCode>0.00%</c:formatCode>
                <c:ptCount val="8"/>
                <c:pt idx="0">
                  <c:v>6.888E-3</c:v>
                </c:pt>
                <c:pt idx="1">
                  <c:v>4.9693000000000001E-2</c:v>
                </c:pt>
                <c:pt idx="2">
                  <c:v>0.276918</c:v>
                </c:pt>
                <c:pt idx="3">
                  <c:v>4.8245999999999997E-2</c:v>
                </c:pt>
                <c:pt idx="4">
                  <c:v>0.42798700000000001</c:v>
                </c:pt>
                <c:pt idx="5">
                  <c:v>2.104E-3</c:v>
                </c:pt>
                <c:pt idx="6">
                  <c:v>1.0137999999999999E-2</c:v>
                </c:pt>
                <c:pt idx="7">
                  <c:v>0.17802599999999999</c:v>
                </c:pt>
              </c:numCache>
            </c:numRef>
          </c:val>
          <c:extLst>
            <c:ext xmlns:c16="http://schemas.microsoft.com/office/drawing/2014/chart" uri="{C3380CC4-5D6E-409C-BE32-E72D297353CC}">
              <c16:uniqueId val="{0000000C-9F84-4269-9C6C-5A18E4B7368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3511018563793"/>
                  <c:y val="-2.6431718061674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FA0-4B0D-BCBA-A678A5B8161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LDF'!$G$8</c:f>
              <c:strCache>
                <c:ptCount val="1"/>
                <c:pt idx="0">
                  <c:v>AAA EQUIVALENT</c:v>
                </c:pt>
              </c:strCache>
            </c:strRef>
          </c:cat>
          <c:val>
            <c:numRef>
              <c:f>'BANDHAN LDF'!$H$8</c:f>
              <c:numCache>
                <c:formatCode>0%</c:formatCode>
                <c:ptCount val="1"/>
                <c:pt idx="0">
                  <c:v>1</c:v>
                </c:pt>
              </c:numCache>
            </c:numRef>
          </c:val>
          <c:extLst>
            <c:ext xmlns:c16="http://schemas.microsoft.com/office/drawing/2014/chart" uri="{C3380CC4-5D6E-409C-BE32-E72D297353CC}">
              <c16:uniqueId val="{0000000C-0FA0-4B0D-BCBA-A678A5B8161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LDF'!$K$8</c:f>
              <c:strCache>
                <c:ptCount val="1"/>
                <c:pt idx="0">
                  <c:v>Total</c:v>
                </c:pt>
              </c:strCache>
            </c:strRef>
          </c:tx>
          <c:dLbls>
            <c:dLbl>
              <c:idx val="0"/>
              <c:layout>
                <c:manualLayout>
                  <c:x val="0.24646048660405673"/>
                  <c:y val="-0.1005236818282747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B4F-41BF-A1F0-39A7CE57A9A9}"/>
                </c:ext>
              </c:extLst>
            </c:dLbl>
            <c:dLbl>
              <c:idx val="1"/>
              <c:layout>
                <c:manualLayout>
                  <c:x val="5.209571903083849E-2"/>
                  <c:y val="-7.102669650024766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B4F-41BF-A1F0-39A7CE57A9A9}"/>
                </c:ext>
              </c:extLst>
            </c:dLbl>
            <c:dLbl>
              <c:idx val="2"/>
              <c:layout>
                <c:manualLayout>
                  <c:x val="2.3849331467399551E-2"/>
                  <c:y val="-3.940936341742531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B4F-41BF-A1F0-39A7CE57A9A9}"/>
                </c:ext>
              </c:extLst>
            </c:dLbl>
            <c:dLbl>
              <c:idx val="3"/>
              <c:layout>
                <c:manualLayout>
                  <c:x val="0.14226323155001772"/>
                  <c:y val="-2.735170034331391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B4F-41BF-A1F0-39A7CE57A9A9}"/>
                </c:ext>
              </c:extLst>
            </c:dLbl>
            <c:dLbl>
              <c:idx val="4"/>
              <c:layout>
                <c:manualLayout>
                  <c:x val="0.15672646647220487"/>
                  <c:y val="0.2928539464020359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2B4F-41BF-A1F0-39A7CE57A9A9}"/>
                </c:ext>
              </c:extLst>
            </c:dLbl>
            <c:dLbl>
              <c:idx val="5"/>
              <c:layout>
                <c:manualLayout>
                  <c:x val="-2.2010150230150568E-2"/>
                  <c:y val="-0.4040394896408013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1911134903640257"/>
                      <c:h val="0.21475054229934923"/>
                    </c:manualLayout>
                  </c15:layout>
                </c:ext>
                <c:ext xmlns:c16="http://schemas.microsoft.com/office/drawing/2014/chart" uri="{C3380CC4-5D6E-409C-BE32-E72D297353CC}">
                  <c16:uniqueId val="{00000012-2B4F-41BF-A1F0-39A7CE57A9A9}"/>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2B4F-41BF-A1F0-39A7CE57A9A9}"/>
                </c:ext>
              </c:extLst>
            </c:dLbl>
            <c:dLbl>
              <c:idx val="7"/>
              <c:layout>
                <c:manualLayout>
                  <c:x val="0.11081707666627325"/>
                  <c:y val="-8.317590995268758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2B4F-41BF-A1F0-39A7CE57A9A9}"/>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2B4F-41BF-A1F0-39A7CE57A9A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LDF'!$J$9:$J$17</c:f>
              <c:strCache>
                <c:ptCount val="9"/>
                <c:pt idx="0">
                  <c:v>Net Current Asset</c:v>
                </c:pt>
                <c:pt idx="1">
                  <c:v>TRI Party Repo</c:v>
                </c:pt>
                <c:pt idx="2">
                  <c:v>Certificate of Deposit</c:v>
                </c:pt>
                <c:pt idx="3">
                  <c:v>Corporate Bond</c:v>
                </c:pt>
                <c:pt idx="4">
                  <c:v>Commercial Paper</c:v>
                </c:pt>
                <c:pt idx="5">
                  <c:v>Corporate Debt Market Development Fund</c:v>
                </c:pt>
                <c:pt idx="6">
                  <c:v>Government Bond</c:v>
                </c:pt>
                <c:pt idx="7">
                  <c:v>State Government Bond</c:v>
                </c:pt>
                <c:pt idx="8">
                  <c:v>Treasury Bill</c:v>
                </c:pt>
              </c:strCache>
            </c:strRef>
          </c:cat>
          <c:val>
            <c:numRef>
              <c:f>'BANDHAN LDF'!$K$9:$K$17</c:f>
              <c:numCache>
                <c:formatCode>0.00%</c:formatCode>
                <c:ptCount val="9"/>
                <c:pt idx="0">
                  <c:v>2.3163E-2</c:v>
                </c:pt>
                <c:pt idx="1">
                  <c:v>5.4840000000000002E-3</c:v>
                </c:pt>
                <c:pt idx="2">
                  <c:v>0.22798599999999999</c:v>
                </c:pt>
                <c:pt idx="3">
                  <c:v>0.434805</c:v>
                </c:pt>
                <c:pt idx="4">
                  <c:v>4.9348999999999997E-2</c:v>
                </c:pt>
                <c:pt idx="5">
                  <c:v>2.7810000000000001E-3</c:v>
                </c:pt>
                <c:pt idx="6">
                  <c:v>4.6057000000000001E-2</c:v>
                </c:pt>
                <c:pt idx="7">
                  <c:v>0.210205</c:v>
                </c:pt>
                <c:pt idx="8">
                  <c:v>1.7000000000000001E-4</c:v>
                </c:pt>
              </c:numCache>
            </c:numRef>
          </c:val>
          <c:extLst>
            <c:ext xmlns:c16="http://schemas.microsoft.com/office/drawing/2014/chart" uri="{C3380CC4-5D6E-409C-BE32-E72D297353CC}">
              <c16:uniqueId val="{0000000C-2B4F-41BF-A1F0-39A7CE57A9A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635898430255102"/>
                  <c:y val="-5.973451327433628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918-4BC5-A90C-C43ECD31124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MMF'!$G$8</c:f>
              <c:strCache>
                <c:ptCount val="1"/>
                <c:pt idx="0">
                  <c:v>AAA EQUIVALENT</c:v>
                </c:pt>
              </c:strCache>
            </c:strRef>
          </c:cat>
          <c:val>
            <c:numRef>
              <c:f>'BANDHAN MMF'!$H$8</c:f>
              <c:numCache>
                <c:formatCode>0%</c:formatCode>
                <c:ptCount val="1"/>
                <c:pt idx="0">
                  <c:v>1</c:v>
                </c:pt>
              </c:numCache>
            </c:numRef>
          </c:val>
          <c:extLst>
            <c:ext xmlns:c16="http://schemas.microsoft.com/office/drawing/2014/chart" uri="{C3380CC4-5D6E-409C-BE32-E72D297353CC}">
              <c16:uniqueId val="{0000000C-3918-4BC5-A90C-C43ECD31124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MMF'!$K$8</c:f>
              <c:strCache>
                <c:ptCount val="1"/>
                <c:pt idx="0">
                  <c:v>Total</c:v>
                </c:pt>
              </c:strCache>
            </c:strRef>
          </c:tx>
          <c:dLbls>
            <c:dLbl>
              <c:idx val="0"/>
              <c:layout>
                <c:manualLayout>
                  <c:x val="0.1426651941526581"/>
                  <c:y val="-1.831648906482109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5BF-42B5-A172-48788E2AFCA4}"/>
                </c:ext>
              </c:extLst>
            </c:dLbl>
            <c:dLbl>
              <c:idx val="1"/>
              <c:layout>
                <c:manualLayout>
                  <c:x val="0.24586319108398388"/>
                  <c:y val="3.184708781631303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5BF-42B5-A172-48788E2AFCA4}"/>
                </c:ext>
              </c:extLst>
            </c:dLbl>
            <c:dLbl>
              <c:idx val="2"/>
              <c:layout>
                <c:manualLayout>
                  <c:x val="-0.10342882193259033"/>
                  <c:y val="0.2460584411681364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5BF-42B5-A172-48788E2AFCA4}"/>
                </c:ext>
              </c:extLst>
            </c:dLbl>
            <c:dLbl>
              <c:idx val="3"/>
              <c:layout>
                <c:manualLayout>
                  <c:x val="3.1394560690620313E-2"/>
                  <c:y val="0.5362103401196988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5BF-42B5-A172-48788E2AFCA4}"/>
                </c:ext>
              </c:extLst>
            </c:dLbl>
            <c:dLbl>
              <c:idx val="4"/>
              <c:layout>
                <c:manualLayout>
                  <c:x val="-2.2010150230150568E-2"/>
                  <c:y val="-3.607140710464627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8800856531049251"/>
                      <c:h val="0.21264994547437296"/>
                    </c:manualLayout>
                  </c15:layout>
                </c:ext>
                <c:ext xmlns:c16="http://schemas.microsoft.com/office/drawing/2014/chart" uri="{C3380CC4-5D6E-409C-BE32-E72D297353CC}">
                  <c16:uniqueId val="{00000011-25BF-42B5-A172-48788E2AFCA4}"/>
                </c:ext>
              </c:extLst>
            </c:dLbl>
            <c:dLbl>
              <c:idx val="5"/>
              <c:layout>
                <c:manualLayout>
                  <c:x val="8.2903606535264462E-2"/>
                  <c:y val="-5.414540739659450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25BF-42B5-A172-48788E2AFCA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MMF'!$J$9:$J$14</c:f>
              <c:strCache>
                <c:ptCount val="6"/>
                <c:pt idx="0">
                  <c:v>Net Current Asset</c:v>
                </c:pt>
                <c:pt idx="1">
                  <c:v>TRI Party Repo</c:v>
                </c:pt>
                <c:pt idx="2">
                  <c:v>Certificate of Deposit</c:v>
                </c:pt>
                <c:pt idx="3">
                  <c:v>Commercial Paper</c:v>
                </c:pt>
                <c:pt idx="4">
                  <c:v>Corporate Debt Market Development Fund</c:v>
                </c:pt>
                <c:pt idx="5">
                  <c:v>Treasury Bill</c:v>
                </c:pt>
              </c:strCache>
            </c:strRef>
          </c:cat>
          <c:val>
            <c:numRef>
              <c:f>'BANDHAN MMF'!$K$9:$K$14</c:f>
              <c:numCache>
                <c:formatCode>0.00%</c:formatCode>
                <c:ptCount val="6"/>
                <c:pt idx="0">
                  <c:v>-2.7169999999999998E-3</c:v>
                </c:pt>
                <c:pt idx="1">
                  <c:v>3.4790000000000001E-2</c:v>
                </c:pt>
                <c:pt idx="2">
                  <c:v>0.59855599999999998</c:v>
                </c:pt>
                <c:pt idx="3">
                  <c:v>0.26494699999999999</c:v>
                </c:pt>
                <c:pt idx="4">
                  <c:v>1.91E-3</c:v>
                </c:pt>
                <c:pt idx="5">
                  <c:v>0.10251399999999999</c:v>
                </c:pt>
              </c:numCache>
            </c:numRef>
          </c:val>
          <c:extLst>
            <c:ext xmlns:c16="http://schemas.microsoft.com/office/drawing/2014/chart" uri="{C3380CC4-5D6E-409C-BE32-E72D297353CC}">
              <c16:uniqueId val="{0000000C-25BF-42B5-A172-48788E2AFCA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278296717193008"/>
                  <c:y val="-2.20264317180616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414-4E3E-9102-9B10B44919B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USTF'!$G$8</c:f>
              <c:strCache>
                <c:ptCount val="1"/>
                <c:pt idx="0">
                  <c:v>AAA EQUIVALENT</c:v>
                </c:pt>
              </c:strCache>
            </c:strRef>
          </c:cat>
          <c:val>
            <c:numRef>
              <c:f>'BANDHAN USTF'!$H$8</c:f>
              <c:numCache>
                <c:formatCode>0%</c:formatCode>
                <c:ptCount val="1"/>
                <c:pt idx="0">
                  <c:v>1</c:v>
                </c:pt>
              </c:numCache>
            </c:numRef>
          </c:val>
          <c:extLst>
            <c:ext xmlns:c16="http://schemas.microsoft.com/office/drawing/2014/chart" uri="{C3380CC4-5D6E-409C-BE32-E72D297353CC}">
              <c16:uniqueId val="{0000000C-1414-4E3E-9102-9B10B44919B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USTF'!$K$8</c:f>
              <c:strCache>
                <c:ptCount val="1"/>
                <c:pt idx="0">
                  <c:v>Total</c:v>
                </c:pt>
              </c:strCache>
            </c:strRef>
          </c:tx>
          <c:dLbls>
            <c:dLbl>
              <c:idx val="0"/>
              <c:layout>
                <c:manualLayout>
                  <c:x val="0.19147667301758595"/>
                  <c:y val="2.59671757897732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5B8-4B60-BE3C-52F5399C8028}"/>
                </c:ext>
              </c:extLst>
            </c:dLbl>
            <c:dLbl>
              <c:idx val="1"/>
              <c:layout>
                <c:manualLayout>
                  <c:x val="0.2156279822623885"/>
                  <c:y val="-9.13682503816267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5B8-4B60-BE3C-52F5399C8028}"/>
                </c:ext>
              </c:extLst>
            </c:dLbl>
            <c:dLbl>
              <c:idx val="2"/>
              <c:layout>
                <c:manualLayout>
                  <c:x val="-6.5420256622097828E-2"/>
                  <c:y val="0.3015715259031832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5B8-4B60-BE3C-52F5399C8028}"/>
                </c:ext>
              </c:extLst>
            </c:dLbl>
            <c:dLbl>
              <c:idx val="3"/>
              <c:layout>
                <c:manualLayout>
                  <c:x val="5.5034817649935085E-2"/>
                  <c:y val="0.1424936395546394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95B8-4B60-BE3C-52F5399C8028}"/>
                </c:ext>
              </c:extLst>
            </c:dLbl>
            <c:dLbl>
              <c:idx val="4"/>
              <c:layout>
                <c:manualLayout>
                  <c:x val="-0.11018310880304844"/>
                  <c:y val="-9.351881398176815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95B8-4B60-BE3C-52F5399C8028}"/>
                </c:ext>
              </c:extLst>
            </c:dLbl>
            <c:dLbl>
              <c:idx val="5"/>
              <c:layout>
                <c:manualLayout>
                  <c:x val="-8.7779342089733425E-2"/>
                  <c:y val="-9.37840984553820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5999460452882356"/>
                      <c:h val="0.21467688937568455"/>
                    </c:manualLayout>
                  </c15:layout>
                </c:ext>
                <c:ext xmlns:c16="http://schemas.microsoft.com/office/drawing/2014/chart" uri="{C3380CC4-5D6E-409C-BE32-E72D297353CC}">
                  <c16:uniqueId val="{00000012-95B8-4B60-BE3C-52F5399C8028}"/>
                </c:ext>
              </c:extLst>
            </c:dLbl>
            <c:dLbl>
              <c:idx val="6"/>
              <c:layout>
                <c:manualLayout>
                  <c:x val="-7.6298706773002415E-3"/>
                  <c:y val="-1.385688782330467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95B8-4B60-BE3C-52F5399C8028}"/>
                </c:ext>
              </c:extLst>
            </c:dLbl>
            <c:dLbl>
              <c:idx val="7"/>
              <c:layout>
                <c:manualLayout>
                  <c:x val="4.1295418907754289E-2"/>
                  <c:y val="-4.7009512638959555E-3"/>
                </c:manualLayout>
              </c:layout>
              <c:spPr>
                <a:noFill/>
                <a:ln>
                  <a:noFill/>
                </a:ln>
                <a:effectLst/>
              </c:spPr>
              <c:txPr>
                <a:bodyPr wrap="square" lIns="38100" tIns="19050" rIns="38100" bIns="19050" anchor="ctr">
                  <a:no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18575477583503344"/>
                      <c:h val="0.12048192771084337"/>
                    </c:manualLayout>
                  </c15:layout>
                </c:ext>
                <c:ext xmlns:c16="http://schemas.microsoft.com/office/drawing/2014/chart" uri="{C3380CC4-5D6E-409C-BE32-E72D297353CC}">
                  <c16:uniqueId val="{00000014-95B8-4B60-BE3C-52F5399C802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USTF'!$J$9:$J$16</c:f>
              <c:strCache>
                <c:ptCount val="8"/>
                <c:pt idx="0">
                  <c:v>Net Current Asset</c:v>
                </c:pt>
                <c:pt idx="1">
                  <c:v>TRI Party Repo</c:v>
                </c:pt>
                <c:pt idx="2">
                  <c:v>Certificate of Deposit</c:v>
                </c:pt>
                <c:pt idx="3">
                  <c:v>Corporate Bond</c:v>
                </c:pt>
                <c:pt idx="4">
                  <c:v>Commercial Paper</c:v>
                </c:pt>
                <c:pt idx="5">
                  <c:v>Corporate Debt Market Development Fund</c:v>
                </c:pt>
                <c:pt idx="6">
                  <c:v>State Government Bond</c:v>
                </c:pt>
                <c:pt idx="7">
                  <c:v>Treasury Bill</c:v>
                </c:pt>
              </c:strCache>
            </c:strRef>
          </c:cat>
          <c:val>
            <c:numRef>
              <c:f>'BANDHAN USTF'!$K$9:$K$16</c:f>
              <c:numCache>
                <c:formatCode>0.00%</c:formatCode>
                <c:ptCount val="8"/>
                <c:pt idx="0">
                  <c:v>-8.1949999999999992E-3</c:v>
                </c:pt>
                <c:pt idx="1">
                  <c:v>8.2434999999999994E-2</c:v>
                </c:pt>
                <c:pt idx="2">
                  <c:v>0.34735899999999997</c:v>
                </c:pt>
                <c:pt idx="3">
                  <c:v>0.407198</c:v>
                </c:pt>
                <c:pt idx="4">
                  <c:v>9.6817E-2</c:v>
                </c:pt>
                <c:pt idx="5">
                  <c:v>3.0079999999999998E-3</c:v>
                </c:pt>
                <c:pt idx="6">
                  <c:v>6.5106999999999998E-2</c:v>
                </c:pt>
                <c:pt idx="7">
                  <c:v>6.2709999999999997E-3</c:v>
                </c:pt>
              </c:numCache>
            </c:numRef>
          </c:val>
          <c:extLst>
            <c:ext xmlns:c16="http://schemas.microsoft.com/office/drawing/2014/chart" uri="{C3380CC4-5D6E-409C-BE32-E72D297353CC}">
              <c16:uniqueId val="{0000000C-95B8-4B60-BE3C-52F5399C802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706562241818274"/>
                  <c:y val="-2.292576419213973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B7B-4CAE-AD74-63993B07140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DBF'!$G$8</c:f>
              <c:strCache>
                <c:ptCount val="1"/>
                <c:pt idx="0">
                  <c:v>AAA EQUIVALENT</c:v>
                </c:pt>
              </c:strCache>
            </c:strRef>
          </c:cat>
          <c:val>
            <c:numRef>
              <c:f>'BANDHAN DBF'!$H$8</c:f>
              <c:numCache>
                <c:formatCode>0%</c:formatCode>
                <c:ptCount val="1"/>
                <c:pt idx="0">
                  <c:v>1</c:v>
                </c:pt>
              </c:numCache>
            </c:numRef>
          </c:val>
          <c:extLst>
            <c:ext xmlns:c16="http://schemas.microsoft.com/office/drawing/2014/chart" uri="{C3380CC4-5D6E-409C-BE32-E72D297353CC}">
              <c16:uniqueId val="{0000000C-BB7B-4CAE-AD74-63993B07140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DBF'!$K$8</c:f>
              <c:strCache>
                <c:ptCount val="1"/>
                <c:pt idx="0">
                  <c:v>Total</c:v>
                </c:pt>
              </c:strCache>
            </c:strRef>
          </c:tx>
          <c:dLbls>
            <c:dLbl>
              <c:idx val="0"/>
              <c:layout>
                <c:manualLayout>
                  <c:x val="-0.24577551467736769"/>
                  <c:y val="-6.03359580052493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9CB-4B99-9C51-721F9866D073}"/>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9CB-4B99-9C51-721F9866D073}"/>
                </c:ext>
              </c:extLst>
            </c:dLbl>
            <c:dLbl>
              <c:idx val="2"/>
              <c:layout>
                <c:manualLayout>
                  <c:x val="0.10920147026589548"/>
                  <c:y val="1.11611548556430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3429867305130755"/>
                      <c:h val="0.21777777777777776"/>
                    </c:manualLayout>
                  </c15:layout>
                </c:ext>
                <c:ext xmlns:c16="http://schemas.microsoft.com/office/drawing/2014/chart" uri="{C3380CC4-5D6E-409C-BE32-E72D297353CC}">
                  <c16:uniqueId val="{0000000F-59CB-4B99-9C51-721F9866D073}"/>
                </c:ext>
              </c:extLst>
            </c:dLbl>
            <c:dLbl>
              <c:idx val="3"/>
              <c:layout>
                <c:manualLayout>
                  <c:x val="-0.16844011870036588"/>
                  <c:y val="-5.13746281714785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9CB-4B99-9C51-721F9866D07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DBF'!$J$9:$J$12</c:f>
              <c:strCache>
                <c:ptCount val="4"/>
                <c:pt idx="0">
                  <c:v>Net Current Asset</c:v>
                </c:pt>
                <c:pt idx="1">
                  <c:v>TRI Party Repo</c:v>
                </c:pt>
                <c:pt idx="2">
                  <c:v>Corporate Debt Market Development Fund</c:v>
                </c:pt>
                <c:pt idx="3">
                  <c:v>Government Bond</c:v>
                </c:pt>
              </c:strCache>
            </c:strRef>
          </c:cat>
          <c:val>
            <c:numRef>
              <c:f>'BANDHAN DBF'!$K$9:$K$12</c:f>
              <c:numCache>
                <c:formatCode>0.00%</c:formatCode>
                <c:ptCount val="4"/>
                <c:pt idx="0">
                  <c:v>2.5964999999999998E-2</c:v>
                </c:pt>
                <c:pt idx="1">
                  <c:v>3.86E-4</c:v>
                </c:pt>
                <c:pt idx="2">
                  <c:v>2.5899999999999999E-3</c:v>
                </c:pt>
                <c:pt idx="3">
                  <c:v>0.97105900000000001</c:v>
                </c:pt>
              </c:numCache>
            </c:numRef>
          </c:val>
          <c:extLst>
            <c:ext xmlns:c16="http://schemas.microsoft.com/office/drawing/2014/chart" uri="{C3380CC4-5D6E-409C-BE32-E72D297353CC}">
              <c16:uniqueId val="{0000000C-59CB-4B99-9C51-721F9866D07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207632905629837"/>
                  <c:y val="-1.091703056768558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87C-47E2-9DE7-344091A4104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IP'!$G$8</c:f>
              <c:strCache>
                <c:ptCount val="1"/>
                <c:pt idx="0">
                  <c:v>AAA EQUIVALENT</c:v>
                </c:pt>
              </c:strCache>
            </c:strRef>
          </c:cat>
          <c:val>
            <c:numRef>
              <c:f>'BANDHAN BOND IP'!$H$8</c:f>
              <c:numCache>
                <c:formatCode>0%</c:formatCode>
                <c:ptCount val="1"/>
                <c:pt idx="0">
                  <c:v>1</c:v>
                </c:pt>
              </c:numCache>
            </c:numRef>
          </c:val>
          <c:extLst>
            <c:ext xmlns:c16="http://schemas.microsoft.com/office/drawing/2014/chart" uri="{C3380CC4-5D6E-409C-BE32-E72D297353CC}">
              <c16:uniqueId val="{0000000C-187C-47E2-9DE7-344091A4104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IP'!$K$8</c:f>
              <c:strCache>
                <c:ptCount val="1"/>
                <c:pt idx="0">
                  <c:v>Total</c:v>
                </c:pt>
              </c:strCache>
            </c:strRef>
          </c:tx>
          <c:dLbls>
            <c:dLbl>
              <c:idx val="0"/>
              <c:layout>
                <c:manualLayout>
                  <c:x val="-0.24747559392335058"/>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F74-449F-972E-1ABD82082E28}"/>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F74-449F-972E-1ABD82082E28}"/>
                </c:ext>
              </c:extLst>
            </c:dLbl>
            <c:dLbl>
              <c:idx val="2"/>
              <c:layout>
                <c:manualLayout>
                  <c:x val="9.9312920467382687E-2"/>
                  <c:y val="5.61886264216972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8158458244111351"/>
                      <c:h val="0.22"/>
                    </c:manualLayout>
                  </c15:layout>
                </c:ext>
                <c:ext xmlns:c16="http://schemas.microsoft.com/office/drawing/2014/chart" uri="{C3380CC4-5D6E-409C-BE32-E72D297353CC}">
                  <c16:uniqueId val="{0000000F-2F74-449F-972E-1ABD82082E28}"/>
                </c:ext>
              </c:extLst>
            </c:dLbl>
            <c:dLbl>
              <c:idx val="3"/>
              <c:layout>
                <c:manualLayout>
                  <c:x val="-0.24142086361260517"/>
                  <c:y val="-7.47079615048119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F74-449F-972E-1ABD82082E2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IP'!$J$9:$J$12</c:f>
              <c:strCache>
                <c:ptCount val="4"/>
                <c:pt idx="0">
                  <c:v>Net Current Asset</c:v>
                </c:pt>
                <c:pt idx="1">
                  <c:v>TRI Party Repo</c:v>
                </c:pt>
                <c:pt idx="2">
                  <c:v>Corporate Debt Market Development Fund</c:v>
                </c:pt>
                <c:pt idx="3">
                  <c:v>Government Bond</c:v>
                </c:pt>
              </c:strCache>
            </c:strRef>
          </c:cat>
          <c:val>
            <c:numRef>
              <c:f>'BANDHAN BOND IP'!$K$9:$K$12</c:f>
              <c:numCache>
                <c:formatCode>0.00%</c:formatCode>
                <c:ptCount val="4"/>
                <c:pt idx="0">
                  <c:v>1.7944000000000002E-2</c:v>
                </c:pt>
                <c:pt idx="1">
                  <c:v>1.918E-3</c:v>
                </c:pt>
                <c:pt idx="2">
                  <c:v>2.5769999999999999E-3</c:v>
                </c:pt>
                <c:pt idx="3">
                  <c:v>0.97756100000000001</c:v>
                </c:pt>
              </c:numCache>
            </c:numRef>
          </c:val>
          <c:extLst>
            <c:ext xmlns:c16="http://schemas.microsoft.com/office/drawing/2014/chart" uri="{C3380CC4-5D6E-409C-BE32-E72D297353CC}">
              <c16:uniqueId val="{0000000C-2F74-449F-972E-1ABD82082E2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9622991436"/>
                  <c:y val="-3.695652173913043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219-46FA-A01A-657606B77F5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MT'!$G$8</c:f>
              <c:strCache>
                <c:ptCount val="1"/>
                <c:pt idx="0">
                  <c:v>AAA EQUIVALENT</c:v>
                </c:pt>
              </c:strCache>
            </c:strRef>
          </c:cat>
          <c:val>
            <c:numRef>
              <c:f>'BANDHAN BOND MT'!$H$8</c:f>
              <c:numCache>
                <c:formatCode>0%</c:formatCode>
                <c:ptCount val="1"/>
                <c:pt idx="0">
                  <c:v>1</c:v>
                </c:pt>
              </c:numCache>
            </c:numRef>
          </c:val>
          <c:extLst>
            <c:ext xmlns:c16="http://schemas.microsoft.com/office/drawing/2014/chart" uri="{C3380CC4-5D6E-409C-BE32-E72D297353CC}">
              <c16:uniqueId val="{0000000C-5219-46FA-A01A-657606B77F5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MT'!$K$8</c:f>
              <c:strCache>
                <c:ptCount val="1"/>
                <c:pt idx="0">
                  <c:v>Total</c:v>
                </c:pt>
              </c:strCache>
            </c:strRef>
          </c:tx>
          <c:dLbls>
            <c:dLbl>
              <c:idx val="0"/>
              <c:layout>
                <c:manualLayout>
                  <c:x val="-0.20359995953396623"/>
                  <c:y val="-1.168109800228459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1EB-4309-AEBF-6A639A340D6A}"/>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1EB-4309-AEBF-6A639A340D6A}"/>
                </c:ext>
              </c:extLst>
            </c:dLbl>
            <c:dLbl>
              <c:idx val="2"/>
              <c:layout>
                <c:manualLayout>
                  <c:x val="6.8260466371039732E-2"/>
                  <c:y val="-5.060053539819150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1EB-4309-AEBF-6A639A340D6A}"/>
                </c:ext>
              </c:extLst>
            </c:dLbl>
            <c:dLbl>
              <c:idx val="3"/>
              <c:layout>
                <c:manualLayout>
                  <c:x val="0.18649479842856903"/>
                  <c:y val="-4.02745005711495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01EB-4309-AEBF-6A639A340D6A}"/>
                </c:ext>
              </c:extLst>
            </c:dLbl>
            <c:dLbl>
              <c:idx val="4"/>
              <c:layout>
                <c:manualLayout>
                  <c:x val="-0.30229720615758149"/>
                  <c:y val="-4.920222181529634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01EB-4309-AEBF-6A639A340D6A}"/>
                </c:ext>
              </c:extLst>
            </c:dLbl>
            <c:dLbl>
              <c:idx val="5"/>
              <c:layout>
                <c:manualLayout>
                  <c:x val="-0.13596148982447859"/>
                  <c:y val="-1.48327970631578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01EB-4309-AEBF-6A639A340D6A}"/>
                </c:ext>
              </c:extLst>
            </c:dLbl>
            <c:dLbl>
              <c:idx val="6"/>
              <c:layout>
                <c:manualLayout>
                  <c:x val="-0.26267531066111383"/>
                  <c:y val="-9.14153172713875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01EB-4309-AEBF-6A639A340D6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MT'!$J$9:$J$15</c:f>
              <c:strCache>
                <c:ptCount val="7"/>
                <c:pt idx="0">
                  <c:v>Net Current Asset</c:v>
                </c:pt>
                <c:pt idx="1">
                  <c:v>TRI Party Repo</c:v>
                </c:pt>
                <c:pt idx="2">
                  <c:v>Corporate Bond</c:v>
                </c:pt>
                <c:pt idx="3">
                  <c:v>Corporate Debt Market Development Fund</c:v>
                </c:pt>
                <c:pt idx="4">
                  <c:v>Government Bond</c:v>
                </c:pt>
                <c:pt idx="5">
                  <c:v>PTC</c:v>
                </c:pt>
                <c:pt idx="6">
                  <c:v>State Government Bond</c:v>
                </c:pt>
              </c:strCache>
            </c:strRef>
          </c:cat>
          <c:val>
            <c:numRef>
              <c:f>'BANDHAN BOND MT'!$K$9:$K$15</c:f>
              <c:numCache>
                <c:formatCode>0.00%</c:formatCode>
                <c:ptCount val="7"/>
                <c:pt idx="0">
                  <c:v>1.6160000000000001E-2</c:v>
                </c:pt>
                <c:pt idx="1">
                  <c:v>1.3810000000000001E-3</c:v>
                </c:pt>
                <c:pt idx="2">
                  <c:v>3.0106000000000001E-2</c:v>
                </c:pt>
                <c:pt idx="3">
                  <c:v>3.081E-3</c:v>
                </c:pt>
                <c:pt idx="4">
                  <c:v>0.92056300000000002</c:v>
                </c:pt>
                <c:pt idx="5">
                  <c:v>9.2029999999999994E-3</c:v>
                </c:pt>
                <c:pt idx="6">
                  <c:v>1.9505999999999999E-2</c:v>
                </c:pt>
              </c:numCache>
            </c:numRef>
          </c:val>
          <c:extLst>
            <c:ext xmlns:c16="http://schemas.microsoft.com/office/drawing/2014/chart" uri="{C3380CC4-5D6E-409C-BE32-E72D297353CC}">
              <c16:uniqueId val="{0000000C-01EB-4309-AEBF-6A639A340D6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635898430255102"/>
                  <c:y val="-5.726872246696035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898-4B3A-B4FB-49F97220D2A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ST'!$G$8</c:f>
              <c:strCache>
                <c:ptCount val="1"/>
                <c:pt idx="0">
                  <c:v>AAA EQUIVALENT</c:v>
                </c:pt>
              </c:strCache>
            </c:strRef>
          </c:cat>
          <c:val>
            <c:numRef>
              <c:f>'BANDHAN BOND ST'!$H$8</c:f>
              <c:numCache>
                <c:formatCode>0%</c:formatCode>
                <c:ptCount val="1"/>
                <c:pt idx="0">
                  <c:v>1</c:v>
                </c:pt>
              </c:numCache>
            </c:numRef>
          </c:val>
          <c:extLst>
            <c:ext xmlns:c16="http://schemas.microsoft.com/office/drawing/2014/chart" uri="{C3380CC4-5D6E-409C-BE32-E72D297353CC}">
              <c16:uniqueId val="{0000000C-B898-4B3A-B4FB-49F97220D2A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ST'!$K$8</c:f>
              <c:strCache>
                <c:ptCount val="1"/>
                <c:pt idx="0">
                  <c:v>Total</c:v>
                </c:pt>
              </c:strCache>
            </c:strRef>
          </c:tx>
          <c:dLbls>
            <c:dLbl>
              <c:idx val="0"/>
              <c:layout>
                <c:manualLayout>
                  <c:x val="-0.3209338380346996"/>
                  <c:y val="-3.43011381219269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923-4890-AEE9-77D5F4E8464F}"/>
                </c:ext>
              </c:extLst>
            </c:dLbl>
            <c:dLbl>
              <c:idx val="1"/>
              <c:layout>
                <c:manualLayout>
                  <c:x val="-0.11696420442091419"/>
                  <c:y val="-1.886428497747825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923-4890-AEE9-77D5F4E8464F}"/>
                </c:ext>
              </c:extLst>
            </c:dLbl>
            <c:dLbl>
              <c:idx val="2"/>
              <c:layout>
                <c:manualLayout>
                  <c:x val="-1.9184019288809456E-2"/>
                  <c:y val="-6.060344531169411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923-4890-AEE9-77D5F4E8464F}"/>
                </c:ext>
              </c:extLst>
            </c:dLbl>
            <c:dLbl>
              <c:idx val="3"/>
              <c:layout>
                <c:manualLayout>
                  <c:x val="-8.905983914751555E-3"/>
                  <c:y val="-0.1447484784925901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923-4890-AEE9-77D5F4E8464F}"/>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8923-4890-AEE9-77D5F4E8464F}"/>
                </c:ext>
              </c:extLst>
            </c:dLbl>
            <c:dLbl>
              <c:idx val="5"/>
              <c:layout>
                <c:manualLayout>
                  <c:x val="-1.9039184609418548E-2"/>
                  <c:y val="0.25878107485472596"/>
                </c:manualLayout>
              </c:layout>
              <c:spPr>
                <a:noFill/>
                <a:ln>
                  <a:noFill/>
                </a:ln>
                <a:effectLst/>
              </c:spPr>
              <c:txPr>
                <a:bodyPr wrap="square" lIns="38100" tIns="19050" rIns="38100" bIns="19050" anchor="ctr">
                  <a:no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30710381223760302"/>
                      <c:h val="0.14410480349344978"/>
                    </c:manualLayout>
                  </c15:layout>
                </c:ext>
                <c:ext xmlns:c16="http://schemas.microsoft.com/office/drawing/2014/chart" uri="{C3380CC4-5D6E-409C-BE32-E72D297353CC}">
                  <c16:uniqueId val="{00000012-8923-4890-AEE9-77D5F4E8464F}"/>
                </c:ext>
              </c:extLst>
            </c:dLbl>
            <c:dLbl>
              <c:idx val="6"/>
              <c:layout>
                <c:manualLayout>
                  <c:x val="3.3752887420121737E-3"/>
                  <c:y val="0.1907939346009696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8923-4890-AEE9-77D5F4E8464F}"/>
                </c:ext>
              </c:extLst>
            </c:dLbl>
            <c:dLbl>
              <c:idx val="7"/>
              <c:layout>
                <c:manualLayout>
                  <c:x val="-0.3767232629111939"/>
                  <c:y val="-0.1161788673795688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8923-4890-AEE9-77D5F4E8464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ST'!$J$9:$J$16</c:f>
              <c:strCache>
                <c:ptCount val="8"/>
                <c:pt idx="0">
                  <c:v>Net Current Asset</c:v>
                </c:pt>
                <c:pt idx="1">
                  <c:v>TRI Party Repo</c:v>
                </c:pt>
                <c:pt idx="2">
                  <c:v>Certificate of Deposit</c:v>
                </c:pt>
                <c:pt idx="3">
                  <c:v>Corporate Bond</c:v>
                </c:pt>
                <c:pt idx="4">
                  <c:v>Commercial Paper</c:v>
                </c:pt>
                <c:pt idx="5">
                  <c:v>Corporate Debt Market Development Fund</c:v>
                </c:pt>
                <c:pt idx="6">
                  <c:v>Government Bond</c:v>
                </c:pt>
                <c:pt idx="7">
                  <c:v>PTC</c:v>
                </c:pt>
              </c:strCache>
            </c:strRef>
          </c:cat>
          <c:val>
            <c:numRef>
              <c:f>'BANDHAN BOND ST'!$K$9:$K$16</c:f>
              <c:numCache>
                <c:formatCode>0.00%</c:formatCode>
                <c:ptCount val="8"/>
                <c:pt idx="0">
                  <c:v>2.3154999999999999E-2</c:v>
                </c:pt>
                <c:pt idx="1">
                  <c:v>3.5170000000000002E-3</c:v>
                </c:pt>
                <c:pt idx="2">
                  <c:v>4.4845000000000003E-2</c:v>
                </c:pt>
                <c:pt idx="3">
                  <c:v>0.13920199999999999</c:v>
                </c:pt>
                <c:pt idx="4">
                  <c:v>9.3899999999999997E-2</c:v>
                </c:pt>
                <c:pt idx="5">
                  <c:v>2.5799999999999998E-3</c:v>
                </c:pt>
                <c:pt idx="6">
                  <c:v>0.68960600000000005</c:v>
                </c:pt>
                <c:pt idx="7">
                  <c:v>3.1949999999999999E-3</c:v>
                </c:pt>
              </c:numCache>
            </c:numRef>
          </c:val>
          <c:extLst>
            <c:ext xmlns:c16="http://schemas.microsoft.com/office/drawing/2014/chart" uri="{C3380CC4-5D6E-409C-BE32-E72D297353CC}">
              <c16:uniqueId val="{0000000C-8923-4890-AEE9-77D5F4E8464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922836331754035"/>
                  <c:y val="-1.32158590308370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D2D-40E4-84EB-B3D097D012A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BPDF'!$G$8</c:f>
              <c:strCache>
                <c:ptCount val="1"/>
                <c:pt idx="0">
                  <c:v>AAA EQUIVALENT</c:v>
                </c:pt>
              </c:strCache>
            </c:strRef>
          </c:cat>
          <c:val>
            <c:numRef>
              <c:f>'BANDHAN BPDF'!$H$8</c:f>
              <c:numCache>
                <c:formatCode>0%</c:formatCode>
                <c:ptCount val="1"/>
                <c:pt idx="0">
                  <c:v>1</c:v>
                </c:pt>
              </c:numCache>
            </c:numRef>
          </c:val>
          <c:extLst>
            <c:ext xmlns:c16="http://schemas.microsoft.com/office/drawing/2014/chart" uri="{C3380CC4-5D6E-409C-BE32-E72D297353CC}">
              <c16:uniqueId val="{0000000C-AD2D-40E4-84EB-B3D097D012A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BPDF'!$K$8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199-4771-BF87-CAB2EDBCEE2D}"/>
                </c:ext>
              </c:extLst>
            </c:dLbl>
            <c:dLbl>
              <c:idx val="1"/>
              <c:layout>
                <c:manualLayout>
                  <c:x val="0.24936881417660051"/>
                  <c:y val="-6.96073341325215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199-4771-BF87-CAB2EDBCEE2D}"/>
                </c:ext>
              </c:extLst>
            </c:dLbl>
            <c:dLbl>
              <c:idx val="2"/>
              <c:layout>
                <c:manualLayout>
                  <c:x val="-3.8326392284476216E-3"/>
                  <c:y val="-0.1031211460013281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199-4771-BF87-CAB2EDBCEE2D}"/>
                </c:ext>
              </c:extLst>
            </c:dLbl>
            <c:dLbl>
              <c:idx val="3"/>
              <c:layout>
                <c:manualLayout>
                  <c:x val="0.12667301758586386"/>
                  <c:y val="7.551810678648739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C199-4771-BF87-CAB2EDBCEE2D}"/>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C199-4771-BF87-CAB2EDBCEE2D}"/>
                </c:ext>
              </c:extLst>
            </c:dLbl>
            <c:dLbl>
              <c:idx val="5"/>
              <c:layout>
                <c:manualLayout>
                  <c:x val="1.5998415080341936E-2"/>
                  <c:y val="0.5682800493311830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34314775160599575"/>
                      <c:h val="0.21358159912376778"/>
                    </c:manualLayout>
                  </c15:layout>
                </c:ext>
                <c:ext xmlns:c16="http://schemas.microsoft.com/office/drawing/2014/chart" uri="{C3380CC4-5D6E-409C-BE32-E72D297353CC}">
                  <c16:uniqueId val="{00000012-C199-4771-BF87-CAB2EDBCEE2D}"/>
                </c:ext>
              </c:extLst>
            </c:dLbl>
            <c:dLbl>
              <c:idx val="6"/>
              <c:layout>
                <c:manualLayout>
                  <c:x val="-7.0042236422802606E-2"/>
                  <c:y val="-0.1632896654621348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C199-4771-BF87-CAB2EDBCEE2D}"/>
                </c:ext>
              </c:extLst>
            </c:dLbl>
            <c:dLbl>
              <c:idx val="7"/>
              <c:layout>
                <c:manualLayout>
                  <c:x val="-1.130300628909609E-2"/>
                  <c:y val="-2.98926270579813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C199-4771-BF87-CAB2EDBCEE2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BPDF'!$J$9:$J$16</c:f>
              <c:strCache>
                <c:ptCount val="8"/>
                <c:pt idx="0">
                  <c:v>Net Current Asset</c:v>
                </c:pt>
                <c:pt idx="1">
                  <c:v>TRI Party Repo</c:v>
                </c:pt>
                <c:pt idx="2">
                  <c:v>Certificate of Deposit</c:v>
                </c:pt>
                <c:pt idx="3">
                  <c:v>Corporate Bond</c:v>
                </c:pt>
                <c:pt idx="4">
                  <c:v>Commercial Paper</c:v>
                </c:pt>
                <c:pt idx="5">
                  <c:v>Corporate Debt Market Development Fund</c:v>
                </c:pt>
                <c:pt idx="6">
                  <c:v>Government Bond</c:v>
                </c:pt>
                <c:pt idx="7">
                  <c:v>State Government Bond</c:v>
                </c:pt>
              </c:strCache>
            </c:strRef>
          </c:cat>
          <c:val>
            <c:numRef>
              <c:f>'BANDHAN BPDF'!$K$9:$K$16</c:f>
              <c:numCache>
                <c:formatCode>0.00%</c:formatCode>
                <c:ptCount val="8"/>
                <c:pt idx="0">
                  <c:v>2.9489999999999999E-2</c:v>
                </c:pt>
                <c:pt idx="1">
                  <c:v>1.2152E-2</c:v>
                </c:pt>
                <c:pt idx="2">
                  <c:v>5.3259000000000001E-2</c:v>
                </c:pt>
                <c:pt idx="3">
                  <c:v>0.710144</c:v>
                </c:pt>
                <c:pt idx="4">
                  <c:v>3.124E-3</c:v>
                </c:pt>
                <c:pt idx="5">
                  <c:v>2.307E-3</c:v>
                </c:pt>
                <c:pt idx="6">
                  <c:v>0.148229</c:v>
                </c:pt>
                <c:pt idx="7">
                  <c:v>4.1294999999999998E-2</c:v>
                </c:pt>
              </c:numCache>
            </c:numRef>
          </c:val>
          <c:extLst>
            <c:ext xmlns:c16="http://schemas.microsoft.com/office/drawing/2014/chart" uri="{C3380CC4-5D6E-409C-BE32-E72D297353CC}">
              <c16:uniqueId val="{0000000C-C199-4771-BF87-CAB2EDBCEE2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3.08370044052863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CE9-4241-8765-8A1993F9AC4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CBF'!$G$8</c:f>
              <c:strCache>
                <c:ptCount val="1"/>
                <c:pt idx="0">
                  <c:v>AAA EQUIVALENT</c:v>
                </c:pt>
              </c:strCache>
            </c:strRef>
          </c:cat>
          <c:val>
            <c:numRef>
              <c:f>'BANDHAN CBF'!$H$8</c:f>
              <c:numCache>
                <c:formatCode>0%</c:formatCode>
                <c:ptCount val="1"/>
                <c:pt idx="0">
                  <c:v>1</c:v>
                </c:pt>
              </c:numCache>
            </c:numRef>
          </c:val>
          <c:extLst>
            <c:ext xmlns:c16="http://schemas.microsoft.com/office/drawing/2014/chart" uri="{C3380CC4-5D6E-409C-BE32-E72D297353CC}">
              <c16:uniqueId val="{0000000C-6CE9-4241-8765-8A1993F9AC4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CBF'!$K$8</c:f>
              <c:strCache>
                <c:ptCount val="1"/>
                <c:pt idx="0">
                  <c:v>Total</c:v>
                </c:pt>
              </c:strCache>
            </c:strRef>
          </c:tx>
          <c:dLbls>
            <c:dLbl>
              <c:idx val="0"/>
              <c:layout>
                <c:manualLayout>
                  <c:x val="8.6409145323643965E-2"/>
                  <c:y val="-8.66689945353283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400-43C0-84D7-212DCF28254A}"/>
                </c:ext>
              </c:extLst>
            </c:dLbl>
            <c:dLbl>
              <c:idx val="1"/>
              <c:layout>
                <c:manualLayout>
                  <c:x val="0.18088148510344129"/>
                  <c:y val="5.017755818216736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400-43C0-84D7-212DCF28254A}"/>
                </c:ext>
              </c:extLst>
            </c:dLbl>
            <c:dLbl>
              <c:idx val="2"/>
              <c:layout>
                <c:manualLayout>
                  <c:x val="0.16939317810113136"/>
                  <c:y val="-0.154722139776873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400-43C0-84D7-212DCF28254A}"/>
                </c:ext>
              </c:extLst>
            </c:dLbl>
            <c:dLbl>
              <c:idx val="3"/>
              <c:layout>
                <c:manualLayout>
                  <c:x val="8.5199716737763234E-2"/>
                  <c:y val="-7.310787925345251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400-43C0-84D7-212DCF28254A}"/>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1400-43C0-84D7-212DCF28254A}"/>
                </c:ext>
              </c:extLst>
            </c:dLbl>
            <c:dLbl>
              <c:idx val="5"/>
              <c:layout>
                <c:manualLayout>
                  <c:x val="9.7395842115024694E-2"/>
                  <c:y val="0.6352137856382142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8140788076008705"/>
                      <c:h val="0.21729490022172948"/>
                    </c:manualLayout>
                  </c15:layout>
                </c:ext>
                <c:ext xmlns:c16="http://schemas.microsoft.com/office/drawing/2014/chart" uri="{C3380CC4-5D6E-409C-BE32-E72D297353CC}">
                  <c16:uniqueId val="{00000012-1400-43C0-84D7-212DCF28254A}"/>
                </c:ext>
              </c:extLst>
            </c:dLbl>
            <c:dLbl>
              <c:idx val="6"/>
              <c:layout>
                <c:manualLayout>
                  <c:x val="-0.15034564737223693"/>
                  <c:y val="0.5561234003177540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1400-43C0-84D7-212DCF28254A}"/>
                </c:ext>
              </c:extLst>
            </c:dLbl>
            <c:dLbl>
              <c:idx val="7"/>
              <c:layout>
                <c:manualLayout>
                  <c:x val="-0.11854878686202769"/>
                  <c:y val="-0.1161729839202472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1400-43C0-84D7-212DCF28254A}"/>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1400-43C0-84D7-212DCF28254A}"/>
                </c:ext>
              </c:extLst>
            </c:dLbl>
            <c:dLbl>
              <c:idx val="9"/>
              <c:layout>
                <c:manualLayout>
                  <c:x val="4.3896373231718626E-2"/>
                  <c:y val="-1.017232047767864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6-1400-43C0-84D7-212DCF28254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CBF'!$J$9:$J$18</c:f>
              <c:strCache>
                <c:ptCount val="10"/>
                <c:pt idx="0">
                  <c:v>Net Current Asset</c:v>
                </c:pt>
                <c:pt idx="1">
                  <c:v>TRI Party Repo</c:v>
                </c:pt>
                <c:pt idx="2">
                  <c:v>Certificate of Deposit</c:v>
                </c:pt>
                <c:pt idx="3">
                  <c:v>Corporate Bond</c:v>
                </c:pt>
                <c:pt idx="4">
                  <c:v>Commercial Paper</c:v>
                </c:pt>
                <c:pt idx="5">
                  <c:v>Corporate Debt Market Development Fund</c:v>
                </c:pt>
                <c:pt idx="6">
                  <c:v>Government Bond</c:v>
                </c:pt>
                <c:pt idx="7">
                  <c:v>State Government Bond</c:v>
                </c:pt>
                <c:pt idx="8">
                  <c:v>Treasury Bill</c:v>
                </c:pt>
                <c:pt idx="9">
                  <c:v>Zero Coupon Bond</c:v>
                </c:pt>
              </c:strCache>
            </c:strRef>
          </c:cat>
          <c:val>
            <c:numRef>
              <c:f>'BANDHAN CBF'!$K$9:$K$18</c:f>
              <c:numCache>
                <c:formatCode>0.00%</c:formatCode>
                <c:ptCount val="10"/>
                <c:pt idx="0">
                  <c:v>3.2938000000000002E-2</c:v>
                </c:pt>
                <c:pt idx="1">
                  <c:v>8.3879999999999996E-3</c:v>
                </c:pt>
                <c:pt idx="2">
                  <c:v>4.2772999999999999E-2</c:v>
                </c:pt>
                <c:pt idx="3">
                  <c:v>0.74108799999999997</c:v>
                </c:pt>
                <c:pt idx="4">
                  <c:v>7.1329000000000004E-2</c:v>
                </c:pt>
                <c:pt idx="5">
                  <c:v>2.7409999999999999E-3</c:v>
                </c:pt>
                <c:pt idx="6">
                  <c:v>3.5399999999999999E-4</c:v>
                </c:pt>
                <c:pt idx="7">
                  <c:v>2.6367000000000002E-2</c:v>
                </c:pt>
                <c:pt idx="8">
                  <c:v>7.1217000000000003E-2</c:v>
                </c:pt>
                <c:pt idx="9">
                  <c:v>2.8050000000000002E-3</c:v>
                </c:pt>
              </c:numCache>
            </c:numRef>
          </c:val>
          <c:extLst>
            <c:ext xmlns:c16="http://schemas.microsoft.com/office/drawing/2014/chart" uri="{C3380CC4-5D6E-409C-BE32-E72D297353CC}">
              <c16:uniqueId val="{0000000C-1400-43C0-84D7-212DCF28254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1.1626397342730556E-3"/>
                  <c:y val="-1.5492899632087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5834578225901633"/>
                      <c:h val="0.16375545851528386"/>
                    </c:manualLayout>
                  </c15:layout>
                </c:ext>
                <c:ext xmlns:c16="http://schemas.microsoft.com/office/drawing/2014/chart" uri="{C3380CC4-5D6E-409C-BE32-E72D297353CC}">
                  <c16:uniqueId val="{0000000D-3A1E-4BB0-90A5-6BC6F5E641BF}"/>
                </c:ext>
              </c:extLst>
            </c:dLbl>
            <c:dLbl>
              <c:idx val="1"/>
              <c:layout>
                <c:manualLayout>
                  <c:x val="1.3010672916420779E-2"/>
                  <c:y val="-4.51043564969225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A1E-4BB0-90A5-6BC6F5E641B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FRF'!$G$8:$G$9</c:f>
              <c:strCache>
                <c:ptCount val="2"/>
                <c:pt idx="0">
                  <c:v>AAA EQUIVALENT</c:v>
                </c:pt>
                <c:pt idx="1">
                  <c:v>AA+</c:v>
                </c:pt>
              </c:strCache>
            </c:strRef>
          </c:cat>
          <c:val>
            <c:numRef>
              <c:f>'BANDHAN FRF'!$H$8:$H$9</c:f>
              <c:numCache>
                <c:formatCode>0.00%</c:formatCode>
                <c:ptCount val="2"/>
                <c:pt idx="0">
                  <c:v>0.90288599999999997</c:v>
                </c:pt>
                <c:pt idx="1">
                  <c:v>9.7114000000000006E-2</c:v>
                </c:pt>
              </c:numCache>
            </c:numRef>
          </c:val>
          <c:extLst>
            <c:ext xmlns:c16="http://schemas.microsoft.com/office/drawing/2014/chart" uri="{C3380CC4-5D6E-409C-BE32-E72D297353CC}">
              <c16:uniqueId val="{0000000C-3A1E-4BB0-90A5-6BC6F5E641B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065-43D7-8965-AC600136ADDA}"/>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065-43D7-8965-AC600136ADDA}"/>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065-43D7-8965-AC600136ADDA}"/>
                </c:ext>
              </c:extLst>
            </c:dLbl>
            <c:dLbl>
              <c:idx val="3"/>
              <c:layout>
                <c:manualLayout>
                  <c:x val="-2.5171221905612898E-2"/>
                  <c:y val="3.077526784561765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065-43D7-8965-AC600136ADDA}"/>
                </c:ext>
              </c:extLst>
            </c:dLbl>
            <c:dLbl>
              <c:idx val="4"/>
              <c:layout>
                <c:manualLayout>
                  <c:x val="3.8353875465780916E-2"/>
                  <c:y val="0.3205448991007271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1065-43D7-8965-AC600136ADDA}"/>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1065-43D7-8965-AC600136ADDA}"/>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1065-43D7-8965-AC600136ADDA}"/>
                </c:ext>
              </c:extLst>
            </c:dLbl>
            <c:dLbl>
              <c:idx val="7"/>
              <c:tx>
                <c:rich>
                  <a:bodyPr/>
                  <a:lstStyle/>
                  <a:p>
                    <a:endParaRPr lang="en-US"/>
                  </a:p>
                </c:rich>
              </c:tx>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1065-43D7-8965-AC600136ADD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FRF'!$J$9:$J$16</c:f>
              <c:strCache>
                <c:ptCount val="8"/>
                <c:pt idx="0">
                  <c:v>Net Current Asset</c:v>
                </c:pt>
                <c:pt idx="1">
                  <c:v>TRI Party Repo</c:v>
                </c:pt>
                <c:pt idx="2">
                  <c:v>Certificate of Deposit</c:v>
                </c:pt>
                <c:pt idx="3">
                  <c:v>Corporate Bond</c:v>
                </c:pt>
                <c:pt idx="4">
                  <c:v>Commercial Paper</c:v>
                </c:pt>
                <c:pt idx="5">
                  <c:v>Corporate Debt Market Development Fund</c:v>
                </c:pt>
                <c:pt idx="6">
                  <c:v>Government Bond</c:v>
                </c:pt>
                <c:pt idx="7">
                  <c:v>Interest Rate Swap</c:v>
                </c:pt>
              </c:strCache>
            </c:strRef>
          </c:cat>
          <c:val>
            <c:numRef>
              <c:f>'BANDHAN FRF'!$K$9:$K$16</c:f>
              <c:numCache>
                <c:formatCode>0.00%</c:formatCode>
                <c:ptCount val="8"/>
                <c:pt idx="0">
                  <c:v>1.0834E-2</c:v>
                </c:pt>
                <c:pt idx="1">
                  <c:v>1.461E-2</c:v>
                </c:pt>
                <c:pt idx="2">
                  <c:v>0.23694000000000001</c:v>
                </c:pt>
                <c:pt idx="3">
                  <c:v>0.35674800000000001</c:v>
                </c:pt>
                <c:pt idx="4">
                  <c:v>0.21626300000000001</c:v>
                </c:pt>
                <c:pt idx="5">
                  <c:v>4.2680000000000001E-3</c:v>
                </c:pt>
                <c:pt idx="6">
                  <c:v>0.16033700000000001</c:v>
                </c:pt>
                <c:pt idx="7" formatCode="0%">
                  <c:v>0</c:v>
                </c:pt>
              </c:numCache>
            </c:numRef>
          </c:val>
          <c:extLst>
            <c:ext xmlns:c16="http://schemas.microsoft.com/office/drawing/2014/chart" uri="{C3380CC4-5D6E-409C-BE32-E72D297353CC}">
              <c16:uniqueId val="{0000000C-1065-43D7-8965-AC600136ADD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4310762278912137"/>
                  <c:y val="-0.373700093655693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0E4-495A-A535-25C90C421960}"/>
                </c:ext>
              </c:extLst>
            </c:dLbl>
            <c:dLbl>
              <c:idx val="1"/>
              <c:layout>
                <c:manualLayout>
                  <c:x val="3.570933585121986E-2"/>
                  <c:y val="-0.3809788754379270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7761773086715336"/>
                      <c:h val="0.16519823788546256"/>
                    </c:manualLayout>
                  </c15:layout>
                </c:ext>
                <c:ext xmlns:c16="http://schemas.microsoft.com/office/drawing/2014/chart" uri="{C3380CC4-5D6E-409C-BE32-E72D297353CC}">
                  <c16:uniqueId val="{0000000E-20E4-495A-A535-25C90C421960}"/>
                </c:ext>
              </c:extLst>
            </c:dLbl>
            <c:dLbl>
              <c:idx val="2"/>
              <c:layout>
                <c:manualLayout>
                  <c:x val="7.5945809236372216E-2"/>
                  <c:y val="-3.79041936938499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0E4-495A-A535-25C90C42196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CRF'!$G$8:$G$10</c:f>
              <c:strCache>
                <c:ptCount val="3"/>
                <c:pt idx="0">
                  <c:v>AA</c:v>
                </c:pt>
                <c:pt idx="1">
                  <c:v>AAA EQUIVALENT</c:v>
                </c:pt>
                <c:pt idx="2">
                  <c:v>AA+</c:v>
                </c:pt>
              </c:strCache>
            </c:strRef>
          </c:cat>
          <c:val>
            <c:numRef>
              <c:f>'BANDHAN CRF'!$H$8:$H$10</c:f>
              <c:numCache>
                <c:formatCode>0.00%</c:formatCode>
                <c:ptCount val="3"/>
                <c:pt idx="0">
                  <c:v>0.544987</c:v>
                </c:pt>
                <c:pt idx="1">
                  <c:v>0.41160200000000002</c:v>
                </c:pt>
                <c:pt idx="2">
                  <c:v>4.3410999999999998E-2</c:v>
                </c:pt>
              </c:numCache>
            </c:numRef>
          </c:val>
          <c:extLst>
            <c:ext xmlns:c16="http://schemas.microsoft.com/office/drawing/2014/chart" uri="{C3380CC4-5D6E-409C-BE32-E72D297353CC}">
              <c16:uniqueId val="{0000000C-20E4-495A-A535-25C90C42196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8ED-49DD-94B5-C0E2EEC65FCB}"/>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8ED-49DD-94B5-C0E2EEC65FCB}"/>
                </c:ext>
              </c:extLst>
            </c:dLbl>
            <c:dLbl>
              <c:idx val="2"/>
              <c:layout>
                <c:manualLayout>
                  <c:x val="-8.5281070326594613E-2"/>
                  <c:y val="0.1090304795051603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8ED-49DD-94B5-C0E2EEC65FCB}"/>
                </c:ext>
              </c:extLst>
            </c:dLbl>
            <c:dLbl>
              <c:idx val="3"/>
              <c:layout>
                <c:manualLayout>
                  <c:x val="-2.2010065925913435E-2"/>
                  <c:y val="0.17960130257240819"/>
                </c:manualLayout>
              </c:layout>
              <c:spPr>
                <a:noFill/>
                <a:ln>
                  <a:noFill/>
                </a:ln>
                <a:effectLst/>
              </c:spPr>
              <c:txPr>
                <a:bodyPr wrap="square" lIns="38100" tIns="19050" rIns="38100" bIns="19050" anchor="ctr">
                  <a:no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31316916488222696"/>
                      <c:h val="0.13457330415754923"/>
                    </c:manualLayout>
                  </c15:layout>
                </c:ext>
                <c:ext xmlns:c16="http://schemas.microsoft.com/office/drawing/2014/chart" uri="{C3380CC4-5D6E-409C-BE32-E72D297353CC}">
                  <c16:uniqueId val="{00000010-08ED-49DD-94B5-C0E2EEC65FCB}"/>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08ED-49DD-94B5-C0E2EEC65FCB}"/>
                </c:ext>
              </c:extLst>
            </c:dLbl>
            <c:dLbl>
              <c:idx val="5"/>
              <c:layout>
                <c:manualLayout>
                  <c:x val="-4.6961253772614613E-2"/>
                  <c:y val="-7.12286565929805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08ED-49DD-94B5-C0E2EEC65FC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CRF'!$J$9:$J$14</c:f>
              <c:strCache>
                <c:ptCount val="6"/>
                <c:pt idx="0">
                  <c:v>Net Current Asset</c:v>
                </c:pt>
                <c:pt idx="1">
                  <c:v>TRI Party Repo</c:v>
                </c:pt>
                <c:pt idx="2">
                  <c:v>Corporate Bond</c:v>
                </c:pt>
                <c:pt idx="3">
                  <c:v>Corporate Debt Market Development Fund</c:v>
                </c:pt>
                <c:pt idx="4">
                  <c:v>Government Bond</c:v>
                </c:pt>
                <c:pt idx="5">
                  <c:v>PTC</c:v>
                </c:pt>
              </c:strCache>
            </c:strRef>
          </c:cat>
          <c:val>
            <c:numRef>
              <c:f>'BANDHAN CRF'!$K$9:$K$14</c:f>
              <c:numCache>
                <c:formatCode>0.00%</c:formatCode>
                <c:ptCount val="6"/>
                <c:pt idx="0">
                  <c:v>3.4595000000000001E-2</c:v>
                </c:pt>
                <c:pt idx="1">
                  <c:v>3.8406999999999997E-2</c:v>
                </c:pt>
                <c:pt idx="2">
                  <c:v>0.58839799999999998</c:v>
                </c:pt>
                <c:pt idx="3">
                  <c:v>3.6129999999999999E-3</c:v>
                </c:pt>
                <c:pt idx="4">
                  <c:v>0.26214399999999999</c:v>
                </c:pt>
                <c:pt idx="5">
                  <c:v>7.2843000000000005E-2</c:v>
                </c:pt>
              </c:numCache>
            </c:numRef>
          </c:val>
          <c:extLst>
            <c:ext xmlns:c16="http://schemas.microsoft.com/office/drawing/2014/chart" uri="{C3380CC4-5D6E-409C-BE32-E72D297353CC}">
              <c16:uniqueId val="{0000000C-08ED-49DD-94B5-C0E2EEC65FC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922836331754035"/>
                  <c:y val="-4.05701754385964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5239289146672511"/>
                      <c:h val="0.16447368421052633"/>
                    </c:manualLayout>
                  </c15:layout>
                </c:ext>
                <c:ext xmlns:c16="http://schemas.microsoft.com/office/drawing/2014/chart" uri="{C3380CC4-5D6E-409C-BE32-E72D297353CC}">
                  <c16:uniqueId val="{0000000D-2409-43E9-A645-DB6B24BE95C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GSF-IP'!$G$8</c:f>
              <c:strCache>
                <c:ptCount val="1"/>
                <c:pt idx="0">
                  <c:v>AAA EQUIVALENT</c:v>
                </c:pt>
              </c:strCache>
            </c:strRef>
          </c:cat>
          <c:val>
            <c:numRef>
              <c:f>'BANDHAN GSF-IP'!$H$8</c:f>
              <c:numCache>
                <c:formatCode>0%</c:formatCode>
                <c:ptCount val="1"/>
                <c:pt idx="0">
                  <c:v>1</c:v>
                </c:pt>
              </c:numCache>
            </c:numRef>
          </c:val>
          <c:extLst>
            <c:ext xmlns:c16="http://schemas.microsoft.com/office/drawing/2014/chart" uri="{C3380CC4-5D6E-409C-BE32-E72D297353CC}">
              <c16:uniqueId val="{0000000C-2409-43E9-A645-DB6B24BE95C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D2B-44A7-AF0B-9A8F88719560}"/>
                </c:ext>
              </c:extLst>
            </c:dLbl>
            <c:dLbl>
              <c:idx val="1"/>
              <c:layout>
                <c:manualLayout>
                  <c:x val="7.8766629010774164E-2"/>
                  <c:y val="-1.696972878390201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D2B-44A7-AF0B-9A8F88719560}"/>
                </c:ext>
              </c:extLst>
            </c:dLbl>
            <c:dLbl>
              <c:idx val="2"/>
              <c:layout>
                <c:manualLayout>
                  <c:x val="-0.19601038628201453"/>
                  <c:y val="-5.13746281714785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D2B-44A7-AF0B-9A8F8871956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GSF-IP'!$J$9:$J$11</c:f>
              <c:strCache>
                <c:ptCount val="3"/>
                <c:pt idx="0">
                  <c:v>Net Current Asset</c:v>
                </c:pt>
                <c:pt idx="1">
                  <c:v>TRI Party Repo</c:v>
                </c:pt>
                <c:pt idx="2">
                  <c:v>Government Bond</c:v>
                </c:pt>
              </c:strCache>
            </c:strRef>
          </c:cat>
          <c:val>
            <c:numRef>
              <c:f>'BANDHAN GSF-IP'!$K$9:$K$11</c:f>
              <c:numCache>
                <c:formatCode>0.00%</c:formatCode>
                <c:ptCount val="3"/>
                <c:pt idx="0">
                  <c:v>2.4479000000000001E-2</c:v>
                </c:pt>
                <c:pt idx="1">
                  <c:v>1.3489999999999999E-3</c:v>
                </c:pt>
                <c:pt idx="2">
                  <c:v>0.97417200000000004</c:v>
                </c:pt>
              </c:numCache>
            </c:numRef>
          </c:val>
          <c:extLst>
            <c:ext xmlns:c16="http://schemas.microsoft.com/office/drawing/2014/chart" uri="{C3380CC4-5D6E-409C-BE32-E72D297353CC}">
              <c16:uniqueId val="{0000000C-2D2B-44A7-AF0B-9A8F8871956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0781508708627697"/>
                  <c:y val="-1.86403508771929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525-43C5-9545-C69E08E45C3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CMP'!$G$8</c:f>
              <c:strCache>
                <c:ptCount val="1"/>
                <c:pt idx="0">
                  <c:v>AAA EQUIVALENT</c:v>
                </c:pt>
              </c:strCache>
            </c:strRef>
          </c:cat>
          <c:val>
            <c:numRef>
              <c:f>'BANDHAN GSF - CMP'!$H$8</c:f>
              <c:numCache>
                <c:formatCode>0%</c:formatCode>
                <c:ptCount val="1"/>
                <c:pt idx="0">
                  <c:v>1</c:v>
                </c:pt>
              </c:numCache>
            </c:numRef>
          </c:val>
          <c:extLst>
            <c:ext xmlns:c16="http://schemas.microsoft.com/office/drawing/2014/chart" uri="{C3380CC4-5D6E-409C-BE32-E72D297353CC}">
              <c16:uniqueId val="{0000000C-E525-43C5-9545-C69E08E45C3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 - CMP'!$K$8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0A9-4036-BF21-B091B451C7BE}"/>
                </c:ext>
              </c:extLst>
            </c:dLbl>
            <c:dLbl>
              <c:idx val="1"/>
              <c:layout>
                <c:manualLayout>
                  <c:x val="0.15213146402738201"/>
                  <c:y val="-1.514960629921259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0A9-4036-BF21-B091B451C7BE}"/>
                </c:ext>
              </c:extLst>
            </c:dLbl>
            <c:dLbl>
              <c:idx val="2"/>
              <c:layout>
                <c:manualLayout>
                  <c:x val="-0.21493508573740916"/>
                  <c:y val="-3.35968503937007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0A9-4036-BF21-B091B451C7B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CMP'!$J$9:$J$11</c:f>
              <c:strCache>
                <c:ptCount val="3"/>
                <c:pt idx="0">
                  <c:v>Net Current Asset</c:v>
                </c:pt>
                <c:pt idx="1">
                  <c:v>TRI Party Repo</c:v>
                </c:pt>
                <c:pt idx="2">
                  <c:v>Government Bond</c:v>
                </c:pt>
              </c:strCache>
            </c:strRef>
          </c:cat>
          <c:val>
            <c:numRef>
              <c:f>'BANDHAN GSF - CMP'!$K$9:$K$11</c:f>
              <c:numCache>
                <c:formatCode>0.00%</c:formatCode>
                <c:ptCount val="3"/>
                <c:pt idx="0">
                  <c:v>2.0553999999999999E-2</c:v>
                </c:pt>
                <c:pt idx="1">
                  <c:v>1.3311999999999999E-2</c:v>
                </c:pt>
                <c:pt idx="2">
                  <c:v>0.96613400000000005</c:v>
                </c:pt>
              </c:numCache>
            </c:numRef>
          </c:val>
          <c:extLst>
            <c:ext xmlns:c16="http://schemas.microsoft.com/office/drawing/2014/chart" uri="{C3380CC4-5D6E-409C-BE32-E72D297353CC}">
              <c16:uniqueId val="{0000000C-C0A9-4036-BF21-B091B451C7B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3511018563793"/>
                  <c:y val="-9.868421052631578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0F2-421C-9B82-B02D3EE4764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GIF26'!$G$8</c:f>
              <c:strCache>
                <c:ptCount val="1"/>
                <c:pt idx="0">
                  <c:v>AAA EQUIVALENT</c:v>
                </c:pt>
              </c:strCache>
            </c:strRef>
          </c:cat>
          <c:val>
            <c:numRef>
              <c:f>'BANDHAN GIF26'!$H$8</c:f>
              <c:numCache>
                <c:formatCode>0%</c:formatCode>
                <c:ptCount val="1"/>
                <c:pt idx="0">
                  <c:v>1</c:v>
                </c:pt>
              </c:numCache>
            </c:numRef>
          </c:val>
          <c:extLst>
            <c:ext xmlns:c16="http://schemas.microsoft.com/office/drawing/2014/chart" uri="{C3380CC4-5D6E-409C-BE32-E72D297353CC}">
              <c16:uniqueId val="{0000000C-B0F2-421C-9B82-B02D3EE4764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GIF26'!$K$8</c:f>
              <c:strCache>
                <c:ptCount val="1"/>
                <c:pt idx="0">
                  <c:v>Total</c:v>
                </c:pt>
              </c:strCache>
            </c:strRef>
          </c:tx>
          <c:dLbls>
            <c:dLbl>
              <c:idx val="0"/>
              <c:layout>
                <c:manualLayout>
                  <c:x val="-0.13224670791954005"/>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527-43CC-9975-F2E514BE7082}"/>
                </c:ext>
              </c:extLst>
            </c:dLbl>
            <c:dLbl>
              <c:idx val="1"/>
              <c:layout>
                <c:manualLayout>
                  <c:x val="-2.2668229105194827E-2"/>
                  <c:y val="1.744181977252843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527-43CC-9975-F2E514BE7082}"/>
                </c:ext>
              </c:extLst>
            </c:dLbl>
            <c:dLbl>
              <c:idx val="2"/>
              <c:layout>
                <c:manualLayout>
                  <c:x val="-0.24059813856244414"/>
                  <c:y val="-3.47079615048118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527-43CC-9975-F2E514BE708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GIF26'!$J$9:$J$11</c:f>
              <c:strCache>
                <c:ptCount val="3"/>
                <c:pt idx="0">
                  <c:v>Net Current Asset</c:v>
                </c:pt>
                <c:pt idx="1">
                  <c:v>TRI Party Repo</c:v>
                </c:pt>
                <c:pt idx="2">
                  <c:v>Government Bond</c:v>
                </c:pt>
              </c:strCache>
            </c:strRef>
          </c:cat>
          <c:val>
            <c:numRef>
              <c:f>'BANDHAN GIF26'!$K$9:$K$11</c:f>
              <c:numCache>
                <c:formatCode>0.00%</c:formatCode>
                <c:ptCount val="3"/>
                <c:pt idx="0">
                  <c:v>1.1487000000000001E-2</c:v>
                </c:pt>
                <c:pt idx="1">
                  <c:v>4.7159999999999997E-3</c:v>
                </c:pt>
                <c:pt idx="2">
                  <c:v>0.98379700000000003</c:v>
                </c:pt>
              </c:numCache>
            </c:numRef>
          </c:val>
          <c:extLst>
            <c:ext xmlns:c16="http://schemas.microsoft.com/office/drawing/2014/chart" uri="{C3380CC4-5D6E-409C-BE32-E72D297353CC}">
              <c16:uniqueId val="{0000000C-9527-43CC-9975-F2E514BE708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565234618691936"/>
                  <c:y val="-5.482456140350876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3A6-4246-9204-4EBDC698EC2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GIF2027'!$G$8</c:f>
              <c:strCache>
                <c:ptCount val="1"/>
                <c:pt idx="0">
                  <c:v>AAA EQUIVALENT</c:v>
                </c:pt>
              </c:strCache>
            </c:strRef>
          </c:cat>
          <c:val>
            <c:numRef>
              <c:f>'BANDHAN GIF2027'!$H$8</c:f>
              <c:numCache>
                <c:formatCode>0%</c:formatCode>
                <c:ptCount val="1"/>
                <c:pt idx="0">
                  <c:v>1</c:v>
                </c:pt>
              </c:numCache>
            </c:numRef>
          </c:val>
          <c:extLst>
            <c:ext xmlns:c16="http://schemas.microsoft.com/office/drawing/2014/chart" uri="{C3380CC4-5D6E-409C-BE32-E72D297353CC}">
              <c16:uniqueId val="{0000000C-03A6-4246-9204-4EBDC698EC2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21A-4920-9F22-48F469092371}"/>
                </c:ext>
              </c:extLst>
            </c:dLbl>
            <c:dLbl>
              <c:idx val="1"/>
              <c:layout>
                <c:manualLayout>
                  <c:x val="8.5529767826131017E-2"/>
                  <c:y val="-3.0306211723534556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21A-4920-9F22-48F469092371}"/>
                </c:ext>
              </c:extLst>
            </c:dLbl>
            <c:dLbl>
              <c:idx val="2"/>
              <c:layout>
                <c:manualLayout>
                  <c:x val="-0.22090264546696117"/>
                  <c:y val="-1.581907261592301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21A-4920-9F22-48F46909237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GIF2027'!$J$9:$J$11</c:f>
              <c:strCache>
                <c:ptCount val="3"/>
                <c:pt idx="0">
                  <c:v>Net Current Asset</c:v>
                </c:pt>
                <c:pt idx="1">
                  <c:v>TRI Party Repo</c:v>
                </c:pt>
                <c:pt idx="2">
                  <c:v>Government Bond</c:v>
                </c:pt>
              </c:strCache>
            </c:strRef>
          </c:cat>
          <c:val>
            <c:numRef>
              <c:f>'BANDHAN GIF2027'!$K$9:$K$11</c:f>
              <c:numCache>
                <c:formatCode>0.00%</c:formatCode>
                <c:ptCount val="3"/>
                <c:pt idx="0">
                  <c:v>2.7444E-2</c:v>
                </c:pt>
                <c:pt idx="1">
                  <c:v>3.0049999999999999E-3</c:v>
                </c:pt>
                <c:pt idx="2">
                  <c:v>0.96955100000000005</c:v>
                </c:pt>
              </c:numCache>
            </c:numRef>
          </c:val>
          <c:extLst>
            <c:ext xmlns:c16="http://schemas.microsoft.com/office/drawing/2014/chart" uri="{C3380CC4-5D6E-409C-BE32-E72D297353CC}">
              <c16:uniqueId val="{0000000C-E21A-4920-9F22-48F46909237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4.05701754385964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01E-482C-B54C-AC31DD6EBC9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GIF2028'!$G$8</c:f>
              <c:strCache>
                <c:ptCount val="1"/>
                <c:pt idx="0">
                  <c:v>AAA EQUIVALENT</c:v>
                </c:pt>
              </c:strCache>
            </c:strRef>
          </c:cat>
          <c:val>
            <c:numRef>
              <c:f>'BANDHAN GIF2028'!$H$8</c:f>
              <c:numCache>
                <c:formatCode>0%</c:formatCode>
                <c:ptCount val="1"/>
                <c:pt idx="0">
                  <c:v>1</c:v>
                </c:pt>
              </c:numCache>
            </c:numRef>
          </c:val>
          <c:extLst>
            <c:ext xmlns:c16="http://schemas.microsoft.com/office/drawing/2014/chart" uri="{C3380CC4-5D6E-409C-BE32-E72D297353CC}">
              <c16:uniqueId val="{0000000C-B01E-482C-B54C-AC31DD6EBC9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GIF2028'!$K$8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FA4-42CB-9A9E-9A49AD05D36C}"/>
                </c:ext>
              </c:extLst>
            </c:dLbl>
            <c:dLbl>
              <c:idx val="1"/>
              <c:layout>
                <c:manualLayout>
                  <c:x val="9.6432581901566367E-2"/>
                  <c:y val="6.363604549431320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FA4-42CB-9A9E-9A49AD05D36C}"/>
                </c:ext>
              </c:extLst>
            </c:dLbl>
            <c:dLbl>
              <c:idx val="2"/>
              <c:layout>
                <c:manualLayout>
                  <c:x val="-0.1976163819993593"/>
                  <c:y val="-5.581907261592301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FA4-42CB-9A9E-9A49AD05D36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GIF2028'!$J$9:$J$11</c:f>
              <c:strCache>
                <c:ptCount val="3"/>
                <c:pt idx="0">
                  <c:v>Net Current Asset</c:v>
                </c:pt>
                <c:pt idx="1">
                  <c:v>TRI Party Repo</c:v>
                </c:pt>
                <c:pt idx="2">
                  <c:v>Government Bond</c:v>
                </c:pt>
              </c:strCache>
            </c:strRef>
          </c:cat>
          <c:val>
            <c:numRef>
              <c:f>'BANDHAN GIF2028'!$K$9:$K$11</c:f>
              <c:numCache>
                <c:formatCode>0.00%</c:formatCode>
                <c:ptCount val="3"/>
                <c:pt idx="0">
                  <c:v>2.3067000000000001E-2</c:v>
                </c:pt>
                <c:pt idx="1">
                  <c:v>3.5439999999999998E-3</c:v>
                </c:pt>
                <c:pt idx="2">
                  <c:v>0.97338899999999995</c:v>
                </c:pt>
              </c:numCache>
            </c:numRef>
          </c:val>
          <c:extLst>
            <c:ext xmlns:c16="http://schemas.microsoft.com/office/drawing/2014/chart" uri="{C3380CC4-5D6E-409C-BE32-E72D297353CC}">
              <c16:uniqueId val="{0000000C-7FA4-42CB-9A9E-9A49AD05D36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F10-4AE2-B1F2-4E03F34FCB8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GIF32'!$G$8</c:f>
              <c:strCache>
                <c:ptCount val="1"/>
                <c:pt idx="0">
                  <c:v>AAA EQUIVALENT</c:v>
                </c:pt>
              </c:strCache>
            </c:strRef>
          </c:cat>
          <c:val>
            <c:numRef>
              <c:f>'BANDHAN GIF32'!$H$8</c:f>
              <c:numCache>
                <c:formatCode>0%</c:formatCode>
                <c:ptCount val="1"/>
                <c:pt idx="0">
                  <c:v>1</c:v>
                </c:pt>
              </c:numCache>
            </c:numRef>
          </c:val>
          <c:extLst>
            <c:ext xmlns:c16="http://schemas.microsoft.com/office/drawing/2014/chart" uri="{C3380CC4-5D6E-409C-BE32-E72D297353CC}">
              <c16:uniqueId val="{0000000C-4F10-4AE2-B1F2-4E03F34FCB8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GIF32'!$K$8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EB2-4A77-BB3C-78EBBBFA70CC}"/>
                </c:ext>
              </c:extLst>
            </c:dLbl>
            <c:dLbl>
              <c:idx val="1"/>
              <c:layout>
                <c:manualLayout>
                  <c:x val="0.10879377497513025"/>
                  <c:y val="-4.135783027121610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EB2-4A77-BB3C-78EBBBFA70CC}"/>
                </c:ext>
              </c:extLst>
            </c:dLbl>
            <c:dLbl>
              <c:idx val="2"/>
              <c:layout>
                <c:manualLayout>
                  <c:x val="-0.16649749616415721"/>
                  <c:y val="-3.693018372703411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EB2-4A77-BB3C-78EBBBFA70C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GIF32'!$J$9:$J$11</c:f>
              <c:strCache>
                <c:ptCount val="3"/>
                <c:pt idx="0">
                  <c:v>Net Current Asset</c:v>
                </c:pt>
                <c:pt idx="1">
                  <c:v>TRI Party Repo</c:v>
                </c:pt>
                <c:pt idx="2">
                  <c:v>Government Bond</c:v>
                </c:pt>
              </c:strCache>
            </c:strRef>
          </c:cat>
          <c:val>
            <c:numRef>
              <c:f>'BANDHAN GIF32'!$K$9:$K$11</c:f>
              <c:numCache>
                <c:formatCode>0.00%</c:formatCode>
                <c:ptCount val="3"/>
                <c:pt idx="0">
                  <c:v>2.3876000000000001E-2</c:v>
                </c:pt>
                <c:pt idx="1">
                  <c:v>1.3934999999999999E-2</c:v>
                </c:pt>
                <c:pt idx="2">
                  <c:v>0.96218899999999996</c:v>
                </c:pt>
              </c:numCache>
            </c:numRef>
          </c:val>
          <c:extLst>
            <c:ext xmlns:c16="http://schemas.microsoft.com/office/drawing/2014/chart" uri="{C3380CC4-5D6E-409C-BE32-E72D297353CC}">
              <c16:uniqueId val="{0000000C-5EB2-4A77-BB3C-78EBBBFA70C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1209774233252963"/>
                  <c:y val="-1.85589519650655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60D-4270-86BB-212C4D3A2AE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SDLGIF26'!$G$8</c:f>
              <c:strCache>
                <c:ptCount val="1"/>
                <c:pt idx="0">
                  <c:v>AAA EQUIVALENT</c:v>
                </c:pt>
              </c:strCache>
            </c:strRef>
          </c:cat>
          <c:val>
            <c:numRef>
              <c:f>'BANDHAN SDLGIF26'!$H$8</c:f>
              <c:numCache>
                <c:formatCode>0%</c:formatCode>
                <c:ptCount val="1"/>
                <c:pt idx="0">
                  <c:v>1</c:v>
                </c:pt>
              </c:numCache>
            </c:numRef>
          </c:val>
          <c:extLst>
            <c:ext xmlns:c16="http://schemas.microsoft.com/office/drawing/2014/chart" uri="{C3380CC4-5D6E-409C-BE32-E72D297353CC}">
              <c16:uniqueId val="{0000000C-860D-4270-86BB-212C4D3A2AE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SDLGIF26'!$K$8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E48-45A8-8164-FD3A9D491068}"/>
                </c:ext>
              </c:extLst>
            </c:dLbl>
            <c:dLbl>
              <c:idx val="1"/>
              <c:layout>
                <c:manualLayout>
                  <c:x val="5.7157176819706883E-2"/>
                  <c:y val="-3.636395450568678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E48-45A8-8164-FD3A9D491068}"/>
                </c:ext>
              </c:extLst>
            </c:dLbl>
            <c:dLbl>
              <c:idx val="2"/>
              <c:layout>
                <c:manualLayout>
                  <c:x val="8.451980306530206E-2"/>
                  <c:y val="-2.328153980752405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E48-45A8-8164-FD3A9D491068}"/>
                </c:ext>
              </c:extLst>
            </c:dLbl>
            <c:dLbl>
              <c:idx val="3"/>
              <c:layout>
                <c:manualLayout>
                  <c:x val="8.2486637778414737E-2"/>
                  <c:y val="6.014558180227471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E48-45A8-8164-FD3A9D49106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SDLGIF26'!$J$9:$J$12</c:f>
              <c:strCache>
                <c:ptCount val="4"/>
                <c:pt idx="0">
                  <c:v>Net Current Asset</c:v>
                </c:pt>
                <c:pt idx="1">
                  <c:v>TRI Party Repo</c:v>
                </c:pt>
                <c:pt idx="2">
                  <c:v>Government Bond</c:v>
                </c:pt>
                <c:pt idx="3">
                  <c:v>State Government Bond</c:v>
                </c:pt>
              </c:strCache>
            </c:strRef>
          </c:cat>
          <c:val>
            <c:numRef>
              <c:f>'BANDHAN SDLGIF26'!$K$9:$K$12</c:f>
              <c:numCache>
                <c:formatCode>0.00%</c:formatCode>
                <c:ptCount val="4"/>
                <c:pt idx="0">
                  <c:v>1.0331999999999999E-2</c:v>
                </c:pt>
                <c:pt idx="1">
                  <c:v>4.0135999999999998E-2</c:v>
                </c:pt>
                <c:pt idx="2">
                  <c:v>0.13169900000000001</c:v>
                </c:pt>
                <c:pt idx="3">
                  <c:v>0.81783300000000003</c:v>
                </c:pt>
              </c:numCache>
            </c:numRef>
          </c:val>
          <c:extLst>
            <c:ext xmlns:c16="http://schemas.microsoft.com/office/drawing/2014/chart" uri="{C3380CC4-5D6E-409C-BE32-E72D297353CC}">
              <c16:uniqueId val="{0000000C-FE48-45A8-8164-FD3A9D49106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1638039757878234"/>
                  <c:y val="-2.292576419213973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7F2-4833-B7D7-C5985A7B5E3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SDLGIF27'!$G$8</c:f>
              <c:strCache>
                <c:ptCount val="1"/>
                <c:pt idx="0">
                  <c:v>AAA EQUIVALENT</c:v>
                </c:pt>
              </c:strCache>
            </c:strRef>
          </c:cat>
          <c:val>
            <c:numRef>
              <c:f>'BANDHAN SDLGIF27'!$H$8</c:f>
              <c:numCache>
                <c:formatCode>0%</c:formatCode>
                <c:ptCount val="1"/>
                <c:pt idx="0">
                  <c:v>1</c:v>
                </c:pt>
              </c:numCache>
            </c:numRef>
          </c:val>
          <c:extLst>
            <c:ext xmlns:c16="http://schemas.microsoft.com/office/drawing/2014/chart" uri="{C3380CC4-5D6E-409C-BE32-E72D297353CC}">
              <c16:uniqueId val="{0000000C-97F2-4833-B7D7-C5985A7B5E3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0A6-443D-A472-2DCC4C71DF5A}"/>
                </c:ext>
              </c:extLst>
            </c:dLbl>
            <c:dLbl>
              <c:idx val="1"/>
              <c:layout>
                <c:manualLayout>
                  <c:x val="8.5389654184019212E-2"/>
                  <c:y val="-1.225826771653543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0A6-443D-A472-2DCC4C71DF5A}"/>
                </c:ext>
              </c:extLst>
            </c:dLbl>
            <c:dLbl>
              <c:idx val="2"/>
              <c:layout>
                <c:manualLayout>
                  <c:x val="6.2575578748587907E-2"/>
                  <c:y val="-3.59097112860892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0A6-443D-A472-2DCC4C71DF5A}"/>
                </c:ext>
              </c:extLst>
            </c:dLbl>
            <c:dLbl>
              <c:idx val="3"/>
              <c:layout>
                <c:manualLayout>
                  <c:x val="8.5698629213104255E-2"/>
                  <c:y val="8.866596675415573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0A6-443D-A472-2DCC4C71DF5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SDLGIF27'!$J$9:$J$12</c:f>
              <c:strCache>
                <c:ptCount val="4"/>
                <c:pt idx="0">
                  <c:v>Net Current Asset</c:v>
                </c:pt>
                <c:pt idx="1">
                  <c:v>TRI Party Repo</c:v>
                </c:pt>
                <c:pt idx="2">
                  <c:v>Government Bond</c:v>
                </c:pt>
                <c:pt idx="3">
                  <c:v>State Government Bond</c:v>
                </c:pt>
              </c:strCache>
            </c:strRef>
          </c:cat>
          <c:val>
            <c:numRef>
              <c:f>'BANDHAN SDLGIF27'!$K$9:$K$12</c:f>
              <c:numCache>
                <c:formatCode>0.00%</c:formatCode>
                <c:ptCount val="4"/>
                <c:pt idx="0">
                  <c:v>2.213E-2</c:v>
                </c:pt>
                <c:pt idx="1">
                  <c:v>2.9689E-2</c:v>
                </c:pt>
                <c:pt idx="2">
                  <c:v>0.182037</c:v>
                </c:pt>
                <c:pt idx="3">
                  <c:v>0.76614400000000005</c:v>
                </c:pt>
              </c:numCache>
            </c:numRef>
          </c:val>
          <c:extLst>
            <c:ext xmlns:c16="http://schemas.microsoft.com/office/drawing/2014/chart" uri="{C3380CC4-5D6E-409C-BE32-E72D297353CC}">
              <c16:uniqueId val="{0000000C-70A6-443D-A472-2DCC4C71DF5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7087035694414"/>
                  <c:y val="-3.60262008733624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6DE-42D2-A70D-7EDCB3D4C03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SDLGIF32'!$G$8</c:f>
              <c:strCache>
                <c:ptCount val="1"/>
                <c:pt idx="0">
                  <c:v>AAA EQUIVALENT</c:v>
                </c:pt>
              </c:strCache>
            </c:strRef>
          </c:cat>
          <c:val>
            <c:numRef>
              <c:f>'BANDHAN SDLGIF32'!$H$8</c:f>
              <c:numCache>
                <c:formatCode>0%</c:formatCode>
                <c:ptCount val="1"/>
                <c:pt idx="0">
                  <c:v>1</c:v>
                </c:pt>
              </c:numCache>
            </c:numRef>
          </c:val>
          <c:extLst>
            <c:ext xmlns:c16="http://schemas.microsoft.com/office/drawing/2014/chart" uri="{C3380CC4-5D6E-409C-BE32-E72D297353CC}">
              <c16:uniqueId val="{0000000C-16DE-42D2-A70D-7EDCB3D4C03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SDLGIF32'!$K$8</c:f>
              <c:strCache>
                <c:ptCount val="1"/>
                <c:pt idx="0">
                  <c:v>Total</c:v>
                </c:pt>
              </c:strCache>
            </c:strRef>
          </c:tx>
          <c:dLbls>
            <c:dLbl>
              <c:idx val="0"/>
              <c:layout>
                <c:manualLayout>
                  <c:x val="-0.20225547556020165"/>
                  <c:y val="-7.144706911636045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9F8-4CE7-89AA-CF004B2C2783}"/>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9F8-4CE7-89AA-CF004B2C2783}"/>
                </c:ext>
              </c:extLst>
            </c:dLbl>
            <c:dLbl>
              <c:idx val="2"/>
              <c:layout>
                <c:manualLayout>
                  <c:x val="5.4130570402468429E-2"/>
                  <c:y val="-5.36734908136482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9F8-4CE7-89AA-CF004B2C2783}"/>
                </c:ext>
              </c:extLst>
            </c:dLbl>
            <c:dLbl>
              <c:idx val="3"/>
              <c:layout>
                <c:manualLayout>
                  <c:x val="-4.1649749616415724E-2"/>
                  <c:y val="3.27058617672790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E9F8-4CE7-89AA-CF004B2C278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SDLGIF32'!$J$9:$J$12</c:f>
              <c:strCache>
                <c:ptCount val="4"/>
                <c:pt idx="0">
                  <c:v>Net Current Asset</c:v>
                </c:pt>
                <c:pt idx="1">
                  <c:v>TRI Party Repo</c:v>
                </c:pt>
                <c:pt idx="2">
                  <c:v>Government Bond</c:v>
                </c:pt>
                <c:pt idx="3">
                  <c:v>State Government Bond</c:v>
                </c:pt>
              </c:strCache>
            </c:strRef>
          </c:cat>
          <c:val>
            <c:numRef>
              <c:f>'BANDHAN SDLGIF32'!$K$9:$K$12</c:f>
              <c:numCache>
                <c:formatCode>0.00%</c:formatCode>
                <c:ptCount val="4"/>
                <c:pt idx="0">
                  <c:v>1.5462999999999999E-2</c:v>
                </c:pt>
                <c:pt idx="1">
                  <c:v>1.4016000000000001E-2</c:v>
                </c:pt>
                <c:pt idx="2">
                  <c:v>7.7520000000000006E-2</c:v>
                </c:pt>
                <c:pt idx="3">
                  <c:v>0.89300100000000004</c:v>
                </c:pt>
              </c:numCache>
            </c:numRef>
          </c:val>
          <c:extLst>
            <c:ext xmlns:c16="http://schemas.microsoft.com/office/drawing/2014/chart" uri="{C3380CC4-5D6E-409C-BE32-E72D297353CC}">
              <c16:uniqueId val="{0000000C-E9F8-4CE7-89AA-CF004B2C278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565234618691936"/>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73B-44DD-A648-ED947526363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ASBF'!$G$8</c:f>
              <c:strCache>
                <c:ptCount val="1"/>
                <c:pt idx="0">
                  <c:v>AAA EQUIVALENT</c:v>
                </c:pt>
              </c:strCache>
            </c:strRef>
          </c:cat>
          <c:val>
            <c:numRef>
              <c:f>'BANDHAN ASBF'!$H$8</c:f>
              <c:numCache>
                <c:formatCode>0%</c:formatCode>
                <c:ptCount val="1"/>
                <c:pt idx="0">
                  <c:v>1</c:v>
                </c:pt>
              </c:numCache>
            </c:numRef>
          </c:val>
          <c:extLst>
            <c:ext xmlns:c16="http://schemas.microsoft.com/office/drawing/2014/chart" uri="{C3380CC4-5D6E-409C-BE32-E72D297353CC}">
              <c16:uniqueId val="{0000000C-773B-44DD-A648-ED947526363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ASBF'!$K$8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4DB-447A-B1B6-60425D566341}"/>
                </c:ext>
              </c:extLst>
            </c:dLbl>
            <c:dLbl>
              <c:idx val="1"/>
              <c:layout>
                <c:manualLayout>
                  <c:x val="0.12166779072316175"/>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4DB-447A-B1B6-60425D566341}"/>
                </c:ext>
              </c:extLst>
            </c:dLbl>
            <c:dLbl>
              <c:idx val="2"/>
              <c:layout>
                <c:manualLayout>
                  <c:x val="-0.17320710178893592"/>
                  <c:y val="-1.02635170603674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4DB-447A-B1B6-60425D56634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ASBF'!$J$9:$J$11</c:f>
              <c:strCache>
                <c:ptCount val="3"/>
                <c:pt idx="0">
                  <c:v>Net Current Asset</c:v>
                </c:pt>
                <c:pt idx="1">
                  <c:v>TRI Party Repo</c:v>
                </c:pt>
                <c:pt idx="2">
                  <c:v>Mutual Fund Units</c:v>
                </c:pt>
              </c:strCache>
            </c:strRef>
          </c:cat>
          <c:val>
            <c:numRef>
              <c:f>'BANDHAN ASBF'!$K$9:$K$11</c:f>
              <c:numCache>
                <c:formatCode>0.00%</c:formatCode>
                <c:ptCount val="3"/>
                <c:pt idx="0">
                  <c:v>-1.26E-4</c:v>
                </c:pt>
                <c:pt idx="1">
                  <c:v>4.1653999999999997E-2</c:v>
                </c:pt>
                <c:pt idx="2">
                  <c:v>0.95847199999999999</c:v>
                </c:pt>
              </c:numCache>
            </c:numRef>
          </c:val>
          <c:extLst>
            <c:ext xmlns:c16="http://schemas.microsoft.com/office/drawing/2014/chart" uri="{C3380CC4-5D6E-409C-BE32-E72D297353CC}">
              <c16:uniqueId val="{0000000C-04DB-447A-B1B6-60425D56634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99EC-4B1A-8262-5DEDA83F43A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99EC-4B1A-8262-5DEDA83F43A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99EC-4B1A-8262-5DEDA83F43A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99EC-4B1A-8262-5DEDA83F43A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 US TB 0-1yr FOF'!$I$8:$I$10</c:f>
              <c:strCache>
                <c:ptCount val="3"/>
                <c:pt idx="0">
                  <c:v>International Mutual Fund Units</c:v>
                </c:pt>
                <c:pt idx="1">
                  <c:v>Net Current Asset</c:v>
                </c:pt>
                <c:pt idx="2">
                  <c:v>TRI Party Repo Total</c:v>
                </c:pt>
              </c:strCache>
            </c:strRef>
          </c:cat>
          <c:val>
            <c:numRef>
              <c:f>'BANDHAN US TB 0-1yr FOF'!$J$8:$J$10</c:f>
              <c:numCache>
                <c:formatCode>0.00%</c:formatCode>
                <c:ptCount val="3"/>
                <c:pt idx="0">
                  <c:v>0.97452399999999995</c:v>
                </c:pt>
                <c:pt idx="1">
                  <c:v>-1.4319999999999999E-2</c:v>
                </c:pt>
                <c:pt idx="2">
                  <c:v>3.9795999999999998E-2</c:v>
                </c:pt>
              </c:numCache>
            </c:numRef>
          </c:val>
          <c:extLst>
            <c:ext xmlns:c16="http://schemas.microsoft.com/office/drawing/2014/chart" uri="{C3380CC4-5D6E-409C-BE32-E72D297353CC}">
              <c16:uniqueId val="{00000004-99EC-4B1A-8262-5DEDA83F43A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46.xml"/><Relationship Id="rId1" Type="http://schemas.openxmlformats.org/officeDocument/2006/relationships/chart" Target="../charts/chart45.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47.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90006DEF-91BB-4985-8438-F68031DBFE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A92E8DDE-AE3C-4D84-BB29-7553BBDB2A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72C7049A-82D9-4869-BF03-7EE8110129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4AEB00CD-F2C0-44A1-9BB7-01B4F384D8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78E16947-028C-496A-BC57-FA6F1707F6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19051</xdr:rowOff>
    </xdr:to>
    <xdr:graphicFrame macro="">
      <xdr:nvGraphicFramePr>
        <xdr:cNvPr id="3" name="Chart 2">
          <a:extLst>
            <a:ext uri="{FF2B5EF4-FFF2-40B4-BE49-F238E27FC236}">
              <a16:creationId xmlns:a16="http://schemas.microsoft.com/office/drawing/2014/main" id="{468600F2-2424-473F-96D0-D01E1E0529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7845920C-0494-4437-87C4-2AEBA79D85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E05B53F7-9E34-4590-9981-6FA0831156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7934D1C6-35DB-4AA6-B535-426CF9F381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2F5318D2-67DD-484C-8E1A-B3EAA639C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E60CC8A0-7A08-4505-B04E-48C3962775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B8BA5BD4-21A1-477B-9D73-F410658813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3F04D8E2-299A-4CDB-9049-2CC4C54E4A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5336C5BF-6EF3-40A1-8087-80140D1BD9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CE6C730E-0399-4780-8D1A-82FA364674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1F8FACF0-F18D-4A4A-8213-C354451EDF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6C5069D8-4584-4601-8DBE-1448408C56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652BA9FB-D9AD-4D7F-8D03-9600D8395B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3E678073-95FC-4AA8-9C44-39D3BCD268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49465BDE-8D82-4265-BF82-1D83A269C3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FF4D0243-6A68-4B30-90AD-5C8914996F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19050</xdr:rowOff>
    </xdr:to>
    <xdr:graphicFrame macro="">
      <xdr:nvGraphicFramePr>
        <xdr:cNvPr id="3" name="Chart 2">
          <a:extLst>
            <a:ext uri="{FF2B5EF4-FFF2-40B4-BE49-F238E27FC236}">
              <a16:creationId xmlns:a16="http://schemas.microsoft.com/office/drawing/2014/main" id="{9848B8CB-BC83-4E0B-919B-216A299A8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9581D694-FF1D-45CA-9828-36BDFEE89B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805E2686-0997-4945-A91F-B3F2025ED8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4FCFB077-23A6-482A-A226-3C219EAD2B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57150</xdr:rowOff>
    </xdr:to>
    <xdr:graphicFrame macro="">
      <xdr:nvGraphicFramePr>
        <xdr:cNvPr id="3" name="Chart 2">
          <a:extLst>
            <a:ext uri="{FF2B5EF4-FFF2-40B4-BE49-F238E27FC236}">
              <a16:creationId xmlns:a16="http://schemas.microsoft.com/office/drawing/2014/main" id="{BDF0EB27-4E6F-40E8-8D4F-5EB3194EC4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DC64CCBF-796D-4344-B703-B612853276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A9CC0039-9A22-4945-8B74-6C41C4D389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942676C0-A485-4A29-B838-1F8B0028BF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24B4BF9-7E24-43EF-94B6-28F0BA1286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8F588D0B-EE6B-4232-A729-06C081CDFB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8A952380-C2B1-4197-A1EB-F36C342095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C9824A0B-BA77-4AD2-8645-438227ADEF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A969770B-B598-4DF4-BB3C-AB8A868B98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A299B0C9-3E0E-4FD6-969A-D196DD302D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F1C1BE38-8751-4B4E-A20D-8EC6DEF9BB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754B7F1C-07B4-4E88-AFB0-ABA33BE330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6AE480B9-E084-40DE-89C5-B7D971DF0A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4AE41E89-27D3-4565-99E6-7E7F399E24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F02C22E6-3F40-4ED3-AB50-6D003A31F9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1341CAEC-229A-41B3-A5D4-1B25DBBF4D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C646546C-49DE-4CFB-BAF0-D118149BD0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2743F5DB-21D4-4CC7-A2FE-B7EEDC7B34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40FA324-4225-4CCC-B3B7-E3ADF65C13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99107BBF-BE61-44B9-AFED-09E71AF954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C6DFC50-A946-40E6-AFA7-C6405D217C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4</xdr:col>
      <xdr:colOff>555625</xdr:colOff>
      <xdr:row>7</xdr:row>
      <xdr:rowOff>34925</xdr:rowOff>
    </xdr:from>
    <xdr:to>
      <xdr:col>11</xdr:col>
      <xdr:colOff>584200</xdr:colOff>
      <xdr:row>20</xdr:row>
      <xdr:rowOff>25401</xdr:rowOff>
    </xdr:to>
    <xdr:graphicFrame macro="">
      <xdr:nvGraphicFramePr>
        <xdr:cNvPr id="2" name="Chart 2">
          <a:extLst>
            <a:ext uri="{FF2B5EF4-FFF2-40B4-BE49-F238E27FC236}">
              <a16:creationId xmlns:a16="http://schemas.microsoft.com/office/drawing/2014/main" id="{39C0054E-30A8-4F24-ACCC-C802505FA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D350F-037F-41C2-9DE2-4CCA5F884651}">
  <dimension ref="B1:N47"/>
  <sheetViews>
    <sheetView showGridLines="0" tabSelected="1" zoomScale="75"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7" t="s">
        <v>172</v>
      </c>
      <c r="D3" s="78"/>
      <c r="E3" s="78"/>
      <c r="F3" s="78"/>
      <c r="G3" s="78"/>
      <c r="H3" s="78"/>
      <c r="I3" s="78"/>
      <c r="J3" s="78"/>
      <c r="K3" s="78"/>
      <c r="L3" s="78"/>
      <c r="M3" s="78"/>
      <c r="N3" s="79"/>
    </row>
    <row r="4" spans="2:14" ht="15.75" customHeight="1" x14ac:dyDescent="0.25">
      <c r="B4" s="20"/>
      <c r="C4" s="14"/>
      <c r="D4" s="1"/>
      <c r="E4" s="1"/>
      <c r="F4" s="1"/>
      <c r="G4" s="1"/>
      <c r="H4" s="1"/>
      <c r="I4" s="1"/>
      <c r="J4" s="1"/>
      <c r="K4" s="1"/>
      <c r="L4" s="1"/>
      <c r="M4" s="1"/>
      <c r="N4" s="18"/>
    </row>
    <row r="5" spans="2:14" ht="18" customHeight="1" x14ac:dyDescent="0.25">
      <c r="B5" s="20"/>
      <c r="C5" s="15" t="s">
        <v>1</v>
      </c>
      <c r="D5" s="80" t="s">
        <v>173</v>
      </c>
      <c r="E5" s="8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2" t="s">
        <v>16</v>
      </c>
      <c r="H7" s="83"/>
      <c r="I7" s="83"/>
      <c r="J7" s="83"/>
      <c r="K7" s="83"/>
      <c r="L7" s="83"/>
      <c r="M7" s="83"/>
      <c r="N7" s="84"/>
    </row>
    <row r="8" spans="2:14" ht="15" customHeight="1" x14ac:dyDescent="0.25">
      <c r="B8" s="20"/>
      <c r="C8" s="5" t="s">
        <v>8</v>
      </c>
      <c r="D8" s="6"/>
      <c r="E8" s="11">
        <v>0.57325999999999999</v>
      </c>
      <c r="F8" s="1"/>
      <c r="G8" s="24" t="s">
        <v>15</v>
      </c>
      <c r="H8" s="25">
        <v>1</v>
      </c>
      <c r="I8" s="1"/>
      <c r="J8" s="24" t="s">
        <v>12</v>
      </c>
      <c r="K8" s="24" t="s">
        <v>5</v>
      </c>
      <c r="L8" s="1"/>
      <c r="M8" s="1"/>
      <c r="N8" s="18"/>
    </row>
    <row r="9" spans="2:14" ht="15.75" customHeight="1" x14ac:dyDescent="0.25">
      <c r="B9" s="20"/>
      <c r="C9" s="7" t="s">
        <v>174</v>
      </c>
      <c r="D9" s="8"/>
      <c r="E9" s="12">
        <v>0.57325999999999999</v>
      </c>
      <c r="F9" s="1"/>
      <c r="G9" s="1"/>
      <c r="H9" s="1"/>
      <c r="I9" s="1"/>
      <c r="J9" s="24" t="s">
        <v>10</v>
      </c>
      <c r="K9" s="28">
        <v>-2.8185000000000002E-2</v>
      </c>
      <c r="L9" s="1"/>
      <c r="M9" s="1"/>
      <c r="N9" s="18"/>
    </row>
    <row r="10" spans="2:14" ht="15" customHeight="1" x14ac:dyDescent="0.25">
      <c r="B10" s="20"/>
      <c r="C10" s="5" t="s">
        <v>175</v>
      </c>
      <c r="D10" s="6" t="s">
        <v>180</v>
      </c>
      <c r="E10" s="11">
        <v>1.4297000000000001E-2</v>
      </c>
      <c r="F10" s="1"/>
      <c r="G10" s="1"/>
      <c r="H10" s="1"/>
      <c r="I10" s="1"/>
      <c r="J10" s="24" t="s">
        <v>13</v>
      </c>
      <c r="K10" s="28">
        <v>0.420624</v>
      </c>
      <c r="L10" s="1"/>
      <c r="M10" s="1"/>
      <c r="N10" s="18"/>
    </row>
    <row r="11" spans="2:14" ht="15" customHeight="1" x14ac:dyDescent="0.25">
      <c r="B11" s="20"/>
      <c r="C11" s="5" t="s">
        <v>176</v>
      </c>
      <c r="D11" s="6" t="s">
        <v>180</v>
      </c>
      <c r="E11" s="11">
        <v>1.4278000000000001E-2</v>
      </c>
      <c r="F11" s="1"/>
      <c r="G11" s="1"/>
      <c r="H11" s="1"/>
      <c r="I11" s="1"/>
      <c r="J11" s="24" t="s">
        <v>177</v>
      </c>
      <c r="K11" s="28">
        <v>0.57325999999999999</v>
      </c>
      <c r="L11" s="1"/>
      <c r="M11" s="1"/>
      <c r="N11" s="18"/>
    </row>
    <row r="12" spans="2:14" ht="15" customHeight="1" x14ac:dyDescent="0.25">
      <c r="B12" s="20"/>
      <c r="C12" s="5" t="s">
        <v>162</v>
      </c>
      <c r="D12" s="6" t="s">
        <v>180</v>
      </c>
      <c r="E12" s="11">
        <v>5.7260000000000002E-3</v>
      </c>
      <c r="F12" s="1"/>
      <c r="G12" s="1"/>
      <c r="H12" s="1"/>
      <c r="I12" s="1"/>
      <c r="J12" s="24" t="s">
        <v>92</v>
      </c>
      <c r="K12" s="28">
        <v>3.4300999999999998E-2</v>
      </c>
      <c r="L12" s="1"/>
      <c r="M12" s="1"/>
      <c r="N12" s="18"/>
    </row>
    <row r="13" spans="2:14" ht="15.75" customHeight="1" x14ac:dyDescent="0.25">
      <c r="B13" s="20"/>
      <c r="C13" s="7" t="s">
        <v>90</v>
      </c>
      <c r="D13" s="8"/>
      <c r="E13" s="12">
        <v>3.4300999999999998E-2</v>
      </c>
      <c r="F13" s="1"/>
      <c r="G13" s="1"/>
      <c r="H13" s="1"/>
      <c r="I13" s="1"/>
      <c r="J13" s="1"/>
      <c r="K13" s="1"/>
      <c r="L13" s="1"/>
      <c r="M13" s="1"/>
      <c r="N13" s="18"/>
    </row>
    <row r="14" spans="2:14" ht="15" customHeight="1" x14ac:dyDescent="0.25">
      <c r="B14" s="20"/>
      <c r="C14" s="5" t="s">
        <v>8</v>
      </c>
      <c r="D14" s="6"/>
      <c r="E14" s="11">
        <v>0.420624</v>
      </c>
      <c r="F14" s="1"/>
      <c r="G14" s="1"/>
      <c r="H14" s="1"/>
      <c r="I14" s="1"/>
      <c r="J14" s="1"/>
      <c r="K14" s="1"/>
      <c r="L14" s="1"/>
      <c r="M14" s="1"/>
      <c r="N14" s="18"/>
    </row>
    <row r="15" spans="2:14" ht="15.75" customHeight="1" x14ac:dyDescent="0.25">
      <c r="B15" s="20"/>
      <c r="C15" s="7" t="s">
        <v>9</v>
      </c>
      <c r="D15" s="8"/>
      <c r="E15" s="12">
        <v>0.420624</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10</v>
      </c>
      <c r="D17" s="8"/>
      <c r="E17" s="12">
        <v>-2.8185000000000002E-2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11</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2" t="s">
        <v>128</v>
      </c>
      <c r="H24" s="83"/>
      <c r="I24" s="83"/>
      <c r="J24" s="83"/>
      <c r="K24" s="83"/>
      <c r="L24" s="64">
        <v>1.5340728331255815</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2" t="s">
        <v>18</v>
      </c>
      <c r="H26" s="83"/>
      <c r="I26" s="83"/>
      <c r="J26" s="83"/>
      <c r="K26" s="83"/>
      <c r="L26" s="83"/>
      <c r="M26" s="83"/>
      <c r="N26" s="8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68" t="s">
        <v>285</v>
      </c>
      <c r="C45" s="69"/>
      <c r="D45" s="69"/>
      <c r="E45" s="69"/>
      <c r="F45" s="69"/>
      <c r="G45" s="69"/>
      <c r="H45" s="69"/>
      <c r="I45" s="69"/>
      <c r="J45" s="69"/>
      <c r="K45" s="69"/>
      <c r="L45" s="69"/>
      <c r="M45" s="69"/>
      <c r="N45" s="70"/>
    </row>
    <row r="46" spans="2:14" x14ac:dyDescent="0.25">
      <c r="B46" s="71"/>
      <c r="C46" s="72"/>
      <c r="D46" s="72"/>
      <c r="E46" s="72"/>
      <c r="F46" s="72"/>
      <c r="G46" s="72"/>
      <c r="H46" s="72"/>
      <c r="I46" s="72"/>
      <c r="J46" s="72"/>
      <c r="K46" s="72"/>
      <c r="L46" s="72"/>
      <c r="M46" s="72"/>
      <c r="N46" s="73"/>
    </row>
    <row r="47" spans="2:14" ht="15.75" thickBot="1" x14ac:dyDescent="0.3">
      <c r="B47" s="74"/>
      <c r="C47" s="75"/>
      <c r="D47" s="75"/>
      <c r="E47" s="75"/>
      <c r="F47" s="75"/>
      <c r="G47" s="75"/>
      <c r="H47" s="75"/>
      <c r="I47" s="75"/>
      <c r="J47" s="75"/>
      <c r="K47" s="75"/>
      <c r="L47" s="75"/>
      <c r="M47" s="75"/>
      <c r="N47" s="76"/>
    </row>
  </sheetData>
  <mergeCells count="6">
    <mergeCell ref="B45:N47"/>
    <mergeCell ref="C3:N3"/>
    <mergeCell ref="D5:E5"/>
    <mergeCell ref="G7:N7"/>
    <mergeCell ref="G24:K24"/>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AEA88-1270-463E-9342-18E92F28C109}">
  <dimension ref="B1:N78"/>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7" t="s">
        <v>143</v>
      </c>
      <c r="D3" s="78"/>
      <c r="E3" s="78"/>
      <c r="F3" s="78"/>
      <c r="G3" s="78"/>
      <c r="H3" s="78"/>
      <c r="I3" s="78"/>
      <c r="J3" s="78"/>
      <c r="K3" s="78"/>
      <c r="L3" s="78"/>
      <c r="M3" s="78"/>
      <c r="N3" s="79"/>
    </row>
    <row r="4" spans="2:14" ht="15.75" customHeight="1" x14ac:dyDescent="0.25">
      <c r="B4" s="20"/>
      <c r="C4" s="14"/>
      <c r="D4" s="1"/>
      <c r="E4" s="1"/>
      <c r="F4" s="1"/>
      <c r="G4" s="1"/>
      <c r="H4" s="1"/>
      <c r="I4" s="1"/>
      <c r="J4" s="1"/>
      <c r="K4" s="1"/>
      <c r="L4" s="1"/>
      <c r="M4" s="1"/>
      <c r="N4" s="18"/>
    </row>
    <row r="5" spans="2:14" ht="18" customHeight="1" x14ac:dyDescent="0.25">
      <c r="B5" s="20"/>
      <c r="C5" s="15" t="s">
        <v>1</v>
      </c>
      <c r="D5" s="80" t="s">
        <v>144</v>
      </c>
      <c r="E5" s="8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2" t="s">
        <v>16</v>
      </c>
      <c r="H7" s="83"/>
      <c r="I7" s="83"/>
      <c r="J7" s="83"/>
      <c r="K7" s="83"/>
      <c r="L7" s="83"/>
      <c r="M7" s="83"/>
      <c r="N7" s="84"/>
    </row>
    <row r="8" spans="2:14" ht="15" customHeight="1" x14ac:dyDescent="0.25">
      <c r="B8" s="20"/>
      <c r="C8" s="5" t="s">
        <v>30</v>
      </c>
      <c r="D8" s="6" t="s">
        <v>22</v>
      </c>
      <c r="E8" s="11">
        <v>7.4302999999999994E-2</v>
      </c>
      <c r="F8" s="1"/>
      <c r="G8" s="24" t="s">
        <v>15</v>
      </c>
      <c r="H8" s="25">
        <v>1</v>
      </c>
      <c r="I8" s="1"/>
      <c r="J8" s="24" t="s">
        <v>12</v>
      </c>
      <c r="K8" s="24" t="s">
        <v>5</v>
      </c>
      <c r="L8" s="1"/>
      <c r="M8" s="1"/>
      <c r="N8" s="18"/>
    </row>
    <row r="9" spans="2:14" ht="15" customHeight="1" x14ac:dyDescent="0.25">
      <c r="B9" s="20"/>
      <c r="C9" s="5" t="s">
        <v>145</v>
      </c>
      <c r="D9" s="6" t="s">
        <v>22</v>
      </c>
      <c r="E9" s="11">
        <v>7.0272000000000001E-2</v>
      </c>
      <c r="F9" s="1"/>
      <c r="G9" s="1"/>
      <c r="H9" s="1"/>
      <c r="I9" s="1"/>
      <c r="J9" s="24" t="s">
        <v>10</v>
      </c>
      <c r="K9" s="28">
        <v>6.888E-3</v>
      </c>
      <c r="L9" s="1"/>
      <c r="M9" s="1"/>
      <c r="N9" s="18"/>
    </row>
    <row r="10" spans="2:14" ht="15" customHeight="1" x14ac:dyDescent="0.25">
      <c r="B10" s="20"/>
      <c r="C10" s="5" t="s">
        <v>146</v>
      </c>
      <c r="D10" s="6" t="s">
        <v>22</v>
      </c>
      <c r="E10" s="11">
        <v>4.3532000000000001E-2</v>
      </c>
      <c r="F10" s="1"/>
      <c r="G10" s="1"/>
      <c r="H10" s="1"/>
      <c r="I10" s="1"/>
      <c r="J10" s="24" t="s">
        <v>13</v>
      </c>
      <c r="K10" s="28">
        <v>4.9693000000000001E-2</v>
      </c>
      <c r="L10" s="1"/>
      <c r="M10" s="1"/>
      <c r="N10" s="18"/>
    </row>
    <row r="11" spans="2:14" ht="15" customHeight="1" x14ac:dyDescent="0.25">
      <c r="B11" s="20"/>
      <c r="C11" s="5" t="s">
        <v>28</v>
      </c>
      <c r="D11" s="6" t="s">
        <v>22</v>
      </c>
      <c r="E11" s="11">
        <v>3.8960000000000002E-2</v>
      </c>
      <c r="F11" s="1"/>
      <c r="G11" s="1"/>
      <c r="H11" s="1"/>
      <c r="I11" s="1"/>
      <c r="J11" s="24" t="s">
        <v>52</v>
      </c>
      <c r="K11" s="28">
        <v>0.276918</v>
      </c>
      <c r="L11" s="1"/>
      <c r="M11" s="1"/>
      <c r="N11" s="18"/>
    </row>
    <row r="12" spans="2:14" ht="15" customHeight="1" x14ac:dyDescent="0.25">
      <c r="B12" s="20"/>
      <c r="C12" s="5" t="s">
        <v>32</v>
      </c>
      <c r="D12" s="6" t="s">
        <v>22</v>
      </c>
      <c r="E12" s="11">
        <v>2.1902999999999999E-2</v>
      </c>
      <c r="F12" s="1"/>
      <c r="G12" s="1"/>
      <c r="H12" s="1"/>
      <c r="I12" s="1"/>
      <c r="J12" s="24" t="s">
        <v>53</v>
      </c>
      <c r="K12" s="28">
        <v>4.8245999999999997E-2</v>
      </c>
      <c r="L12" s="1"/>
      <c r="M12" s="1"/>
      <c r="N12" s="18"/>
    </row>
    <row r="13" spans="2:14" ht="15" customHeight="1" x14ac:dyDescent="0.25">
      <c r="B13" s="20"/>
      <c r="C13" s="5" t="s">
        <v>41</v>
      </c>
      <c r="D13" s="6" t="s">
        <v>22</v>
      </c>
      <c r="E13" s="11">
        <v>1.4936E-2</v>
      </c>
      <c r="F13" s="1"/>
      <c r="G13" s="1"/>
      <c r="H13" s="1"/>
      <c r="I13" s="1"/>
      <c r="J13" s="24" t="s">
        <v>54</v>
      </c>
      <c r="K13" s="28">
        <v>0.42798700000000001</v>
      </c>
      <c r="L13" s="1"/>
      <c r="M13" s="1"/>
      <c r="N13" s="18"/>
    </row>
    <row r="14" spans="2:14" ht="15" customHeight="1" x14ac:dyDescent="0.25">
      <c r="B14" s="20"/>
      <c r="C14" s="5" t="s">
        <v>21</v>
      </c>
      <c r="D14" s="6" t="s">
        <v>22</v>
      </c>
      <c r="E14" s="11">
        <v>7.4349999999999998E-3</v>
      </c>
      <c r="F14" s="1"/>
      <c r="G14" s="1"/>
      <c r="H14" s="1"/>
      <c r="I14" s="1"/>
      <c r="J14" s="24" t="s">
        <v>45</v>
      </c>
      <c r="K14" s="28">
        <v>2.104E-3</v>
      </c>
      <c r="L14" s="1"/>
      <c r="M14" s="1"/>
      <c r="N14" s="18"/>
    </row>
    <row r="15" spans="2:14" ht="15" customHeight="1" x14ac:dyDescent="0.25">
      <c r="B15" s="20"/>
      <c r="C15" s="5" t="s">
        <v>104</v>
      </c>
      <c r="D15" s="6" t="s">
        <v>22</v>
      </c>
      <c r="E15" s="11">
        <v>3.7039999999999998E-3</v>
      </c>
      <c r="F15" s="1"/>
      <c r="G15" s="1"/>
      <c r="H15" s="1"/>
      <c r="I15" s="1"/>
      <c r="J15" s="24" t="s">
        <v>55</v>
      </c>
      <c r="K15" s="28">
        <v>1.0137999999999999E-2</v>
      </c>
      <c r="L15" s="1"/>
      <c r="M15" s="1"/>
      <c r="N15" s="18"/>
    </row>
    <row r="16" spans="2:14" ht="15" customHeight="1" x14ac:dyDescent="0.25">
      <c r="B16" s="20"/>
      <c r="C16" s="5" t="s">
        <v>25</v>
      </c>
      <c r="D16" s="6" t="s">
        <v>22</v>
      </c>
      <c r="E16" s="11">
        <v>1.8730000000000001E-3</v>
      </c>
      <c r="F16" s="1"/>
      <c r="G16" s="1"/>
      <c r="H16" s="1"/>
      <c r="I16" s="1"/>
      <c r="J16" s="24" t="s">
        <v>92</v>
      </c>
      <c r="K16" s="28">
        <v>0.17802599999999999</v>
      </c>
      <c r="L16" s="1"/>
      <c r="M16" s="1"/>
      <c r="N16" s="18"/>
    </row>
    <row r="17" spans="2:14" ht="15.75" customHeight="1" x14ac:dyDescent="0.25">
      <c r="B17" s="20"/>
      <c r="C17" s="7" t="s">
        <v>26</v>
      </c>
      <c r="D17" s="8"/>
      <c r="E17" s="12">
        <v>0.276918</v>
      </c>
      <c r="F17" s="1"/>
      <c r="G17" s="1"/>
      <c r="H17" s="1"/>
      <c r="I17" s="1"/>
      <c r="J17" s="1"/>
      <c r="K17" s="1"/>
      <c r="L17" s="1"/>
      <c r="M17" s="1"/>
      <c r="N17" s="18"/>
    </row>
    <row r="18" spans="2:14" ht="15" customHeight="1" x14ac:dyDescent="0.25">
      <c r="B18" s="20"/>
      <c r="C18" s="5" t="s">
        <v>32</v>
      </c>
      <c r="D18" s="6" t="s">
        <v>22</v>
      </c>
      <c r="E18" s="11">
        <v>7.0915000000000006E-2</v>
      </c>
      <c r="F18" s="1"/>
      <c r="G18" s="1"/>
      <c r="H18" s="1"/>
      <c r="I18" s="1"/>
      <c r="J18" s="1"/>
      <c r="K18" s="1"/>
      <c r="L18" s="1"/>
      <c r="M18" s="1"/>
      <c r="N18" s="18"/>
    </row>
    <row r="19" spans="2:14" ht="15" customHeight="1" x14ac:dyDescent="0.25">
      <c r="B19" s="20"/>
      <c r="C19" s="5" t="s">
        <v>74</v>
      </c>
      <c r="D19" s="6" t="s">
        <v>22</v>
      </c>
      <c r="E19" s="11">
        <v>6.6572999999999993E-2</v>
      </c>
      <c r="F19" s="1"/>
      <c r="G19" s="1"/>
      <c r="H19" s="1"/>
      <c r="I19" s="1"/>
      <c r="J19" s="1"/>
      <c r="K19" s="1"/>
      <c r="L19" s="1"/>
      <c r="M19" s="1"/>
      <c r="N19" s="18"/>
    </row>
    <row r="20" spans="2:14" ht="15" customHeight="1" x14ac:dyDescent="0.25">
      <c r="B20" s="20"/>
      <c r="C20" s="5" t="s">
        <v>147</v>
      </c>
      <c r="D20" s="6" t="s">
        <v>22</v>
      </c>
      <c r="E20" s="11">
        <v>6.3923999999999995E-2</v>
      </c>
      <c r="F20" s="1"/>
      <c r="G20" s="1"/>
      <c r="H20" s="1"/>
      <c r="I20" s="1"/>
      <c r="J20" s="1"/>
      <c r="K20" s="1"/>
      <c r="L20" s="1"/>
      <c r="M20" s="1"/>
      <c r="N20" s="18"/>
    </row>
    <row r="21" spans="2:14" ht="15" customHeight="1" x14ac:dyDescent="0.25">
      <c r="B21" s="20"/>
      <c r="C21" s="5" t="s">
        <v>30</v>
      </c>
      <c r="D21" s="6" t="s">
        <v>22</v>
      </c>
      <c r="E21" s="11">
        <v>4.2584999999999998E-2</v>
      </c>
      <c r="F21" s="1"/>
      <c r="G21" s="1"/>
      <c r="H21" s="1"/>
      <c r="I21" s="1"/>
      <c r="J21" s="1"/>
      <c r="K21" s="1"/>
      <c r="L21" s="1"/>
      <c r="M21" s="1"/>
      <c r="N21" s="18"/>
    </row>
    <row r="22" spans="2:14" ht="15" customHeight="1" x14ac:dyDescent="0.25">
      <c r="B22" s="20"/>
      <c r="C22" s="5" t="s">
        <v>148</v>
      </c>
      <c r="D22" s="6" t="s">
        <v>22</v>
      </c>
      <c r="E22" s="11">
        <v>3.5351E-2</v>
      </c>
      <c r="F22" s="1"/>
      <c r="G22" s="1"/>
      <c r="H22" s="1"/>
      <c r="I22" s="1"/>
      <c r="J22" s="1"/>
      <c r="K22" s="1"/>
      <c r="L22" s="1"/>
      <c r="M22" s="1"/>
      <c r="N22" s="18"/>
    </row>
    <row r="23" spans="2:14" ht="15" customHeight="1" x14ac:dyDescent="0.25">
      <c r="B23" s="20"/>
      <c r="C23" s="5" t="s">
        <v>149</v>
      </c>
      <c r="D23" s="6" t="s">
        <v>22</v>
      </c>
      <c r="E23" s="11">
        <v>2.9974000000000001E-2</v>
      </c>
      <c r="F23" s="1"/>
      <c r="G23" s="1"/>
      <c r="H23" s="1"/>
      <c r="I23" s="1"/>
      <c r="J23" s="1"/>
      <c r="K23" s="1"/>
      <c r="L23" s="1"/>
      <c r="M23" s="1"/>
      <c r="N23" s="18"/>
    </row>
    <row r="24" spans="2:14" ht="15" customHeight="1" x14ac:dyDescent="0.25">
      <c r="B24" s="20"/>
      <c r="C24" s="5" t="s">
        <v>150</v>
      </c>
      <c r="D24" s="6" t="s">
        <v>22</v>
      </c>
      <c r="E24" s="11">
        <v>2.9732000000000001E-2</v>
      </c>
      <c r="F24" s="1"/>
      <c r="G24" s="82" t="s">
        <v>128</v>
      </c>
      <c r="H24" s="83"/>
      <c r="I24" s="83"/>
      <c r="J24" s="83"/>
      <c r="K24" s="83"/>
      <c r="L24" s="63">
        <v>50.722448083197719</v>
      </c>
      <c r="M24" s="26"/>
      <c r="N24" s="27"/>
    </row>
    <row r="25" spans="2:14" ht="15" customHeight="1" x14ac:dyDescent="0.25">
      <c r="B25" s="20"/>
      <c r="C25" s="5" t="s">
        <v>28</v>
      </c>
      <c r="D25" s="6" t="s">
        <v>22</v>
      </c>
      <c r="E25" s="11">
        <v>2.4081000000000002E-2</v>
      </c>
      <c r="F25" s="1"/>
      <c r="G25" s="1"/>
      <c r="H25" s="1"/>
      <c r="I25" s="1"/>
      <c r="J25" s="1"/>
      <c r="K25" s="1"/>
      <c r="L25" s="1"/>
      <c r="M25" s="1"/>
      <c r="N25" s="18"/>
    </row>
    <row r="26" spans="2:14" ht="15" customHeight="1" x14ac:dyDescent="0.25">
      <c r="B26" s="20"/>
      <c r="C26" s="5" t="s">
        <v>151</v>
      </c>
      <c r="D26" s="6" t="s">
        <v>22</v>
      </c>
      <c r="E26" s="11">
        <v>2.0475E-2</v>
      </c>
      <c r="F26" s="1"/>
      <c r="G26" s="82" t="s">
        <v>18</v>
      </c>
      <c r="H26" s="83"/>
      <c r="I26" s="83"/>
      <c r="J26" s="83"/>
      <c r="K26" s="83"/>
      <c r="L26" s="83"/>
      <c r="M26" s="83"/>
      <c r="N26" s="84"/>
    </row>
    <row r="27" spans="2:14" ht="15" customHeight="1" x14ac:dyDescent="0.25">
      <c r="B27" s="20"/>
      <c r="C27" s="5" t="s">
        <v>81</v>
      </c>
      <c r="D27" s="6" t="s">
        <v>22</v>
      </c>
      <c r="E27" s="11">
        <v>1.6715000000000001E-2</v>
      </c>
      <c r="F27" s="1"/>
      <c r="G27" s="1"/>
      <c r="H27" s="1"/>
      <c r="I27" s="1"/>
      <c r="J27" s="1"/>
      <c r="K27" s="1"/>
      <c r="L27" s="1"/>
      <c r="M27" s="1"/>
      <c r="N27" s="18"/>
    </row>
    <row r="28" spans="2:14" ht="15" customHeight="1" x14ac:dyDescent="0.25">
      <c r="B28" s="20"/>
      <c r="C28" s="5" t="s">
        <v>152</v>
      </c>
      <c r="D28" s="6" t="s">
        <v>22</v>
      </c>
      <c r="E28" s="11">
        <v>1.4753E-2</v>
      </c>
      <c r="F28" s="1"/>
      <c r="G28" s="1"/>
      <c r="H28" s="1"/>
      <c r="I28" s="1"/>
      <c r="J28" s="1"/>
      <c r="K28" s="1"/>
      <c r="L28" s="1"/>
      <c r="M28" s="1"/>
      <c r="N28" s="18"/>
    </row>
    <row r="29" spans="2:14" ht="15" customHeight="1" x14ac:dyDescent="0.25">
      <c r="B29" s="20"/>
      <c r="C29" s="5" t="s">
        <v>153</v>
      </c>
      <c r="D29" s="6" t="s">
        <v>22</v>
      </c>
      <c r="E29" s="11">
        <v>1.2909E-2</v>
      </c>
      <c r="F29" s="1"/>
      <c r="G29" s="1"/>
      <c r="H29" s="1"/>
      <c r="I29" s="1"/>
      <c r="J29" s="1"/>
      <c r="K29" s="1"/>
      <c r="L29" s="1"/>
      <c r="M29" s="1"/>
      <c r="N29" s="18"/>
    </row>
    <row r="30" spans="2:14" ht="15.75" customHeight="1" x14ac:dyDescent="0.25">
      <c r="B30" s="20"/>
      <c r="C30" s="7" t="s">
        <v>27</v>
      </c>
      <c r="D30" s="8"/>
      <c r="E30" s="12">
        <v>0.42798700000000001</v>
      </c>
      <c r="F30" s="1"/>
      <c r="G30" s="1"/>
      <c r="H30" s="1"/>
      <c r="I30" s="1"/>
      <c r="J30" s="1"/>
      <c r="K30" s="1"/>
      <c r="L30" s="1"/>
      <c r="M30" s="1"/>
      <c r="N30" s="18"/>
    </row>
    <row r="31" spans="2:14" ht="15" customHeight="1" x14ac:dyDescent="0.25">
      <c r="B31" s="20"/>
      <c r="C31" s="5" t="s">
        <v>28</v>
      </c>
      <c r="D31" s="6" t="s">
        <v>29</v>
      </c>
      <c r="E31" s="11">
        <v>3.9241999999999999E-2</v>
      </c>
      <c r="F31" s="1"/>
      <c r="G31" s="1"/>
      <c r="H31" s="1"/>
      <c r="I31" s="1"/>
      <c r="J31" s="1"/>
      <c r="K31" s="1"/>
      <c r="L31" s="1"/>
      <c r="M31" s="1"/>
      <c r="N31" s="18"/>
    </row>
    <row r="32" spans="2:14" ht="15" customHeight="1" x14ac:dyDescent="0.25">
      <c r="B32" s="20"/>
      <c r="C32" s="5" t="s">
        <v>154</v>
      </c>
      <c r="D32" s="6" t="s">
        <v>29</v>
      </c>
      <c r="E32" s="11">
        <v>6.0049999999999999E-3</v>
      </c>
      <c r="F32" s="1"/>
      <c r="G32" s="1"/>
      <c r="H32" s="1"/>
      <c r="I32" s="1"/>
      <c r="J32" s="1"/>
      <c r="K32" s="1"/>
      <c r="L32" s="1"/>
      <c r="M32" s="1"/>
      <c r="N32" s="18"/>
    </row>
    <row r="33" spans="2:14" ht="15" customHeight="1" x14ac:dyDescent="0.25">
      <c r="B33" s="20"/>
      <c r="C33" s="5" t="s">
        <v>32</v>
      </c>
      <c r="D33" s="6" t="s">
        <v>29</v>
      </c>
      <c r="E33" s="11">
        <v>2.9989999999999999E-3</v>
      </c>
      <c r="F33" s="1"/>
      <c r="G33" s="1"/>
      <c r="H33" s="1"/>
      <c r="I33" s="1"/>
      <c r="J33" s="1"/>
      <c r="K33" s="1"/>
      <c r="L33" s="1"/>
      <c r="M33" s="1"/>
      <c r="N33" s="18"/>
    </row>
    <row r="34" spans="2:14" ht="15.75" customHeight="1" x14ac:dyDescent="0.25">
      <c r="B34" s="20"/>
      <c r="C34" s="7" t="s">
        <v>44</v>
      </c>
      <c r="D34" s="8"/>
      <c r="E34" s="12">
        <v>4.8245999999999997E-2</v>
      </c>
      <c r="F34" s="1"/>
      <c r="G34" s="1"/>
      <c r="H34" s="1"/>
      <c r="I34" s="1"/>
      <c r="J34" s="1"/>
      <c r="K34" s="1"/>
      <c r="L34" s="1"/>
      <c r="M34" s="1"/>
      <c r="N34" s="18"/>
    </row>
    <row r="35" spans="2:14" ht="15" customHeight="1" x14ac:dyDescent="0.25">
      <c r="B35" s="20"/>
      <c r="C35" s="5" t="s">
        <v>45</v>
      </c>
      <c r="D35" s="6"/>
      <c r="E35" s="11">
        <v>2.104E-3</v>
      </c>
      <c r="F35" s="1"/>
      <c r="G35" s="1"/>
      <c r="H35" s="1"/>
      <c r="I35" s="1"/>
      <c r="J35" s="1"/>
      <c r="K35" s="1"/>
      <c r="L35" s="1"/>
      <c r="M35" s="1"/>
      <c r="N35" s="18"/>
    </row>
    <row r="36" spans="2:14" ht="15.75" customHeight="1" x14ac:dyDescent="0.25">
      <c r="B36" s="20"/>
      <c r="C36" s="7" t="s">
        <v>46</v>
      </c>
      <c r="D36" s="8"/>
      <c r="E36" s="12">
        <v>2.104E-3</v>
      </c>
      <c r="F36" s="1"/>
      <c r="G36" s="1"/>
      <c r="H36" s="1"/>
      <c r="I36" s="1"/>
      <c r="J36" s="1"/>
      <c r="K36" s="1"/>
      <c r="L36" s="1"/>
      <c r="M36" s="1"/>
      <c r="N36" s="18"/>
    </row>
    <row r="37" spans="2:14" ht="15" customHeight="1" x14ac:dyDescent="0.25">
      <c r="B37" s="20"/>
      <c r="C37" s="5" t="s">
        <v>86</v>
      </c>
      <c r="D37" s="6" t="s">
        <v>180</v>
      </c>
      <c r="E37" s="11">
        <v>9.3869999999999995E-3</v>
      </c>
      <c r="F37" s="1"/>
      <c r="G37" s="1"/>
      <c r="H37" s="1"/>
      <c r="I37" s="1"/>
      <c r="J37" s="1"/>
      <c r="K37" s="1"/>
      <c r="L37" s="1"/>
      <c r="M37" s="1"/>
      <c r="N37" s="18"/>
    </row>
    <row r="38" spans="2:14" ht="15" customHeight="1" x14ac:dyDescent="0.25">
      <c r="B38" s="20"/>
      <c r="C38" s="5" t="s">
        <v>155</v>
      </c>
      <c r="D38" s="6" t="s">
        <v>180</v>
      </c>
      <c r="E38" s="11">
        <v>7.5100000000000004E-4</v>
      </c>
      <c r="F38" s="1"/>
      <c r="G38" s="1"/>
      <c r="H38" s="1"/>
      <c r="I38" s="1"/>
      <c r="J38" s="1"/>
      <c r="K38" s="1"/>
      <c r="L38" s="1"/>
      <c r="M38" s="1"/>
      <c r="N38" s="18"/>
    </row>
    <row r="39" spans="2:14" ht="15.75" customHeight="1" x14ac:dyDescent="0.25">
      <c r="B39" s="20"/>
      <c r="C39" s="7" t="s">
        <v>50</v>
      </c>
      <c r="D39" s="8"/>
      <c r="E39" s="12">
        <v>1.0137999999999999E-2</v>
      </c>
      <c r="F39" s="1"/>
      <c r="G39" s="1"/>
      <c r="H39" s="1"/>
      <c r="I39" s="1"/>
      <c r="J39" s="1"/>
      <c r="K39" s="1"/>
      <c r="L39" s="1"/>
      <c r="M39" s="1"/>
      <c r="N39" s="18"/>
    </row>
    <row r="40" spans="2:14" ht="15" customHeight="1" x14ac:dyDescent="0.25">
      <c r="B40" s="20"/>
      <c r="C40" s="5" t="s">
        <v>156</v>
      </c>
      <c r="D40" s="6" t="s">
        <v>180</v>
      </c>
      <c r="E40" s="11">
        <v>6.8647E-2</v>
      </c>
      <c r="F40" s="1"/>
      <c r="G40" s="1"/>
      <c r="H40" s="1"/>
      <c r="I40" s="1"/>
      <c r="J40" s="1"/>
      <c r="K40" s="1"/>
      <c r="L40" s="1"/>
      <c r="M40" s="1"/>
      <c r="N40" s="18"/>
    </row>
    <row r="41" spans="2:14" ht="15" customHeight="1" x14ac:dyDescent="0.25">
      <c r="B41" s="20"/>
      <c r="C41" s="5" t="s">
        <v>157</v>
      </c>
      <c r="D41" s="6" t="s">
        <v>180</v>
      </c>
      <c r="E41" s="11">
        <v>6.2033999999999999E-2</v>
      </c>
      <c r="F41" s="1"/>
      <c r="G41" s="1"/>
      <c r="H41" s="1"/>
      <c r="I41" s="1"/>
      <c r="J41" s="1"/>
      <c r="K41" s="1"/>
      <c r="L41" s="1"/>
      <c r="M41" s="1"/>
      <c r="N41" s="18"/>
    </row>
    <row r="42" spans="2:14" ht="15" customHeight="1" x14ac:dyDescent="0.25">
      <c r="B42" s="20"/>
      <c r="C42" s="5" t="s">
        <v>158</v>
      </c>
      <c r="D42" s="6" t="s">
        <v>180</v>
      </c>
      <c r="E42" s="11">
        <v>2.0462999999999999E-2</v>
      </c>
      <c r="F42" s="1"/>
      <c r="G42" s="1"/>
      <c r="H42" s="1"/>
      <c r="I42" s="1"/>
      <c r="J42" s="1"/>
      <c r="K42" s="1"/>
      <c r="L42" s="1"/>
      <c r="M42" s="1"/>
      <c r="N42" s="18"/>
    </row>
    <row r="43" spans="2:14" ht="15" customHeight="1" x14ac:dyDescent="0.25">
      <c r="B43" s="20"/>
      <c r="C43" s="5" t="s">
        <v>159</v>
      </c>
      <c r="D43" s="6" t="s">
        <v>180</v>
      </c>
      <c r="E43" s="11">
        <v>1.125E-2</v>
      </c>
      <c r="F43" s="1"/>
      <c r="G43" s="1"/>
      <c r="H43" s="1"/>
      <c r="I43" s="1"/>
      <c r="J43" s="1"/>
      <c r="K43" s="1"/>
      <c r="L43" s="1"/>
      <c r="M43" s="1"/>
      <c r="N43" s="18"/>
    </row>
    <row r="44" spans="2:14" ht="15" customHeight="1" x14ac:dyDescent="0.25">
      <c r="B44" s="20"/>
      <c r="C44" s="5" t="s">
        <v>160</v>
      </c>
      <c r="D44" s="6" t="s">
        <v>180</v>
      </c>
      <c r="E44" s="11">
        <v>5.96E-3</v>
      </c>
      <c r="F44" s="1"/>
      <c r="G44" s="1"/>
      <c r="H44" s="1"/>
      <c r="I44" s="1"/>
      <c r="J44" s="1"/>
      <c r="K44" s="1"/>
      <c r="L44" s="1"/>
      <c r="M44" s="1"/>
      <c r="N44" s="18"/>
    </row>
    <row r="45" spans="2:14" ht="15" customHeight="1" x14ac:dyDescent="0.25">
      <c r="B45" s="20"/>
      <c r="C45" s="5" t="s">
        <v>161</v>
      </c>
      <c r="D45" s="6" t="s">
        <v>180</v>
      </c>
      <c r="E45" s="11">
        <v>5.5589999999999997E-3</v>
      </c>
      <c r="F45" s="1"/>
      <c r="G45" s="1"/>
      <c r="H45" s="1"/>
      <c r="I45" s="1"/>
      <c r="J45" s="1"/>
      <c r="K45" s="1"/>
      <c r="L45" s="1"/>
      <c r="M45" s="1"/>
      <c r="N45" s="18"/>
    </row>
    <row r="46" spans="2:14" ht="15" customHeight="1" x14ac:dyDescent="0.25">
      <c r="B46" s="20"/>
      <c r="C46" s="5" t="s">
        <v>162</v>
      </c>
      <c r="D46" s="6" t="s">
        <v>180</v>
      </c>
      <c r="E46" s="11">
        <v>2.2499999999999998E-3</v>
      </c>
      <c r="F46" s="1"/>
      <c r="G46" s="1"/>
      <c r="H46" s="1"/>
      <c r="I46" s="1"/>
      <c r="J46" s="1"/>
      <c r="K46" s="1"/>
      <c r="L46" s="1"/>
      <c r="M46" s="1"/>
      <c r="N46" s="18"/>
    </row>
    <row r="47" spans="2:14" ht="15" customHeight="1" x14ac:dyDescent="0.25">
      <c r="B47" s="20"/>
      <c r="C47" s="5" t="s">
        <v>163</v>
      </c>
      <c r="D47" s="6" t="s">
        <v>180</v>
      </c>
      <c r="E47" s="11">
        <v>1.8630000000000001E-3</v>
      </c>
      <c r="F47" s="1"/>
      <c r="G47" s="1"/>
      <c r="H47" s="1"/>
      <c r="I47" s="1"/>
      <c r="J47" s="1"/>
      <c r="K47" s="1"/>
      <c r="L47" s="1"/>
      <c r="M47" s="1"/>
      <c r="N47" s="18"/>
    </row>
    <row r="48" spans="2:14" ht="15.75" customHeight="1" x14ac:dyDescent="0.25">
      <c r="B48" s="20"/>
      <c r="C48" s="7" t="s">
        <v>90</v>
      </c>
      <c r="D48" s="8"/>
      <c r="E48" s="12">
        <v>0.17802599999999999</v>
      </c>
      <c r="F48" s="1"/>
      <c r="G48" s="1"/>
      <c r="H48" s="1"/>
      <c r="I48" s="1"/>
      <c r="J48" s="1"/>
      <c r="K48" s="1"/>
      <c r="L48" s="1"/>
      <c r="M48" s="1"/>
      <c r="N48" s="18"/>
    </row>
    <row r="49" spans="2:14" ht="15" customHeight="1" x14ac:dyDescent="0.25">
      <c r="B49" s="20"/>
      <c r="C49" s="5" t="s">
        <v>8</v>
      </c>
      <c r="D49" s="6"/>
      <c r="E49" s="11">
        <v>4.9693000000000001E-2</v>
      </c>
      <c r="F49" s="1"/>
      <c r="G49" s="1"/>
      <c r="H49" s="1"/>
      <c r="I49" s="1"/>
      <c r="J49" s="1"/>
      <c r="K49" s="1"/>
      <c r="L49" s="1"/>
      <c r="M49" s="1"/>
      <c r="N49" s="18"/>
    </row>
    <row r="50" spans="2:14" ht="15.75" customHeight="1" x14ac:dyDescent="0.25">
      <c r="B50" s="20"/>
      <c r="C50" s="7" t="s">
        <v>9</v>
      </c>
      <c r="D50" s="8"/>
      <c r="E50" s="12">
        <v>4.9693000000000001E-2</v>
      </c>
      <c r="F50" s="1"/>
      <c r="G50" s="1"/>
      <c r="H50" s="1"/>
      <c r="I50" s="1"/>
      <c r="J50" s="1"/>
      <c r="K50" s="1"/>
      <c r="L50" s="1"/>
      <c r="M50" s="1"/>
      <c r="N50" s="18"/>
    </row>
    <row r="51" spans="2:14" ht="15" customHeight="1" x14ac:dyDescent="0.25">
      <c r="B51" s="20"/>
      <c r="C51" s="5"/>
      <c r="D51" s="6"/>
      <c r="E51" s="11"/>
      <c r="F51" s="1"/>
      <c r="G51" s="1"/>
      <c r="H51" s="1"/>
      <c r="I51" s="1"/>
      <c r="J51" s="1"/>
      <c r="K51" s="1"/>
      <c r="L51" s="1"/>
      <c r="M51" s="1"/>
      <c r="N51" s="18"/>
    </row>
    <row r="52" spans="2:14" ht="15.75" customHeight="1" x14ac:dyDescent="0.25">
      <c r="B52" s="20"/>
      <c r="C52" s="7" t="s">
        <v>10</v>
      </c>
      <c r="D52" s="8"/>
      <c r="E52" s="12">
        <v>6.888E-3</v>
      </c>
      <c r="F52" s="1"/>
      <c r="G52" s="1"/>
      <c r="H52" s="1"/>
      <c r="I52" s="1"/>
      <c r="J52" s="1"/>
      <c r="K52" s="1"/>
      <c r="L52" s="1"/>
      <c r="M52" s="1"/>
      <c r="N52" s="18"/>
    </row>
    <row r="53" spans="2:14" ht="15" customHeight="1" x14ac:dyDescent="0.25">
      <c r="B53" s="20"/>
      <c r="C53" s="5"/>
      <c r="D53" s="6"/>
      <c r="E53" s="11"/>
      <c r="F53" s="1"/>
      <c r="G53" s="1"/>
      <c r="H53" s="1"/>
      <c r="I53" s="1"/>
      <c r="J53" s="1"/>
      <c r="K53" s="1"/>
      <c r="L53" s="1"/>
      <c r="M53" s="1"/>
      <c r="N53" s="18"/>
    </row>
    <row r="54" spans="2:14" ht="15" customHeight="1" x14ac:dyDescent="0.25">
      <c r="B54" s="20"/>
      <c r="C54" s="9" t="s">
        <v>11</v>
      </c>
      <c r="D54" s="10"/>
      <c r="E54" s="13">
        <v>1</v>
      </c>
      <c r="F54" s="1"/>
      <c r="G54" s="1"/>
      <c r="H54" s="1"/>
      <c r="I54" s="1"/>
      <c r="J54" s="1"/>
      <c r="K54" s="1"/>
      <c r="L54" s="1"/>
      <c r="M54" s="1"/>
      <c r="N54" s="18"/>
    </row>
    <row r="55" spans="2:14" ht="15" customHeight="1" x14ac:dyDescent="0.25">
      <c r="B55" s="20"/>
      <c r="C55" s="1"/>
      <c r="D55" s="1"/>
      <c r="E55" s="1"/>
      <c r="F55" s="1"/>
      <c r="G55" s="1"/>
      <c r="H55" s="1"/>
      <c r="I55" s="1"/>
      <c r="J55" s="1"/>
      <c r="K55" s="1"/>
      <c r="L55" s="1"/>
      <c r="M55" s="1"/>
      <c r="N55" s="18"/>
    </row>
    <row r="56" spans="2:14" ht="15" customHeight="1" thickBot="1" x14ac:dyDescent="0.3">
      <c r="B56" s="21"/>
      <c r="C56" s="22"/>
      <c r="D56" s="22"/>
      <c r="E56" s="22"/>
      <c r="F56" s="22"/>
      <c r="G56" s="22"/>
      <c r="H56" s="22"/>
      <c r="I56" s="22"/>
      <c r="J56" s="22"/>
      <c r="K56" s="22"/>
      <c r="L56" s="22"/>
      <c r="M56" s="22"/>
      <c r="N56" s="23"/>
    </row>
    <row r="57" spans="2:14" ht="15" customHeight="1" thickBot="1" x14ac:dyDescent="0.3"/>
    <row r="58" spans="2:14" ht="15" customHeight="1" x14ac:dyDescent="0.25">
      <c r="B58" s="68" t="s">
        <v>286</v>
      </c>
      <c r="C58" s="69"/>
      <c r="D58" s="69"/>
      <c r="E58" s="69"/>
      <c r="F58" s="69"/>
      <c r="G58" s="69"/>
      <c r="H58" s="69"/>
      <c r="I58" s="69"/>
      <c r="J58" s="69"/>
      <c r="K58" s="69"/>
      <c r="L58" s="69"/>
      <c r="M58" s="69"/>
      <c r="N58" s="70"/>
    </row>
    <row r="59" spans="2:14" ht="15" customHeight="1" x14ac:dyDescent="0.25">
      <c r="B59" s="71"/>
      <c r="C59" s="72"/>
      <c r="D59" s="72"/>
      <c r="E59" s="72"/>
      <c r="F59" s="72"/>
      <c r="G59" s="72"/>
      <c r="H59" s="72"/>
      <c r="I59" s="72"/>
      <c r="J59" s="72"/>
      <c r="K59" s="72"/>
      <c r="L59" s="72"/>
      <c r="M59" s="72"/>
      <c r="N59" s="73"/>
    </row>
    <row r="60" spans="2:14" ht="15" customHeight="1" x14ac:dyDescent="0.25">
      <c r="B60" s="71"/>
      <c r="C60" s="72"/>
      <c r="D60" s="72"/>
      <c r="E60" s="72"/>
      <c r="F60" s="72"/>
      <c r="G60" s="72"/>
      <c r="H60" s="72"/>
      <c r="I60" s="72"/>
      <c r="J60" s="72"/>
      <c r="K60" s="72"/>
      <c r="L60" s="72"/>
      <c r="M60" s="72"/>
      <c r="N60" s="73"/>
    </row>
    <row r="61" spans="2:14" ht="15" customHeight="1" thickBot="1" x14ac:dyDescent="0.3">
      <c r="B61" s="74"/>
      <c r="C61" s="75"/>
      <c r="D61" s="75"/>
      <c r="E61" s="75"/>
      <c r="F61" s="75"/>
      <c r="G61" s="75"/>
      <c r="H61" s="75"/>
      <c r="I61" s="75"/>
      <c r="J61" s="75"/>
      <c r="K61" s="75"/>
      <c r="L61" s="75"/>
      <c r="M61" s="75"/>
      <c r="N61" s="76"/>
    </row>
    <row r="62" spans="2:14" ht="15" customHeight="1" thickBot="1" x14ac:dyDescent="0.3"/>
    <row r="63" spans="2:14" ht="134.25" customHeight="1" thickBot="1" x14ac:dyDescent="0.3">
      <c r="B63" s="85" t="s">
        <v>292</v>
      </c>
      <c r="C63" s="86"/>
      <c r="D63" s="86"/>
      <c r="E63" s="86"/>
      <c r="F63" s="86"/>
      <c r="G63" s="86"/>
      <c r="H63" s="86"/>
      <c r="I63" s="86"/>
      <c r="J63" s="86"/>
      <c r="K63" s="86"/>
      <c r="L63" s="86"/>
      <c r="M63" s="86"/>
      <c r="N63" s="87"/>
    </row>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sheetData>
  <mergeCells count="7">
    <mergeCell ref="B58:N61"/>
    <mergeCell ref="B63:N63"/>
    <mergeCell ref="C3:N3"/>
    <mergeCell ref="D5:E5"/>
    <mergeCell ref="G7:N7"/>
    <mergeCell ref="G24:K24"/>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F0294-7085-4A25-98F2-DDFF8A5ECC3A}">
  <dimension ref="B1:N81"/>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7" t="s">
        <v>164</v>
      </c>
      <c r="D3" s="78"/>
      <c r="E3" s="78"/>
      <c r="F3" s="78"/>
      <c r="G3" s="78"/>
      <c r="H3" s="78"/>
      <c r="I3" s="78"/>
      <c r="J3" s="78"/>
      <c r="K3" s="78"/>
      <c r="L3" s="78"/>
      <c r="M3" s="78"/>
      <c r="N3" s="79"/>
    </row>
    <row r="4" spans="2:14" ht="15.75" customHeight="1" x14ac:dyDescent="0.25">
      <c r="B4" s="20"/>
      <c r="C4" s="14"/>
      <c r="D4" s="1"/>
      <c r="E4" s="1"/>
      <c r="F4" s="1"/>
      <c r="G4" s="1"/>
      <c r="H4" s="1"/>
      <c r="I4" s="1"/>
      <c r="J4" s="1"/>
      <c r="K4" s="1"/>
      <c r="L4" s="1"/>
      <c r="M4" s="1"/>
      <c r="N4" s="18"/>
    </row>
    <row r="5" spans="2:14" ht="18" customHeight="1" x14ac:dyDescent="0.25">
      <c r="B5" s="20"/>
      <c r="C5" s="15" t="s">
        <v>1</v>
      </c>
      <c r="D5" s="80" t="s">
        <v>165</v>
      </c>
      <c r="E5" s="8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2" t="s">
        <v>16</v>
      </c>
      <c r="H7" s="83"/>
      <c r="I7" s="83"/>
      <c r="J7" s="83"/>
      <c r="K7" s="83"/>
      <c r="L7" s="83"/>
      <c r="M7" s="83"/>
      <c r="N7" s="84"/>
    </row>
    <row r="8" spans="2:14" ht="15" customHeight="1" x14ac:dyDescent="0.25">
      <c r="B8" s="20"/>
      <c r="C8" s="5" t="s">
        <v>21</v>
      </c>
      <c r="D8" s="6" t="s">
        <v>22</v>
      </c>
      <c r="E8" s="11">
        <v>0.11455799999999999</v>
      </c>
      <c r="F8" s="1"/>
      <c r="G8" s="24" t="s">
        <v>15</v>
      </c>
      <c r="H8" s="25">
        <v>1</v>
      </c>
      <c r="I8" s="1"/>
      <c r="J8" s="24" t="s">
        <v>12</v>
      </c>
      <c r="K8" s="24" t="s">
        <v>5</v>
      </c>
      <c r="L8" s="1"/>
      <c r="M8" s="1"/>
      <c r="N8" s="18"/>
    </row>
    <row r="9" spans="2:14" ht="15" customHeight="1" x14ac:dyDescent="0.25">
      <c r="B9" s="20"/>
      <c r="C9" s="5" t="s">
        <v>25</v>
      </c>
      <c r="D9" s="6" t="s">
        <v>22</v>
      </c>
      <c r="E9" s="11">
        <v>4.3015999999999999E-2</v>
      </c>
      <c r="F9" s="1"/>
      <c r="G9" s="1"/>
      <c r="H9" s="1"/>
      <c r="I9" s="1"/>
      <c r="J9" s="24" t="s">
        <v>10</v>
      </c>
      <c r="K9" s="28">
        <v>2.3163E-2</v>
      </c>
      <c r="L9" s="1"/>
      <c r="M9" s="1"/>
      <c r="N9" s="18"/>
    </row>
    <row r="10" spans="2:14" ht="15" customHeight="1" x14ac:dyDescent="0.25">
      <c r="B10" s="20"/>
      <c r="C10" s="5" t="s">
        <v>30</v>
      </c>
      <c r="D10" s="6" t="s">
        <v>22</v>
      </c>
      <c r="E10" s="11">
        <v>3.9682000000000002E-2</v>
      </c>
      <c r="F10" s="1"/>
      <c r="G10" s="1"/>
      <c r="H10" s="1"/>
      <c r="I10" s="1"/>
      <c r="J10" s="24" t="s">
        <v>13</v>
      </c>
      <c r="K10" s="28">
        <v>5.4840000000000002E-3</v>
      </c>
      <c r="L10" s="1"/>
      <c r="M10" s="1"/>
      <c r="N10" s="18"/>
    </row>
    <row r="11" spans="2:14" ht="15" customHeight="1" x14ac:dyDescent="0.25">
      <c r="B11" s="20"/>
      <c r="C11" s="5" t="s">
        <v>32</v>
      </c>
      <c r="D11" s="6" t="s">
        <v>22</v>
      </c>
      <c r="E11" s="11">
        <v>1.7777999999999999E-2</v>
      </c>
      <c r="F11" s="1"/>
      <c r="G11" s="1"/>
      <c r="H11" s="1"/>
      <c r="I11" s="1"/>
      <c r="J11" s="24" t="s">
        <v>52</v>
      </c>
      <c r="K11" s="28">
        <v>0.22798599999999999</v>
      </c>
      <c r="L11" s="1"/>
      <c r="M11" s="1"/>
      <c r="N11" s="18"/>
    </row>
    <row r="12" spans="2:14" ht="15" customHeight="1" x14ac:dyDescent="0.25">
      <c r="B12" s="20"/>
      <c r="C12" s="5" t="s">
        <v>41</v>
      </c>
      <c r="D12" s="6" t="s">
        <v>22</v>
      </c>
      <c r="E12" s="11">
        <v>1.2952E-2</v>
      </c>
      <c r="F12" s="1"/>
      <c r="G12" s="1"/>
      <c r="H12" s="1"/>
      <c r="I12" s="1"/>
      <c r="J12" s="24" t="s">
        <v>53</v>
      </c>
      <c r="K12" s="28">
        <v>0.434805</v>
      </c>
      <c r="L12" s="1"/>
      <c r="M12" s="1"/>
      <c r="N12" s="18"/>
    </row>
    <row r="13" spans="2:14" ht="15.75" customHeight="1" x14ac:dyDescent="0.25">
      <c r="B13" s="20"/>
      <c r="C13" s="7" t="s">
        <v>26</v>
      </c>
      <c r="D13" s="8"/>
      <c r="E13" s="12">
        <v>0.22798599999999999</v>
      </c>
      <c r="F13" s="1"/>
      <c r="G13" s="1"/>
      <c r="H13" s="1"/>
      <c r="I13" s="1"/>
      <c r="J13" s="24" t="s">
        <v>54</v>
      </c>
      <c r="K13" s="28">
        <v>4.9348999999999997E-2</v>
      </c>
      <c r="L13" s="1"/>
      <c r="M13" s="1"/>
      <c r="N13" s="18"/>
    </row>
    <row r="14" spans="2:14" ht="15" customHeight="1" x14ac:dyDescent="0.25">
      <c r="B14" s="20"/>
      <c r="C14" s="5" t="s">
        <v>33</v>
      </c>
      <c r="D14" s="6" t="s">
        <v>22</v>
      </c>
      <c r="E14" s="11">
        <v>2.2534999999999999E-2</v>
      </c>
      <c r="F14" s="1"/>
      <c r="G14" s="1"/>
      <c r="H14" s="1"/>
      <c r="I14" s="1"/>
      <c r="J14" s="24" t="s">
        <v>45</v>
      </c>
      <c r="K14" s="28">
        <v>2.7810000000000001E-3</v>
      </c>
      <c r="L14" s="1"/>
      <c r="M14" s="1"/>
      <c r="N14" s="18"/>
    </row>
    <row r="15" spans="2:14" ht="15" customHeight="1" x14ac:dyDescent="0.25">
      <c r="B15" s="20"/>
      <c r="C15" s="5" t="s">
        <v>30</v>
      </c>
      <c r="D15" s="6" t="s">
        <v>22</v>
      </c>
      <c r="E15" s="11">
        <v>1.3466000000000001E-2</v>
      </c>
      <c r="F15" s="1"/>
      <c r="G15" s="1"/>
      <c r="H15" s="1"/>
      <c r="I15" s="1"/>
      <c r="J15" s="24" t="s">
        <v>55</v>
      </c>
      <c r="K15" s="28">
        <v>4.6057000000000001E-2</v>
      </c>
      <c r="L15" s="1"/>
      <c r="M15" s="1"/>
      <c r="N15" s="18"/>
    </row>
    <row r="16" spans="2:14" ht="15" customHeight="1" x14ac:dyDescent="0.25">
      <c r="B16" s="20"/>
      <c r="C16" s="5" t="s">
        <v>32</v>
      </c>
      <c r="D16" s="6" t="s">
        <v>22</v>
      </c>
      <c r="E16" s="11">
        <v>9.0790000000000003E-3</v>
      </c>
      <c r="F16" s="1"/>
      <c r="G16" s="1"/>
      <c r="H16" s="1"/>
      <c r="I16" s="1"/>
      <c r="J16" s="24" t="s">
        <v>56</v>
      </c>
      <c r="K16" s="28">
        <v>0.210205</v>
      </c>
      <c r="L16" s="1"/>
      <c r="M16" s="1"/>
      <c r="N16" s="18"/>
    </row>
    <row r="17" spans="2:14" ht="15" customHeight="1" x14ac:dyDescent="0.25">
      <c r="B17" s="20"/>
      <c r="C17" s="5" t="s">
        <v>75</v>
      </c>
      <c r="D17" s="6" t="s">
        <v>22</v>
      </c>
      <c r="E17" s="11">
        <v>4.2690000000000002E-3</v>
      </c>
      <c r="F17" s="1"/>
      <c r="G17" s="1"/>
      <c r="H17" s="1"/>
      <c r="I17" s="1"/>
      <c r="J17" s="24" t="s">
        <v>92</v>
      </c>
      <c r="K17" s="28">
        <v>1.7000000000000001E-4</v>
      </c>
      <c r="L17" s="1"/>
      <c r="M17" s="1"/>
      <c r="N17" s="18"/>
    </row>
    <row r="18" spans="2:14" ht="15.75" customHeight="1" x14ac:dyDescent="0.25">
      <c r="B18" s="20"/>
      <c r="C18" s="7" t="s">
        <v>27</v>
      </c>
      <c r="D18" s="8"/>
      <c r="E18" s="12">
        <v>4.9348999999999997E-2</v>
      </c>
      <c r="F18" s="1"/>
      <c r="G18" s="1"/>
      <c r="H18" s="1"/>
      <c r="I18" s="1"/>
      <c r="J18" s="1"/>
      <c r="K18" s="1"/>
      <c r="L18" s="1"/>
      <c r="M18" s="1"/>
      <c r="N18" s="18"/>
    </row>
    <row r="19" spans="2:14" ht="15" customHeight="1" x14ac:dyDescent="0.25">
      <c r="B19" s="20"/>
      <c r="C19" s="5" t="s">
        <v>28</v>
      </c>
      <c r="D19" s="6" t="s">
        <v>29</v>
      </c>
      <c r="E19" s="11">
        <v>0.113997</v>
      </c>
      <c r="F19" s="1"/>
      <c r="G19" s="1"/>
      <c r="H19" s="1"/>
      <c r="I19" s="1"/>
      <c r="J19" s="1"/>
      <c r="K19" s="1"/>
      <c r="L19" s="1"/>
      <c r="M19" s="1"/>
      <c r="N19" s="18"/>
    </row>
    <row r="20" spans="2:14" ht="15" customHeight="1" x14ac:dyDescent="0.25">
      <c r="B20" s="20"/>
      <c r="C20" s="5" t="s">
        <v>74</v>
      </c>
      <c r="D20" s="6" t="s">
        <v>29</v>
      </c>
      <c r="E20" s="11">
        <v>7.9508999999999996E-2</v>
      </c>
      <c r="F20" s="1"/>
      <c r="G20" s="1"/>
      <c r="H20" s="1"/>
      <c r="I20" s="1"/>
      <c r="J20" s="1"/>
      <c r="K20" s="1"/>
      <c r="L20" s="1"/>
      <c r="M20" s="1"/>
      <c r="N20" s="18"/>
    </row>
    <row r="21" spans="2:14" ht="15" customHeight="1" x14ac:dyDescent="0.25">
      <c r="B21" s="20"/>
      <c r="C21" s="5" t="s">
        <v>33</v>
      </c>
      <c r="D21" s="6" t="s">
        <v>29</v>
      </c>
      <c r="E21" s="11">
        <v>6.8797999999999998E-2</v>
      </c>
      <c r="F21" s="1"/>
      <c r="G21" s="1"/>
      <c r="H21" s="1"/>
      <c r="I21" s="1"/>
      <c r="J21" s="1"/>
      <c r="K21" s="1"/>
      <c r="L21" s="1"/>
      <c r="M21" s="1"/>
      <c r="N21" s="18"/>
    </row>
    <row r="22" spans="2:14" ht="15" customHeight="1" x14ac:dyDescent="0.25">
      <c r="B22" s="20"/>
      <c r="C22" s="5" t="s">
        <v>34</v>
      </c>
      <c r="D22" s="6" t="s">
        <v>29</v>
      </c>
      <c r="E22" s="11">
        <v>5.0925999999999999E-2</v>
      </c>
      <c r="F22" s="1"/>
      <c r="G22" s="1"/>
      <c r="H22" s="1"/>
      <c r="I22" s="1"/>
      <c r="J22" s="1"/>
      <c r="K22" s="1"/>
      <c r="L22" s="1"/>
      <c r="M22" s="1"/>
      <c r="N22" s="18"/>
    </row>
    <row r="23" spans="2:14" ht="15" customHeight="1" x14ac:dyDescent="0.25">
      <c r="B23" s="20"/>
      <c r="C23" s="5" t="s">
        <v>30</v>
      </c>
      <c r="D23" s="6" t="s">
        <v>29</v>
      </c>
      <c r="E23" s="11">
        <v>5.0367000000000002E-2</v>
      </c>
      <c r="F23" s="1"/>
      <c r="G23" s="1"/>
      <c r="H23" s="1"/>
      <c r="I23" s="1"/>
      <c r="J23" s="1"/>
      <c r="K23" s="1"/>
      <c r="L23" s="1"/>
      <c r="M23" s="1"/>
      <c r="N23" s="18"/>
    </row>
    <row r="24" spans="2:14" ht="15" customHeight="1" x14ac:dyDescent="0.25">
      <c r="B24" s="20"/>
      <c r="C24" s="5" t="s">
        <v>75</v>
      </c>
      <c r="D24" s="6" t="s">
        <v>29</v>
      </c>
      <c r="E24" s="11">
        <v>2.1021999999999999E-2</v>
      </c>
      <c r="F24" s="1"/>
      <c r="G24" s="82" t="s">
        <v>128</v>
      </c>
      <c r="H24" s="83"/>
      <c r="I24" s="83"/>
      <c r="J24" s="83"/>
      <c r="K24" s="83"/>
      <c r="L24" s="63">
        <v>355.10680850347478</v>
      </c>
      <c r="M24" s="26"/>
      <c r="N24" s="27"/>
    </row>
    <row r="25" spans="2:14" ht="15" customHeight="1" x14ac:dyDescent="0.25">
      <c r="B25" s="20"/>
      <c r="C25" s="5" t="s">
        <v>81</v>
      </c>
      <c r="D25" s="6" t="s">
        <v>29</v>
      </c>
      <c r="E25" s="11">
        <v>1.8308000000000001E-2</v>
      </c>
      <c r="F25" s="1"/>
      <c r="G25" s="1"/>
      <c r="H25" s="1"/>
      <c r="I25" s="1"/>
      <c r="J25" s="1"/>
      <c r="K25" s="1"/>
      <c r="L25" s="1"/>
      <c r="M25" s="1"/>
      <c r="N25" s="18"/>
    </row>
    <row r="26" spans="2:14" ht="15" customHeight="1" x14ac:dyDescent="0.25">
      <c r="B26" s="20"/>
      <c r="C26" s="5" t="s">
        <v>24</v>
      </c>
      <c r="D26" s="6" t="s">
        <v>29</v>
      </c>
      <c r="E26" s="11">
        <v>1.3677999999999999E-2</v>
      </c>
      <c r="F26" s="1"/>
      <c r="G26" s="82" t="s">
        <v>18</v>
      </c>
      <c r="H26" s="83"/>
      <c r="I26" s="83"/>
      <c r="J26" s="83"/>
      <c r="K26" s="83"/>
      <c r="L26" s="83"/>
      <c r="M26" s="83"/>
      <c r="N26" s="84"/>
    </row>
    <row r="27" spans="2:14" ht="15" customHeight="1" x14ac:dyDescent="0.25">
      <c r="B27" s="20"/>
      <c r="C27" s="5" t="s">
        <v>32</v>
      </c>
      <c r="D27" s="6" t="s">
        <v>29</v>
      </c>
      <c r="E27" s="11">
        <v>9.1160000000000008E-3</v>
      </c>
      <c r="F27" s="1"/>
      <c r="G27" s="1"/>
      <c r="H27" s="1"/>
      <c r="I27" s="1"/>
      <c r="J27" s="1"/>
      <c r="K27" s="1"/>
      <c r="L27" s="1"/>
      <c r="M27" s="1"/>
      <c r="N27" s="18"/>
    </row>
    <row r="28" spans="2:14" ht="15" customHeight="1" x14ac:dyDescent="0.25">
      <c r="B28" s="20"/>
      <c r="C28" s="5" t="s">
        <v>76</v>
      </c>
      <c r="D28" s="6" t="s">
        <v>29</v>
      </c>
      <c r="E28" s="11">
        <v>9.0840000000000001E-3</v>
      </c>
      <c r="F28" s="1"/>
      <c r="G28" s="1"/>
      <c r="H28" s="1"/>
      <c r="I28" s="1"/>
      <c r="J28" s="1"/>
      <c r="K28" s="1"/>
      <c r="L28" s="1"/>
      <c r="M28" s="1"/>
      <c r="N28" s="18"/>
    </row>
    <row r="29" spans="2:14" ht="15.75" customHeight="1" x14ac:dyDescent="0.25">
      <c r="B29" s="20"/>
      <c r="C29" s="7" t="s">
        <v>44</v>
      </c>
      <c r="D29" s="8"/>
      <c r="E29" s="12">
        <v>0.434805</v>
      </c>
      <c r="F29" s="1"/>
      <c r="G29" s="1"/>
      <c r="H29" s="1"/>
      <c r="I29" s="1"/>
      <c r="J29" s="1"/>
      <c r="K29" s="1"/>
      <c r="L29" s="1"/>
      <c r="M29" s="1"/>
      <c r="N29" s="18"/>
    </row>
    <row r="30" spans="2:14" ht="15" customHeight="1" x14ac:dyDescent="0.25">
      <c r="B30" s="20"/>
      <c r="C30" s="5" t="s">
        <v>45</v>
      </c>
      <c r="D30" s="6"/>
      <c r="E30" s="11">
        <v>2.7810000000000001E-3</v>
      </c>
      <c r="F30" s="1"/>
      <c r="G30" s="1"/>
      <c r="H30" s="1"/>
      <c r="I30" s="1"/>
      <c r="J30" s="1"/>
      <c r="K30" s="1"/>
      <c r="L30" s="1"/>
      <c r="M30" s="1"/>
      <c r="N30" s="18"/>
    </row>
    <row r="31" spans="2:14" ht="15.75" customHeight="1" x14ac:dyDescent="0.25">
      <c r="B31" s="20"/>
      <c r="C31" s="7" t="s">
        <v>46</v>
      </c>
      <c r="D31" s="8"/>
      <c r="E31" s="12">
        <v>2.7810000000000001E-3</v>
      </c>
      <c r="F31" s="1"/>
      <c r="G31" s="1"/>
      <c r="H31" s="1"/>
      <c r="I31" s="1"/>
      <c r="J31" s="1"/>
      <c r="K31" s="1"/>
      <c r="L31" s="1"/>
      <c r="M31" s="1"/>
      <c r="N31" s="18"/>
    </row>
    <row r="32" spans="2:14" ht="15" customHeight="1" x14ac:dyDescent="0.25">
      <c r="B32" s="20"/>
      <c r="C32" s="5" t="s">
        <v>47</v>
      </c>
      <c r="D32" s="6" t="s">
        <v>180</v>
      </c>
      <c r="E32" s="11">
        <v>4.6057000000000001E-2</v>
      </c>
      <c r="F32" s="1"/>
      <c r="G32" s="1"/>
      <c r="H32" s="1"/>
      <c r="I32" s="1"/>
      <c r="J32" s="1"/>
      <c r="K32" s="1"/>
      <c r="L32" s="1"/>
      <c r="M32" s="1"/>
      <c r="N32" s="18"/>
    </row>
    <row r="33" spans="2:14" ht="15.75" customHeight="1" x14ac:dyDescent="0.25">
      <c r="B33" s="20"/>
      <c r="C33" s="7" t="s">
        <v>50</v>
      </c>
      <c r="D33" s="8"/>
      <c r="E33" s="12">
        <v>4.6057000000000001E-2</v>
      </c>
      <c r="F33" s="1"/>
      <c r="G33" s="1"/>
      <c r="H33" s="1"/>
      <c r="I33" s="1"/>
      <c r="J33" s="1"/>
      <c r="K33" s="1"/>
      <c r="L33" s="1"/>
      <c r="M33" s="1"/>
      <c r="N33" s="18"/>
    </row>
    <row r="34" spans="2:14" ht="15" customHeight="1" x14ac:dyDescent="0.25">
      <c r="B34" s="20"/>
      <c r="C34" s="5" t="s">
        <v>192</v>
      </c>
      <c r="D34" s="6" t="s">
        <v>180</v>
      </c>
      <c r="E34" s="11">
        <v>4.4366999999999997E-2</v>
      </c>
      <c r="F34" s="1"/>
      <c r="G34" s="1"/>
      <c r="H34" s="1"/>
      <c r="I34" s="1"/>
      <c r="J34" s="1"/>
      <c r="K34" s="1"/>
      <c r="L34" s="1"/>
      <c r="M34" s="1"/>
      <c r="N34" s="18"/>
    </row>
    <row r="35" spans="2:14" ht="15.75" customHeight="1" x14ac:dyDescent="0.25">
      <c r="B35" s="20"/>
      <c r="C35" s="5" t="s">
        <v>193</v>
      </c>
      <c r="D35" s="6" t="s">
        <v>180</v>
      </c>
      <c r="E35" s="11">
        <v>3.882E-2</v>
      </c>
      <c r="F35" s="1"/>
      <c r="G35" s="1"/>
      <c r="H35" s="1"/>
      <c r="I35" s="1"/>
      <c r="J35" s="1"/>
      <c r="K35" s="1"/>
      <c r="L35" s="1"/>
      <c r="M35" s="1"/>
      <c r="N35" s="18"/>
    </row>
    <row r="36" spans="2:14" ht="15" customHeight="1" x14ac:dyDescent="0.25">
      <c r="B36" s="20"/>
      <c r="C36" s="5" t="s">
        <v>194</v>
      </c>
      <c r="D36" s="6" t="s">
        <v>180</v>
      </c>
      <c r="E36" s="11">
        <v>3.6065E-2</v>
      </c>
      <c r="F36" s="1"/>
      <c r="G36" s="1"/>
      <c r="H36" s="1"/>
      <c r="I36" s="1"/>
      <c r="J36" s="1"/>
      <c r="K36" s="1"/>
      <c r="L36" s="1"/>
      <c r="M36" s="1"/>
      <c r="N36" s="18"/>
    </row>
    <row r="37" spans="2:14" ht="15.75" customHeight="1" x14ac:dyDescent="0.25">
      <c r="B37" s="20"/>
      <c r="C37" s="5" t="s">
        <v>184</v>
      </c>
      <c r="D37" s="6" t="s">
        <v>180</v>
      </c>
      <c r="E37" s="11">
        <v>1.3923E-2</v>
      </c>
      <c r="F37" s="1"/>
      <c r="G37" s="1"/>
      <c r="H37" s="1"/>
      <c r="I37" s="1"/>
      <c r="J37" s="1"/>
      <c r="K37" s="1"/>
      <c r="L37" s="1"/>
      <c r="M37" s="1"/>
      <c r="N37" s="18"/>
    </row>
    <row r="38" spans="2:14" ht="15" customHeight="1" x14ac:dyDescent="0.25">
      <c r="B38" s="20"/>
      <c r="C38" s="5" t="s">
        <v>197</v>
      </c>
      <c r="D38" s="6" t="s">
        <v>180</v>
      </c>
      <c r="E38" s="11">
        <v>1.3867000000000001E-2</v>
      </c>
      <c r="F38" s="1"/>
      <c r="G38" s="1"/>
      <c r="H38" s="1"/>
      <c r="I38" s="1"/>
      <c r="J38" s="1"/>
      <c r="K38" s="1"/>
      <c r="L38" s="1"/>
      <c r="M38" s="1"/>
      <c r="N38" s="18"/>
    </row>
    <row r="39" spans="2:14" ht="15.75" customHeight="1" x14ac:dyDescent="0.25">
      <c r="B39" s="20"/>
      <c r="C39" s="5" t="s">
        <v>183</v>
      </c>
      <c r="D39" s="6" t="s">
        <v>180</v>
      </c>
      <c r="E39" s="11">
        <v>9.2569999999999996E-3</v>
      </c>
      <c r="F39" s="1"/>
      <c r="G39" s="1"/>
      <c r="H39" s="1"/>
      <c r="I39" s="1"/>
      <c r="J39" s="1"/>
      <c r="K39" s="1"/>
      <c r="L39" s="1"/>
      <c r="M39" s="1"/>
      <c r="N39" s="18"/>
    </row>
    <row r="40" spans="2:14" ht="15" customHeight="1" x14ac:dyDescent="0.25">
      <c r="B40" s="20"/>
      <c r="C40" s="5" t="s">
        <v>191</v>
      </c>
      <c r="D40" s="6" t="s">
        <v>180</v>
      </c>
      <c r="E40" s="11">
        <v>9.2449999999999997E-3</v>
      </c>
      <c r="F40" s="1"/>
      <c r="G40" s="1"/>
      <c r="H40" s="1"/>
      <c r="I40" s="1"/>
      <c r="J40" s="1"/>
      <c r="K40" s="1"/>
      <c r="L40" s="1"/>
      <c r="M40" s="1"/>
      <c r="N40" s="18"/>
    </row>
    <row r="41" spans="2:14" ht="15.75" customHeight="1" x14ac:dyDescent="0.25">
      <c r="B41" s="20"/>
      <c r="C41" s="5" t="s">
        <v>181</v>
      </c>
      <c r="D41" s="6" t="s">
        <v>180</v>
      </c>
      <c r="E41" s="11">
        <v>9.2440000000000005E-3</v>
      </c>
      <c r="F41" s="1"/>
      <c r="G41" s="1"/>
      <c r="H41" s="1"/>
      <c r="I41" s="1"/>
      <c r="J41" s="1"/>
      <c r="K41" s="1"/>
      <c r="L41" s="1"/>
      <c r="M41" s="1"/>
      <c r="N41" s="18"/>
    </row>
    <row r="42" spans="2:14" ht="15" customHeight="1" x14ac:dyDescent="0.25">
      <c r="B42" s="20"/>
      <c r="C42" s="5" t="s">
        <v>182</v>
      </c>
      <c r="D42" s="6" t="s">
        <v>180</v>
      </c>
      <c r="E42" s="11">
        <v>6.4700000000000001E-3</v>
      </c>
      <c r="F42" s="1"/>
      <c r="G42" s="1"/>
      <c r="H42" s="1"/>
      <c r="I42" s="1"/>
      <c r="J42" s="1"/>
      <c r="K42" s="1"/>
      <c r="L42" s="1"/>
      <c r="M42" s="1"/>
      <c r="N42" s="18"/>
    </row>
    <row r="43" spans="2:14" ht="15" customHeight="1" x14ac:dyDescent="0.25">
      <c r="B43" s="20"/>
      <c r="C43" s="5" t="s">
        <v>188</v>
      </c>
      <c r="D43" s="6" t="s">
        <v>180</v>
      </c>
      <c r="E43" s="11">
        <v>6.4689999999999999E-3</v>
      </c>
      <c r="F43" s="1"/>
      <c r="G43" s="1"/>
      <c r="H43" s="1"/>
      <c r="I43" s="1"/>
      <c r="J43" s="1"/>
      <c r="K43" s="1"/>
      <c r="L43" s="1"/>
      <c r="M43" s="1"/>
      <c r="N43" s="18"/>
    </row>
    <row r="44" spans="2:14" ht="15" customHeight="1" x14ac:dyDescent="0.25">
      <c r="B44" s="20"/>
      <c r="C44" s="5" t="s">
        <v>190</v>
      </c>
      <c r="D44" s="6" t="s">
        <v>180</v>
      </c>
      <c r="E44" s="11">
        <v>6.4689999999999999E-3</v>
      </c>
      <c r="F44" s="1"/>
      <c r="G44" s="1"/>
      <c r="H44" s="1"/>
      <c r="I44" s="1"/>
      <c r="J44" s="1"/>
      <c r="K44" s="1"/>
      <c r="L44" s="1"/>
      <c r="M44" s="1"/>
      <c r="N44" s="18"/>
    </row>
    <row r="45" spans="2:14" ht="15" customHeight="1" x14ac:dyDescent="0.25">
      <c r="B45" s="20"/>
      <c r="C45" s="5" t="s">
        <v>189</v>
      </c>
      <c r="D45" s="6" t="s">
        <v>180</v>
      </c>
      <c r="E45" s="11">
        <v>4.633E-3</v>
      </c>
      <c r="F45" s="1"/>
      <c r="G45" s="1"/>
      <c r="H45" s="1"/>
      <c r="I45" s="1"/>
      <c r="J45" s="1"/>
      <c r="K45" s="1"/>
      <c r="L45" s="1"/>
      <c r="M45" s="1"/>
      <c r="N45" s="18"/>
    </row>
    <row r="46" spans="2:14" ht="15" customHeight="1" x14ac:dyDescent="0.25">
      <c r="B46" s="20"/>
      <c r="C46" s="5" t="s">
        <v>196</v>
      </c>
      <c r="D46" s="6" t="s">
        <v>180</v>
      </c>
      <c r="E46" s="11">
        <v>4.62E-3</v>
      </c>
      <c r="F46" s="1"/>
      <c r="G46" s="1"/>
      <c r="H46" s="1"/>
      <c r="I46" s="1"/>
      <c r="J46" s="1"/>
      <c r="K46" s="1"/>
      <c r="L46" s="1"/>
      <c r="M46" s="1"/>
      <c r="N46" s="18"/>
    </row>
    <row r="47" spans="2:14" ht="15" customHeight="1" x14ac:dyDescent="0.25">
      <c r="B47" s="20"/>
      <c r="C47" s="5" t="s">
        <v>187</v>
      </c>
      <c r="D47" s="6" t="s">
        <v>180</v>
      </c>
      <c r="E47" s="11">
        <v>2.7829999999999999E-3</v>
      </c>
      <c r="F47" s="1"/>
      <c r="G47" s="1"/>
      <c r="H47" s="1"/>
      <c r="I47" s="1"/>
      <c r="J47" s="1"/>
      <c r="K47" s="1"/>
      <c r="L47" s="1"/>
      <c r="M47" s="1"/>
      <c r="N47" s="18"/>
    </row>
    <row r="48" spans="2:14" ht="15" customHeight="1" x14ac:dyDescent="0.25">
      <c r="B48" s="20"/>
      <c r="C48" s="5" t="s">
        <v>186</v>
      </c>
      <c r="D48" s="6" t="s">
        <v>180</v>
      </c>
      <c r="E48" s="11">
        <v>1.851E-3</v>
      </c>
      <c r="F48" s="1"/>
      <c r="G48" s="1"/>
      <c r="H48" s="1"/>
      <c r="I48" s="1"/>
      <c r="J48" s="1"/>
      <c r="K48" s="1"/>
      <c r="L48" s="1"/>
      <c r="M48" s="1"/>
      <c r="N48" s="18"/>
    </row>
    <row r="49" spans="2:14" ht="15" customHeight="1" x14ac:dyDescent="0.25">
      <c r="B49" s="20"/>
      <c r="C49" s="5" t="s">
        <v>185</v>
      </c>
      <c r="D49" s="6" t="s">
        <v>180</v>
      </c>
      <c r="E49" s="11">
        <v>1.848E-3</v>
      </c>
      <c r="F49" s="1"/>
      <c r="G49" s="1"/>
      <c r="H49" s="1"/>
      <c r="I49" s="1"/>
      <c r="J49" s="1"/>
      <c r="K49" s="1"/>
      <c r="L49" s="1"/>
      <c r="M49" s="1"/>
      <c r="N49" s="18"/>
    </row>
    <row r="50" spans="2:14" ht="15" customHeight="1" x14ac:dyDescent="0.25">
      <c r="B50" s="20"/>
      <c r="C50" s="5" t="s">
        <v>195</v>
      </c>
      <c r="D50" s="6" t="s">
        <v>180</v>
      </c>
      <c r="E50" s="11">
        <v>2.7399999999999999E-4</v>
      </c>
      <c r="F50" s="1"/>
      <c r="G50" s="1"/>
      <c r="H50" s="1"/>
      <c r="I50" s="1"/>
      <c r="J50" s="1"/>
      <c r="K50" s="1"/>
      <c r="L50" s="1"/>
      <c r="M50" s="1"/>
      <c r="N50" s="18"/>
    </row>
    <row r="51" spans="2:14" ht="15" customHeight="1" x14ac:dyDescent="0.25">
      <c r="B51" s="20"/>
      <c r="C51" s="7" t="s">
        <v>51</v>
      </c>
      <c r="D51" s="8"/>
      <c r="E51" s="12">
        <v>0.210205</v>
      </c>
      <c r="F51" s="1"/>
      <c r="G51" s="1"/>
      <c r="H51" s="1"/>
      <c r="I51" s="1"/>
      <c r="J51" s="1"/>
      <c r="K51" s="1"/>
      <c r="L51" s="1"/>
      <c r="M51" s="1"/>
      <c r="N51" s="18"/>
    </row>
    <row r="52" spans="2:14" ht="15" customHeight="1" x14ac:dyDescent="0.25">
      <c r="B52" s="20"/>
      <c r="C52" s="5" t="s">
        <v>166</v>
      </c>
      <c r="D52" s="6" t="s">
        <v>180</v>
      </c>
      <c r="E52" s="11">
        <v>1.7000000000000001E-4</v>
      </c>
      <c r="F52" s="1"/>
      <c r="G52" s="1"/>
      <c r="H52" s="1"/>
      <c r="I52" s="1"/>
      <c r="J52" s="1"/>
      <c r="K52" s="1"/>
      <c r="L52" s="1"/>
      <c r="M52" s="1"/>
      <c r="N52" s="18"/>
    </row>
    <row r="53" spans="2:14" ht="15" customHeight="1" x14ac:dyDescent="0.25">
      <c r="B53" s="20"/>
      <c r="C53" s="7" t="s">
        <v>90</v>
      </c>
      <c r="D53" s="8"/>
      <c r="E53" s="12">
        <v>1.7000000000000001E-4</v>
      </c>
      <c r="F53" s="1"/>
      <c r="G53" s="1"/>
      <c r="H53" s="1"/>
      <c r="I53" s="1"/>
      <c r="J53" s="1"/>
      <c r="K53" s="1"/>
      <c r="L53" s="1"/>
      <c r="M53" s="1"/>
      <c r="N53" s="18"/>
    </row>
    <row r="54" spans="2:14" ht="15" customHeight="1" x14ac:dyDescent="0.25">
      <c r="B54" s="20"/>
      <c r="C54" s="5" t="s">
        <v>8</v>
      </c>
      <c r="D54" s="6"/>
      <c r="E54" s="11">
        <v>5.4840000000000002E-3</v>
      </c>
      <c r="F54" s="1"/>
      <c r="G54" s="1"/>
      <c r="H54" s="1"/>
      <c r="I54" s="1"/>
      <c r="J54" s="1"/>
      <c r="K54" s="1"/>
      <c r="L54" s="1"/>
      <c r="M54" s="1"/>
      <c r="N54" s="18"/>
    </row>
    <row r="55" spans="2:14" ht="15" customHeight="1" x14ac:dyDescent="0.25">
      <c r="B55" s="20"/>
      <c r="C55" s="7" t="s">
        <v>9</v>
      </c>
      <c r="D55" s="8"/>
      <c r="E55" s="12">
        <v>5.4840000000000002E-3</v>
      </c>
      <c r="F55" s="1"/>
      <c r="G55" s="1"/>
      <c r="H55" s="1"/>
      <c r="I55" s="1"/>
      <c r="J55" s="1"/>
      <c r="K55" s="1"/>
      <c r="L55" s="1"/>
      <c r="M55" s="1"/>
      <c r="N55" s="18"/>
    </row>
    <row r="56" spans="2:14" ht="15" customHeight="1" x14ac:dyDescent="0.25">
      <c r="B56" s="20"/>
      <c r="C56" s="5"/>
      <c r="D56" s="6"/>
      <c r="E56" s="11"/>
      <c r="F56" s="1"/>
      <c r="G56" s="1"/>
      <c r="H56" s="1"/>
      <c r="I56" s="1"/>
      <c r="J56" s="1"/>
      <c r="K56" s="1"/>
      <c r="L56" s="1"/>
      <c r="M56" s="1"/>
      <c r="N56" s="18"/>
    </row>
    <row r="57" spans="2:14" ht="15" customHeight="1" x14ac:dyDescent="0.25">
      <c r="B57" s="20"/>
      <c r="C57" s="7" t="s">
        <v>10</v>
      </c>
      <c r="D57" s="8"/>
      <c r="E57" s="12">
        <v>2.3163E-2</v>
      </c>
      <c r="F57" s="1"/>
      <c r="G57" s="1"/>
      <c r="H57" s="1"/>
      <c r="I57" s="1"/>
      <c r="J57" s="1"/>
      <c r="K57" s="1"/>
      <c r="L57" s="1"/>
      <c r="M57" s="1"/>
      <c r="N57" s="18"/>
    </row>
    <row r="58" spans="2:14" ht="15" customHeight="1" x14ac:dyDescent="0.25">
      <c r="B58" s="20"/>
      <c r="C58" s="5"/>
      <c r="D58" s="6"/>
      <c r="E58" s="11"/>
      <c r="F58" s="1"/>
      <c r="G58" s="1"/>
      <c r="H58" s="1"/>
      <c r="I58" s="1"/>
      <c r="J58" s="1"/>
      <c r="K58" s="1"/>
      <c r="L58" s="1"/>
      <c r="M58" s="1"/>
      <c r="N58" s="18"/>
    </row>
    <row r="59" spans="2:14" ht="15" customHeight="1" x14ac:dyDescent="0.25">
      <c r="B59" s="20"/>
      <c r="C59" s="9" t="s">
        <v>11</v>
      </c>
      <c r="D59" s="10"/>
      <c r="E59" s="13">
        <v>1</v>
      </c>
      <c r="F59" s="1"/>
      <c r="G59" s="1"/>
      <c r="H59" s="1"/>
      <c r="I59" s="1"/>
      <c r="J59" s="1"/>
      <c r="K59" s="1"/>
      <c r="L59" s="1"/>
      <c r="M59" s="1"/>
      <c r="N59" s="18"/>
    </row>
    <row r="60" spans="2:14" ht="15" customHeight="1" x14ac:dyDescent="0.25">
      <c r="B60" s="20"/>
      <c r="C60" s="1"/>
      <c r="D60" s="1"/>
      <c r="E60" s="1"/>
      <c r="F60" s="1"/>
      <c r="G60" s="1"/>
      <c r="H60" s="1"/>
      <c r="I60" s="1"/>
      <c r="J60" s="1"/>
      <c r="K60" s="1"/>
      <c r="L60" s="1"/>
      <c r="M60" s="1"/>
      <c r="N60" s="18"/>
    </row>
    <row r="61" spans="2:14" ht="15" customHeight="1" thickBot="1" x14ac:dyDescent="0.3">
      <c r="B61" s="21"/>
      <c r="C61" s="22"/>
      <c r="D61" s="22"/>
      <c r="E61" s="22"/>
      <c r="F61" s="22"/>
      <c r="G61" s="22"/>
      <c r="H61" s="22"/>
      <c r="I61" s="22"/>
      <c r="J61" s="22"/>
      <c r="K61" s="22"/>
      <c r="L61" s="22"/>
      <c r="M61" s="22"/>
      <c r="N61" s="23"/>
    </row>
    <row r="62" spans="2:14" ht="15" customHeight="1" thickBot="1" x14ac:dyDescent="0.3"/>
    <row r="63" spans="2:14" ht="15" customHeight="1" x14ac:dyDescent="0.25">
      <c r="B63" s="68" t="s">
        <v>286</v>
      </c>
      <c r="C63" s="69"/>
      <c r="D63" s="69"/>
      <c r="E63" s="69"/>
      <c r="F63" s="69"/>
      <c r="G63" s="69"/>
      <c r="H63" s="69"/>
      <c r="I63" s="69"/>
      <c r="J63" s="69"/>
      <c r="K63" s="69"/>
      <c r="L63" s="69"/>
      <c r="M63" s="69"/>
      <c r="N63" s="70"/>
    </row>
    <row r="64" spans="2:14" ht="15" customHeight="1" x14ac:dyDescent="0.25">
      <c r="B64" s="71"/>
      <c r="C64" s="72"/>
      <c r="D64" s="72"/>
      <c r="E64" s="72"/>
      <c r="F64" s="72"/>
      <c r="G64" s="72"/>
      <c r="H64" s="72"/>
      <c r="I64" s="72"/>
      <c r="J64" s="72"/>
      <c r="K64" s="72"/>
      <c r="L64" s="72"/>
      <c r="M64" s="72"/>
      <c r="N64" s="73"/>
    </row>
    <row r="65" spans="2:14" ht="15" customHeight="1" x14ac:dyDescent="0.25">
      <c r="B65" s="71"/>
      <c r="C65" s="72"/>
      <c r="D65" s="72"/>
      <c r="E65" s="72"/>
      <c r="F65" s="72"/>
      <c r="G65" s="72"/>
      <c r="H65" s="72"/>
      <c r="I65" s="72"/>
      <c r="J65" s="72"/>
      <c r="K65" s="72"/>
      <c r="L65" s="72"/>
      <c r="M65" s="72"/>
      <c r="N65" s="73"/>
    </row>
    <row r="66" spans="2:14" ht="15" customHeight="1" thickBot="1" x14ac:dyDescent="0.3">
      <c r="B66" s="74"/>
      <c r="C66" s="75"/>
      <c r="D66" s="75"/>
      <c r="E66" s="75"/>
      <c r="F66" s="75"/>
      <c r="G66" s="75"/>
      <c r="H66" s="75"/>
      <c r="I66" s="75"/>
      <c r="J66" s="75"/>
      <c r="K66" s="75"/>
      <c r="L66" s="75"/>
      <c r="M66" s="75"/>
      <c r="N66" s="76"/>
    </row>
    <row r="67" spans="2:14" ht="15" customHeight="1" thickBot="1" x14ac:dyDescent="0.3"/>
    <row r="68" spans="2:14" ht="137.25" customHeight="1" thickBot="1" x14ac:dyDescent="0.3">
      <c r="B68" s="85" t="s">
        <v>292</v>
      </c>
      <c r="C68" s="86"/>
      <c r="D68" s="86"/>
      <c r="E68" s="86"/>
      <c r="F68" s="86"/>
      <c r="G68" s="86"/>
      <c r="H68" s="86"/>
      <c r="I68" s="86"/>
      <c r="J68" s="86"/>
      <c r="K68" s="86"/>
      <c r="L68" s="86"/>
      <c r="M68" s="86"/>
      <c r="N68" s="87"/>
    </row>
    <row r="69" spans="2:14" ht="15" customHeight="1" x14ac:dyDescent="0.25"/>
    <row r="70" spans="2:14" ht="15" customHeight="1" x14ac:dyDescent="0.25"/>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sheetData>
  <sortState ref="C34:E50">
    <sortCondition descending="1" ref="E34"/>
  </sortState>
  <mergeCells count="7">
    <mergeCell ref="B63:N66"/>
    <mergeCell ref="B68:N68"/>
    <mergeCell ref="C3:N3"/>
    <mergeCell ref="D5:E5"/>
    <mergeCell ref="G7:N7"/>
    <mergeCell ref="G24:K24"/>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E2661-A87A-406E-920F-11F0381EA1EF}">
  <dimension ref="B1:N61"/>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7" t="s">
        <v>167</v>
      </c>
      <c r="D3" s="78"/>
      <c r="E3" s="78"/>
      <c r="F3" s="78"/>
      <c r="G3" s="78"/>
      <c r="H3" s="78"/>
      <c r="I3" s="78"/>
      <c r="J3" s="78"/>
      <c r="K3" s="78"/>
      <c r="L3" s="78"/>
      <c r="M3" s="78"/>
      <c r="N3" s="79"/>
    </row>
    <row r="4" spans="2:14" ht="15.75" customHeight="1" x14ac:dyDescent="0.25">
      <c r="B4" s="20"/>
      <c r="C4" s="14"/>
      <c r="D4" s="1"/>
      <c r="E4" s="1"/>
      <c r="F4" s="1"/>
      <c r="G4" s="1"/>
      <c r="H4" s="1"/>
      <c r="I4" s="1"/>
      <c r="J4" s="1"/>
      <c r="K4" s="1"/>
      <c r="L4" s="1"/>
      <c r="M4" s="1"/>
      <c r="N4" s="18"/>
    </row>
    <row r="5" spans="2:14" ht="18" customHeight="1" x14ac:dyDescent="0.25">
      <c r="B5" s="20"/>
      <c r="C5" s="15" t="s">
        <v>1</v>
      </c>
      <c r="D5" s="80" t="s">
        <v>168</v>
      </c>
      <c r="E5" s="8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2" t="s">
        <v>16</v>
      </c>
      <c r="H7" s="83"/>
      <c r="I7" s="83"/>
      <c r="J7" s="83"/>
      <c r="K7" s="83"/>
      <c r="L7" s="83"/>
      <c r="M7" s="83"/>
      <c r="N7" s="84"/>
    </row>
    <row r="8" spans="2:14" ht="15" customHeight="1" x14ac:dyDescent="0.25">
      <c r="B8" s="20"/>
      <c r="C8" s="5" t="s">
        <v>21</v>
      </c>
      <c r="D8" s="6" t="s">
        <v>22</v>
      </c>
      <c r="E8" s="11">
        <v>0.116559</v>
      </c>
      <c r="F8" s="1"/>
      <c r="G8" s="24" t="s">
        <v>15</v>
      </c>
      <c r="H8" s="25">
        <v>1</v>
      </c>
      <c r="I8" s="1"/>
      <c r="J8" s="24" t="s">
        <v>12</v>
      </c>
      <c r="K8" s="24" t="s">
        <v>5</v>
      </c>
      <c r="L8" s="1"/>
      <c r="M8" s="1"/>
      <c r="N8" s="18"/>
    </row>
    <row r="9" spans="2:14" ht="15" customHeight="1" x14ac:dyDescent="0.25">
      <c r="B9" s="20"/>
      <c r="C9" s="5" t="s">
        <v>28</v>
      </c>
      <c r="D9" s="6" t="s">
        <v>22</v>
      </c>
      <c r="E9" s="11">
        <v>7.7068999999999999E-2</v>
      </c>
      <c r="F9" s="1"/>
      <c r="G9" s="1"/>
      <c r="H9" s="1"/>
      <c r="I9" s="1"/>
      <c r="J9" s="24" t="s">
        <v>10</v>
      </c>
      <c r="K9" s="28">
        <v>-2.7169999999999998E-3</v>
      </c>
      <c r="L9" s="1"/>
      <c r="M9" s="1"/>
      <c r="N9" s="18"/>
    </row>
    <row r="10" spans="2:14" ht="15" customHeight="1" x14ac:dyDescent="0.25">
      <c r="B10" s="20"/>
      <c r="C10" s="5" t="s">
        <v>32</v>
      </c>
      <c r="D10" s="6" t="s">
        <v>22</v>
      </c>
      <c r="E10" s="11">
        <v>7.2053000000000006E-2</v>
      </c>
      <c r="F10" s="1"/>
      <c r="G10" s="1"/>
      <c r="H10" s="1"/>
      <c r="I10" s="1"/>
      <c r="J10" s="24" t="s">
        <v>13</v>
      </c>
      <c r="K10" s="28">
        <v>3.4790000000000001E-2</v>
      </c>
      <c r="L10" s="1"/>
      <c r="M10" s="1"/>
      <c r="N10" s="18"/>
    </row>
    <row r="11" spans="2:14" ht="15" customHeight="1" x14ac:dyDescent="0.25">
      <c r="B11" s="20"/>
      <c r="C11" s="5" t="s">
        <v>146</v>
      </c>
      <c r="D11" s="6" t="s">
        <v>22</v>
      </c>
      <c r="E11" s="11">
        <v>6.3013E-2</v>
      </c>
      <c r="F11" s="1"/>
      <c r="G11" s="1"/>
      <c r="H11" s="1"/>
      <c r="I11" s="1"/>
      <c r="J11" s="24" t="s">
        <v>52</v>
      </c>
      <c r="K11" s="28">
        <v>0.59855599999999998</v>
      </c>
      <c r="L11" s="1"/>
      <c r="M11" s="1"/>
      <c r="N11" s="18"/>
    </row>
    <row r="12" spans="2:14" ht="15" customHeight="1" x14ac:dyDescent="0.25">
      <c r="B12" s="20"/>
      <c r="C12" s="5" t="s">
        <v>23</v>
      </c>
      <c r="D12" s="6" t="s">
        <v>22</v>
      </c>
      <c r="E12" s="11">
        <v>5.5306000000000001E-2</v>
      </c>
      <c r="F12" s="1"/>
      <c r="G12" s="1"/>
      <c r="H12" s="1"/>
      <c r="I12" s="1"/>
      <c r="J12" s="24" t="s">
        <v>54</v>
      </c>
      <c r="K12" s="28">
        <v>0.26494699999999999</v>
      </c>
      <c r="L12" s="1"/>
      <c r="M12" s="1"/>
      <c r="N12" s="18"/>
    </row>
    <row r="13" spans="2:14" ht="15" customHeight="1" x14ac:dyDescent="0.25">
      <c r="B13" s="20"/>
      <c r="C13" s="5" t="s">
        <v>41</v>
      </c>
      <c r="D13" s="6" t="s">
        <v>22</v>
      </c>
      <c r="E13" s="11">
        <v>5.5293000000000002E-2</v>
      </c>
      <c r="F13" s="1"/>
      <c r="G13" s="1"/>
      <c r="H13" s="1"/>
      <c r="I13" s="1"/>
      <c r="J13" s="24" t="s">
        <v>45</v>
      </c>
      <c r="K13" s="28">
        <v>1.91E-3</v>
      </c>
      <c r="L13" s="1"/>
      <c r="M13" s="1"/>
      <c r="N13" s="18"/>
    </row>
    <row r="14" spans="2:14" ht="15" customHeight="1" x14ac:dyDescent="0.25">
      <c r="B14" s="20"/>
      <c r="C14" s="5" t="s">
        <v>104</v>
      </c>
      <c r="D14" s="6" t="s">
        <v>22</v>
      </c>
      <c r="E14" s="11">
        <v>5.3464999999999999E-2</v>
      </c>
      <c r="F14" s="1"/>
      <c r="G14" s="1"/>
      <c r="H14" s="1"/>
      <c r="I14" s="1"/>
      <c r="J14" s="24" t="s">
        <v>92</v>
      </c>
      <c r="K14" s="28">
        <v>0.10251399999999999</v>
      </c>
      <c r="L14" s="1"/>
      <c r="M14" s="1"/>
      <c r="N14" s="18"/>
    </row>
    <row r="15" spans="2:14" ht="15" customHeight="1" x14ac:dyDescent="0.25">
      <c r="B15" s="20"/>
      <c r="C15" s="5" t="s">
        <v>25</v>
      </c>
      <c r="D15" s="6" t="s">
        <v>22</v>
      </c>
      <c r="E15" s="11">
        <v>5.0054000000000001E-2</v>
      </c>
      <c r="F15" s="1"/>
      <c r="G15" s="1"/>
      <c r="H15" s="1"/>
      <c r="I15" s="1"/>
      <c r="J15" s="1"/>
      <c r="K15" s="1"/>
      <c r="L15" s="1"/>
      <c r="M15" s="1"/>
      <c r="N15" s="18"/>
    </row>
    <row r="16" spans="2:14" ht="15" customHeight="1" x14ac:dyDescent="0.25">
      <c r="B16" s="20"/>
      <c r="C16" s="5" t="s">
        <v>30</v>
      </c>
      <c r="D16" s="6" t="s">
        <v>22</v>
      </c>
      <c r="E16" s="11">
        <v>2.7941000000000001E-2</v>
      </c>
      <c r="F16" s="1"/>
      <c r="G16" s="1"/>
      <c r="H16" s="1"/>
      <c r="I16" s="1"/>
      <c r="J16" s="1"/>
      <c r="K16" s="1"/>
      <c r="L16" s="1"/>
      <c r="M16" s="1"/>
      <c r="N16" s="18"/>
    </row>
    <row r="17" spans="2:14" ht="15" customHeight="1" x14ac:dyDescent="0.25">
      <c r="B17" s="20"/>
      <c r="C17" s="5" t="s">
        <v>24</v>
      </c>
      <c r="D17" s="6" t="s">
        <v>22</v>
      </c>
      <c r="E17" s="11">
        <v>2.7803000000000001E-2</v>
      </c>
      <c r="F17" s="1"/>
      <c r="G17" s="1"/>
      <c r="H17" s="1"/>
      <c r="I17" s="1"/>
      <c r="J17" s="1"/>
      <c r="K17" s="1"/>
      <c r="L17" s="1"/>
      <c r="M17" s="1"/>
      <c r="N17" s="18"/>
    </row>
    <row r="18" spans="2:14" ht="15.75" customHeight="1" x14ac:dyDescent="0.25">
      <c r="B18" s="20"/>
      <c r="C18" s="7" t="s">
        <v>26</v>
      </c>
      <c r="D18" s="8"/>
      <c r="E18" s="12">
        <v>0.59855599999999998</v>
      </c>
      <c r="F18" s="1"/>
      <c r="G18" s="1"/>
      <c r="H18" s="1"/>
      <c r="I18" s="1"/>
      <c r="J18" s="1"/>
      <c r="K18" s="1"/>
      <c r="L18" s="1"/>
      <c r="M18" s="1"/>
      <c r="N18" s="18"/>
    </row>
    <row r="19" spans="2:14" ht="15" customHeight="1" x14ac:dyDescent="0.25">
      <c r="B19" s="20"/>
      <c r="C19" s="5" t="s">
        <v>30</v>
      </c>
      <c r="D19" s="6" t="s">
        <v>22</v>
      </c>
      <c r="E19" s="11">
        <v>6.2867999999999993E-2</v>
      </c>
      <c r="F19" s="1"/>
      <c r="G19" s="1"/>
      <c r="H19" s="1"/>
      <c r="I19" s="1"/>
      <c r="J19" s="1"/>
      <c r="K19" s="1"/>
      <c r="L19" s="1"/>
      <c r="M19" s="1"/>
      <c r="N19" s="18"/>
    </row>
    <row r="20" spans="2:14" ht="15" customHeight="1" x14ac:dyDescent="0.25">
      <c r="B20" s="20"/>
      <c r="C20" s="5" t="s">
        <v>151</v>
      </c>
      <c r="D20" s="6" t="s">
        <v>22</v>
      </c>
      <c r="E20" s="11">
        <v>4.8814999999999997E-2</v>
      </c>
      <c r="F20" s="1"/>
      <c r="G20" s="1"/>
      <c r="H20" s="1"/>
      <c r="I20" s="1"/>
      <c r="J20" s="1"/>
      <c r="K20" s="1"/>
      <c r="L20" s="1"/>
      <c r="M20" s="1"/>
      <c r="N20" s="18"/>
    </row>
    <row r="21" spans="2:14" ht="15" customHeight="1" x14ac:dyDescent="0.25">
      <c r="B21" s="20"/>
      <c r="C21" s="5" t="s">
        <v>153</v>
      </c>
      <c r="D21" s="6" t="s">
        <v>22</v>
      </c>
      <c r="E21" s="11">
        <v>4.8807000000000003E-2</v>
      </c>
      <c r="F21" s="1"/>
      <c r="G21" s="1"/>
      <c r="H21" s="1"/>
      <c r="I21" s="1"/>
      <c r="J21" s="1"/>
      <c r="K21" s="1"/>
      <c r="L21" s="1"/>
      <c r="M21" s="1"/>
      <c r="N21" s="18"/>
    </row>
    <row r="22" spans="2:14" ht="15" customHeight="1" x14ac:dyDescent="0.25">
      <c r="B22" s="20"/>
      <c r="C22" s="5" t="s">
        <v>35</v>
      </c>
      <c r="D22" s="6" t="s">
        <v>22</v>
      </c>
      <c r="E22" s="11">
        <v>2.784E-2</v>
      </c>
      <c r="F22" s="1"/>
      <c r="G22" s="1"/>
      <c r="H22" s="1"/>
      <c r="I22" s="1"/>
      <c r="J22" s="1"/>
      <c r="K22" s="1"/>
      <c r="L22" s="1"/>
      <c r="M22" s="1"/>
      <c r="N22" s="18"/>
    </row>
    <row r="23" spans="2:14" ht="15" customHeight="1" x14ac:dyDescent="0.25">
      <c r="B23" s="20"/>
      <c r="C23" s="5" t="s">
        <v>32</v>
      </c>
      <c r="D23" s="6" t="s">
        <v>22</v>
      </c>
      <c r="E23" s="11">
        <v>2.1061E-2</v>
      </c>
      <c r="F23" s="1"/>
      <c r="G23" s="1"/>
      <c r="H23" s="1"/>
      <c r="I23" s="1"/>
      <c r="J23" s="1"/>
      <c r="K23" s="1"/>
      <c r="L23" s="1"/>
      <c r="M23" s="1"/>
      <c r="N23" s="18"/>
    </row>
    <row r="24" spans="2:14" ht="15" customHeight="1" x14ac:dyDescent="0.25">
      <c r="B24" s="20"/>
      <c r="C24" s="5" t="s">
        <v>169</v>
      </c>
      <c r="D24" s="6" t="s">
        <v>22</v>
      </c>
      <c r="E24" s="11">
        <v>2.0628000000000001E-2</v>
      </c>
      <c r="F24" s="1"/>
      <c r="G24" s="82" t="s">
        <v>128</v>
      </c>
      <c r="H24" s="83"/>
      <c r="I24" s="83"/>
      <c r="J24" s="83"/>
      <c r="K24" s="83"/>
      <c r="L24" s="63">
        <v>109.03785242283597</v>
      </c>
      <c r="M24" s="26"/>
      <c r="N24" s="27"/>
    </row>
    <row r="25" spans="2:14" ht="15" customHeight="1" x14ac:dyDescent="0.25">
      <c r="B25" s="20"/>
      <c r="C25" s="5" t="s">
        <v>24</v>
      </c>
      <c r="D25" s="6" t="s">
        <v>22</v>
      </c>
      <c r="E25" s="11">
        <v>1.3962E-2</v>
      </c>
      <c r="F25" s="1"/>
      <c r="G25" s="1"/>
      <c r="H25" s="1"/>
      <c r="I25" s="1"/>
      <c r="J25" s="1"/>
      <c r="K25" s="1"/>
      <c r="L25" s="1"/>
      <c r="M25" s="1"/>
      <c r="N25" s="18"/>
    </row>
    <row r="26" spans="2:14" ht="15" customHeight="1" x14ac:dyDescent="0.25">
      <c r="B26" s="20"/>
      <c r="C26" s="5" t="s">
        <v>147</v>
      </c>
      <c r="D26" s="6" t="s">
        <v>22</v>
      </c>
      <c r="E26" s="11">
        <v>7.0210000000000003E-3</v>
      </c>
      <c r="F26" s="1"/>
      <c r="G26" s="82" t="s">
        <v>18</v>
      </c>
      <c r="H26" s="83"/>
      <c r="I26" s="83"/>
      <c r="J26" s="83"/>
      <c r="K26" s="83"/>
      <c r="L26" s="83"/>
      <c r="M26" s="83"/>
      <c r="N26" s="84"/>
    </row>
    <row r="27" spans="2:14" ht="15" customHeight="1" x14ac:dyDescent="0.25">
      <c r="B27" s="20"/>
      <c r="C27" s="5" t="s">
        <v>154</v>
      </c>
      <c r="D27" s="6" t="s">
        <v>22</v>
      </c>
      <c r="E27" s="11">
        <v>6.9810000000000002E-3</v>
      </c>
      <c r="F27" s="1"/>
      <c r="G27" s="1"/>
      <c r="H27" s="1"/>
      <c r="I27" s="1"/>
      <c r="J27" s="1"/>
      <c r="K27" s="1"/>
      <c r="L27" s="1"/>
      <c r="M27" s="1"/>
      <c r="N27" s="18"/>
    </row>
    <row r="28" spans="2:14" ht="15" customHeight="1" x14ac:dyDescent="0.25">
      <c r="B28" s="20"/>
      <c r="C28" s="5" t="s">
        <v>74</v>
      </c>
      <c r="D28" s="6" t="s">
        <v>22</v>
      </c>
      <c r="E28" s="11">
        <v>6.9639999999999997E-3</v>
      </c>
      <c r="F28" s="1"/>
      <c r="G28" s="1"/>
      <c r="H28" s="1"/>
      <c r="I28" s="1"/>
      <c r="J28" s="1"/>
      <c r="K28" s="1"/>
      <c r="L28" s="1"/>
      <c r="M28" s="1"/>
      <c r="N28" s="18"/>
    </row>
    <row r="29" spans="2:14" ht="15.75" customHeight="1" x14ac:dyDescent="0.25">
      <c r="B29" s="20"/>
      <c r="C29" s="7" t="s">
        <v>27</v>
      </c>
      <c r="D29" s="8"/>
      <c r="E29" s="12">
        <v>0.26494699999999999</v>
      </c>
      <c r="F29" s="1"/>
      <c r="G29" s="1"/>
      <c r="H29" s="1"/>
      <c r="I29" s="1"/>
      <c r="J29" s="1"/>
      <c r="K29" s="1"/>
      <c r="L29" s="1"/>
      <c r="M29" s="1"/>
      <c r="N29" s="18"/>
    </row>
    <row r="30" spans="2:14" ht="15" customHeight="1" x14ac:dyDescent="0.25">
      <c r="B30" s="20"/>
      <c r="C30" s="5" t="s">
        <v>45</v>
      </c>
      <c r="D30" s="6"/>
      <c r="E30" s="11">
        <v>1.91E-3</v>
      </c>
      <c r="F30" s="1"/>
      <c r="G30" s="1"/>
      <c r="H30" s="1"/>
      <c r="I30" s="1"/>
      <c r="J30" s="1"/>
      <c r="K30" s="1"/>
      <c r="L30" s="1"/>
      <c r="M30" s="1"/>
      <c r="N30" s="18"/>
    </row>
    <row r="31" spans="2:14" ht="15.75" customHeight="1" x14ac:dyDescent="0.25">
      <c r="B31" s="20"/>
      <c r="C31" s="7" t="s">
        <v>46</v>
      </c>
      <c r="D31" s="8"/>
      <c r="E31" s="12">
        <v>1.91E-3</v>
      </c>
      <c r="F31" s="1"/>
      <c r="G31" s="1"/>
      <c r="H31" s="1"/>
      <c r="I31" s="1"/>
      <c r="J31" s="1"/>
      <c r="K31" s="1"/>
      <c r="L31" s="1"/>
      <c r="M31" s="1"/>
      <c r="N31" s="18"/>
    </row>
    <row r="32" spans="2:14" ht="15" customHeight="1" x14ac:dyDescent="0.25">
      <c r="B32" s="20"/>
      <c r="C32" s="5" t="s">
        <v>170</v>
      </c>
      <c r="D32" s="6" t="s">
        <v>180</v>
      </c>
      <c r="E32" s="11">
        <v>6.6034999999999996E-2</v>
      </c>
      <c r="F32" s="1"/>
      <c r="G32" s="1"/>
      <c r="H32" s="1"/>
      <c r="I32" s="1"/>
      <c r="J32" s="1"/>
      <c r="K32" s="1"/>
      <c r="L32" s="1"/>
      <c r="M32" s="1"/>
      <c r="N32" s="18"/>
    </row>
    <row r="33" spans="2:14" ht="15" customHeight="1" x14ac:dyDescent="0.25">
      <c r="B33" s="20"/>
      <c r="C33" s="5" t="s">
        <v>166</v>
      </c>
      <c r="D33" s="6" t="s">
        <v>180</v>
      </c>
      <c r="E33" s="11">
        <v>2.2425E-2</v>
      </c>
      <c r="F33" s="1"/>
      <c r="G33" s="1"/>
      <c r="H33" s="1"/>
      <c r="I33" s="1"/>
      <c r="J33" s="1"/>
      <c r="K33" s="1"/>
      <c r="L33" s="1"/>
      <c r="M33" s="1"/>
      <c r="N33" s="18"/>
    </row>
    <row r="34" spans="2:14" ht="15" customHeight="1" x14ac:dyDescent="0.25">
      <c r="B34" s="20"/>
      <c r="C34" s="5" t="s">
        <v>171</v>
      </c>
      <c r="D34" s="6" t="s">
        <v>180</v>
      </c>
      <c r="E34" s="11">
        <v>1.4054000000000001E-2</v>
      </c>
      <c r="F34" s="1"/>
      <c r="G34" s="1"/>
      <c r="H34" s="1"/>
      <c r="I34" s="1"/>
      <c r="J34" s="1"/>
      <c r="K34" s="1"/>
      <c r="L34" s="1"/>
      <c r="M34" s="1"/>
      <c r="N34" s="18"/>
    </row>
    <row r="35" spans="2:14" ht="15.75" customHeight="1" x14ac:dyDescent="0.25">
      <c r="B35" s="20"/>
      <c r="C35" s="7" t="s">
        <v>90</v>
      </c>
      <c r="D35" s="8"/>
      <c r="E35" s="12">
        <v>0.10251399999999999</v>
      </c>
      <c r="F35" s="1"/>
      <c r="G35" s="1"/>
      <c r="H35" s="1"/>
      <c r="I35" s="1"/>
      <c r="J35" s="1"/>
      <c r="K35" s="1"/>
      <c r="L35" s="1"/>
      <c r="M35" s="1"/>
      <c r="N35" s="18"/>
    </row>
    <row r="36" spans="2:14" ht="15" customHeight="1" x14ac:dyDescent="0.25">
      <c r="B36" s="20"/>
      <c r="C36" s="5" t="s">
        <v>8</v>
      </c>
      <c r="D36" s="6"/>
      <c r="E36" s="11">
        <v>3.4790000000000001E-2</v>
      </c>
      <c r="F36" s="1"/>
      <c r="G36" s="1"/>
      <c r="H36" s="1"/>
      <c r="I36" s="1"/>
      <c r="J36" s="1"/>
      <c r="K36" s="1"/>
      <c r="L36" s="1"/>
      <c r="M36" s="1"/>
      <c r="N36" s="18"/>
    </row>
    <row r="37" spans="2:14" ht="15.75" customHeight="1" x14ac:dyDescent="0.25">
      <c r="B37" s="20"/>
      <c r="C37" s="7" t="s">
        <v>9</v>
      </c>
      <c r="D37" s="8"/>
      <c r="E37" s="12">
        <v>3.4790000000000001E-2</v>
      </c>
      <c r="F37" s="1"/>
      <c r="G37" s="1"/>
      <c r="H37" s="1"/>
      <c r="I37" s="1"/>
      <c r="J37" s="1"/>
      <c r="K37" s="1"/>
      <c r="L37" s="1"/>
      <c r="M37" s="1"/>
      <c r="N37" s="18"/>
    </row>
    <row r="38" spans="2:14" ht="15" customHeight="1" x14ac:dyDescent="0.25">
      <c r="B38" s="20"/>
      <c r="C38" s="5"/>
      <c r="D38" s="6"/>
      <c r="E38" s="11"/>
      <c r="F38" s="1"/>
      <c r="G38" s="1"/>
      <c r="H38" s="1"/>
      <c r="I38" s="1"/>
      <c r="J38" s="1"/>
      <c r="K38" s="1"/>
      <c r="L38" s="1"/>
      <c r="M38" s="1"/>
      <c r="N38" s="18"/>
    </row>
    <row r="39" spans="2:14" ht="15.75" customHeight="1" x14ac:dyDescent="0.25">
      <c r="B39" s="20"/>
      <c r="C39" s="7" t="s">
        <v>10</v>
      </c>
      <c r="D39" s="8"/>
      <c r="E39" s="12">
        <v>-2.7169999999999998E-3</v>
      </c>
      <c r="F39" s="1"/>
      <c r="G39" s="1"/>
      <c r="H39" s="1"/>
      <c r="I39" s="1"/>
      <c r="J39" s="1"/>
      <c r="K39" s="1"/>
      <c r="L39" s="1"/>
      <c r="M39" s="1"/>
      <c r="N39" s="18"/>
    </row>
    <row r="40" spans="2:14" ht="15" customHeight="1" x14ac:dyDescent="0.25">
      <c r="B40" s="20"/>
      <c r="C40" s="5"/>
      <c r="D40" s="6"/>
      <c r="E40" s="11"/>
      <c r="F40" s="1"/>
      <c r="G40" s="1"/>
      <c r="H40" s="1"/>
      <c r="I40" s="1"/>
      <c r="J40" s="1"/>
      <c r="K40" s="1"/>
      <c r="L40" s="1"/>
      <c r="M40" s="1"/>
      <c r="N40" s="18"/>
    </row>
    <row r="41" spans="2:14" ht="15" customHeight="1" x14ac:dyDescent="0.25">
      <c r="B41" s="20"/>
      <c r="C41" s="9" t="s">
        <v>11</v>
      </c>
      <c r="D41" s="10"/>
      <c r="E41" s="13">
        <v>1</v>
      </c>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8" t="s">
        <v>286</v>
      </c>
      <c r="C45" s="69"/>
      <c r="D45" s="69"/>
      <c r="E45" s="69"/>
      <c r="F45" s="69"/>
      <c r="G45" s="69"/>
      <c r="H45" s="69"/>
      <c r="I45" s="69"/>
      <c r="J45" s="69"/>
      <c r="K45" s="69"/>
      <c r="L45" s="69"/>
      <c r="M45" s="69"/>
      <c r="N45" s="70"/>
    </row>
    <row r="46" spans="2:14" ht="15" customHeight="1" x14ac:dyDescent="0.25">
      <c r="B46" s="71"/>
      <c r="C46" s="72"/>
      <c r="D46" s="72"/>
      <c r="E46" s="72"/>
      <c r="F46" s="72"/>
      <c r="G46" s="72"/>
      <c r="H46" s="72"/>
      <c r="I46" s="72"/>
      <c r="J46" s="72"/>
      <c r="K46" s="72"/>
      <c r="L46" s="72"/>
      <c r="M46" s="72"/>
      <c r="N46" s="73"/>
    </row>
    <row r="47" spans="2:14" ht="15" customHeight="1" x14ac:dyDescent="0.25">
      <c r="B47" s="71"/>
      <c r="C47" s="72"/>
      <c r="D47" s="72"/>
      <c r="E47" s="72"/>
      <c r="F47" s="72"/>
      <c r="G47" s="72"/>
      <c r="H47" s="72"/>
      <c r="I47" s="72"/>
      <c r="J47" s="72"/>
      <c r="K47" s="72"/>
      <c r="L47" s="72"/>
      <c r="M47" s="72"/>
      <c r="N47" s="73"/>
    </row>
    <row r="48" spans="2:14" ht="15" customHeight="1" thickBot="1" x14ac:dyDescent="0.3">
      <c r="B48" s="74"/>
      <c r="C48" s="75"/>
      <c r="D48" s="75"/>
      <c r="E48" s="75"/>
      <c r="F48" s="75"/>
      <c r="G48" s="75"/>
      <c r="H48" s="75"/>
      <c r="I48" s="75"/>
      <c r="J48" s="75"/>
      <c r="K48" s="75"/>
      <c r="L48" s="75"/>
      <c r="M48" s="75"/>
      <c r="N48" s="76"/>
    </row>
    <row r="49" spans="2:14" ht="15" customHeight="1" thickBot="1" x14ac:dyDescent="0.3"/>
    <row r="50" spans="2:14" ht="128.25" customHeight="1" thickBot="1" x14ac:dyDescent="0.3">
      <c r="B50" s="85" t="s">
        <v>292</v>
      </c>
      <c r="C50" s="86"/>
      <c r="D50" s="86"/>
      <c r="E50" s="86"/>
      <c r="F50" s="86"/>
      <c r="G50" s="86"/>
      <c r="H50" s="86"/>
      <c r="I50" s="86"/>
      <c r="J50" s="86"/>
      <c r="K50" s="86"/>
      <c r="L50" s="86"/>
      <c r="M50" s="86"/>
      <c r="N50" s="87"/>
    </row>
    <row r="51" spans="2:14" ht="15" customHeight="1" x14ac:dyDescent="0.25"/>
    <row r="52" spans="2:14" ht="15" customHeight="1" x14ac:dyDescent="0.25"/>
    <row r="53" spans="2:14" ht="15" customHeight="1" x14ac:dyDescent="0.25"/>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74EE3-7F1E-4DBD-8CDC-3FB6A5B2133F}">
  <dimension ref="B1:N74"/>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7" t="s">
        <v>178</v>
      </c>
      <c r="D3" s="78"/>
      <c r="E3" s="78"/>
      <c r="F3" s="78"/>
      <c r="G3" s="78"/>
      <c r="H3" s="78"/>
      <c r="I3" s="78"/>
      <c r="J3" s="78"/>
      <c r="K3" s="78"/>
      <c r="L3" s="78"/>
      <c r="M3" s="78"/>
      <c r="N3" s="79"/>
    </row>
    <row r="4" spans="2:14" ht="15.75" customHeight="1" x14ac:dyDescent="0.25">
      <c r="B4" s="20"/>
      <c r="C4" s="14"/>
      <c r="D4" s="1"/>
      <c r="E4" s="1"/>
      <c r="F4" s="1"/>
      <c r="G4" s="1"/>
      <c r="H4" s="1"/>
      <c r="I4" s="1"/>
      <c r="J4" s="1"/>
      <c r="K4" s="1"/>
      <c r="L4" s="1"/>
      <c r="M4" s="1"/>
      <c r="N4" s="18"/>
    </row>
    <row r="5" spans="2:14" ht="18" customHeight="1" x14ac:dyDescent="0.25">
      <c r="B5" s="20"/>
      <c r="C5" s="15" t="s">
        <v>1</v>
      </c>
      <c r="D5" s="80" t="s">
        <v>179</v>
      </c>
      <c r="E5" s="8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2" t="s">
        <v>16</v>
      </c>
      <c r="H7" s="83"/>
      <c r="I7" s="83"/>
      <c r="J7" s="83"/>
      <c r="K7" s="83"/>
      <c r="L7" s="83"/>
      <c r="M7" s="83"/>
      <c r="N7" s="84"/>
    </row>
    <row r="8" spans="2:14" ht="15" customHeight="1" x14ac:dyDescent="0.25">
      <c r="B8" s="20"/>
      <c r="C8" s="5" t="s">
        <v>32</v>
      </c>
      <c r="D8" s="6" t="s">
        <v>22</v>
      </c>
      <c r="E8" s="11">
        <v>9.5920000000000005E-2</v>
      </c>
      <c r="F8" s="1"/>
      <c r="G8" s="24" t="s">
        <v>15</v>
      </c>
      <c r="H8" s="25">
        <v>1</v>
      </c>
      <c r="I8" s="1"/>
      <c r="J8" s="24" t="s">
        <v>12</v>
      </c>
      <c r="K8" s="24" t="s">
        <v>5</v>
      </c>
      <c r="L8" s="1"/>
      <c r="M8" s="1"/>
      <c r="N8" s="18"/>
    </row>
    <row r="9" spans="2:14" ht="15" customHeight="1" x14ac:dyDescent="0.25">
      <c r="B9" s="20"/>
      <c r="C9" s="5" t="s">
        <v>21</v>
      </c>
      <c r="D9" s="6" t="s">
        <v>22</v>
      </c>
      <c r="E9" s="11">
        <v>9.5524999999999999E-2</v>
      </c>
      <c r="F9" s="1"/>
      <c r="G9" s="1"/>
      <c r="H9" s="1"/>
      <c r="I9" s="1"/>
      <c r="J9" s="24" t="s">
        <v>10</v>
      </c>
      <c r="K9" s="28">
        <v>-8.1949999999999992E-3</v>
      </c>
      <c r="L9" s="1"/>
      <c r="M9" s="1"/>
      <c r="N9" s="18"/>
    </row>
    <row r="10" spans="2:14" ht="15" customHeight="1" x14ac:dyDescent="0.25">
      <c r="B10" s="20"/>
      <c r="C10" s="5" t="s">
        <v>145</v>
      </c>
      <c r="D10" s="6" t="s">
        <v>22</v>
      </c>
      <c r="E10" s="11">
        <v>6.0005000000000003E-2</v>
      </c>
      <c r="F10" s="1"/>
      <c r="G10" s="1"/>
      <c r="H10" s="1"/>
      <c r="I10" s="1"/>
      <c r="J10" s="24" t="s">
        <v>13</v>
      </c>
      <c r="K10" s="28">
        <v>8.2434999999999994E-2</v>
      </c>
      <c r="L10" s="1"/>
      <c r="M10" s="1"/>
      <c r="N10" s="18"/>
    </row>
    <row r="11" spans="2:14" ht="15" customHeight="1" x14ac:dyDescent="0.25">
      <c r="B11" s="20"/>
      <c r="C11" s="5" t="s">
        <v>146</v>
      </c>
      <c r="D11" s="6" t="s">
        <v>22</v>
      </c>
      <c r="E11" s="11">
        <v>5.2422000000000003E-2</v>
      </c>
      <c r="F11" s="1"/>
      <c r="G11" s="1"/>
      <c r="H11" s="1"/>
      <c r="I11" s="1"/>
      <c r="J11" s="24" t="s">
        <v>52</v>
      </c>
      <c r="K11" s="28">
        <v>0.34735899999999997</v>
      </c>
      <c r="L11" s="1"/>
      <c r="M11" s="1"/>
      <c r="N11" s="18"/>
    </row>
    <row r="12" spans="2:14" ht="15" customHeight="1" x14ac:dyDescent="0.25">
      <c r="B12" s="20"/>
      <c r="C12" s="5" t="s">
        <v>30</v>
      </c>
      <c r="D12" s="6" t="s">
        <v>22</v>
      </c>
      <c r="E12" s="11">
        <v>2.9260999999999999E-2</v>
      </c>
      <c r="F12" s="1"/>
      <c r="G12" s="1"/>
      <c r="H12" s="1"/>
      <c r="I12" s="1"/>
      <c r="J12" s="24" t="s">
        <v>53</v>
      </c>
      <c r="K12" s="28">
        <v>0.407198</v>
      </c>
      <c r="L12" s="1"/>
      <c r="M12" s="1"/>
      <c r="N12" s="18"/>
    </row>
    <row r="13" spans="2:14" ht="15" customHeight="1" x14ac:dyDescent="0.25">
      <c r="B13" s="20"/>
      <c r="C13" s="5" t="s">
        <v>41</v>
      </c>
      <c r="D13" s="6" t="s">
        <v>22</v>
      </c>
      <c r="E13" s="11">
        <v>1.4226000000000001E-2</v>
      </c>
      <c r="F13" s="1"/>
      <c r="G13" s="1"/>
      <c r="H13" s="1"/>
      <c r="I13" s="1"/>
      <c r="J13" s="24" t="s">
        <v>54</v>
      </c>
      <c r="K13" s="28">
        <v>9.6817E-2</v>
      </c>
      <c r="L13" s="1"/>
      <c r="M13" s="1"/>
      <c r="N13" s="18"/>
    </row>
    <row r="14" spans="2:14" ht="15.75" customHeight="1" x14ac:dyDescent="0.25">
      <c r="B14" s="20"/>
      <c r="C14" s="7" t="s">
        <v>26</v>
      </c>
      <c r="D14" s="8"/>
      <c r="E14" s="12">
        <v>0.34735899999999997</v>
      </c>
      <c r="F14" s="1"/>
      <c r="G14" s="1"/>
      <c r="H14" s="1"/>
      <c r="I14" s="1"/>
      <c r="J14" s="24" t="s">
        <v>45</v>
      </c>
      <c r="K14" s="28">
        <v>3.0079999999999998E-3</v>
      </c>
      <c r="L14" s="1"/>
      <c r="M14" s="1"/>
      <c r="N14" s="18"/>
    </row>
    <row r="15" spans="2:14" ht="15" customHeight="1" x14ac:dyDescent="0.25">
      <c r="B15" s="20"/>
      <c r="C15" s="5" t="s">
        <v>30</v>
      </c>
      <c r="D15" s="6" t="s">
        <v>22</v>
      </c>
      <c r="E15" s="11">
        <v>5.2389999999999999E-2</v>
      </c>
      <c r="F15" s="1"/>
      <c r="G15" s="1"/>
      <c r="H15" s="1"/>
      <c r="I15" s="1"/>
      <c r="J15" s="24" t="s">
        <v>56</v>
      </c>
      <c r="K15" s="28">
        <v>6.5106999999999998E-2</v>
      </c>
      <c r="L15" s="1"/>
      <c r="M15" s="1"/>
      <c r="N15" s="18"/>
    </row>
    <row r="16" spans="2:14" ht="15" customHeight="1" x14ac:dyDescent="0.25">
      <c r="B16" s="20"/>
      <c r="C16" s="5" t="s">
        <v>33</v>
      </c>
      <c r="D16" s="6" t="s">
        <v>22</v>
      </c>
      <c r="E16" s="11">
        <v>2.2433000000000002E-2</v>
      </c>
      <c r="F16" s="1"/>
      <c r="G16" s="1"/>
      <c r="H16" s="1"/>
      <c r="I16" s="1"/>
      <c r="J16" s="24" t="s">
        <v>92</v>
      </c>
      <c r="K16" s="28">
        <v>6.2709999999999997E-3</v>
      </c>
      <c r="L16" s="1"/>
      <c r="M16" s="1"/>
      <c r="N16" s="18"/>
    </row>
    <row r="17" spans="2:14" ht="15" customHeight="1" x14ac:dyDescent="0.25">
      <c r="B17" s="20"/>
      <c r="C17" s="5" t="s">
        <v>151</v>
      </c>
      <c r="D17" s="6" t="s">
        <v>22</v>
      </c>
      <c r="E17" s="11">
        <v>1.491E-2</v>
      </c>
      <c r="F17" s="1"/>
      <c r="G17" s="1"/>
      <c r="H17" s="1"/>
      <c r="I17" s="1"/>
      <c r="J17" s="1"/>
      <c r="K17" s="1"/>
      <c r="L17" s="1"/>
      <c r="M17" s="1"/>
      <c r="N17" s="18"/>
    </row>
    <row r="18" spans="2:14" ht="15" customHeight="1" x14ac:dyDescent="0.25">
      <c r="B18" s="20"/>
      <c r="C18" s="5" t="s">
        <v>75</v>
      </c>
      <c r="D18" s="6" t="s">
        <v>22</v>
      </c>
      <c r="E18" s="11">
        <v>7.084E-3</v>
      </c>
      <c r="F18" s="1"/>
      <c r="G18" s="1"/>
      <c r="H18" s="1"/>
      <c r="I18" s="1"/>
      <c r="J18" s="1"/>
      <c r="K18" s="1"/>
      <c r="L18" s="1"/>
      <c r="M18" s="1"/>
      <c r="N18" s="18"/>
    </row>
    <row r="19" spans="2:14" ht="15.75" customHeight="1" x14ac:dyDescent="0.25">
      <c r="B19" s="20"/>
      <c r="C19" s="7" t="s">
        <v>27</v>
      </c>
      <c r="D19" s="8"/>
      <c r="E19" s="12">
        <v>9.6817E-2</v>
      </c>
      <c r="F19" s="1"/>
      <c r="G19" s="1"/>
      <c r="H19" s="1"/>
      <c r="I19" s="1"/>
      <c r="J19" s="1"/>
      <c r="K19" s="1"/>
      <c r="L19" s="1"/>
      <c r="M19" s="1"/>
      <c r="N19" s="18"/>
    </row>
    <row r="20" spans="2:14" ht="15" customHeight="1" x14ac:dyDescent="0.25">
      <c r="B20" s="20"/>
      <c r="C20" s="5" t="s">
        <v>28</v>
      </c>
      <c r="D20" s="6" t="s">
        <v>29</v>
      </c>
      <c r="E20" s="11">
        <v>9.0507000000000004E-2</v>
      </c>
      <c r="F20" s="1"/>
      <c r="G20" s="1"/>
      <c r="H20" s="1"/>
      <c r="I20" s="1"/>
      <c r="J20" s="1"/>
      <c r="K20" s="1"/>
      <c r="L20" s="1"/>
      <c r="M20" s="1"/>
      <c r="N20" s="18"/>
    </row>
    <row r="21" spans="2:14" ht="15" customHeight="1" x14ac:dyDescent="0.25">
      <c r="B21" s="20"/>
      <c r="C21" s="5" t="s">
        <v>74</v>
      </c>
      <c r="D21" s="6" t="s">
        <v>29</v>
      </c>
      <c r="E21" s="11">
        <v>6.9791000000000006E-2</v>
      </c>
      <c r="F21" s="1"/>
      <c r="G21" s="1"/>
      <c r="H21" s="1"/>
      <c r="I21" s="1"/>
      <c r="J21" s="1"/>
      <c r="K21" s="1"/>
      <c r="L21" s="1"/>
      <c r="M21" s="1"/>
      <c r="N21" s="18"/>
    </row>
    <row r="22" spans="2:14" ht="15" customHeight="1" x14ac:dyDescent="0.25">
      <c r="B22" s="20"/>
      <c r="C22" s="5" t="s">
        <v>33</v>
      </c>
      <c r="D22" s="6" t="s">
        <v>29</v>
      </c>
      <c r="E22" s="11">
        <v>5.6075E-2</v>
      </c>
      <c r="F22" s="1"/>
      <c r="G22" s="1"/>
      <c r="H22" s="1"/>
      <c r="I22" s="1"/>
      <c r="J22" s="1"/>
      <c r="K22" s="1"/>
      <c r="L22" s="1"/>
      <c r="M22" s="1"/>
      <c r="N22" s="18"/>
    </row>
    <row r="23" spans="2:14" ht="15" customHeight="1" x14ac:dyDescent="0.25">
      <c r="B23" s="20"/>
      <c r="C23" s="5" t="s">
        <v>40</v>
      </c>
      <c r="D23" s="6" t="s">
        <v>29</v>
      </c>
      <c r="E23" s="11">
        <v>3.9600999999999997E-2</v>
      </c>
      <c r="F23" s="1"/>
      <c r="G23" s="1"/>
      <c r="H23" s="1"/>
      <c r="I23" s="1"/>
      <c r="J23" s="1"/>
      <c r="K23" s="1"/>
      <c r="L23" s="1"/>
      <c r="M23" s="1"/>
      <c r="N23" s="18"/>
    </row>
    <row r="24" spans="2:14" ht="15" customHeight="1" x14ac:dyDescent="0.25">
      <c r="B24" s="20"/>
      <c r="C24" s="5" t="s">
        <v>76</v>
      </c>
      <c r="D24" s="6" t="s">
        <v>29</v>
      </c>
      <c r="E24" s="11">
        <v>3.0143E-2</v>
      </c>
      <c r="F24" s="1"/>
      <c r="G24" s="82" t="s">
        <v>128</v>
      </c>
      <c r="H24" s="83"/>
      <c r="I24" s="83"/>
      <c r="J24" s="83"/>
      <c r="K24" s="83"/>
      <c r="L24" s="64">
        <v>171.0018294664946</v>
      </c>
      <c r="M24" s="26"/>
      <c r="N24" s="27"/>
    </row>
    <row r="25" spans="2:14" ht="15" customHeight="1" x14ac:dyDescent="0.25">
      <c r="B25" s="20"/>
      <c r="C25" s="5" t="s">
        <v>34</v>
      </c>
      <c r="D25" s="6" t="s">
        <v>29</v>
      </c>
      <c r="E25" s="11">
        <v>2.4118000000000001E-2</v>
      </c>
      <c r="F25" s="1"/>
      <c r="G25" s="1"/>
      <c r="H25" s="1"/>
      <c r="I25" s="1"/>
      <c r="J25" s="1"/>
      <c r="K25" s="1"/>
      <c r="L25" s="1"/>
      <c r="M25" s="1"/>
      <c r="N25" s="18"/>
    </row>
    <row r="26" spans="2:14" ht="15" customHeight="1" x14ac:dyDescent="0.25">
      <c r="B26" s="20"/>
      <c r="C26" s="5" t="s">
        <v>152</v>
      </c>
      <c r="D26" s="6" t="s">
        <v>29</v>
      </c>
      <c r="E26" s="11">
        <v>1.8192E-2</v>
      </c>
      <c r="F26" s="1"/>
      <c r="G26" s="82" t="s">
        <v>18</v>
      </c>
      <c r="H26" s="83"/>
      <c r="I26" s="83"/>
      <c r="J26" s="83"/>
      <c r="K26" s="83"/>
      <c r="L26" s="83"/>
      <c r="M26" s="83"/>
      <c r="N26" s="84"/>
    </row>
    <row r="27" spans="2:14" ht="15" customHeight="1" x14ac:dyDescent="0.25">
      <c r="B27" s="20"/>
      <c r="C27" s="5" t="s">
        <v>85</v>
      </c>
      <c r="D27" s="6" t="s">
        <v>29</v>
      </c>
      <c r="E27" s="11">
        <v>1.5332999999999999E-2</v>
      </c>
      <c r="F27" s="1"/>
      <c r="G27" s="1"/>
      <c r="H27" s="1"/>
      <c r="I27" s="1"/>
      <c r="J27" s="1"/>
      <c r="K27" s="1"/>
      <c r="L27" s="1"/>
      <c r="M27" s="1"/>
      <c r="N27" s="18"/>
    </row>
    <row r="28" spans="2:14" ht="15" customHeight="1" x14ac:dyDescent="0.25">
      <c r="B28" s="20"/>
      <c r="C28" s="5" t="s">
        <v>24</v>
      </c>
      <c r="D28" s="6" t="s">
        <v>29</v>
      </c>
      <c r="E28" s="11">
        <v>1.5179E-2</v>
      </c>
      <c r="F28" s="1"/>
      <c r="G28" s="1"/>
      <c r="H28" s="1"/>
      <c r="I28" s="1"/>
      <c r="J28" s="1"/>
      <c r="K28" s="1"/>
      <c r="L28" s="1"/>
      <c r="M28" s="1"/>
      <c r="N28" s="18"/>
    </row>
    <row r="29" spans="2:14" ht="15" customHeight="1" x14ac:dyDescent="0.25">
      <c r="B29" s="20"/>
      <c r="C29" s="5" t="s">
        <v>30</v>
      </c>
      <c r="D29" s="6" t="s">
        <v>29</v>
      </c>
      <c r="E29" s="11">
        <v>1.4855E-2</v>
      </c>
      <c r="F29" s="1"/>
      <c r="G29" s="1"/>
      <c r="H29" s="1"/>
      <c r="I29" s="1"/>
      <c r="J29" s="1"/>
      <c r="K29" s="1"/>
      <c r="L29" s="1"/>
      <c r="M29" s="1"/>
      <c r="N29" s="18"/>
    </row>
    <row r="30" spans="2:14" ht="15" customHeight="1" x14ac:dyDescent="0.25">
      <c r="B30" s="20"/>
      <c r="C30" s="5" t="s">
        <v>31</v>
      </c>
      <c r="D30" s="6" t="s">
        <v>29</v>
      </c>
      <c r="E30" s="11">
        <v>1.0682000000000001E-2</v>
      </c>
      <c r="F30" s="1"/>
      <c r="G30" s="1"/>
      <c r="H30" s="1"/>
      <c r="I30" s="1"/>
      <c r="J30" s="1"/>
      <c r="K30" s="1"/>
      <c r="L30" s="1"/>
      <c r="M30" s="1"/>
      <c r="N30" s="18"/>
    </row>
    <row r="31" spans="2:14" ht="15" customHeight="1" x14ac:dyDescent="0.25">
      <c r="B31" s="20"/>
      <c r="C31" s="5" t="s">
        <v>75</v>
      </c>
      <c r="D31" s="6" t="s">
        <v>29</v>
      </c>
      <c r="E31" s="11">
        <v>7.6010000000000001E-3</v>
      </c>
      <c r="F31" s="1"/>
      <c r="G31" s="1"/>
      <c r="H31" s="1"/>
      <c r="I31" s="1"/>
      <c r="J31" s="1"/>
      <c r="K31" s="1"/>
      <c r="L31" s="1"/>
      <c r="M31" s="1"/>
      <c r="N31" s="18"/>
    </row>
    <row r="32" spans="2:14" ht="15" customHeight="1" x14ac:dyDescent="0.25">
      <c r="B32" s="20"/>
      <c r="C32" s="5" t="s">
        <v>81</v>
      </c>
      <c r="D32" s="6" t="s">
        <v>29</v>
      </c>
      <c r="E32" s="11">
        <v>7.5950000000000002E-3</v>
      </c>
      <c r="F32" s="1"/>
      <c r="G32" s="1"/>
      <c r="H32" s="1"/>
      <c r="I32" s="1"/>
      <c r="J32" s="1"/>
      <c r="K32" s="1"/>
      <c r="L32" s="1"/>
      <c r="M32" s="1"/>
      <c r="N32" s="18"/>
    </row>
    <row r="33" spans="2:14" ht="15" customHeight="1" x14ac:dyDescent="0.25">
      <c r="B33" s="20"/>
      <c r="C33" s="5" t="s">
        <v>35</v>
      </c>
      <c r="D33" s="6" t="s">
        <v>29</v>
      </c>
      <c r="E33" s="11">
        <v>7.5259999999999997E-3</v>
      </c>
      <c r="F33" s="1"/>
      <c r="G33" s="1"/>
      <c r="H33" s="1"/>
      <c r="I33" s="1"/>
      <c r="J33" s="1"/>
      <c r="K33" s="1"/>
      <c r="L33" s="1"/>
      <c r="M33" s="1"/>
      <c r="N33" s="18"/>
    </row>
    <row r="34" spans="2:14" ht="15.75" customHeight="1" x14ac:dyDescent="0.25">
      <c r="B34" s="20"/>
      <c r="C34" s="7" t="s">
        <v>44</v>
      </c>
      <c r="D34" s="8"/>
      <c r="E34" s="12">
        <v>0.407198</v>
      </c>
      <c r="F34" s="1"/>
      <c r="G34" s="1"/>
      <c r="H34" s="1"/>
      <c r="I34" s="1"/>
      <c r="J34" s="1"/>
      <c r="K34" s="1"/>
      <c r="L34" s="1"/>
      <c r="M34" s="1"/>
      <c r="N34" s="18"/>
    </row>
    <row r="35" spans="2:14" ht="15" customHeight="1" x14ac:dyDescent="0.25">
      <c r="B35" s="20"/>
      <c r="C35" s="5" t="s">
        <v>45</v>
      </c>
      <c r="D35" s="6"/>
      <c r="E35" s="11">
        <v>3.0079999999999998E-3</v>
      </c>
      <c r="F35" s="1"/>
      <c r="G35" s="1"/>
      <c r="H35" s="1"/>
      <c r="I35" s="1"/>
      <c r="J35" s="1"/>
      <c r="K35" s="1"/>
      <c r="L35" s="1"/>
      <c r="M35" s="1"/>
      <c r="N35" s="18"/>
    </row>
    <row r="36" spans="2:14" ht="15.75" customHeight="1" x14ac:dyDescent="0.25">
      <c r="B36" s="20"/>
      <c r="C36" s="7" t="s">
        <v>46</v>
      </c>
      <c r="D36" s="8"/>
      <c r="E36" s="12">
        <v>3.0079999999999998E-3</v>
      </c>
      <c r="F36" s="1"/>
      <c r="G36" s="1"/>
      <c r="H36" s="1"/>
      <c r="I36" s="1"/>
      <c r="J36" s="1"/>
      <c r="K36" s="1"/>
      <c r="L36" s="1"/>
      <c r="M36" s="1"/>
      <c r="N36" s="18"/>
    </row>
    <row r="37" spans="2:14" ht="15" customHeight="1" x14ac:dyDescent="0.25">
      <c r="B37" s="20"/>
      <c r="C37" s="5" t="s">
        <v>188</v>
      </c>
      <c r="D37" s="6" t="s">
        <v>180</v>
      </c>
      <c r="E37" s="11">
        <v>2.4532000000000002E-2</v>
      </c>
      <c r="F37" s="1"/>
      <c r="G37" s="1"/>
      <c r="H37" s="1"/>
      <c r="I37" s="1"/>
      <c r="J37" s="1"/>
      <c r="K37" s="1"/>
      <c r="L37" s="1"/>
      <c r="M37" s="1"/>
      <c r="N37" s="18"/>
    </row>
    <row r="38" spans="2:14" ht="15.75" customHeight="1" x14ac:dyDescent="0.25">
      <c r="B38" s="20"/>
      <c r="C38" s="5" t="s">
        <v>200</v>
      </c>
      <c r="D38" s="6" t="s">
        <v>180</v>
      </c>
      <c r="E38" s="11">
        <v>1.4952999999999999E-2</v>
      </c>
      <c r="F38" s="1"/>
      <c r="G38" s="1"/>
      <c r="H38" s="1"/>
      <c r="I38" s="1"/>
      <c r="J38" s="1"/>
      <c r="K38" s="1"/>
      <c r="L38" s="1"/>
      <c r="M38" s="1"/>
      <c r="N38" s="18"/>
    </row>
    <row r="39" spans="2:14" ht="15" customHeight="1" x14ac:dyDescent="0.25">
      <c r="B39" s="20"/>
      <c r="C39" s="5" t="s">
        <v>199</v>
      </c>
      <c r="D39" s="6" t="s">
        <v>180</v>
      </c>
      <c r="E39" s="11">
        <v>9.7420000000000007E-3</v>
      </c>
      <c r="F39" s="1"/>
      <c r="G39" s="1"/>
      <c r="H39" s="1"/>
      <c r="I39" s="1"/>
      <c r="J39" s="1"/>
      <c r="K39" s="1"/>
      <c r="L39" s="1"/>
      <c r="M39" s="1"/>
      <c r="N39" s="18"/>
    </row>
    <row r="40" spans="2:14" ht="15.75" customHeight="1" x14ac:dyDescent="0.25">
      <c r="B40" s="20"/>
      <c r="C40" s="5" t="s">
        <v>181</v>
      </c>
      <c r="D40" s="6" t="s">
        <v>180</v>
      </c>
      <c r="E40" s="11">
        <v>7.9749999999999995E-3</v>
      </c>
      <c r="F40" s="1"/>
      <c r="G40" s="1"/>
      <c r="H40" s="1"/>
      <c r="I40" s="1"/>
      <c r="J40" s="1"/>
      <c r="K40" s="1"/>
      <c r="L40" s="1"/>
      <c r="M40" s="1"/>
      <c r="N40" s="18"/>
    </row>
    <row r="41" spans="2:14" ht="15" customHeight="1" x14ac:dyDescent="0.25">
      <c r="B41" s="20"/>
      <c r="C41" s="5" t="s">
        <v>198</v>
      </c>
      <c r="D41" s="6" t="s">
        <v>180</v>
      </c>
      <c r="E41" s="11">
        <v>7.9050000000000006E-3</v>
      </c>
      <c r="F41" s="1"/>
      <c r="G41" s="1"/>
      <c r="H41" s="1"/>
      <c r="I41" s="1"/>
      <c r="J41" s="1"/>
      <c r="K41" s="1"/>
      <c r="L41" s="1"/>
      <c r="M41" s="1"/>
      <c r="N41" s="18"/>
    </row>
    <row r="42" spans="2:14" ht="15.75" customHeight="1" x14ac:dyDescent="0.25">
      <c r="B42" s="20"/>
      <c r="C42" s="7" t="s">
        <v>51</v>
      </c>
      <c r="D42" s="8"/>
      <c r="E42" s="12">
        <v>6.5106999999999998E-2</v>
      </c>
      <c r="F42" s="1"/>
      <c r="G42" s="1"/>
      <c r="H42" s="1"/>
      <c r="I42" s="1"/>
      <c r="J42" s="1"/>
      <c r="K42" s="1"/>
      <c r="L42" s="1"/>
      <c r="M42" s="1"/>
      <c r="N42" s="18"/>
    </row>
    <row r="43" spans="2:14" ht="15" customHeight="1" x14ac:dyDescent="0.25">
      <c r="B43" s="20"/>
      <c r="C43" s="5" t="s">
        <v>166</v>
      </c>
      <c r="D43" s="6" t="s">
        <v>180</v>
      </c>
      <c r="E43" s="11">
        <v>6.2709999999999997E-3</v>
      </c>
      <c r="F43" s="1"/>
      <c r="G43" s="1"/>
      <c r="H43" s="1"/>
      <c r="I43" s="1"/>
      <c r="J43" s="1"/>
      <c r="K43" s="1"/>
      <c r="L43" s="1"/>
      <c r="M43" s="1"/>
      <c r="N43" s="18"/>
    </row>
    <row r="44" spans="2:14" ht="15.75" customHeight="1" x14ac:dyDescent="0.25">
      <c r="B44" s="20"/>
      <c r="C44" s="7" t="s">
        <v>90</v>
      </c>
      <c r="D44" s="8"/>
      <c r="E44" s="12">
        <v>6.2709999999999997E-3</v>
      </c>
      <c r="F44" s="1"/>
      <c r="G44" s="1"/>
      <c r="H44" s="1"/>
      <c r="I44" s="1"/>
      <c r="J44" s="1"/>
      <c r="K44" s="1"/>
      <c r="L44" s="1"/>
      <c r="M44" s="1"/>
      <c r="N44" s="18"/>
    </row>
    <row r="45" spans="2:14" ht="15" customHeight="1" x14ac:dyDescent="0.25">
      <c r="B45" s="20"/>
      <c r="C45" s="5" t="s">
        <v>8</v>
      </c>
      <c r="D45" s="6"/>
      <c r="E45" s="11">
        <v>8.2434999999999994E-2</v>
      </c>
      <c r="F45" s="1"/>
      <c r="G45" s="1"/>
      <c r="H45" s="1"/>
      <c r="I45" s="1"/>
      <c r="J45" s="1"/>
      <c r="K45" s="1"/>
      <c r="L45" s="1"/>
      <c r="M45" s="1"/>
      <c r="N45" s="18"/>
    </row>
    <row r="46" spans="2:14" ht="15" customHeight="1" x14ac:dyDescent="0.25">
      <c r="B46" s="20"/>
      <c r="C46" s="7" t="s">
        <v>9</v>
      </c>
      <c r="D46" s="8"/>
      <c r="E46" s="12">
        <v>8.2434999999999994E-2</v>
      </c>
      <c r="F46" s="1"/>
      <c r="G46" s="1"/>
      <c r="H46" s="1"/>
      <c r="I46" s="1"/>
      <c r="J46" s="1"/>
      <c r="K46" s="1"/>
      <c r="L46" s="1"/>
      <c r="M46" s="1"/>
      <c r="N46" s="18"/>
    </row>
    <row r="47" spans="2:14" ht="15" customHeight="1" x14ac:dyDescent="0.25">
      <c r="B47" s="20"/>
      <c r="C47" s="5"/>
      <c r="D47" s="6"/>
      <c r="E47" s="11"/>
      <c r="F47" s="1"/>
      <c r="G47" s="1"/>
      <c r="H47" s="1"/>
      <c r="I47" s="1"/>
      <c r="J47" s="1"/>
      <c r="K47" s="1"/>
      <c r="L47" s="1"/>
      <c r="M47" s="1"/>
      <c r="N47" s="18"/>
    </row>
    <row r="48" spans="2:14" ht="15" customHeight="1" x14ac:dyDescent="0.25">
      <c r="B48" s="20"/>
      <c r="C48" s="7" t="s">
        <v>10</v>
      </c>
      <c r="D48" s="8"/>
      <c r="E48" s="12">
        <v>-8.1949999999999992E-3</v>
      </c>
      <c r="F48" s="1"/>
      <c r="G48" s="1"/>
      <c r="H48" s="1"/>
      <c r="I48" s="1"/>
      <c r="J48" s="1"/>
      <c r="K48" s="1"/>
      <c r="L48" s="1"/>
      <c r="M48" s="1"/>
      <c r="N48" s="18"/>
    </row>
    <row r="49" spans="2:14" ht="15" customHeight="1" x14ac:dyDescent="0.25">
      <c r="B49" s="20"/>
      <c r="C49" s="5"/>
      <c r="D49" s="6"/>
      <c r="E49" s="11"/>
      <c r="F49" s="1"/>
      <c r="G49" s="1"/>
      <c r="H49" s="1"/>
      <c r="I49" s="1"/>
      <c r="J49" s="1"/>
      <c r="K49" s="1"/>
      <c r="L49" s="1"/>
      <c r="M49" s="1"/>
      <c r="N49" s="18"/>
    </row>
    <row r="50" spans="2:14" ht="15" customHeight="1" x14ac:dyDescent="0.25">
      <c r="B50" s="20"/>
      <c r="C50" s="9" t="s">
        <v>11</v>
      </c>
      <c r="D50" s="10"/>
      <c r="E50" s="13">
        <v>1</v>
      </c>
      <c r="F50" s="1"/>
      <c r="G50" s="1"/>
      <c r="H50" s="1"/>
      <c r="I50" s="1"/>
      <c r="J50" s="1"/>
      <c r="K50" s="1"/>
      <c r="L50" s="1"/>
      <c r="M50" s="1"/>
      <c r="N50" s="18"/>
    </row>
    <row r="51" spans="2:14" ht="15" customHeight="1" x14ac:dyDescent="0.25">
      <c r="B51" s="20"/>
      <c r="C51" s="1"/>
      <c r="D51" s="1"/>
      <c r="E51" s="1"/>
      <c r="F51" s="1"/>
      <c r="G51" s="1"/>
      <c r="H51" s="1"/>
      <c r="I51" s="1"/>
      <c r="J51" s="1"/>
      <c r="K51" s="1"/>
      <c r="L51" s="1"/>
      <c r="M51" s="1"/>
      <c r="N51" s="18"/>
    </row>
    <row r="52" spans="2:14" ht="15" customHeight="1" thickBot="1" x14ac:dyDescent="0.3">
      <c r="B52" s="21"/>
      <c r="C52" s="22"/>
      <c r="D52" s="22"/>
      <c r="E52" s="22"/>
      <c r="F52" s="22"/>
      <c r="G52" s="22"/>
      <c r="H52" s="22"/>
      <c r="I52" s="22"/>
      <c r="J52" s="22"/>
      <c r="K52" s="22"/>
      <c r="L52" s="22"/>
      <c r="M52" s="22"/>
      <c r="N52" s="23"/>
    </row>
    <row r="53" spans="2:14" ht="15" customHeight="1" thickBot="1" x14ac:dyDescent="0.3"/>
    <row r="54" spans="2:14" ht="15" customHeight="1" x14ac:dyDescent="0.25">
      <c r="B54" s="68" t="s">
        <v>286</v>
      </c>
      <c r="C54" s="69"/>
      <c r="D54" s="69"/>
      <c r="E54" s="69"/>
      <c r="F54" s="69"/>
      <c r="G54" s="69"/>
      <c r="H54" s="69"/>
      <c r="I54" s="69"/>
      <c r="J54" s="69"/>
      <c r="K54" s="69"/>
      <c r="L54" s="69"/>
      <c r="M54" s="69"/>
      <c r="N54" s="70"/>
    </row>
    <row r="55" spans="2:14" ht="15" customHeight="1" x14ac:dyDescent="0.25">
      <c r="B55" s="71"/>
      <c r="C55" s="72"/>
      <c r="D55" s="72"/>
      <c r="E55" s="72"/>
      <c r="F55" s="72"/>
      <c r="G55" s="72"/>
      <c r="H55" s="72"/>
      <c r="I55" s="72"/>
      <c r="J55" s="72"/>
      <c r="K55" s="72"/>
      <c r="L55" s="72"/>
      <c r="M55" s="72"/>
      <c r="N55" s="73"/>
    </row>
    <row r="56" spans="2:14" ht="15" customHeight="1" x14ac:dyDescent="0.25">
      <c r="B56" s="71"/>
      <c r="C56" s="72"/>
      <c r="D56" s="72"/>
      <c r="E56" s="72"/>
      <c r="F56" s="72"/>
      <c r="G56" s="72"/>
      <c r="H56" s="72"/>
      <c r="I56" s="72"/>
      <c r="J56" s="72"/>
      <c r="K56" s="72"/>
      <c r="L56" s="72"/>
      <c r="M56" s="72"/>
      <c r="N56" s="73"/>
    </row>
    <row r="57" spans="2:14" ht="15" customHeight="1" thickBot="1" x14ac:dyDescent="0.3">
      <c r="B57" s="74"/>
      <c r="C57" s="75"/>
      <c r="D57" s="75"/>
      <c r="E57" s="75"/>
      <c r="F57" s="75"/>
      <c r="G57" s="75"/>
      <c r="H57" s="75"/>
      <c r="I57" s="75"/>
      <c r="J57" s="75"/>
      <c r="K57" s="75"/>
      <c r="L57" s="75"/>
      <c r="M57" s="75"/>
      <c r="N57" s="76"/>
    </row>
    <row r="58" spans="2:14" ht="15" customHeight="1" thickBot="1" x14ac:dyDescent="0.3"/>
    <row r="59" spans="2:14" ht="126" customHeight="1" thickBot="1" x14ac:dyDescent="0.3">
      <c r="B59" s="85" t="s">
        <v>292</v>
      </c>
      <c r="C59" s="86"/>
      <c r="D59" s="86"/>
      <c r="E59" s="86"/>
      <c r="F59" s="86"/>
      <c r="G59" s="86"/>
      <c r="H59" s="86"/>
      <c r="I59" s="86"/>
      <c r="J59" s="86"/>
      <c r="K59" s="86"/>
      <c r="L59" s="86"/>
      <c r="M59" s="86"/>
      <c r="N59" s="87"/>
    </row>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sortState ref="C37:E41">
    <sortCondition descending="1" ref="E37"/>
  </sortState>
  <mergeCells count="7">
    <mergeCell ref="B54:N57"/>
    <mergeCell ref="B59:N59"/>
    <mergeCell ref="C3:N3"/>
    <mergeCell ref="D5:E5"/>
    <mergeCell ref="G7:N7"/>
    <mergeCell ref="G24:K24"/>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8D42B-67EF-4AEA-8945-602182E5BE3B}">
  <dimension ref="B1:N50"/>
  <sheetViews>
    <sheetView showGridLines="0" zoomScale="75"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7" t="s">
        <v>131</v>
      </c>
      <c r="D3" s="78"/>
      <c r="E3" s="78"/>
      <c r="F3" s="78"/>
      <c r="G3" s="78"/>
      <c r="H3" s="78"/>
      <c r="I3" s="78"/>
      <c r="J3" s="78"/>
      <c r="K3" s="78"/>
      <c r="L3" s="78"/>
      <c r="M3" s="78"/>
      <c r="N3" s="79"/>
    </row>
    <row r="4" spans="2:14" ht="15.75" customHeight="1" x14ac:dyDescent="0.25">
      <c r="B4" s="20"/>
      <c r="C4" s="14"/>
      <c r="D4" s="1"/>
      <c r="E4" s="1"/>
      <c r="F4" s="1"/>
      <c r="G4" s="1"/>
      <c r="H4" s="1"/>
      <c r="I4" s="1"/>
      <c r="J4" s="1"/>
      <c r="K4" s="1"/>
      <c r="L4" s="1"/>
      <c r="M4" s="1"/>
      <c r="N4" s="18"/>
    </row>
    <row r="5" spans="2:14" ht="18" customHeight="1" x14ac:dyDescent="0.25">
      <c r="B5" s="20"/>
      <c r="C5" s="15" t="s">
        <v>1</v>
      </c>
      <c r="D5" s="80" t="s">
        <v>132</v>
      </c>
      <c r="E5" s="8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2" t="s">
        <v>16</v>
      </c>
      <c r="H7" s="83"/>
      <c r="I7" s="83"/>
      <c r="J7" s="83"/>
      <c r="K7" s="83"/>
      <c r="L7" s="83"/>
      <c r="M7" s="83"/>
      <c r="N7" s="84"/>
    </row>
    <row r="8" spans="2:14" ht="15" customHeight="1" x14ac:dyDescent="0.25">
      <c r="B8" s="20"/>
      <c r="C8" s="5" t="s">
        <v>45</v>
      </c>
      <c r="D8" s="6"/>
      <c r="E8" s="11">
        <v>2.5899999999999999E-3</v>
      </c>
      <c r="F8" s="1"/>
      <c r="G8" s="24" t="s">
        <v>15</v>
      </c>
      <c r="H8" s="25">
        <v>1</v>
      </c>
      <c r="I8" s="1"/>
      <c r="J8" s="24" t="s">
        <v>12</v>
      </c>
      <c r="K8" s="24" t="s">
        <v>5</v>
      </c>
      <c r="L8" s="1"/>
      <c r="M8" s="1"/>
      <c r="N8" s="18"/>
    </row>
    <row r="9" spans="2:14" ht="15.75" customHeight="1" x14ac:dyDescent="0.25">
      <c r="B9" s="20"/>
      <c r="C9" s="7" t="s">
        <v>46</v>
      </c>
      <c r="D9" s="8"/>
      <c r="E9" s="12">
        <v>2.5899999999999999E-3</v>
      </c>
      <c r="F9" s="1"/>
      <c r="G9" s="1"/>
      <c r="H9" s="1"/>
      <c r="I9" s="1"/>
      <c r="J9" s="24" t="s">
        <v>10</v>
      </c>
      <c r="K9" s="28">
        <v>2.5964999999999998E-2</v>
      </c>
      <c r="L9" s="1"/>
      <c r="M9" s="1"/>
      <c r="N9" s="18"/>
    </row>
    <row r="10" spans="2:14" ht="15" customHeight="1" x14ac:dyDescent="0.25">
      <c r="B10" s="20"/>
      <c r="C10" s="5" t="s">
        <v>59</v>
      </c>
      <c r="D10" s="6" t="s">
        <v>180</v>
      </c>
      <c r="E10" s="11">
        <v>0.94868699999999995</v>
      </c>
      <c r="F10" s="1"/>
      <c r="G10" s="1"/>
      <c r="H10" s="1"/>
      <c r="I10" s="1"/>
      <c r="J10" s="24" t="s">
        <v>13</v>
      </c>
      <c r="K10" s="28">
        <v>3.86E-4</v>
      </c>
      <c r="L10" s="1"/>
      <c r="M10" s="1"/>
      <c r="N10" s="18"/>
    </row>
    <row r="11" spans="2:14" ht="15" customHeight="1" x14ac:dyDescent="0.25">
      <c r="B11" s="20"/>
      <c r="C11" s="5" t="s">
        <v>77</v>
      </c>
      <c r="D11" s="6" t="s">
        <v>180</v>
      </c>
      <c r="E11" s="11">
        <v>2.0423E-2</v>
      </c>
      <c r="F11" s="1"/>
      <c r="G11" s="1"/>
      <c r="H11" s="1"/>
      <c r="I11" s="1"/>
      <c r="J11" s="24" t="s">
        <v>45</v>
      </c>
      <c r="K11" s="28">
        <v>2.5899999999999999E-3</v>
      </c>
      <c r="L11" s="1"/>
      <c r="M11" s="1"/>
      <c r="N11" s="18"/>
    </row>
    <row r="12" spans="2:14" ht="15" customHeight="1" x14ac:dyDescent="0.25">
      <c r="B12" s="20"/>
      <c r="C12" s="5" t="s">
        <v>63</v>
      </c>
      <c r="D12" s="6" t="s">
        <v>180</v>
      </c>
      <c r="E12" s="11">
        <v>1.8550000000000001E-3</v>
      </c>
      <c r="F12" s="1"/>
      <c r="G12" s="1"/>
      <c r="H12" s="1"/>
      <c r="I12" s="1"/>
      <c r="J12" s="24" t="s">
        <v>55</v>
      </c>
      <c r="K12" s="28">
        <v>0.97105900000000001</v>
      </c>
      <c r="L12" s="1"/>
      <c r="M12" s="1"/>
      <c r="N12" s="18"/>
    </row>
    <row r="13" spans="2:14" ht="15" customHeight="1" x14ac:dyDescent="0.25">
      <c r="B13" s="20"/>
      <c r="C13" s="5" t="s">
        <v>124</v>
      </c>
      <c r="D13" s="6" t="s">
        <v>180</v>
      </c>
      <c r="E13" s="30">
        <v>4.6999999999999997E-5</v>
      </c>
      <c r="F13" s="1"/>
      <c r="G13" s="1"/>
      <c r="H13" s="1"/>
      <c r="I13" s="1"/>
      <c r="J13" s="1"/>
      <c r="K13" s="1"/>
      <c r="L13" s="1"/>
      <c r="M13" s="1"/>
      <c r="N13" s="18"/>
    </row>
    <row r="14" spans="2:14" ht="15" customHeight="1" x14ac:dyDescent="0.25">
      <c r="B14" s="20"/>
      <c r="C14" s="5" t="s">
        <v>133</v>
      </c>
      <c r="D14" s="6" t="s">
        <v>180</v>
      </c>
      <c r="E14" s="30">
        <v>4.6999999999999997E-5</v>
      </c>
      <c r="F14" s="1"/>
      <c r="G14" s="1"/>
      <c r="H14" s="1"/>
      <c r="I14" s="1"/>
      <c r="J14" s="1"/>
      <c r="K14" s="1"/>
      <c r="L14" s="1"/>
      <c r="M14" s="1"/>
      <c r="N14" s="18"/>
    </row>
    <row r="15" spans="2:14" ht="15.75" customHeight="1" x14ac:dyDescent="0.25">
      <c r="B15" s="20"/>
      <c r="C15" s="7" t="s">
        <v>50</v>
      </c>
      <c r="D15" s="8"/>
      <c r="E15" s="12">
        <v>0.97105900000000001</v>
      </c>
      <c r="F15" s="1"/>
      <c r="G15" s="1"/>
      <c r="H15" s="1"/>
      <c r="I15" s="1"/>
      <c r="J15" s="1"/>
      <c r="K15" s="1"/>
      <c r="L15" s="1"/>
      <c r="M15" s="1"/>
      <c r="N15" s="18"/>
    </row>
    <row r="16" spans="2:14" ht="15" customHeight="1" x14ac:dyDescent="0.25">
      <c r="B16" s="20"/>
      <c r="C16" s="5" t="s">
        <v>8</v>
      </c>
      <c r="D16" s="6"/>
      <c r="E16" s="11">
        <v>3.86E-4</v>
      </c>
      <c r="F16" s="1"/>
      <c r="G16" s="1"/>
      <c r="H16" s="1"/>
      <c r="I16" s="1"/>
      <c r="J16" s="1"/>
      <c r="K16" s="1"/>
      <c r="L16" s="1"/>
      <c r="M16" s="1"/>
      <c r="N16" s="18"/>
    </row>
    <row r="17" spans="2:14" ht="15.75" customHeight="1" x14ac:dyDescent="0.25">
      <c r="B17" s="20"/>
      <c r="C17" s="7" t="s">
        <v>9</v>
      </c>
      <c r="D17" s="8"/>
      <c r="E17" s="12">
        <v>3.86E-4</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75" customHeight="1" x14ac:dyDescent="0.25">
      <c r="B19" s="20"/>
      <c r="C19" s="7" t="s">
        <v>10</v>
      </c>
      <c r="D19" s="8"/>
      <c r="E19" s="12">
        <v>2.5964999999999998E-2</v>
      </c>
      <c r="F19" s="1"/>
      <c r="G19" s="1"/>
      <c r="H19" s="1"/>
      <c r="I19" s="1"/>
      <c r="J19" s="1"/>
      <c r="K19" s="1"/>
      <c r="L19" s="1"/>
      <c r="M19" s="1"/>
      <c r="N19" s="18"/>
    </row>
    <row r="20" spans="2:14" ht="15" customHeight="1" x14ac:dyDescent="0.25">
      <c r="B20" s="20"/>
      <c r="C20" s="5"/>
      <c r="D20" s="6"/>
      <c r="E20" s="11"/>
      <c r="F20" s="1"/>
      <c r="G20" s="1"/>
      <c r="H20" s="1"/>
      <c r="I20" s="1"/>
      <c r="J20" s="1"/>
      <c r="K20" s="1"/>
      <c r="L20" s="1"/>
      <c r="M20" s="1"/>
      <c r="N20" s="18"/>
    </row>
    <row r="21" spans="2:14" ht="15" customHeight="1" x14ac:dyDescent="0.25">
      <c r="B21" s="20"/>
      <c r="C21" s="9" t="s">
        <v>11</v>
      </c>
      <c r="D21" s="10"/>
      <c r="E21" s="13">
        <v>1</v>
      </c>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2" t="s">
        <v>17</v>
      </c>
      <c r="H24" s="83"/>
      <c r="I24" s="83"/>
      <c r="J24" s="83"/>
      <c r="K24" s="83"/>
      <c r="L24" s="66">
        <v>13.476372690126265</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2" t="s">
        <v>18</v>
      </c>
      <c r="H26" s="83"/>
      <c r="I26" s="83"/>
      <c r="J26" s="83"/>
      <c r="K26" s="83"/>
      <c r="L26" s="83"/>
      <c r="M26" s="83"/>
      <c r="N26" s="8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68" t="s">
        <v>286</v>
      </c>
      <c r="C45" s="69"/>
      <c r="D45" s="69"/>
      <c r="E45" s="69"/>
      <c r="F45" s="69"/>
      <c r="G45" s="69"/>
      <c r="H45" s="69"/>
      <c r="I45" s="69"/>
      <c r="J45" s="69"/>
      <c r="K45" s="69"/>
      <c r="L45" s="69"/>
      <c r="M45" s="69"/>
      <c r="N45" s="70"/>
    </row>
    <row r="46" spans="2:14" x14ac:dyDescent="0.25">
      <c r="B46" s="71"/>
      <c r="C46" s="72"/>
      <c r="D46" s="72"/>
      <c r="E46" s="72"/>
      <c r="F46" s="72"/>
      <c r="G46" s="72"/>
      <c r="H46" s="72"/>
      <c r="I46" s="72"/>
      <c r="J46" s="72"/>
      <c r="K46" s="72"/>
      <c r="L46" s="72"/>
      <c r="M46" s="72"/>
      <c r="N46" s="73"/>
    </row>
    <row r="47" spans="2:14" x14ac:dyDescent="0.25">
      <c r="B47" s="71"/>
      <c r="C47" s="72"/>
      <c r="D47" s="72"/>
      <c r="E47" s="72"/>
      <c r="F47" s="72"/>
      <c r="G47" s="72"/>
      <c r="H47" s="72"/>
      <c r="I47" s="72"/>
      <c r="J47" s="72"/>
      <c r="K47" s="72"/>
      <c r="L47" s="72"/>
      <c r="M47" s="72"/>
      <c r="N47" s="73"/>
    </row>
    <row r="48" spans="2:14" ht="15.75" thickBot="1" x14ac:dyDescent="0.3">
      <c r="B48" s="74"/>
      <c r="C48" s="75"/>
      <c r="D48" s="75"/>
      <c r="E48" s="75"/>
      <c r="F48" s="75"/>
      <c r="G48" s="75"/>
      <c r="H48" s="75"/>
      <c r="I48" s="75"/>
      <c r="J48" s="75"/>
      <c r="K48" s="75"/>
      <c r="L48" s="75"/>
      <c r="M48" s="75"/>
      <c r="N48" s="76"/>
    </row>
    <row r="49" spans="2:14" ht="15.75" thickBot="1" x14ac:dyDescent="0.3"/>
    <row r="50" spans="2:14" ht="128.25" customHeight="1" thickBot="1" x14ac:dyDescent="0.3">
      <c r="B50" s="85" t="s">
        <v>292</v>
      </c>
      <c r="C50" s="86"/>
      <c r="D50" s="86"/>
      <c r="E50" s="86"/>
      <c r="F50" s="86"/>
      <c r="G50" s="86"/>
      <c r="H50" s="86"/>
      <c r="I50" s="86"/>
      <c r="J50" s="86"/>
      <c r="K50" s="86"/>
      <c r="L50" s="86"/>
      <c r="M50" s="86"/>
      <c r="N50" s="87"/>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79EC5-22DB-4F1E-8675-B318F9276B5C}">
  <dimension ref="B1:N50"/>
  <sheetViews>
    <sheetView showGridLines="0" zoomScale="75"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7" t="s">
        <v>57</v>
      </c>
      <c r="D3" s="78"/>
      <c r="E3" s="78"/>
      <c r="F3" s="78"/>
      <c r="G3" s="78"/>
      <c r="H3" s="78"/>
      <c r="I3" s="78"/>
      <c r="J3" s="78"/>
      <c r="K3" s="78"/>
      <c r="L3" s="78"/>
      <c r="M3" s="78"/>
      <c r="N3" s="79"/>
    </row>
    <row r="4" spans="2:14" ht="15.75" customHeight="1" x14ac:dyDescent="0.25">
      <c r="B4" s="20"/>
      <c r="C4" s="14"/>
      <c r="D4" s="1"/>
      <c r="E4" s="1"/>
      <c r="F4" s="1"/>
      <c r="G4" s="1"/>
      <c r="H4" s="1"/>
      <c r="I4" s="1"/>
      <c r="J4" s="1"/>
      <c r="K4" s="1"/>
      <c r="L4" s="1"/>
      <c r="M4" s="1"/>
      <c r="N4" s="18"/>
    </row>
    <row r="5" spans="2:14" ht="18" customHeight="1" x14ac:dyDescent="0.25">
      <c r="B5" s="20"/>
      <c r="C5" s="15" t="s">
        <v>1</v>
      </c>
      <c r="D5" s="80" t="s">
        <v>58</v>
      </c>
      <c r="E5" s="8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2" t="s">
        <v>16</v>
      </c>
      <c r="H7" s="83"/>
      <c r="I7" s="83"/>
      <c r="J7" s="83"/>
      <c r="K7" s="83"/>
      <c r="L7" s="83"/>
      <c r="M7" s="83"/>
      <c r="N7" s="84"/>
    </row>
    <row r="8" spans="2:14" ht="15" customHeight="1" x14ac:dyDescent="0.25">
      <c r="B8" s="20"/>
      <c r="C8" s="5" t="s">
        <v>45</v>
      </c>
      <c r="D8" s="6"/>
      <c r="E8" s="11">
        <v>2.5769999999999999E-3</v>
      </c>
      <c r="F8" s="1"/>
      <c r="G8" s="24" t="s">
        <v>15</v>
      </c>
      <c r="H8" s="25">
        <v>1</v>
      </c>
      <c r="I8" s="1"/>
      <c r="J8" s="24" t="s">
        <v>12</v>
      </c>
      <c r="K8" s="24" t="s">
        <v>5</v>
      </c>
      <c r="L8" s="1"/>
      <c r="M8" s="1"/>
      <c r="N8" s="18"/>
    </row>
    <row r="9" spans="2:14" ht="15.75" customHeight="1" x14ac:dyDescent="0.25">
      <c r="B9" s="20"/>
      <c r="C9" s="7" t="s">
        <v>46</v>
      </c>
      <c r="D9" s="8"/>
      <c r="E9" s="12">
        <v>2.5769999999999999E-3</v>
      </c>
      <c r="F9" s="1"/>
      <c r="G9" s="1"/>
      <c r="H9" s="1"/>
      <c r="I9" s="1"/>
      <c r="J9" s="24" t="s">
        <v>10</v>
      </c>
      <c r="K9" s="28">
        <v>1.7944000000000002E-2</v>
      </c>
      <c r="L9" s="1"/>
      <c r="M9" s="1"/>
      <c r="N9" s="18"/>
    </row>
    <row r="10" spans="2:14" ht="15" customHeight="1" x14ac:dyDescent="0.25">
      <c r="B10" s="20"/>
      <c r="C10" s="5" t="s">
        <v>59</v>
      </c>
      <c r="D10" s="6" t="s">
        <v>180</v>
      </c>
      <c r="E10" s="11">
        <v>0.586252</v>
      </c>
      <c r="F10" s="1"/>
      <c r="G10" s="1"/>
      <c r="H10" s="1"/>
      <c r="I10" s="1"/>
      <c r="J10" s="24" t="s">
        <v>13</v>
      </c>
      <c r="K10" s="28">
        <v>1.918E-3</v>
      </c>
      <c r="L10" s="1"/>
      <c r="M10" s="1"/>
      <c r="N10" s="18"/>
    </row>
    <row r="11" spans="2:14" ht="15" customHeight="1" x14ac:dyDescent="0.25">
      <c r="B11" s="20"/>
      <c r="C11" s="5" t="s">
        <v>60</v>
      </c>
      <c r="D11" s="6" t="s">
        <v>180</v>
      </c>
      <c r="E11" s="11">
        <v>0.21510699999999999</v>
      </c>
      <c r="F11" s="1"/>
      <c r="G11" s="1"/>
      <c r="H11" s="1"/>
      <c r="I11" s="1"/>
      <c r="J11" s="24" t="s">
        <v>45</v>
      </c>
      <c r="K11" s="28">
        <v>2.5769999999999999E-3</v>
      </c>
      <c r="L11" s="1"/>
      <c r="M11" s="1"/>
      <c r="N11" s="18"/>
    </row>
    <row r="12" spans="2:14" ht="15" customHeight="1" x14ac:dyDescent="0.25">
      <c r="B12" s="20"/>
      <c r="C12" s="5" t="s">
        <v>61</v>
      </c>
      <c r="D12" s="6" t="s">
        <v>180</v>
      </c>
      <c r="E12" s="11">
        <v>0.140152</v>
      </c>
      <c r="F12" s="1"/>
      <c r="G12" s="1"/>
      <c r="H12" s="1"/>
      <c r="I12" s="1"/>
      <c r="J12" s="24" t="s">
        <v>55</v>
      </c>
      <c r="K12" s="28">
        <v>0.97756100000000001</v>
      </c>
      <c r="L12" s="1"/>
      <c r="M12" s="1"/>
      <c r="N12" s="18"/>
    </row>
    <row r="13" spans="2:14" ht="15" customHeight="1" x14ac:dyDescent="0.25">
      <c r="B13" s="20"/>
      <c r="C13" s="5" t="s">
        <v>62</v>
      </c>
      <c r="D13" s="6" t="s">
        <v>180</v>
      </c>
      <c r="E13" s="11">
        <v>1.9019000000000001E-2</v>
      </c>
      <c r="F13" s="1"/>
      <c r="G13" s="1"/>
      <c r="H13" s="1"/>
      <c r="I13" s="1"/>
      <c r="J13" s="1"/>
      <c r="K13" s="1"/>
      <c r="L13" s="1"/>
      <c r="M13" s="1"/>
      <c r="N13" s="18"/>
    </row>
    <row r="14" spans="2:14" ht="15" customHeight="1" x14ac:dyDescent="0.25">
      <c r="B14" s="20"/>
      <c r="C14" s="5" t="s">
        <v>63</v>
      </c>
      <c r="D14" s="6" t="s">
        <v>180</v>
      </c>
      <c r="E14" s="11">
        <v>1.4226000000000001E-2</v>
      </c>
      <c r="F14" s="1"/>
      <c r="G14" s="1"/>
      <c r="H14" s="1"/>
      <c r="I14" s="1"/>
      <c r="J14" s="1"/>
      <c r="K14" s="1"/>
      <c r="L14" s="1"/>
      <c r="M14" s="1"/>
      <c r="N14" s="18"/>
    </row>
    <row r="15" spans="2:14" ht="15" customHeight="1" x14ac:dyDescent="0.25">
      <c r="B15" s="20"/>
      <c r="C15" s="5" t="s">
        <v>64</v>
      </c>
      <c r="D15" s="6" t="s">
        <v>180</v>
      </c>
      <c r="E15" s="11">
        <v>2.0179999999999998E-3</v>
      </c>
      <c r="F15" s="1"/>
      <c r="G15" s="1"/>
      <c r="H15" s="1"/>
      <c r="I15" s="1"/>
      <c r="J15" s="1"/>
      <c r="K15" s="1"/>
      <c r="L15" s="1"/>
      <c r="M15" s="1"/>
      <c r="N15" s="18"/>
    </row>
    <row r="16" spans="2:14" ht="15" customHeight="1" x14ac:dyDescent="0.25">
      <c r="B16" s="20"/>
      <c r="C16" s="5" t="s">
        <v>65</v>
      </c>
      <c r="D16" s="6" t="s">
        <v>180</v>
      </c>
      <c r="E16" s="11">
        <v>7.8700000000000005E-4</v>
      </c>
      <c r="F16" s="1"/>
      <c r="G16" s="1"/>
      <c r="H16" s="1"/>
      <c r="I16" s="1"/>
      <c r="J16" s="1"/>
      <c r="K16" s="1"/>
      <c r="L16" s="1"/>
      <c r="M16" s="1"/>
      <c r="N16" s="18"/>
    </row>
    <row r="17" spans="2:14" ht="15.75" customHeight="1" x14ac:dyDescent="0.25">
      <c r="B17" s="20"/>
      <c r="C17" s="7" t="s">
        <v>50</v>
      </c>
      <c r="D17" s="8"/>
      <c r="E17" s="12">
        <v>0.97756100000000001</v>
      </c>
      <c r="F17" s="1"/>
      <c r="G17" s="1"/>
      <c r="H17" s="1"/>
      <c r="I17" s="1"/>
      <c r="J17" s="1"/>
      <c r="K17" s="1"/>
      <c r="L17" s="1"/>
      <c r="M17" s="1"/>
      <c r="N17" s="18"/>
    </row>
    <row r="18" spans="2:14" ht="15" customHeight="1" x14ac:dyDescent="0.25">
      <c r="B18" s="20"/>
      <c r="C18" s="5" t="s">
        <v>8</v>
      </c>
      <c r="D18" s="6"/>
      <c r="E18" s="11">
        <v>1.918E-3</v>
      </c>
      <c r="F18" s="1"/>
      <c r="G18" s="1"/>
      <c r="H18" s="1"/>
      <c r="I18" s="1"/>
      <c r="J18" s="1"/>
      <c r="K18" s="1"/>
      <c r="L18" s="1"/>
      <c r="M18" s="1"/>
      <c r="N18" s="18"/>
    </row>
    <row r="19" spans="2:14" ht="15.75" customHeight="1" x14ac:dyDescent="0.25">
      <c r="B19" s="20"/>
      <c r="C19" s="7" t="s">
        <v>9</v>
      </c>
      <c r="D19" s="8"/>
      <c r="E19" s="12">
        <v>1.918E-3</v>
      </c>
      <c r="F19" s="1"/>
      <c r="G19" s="1"/>
      <c r="H19" s="1"/>
      <c r="I19" s="1"/>
      <c r="J19" s="1"/>
      <c r="K19" s="1"/>
      <c r="L19" s="1"/>
      <c r="M19" s="1"/>
      <c r="N19" s="18"/>
    </row>
    <row r="20" spans="2:14" ht="15" customHeight="1" x14ac:dyDescent="0.25">
      <c r="B20" s="20"/>
      <c r="C20" s="5"/>
      <c r="D20" s="6"/>
      <c r="E20" s="11"/>
      <c r="F20" s="1"/>
      <c r="G20" s="1"/>
      <c r="H20" s="1"/>
      <c r="I20" s="1"/>
      <c r="J20" s="1"/>
      <c r="K20" s="1"/>
      <c r="L20" s="1"/>
      <c r="M20" s="1"/>
      <c r="N20" s="18"/>
    </row>
    <row r="21" spans="2:14" ht="15.75" customHeight="1" x14ac:dyDescent="0.25">
      <c r="B21" s="20"/>
      <c r="C21" s="7" t="s">
        <v>10</v>
      </c>
      <c r="D21" s="8"/>
      <c r="E21" s="12">
        <v>1.7944000000000002E-2</v>
      </c>
      <c r="F21" s="1"/>
      <c r="G21" s="1"/>
      <c r="H21" s="1"/>
      <c r="I21" s="1"/>
      <c r="J21" s="1"/>
      <c r="K21" s="1"/>
      <c r="L21" s="1"/>
      <c r="M21" s="1"/>
      <c r="N21" s="18"/>
    </row>
    <row r="22" spans="2:14" ht="15" customHeight="1" x14ac:dyDescent="0.25">
      <c r="B22" s="20"/>
      <c r="C22" s="5"/>
      <c r="D22" s="6"/>
      <c r="E22" s="11"/>
      <c r="F22" s="1"/>
      <c r="G22" s="1"/>
      <c r="H22" s="1"/>
      <c r="I22" s="1"/>
      <c r="J22" s="1"/>
      <c r="K22" s="1"/>
      <c r="L22" s="1"/>
      <c r="M22" s="1"/>
      <c r="N22" s="18"/>
    </row>
    <row r="23" spans="2:14" ht="15" customHeight="1" x14ac:dyDescent="0.25">
      <c r="B23" s="20"/>
      <c r="C23" s="9" t="s">
        <v>11</v>
      </c>
      <c r="D23" s="10"/>
      <c r="E23" s="13">
        <v>1</v>
      </c>
      <c r="F23" s="1"/>
      <c r="G23" s="1"/>
      <c r="H23" s="1"/>
      <c r="I23" s="1"/>
      <c r="J23" s="1"/>
      <c r="K23" s="1"/>
      <c r="L23" s="1"/>
      <c r="M23" s="1"/>
      <c r="N23" s="18"/>
    </row>
    <row r="24" spans="2:14" ht="15" customHeight="1" x14ac:dyDescent="0.25">
      <c r="B24" s="20"/>
      <c r="C24" s="1"/>
      <c r="D24" s="1"/>
      <c r="E24" s="1"/>
      <c r="F24" s="1"/>
      <c r="G24" s="82" t="s">
        <v>17</v>
      </c>
      <c r="H24" s="83"/>
      <c r="I24" s="83"/>
      <c r="J24" s="83"/>
      <c r="K24" s="83"/>
      <c r="L24" s="66">
        <v>10.332223538861536</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2" t="s">
        <v>18</v>
      </c>
      <c r="H26" s="83"/>
      <c r="I26" s="83"/>
      <c r="J26" s="83"/>
      <c r="K26" s="83"/>
      <c r="L26" s="83"/>
      <c r="M26" s="83"/>
      <c r="N26" s="8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75" thickBot="1" x14ac:dyDescent="0.3"/>
    <row r="45" spans="2:14" x14ac:dyDescent="0.25">
      <c r="B45" s="68" t="s">
        <v>286</v>
      </c>
      <c r="C45" s="69"/>
      <c r="D45" s="69"/>
      <c r="E45" s="69"/>
      <c r="F45" s="69"/>
      <c r="G45" s="69"/>
      <c r="H45" s="69"/>
      <c r="I45" s="69"/>
      <c r="J45" s="69"/>
      <c r="K45" s="69"/>
      <c r="L45" s="69"/>
      <c r="M45" s="69"/>
      <c r="N45" s="70"/>
    </row>
    <row r="46" spans="2:14" x14ac:dyDescent="0.25">
      <c r="B46" s="71"/>
      <c r="C46" s="72"/>
      <c r="D46" s="72"/>
      <c r="E46" s="72"/>
      <c r="F46" s="72"/>
      <c r="G46" s="72"/>
      <c r="H46" s="72"/>
      <c r="I46" s="72"/>
      <c r="J46" s="72"/>
      <c r="K46" s="72"/>
      <c r="L46" s="72"/>
      <c r="M46" s="72"/>
      <c r="N46" s="73"/>
    </row>
    <row r="47" spans="2:14" x14ac:dyDescent="0.25">
      <c r="B47" s="71"/>
      <c r="C47" s="72"/>
      <c r="D47" s="72"/>
      <c r="E47" s="72"/>
      <c r="F47" s="72"/>
      <c r="G47" s="72"/>
      <c r="H47" s="72"/>
      <c r="I47" s="72"/>
      <c r="J47" s="72"/>
      <c r="K47" s="72"/>
      <c r="L47" s="72"/>
      <c r="M47" s="72"/>
      <c r="N47" s="73"/>
    </row>
    <row r="48" spans="2:14" ht="15.75" thickBot="1" x14ac:dyDescent="0.3">
      <c r="B48" s="74"/>
      <c r="C48" s="75"/>
      <c r="D48" s="75"/>
      <c r="E48" s="75"/>
      <c r="F48" s="75"/>
      <c r="G48" s="75"/>
      <c r="H48" s="75"/>
      <c r="I48" s="75"/>
      <c r="J48" s="75"/>
      <c r="K48" s="75"/>
      <c r="L48" s="75"/>
      <c r="M48" s="75"/>
      <c r="N48" s="76"/>
    </row>
    <row r="49" spans="2:14" ht="15.75" thickBot="1" x14ac:dyDescent="0.3"/>
    <row r="50" spans="2:14" ht="119.25" customHeight="1" thickBot="1" x14ac:dyDescent="0.3">
      <c r="B50" s="85" t="s">
        <v>292</v>
      </c>
      <c r="C50" s="86"/>
      <c r="D50" s="86"/>
      <c r="E50" s="86"/>
      <c r="F50" s="86"/>
      <c r="G50" s="86"/>
      <c r="H50" s="86"/>
      <c r="I50" s="86"/>
      <c r="J50" s="86"/>
      <c r="K50" s="86"/>
      <c r="L50" s="86"/>
      <c r="M50" s="86"/>
      <c r="N50" s="87"/>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9BE7F-2098-4A38-8215-8A87F1BCC3D4}">
  <dimension ref="B1:N50"/>
  <sheetViews>
    <sheetView showGridLines="0" zoomScale="75"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7" t="s">
        <v>66</v>
      </c>
      <c r="D3" s="78"/>
      <c r="E3" s="78"/>
      <c r="F3" s="78"/>
      <c r="G3" s="78"/>
      <c r="H3" s="78"/>
      <c r="I3" s="78"/>
      <c r="J3" s="78"/>
      <c r="K3" s="78"/>
      <c r="L3" s="78"/>
      <c r="M3" s="78"/>
      <c r="N3" s="79"/>
    </row>
    <row r="4" spans="2:14" ht="15.75" customHeight="1" x14ac:dyDescent="0.25">
      <c r="B4" s="20"/>
      <c r="C4" s="14"/>
      <c r="D4" s="1"/>
      <c r="E4" s="1"/>
      <c r="F4" s="1"/>
      <c r="G4" s="1"/>
      <c r="H4" s="1"/>
      <c r="I4" s="1"/>
      <c r="J4" s="1"/>
      <c r="K4" s="1"/>
      <c r="L4" s="1"/>
      <c r="M4" s="1"/>
      <c r="N4" s="18"/>
    </row>
    <row r="5" spans="2:14" ht="18" customHeight="1" x14ac:dyDescent="0.25">
      <c r="B5" s="20"/>
      <c r="C5" s="15" t="s">
        <v>1</v>
      </c>
      <c r="D5" s="80" t="s">
        <v>67</v>
      </c>
      <c r="E5" s="8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2" t="s">
        <v>16</v>
      </c>
      <c r="H7" s="83"/>
      <c r="I7" s="83"/>
      <c r="J7" s="83"/>
      <c r="K7" s="83"/>
      <c r="L7" s="83"/>
      <c r="M7" s="83"/>
      <c r="N7" s="84"/>
    </row>
    <row r="8" spans="2:14" ht="15" customHeight="1" x14ac:dyDescent="0.25">
      <c r="B8" s="20"/>
      <c r="C8" s="5" t="s">
        <v>33</v>
      </c>
      <c r="D8" s="6" t="s">
        <v>29</v>
      </c>
      <c r="E8" s="11">
        <v>3.0106000000000001E-2</v>
      </c>
      <c r="F8" s="1"/>
      <c r="G8" s="24" t="s">
        <v>15</v>
      </c>
      <c r="H8" s="25">
        <v>1</v>
      </c>
      <c r="I8" s="1"/>
      <c r="J8" s="24" t="s">
        <v>12</v>
      </c>
      <c r="K8" s="24" t="s">
        <v>5</v>
      </c>
      <c r="L8" s="1"/>
      <c r="M8" s="1"/>
      <c r="N8" s="18"/>
    </row>
    <row r="9" spans="2:14" ht="15.75" customHeight="1" x14ac:dyDescent="0.25">
      <c r="B9" s="20"/>
      <c r="C9" s="7" t="s">
        <v>44</v>
      </c>
      <c r="D9" s="8"/>
      <c r="E9" s="12">
        <v>3.0106000000000001E-2</v>
      </c>
      <c r="F9" s="1"/>
      <c r="G9" s="1"/>
      <c r="H9" s="1"/>
      <c r="I9" s="1"/>
      <c r="J9" s="24" t="s">
        <v>10</v>
      </c>
      <c r="K9" s="28">
        <v>1.6160000000000001E-2</v>
      </c>
      <c r="L9" s="1"/>
      <c r="M9" s="1"/>
      <c r="N9" s="18"/>
    </row>
    <row r="10" spans="2:14" ht="15" customHeight="1" x14ac:dyDescent="0.25">
      <c r="B10" s="20"/>
      <c r="C10" s="5" t="s">
        <v>45</v>
      </c>
      <c r="D10" s="6"/>
      <c r="E10" s="11">
        <v>3.081E-3</v>
      </c>
      <c r="F10" s="1"/>
      <c r="G10" s="1"/>
      <c r="H10" s="1"/>
      <c r="I10" s="1"/>
      <c r="J10" s="24" t="s">
        <v>13</v>
      </c>
      <c r="K10" s="28">
        <v>1.3810000000000001E-3</v>
      </c>
      <c r="L10" s="1"/>
      <c r="M10" s="1"/>
      <c r="N10" s="18"/>
    </row>
    <row r="11" spans="2:14" ht="15.75" customHeight="1" x14ac:dyDescent="0.25">
      <c r="B11" s="20"/>
      <c r="C11" s="7" t="s">
        <v>46</v>
      </c>
      <c r="D11" s="8"/>
      <c r="E11" s="12">
        <v>3.081E-3</v>
      </c>
      <c r="F11" s="1"/>
      <c r="G11" s="1"/>
      <c r="H11" s="1"/>
      <c r="I11" s="1"/>
      <c r="J11" s="24" t="s">
        <v>53</v>
      </c>
      <c r="K11" s="28">
        <v>3.0106000000000001E-2</v>
      </c>
      <c r="L11" s="1"/>
      <c r="M11" s="1"/>
      <c r="N11" s="18"/>
    </row>
    <row r="12" spans="2:14" ht="15" customHeight="1" x14ac:dyDescent="0.25">
      <c r="B12" s="20"/>
      <c r="C12" s="5" t="s">
        <v>60</v>
      </c>
      <c r="D12" s="6" t="s">
        <v>180</v>
      </c>
      <c r="E12" s="11">
        <v>0.62514199999999998</v>
      </c>
      <c r="F12" s="1"/>
      <c r="G12" s="1"/>
      <c r="H12" s="1"/>
      <c r="I12" s="1"/>
      <c r="J12" s="24" t="s">
        <v>45</v>
      </c>
      <c r="K12" s="28">
        <v>3.081E-3</v>
      </c>
      <c r="L12" s="1"/>
      <c r="M12" s="1"/>
      <c r="N12" s="18"/>
    </row>
    <row r="13" spans="2:14" ht="15" customHeight="1" x14ac:dyDescent="0.25">
      <c r="B13" s="20"/>
      <c r="C13" s="5" t="s">
        <v>47</v>
      </c>
      <c r="D13" s="6" t="s">
        <v>180</v>
      </c>
      <c r="E13" s="11">
        <v>0.22218399999999999</v>
      </c>
      <c r="F13" s="1"/>
      <c r="G13" s="1"/>
      <c r="H13" s="1"/>
      <c r="I13" s="1"/>
      <c r="J13" s="24" t="s">
        <v>55</v>
      </c>
      <c r="K13" s="28">
        <v>0.92056300000000002</v>
      </c>
      <c r="L13" s="1"/>
      <c r="M13" s="1"/>
      <c r="N13" s="18"/>
    </row>
    <row r="14" spans="2:14" ht="15" customHeight="1" x14ac:dyDescent="0.25">
      <c r="B14" s="20"/>
      <c r="C14" s="5" t="s">
        <v>61</v>
      </c>
      <c r="D14" s="6" t="s">
        <v>180</v>
      </c>
      <c r="E14" s="11">
        <v>7.3050000000000004E-2</v>
      </c>
      <c r="F14" s="1"/>
      <c r="G14" s="1"/>
      <c r="H14" s="1"/>
      <c r="I14" s="1"/>
      <c r="J14" s="24" t="s">
        <v>71</v>
      </c>
      <c r="K14" s="28">
        <v>9.2029999999999994E-3</v>
      </c>
      <c r="L14" s="1"/>
      <c r="M14" s="1"/>
      <c r="N14" s="18"/>
    </row>
    <row r="15" spans="2:14" ht="15" customHeight="1" x14ac:dyDescent="0.25">
      <c r="B15" s="20"/>
      <c r="C15" s="5" t="s">
        <v>64</v>
      </c>
      <c r="D15" s="6" t="s">
        <v>180</v>
      </c>
      <c r="E15" s="11">
        <v>1.1900000000000001E-4</v>
      </c>
      <c r="F15" s="1"/>
      <c r="G15" s="1"/>
      <c r="H15" s="1"/>
      <c r="I15" s="1"/>
      <c r="J15" s="24" t="s">
        <v>56</v>
      </c>
      <c r="K15" s="28">
        <v>1.9505999999999999E-2</v>
      </c>
      <c r="L15" s="1"/>
      <c r="M15" s="1"/>
      <c r="N15" s="18"/>
    </row>
    <row r="16" spans="2:14" ht="15" customHeight="1" x14ac:dyDescent="0.25">
      <c r="B16" s="20"/>
      <c r="C16" s="5" t="s">
        <v>68</v>
      </c>
      <c r="D16" s="6" t="s">
        <v>180</v>
      </c>
      <c r="E16" s="11">
        <v>6.7999999999999999E-5</v>
      </c>
      <c r="F16" s="1"/>
      <c r="G16" s="1"/>
      <c r="H16" s="1"/>
      <c r="I16" s="1"/>
      <c r="J16" s="1"/>
      <c r="K16" s="1"/>
      <c r="L16" s="1"/>
      <c r="M16" s="1"/>
      <c r="N16" s="18"/>
    </row>
    <row r="17" spans="2:14" ht="15.75" customHeight="1" x14ac:dyDescent="0.25">
      <c r="B17" s="20"/>
      <c r="C17" s="7" t="s">
        <v>50</v>
      </c>
      <c r="D17" s="8"/>
      <c r="E17" s="12">
        <v>0.92056300000000002</v>
      </c>
      <c r="F17" s="1"/>
      <c r="G17" s="1"/>
      <c r="H17" s="1"/>
      <c r="I17" s="1"/>
      <c r="J17" s="1"/>
      <c r="K17" s="1"/>
      <c r="L17" s="1"/>
      <c r="M17" s="1"/>
      <c r="N17" s="18"/>
    </row>
    <row r="18" spans="2:14" ht="15" customHeight="1" x14ac:dyDescent="0.25">
      <c r="B18" s="20"/>
      <c r="C18" s="5" t="s">
        <v>287</v>
      </c>
      <c r="D18" s="6" t="s">
        <v>69</v>
      </c>
      <c r="E18" s="11">
        <v>9.2029999999999994E-3</v>
      </c>
      <c r="F18" s="1"/>
      <c r="G18" s="1"/>
      <c r="H18" s="1"/>
      <c r="I18" s="1"/>
      <c r="J18" s="1"/>
      <c r="K18" s="1"/>
      <c r="L18" s="1"/>
      <c r="M18" s="1"/>
      <c r="N18" s="18"/>
    </row>
    <row r="19" spans="2:14" ht="15.75" customHeight="1" x14ac:dyDescent="0.25">
      <c r="B19" s="20"/>
      <c r="C19" s="7" t="s">
        <v>70</v>
      </c>
      <c r="D19" s="8"/>
      <c r="E19" s="12">
        <v>9.2029999999999994E-3</v>
      </c>
      <c r="F19" s="1"/>
      <c r="G19" s="1"/>
      <c r="H19" s="1"/>
      <c r="I19" s="1"/>
      <c r="J19" s="1"/>
      <c r="K19" s="1"/>
      <c r="L19" s="1"/>
      <c r="M19" s="1"/>
      <c r="N19" s="18"/>
    </row>
    <row r="20" spans="2:14" ht="15" customHeight="1" x14ac:dyDescent="0.25">
      <c r="B20" s="20"/>
      <c r="C20" s="5" t="s">
        <v>201</v>
      </c>
      <c r="D20" s="6" t="s">
        <v>180</v>
      </c>
      <c r="E20" s="11">
        <v>9.1479999999999999E-3</v>
      </c>
      <c r="F20" s="1"/>
      <c r="G20" s="1"/>
      <c r="H20" s="1"/>
      <c r="I20" s="1"/>
      <c r="J20" s="1"/>
      <c r="K20" s="1"/>
      <c r="L20" s="1"/>
      <c r="M20" s="1"/>
      <c r="N20" s="18"/>
    </row>
    <row r="21" spans="2:14" ht="15.75" customHeight="1" x14ac:dyDescent="0.25">
      <c r="B21" s="20"/>
      <c r="C21" s="5" t="s">
        <v>202</v>
      </c>
      <c r="D21" s="6" t="s">
        <v>180</v>
      </c>
      <c r="E21" s="11">
        <v>9.1479999999999999E-3</v>
      </c>
      <c r="F21" s="1"/>
      <c r="G21" s="1"/>
      <c r="H21" s="1"/>
      <c r="I21" s="1"/>
      <c r="J21" s="1"/>
      <c r="K21" s="1"/>
      <c r="L21" s="1"/>
      <c r="M21" s="1"/>
      <c r="N21" s="18"/>
    </row>
    <row r="22" spans="2:14" ht="15" customHeight="1" x14ac:dyDescent="0.25">
      <c r="B22" s="20"/>
      <c r="C22" s="5" t="s">
        <v>203</v>
      </c>
      <c r="D22" s="6" t="s">
        <v>180</v>
      </c>
      <c r="E22" s="11">
        <v>1.2099999999999999E-3</v>
      </c>
      <c r="F22" s="1"/>
      <c r="G22" s="1"/>
      <c r="H22" s="1"/>
      <c r="I22" s="1"/>
      <c r="J22" s="1"/>
      <c r="K22" s="1"/>
      <c r="L22" s="1"/>
      <c r="M22" s="1"/>
      <c r="N22" s="18"/>
    </row>
    <row r="23" spans="2:14" ht="15.75" customHeight="1" x14ac:dyDescent="0.25">
      <c r="B23" s="20"/>
      <c r="C23" s="7" t="s">
        <v>51</v>
      </c>
      <c r="D23" s="8"/>
      <c r="E23" s="12">
        <v>1.9505999999999999E-2</v>
      </c>
      <c r="F23" s="1"/>
      <c r="G23" s="1"/>
      <c r="H23" s="1"/>
      <c r="I23" s="1"/>
      <c r="J23" s="1"/>
      <c r="K23" s="1"/>
      <c r="L23" s="1"/>
      <c r="M23" s="1"/>
      <c r="N23" s="18"/>
    </row>
    <row r="24" spans="2:14" ht="15" customHeight="1" x14ac:dyDescent="0.25">
      <c r="B24" s="20"/>
      <c r="C24" s="5" t="s">
        <v>8</v>
      </c>
      <c r="D24" s="6"/>
      <c r="E24" s="11">
        <v>1.3810000000000001E-3</v>
      </c>
      <c r="F24" s="1"/>
      <c r="G24" s="82" t="s">
        <v>17</v>
      </c>
      <c r="H24" s="83"/>
      <c r="I24" s="83"/>
      <c r="J24" s="83"/>
      <c r="K24" s="83"/>
      <c r="L24" s="67">
        <v>4.6750582936247422</v>
      </c>
      <c r="M24" s="26"/>
      <c r="N24" s="27"/>
    </row>
    <row r="25" spans="2:14" ht="15.75" customHeight="1" x14ac:dyDescent="0.25">
      <c r="B25" s="20"/>
      <c r="C25" s="7" t="s">
        <v>9</v>
      </c>
      <c r="D25" s="8"/>
      <c r="E25" s="12">
        <v>1.3810000000000001E-3</v>
      </c>
      <c r="F25" s="1"/>
      <c r="G25" s="1"/>
      <c r="H25" s="1"/>
      <c r="I25" s="1"/>
      <c r="J25" s="1"/>
      <c r="K25" s="1"/>
      <c r="L25" s="1"/>
      <c r="M25" s="1"/>
      <c r="N25" s="18"/>
    </row>
    <row r="26" spans="2:14" ht="15" customHeight="1" x14ac:dyDescent="0.25">
      <c r="B26" s="20"/>
      <c r="C26" s="5"/>
      <c r="D26" s="6"/>
      <c r="E26" s="11"/>
      <c r="F26" s="1"/>
      <c r="G26" s="82" t="s">
        <v>18</v>
      </c>
      <c r="H26" s="83"/>
      <c r="I26" s="83"/>
      <c r="J26" s="83"/>
      <c r="K26" s="83"/>
      <c r="L26" s="83"/>
      <c r="M26" s="83"/>
      <c r="N26" s="84"/>
    </row>
    <row r="27" spans="2:14" ht="15" customHeight="1" x14ac:dyDescent="0.25">
      <c r="B27" s="20"/>
      <c r="C27" s="7" t="s">
        <v>10</v>
      </c>
      <c r="D27" s="8"/>
      <c r="E27" s="12">
        <v>1.6160000000000001E-2</v>
      </c>
      <c r="F27" s="1"/>
      <c r="G27" s="1"/>
      <c r="H27" s="1"/>
      <c r="I27" s="1"/>
      <c r="J27" s="1"/>
      <c r="K27" s="1"/>
      <c r="L27" s="1"/>
      <c r="M27" s="1"/>
      <c r="N27" s="18"/>
    </row>
    <row r="28" spans="2:14" ht="15" customHeight="1" x14ac:dyDescent="0.25">
      <c r="B28" s="20"/>
      <c r="C28" s="5"/>
      <c r="D28" s="6"/>
      <c r="E28" s="11"/>
      <c r="F28" s="1"/>
      <c r="G28" s="1"/>
      <c r="H28" s="1"/>
      <c r="I28" s="1"/>
      <c r="J28" s="1"/>
      <c r="K28" s="1"/>
      <c r="L28" s="1"/>
      <c r="M28" s="1"/>
      <c r="N28" s="18"/>
    </row>
    <row r="29" spans="2:14" ht="15" customHeight="1" x14ac:dyDescent="0.25">
      <c r="B29" s="20"/>
      <c r="C29" s="9" t="s">
        <v>11</v>
      </c>
      <c r="D29" s="10"/>
      <c r="E29" s="13">
        <v>1</v>
      </c>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t="s">
        <v>288</v>
      </c>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8" t="s">
        <v>286</v>
      </c>
      <c r="C45" s="69"/>
      <c r="D45" s="69"/>
      <c r="E45" s="69"/>
      <c r="F45" s="69"/>
      <c r="G45" s="69"/>
      <c r="H45" s="69"/>
      <c r="I45" s="69"/>
      <c r="J45" s="69"/>
      <c r="K45" s="69"/>
      <c r="L45" s="69"/>
      <c r="M45" s="69"/>
      <c r="N45" s="70"/>
    </row>
    <row r="46" spans="2:14" ht="15" customHeight="1" x14ac:dyDescent="0.25">
      <c r="B46" s="71"/>
      <c r="C46" s="72"/>
      <c r="D46" s="72"/>
      <c r="E46" s="72"/>
      <c r="F46" s="72"/>
      <c r="G46" s="72"/>
      <c r="H46" s="72"/>
      <c r="I46" s="72"/>
      <c r="J46" s="72"/>
      <c r="K46" s="72"/>
      <c r="L46" s="72"/>
      <c r="M46" s="72"/>
      <c r="N46" s="73"/>
    </row>
    <row r="47" spans="2:14" ht="15" customHeight="1" x14ac:dyDescent="0.25">
      <c r="B47" s="71"/>
      <c r="C47" s="72"/>
      <c r="D47" s="72"/>
      <c r="E47" s="72"/>
      <c r="F47" s="72"/>
      <c r="G47" s="72"/>
      <c r="H47" s="72"/>
      <c r="I47" s="72"/>
      <c r="J47" s="72"/>
      <c r="K47" s="72"/>
      <c r="L47" s="72"/>
      <c r="M47" s="72"/>
      <c r="N47" s="73"/>
    </row>
    <row r="48" spans="2:14" ht="15.75" thickBot="1" x14ac:dyDescent="0.3">
      <c r="B48" s="74"/>
      <c r="C48" s="75"/>
      <c r="D48" s="75"/>
      <c r="E48" s="75"/>
      <c r="F48" s="75"/>
      <c r="G48" s="75"/>
      <c r="H48" s="75"/>
      <c r="I48" s="75"/>
      <c r="J48" s="75"/>
      <c r="K48" s="75"/>
      <c r="L48" s="75"/>
      <c r="M48" s="75"/>
      <c r="N48" s="76"/>
    </row>
    <row r="49" spans="2:14" ht="15.75" thickBot="1" x14ac:dyDescent="0.3"/>
    <row r="50" spans="2:14" ht="130.5" customHeight="1" thickBot="1" x14ac:dyDescent="0.3">
      <c r="B50" s="85" t="s">
        <v>292</v>
      </c>
      <c r="C50" s="86"/>
      <c r="D50" s="86"/>
      <c r="E50" s="86"/>
      <c r="F50" s="86"/>
      <c r="G50" s="86"/>
      <c r="H50" s="86"/>
      <c r="I50" s="86"/>
      <c r="J50" s="86"/>
      <c r="K50" s="86"/>
      <c r="L50" s="86"/>
      <c r="M50" s="86"/>
      <c r="N50" s="87"/>
    </row>
  </sheetData>
  <sortState ref="C20:E22">
    <sortCondition descending="1" ref="E20"/>
  </sortState>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1E72-6246-4D0F-BBC6-F8BE39D1CBEC}">
  <dimension ref="B1:N62"/>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7" t="s">
        <v>72</v>
      </c>
      <c r="D3" s="78"/>
      <c r="E3" s="78"/>
      <c r="F3" s="78"/>
      <c r="G3" s="78"/>
      <c r="H3" s="78"/>
      <c r="I3" s="78"/>
      <c r="J3" s="78"/>
      <c r="K3" s="78"/>
      <c r="L3" s="78"/>
      <c r="M3" s="78"/>
      <c r="N3" s="79"/>
    </row>
    <row r="4" spans="2:14" ht="15.75" customHeight="1" x14ac:dyDescent="0.25">
      <c r="B4" s="20"/>
      <c r="C4" s="14"/>
      <c r="D4" s="1"/>
      <c r="E4" s="1"/>
      <c r="F4" s="1"/>
      <c r="G4" s="1"/>
      <c r="H4" s="1"/>
      <c r="I4" s="1"/>
      <c r="J4" s="1"/>
      <c r="K4" s="1"/>
      <c r="L4" s="1"/>
      <c r="M4" s="1"/>
      <c r="N4" s="18"/>
    </row>
    <row r="5" spans="2:14" ht="18" customHeight="1" x14ac:dyDescent="0.25">
      <c r="B5" s="20"/>
      <c r="C5" s="15" t="s">
        <v>1</v>
      </c>
      <c r="D5" s="80" t="s">
        <v>73</v>
      </c>
      <c r="E5" s="8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2" t="s">
        <v>16</v>
      </c>
      <c r="H7" s="83"/>
      <c r="I7" s="83"/>
      <c r="J7" s="83"/>
      <c r="K7" s="83"/>
      <c r="L7" s="83"/>
      <c r="M7" s="83"/>
      <c r="N7" s="84"/>
    </row>
    <row r="8" spans="2:14" ht="15" customHeight="1" x14ac:dyDescent="0.25">
      <c r="B8" s="20"/>
      <c r="C8" s="5" t="s">
        <v>32</v>
      </c>
      <c r="D8" s="6" t="s">
        <v>22</v>
      </c>
      <c r="E8" s="11">
        <v>2.6657E-2</v>
      </c>
      <c r="F8" s="1"/>
      <c r="G8" s="24" t="s">
        <v>15</v>
      </c>
      <c r="H8" s="25">
        <v>1</v>
      </c>
      <c r="I8" s="1"/>
      <c r="J8" s="24" t="s">
        <v>12</v>
      </c>
      <c r="K8" s="24" t="s">
        <v>5</v>
      </c>
      <c r="L8" s="1"/>
      <c r="M8" s="1"/>
      <c r="N8" s="18"/>
    </row>
    <row r="9" spans="2:14" ht="15" customHeight="1" x14ac:dyDescent="0.25">
      <c r="B9" s="20"/>
      <c r="C9" s="5" t="s">
        <v>21</v>
      </c>
      <c r="D9" s="6" t="s">
        <v>22</v>
      </c>
      <c r="E9" s="11">
        <v>1.8187999999999999E-2</v>
      </c>
      <c r="F9" s="1"/>
      <c r="G9" s="1"/>
      <c r="H9" s="1"/>
      <c r="I9" s="1"/>
      <c r="J9" s="24" t="s">
        <v>10</v>
      </c>
      <c r="K9" s="28">
        <v>2.3154999999999999E-2</v>
      </c>
      <c r="L9" s="1"/>
      <c r="M9" s="1"/>
      <c r="N9" s="18"/>
    </row>
    <row r="10" spans="2:14" ht="15.75" customHeight="1" x14ac:dyDescent="0.25">
      <c r="B10" s="20"/>
      <c r="C10" s="7" t="s">
        <v>26</v>
      </c>
      <c r="D10" s="8"/>
      <c r="E10" s="12">
        <v>4.4845000000000003E-2</v>
      </c>
      <c r="F10" s="1"/>
      <c r="G10" s="1"/>
      <c r="H10" s="1"/>
      <c r="I10" s="1"/>
      <c r="J10" s="24" t="s">
        <v>13</v>
      </c>
      <c r="K10" s="28">
        <v>3.5170000000000002E-3</v>
      </c>
      <c r="L10" s="1"/>
      <c r="M10" s="1"/>
      <c r="N10" s="18"/>
    </row>
    <row r="11" spans="2:14" ht="15" customHeight="1" x14ac:dyDescent="0.25">
      <c r="B11" s="20"/>
      <c r="C11" s="5" t="s">
        <v>30</v>
      </c>
      <c r="D11" s="6" t="s">
        <v>22</v>
      </c>
      <c r="E11" s="11">
        <v>6.6867999999999997E-2</v>
      </c>
      <c r="F11" s="1"/>
      <c r="G11" s="1"/>
      <c r="H11" s="1"/>
      <c r="I11" s="1"/>
      <c r="J11" s="24" t="s">
        <v>52</v>
      </c>
      <c r="K11" s="28">
        <v>4.4845000000000003E-2</v>
      </c>
      <c r="L11" s="1"/>
      <c r="M11" s="1"/>
      <c r="N11" s="18"/>
    </row>
    <row r="12" spans="2:14" ht="15" customHeight="1" x14ac:dyDescent="0.25">
      <c r="B12" s="20"/>
      <c r="C12" s="5" t="s">
        <v>74</v>
      </c>
      <c r="D12" s="6" t="s">
        <v>22</v>
      </c>
      <c r="E12" s="11">
        <v>1.5824000000000001E-2</v>
      </c>
      <c r="F12" s="1"/>
      <c r="G12" s="1"/>
      <c r="H12" s="1"/>
      <c r="I12" s="1"/>
      <c r="J12" s="24" t="s">
        <v>53</v>
      </c>
      <c r="K12" s="28">
        <v>0.13920199999999999</v>
      </c>
      <c r="L12" s="1"/>
      <c r="M12" s="1"/>
      <c r="N12" s="18"/>
    </row>
    <row r="13" spans="2:14" ht="15" customHeight="1" x14ac:dyDescent="0.25">
      <c r="B13" s="20"/>
      <c r="C13" s="5" t="s">
        <v>32</v>
      </c>
      <c r="D13" s="6" t="s">
        <v>22</v>
      </c>
      <c r="E13" s="11">
        <v>5.8469999999999998E-3</v>
      </c>
      <c r="F13" s="1"/>
      <c r="G13" s="1"/>
      <c r="H13" s="1"/>
      <c r="I13" s="1"/>
      <c r="J13" s="24" t="s">
        <v>54</v>
      </c>
      <c r="K13" s="28">
        <v>9.3899999999999997E-2</v>
      </c>
      <c r="L13" s="1"/>
      <c r="M13" s="1"/>
      <c r="N13" s="18"/>
    </row>
    <row r="14" spans="2:14" ht="15" customHeight="1" x14ac:dyDescent="0.25">
      <c r="B14" s="20"/>
      <c r="C14" s="5" t="s">
        <v>75</v>
      </c>
      <c r="D14" s="6" t="s">
        <v>22</v>
      </c>
      <c r="E14" s="11">
        <v>5.3610000000000003E-3</v>
      </c>
      <c r="F14" s="1"/>
      <c r="G14" s="1"/>
      <c r="H14" s="1"/>
      <c r="I14" s="1"/>
      <c r="J14" s="24" t="s">
        <v>45</v>
      </c>
      <c r="K14" s="28">
        <v>2.5799999999999998E-3</v>
      </c>
      <c r="L14" s="1"/>
      <c r="M14" s="1"/>
      <c r="N14" s="18"/>
    </row>
    <row r="15" spans="2:14" ht="15.75" customHeight="1" x14ac:dyDescent="0.25">
      <c r="B15" s="20"/>
      <c r="C15" s="7" t="s">
        <v>27</v>
      </c>
      <c r="D15" s="8"/>
      <c r="E15" s="12">
        <v>9.3899999999999997E-2</v>
      </c>
      <c r="F15" s="1"/>
      <c r="G15" s="1"/>
      <c r="H15" s="1"/>
      <c r="I15" s="1"/>
      <c r="J15" s="24" t="s">
        <v>55</v>
      </c>
      <c r="K15" s="28">
        <v>0.68960600000000005</v>
      </c>
      <c r="L15" s="1"/>
      <c r="M15" s="1"/>
      <c r="N15" s="18"/>
    </row>
    <row r="16" spans="2:14" ht="15" customHeight="1" x14ac:dyDescent="0.25">
      <c r="B16" s="20"/>
      <c r="C16" s="5" t="s">
        <v>74</v>
      </c>
      <c r="D16" s="6" t="s">
        <v>29</v>
      </c>
      <c r="E16" s="11">
        <v>6.0637000000000003E-2</v>
      </c>
      <c r="F16" s="1"/>
      <c r="G16" s="1"/>
      <c r="H16" s="1"/>
      <c r="I16" s="1"/>
      <c r="J16" s="24" t="s">
        <v>71</v>
      </c>
      <c r="K16" s="28">
        <v>3.1949999999999999E-3</v>
      </c>
      <c r="L16" s="1"/>
      <c r="M16" s="1"/>
      <c r="N16" s="18"/>
    </row>
    <row r="17" spans="2:14" ht="15" customHeight="1" x14ac:dyDescent="0.25">
      <c r="B17" s="20"/>
      <c r="C17" s="5" t="s">
        <v>28</v>
      </c>
      <c r="D17" s="6" t="s">
        <v>29</v>
      </c>
      <c r="E17" s="11">
        <v>2.7059E-2</v>
      </c>
      <c r="F17" s="1"/>
      <c r="G17" s="1"/>
      <c r="H17" s="1"/>
      <c r="I17" s="1"/>
      <c r="J17" s="1"/>
      <c r="K17" s="1"/>
      <c r="L17" s="1"/>
      <c r="M17" s="1"/>
      <c r="N17" s="18"/>
    </row>
    <row r="18" spans="2:14" ht="15" customHeight="1" x14ac:dyDescent="0.25">
      <c r="B18" s="20"/>
      <c r="C18" s="5" t="s">
        <v>34</v>
      </c>
      <c r="D18" s="6" t="s">
        <v>29</v>
      </c>
      <c r="E18" s="11">
        <v>2.1307E-2</v>
      </c>
      <c r="F18" s="1"/>
      <c r="G18" s="1"/>
      <c r="H18" s="1"/>
      <c r="I18" s="1"/>
      <c r="J18" s="1"/>
      <c r="K18" s="1"/>
      <c r="L18" s="1"/>
      <c r="M18" s="1"/>
      <c r="N18" s="18"/>
    </row>
    <row r="19" spans="2:14" ht="15" customHeight="1" x14ac:dyDescent="0.25">
      <c r="B19" s="20"/>
      <c r="C19" s="5" t="s">
        <v>76</v>
      </c>
      <c r="D19" s="6" t="s">
        <v>29</v>
      </c>
      <c r="E19" s="11">
        <v>1.6195999999999999E-2</v>
      </c>
      <c r="F19" s="1"/>
      <c r="G19" s="1"/>
      <c r="H19" s="1"/>
      <c r="I19" s="1"/>
      <c r="J19" s="1"/>
      <c r="K19" s="1"/>
      <c r="L19" s="1"/>
      <c r="M19" s="1"/>
      <c r="N19" s="18"/>
    </row>
    <row r="20" spans="2:14" ht="15" customHeight="1" x14ac:dyDescent="0.25">
      <c r="B20" s="20"/>
      <c r="C20" s="5" t="s">
        <v>33</v>
      </c>
      <c r="D20" s="6" t="s">
        <v>29</v>
      </c>
      <c r="E20" s="11">
        <v>1.0777E-2</v>
      </c>
      <c r="F20" s="1"/>
      <c r="G20" s="1"/>
      <c r="H20" s="1"/>
      <c r="I20" s="1"/>
      <c r="J20" s="1"/>
      <c r="K20" s="1"/>
      <c r="L20" s="1"/>
      <c r="M20" s="1"/>
      <c r="N20" s="18"/>
    </row>
    <row r="21" spans="2:14" ht="15" customHeight="1" x14ac:dyDescent="0.25">
      <c r="B21" s="20"/>
      <c r="C21" s="5" t="s">
        <v>30</v>
      </c>
      <c r="D21" s="6" t="s">
        <v>29</v>
      </c>
      <c r="E21" s="11">
        <v>2.6930000000000001E-3</v>
      </c>
      <c r="F21" s="1"/>
      <c r="G21" s="1"/>
      <c r="H21" s="1"/>
      <c r="I21" s="1"/>
      <c r="J21" s="1"/>
      <c r="K21" s="1"/>
      <c r="L21" s="1"/>
      <c r="M21" s="1"/>
      <c r="N21" s="18"/>
    </row>
    <row r="22" spans="2:14" ht="15" customHeight="1" x14ac:dyDescent="0.25">
      <c r="B22" s="20"/>
      <c r="C22" s="5" t="s">
        <v>75</v>
      </c>
      <c r="D22" s="6" t="s">
        <v>29</v>
      </c>
      <c r="E22" s="11">
        <v>5.3300000000000005E-4</v>
      </c>
      <c r="F22" s="1"/>
      <c r="G22" s="1"/>
      <c r="H22" s="1"/>
      <c r="I22" s="1"/>
      <c r="J22" s="1"/>
      <c r="K22" s="1"/>
      <c r="L22" s="1"/>
      <c r="M22" s="1"/>
      <c r="N22" s="18"/>
    </row>
    <row r="23" spans="2:14" ht="15.75" customHeight="1" x14ac:dyDescent="0.25">
      <c r="B23" s="20"/>
      <c r="C23" s="7" t="s">
        <v>44</v>
      </c>
      <c r="D23" s="8"/>
      <c r="E23" s="12">
        <v>0.13920199999999999</v>
      </c>
      <c r="F23" s="1"/>
      <c r="G23" s="1"/>
      <c r="H23" s="1"/>
      <c r="I23" s="1"/>
      <c r="J23" s="1"/>
      <c r="K23" s="1"/>
      <c r="L23" s="1"/>
      <c r="M23" s="1"/>
      <c r="N23" s="18"/>
    </row>
    <row r="24" spans="2:14" ht="15" customHeight="1" x14ac:dyDescent="0.25">
      <c r="B24" s="20"/>
      <c r="C24" s="5" t="s">
        <v>45</v>
      </c>
      <c r="D24" s="6"/>
      <c r="E24" s="11">
        <v>2.5799999999999998E-3</v>
      </c>
      <c r="F24" s="1"/>
      <c r="G24" s="82" t="s">
        <v>17</v>
      </c>
      <c r="H24" s="83"/>
      <c r="I24" s="83"/>
      <c r="J24" s="83"/>
      <c r="K24" s="83"/>
      <c r="L24" s="67">
        <v>3.0180978545627224</v>
      </c>
      <c r="M24" s="26"/>
      <c r="N24" s="27"/>
    </row>
    <row r="25" spans="2:14" ht="15.75" customHeight="1" x14ac:dyDescent="0.25">
      <c r="B25" s="20"/>
      <c r="C25" s="7" t="s">
        <v>46</v>
      </c>
      <c r="D25" s="8"/>
      <c r="E25" s="12">
        <v>2.5799999999999998E-3</v>
      </c>
      <c r="F25" s="1"/>
      <c r="G25" s="1"/>
      <c r="H25" s="1"/>
      <c r="I25" s="1"/>
      <c r="J25" s="1"/>
      <c r="K25" s="1"/>
      <c r="L25" s="1"/>
      <c r="M25" s="1"/>
      <c r="N25" s="18"/>
    </row>
    <row r="26" spans="2:14" ht="15" customHeight="1" x14ac:dyDescent="0.25">
      <c r="B26" s="20"/>
      <c r="C26" s="5" t="s">
        <v>47</v>
      </c>
      <c r="D26" s="6" t="s">
        <v>180</v>
      </c>
      <c r="E26" s="11">
        <v>0.55752100000000004</v>
      </c>
      <c r="F26" s="1"/>
      <c r="G26" s="82" t="s">
        <v>18</v>
      </c>
      <c r="H26" s="83"/>
      <c r="I26" s="83"/>
      <c r="J26" s="83"/>
      <c r="K26" s="83"/>
      <c r="L26" s="83"/>
      <c r="M26" s="83"/>
      <c r="N26" s="84"/>
    </row>
    <row r="27" spans="2:14" ht="15" customHeight="1" x14ac:dyDescent="0.25">
      <c r="B27" s="20"/>
      <c r="C27" s="5" t="s">
        <v>60</v>
      </c>
      <c r="D27" s="6" t="s">
        <v>180</v>
      </c>
      <c r="E27" s="11">
        <v>7.4524999999999994E-2</v>
      </c>
      <c r="F27" s="1"/>
      <c r="G27" s="1"/>
      <c r="H27" s="1"/>
      <c r="I27" s="1"/>
      <c r="J27" s="1"/>
      <c r="K27" s="1"/>
      <c r="L27" s="1"/>
      <c r="M27" s="1"/>
      <c r="N27" s="18"/>
    </row>
    <row r="28" spans="2:14" ht="15" customHeight="1" x14ac:dyDescent="0.25">
      <c r="B28" s="20"/>
      <c r="C28" s="5" t="s">
        <v>61</v>
      </c>
      <c r="D28" s="6" t="s">
        <v>180</v>
      </c>
      <c r="E28" s="11">
        <v>4.2763000000000002E-2</v>
      </c>
      <c r="F28" s="1"/>
      <c r="G28" s="1"/>
      <c r="H28" s="1"/>
      <c r="I28" s="1"/>
      <c r="J28" s="1"/>
      <c r="K28" s="1"/>
      <c r="L28" s="1"/>
      <c r="M28" s="1"/>
      <c r="N28" s="18"/>
    </row>
    <row r="29" spans="2:14" ht="15" customHeight="1" x14ac:dyDescent="0.25">
      <c r="B29" s="20"/>
      <c r="C29" s="5" t="s">
        <v>77</v>
      </c>
      <c r="D29" s="6" t="s">
        <v>180</v>
      </c>
      <c r="E29" s="11">
        <v>1.4491E-2</v>
      </c>
      <c r="F29" s="1"/>
      <c r="G29" s="1"/>
      <c r="H29" s="1"/>
      <c r="I29" s="1"/>
      <c r="J29" s="1"/>
      <c r="K29" s="1"/>
      <c r="L29" s="1"/>
      <c r="M29" s="1"/>
      <c r="N29" s="18"/>
    </row>
    <row r="30" spans="2:14" ht="15" customHeight="1" x14ac:dyDescent="0.25">
      <c r="B30" s="20"/>
      <c r="C30" s="5" t="s">
        <v>68</v>
      </c>
      <c r="D30" s="6" t="s">
        <v>180</v>
      </c>
      <c r="E30" s="11">
        <v>1.11E-4</v>
      </c>
      <c r="F30" s="1"/>
      <c r="G30" s="1"/>
      <c r="H30" s="1"/>
      <c r="I30" s="1"/>
      <c r="J30" s="1"/>
      <c r="K30" s="1"/>
      <c r="L30" s="1"/>
      <c r="M30" s="1"/>
      <c r="N30" s="18"/>
    </row>
    <row r="31" spans="2:14" ht="15" customHeight="1" x14ac:dyDescent="0.25">
      <c r="B31" s="20"/>
      <c r="C31" s="5" t="s">
        <v>49</v>
      </c>
      <c r="D31" s="6" t="s">
        <v>180</v>
      </c>
      <c r="E31" s="11">
        <v>1.0399999999999999E-4</v>
      </c>
      <c r="F31" s="1"/>
      <c r="G31" s="1"/>
      <c r="H31" s="1"/>
      <c r="I31" s="1"/>
      <c r="J31" s="1"/>
      <c r="K31" s="1"/>
      <c r="L31" s="1"/>
      <c r="M31" s="1"/>
      <c r="N31" s="18"/>
    </row>
    <row r="32" spans="2:14" ht="15" customHeight="1" x14ac:dyDescent="0.25">
      <c r="B32" s="20"/>
      <c r="C32" s="5" t="s">
        <v>64</v>
      </c>
      <c r="D32" s="6" t="s">
        <v>180</v>
      </c>
      <c r="E32" s="11">
        <v>9.1000000000000003E-5</v>
      </c>
      <c r="F32" s="1"/>
      <c r="G32" s="1"/>
      <c r="H32" s="1"/>
      <c r="I32" s="1"/>
      <c r="J32" s="1"/>
      <c r="K32" s="1"/>
      <c r="L32" s="1"/>
      <c r="M32" s="1"/>
      <c r="N32" s="18"/>
    </row>
    <row r="33" spans="2:14" ht="15.75" customHeight="1" x14ac:dyDescent="0.25">
      <c r="B33" s="20"/>
      <c r="C33" s="7" t="s">
        <v>50</v>
      </c>
      <c r="D33" s="8"/>
      <c r="E33" s="12">
        <v>0.68960600000000005</v>
      </c>
      <c r="F33" s="1"/>
      <c r="G33" s="1"/>
      <c r="H33" s="1"/>
      <c r="I33" s="1"/>
      <c r="J33" s="1"/>
      <c r="K33" s="1"/>
      <c r="L33" s="1"/>
      <c r="M33" s="1"/>
      <c r="N33" s="18"/>
    </row>
    <row r="34" spans="2:14" ht="15" customHeight="1" x14ac:dyDescent="0.25">
      <c r="B34" s="20"/>
      <c r="C34" s="5" t="s">
        <v>287</v>
      </c>
      <c r="D34" s="6" t="s">
        <v>69</v>
      </c>
      <c r="E34" s="11">
        <v>3.1949999999999999E-3</v>
      </c>
      <c r="F34" s="1"/>
      <c r="G34" s="1"/>
      <c r="H34" s="1"/>
      <c r="I34" s="1"/>
      <c r="J34" s="1"/>
      <c r="K34" s="1"/>
      <c r="L34" s="1"/>
      <c r="M34" s="1"/>
      <c r="N34" s="18"/>
    </row>
    <row r="35" spans="2:14" ht="15.75" customHeight="1" x14ac:dyDescent="0.25">
      <c r="B35" s="20"/>
      <c r="C35" s="7" t="s">
        <v>70</v>
      </c>
      <c r="D35" s="8"/>
      <c r="E35" s="12">
        <v>3.1949999999999999E-3</v>
      </c>
      <c r="F35" s="1"/>
      <c r="G35" s="1"/>
      <c r="H35" s="1"/>
      <c r="I35" s="1"/>
      <c r="J35" s="1"/>
      <c r="K35" s="1"/>
      <c r="L35" s="1"/>
      <c r="M35" s="1"/>
      <c r="N35" s="18"/>
    </row>
    <row r="36" spans="2:14" ht="15" customHeight="1" x14ac:dyDescent="0.25">
      <c r="B36" s="20"/>
      <c r="C36" s="5" t="s">
        <v>8</v>
      </c>
      <c r="D36" s="6"/>
      <c r="E36" s="11">
        <v>3.5170000000000002E-3</v>
      </c>
      <c r="F36" s="1"/>
      <c r="G36" s="1"/>
      <c r="H36" s="1"/>
      <c r="I36" s="1"/>
      <c r="J36" s="1"/>
      <c r="K36" s="1"/>
      <c r="L36" s="1"/>
      <c r="M36" s="1"/>
      <c r="N36" s="18"/>
    </row>
    <row r="37" spans="2:14" ht="15.75" customHeight="1" x14ac:dyDescent="0.25">
      <c r="B37" s="20"/>
      <c r="C37" s="7" t="s">
        <v>9</v>
      </c>
      <c r="D37" s="8"/>
      <c r="E37" s="12">
        <v>3.5170000000000002E-3</v>
      </c>
      <c r="F37" s="1"/>
      <c r="G37" s="1"/>
      <c r="H37" s="1"/>
      <c r="I37" s="1"/>
      <c r="J37" s="1"/>
      <c r="K37" s="1"/>
      <c r="L37" s="1"/>
      <c r="M37" s="1"/>
      <c r="N37" s="18"/>
    </row>
    <row r="38" spans="2:14" ht="15" customHeight="1" x14ac:dyDescent="0.25">
      <c r="B38" s="20"/>
      <c r="C38" s="5"/>
      <c r="D38" s="6"/>
      <c r="E38" s="11"/>
      <c r="F38" s="1"/>
      <c r="G38" s="1"/>
      <c r="H38" s="1"/>
      <c r="I38" s="1"/>
      <c r="J38" s="1"/>
      <c r="K38" s="1"/>
      <c r="L38" s="1"/>
      <c r="M38" s="1"/>
      <c r="N38" s="18"/>
    </row>
    <row r="39" spans="2:14" ht="15.75" customHeight="1" x14ac:dyDescent="0.25">
      <c r="B39" s="20"/>
      <c r="C39" s="7" t="s">
        <v>10</v>
      </c>
      <c r="D39" s="8"/>
      <c r="E39" s="12">
        <v>2.3154999999999999E-2</v>
      </c>
      <c r="F39" s="1"/>
      <c r="G39" s="1"/>
      <c r="H39" s="1"/>
      <c r="I39" s="1"/>
      <c r="J39" s="1"/>
      <c r="K39" s="1"/>
      <c r="L39" s="1"/>
      <c r="M39" s="1"/>
      <c r="N39" s="18"/>
    </row>
    <row r="40" spans="2:14" ht="15" customHeight="1" x14ac:dyDescent="0.25">
      <c r="B40" s="20"/>
      <c r="C40" s="5"/>
      <c r="D40" s="6"/>
      <c r="E40" s="11"/>
      <c r="F40" s="1"/>
      <c r="G40" s="1"/>
      <c r="H40" s="1"/>
      <c r="I40" s="1"/>
      <c r="J40" s="1"/>
      <c r="K40" s="1"/>
      <c r="L40" s="1"/>
      <c r="M40" s="1"/>
      <c r="N40" s="18"/>
    </row>
    <row r="41" spans="2:14" ht="15" customHeight="1" x14ac:dyDescent="0.25">
      <c r="B41" s="20"/>
      <c r="C41" s="9" t="s">
        <v>11</v>
      </c>
      <c r="D41" s="10"/>
      <c r="E41" s="13">
        <v>1</v>
      </c>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x14ac:dyDescent="0.25">
      <c r="B43" s="20"/>
      <c r="C43" s="1" t="s">
        <v>288</v>
      </c>
      <c r="D43" s="1"/>
      <c r="E43" s="1"/>
      <c r="F43" s="1"/>
      <c r="G43" s="1"/>
      <c r="H43" s="1"/>
      <c r="I43" s="1"/>
      <c r="J43" s="1"/>
      <c r="K43" s="1"/>
      <c r="L43" s="1"/>
      <c r="M43" s="1"/>
      <c r="N43" s="18"/>
    </row>
    <row r="44" spans="2:14" ht="15" customHeight="1" thickBot="1" x14ac:dyDescent="0.3">
      <c r="B44" s="21"/>
      <c r="C44" s="22"/>
      <c r="D44" s="22"/>
      <c r="E44" s="22"/>
      <c r="F44" s="22"/>
      <c r="G44" s="22"/>
      <c r="H44" s="22"/>
      <c r="I44" s="22"/>
      <c r="J44" s="22"/>
      <c r="K44" s="22"/>
      <c r="L44" s="22"/>
      <c r="M44" s="22"/>
      <c r="N44" s="23"/>
    </row>
    <row r="45" spans="2:14" ht="15" customHeight="1" thickBot="1" x14ac:dyDescent="0.3"/>
    <row r="46" spans="2:14" ht="15" customHeight="1" x14ac:dyDescent="0.25">
      <c r="B46" s="68" t="s">
        <v>286</v>
      </c>
      <c r="C46" s="69"/>
      <c r="D46" s="69"/>
      <c r="E46" s="69"/>
      <c r="F46" s="69"/>
      <c r="G46" s="69"/>
      <c r="H46" s="69"/>
      <c r="I46" s="69"/>
      <c r="J46" s="69"/>
      <c r="K46" s="69"/>
      <c r="L46" s="69"/>
      <c r="M46" s="69"/>
      <c r="N46" s="70"/>
    </row>
    <row r="47" spans="2:14" ht="15" customHeight="1" x14ac:dyDescent="0.25">
      <c r="B47" s="71"/>
      <c r="C47" s="72"/>
      <c r="D47" s="72"/>
      <c r="E47" s="72"/>
      <c r="F47" s="72"/>
      <c r="G47" s="72"/>
      <c r="H47" s="72"/>
      <c r="I47" s="72"/>
      <c r="J47" s="72"/>
      <c r="K47" s="72"/>
      <c r="L47" s="72"/>
      <c r="M47" s="72"/>
      <c r="N47" s="73"/>
    </row>
    <row r="48" spans="2:14" ht="15" customHeight="1" x14ac:dyDescent="0.25">
      <c r="B48" s="71"/>
      <c r="C48" s="72"/>
      <c r="D48" s="72"/>
      <c r="E48" s="72"/>
      <c r="F48" s="72"/>
      <c r="G48" s="72"/>
      <c r="H48" s="72"/>
      <c r="I48" s="72"/>
      <c r="J48" s="72"/>
      <c r="K48" s="72"/>
      <c r="L48" s="72"/>
      <c r="M48" s="72"/>
      <c r="N48" s="73"/>
    </row>
    <row r="49" spans="2:14" ht="15" customHeight="1" thickBot="1" x14ac:dyDescent="0.3">
      <c r="B49" s="74"/>
      <c r="C49" s="75"/>
      <c r="D49" s="75"/>
      <c r="E49" s="75"/>
      <c r="F49" s="75"/>
      <c r="G49" s="75"/>
      <c r="H49" s="75"/>
      <c r="I49" s="75"/>
      <c r="J49" s="75"/>
      <c r="K49" s="75"/>
      <c r="L49" s="75"/>
      <c r="M49" s="75"/>
      <c r="N49" s="76"/>
    </row>
    <row r="50" spans="2:14" ht="15" customHeight="1" thickBot="1" x14ac:dyDescent="0.3"/>
    <row r="51" spans="2:14" ht="123.75" customHeight="1" thickBot="1" x14ac:dyDescent="0.3">
      <c r="B51" s="85" t="s">
        <v>292</v>
      </c>
      <c r="C51" s="86"/>
      <c r="D51" s="86"/>
      <c r="E51" s="86"/>
      <c r="F51" s="86"/>
      <c r="G51" s="86"/>
      <c r="H51" s="86"/>
      <c r="I51" s="86"/>
      <c r="J51" s="86"/>
      <c r="K51" s="86"/>
      <c r="L51" s="86"/>
      <c r="M51" s="86"/>
      <c r="N51" s="87"/>
    </row>
    <row r="52" spans="2:14" ht="15" customHeight="1" x14ac:dyDescent="0.25"/>
    <row r="53" spans="2:14" ht="15" customHeight="1" x14ac:dyDescent="0.25"/>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sheetData>
  <mergeCells count="7">
    <mergeCell ref="B46:N49"/>
    <mergeCell ref="B51:N51"/>
    <mergeCell ref="C3:N3"/>
    <mergeCell ref="D5:E5"/>
    <mergeCell ref="G7:N7"/>
    <mergeCell ref="G24:K24"/>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85284-901F-4697-86A1-1203B20149F8}">
  <dimension ref="B1:N86"/>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7" t="s">
        <v>19</v>
      </c>
      <c r="D3" s="78"/>
      <c r="E3" s="78"/>
      <c r="F3" s="78"/>
      <c r="G3" s="78"/>
      <c r="H3" s="78"/>
      <c r="I3" s="78"/>
      <c r="J3" s="78"/>
      <c r="K3" s="78"/>
      <c r="L3" s="78"/>
      <c r="M3" s="78"/>
      <c r="N3" s="79"/>
    </row>
    <row r="4" spans="2:14" ht="15.75" customHeight="1" x14ac:dyDescent="0.25">
      <c r="B4" s="20"/>
      <c r="C4" s="14"/>
      <c r="D4" s="1"/>
      <c r="E4" s="1"/>
      <c r="F4" s="1"/>
      <c r="G4" s="1"/>
      <c r="H4" s="1"/>
      <c r="I4" s="1"/>
      <c r="J4" s="1"/>
      <c r="K4" s="1"/>
      <c r="L4" s="1"/>
      <c r="M4" s="1"/>
      <c r="N4" s="18"/>
    </row>
    <row r="5" spans="2:14" ht="18" customHeight="1" x14ac:dyDescent="0.25">
      <c r="B5" s="20"/>
      <c r="C5" s="15" t="s">
        <v>1</v>
      </c>
      <c r="D5" s="80" t="s">
        <v>20</v>
      </c>
      <c r="E5" s="8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2" t="s">
        <v>16</v>
      </c>
      <c r="H7" s="83"/>
      <c r="I7" s="83"/>
      <c r="J7" s="83"/>
      <c r="K7" s="83"/>
      <c r="L7" s="83"/>
      <c r="M7" s="83"/>
      <c r="N7" s="84"/>
    </row>
    <row r="8" spans="2:14" ht="15" customHeight="1" x14ac:dyDescent="0.25">
      <c r="B8" s="20"/>
      <c r="C8" s="5" t="s">
        <v>21</v>
      </c>
      <c r="D8" s="6" t="s">
        <v>22</v>
      </c>
      <c r="E8" s="11">
        <v>2.5135999999999999E-2</v>
      </c>
      <c r="F8" s="1"/>
      <c r="G8" s="24" t="s">
        <v>15</v>
      </c>
      <c r="H8" s="25">
        <v>1</v>
      </c>
      <c r="I8" s="1"/>
      <c r="J8" s="24" t="s">
        <v>12</v>
      </c>
      <c r="K8" s="24" t="s">
        <v>5</v>
      </c>
      <c r="L8" s="1"/>
      <c r="M8" s="1"/>
      <c r="N8" s="18"/>
    </row>
    <row r="9" spans="2:14" ht="15" customHeight="1" x14ac:dyDescent="0.25">
      <c r="B9" s="20"/>
      <c r="C9" s="5" t="s">
        <v>23</v>
      </c>
      <c r="D9" s="6" t="s">
        <v>22</v>
      </c>
      <c r="E9" s="11">
        <v>2.0310000000000002E-2</v>
      </c>
      <c r="F9" s="1"/>
      <c r="G9" s="1"/>
      <c r="H9" s="1"/>
      <c r="I9" s="1"/>
      <c r="J9" s="24" t="s">
        <v>10</v>
      </c>
      <c r="K9" s="28">
        <v>2.9489999999999999E-2</v>
      </c>
      <c r="L9" s="1"/>
      <c r="M9" s="1"/>
      <c r="N9" s="18"/>
    </row>
    <row r="10" spans="2:14" ht="15" customHeight="1" x14ac:dyDescent="0.25">
      <c r="B10" s="20"/>
      <c r="C10" s="5" t="s">
        <v>24</v>
      </c>
      <c r="D10" s="6" t="s">
        <v>22</v>
      </c>
      <c r="E10" s="11">
        <v>6.2490000000000002E-3</v>
      </c>
      <c r="F10" s="1"/>
      <c r="G10" s="1"/>
      <c r="H10" s="1"/>
      <c r="I10" s="1"/>
      <c r="J10" s="24" t="s">
        <v>13</v>
      </c>
      <c r="K10" s="28">
        <v>1.2152E-2</v>
      </c>
      <c r="L10" s="1"/>
      <c r="M10" s="1"/>
      <c r="N10" s="18"/>
    </row>
    <row r="11" spans="2:14" ht="15" customHeight="1" x14ac:dyDescent="0.25">
      <c r="B11" s="20"/>
      <c r="C11" s="5" t="s">
        <v>25</v>
      </c>
      <c r="D11" s="6" t="s">
        <v>22</v>
      </c>
      <c r="E11" s="11">
        <v>1.5640000000000001E-3</v>
      </c>
      <c r="F11" s="1"/>
      <c r="G11" s="1"/>
      <c r="H11" s="1"/>
      <c r="I11" s="1"/>
      <c r="J11" s="24" t="s">
        <v>52</v>
      </c>
      <c r="K11" s="28">
        <v>5.3259000000000001E-2</v>
      </c>
      <c r="L11" s="1"/>
      <c r="M11" s="1"/>
      <c r="N11" s="18"/>
    </row>
    <row r="12" spans="2:14" ht="15.75" customHeight="1" x14ac:dyDescent="0.25">
      <c r="B12" s="20"/>
      <c r="C12" s="7" t="s">
        <v>26</v>
      </c>
      <c r="D12" s="8"/>
      <c r="E12" s="12">
        <v>5.3259000000000001E-2</v>
      </c>
      <c r="F12" s="1"/>
      <c r="G12" s="1"/>
      <c r="H12" s="1"/>
      <c r="I12" s="1"/>
      <c r="J12" s="24" t="s">
        <v>53</v>
      </c>
      <c r="K12" s="28">
        <v>0.710144</v>
      </c>
      <c r="L12" s="1"/>
      <c r="M12" s="1"/>
      <c r="N12" s="18"/>
    </row>
    <row r="13" spans="2:14" ht="15" customHeight="1" x14ac:dyDescent="0.25">
      <c r="B13" s="20"/>
      <c r="C13" s="5" t="s">
        <v>24</v>
      </c>
      <c r="D13" s="6" t="s">
        <v>22</v>
      </c>
      <c r="E13" s="11">
        <v>3.124E-3</v>
      </c>
      <c r="F13" s="1"/>
      <c r="G13" s="1"/>
      <c r="H13" s="1"/>
      <c r="I13" s="1"/>
      <c r="J13" s="24" t="s">
        <v>54</v>
      </c>
      <c r="K13" s="28">
        <v>3.124E-3</v>
      </c>
      <c r="L13" s="1"/>
      <c r="M13" s="1"/>
      <c r="N13" s="18"/>
    </row>
    <row r="14" spans="2:14" ht="15.75" customHeight="1" x14ac:dyDescent="0.25">
      <c r="B14" s="20"/>
      <c r="C14" s="7" t="s">
        <v>27</v>
      </c>
      <c r="D14" s="8"/>
      <c r="E14" s="12">
        <v>3.124E-3</v>
      </c>
      <c r="F14" s="1"/>
      <c r="G14" s="1"/>
      <c r="H14" s="1"/>
      <c r="I14" s="1"/>
      <c r="J14" s="24" t="s">
        <v>45</v>
      </c>
      <c r="K14" s="28">
        <v>2.307E-3</v>
      </c>
      <c r="L14" s="1"/>
      <c r="M14" s="1"/>
      <c r="N14" s="18"/>
    </row>
    <row r="15" spans="2:14" ht="15" customHeight="1" x14ac:dyDescent="0.25">
      <c r="B15" s="20"/>
      <c r="C15" s="5" t="s">
        <v>28</v>
      </c>
      <c r="D15" s="6" t="s">
        <v>29</v>
      </c>
      <c r="E15" s="11">
        <v>0.10291</v>
      </c>
      <c r="F15" s="1"/>
      <c r="G15" s="1"/>
      <c r="H15" s="1"/>
      <c r="I15" s="1"/>
      <c r="J15" s="24" t="s">
        <v>55</v>
      </c>
      <c r="K15" s="28">
        <v>0.148229</v>
      </c>
      <c r="L15" s="1"/>
      <c r="M15" s="1"/>
      <c r="N15" s="18"/>
    </row>
    <row r="16" spans="2:14" ht="15" customHeight="1" x14ac:dyDescent="0.25">
      <c r="B16" s="20"/>
      <c r="C16" s="5" t="s">
        <v>30</v>
      </c>
      <c r="D16" s="6" t="s">
        <v>29</v>
      </c>
      <c r="E16" s="11">
        <v>9.9477999999999997E-2</v>
      </c>
      <c r="F16" s="1"/>
      <c r="G16" s="1"/>
      <c r="H16" s="1"/>
      <c r="I16" s="1"/>
      <c r="J16" s="24" t="s">
        <v>56</v>
      </c>
      <c r="K16" s="28">
        <v>4.1294999999999998E-2</v>
      </c>
      <c r="L16" s="1"/>
      <c r="M16" s="1"/>
      <c r="N16" s="18"/>
    </row>
    <row r="17" spans="2:14" ht="15" customHeight="1" x14ac:dyDescent="0.25">
      <c r="B17" s="20"/>
      <c r="C17" s="5" t="s">
        <v>31</v>
      </c>
      <c r="D17" s="6" t="s">
        <v>29</v>
      </c>
      <c r="E17" s="11">
        <v>9.7807000000000005E-2</v>
      </c>
      <c r="F17" s="1"/>
      <c r="G17" s="1"/>
      <c r="H17" s="1"/>
      <c r="I17" s="1"/>
      <c r="J17" s="1"/>
      <c r="K17" s="1"/>
      <c r="L17" s="1"/>
      <c r="M17" s="1"/>
      <c r="N17" s="18"/>
    </row>
    <row r="18" spans="2:14" ht="15" customHeight="1" x14ac:dyDescent="0.25">
      <c r="B18" s="20"/>
      <c r="C18" s="5" t="s">
        <v>32</v>
      </c>
      <c r="D18" s="6" t="s">
        <v>29</v>
      </c>
      <c r="E18" s="11">
        <v>8.7004999999999999E-2</v>
      </c>
      <c r="F18" s="1"/>
      <c r="G18" s="1"/>
      <c r="H18" s="1"/>
      <c r="I18" s="1"/>
      <c r="J18" s="1"/>
      <c r="K18" s="1"/>
      <c r="L18" s="1"/>
      <c r="M18" s="1"/>
      <c r="N18" s="18"/>
    </row>
    <row r="19" spans="2:14" ht="15" customHeight="1" x14ac:dyDescent="0.25">
      <c r="B19" s="20"/>
      <c r="C19" s="5" t="s">
        <v>33</v>
      </c>
      <c r="D19" s="6" t="s">
        <v>29</v>
      </c>
      <c r="E19" s="11">
        <v>6.8212999999999996E-2</v>
      </c>
      <c r="F19" s="1"/>
      <c r="G19" s="1"/>
      <c r="H19" s="1"/>
      <c r="I19" s="1"/>
      <c r="J19" s="1"/>
      <c r="K19" s="1"/>
      <c r="L19" s="1"/>
      <c r="M19" s="1"/>
      <c r="N19" s="18"/>
    </row>
    <row r="20" spans="2:14" ht="15" customHeight="1" x14ac:dyDescent="0.25">
      <c r="B20" s="20"/>
      <c r="C20" s="5" t="s">
        <v>34</v>
      </c>
      <c r="D20" s="6" t="s">
        <v>29</v>
      </c>
      <c r="E20" s="11">
        <v>6.7927000000000001E-2</v>
      </c>
      <c r="F20" s="1"/>
      <c r="G20" s="1"/>
      <c r="H20" s="1"/>
      <c r="I20" s="1"/>
      <c r="J20" s="1"/>
      <c r="K20" s="1"/>
      <c r="L20" s="1"/>
      <c r="M20" s="1"/>
      <c r="N20" s="18"/>
    </row>
    <row r="21" spans="2:14" ht="15" customHeight="1" x14ac:dyDescent="0.25">
      <c r="B21" s="20"/>
      <c r="C21" s="5" t="s">
        <v>35</v>
      </c>
      <c r="D21" s="6" t="s">
        <v>29</v>
      </c>
      <c r="E21" s="11">
        <v>5.9067000000000001E-2</v>
      </c>
      <c r="F21" s="1"/>
      <c r="G21" s="1"/>
      <c r="H21" s="1"/>
      <c r="I21" s="1"/>
      <c r="J21" s="1"/>
      <c r="K21" s="1"/>
      <c r="L21" s="1"/>
      <c r="M21" s="1"/>
      <c r="N21" s="18"/>
    </row>
    <row r="22" spans="2:14" ht="15" customHeight="1" x14ac:dyDescent="0.25">
      <c r="B22" s="20"/>
      <c r="C22" s="5" t="s">
        <v>36</v>
      </c>
      <c r="D22" s="6" t="s">
        <v>29</v>
      </c>
      <c r="E22" s="11">
        <v>4.5613000000000001E-2</v>
      </c>
      <c r="F22" s="1"/>
      <c r="G22" s="1"/>
      <c r="H22" s="1"/>
      <c r="I22" s="1"/>
      <c r="J22" s="1"/>
      <c r="K22" s="1"/>
      <c r="L22" s="1"/>
      <c r="M22" s="1"/>
      <c r="N22" s="18"/>
    </row>
    <row r="23" spans="2:14" ht="15" customHeight="1" x14ac:dyDescent="0.25">
      <c r="B23" s="20"/>
      <c r="C23" s="5" t="s">
        <v>37</v>
      </c>
      <c r="D23" s="6" t="s">
        <v>29</v>
      </c>
      <c r="E23" s="11">
        <v>2.9878999999999999E-2</v>
      </c>
      <c r="F23" s="1"/>
      <c r="G23" s="1"/>
      <c r="H23" s="1"/>
      <c r="I23" s="1"/>
      <c r="J23" s="1"/>
      <c r="K23" s="1"/>
      <c r="L23" s="1"/>
      <c r="M23" s="1"/>
      <c r="N23" s="18"/>
    </row>
    <row r="24" spans="2:14" ht="15" customHeight="1" x14ac:dyDescent="0.25">
      <c r="B24" s="20"/>
      <c r="C24" s="5" t="s">
        <v>38</v>
      </c>
      <c r="D24" s="6" t="s">
        <v>29</v>
      </c>
      <c r="E24" s="11">
        <v>2.3064999999999999E-2</v>
      </c>
      <c r="F24" s="1"/>
      <c r="G24" s="82" t="s">
        <v>17</v>
      </c>
      <c r="H24" s="83"/>
      <c r="I24" s="83"/>
      <c r="J24" s="83"/>
      <c r="K24" s="83"/>
      <c r="L24" s="67">
        <v>2.3962790370814573</v>
      </c>
      <c r="M24" s="26"/>
      <c r="N24" s="27"/>
    </row>
    <row r="25" spans="2:14" ht="15" customHeight="1" x14ac:dyDescent="0.25">
      <c r="B25" s="20"/>
      <c r="C25" s="5" t="s">
        <v>39</v>
      </c>
      <c r="D25" s="6" t="s">
        <v>29</v>
      </c>
      <c r="E25" s="11">
        <v>1.6607E-2</v>
      </c>
      <c r="F25" s="1"/>
      <c r="G25" s="1"/>
      <c r="H25" s="1"/>
      <c r="I25" s="1"/>
      <c r="J25" s="1"/>
      <c r="K25" s="1"/>
      <c r="L25" s="1"/>
      <c r="M25" s="1"/>
      <c r="N25" s="18"/>
    </row>
    <row r="26" spans="2:14" ht="15" customHeight="1" x14ac:dyDescent="0.25">
      <c r="B26" s="20"/>
      <c r="C26" s="5" t="s">
        <v>40</v>
      </c>
      <c r="D26" s="6" t="s">
        <v>29</v>
      </c>
      <c r="E26" s="11">
        <v>5.3920000000000001E-3</v>
      </c>
      <c r="F26" s="1"/>
      <c r="G26" s="82" t="s">
        <v>18</v>
      </c>
      <c r="H26" s="83"/>
      <c r="I26" s="83"/>
      <c r="J26" s="83"/>
      <c r="K26" s="83"/>
      <c r="L26" s="83"/>
      <c r="M26" s="83"/>
      <c r="N26" s="84"/>
    </row>
    <row r="27" spans="2:14" ht="15" customHeight="1" x14ac:dyDescent="0.25">
      <c r="B27" s="20"/>
      <c r="C27" s="5" t="s">
        <v>41</v>
      </c>
      <c r="D27" s="6" t="s">
        <v>29</v>
      </c>
      <c r="E27" s="11">
        <v>2.905E-3</v>
      </c>
      <c r="F27" s="1"/>
      <c r="G27" s="1"/>
      <c r="H27" s="1"/>
      <c r="I27" s="1"/>
      <c r="J27" s="1"/>
      <c r="K27" s="1"/>
      <c r="L27" s="1"/>
      <c r="M27" s="1"/>
      <c r="N27" s="18"/>
    </row>
    <row r="28" spans="2:14" ht="15" customHeight="1" x14ac:dyDescent="0.25">
      <c r="B28" s="20"/>
      <c r="C28" s="5" t="s">
        <v>24</v>
      </c>
      <c r="D28" s="6" t="s">
        <v>29</v>
      </c>
      <c r="E28" s="11">
        <v>1.604E-3</v>
      </c>
      <c r="F28" s="1"/>
      <c r="G28" s="1"/>
      <c r="H28" s="1"/>
      <c r="I28" s="1"/>
      <c r="J28" s="1"/>
      <c r="K28" s="1"/>
      <c r="L28" s="1"/>
      <c r="M28" s="1"/>
      <c r="N28" s="18"/>
    </row>
    <row r="29" spans="2:14" ht="15" customHeight="1" x14ac:dyDescent="0.25">
      <c r="B29" s="20"/>
      <c r="C29" s="5" t="s">
        <v>42</v>
      </c>
      <c r="D29" s="6" t="s">
        <v>29</v>
      </c>
      <c r="E29" s="11">
        <v>1.2960000000000001E-3</v>
      </c>
      <c r="F29" s="1"/>
      <c r="G29" s="1"/>
      <c r="H29" s="1"/>
      <c r="I29" s="1"/>
      <c r="J29" s="1"/>
      <c r="K29" s="1"/>
      <c r="L29" s="1"/>
      <c r="M29" s="1"/>
      <c r="N29" s="18"/>
    </row>
    <row r="30" spans="2:14" ht="15" customHeight="1" x14ac:dyDescent="0.25">
      <c r="B30" s="20"/>
      <c r="C30" s="5" t="s">
        <v>43</v>
      </c>
      <c r="D30" s="6" t="s">
        <v>29</v>
      </c>
      <c r="E30" s="11">
        <v>1.279E-3</v>
      </c>
      <c r="F30" s="1"/>
      <c r="G30" s="1"/>
      <c r="H30" s="1"/>
      <c r="I30" s="1"/>
      <c r="J30" s="1"/>
      <c r="K30" s="1"/>
      <c r="L30" s="1"/>
      <c r="M30" s="1"/>
      <c r="N30" s="18"/>
    </row>
    <row r="31" spans="2:14" ht="15" customHeight="1" x14ac:dyDescent="0.25">
      <c r="B31" s="20"/>
      <c r="C31" s="5" t="s">
        <v>21</v>
      </c>
      <c r="D31" s="6" t="s">
        <v>29</v>
      </c>
      <c r="E31" s="11">
        <v>9.7E-5</v>
      </c>
      <c r="F31" s="1"/>
      <c r="G31" s="1"/>
      <c r="H31" s="1"/>
      <c r="I31" s="1"/>
      <c r="J31" s="1"/>
      <c r="K31" s="1"/>
      <c r="L31" s="1"/>
      <c r="M31" s="1"/>
      <c r="N31" s="18"/>
    </row>
    <row r="32" spans="2:14" ht="15.75" customHeight="1" x14ac:dyDescent="0.25">
      <c r="B32" s="20"/>
      <c r="C32" s="7" t="s">
        <v>44</v>
      </c>
      <c r="D32" s="8"/>
      <c r="E32" s="12">
        <v>0.710144</v>
      </c>
      <c r="F32" s="1"/>
      <c r="G32" s="1"/>
      <c r="H32" s="1"/>
      <c r="I32" s="1"/>
      <c r="J32" s="1"/>
      <c r="K32" s="1"/>
      <c r="L32" s="1"/>
      <c r="M32" s="1"/>
      <c r="N32" s="18"/>
    </row>
    <row r="33" spans="2:14" ht="15" customHeight="1" x14ac:dyDescent="0.25">
      <c r="B33" s="20"/>
      <c r="C33" s="5" t="s">
        <v>45</v>
      </c>
      <c r="D33" s="6"/>
      <c r="E33" s="11">
        <v>2.307E-3</v>
      </c>
      <c r="F33" s="1"/>
      <c r="G33" s="1"/>
      <c r="H33" s="1"/>
      <c r="I33" s="1"/>
      <c r="J33" s="1"/>
      <c r="K33" s="1"/>
      <c r="L33" s="1"/>
      <c r="M33" s="1"/>
      <c r="N33" s="18"/>
    </row>
    <row r="34" spans="2:14" ht="15.75" customHeight="1" x14ac:dyDescent="0.25">
      <c r="B34" s="20"/>
      <c r="C34" s="7" t="s">
        <v>46</v>
      </c>
      <c r="D34" s="8"/>
      <c r="E34" s="12">
        <v>2.307E-3</v>
      </c>
      <c r="F34" s="1"/>
      <c r="G34" s="1"/>
      <c r="H34" s="1"/>
      <c r="I34" s="1"/>
      <c r="J34" s="1"/>
      <c r="K34" s="1"/>
      <c r="L34" s="1"/>
      <c r="M34" s="1"/>
      <c r="N34" s="18"/>
    </row>
    <row r="35" spans="2:14" ht="15" customHeight="1" x14ac:dyDescent="0.25">
      <c r="B35" s="20"/>
      <c r="C35" s="5" t="s">
        <v>47</v>
      </c>
      <c r="D35" s="6" t="s">
        <v>180</v>
      </c>
      <c r="E35" s="11">
        <v>8.9950000000000002E-2</v>
      </c>
      <c r="F35" s="1"/>
      <c r="G35" s="1"/>
      <c r="H35" s="1"/>
      <c r="I35" s="1"/>
      <c r="J35" s="1"/>
      <c r="K35" s="1"/>
      <c r="L35" s="1"/>
      <c r="M35" s="1"/>
      <c r="N35" s="18"/>
    </row>
    <row r="36" spans="2:14" ht="15" customHeight="1" x14ac:dyDescent="0.25">
      <c r="B36" s="20"/>
      <c r="C36" s="5" t="s">
        <v>48</v>
      </c>
      <c r="D36" s="6" t="s">
        <v>180</v>
      </c>
      <c r="E36" s="11">
        <v>3.7962000000000003E-2</v>
      </c>
      <c r="F36" s="1"/>
      <c r="G36" s="1"/>
      <c r="H36" s="1"/>
      <c r="I36" s="1"/>
      <c r="J36" s="1"/>
      <c r="K36" s="1"/>
      <c r="L36" s="1"/>
      <c r="M36" s="1"/>
      <c r="N36" s="18"/>
    </row>
    <row r="37" spans="2:14" ht="15" customHeight="1" x14ac:dyDescent="0.25">
      <c r="B37" s="20"/>
      <c r="C37" s="5" t="s">
        <v>49</v>
      </c>
      <c r="D37" s="6" t="s">
        <v>180</v>
      </c>
      <c r="E37" s="11">
        <v>2.0317000000000002E-2</v>
      </c>
      <c r="F37" s="1"/>
      <c r="G37" s="1"/>
      <c r="H37" s="1"/>
      <c r="I37" s="1"/>
      <c r="J37" s="1"/>
      <c r="K37" s="1"/>
      <c r="L37" s="1"/>
      <c r="M37" s="1"/>
      <c r="N37" s="18"/>
    </row>
    <row r="38" spans="2:14" ht="15.75" customHeight="1" x14ac:dyDescent="0.25">
      <c r="B38" s="20"/>
      <c r="C38" s="7" t="s">
        <v>50</v>
      </c>
      <c r="D38" s="8"/>
      <c r="E38" s="12">
        <v>0.148229</v>
      </c>
      <c r="F38" s="1"/>
      <c r="G38" s="1"/>
      <c r="H38" s="1"/>
      <c r="I38" s="1"/>
      <c r="J38" s="1"/>
      <c r="K38" s="1"/>
      <c r="L38" s="1"/>
      <c r="M38" s="1"/>
      <c r="N38" s="18"/>
    </row>
    <row r="39" spans="2:14" ht="15" customHeight="1" x14ac:dyDescent="0.25">
      <c r="B39" s="20"/>
      <c r="C39" s="5" t="s">
        <v>219</v>
      </c>
      <c r="D39" s="6" t="s">
        <v>180</v>
      </c>
      <c r="E39" s="11">
        <v>1.2118E-2</v>
      </c>
      <c r="F39" s="1"/>
      <c r="G39" s="1"/>
      <c r="H39" s="1"/>
      <c r="I39" s="1"/>
      <c r="J39" s="1"/>
      <c r="K39" s="1"/>
      <c r="L39" s="1"/>
      <c r="M39" s="1"/>
      <c r="N39" s="18"/>
    </row>
    <row r="40" spans="2:14" ht="15.75" customHeight="1" x14ac:dyDescent="0.25">
      <c r="B40" s="20"/>
      <c r="C40" s="5" t="s">
        <v>209</v>
      </c>
      <c r="D40" s="6" t="s">
        <v>180</v>
      </c>
      <c r="E40" s="11">
        <v>9.11E-3</v>
      </c>
      <c r="F40" s="1"/>
      <c r="G40" s="1"/>
      <c r="H40" s="1"/>
      <c r="I40" s="1"/>
      <c r="J40" s="1"/>
      <c r="K40" s="1"/>
      <c r="L40" s="1"/>
      <c r="M40" s="1"/>
      <c r="N40" s="18"/>
    </row>
    <row r="41" spans="2:14" ht="15" customHeight="1" x14ac:dyDescent="0.25">
      <c r="B41" s="20"/>
      <c r="C41" s="5" t="s">
        <v>212</v>
      </c>
      <c r="D41" s="6" t="s">
        <v>180</v>
      </c>
      <c r="E41" s="11">
        <v>3.2299999999999998E-3</v>
      </c>
      <c r="F41" s="1"/>
      <c r="G41" s="1"/>
      <c r="H41" s="1"/>
      <c r="I41" s="1"/>
      <c r="J41" s="1"/>
      <c r="K41" s="1"/>
      <c r="L41" s="1"/>
      <c r="M41" s="1"/>
      <c r="N41" s="18"/>
    </row>
    <row r="42" spans="2:14" ht="15.75" customHeight="1" x14ac:dyDescent="0.25">
      <c r="B42" s="20"/>
      <c r="C42" s="5" t="s">
        <v>220</v>
      </c>
      <c r="D42" s="6" t="s">
        <v>180</v>
      </c>
      <c r="E42" s="11">
        <v>3.1879999999999999E-3</v>
      </c>
      <c r="F42" s="1"/>
      <c r="G42" s="1"/>
      <c r="H42" s="1"/>
      <c r="I42" s="1"/>
      <c r="J42" s="1"/>
      <c r="K42" s="1"/>
      <c r="L42" s="1"/>
      <c r="M42" s="1"/>
      <c r="N42" s="18"/>
    </row>
    <row r="43" spans="2:14" ht="15" customHeight="1" x14ac:dyDescent="0.25">
      <c r="B43" s="20"/>
      <c r="C43" s="5" t="s">
        <v>208</v>
      </c>
      <c r="D43" s="6" t="s">
        <v>180</v>
      </c>
      <c r="E43" s="11">
        <v>1.9449999999999999E-3</v>
      </c>
      <c r="F43" s="1"/>
      <c r="G43" s="1"/>
      <c r="H43" s="1"/>
      <c r="I43" s="1"/>
      <c r="J43" s="1"/>
      <c r="K43" s="1"/>
      <c r="L43" s="1"/>
      <c r="M43" s="1"/>
      <c r="N43" s="18"/>
    </row>
    <row r="44" spans="2:14" ht="15.75" customHeight="1" x14ac:dyDescent="0.25">
      <c r="B44" s="20"/>
      <c r="C44" s="5" t="s">
        <v>205</v>
      </c>
      <c r="D44" s="6" t="s">
        <v>180</v>
      </c>
      <c r="E44" s="11">
        <v>1.928E-3</v>
      </c>
      <c r="F44" s="1"/>
      <c r="G44" s="1"/>
      <c r="H44" s="1"/>
      <c r="I44" s="1"/>
      <c r="J44" s="1"/>
      <c r="K44" s="1"/>
      <c r="L44" s="1"/>
      <c r="M44" s="1"/>
      <c r="N44" s="18"/>
    </row>
    <row r="45" spans="2:14" ht="15" customHeight="1" x14ac:dyDescent="0.25">
      <c r="B45" s="20"/>
      <c r="C45" s="5" t="s">
        <v>210</v>
      </c>
      <c r="D45" s="6" t="s">
        <v>180</v>
      </c>
      <c r="E45" s="11">
        <v>1.6280000000000001E-3</v>
      </c>
      <c r="F45" s="1"/>
      <c r="G45" s="1"/>
      <c r="H45" s="1"/>
      <c r="I45" s="1"/>
      <c r="J45" s="1"/>
      <c r="K45" s="1"/>
      <c r="L45" s="1"/>
      <c r="M45" s="1"/>
      <c r="N45" s="18"/>
    </row>
    <row r="46" spans="2:14" ht="15" customHeight="1" x14ac:dyDescent="0.25">
      <c r="B46" s="20"/>
      <c r="C46" s="5" t="s">
        <v>211</v>
      </c>
      <c r="D46" s="6" t="s">
        <v>180</v>
      </c>
      <c r="E46" s="11">
        <v>1.6180000000000001E-3</v>
      </c>
      <c r="F46" s="1"/>
      <c r="G46" s="1"/>
      <c r="H46" s="1"/>
      <c r="I46" s="1"/>
      <c r="J46" s="1"/>
      <c r="K46" s="1"/>
      <c r="L46" s="1"/>
      <c r="M46" s="1"/>
      <c r="N46" s="18"/>
    </row>
    <row r="47" spans="2:14" ht="15" customHeight="1" x14ac:dyDescent="0.25">
      <c r="B47" s="20"/>
      <c r="C47" s="5" t="s">
        <v>204</v>
      </c>
      <c r="D47" s="6" t="s">
        <v>180</v>
      </c>
      <c r="E47" s="11">
        <v>1.6130000000000001E-3</v>
      </c>
      <c r="F47" s="1"/>
      <c r="G47" s="1"/>
      <c r="H47" s="1"/>
      <c r="I47" s="1"/>
      <c r="J47" s="1"/>
      <c r="K47" s="1"/>
      <c r="L47" s="1"/>
      <c r="M47" s="1"/>
      <c r="N47" s="18"/>
    </row>
    <row r="48" spans="2:14" ht="15" customHeight="1" x14ac:dyDescent="0.25">
      <c r="B48" s="20"/>
      <c r="C48" s="5" t="s">
        <v>206</v>
      </c>
      <c r="D48" s="6" t="s">
        <v>180</v>
      </c>
      <c r="E48" s="11">
        <v>1.294E-3</v>
      </c>
      <c r="F48" s="1"/>
      <c r="G48" s="1"/>
      <c r="H48" s="1"/>
      <c r="I48" s="1"/>
      <c r="J48" s="1"/>
      <c r="K48" s="1"/>
      <c r="L48" s="1"/>
      <c r="M48" s="1"/>
      <c r="N48" s="18"/>
    </row>
    <row r="49" spans="2:14" ht="15" customHeight="1" x14ac:dyDescent="0.25">
      <c r="B49" s="20"/>
      <c r="C49" s="5" t="s">
        <v>207</v>
      </c>
      <c r="D49" s="6" t="s">
        <v>180</v>
      </c>
      <c r="E49" s="11">
        <v>9.7099999999999997E-4</v>
      </c>
      <c r="F49" s="1"/>
      <c r="G49" s="1"/>
      <c r="H49" s="1"/>
      <c r="I49" s="1"/>
      <c r="J49" s="1"/>
      <c r="K49" s="1"/>
      <c r="L49" s="1"/>
      <c r="M49" s="1"/>
      <c r="N49" s="18"/>
    </row>
    <row r="50" spans="2:14" ht="15" customHeight="1" x14ac:dyDescent="0.25">
      <c r="B50" s="20"/>
      <c r="C50" s="5" t="s">
        <v>217</v>
      </c>
      <c r="D50" s="6" t="s">
        <v>180</v>
      </c>
      <c r="E50" s="11">
        <v>6.4700000000000001E-4</v>
      </c>
      <c r="F50" s="1"/>
      <c r="G50" s="1"/>
      <c r="H50" s="1"/>
      <c r="I50" s="1"/>
      <c r="J50" s="1"/>
      <c r="K50" s="1"/>
      <c r="L50" s="1"/>
      <c r="M50" s="1"/>
      <c r="N50" s="18"/>
    </row>
    <row r="51" spans="2:14" ht="15" customHeight="1" x14ac:dyDescent="0.25">
      <c r="B51" s="20"/>
      <c r="C51" s="5" t="s">
        <v>218</v>
      </c>
      <c r="D51" s="6" t="s">
        <v>180</v>
      </c>
      <c r="E51" s="11">
        <v>6.4700000000000001E-4</v>
      </c>
      <c r="F51" s="1"/>
      <c r="G51" s="1"/>
      <c r="H51" s="1"/>
      <c r="I51" s="1"/>
      <c r="J51" s="1"/>
      <c r="K51" s="1"/>
      <c r="L51" s="1"/>
      <c r="M51" s="1"/>
      <c r="N51" s="18"/>
    </row>
    <row r="52" spans="2:14" ht="15" customHeight="1" x14ac:dyDescent="0.25">
      <c r="B52" s="20"/>
      <c r="C52" s="5" t="s">
        <v>215</v>
      </c>
      <c r="D52" s="6" t="s">
        <v>180</v>
      </c>
      <c r="E52" s="11">
        <v>6.3900000000000003E-4</v>
      </c>
      <c r="F52" s="1"/>
      <c r="G52" s="1"/>
      <c r="H52" s="1"/>
      <c r="I52" s="1"/>
      <c r="J52" s="1"/>
      <c r="K52" s="1"/>
      <c r="L52" s="1"/>
      <c r="M52" s="1"/>
      <c r="N52" s="18"/>
    </row>
    <row r="53" spans="2:14" ht="15" customHeight="1" x14ac:dyDescent="0.25">
      <c r="B53" s="20"/>
      <c r="C53" s="5" t="s">
        <v>213</v>
      </c>
      <c r="D53" s="6" t="s">
        <v>180</v>
      </c>
      <c r="E53" s="11">
        <v>3.2200000000000002E-4</v>
      </c>
      <c r="F53" s="1"/>
      <c r="G53" s="1"/>
      <c r="H53" s="1"/>
      <c r="I53" s="1"/>
      <c r="J53" s="1"/>
      <c r="K53" s="1"/>
      <c r="L53" s="1"/>
      <c r="M53" s="1"/>
      <c r="N53" s="18"/>
    </row>
    <row r="54" spans="2:14" ht="15" customHeight="1" x14ac:dyDescent="0.25">
      <c r="B54" s="20"/>
      <c r="C54" s="5" t="s">
        <v>216</v>
      </c>
      <c r="D54" s="6" t="s">
        <v>180</v>
      </c>
      <c r="E54" s="11">
        <v>3.21E-4</v>
      </c>
      <c r="F54" s="1"/>
      <c r="G54" s="1"/>
      <c r="H54" s="1"/>
      <c r="I54" s="1"/>
      <c r="J54" s="1"/>
      <c r="K54" s="1"/>
      <c r="L54" s="1"/>
      <c r="M54" s="1"/>
      <c r="N54" s="18"/>
    </row>
    <row r="55" spans="2:14" ht="15" customHeight="1" x14ac:dyDescent="0.25">
      <c r="B55" s="20"/>
      <c r="C55" s="5" t="s">
        <v>214</v>
      </c>
      <c r="D55" s="6" t="s">
        <v>180</v>
      </c>
      <c r="E55" s="11">
        <v>7.6000000000000004E-5</v>
      </c>
      <c r="F55" s="1"/>
      <c r="G55" s="1"/>
      <c r="H55" s="1"/>
      <c r="I55" s="1"/>
      <c r="J55" s="1"/>
      <c r="K55" s="1"/>
      <c r="L55" s="1"/>
      <c r="M55" s="1"/>
      <c r="N55" s="18"/>
    </row>
    <row r="56" spans="2:14" ht="15" customHeight="1" x14ac:dyDescent="0.25">
      <c r="B56" s="20"/>
      <c r="C56" s="7" t="s">
        <v>51</v>
      </c>
      <c r="D56" s="8"/>
      <c r="E56" s="12">
        <v>4.1294999999999998E-2</v>
      </c>
      <c r="F56" s="1"/>
      <c r="G56" s="1"/>
      <c r="H56" s="1"/>
      <c r="I56" s="1"/>
      <c r="J56" s="1"/>
      <c r="K56" s="1"/>
      <c r="L56" s="1"/>
      <c r="M56" s="1"/>
      <c r="N56" s="18"/>
    </row>
    <row r="57" spans="2:14" ht="15" customHeight="1" x14ac:dyDescent="0.25">
      <c r="B57" s="20"/>
      <c r="C57" s="5" t="s">
        <v>8</v>
      </c>
      <c r="D57" s="6"/>
      <c r="E57" s="11">
        <v>1.2152E-2</v>
      </c>
      <c r="F57" s="1"/>
      <c r="G57" s="1"/>
      <c r="H57" s="1"/>
      <c r="I57" s="1"/>
      <c r="J57" s="1"/>
      <c r="K57" s="1"/>
      <c r="L57" s="1"/>
      <c r="M57" s="1"/>
      <c r="N57" s="18"/>
    </row>
    <row r="58" spans="2:14" ht="15" customHeight="1" x14ac:dyDescent="0.25">
      <c r="B58" s="20"/>
      <c r="C58" s="7" t="s">
        <v>9</v>
      </c>
      <c r="D58" s="8"/>
      <c r="E58" s="12">
        <v>1.2152E-2</v>
      </c>
      <c r="F58" s="1"/>
      <c r="G58" s="1"/>
      <c r="H58" s="1"/>
      <c r="I58" s="1"/>
      <c r="J58" s="1"/>
      <c r="K58" s="1"/>
      <c r="L58" s="1"/>
      <c r="M58" s="1"/>
      <c r="N58" s="18"/>
    </row>
    <row r="59" spans="2:14" ht="15" customHeight="1" x14ac:dyDescent="0.25">
      <c r="B59" s="20"/>
      <c r="C59" s="5"/>
      <c r="D59" s="6"/>
      <c r="E59" s="11"/>
      <c r="F59" s="1"/>
      <c r="G59" s="1"/>
      <c r="H59" s="1"/>
      <c r="I59" s="1"/>
      <c r="J59" s="1"/>
      <c r="K59" s="1"/>
      <c r="L59" s="1"/>
      <c r="M59" s="1"/>
      <c r="N59" s="18"/>
    </row>
    <row r="60" spans="2:14" ht="15" customHeight="1" x14ac:dyDescent="0.25">
      <c r="B60" s="20"/>
      <c r="C60" s="7" t="s">
        <v>10</v>
      </c>
      <c r="D60" s="8"/>
      <c r="E60" s="12">
        <v>2.9489999999999999E-2</v>
      </c>
      <c r="F60" s="1"/>
      <c r="G60" s="1"/>
      <c r="H60" s="1"/>
      <c r="I60" s="1"/>
      <c r="J60" s="1"/>
      <c r="K60" s="1"/>
      <c r="L60" s="1"/>
      <c r="M60" s="1"/>
      <c r="N60" s="18"/>
    </row>
    <row r="61" spans="2:14" ht="15" customHeight="1" x14ac:dyDescent="0.25">
      <c r="B61" s="20"/>
      <c r="C61" s="5"/>
      <c r="D61" s="6"/>
      <c r="E61" s="11"/>
      <c r="F61" s="1"/>
      <c r="G61" s="1"/>
      <c r="H61" s="1"/>
      <c r="I61" s="1"/>
      <c r="J61" s="1"/>
      <c r="K61" s="1"/>
      <c r="L61" s="1"/>
      <c r="M61" s="1"/>
      <c r="N61" s="18"/>
    </row>
    <row r="62" spans="2:14" ht="15" customHeight="1" x14ac:dyDescent="0.25">
      <c r="B62" s="20"/>
      <c r="C62" s="9" t="s">
        <v>11</v>
      </c>
      <c r="D62" s="10"/>
      <c r="E62" s="13">
        <v>1</v>
      </c>
      <c r="F62" s="1"/>
      <c r="G62" s="1"/>
      <c r="H62" s="1"/>
      <c r="I62" s="1"/>
      <c r="J62" s="1"/>
      <c r="K62" s="1"/>
      <c r="L62" s="1"/>
      <c r="M62" s="1"/>
      <c r="N62" s="18"/>
    </row>
    <row r="63" spans="2:14" ht="15" customHeight="1" x14ac:dyDescent="0.25">
      <c r="B63" s="20"/>
      <c r="C63" s="1"/>
      <c r="D63" s="1"/>
      <c r="E63" s="1"/>
      <c r="F63" s="1"/>
      <c r="G63" s="1"/>
      <c r="H63" s="1"/>
      <c r="I63" s="1"/>
      <c r="J63" s="1"/>
      <c r="K63" s="1"/>
      <c r="L63" s="1"/>
      <c r="M63" s="1"/>
      <c r="N63" s="18"/>
    </row>
    <row r="64" spans="2:14" ht="15" customHeight="1" thickBot="1" x14ac:dyDescent="0.3">
      <c r="B64" s="21"/>
      <c r="C64" s="22"/>
      <c r="D64" s="22"/>
      <c r="E64" s="22"/>
      <c r="F64" s="22"/>
      <c r="G64" s="22"/>
      <c r="H64" s="22"/>
      <c r="I64" s="22"/>
      <c r="J64" s="22"/>
      <c r="K64" s="22"/>
      <c r="L64" s="22"/>
      <c r="M64" s="22"/>
      <c r="N64" s="23"/>
    </row>
    <row r="65" spans="2:14" ht="15" customHeight="1" thickBot="1" x14ac:dyDescent="0.3"/>
    <row r="66" spans="2:14" ht="15" customHeight="1" x14ac:dyDescent="0.25">
      <c r="B66" s="68" t="s">
        <v>286</v>
      </c>
      <c r="C66" s="69"/>
      <c r="D66" s="69"/>
      <c r="E66" s="69"/>
      <c r="F66" s="69"/>
      <c r="G66" s="69"/>
      <c r="H66" s="69"/>
      <c r="I66" s="69"/>
      <c r="J66" s="69"/>
      <c r="K66" s="69"/>
      <c r="L66" s="69"/>
      <c r="M66" s="69"/>
      <c r="N66" s="70"/>
    </row>
    <row r="67" spans="2:14" ht="15" customHeight="1" x14ac:dyDescent="0.25">
      <c r="B67" s="71"/>
      <c r="C67" s="72"/>
      <c r="D67" s="72"/>
      <c r="E67" s="72"/>
      <c r="F67" s="72"/>
      <c r="G67" s="72"/>
      <c r="H67" s="72"/>
      <c r="I67" s="72"/>
      <c r="J67" s="72"/>
      <c r="K67" s="72"/>
      <c r="L67" s="72"/>
      <c r="M67" s="72"/>
      <c r="N67" s="73"/>
    </row>
    <row r="68" spans="2:14" ht="15" customHeight="1" x14ac:dyDescent="0.25">
      <c r="B68" s="71"/>
      <c r="C68" s="72"/>
      <c r="D68" s="72"/>
      <c r="E68" s="72"/>
      <c r="F68" s="72"/>
      <c r="G68" s="72"/>
      <c r="H68" s="72"/>
      <c r="I68" s="72"/>
      <c r="J68" s="72"/>
      <c r="K68" s="72"/>
      <c r="L68" s="72"/>
      <c r="M68" s="72"/>
      <c r="N68" s="73"/>
    </row>
    <row r="69" spans="2:14" ht="15" customHeight="1" thickBot="1" x14ac:dyDescent="0.3">
      <c r="B69" s="74"/>
      <c r="C69" s="75"/>
      <c r="D69" s="75"/>
      <c r="E69" s="75"/>
      <c r="F69" s="75"/>
      <c r="G69" s="75"/>
      <c r="H69" s="75"/>
      <c r="I69" s="75"/>
      <c r="J69" s="75"/>
      <c r="K69" s="75"/>
      <c r="L69" s="75"/>
      <c r="M69" s="75"/>
      <c r="N69" s="76"/>
    </row>
    <row r="70" spans="2:14" ht="15" customHeight="1" thickBot="1" x14ac:dyDescent="0.3"/>
    <row r="71" spans="2:14" ht="126" customHeight="1" thickBot="1" x14ac:dyDescent="0.3">
      <c r="B71" s="85" t="s">
        <v>292</v>
      </c>
      <c r="C71" s="86"/>
      <c r="D71" s="86"/>
      <c r="E71" s="86"/>
      <c r="F71" s="86"/>
      <c r="G71" s="86"/>
      <c r="H71" s="86"/>
      <c r="I71" s="86"/>
      <c r="J71" s="86"/>
      <c r="K71" s="86"/>
      <c r="L71" s="86"/>
      <c r="M71" s="86"/>
      <c r="N71" s="87"/>
    </row>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sheetData>
  <sortState ref="C39:E55">
    <sortCondition descending="1" ref="E39"/>
  </sortState>
  <mergeCells count="7">
    <mergeCell ref="B66:N69"/>
    <mergeCell ref="B71:N71"/>
    <mergeCell ref="C3:N3"/>
    <mergeCell ref="D5:E5"/>
    <mergeCell ref="G7:N7"/>
    <mergeCell ref="G24:K24"/>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4DC49-B602-42C6-ABB7-F79DA85F841B}">
  <dimension ref="B1:N95"/>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7" t="s">
        <v>78</v>
      </c>
      <c r="D3" s="78"/>
      <c r="E3" s="78"/>
      <c r="F3" s="78"/>
      <c r="G3" s="78"/>
      <c r="H3" s="78"/>
      <c r="I3" s="78"/>
      <c r="J3" s="78"/>
      <c r="K3" s="78"/>
      <c r="L3" s="78"/>
      <c r="M3" s="78"/>
      <c r="N3" s="79"/>
    </row>
    <row r="4" spans="2:14" ht="15.75" customHeight="1" x14ac:dyDescent="0.25">
      <c r="B4" s="20"/>
      <c r="C4" s="14"/>
      <c r="D4" s="1"/>
      <c r="E4" s="1"/>
      <c r="F4" s="1"/>
      <c r="G4" s="1"/>
      <c r="H4" s="1"/>
      <c r="I4" s="1"/>
      <c r="J4" s="1"/>
      <c r="K4" s="1"/>
      <c r="L4" s="1"/>
      <c r="M4" s="1"/>
      <c r="N4" s="18"/>
    </row>
    <row r="5" spans="2:14" ht="18" customHeight="1" x14ac:dyDescent="0.25">
      <c r="B5" s="20"/>
      <c r="C5" s="15" t="s">
        <v>1</v>
      </c>
      <c r="D5" s="80" t="s">
        <v>79</v>
      </c>
      <c r="E5" s="8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2" t="s">
        <v>16</v>
      </c>
      <c r="H7" s="83"/>
      <c r="I7" s="83"/>
      <c r="J7" s="83"/>
      <c r="K7" s="83"/>
      <c r="L7" s="83"/>
      <c r="M7" s="83"/>
      <c r="N7" s="84"/>
    </row>
    <row r="8" spans="2:14" ht="15" customHeight="1" x14ac:dyDescent="0.25">
      <c r="B8" s="20"/>
      <c r="C8" s="5" t="s">
        <v>23</v>
      </c>
      <c r="D8" s="6" t="s">
        <v>22</v>
      </c>
      <c r="E8" s="11">
        <v>2.0830000000000001E-2</v>
      </c>
      <c r="F8" s="1"/>
      <c r="G8" s="24" t="s">
        <v>15</v>
      </c>
      <c r="H8" s="25">
        <v>1</v>
      </c>
      <c r="I8" s="1"/>
      <c r="J8" s="24" t="s">
        <v>12</v>
      </c>
      <c r="K8" s="24" t="s">
        <v>5</v>
      </c>
      <c r="L8" s="1"/>
      <c r="M8" s="1"/>
      <c r="N8" s="18"/>
    </row>
    <row r="9" spans="2:14" ht="15" customHeight="1" x14ac:dyDescent="0.25">
      <c r="B9" s="20"/>
      <c r="C9" s="5" t="s">
        <v>32</v>
      </c>
      <c r="D9" s="6" t="s">
        <v>22</v>
      </c>
      <c r="E9" s="11">
        <v>1.3261999999999999E-2</v>
      </c>
      <c r="F9" s="1"/>
      <c r="G9" s="1"/>
      <c r="H9" s="1"/>
      <c r="I9" s="1"/>
      <c r="J9" s="24" t="s">
        <v>10</v>
      </c>
      <c r="K9" s="28">
        <v>3.2938000000000002E-2</v>
      </c>
      <c r="L9" s="1"/>
      <c r="M9" s="1"/>
      <c r="N9" s="18"/>
    </row>
    <row r="10" spans="2:14" ht="15" customHeight="1" x14ac:dyDescent="0.25">
      <c r="B10" s="20"/>
      <c r="C10" s="5" t="s">
        <v>21</v>
      </c>
      <c r="D10" s="6" t="s">
        <v>22</v>
      </c>
      <c r="E10" s="11">
        <v>5.2090000000000001E-3</v>
      </c>
      <c r="F10" s="1"/>
      <c r="G10" s="1"/>
      <c r="H10" s="1"/>
      <c r="I10" s="1"/>
      <c r="J10" s="24" t="s">
        <v>13</v>
      </c>
      <c r="K10" s="28">
        <v>8.3879999999999996E-3</v>
      </c>
      <c r="L10" s="1"/>
      <c r="M10" s="1"/>
      <c r="N10" s="18"/>
    </row>
    <row r="11" spans="2:14" ht="15" customHeight="1" x14ac:dyDescent="0.25">
      <c r="B11" s="20"/>
      <c r="C11" s="5" t="s">
        <v>24</v>
      </c>
      <c r="D11" s="6" t="s">
        <v>22</v>
      </c>
      <c r="E11" s="11">
        <v>3.4719999999999998E-3</v>
      </c>
      <c r="F11" s="1"/>
      <c r="G11" s="1"/>
      <c r="H11" s="1"/>
      <c r="I11" s="1"/>
      <c r="J11" s="24" t="s">
        <v>52</v>
      </c>
      <c r="K11" s="28">
        <v>4.2772999999999999E-2</v>
      </c>
      <c r="L11" s="1"/>
      <c r="M11" s="1"/>
      <c r="N11" s="18"/>
    </row>
    <row r="12" spans="2:14" ht="15.75" customHeight="1" x14ac:dyDescent="0.25">
      <c r="B12" s="20"/>
      <c r="C12" s="7" t="s">
        <v>26</v>
      </c>
      <c r="D12" s="8"/>
      <c r="E12" s="12">
        <v>4.2772999999999999E-2</v>
      </c>
      <c r="F12" s="1"/>
      <c r="G12" s="1"/>
      <c r="H12" s="1"/>
      <c r="I12" s="1"/>
      <c r="J12" s="24" t="s">
        <v>53</v>
      </c>
      <c r="K12" s="28">
        <v>0.74108799999999997</v>
      </c>
      <c r="L12" s="1"/>
      <c r="M12" s="1"/>
      <c r="N12" s="18"/>
    </row>
    <row r="13" spans="2:14" ht="15" customHeight="1" x14ac:dyDescent="0.25">
      <c r="B13" s="20"/>
      <c r="C13" s="5" t="s">
        <v>30</v>
      </c>
      <c r="D13" s="6" t="s">
        <v>22</v>
      </c>
      <c r="E13" s="11">
        <v>2.6044000000000001E-2</v>
      </c>
      <c r="F13" s="1"/>
      <c r="G13" s="1"/>
      <c r="H13" s="1"/>
      <c r="I13" s="1"/>
      <c r="J13" s="24" t="s">
        <v>54</v>
      </c>
      <c r="K13" s="28">
        <v>7.1329000000000004E-2</v>
      </c>
      <c r="L13" s="1"/>
      <c r="M13" s="1"/>
      <c r="N13" s="18"/>
    </row>
    <row r="14" spans="2:14" ht="15" customHeight="1" x14ac:dyDescent="0.25">
      <c r="B14" s="20"/>
      <c r="C14" s="5" t="s">
        <v>74</v>
      </c>
      <c r="D14" s="6" t="s">
        <v>22</v>
      </c>
      <c r="E14" s="11">
        <v>2.0872000000000002E-2</v>
      </c>
      <c r="F14" s="1"/>
      <c r="G14" s="1"/>
      <c r="H14" s="1"/>
      <c r="I14" s="1"/>
      <c r="J14" s="24" t="s">
        <v>45</v>
      </c>
      <c r="K14" s="28">
        <v>2.7409999999999999E-3</v>
      </c>
      <c r="L14" s="1"/>
      <c r="M14" s="1"/>
      <c r="N14" s="18"/>
    </row>
    <row r="15" spans="2:14" ht="15" customHeight="1" x14ac:dyDescent="0.25">
      <c r="B15" s="20"/>
      <c r="C15" s="5" t="s">
        <v>75</v>
      </c>
      <c r="D15" s="6" t="s">
        <v>22</v>
      </c>
      <c r="E15" s="11">
        <v>1.7474E-2</v>
      </c>
      <c r="F15" s="1"/>
      <c r="G15" s="1"/>
      <c r="H15" s="1"/>
      <c r="I15" s="1"/>
      <c r="J15" s="24" t="s">
        <v>55</v>
      </c>
      <c r="K15" s="28">
        <v>3.5399999999999999E-4</v>
      </c>
      <c r="L15" s="1"/>
      <c r="M15" s="1"/>
      <c r="N15" s="18"/>
    </row>
    <row r="16" spans="2:14" ht="15" customHeight="1" x14ac:dyDescent="0.25">
      <c r="B16" s="20"/>
      <c r="C16" s="5" t="s">
        <v>32</v>
      </c>
      <c r="D16" s="6" t="s">
        <v>22</v>
      </c>
      <c r="E16" s="11">
        <v>6.9389999999999999E-3</v>
      </c>
      <c r="F16" s="1"/>
      <c r="G16" s="1"/>
      <c r="H16" s="1"/>
      <c r="I16" s="1"/>
      <c r="J16" s="24" t="s">
        <v>56</v>
      </c>
      <c r="K16" s="28">
        <v>2.6367000000000002E-2</v>
      </c>
      <c r="L16" s="1"/>
      <c r="M16" s="1"/>
      <c r="N16" s="18"/>
    </row>
    <row r="17" spans="2:14" ht="15.75" customHeight="1" x14ac:dyDescent="0.25">
      <c r="B17" s="20"/>
      <c r="C17" s="7" t="s">
        <v>27</v>
      </c>
      <c r="D17" s="8"/>
      <c r="E17" s="12">
        <v>7.1329000000000004E-2</v>
      </c>
      <c r="F17" s="1"/>
      <c r="G17" s="1"/>
      <c r="H17" s="1"/>
      <c r="I17" s="1"/>
      <c r="J17" s="24" t="s">
        <v>92</v>
      </c>
      <c r="K17" s="28">
        <v>7.1217000000000003E-2</v>
      </c>
      <c r="L17" s="1"/>
      <c r="M17" s="1"/>
      <c r="N17" s="18"/>
    </row>
    <row r="18" spans="2:14" ht="15" customHeight="1" x14ac:dyDescent="0.25">
      <c r="B18" s="20"/>
      <c r="C18" s="5" t="s">
        <v>40</v>
      </c>
      <c r="D18" s="6" t="s">
        <v>29</v>
      </c>
      <c r="E18" s="11">
        <v>0.113564</v>
      </c>
      <c r="F18" s="1"/>
      <c r="G18" s="1"/>
      <c r="H18" s="1"/>
      <c r="I18" s="1"/>
      <c r="J18" s="24" t="s">
        <v>93</v>
      </c>
      <c r="K18" s="28">
        <v>2.8050000000000002E-3</v>
      </c>
      <c r="L18" s="1"/>
      <c r="M18" s="1"/>
      <c r="N18" s="18"/>
    </row>
    <row r="19" spans="2:14" ht="15" customHeight="1" x14ac:dyDescent="0.25">
      <c r="B19" s="20"/>
      <c r="C19" s="5" t="s">
        <v>28</v>
      </c>
      <c r="D19" s="6" t="s">
        <v>29</v>
      </c>
      <c r="E19" s="11">
        <v>0.102511</v>
      </c>
      <c r="F19" s="1"/>
      <c r="G19" s="1"/>
      <c r="H19" s="1"/>
      <c r="I19" s="1"/>
      <c r="J19" s="1"/>
      <c r="K19" s="1"/>
      <c r="L19" s="1"/>
      <c r="M19" s="1"/>
      <c r="N19" s="18"/>
    </row>
    <row r="20" spans="2:14" ht="15" customHeight="1" x14ac:dyDescent="0.25">
      <c r="B20" s="20"/>
      <c r="C20" s="5" t="s">
        <v>33</v>
      </c>
      <c r="D20" s="6" t="s">
        <v>29</v>
      </c>
      <c r="E20" s="11">
        <v>8.8485999999999995E-2</v>
      </c>
      <c r="F20" s="1"/>
      <c r="G20" s="1"/>
      <c r="H20" s="1"/>
      <c r="I20" s="1"/>
      <c r="J20" s="1"/>
      <c r="K20" s="1"/>
      <c r="L20" s="1"/>
      <c r="M20" s="1"/>
      <c r="N20" s="18"/>
    </row>
    <row r="21" spans="2:14" ht="15" customHeight="1" x14ac:dyDescent="0.25">
      <c r="B21" s="20"/>
      <c r="C21" s="5" t="s">
        <v>30</v>
      </c>
      <c r="D21" s="6" t="s">
        <v>29</v>
      </c>
      <c r="E21" s="11">
        <v>8.7712999999999999E-2</v>
      </c>
      <c r="F21" s="1"/>
      <c r="G21" s="1"/>
      <c r="H21" s="1"/>
      <c r="I21" s="1"/>
      <c r="J21" s="1"/>
      <c r="K21" s="1"/>
      <c r="L21" s="1"/>
      <c r="M21" s="1"/>
      <c r="N21" s="18"/>
    </row>
    <row r="22" spans="2:14" ht="15" customHeight="1" x14ac:dyDescent="0.25">
      <c r="B22" s="20"/>
      <c r="C22" s="5" t="s">
        <v>35</v>
      </c>
      <c r="D22" s="6" t="s">
        <v>29</v>
      </c>
      <c r="E22" s="11">
        <v>6.7579E-2</v>
      </c>
      <c r="F22" s="1"/>
      <c r="G22" s="1"/>
      <c r="H22" s="1"/>
      <c r="I22" s="1"/>
      <c r="J22" s="1"/>
      <c r="K22" s="1"/>
      <c r="L22" s="1"/>
      <c r="M22" s="1"/>
      <c r="N22" s="18"/>
    </row>
    <row r="23" spans="2:14" ht="15" customHeight="1" x14ac:dyDescent="0.25">
      <c r="B23" s="20"/>
      <c r="C23" s="5" t="s">
        <v>24</v>
      </c>
      <c r="D23" s="6" t="s">
        <v>29</v>
      </c>
      <c r="E23" s="11">
        <v>5.1433E-2</v>
      </c>
      <c r="F23" s="1"/>
      <c r="G23" s="1"/>
      <c r="H23" s="1"/>
      <c r="I23" s="1"/>
      <c r="J23" s="1"/>
      <c r="K23" s="1"/>
      <c r="L23" s="1"/>
      <c r="M23" s="1"/>
      <c r="N23" s="18"/>
    </row>
    <row r="24" spans="2:14" ht="15" customHeight="1" x14ac:dyDescent="0.25">
      <c r="B24" s="20"/>
      <c r="C24" s="5" t="s">
        <v>31</v>
      </c>
      <c r="D24" s="6" t="s">
        <v>29</v>
      </c>
      <c r="E24" s="11">
        <v>3.6693999999999997E-2</v>
      </c>
      <c r="F24" s="1"/>
      <c r="G24" s="82" t="s">
        <v>17</v>
      </c>
      <c r="H24" s="83"/>
      <c r="I24" s="83"/>
      <c r="J24" s="83"/>
      <c r="K24" s="83"/>
      <c r="L24" s="67">
        <v>0.31416778415025109</v>
      </c>
      <c r="M24" s="26"/>
      <c r="N24" s="27"/>
    </row>
    <row r="25" spans="2:14" ht="15" customHeight="1" x14ac:dyDescent="0.25">
      <c r="B25" s="20"/>
      <c r="C25" s="5" t="s">
        <v>80</v>
      </c>
      <c r="D25" s="6" t="s">
        <v>29</v>
      </c>
      <c r="E25" s="11">
        <v>2.6176999999999999E-2</v>
      </c>
      <c r="F25" s="1"/>
      <c r="G25" s="1"/>
      <c r="H25" s="1"/>
      <c r="I25" s="1"/>
      <c r="J25" s="1"/>
      <c r="K25" s="1"/>
      <c r="L25" s="1"/>
      <c r="M25" s="1"/>
      <c r="N25" s="18"/>
    </row>
    <row r="26" spans="2:14" ht="15" customHeight="1" x14ac:dyDescent="0.25">
      <c r="B26" s="20"/>
      <c r="C26" s="5" t="s">
        <v>32</v>
      </c>
      <c r="D26" s="6" t="s">
        <v>29</v>
      </c>
      <c r="E26" s="11">
        <v>2.2849000000000001E-2</v>
      </c>
      <c r="F26" s="1"/>
      <c r="G26" s="82" t="s">
        <v>18</v>
      </c>
      <c r="H26" s="83"/>
      <c r="I26" s="83"/>
      <c r="J26" s="83"/>
      <c r="K26" s="83"/>
      <c r="L26" s="83"/>
      <c r="M26" s="83"/>
      <c r="N26" s="84"/>
    </row>
    <row r="27" spans="2:14" ht="15" customHeight="1" x14ac:dyDescent="0.25">
      <c r="B27" s="20"/>
      <c r="C27" s="5" t="s">
        <v>37</v>
      </c>
      <c r="D27" s="6" t="s">
        <v>29</v>
      </c>
      <c r="E27" s="11">
        <v>2.2152000000000002E-2</v>
      </c>
      <c r="F27" s="1"/>
      <c r="G27" s="1"/>
      <c r="H27" s="1"/>
      <c r="I27" s="1"/>
      <c r="J27" s="1"/>
      <c r="K27" s="1"/>
      <c r="L27" s="1"/>
      <c r="M27" s="1"/>
      <c r="N27" s="18"/>
    </row>
    <row r="28" spans="2:14" ht="15" customHeight="1" x14ac:dyDescent="0.25">
      <c r="B28" s="20"/>
      <c r="C28" s="5" t="s">
        <v>81</v>
      </c>
      <c r="D28" s="6" t="s">
        <v>29</v>
      </c>
      <c r="E28" s="11">
        <v>1.9436999999999999E-2</v>
      </c>
      <c r="F28" s="1"/>
      <c r="G28" s="1"/>
      <c r="H28" s="1"/>
      <c r="I28" s="1"/>
      <c r="J28" s="1"/>
      <c r="K28" s="1"/>
      <c r="L28" s="1"/>
      <c r="M28" s="1"/>
      <c r="N28" s="18"/>
    </row>
    <row r="29" spans="2:14" ht="15" customHeight="1" x14ac:dyDescent="0.25">
      <c r="B29" s="20"/>
      <c r="C29" s="5" t="s">
        <v>34</v>
      </c>
      <c r="D29" s="6" t="s">
        <v>29</v>
      </c>
      <c r="E29" s="11">
        <v>1.6993999999999999E-2</v>
      </c>
      <c r="F29" s="1"/>
      <c r="G29" s="1"/>
      <c r="H29" s="1"/>
      <c r="I29" s="1"/>
      <c r="J29" s="1"/>
      <c r="K29" s="1"/>
      <c r="L29" s="1"/>
      <c r="M29" s="1"/>
      <c r="N29" s="18"/>
    </row>
    <row r="30" spans="2:14" ht="15" customHeight="1" x14ac:dyDescent="0.25">
      <c r="B30" s="20"/>
      <c r="C30" s="5" t="s">
        <v>82</v>
      </c>
      <c r="D30" s="6" t="s">
        <v>29</v>
      </c>
      <c r="E30" s="11">
        <v>1.5925000000000002E-2</v>
      </c>
      <c r="F30" s="1"/>
      <c r="G30" s="1"/>
      <c r="H30" s="1"/>
      <c r="I30" s="1"/>
      <c r="J30" s="1"/>
      <c r="K30" s="1"/>
      <c r="L30" s="1"/>
      <c r="M30" s="1"/>
      <c r="N30" s="18"/>
    </row>
    <row r="31" spans="2:14" ht="15" customHeight="1" x14ac:dyDescent="0.25">
      <c r="B31" s="20"/>
      <c r="C31" s="5" t="s">
        <v>74</v>
      </c>
      <c r="D31" s="6" t="s">
        <v>29</v>
      </c>
      <c r="E31" s="11">
        <v>1.5153E-2</v>
      </c>
      <c r="F31" s="1"/>
      <c r="G31" s="1"/>
      <c r="H31" s="1"/>
      <c r="I31" s="1"/>
      <c r="J31" s="1"/>
      <c r="K31" s="1"/>
      <c r="L31" s="1"/>
      <c r="M31" s="1"/>
      <c r="N31" s="18"/>
    </row>
    <row r="32" spans="2:14" ht="15" customHeight="1" x14ac:dyDescent="0.25">
      <c r="B32" s="20"/>
      <c r="C32" s="5" t="s">
        <v>36</v>
      </c>
      <c r="D32" s="6" t="s">
        <v>29</v>
      </c>
      <c r="E32" s="11">
        <v>1.4893E-2</v>
      </c>
      <c r="F32" s="1"/>
      <c r="G32" s="1"/>
      <c r="H32" s="1"/>
      <c r="I32" s="1"/>
      <c r="J32" s="1"/>
      <c r="K32" s="1"/>
      <c r="L32" s="1"/>
      <c r="M32" s="1"/>
      <c r="N32" s="18"/>
    </row>
    <row r="33" spans="2:14" ht="15" customHeight="1" x14ac:dyDescent="0.25">
      <c r="B33" s="20"/>
      <c r="C33" s="5" t="s">
        <v>83</v>
      </c>
      <c r="D33" s="6" t="s">
        <v>29</v>
      </c>
      <c r="E33" s="11">
        <v>1.4803999999999999E-2</v>
      </c>
      <c r="F33" s="1"/>
      <c r="G33" s="1"/>
      <c r="H33" s="1"/>
      <c r="I33" s="1"/>
      <c r="J33" s="1"/>
      <c r="K33" s="1"/>
      <c r="L33" s="1"/>
      <c r="M33" s="1"/>
      <c r="N33" s="18"/>
    </row>
    <row r="34" spans="2:14" ht="15" customHeight="1" x14ac:dyDescent="0.25">
      <c r="B34" s="20"/>
      <c r="C34" s="5" t="s">
        <v>84</v>
      </c>
      <c r="D34" s="6" t="s">
        <v>29</v>
      </c>
      <c r="E34" s="11">
        <v>1.1969E-2</v>
      </c>
      <c r="F34" s="1"/>
      <c r="G34" s="1"/>
      <c r="H34" s="1"/>
      <c r="I34" s="1"/>
      <c r="J34" s="1"/>
      <c r="K34" s="1"/>
      <c r="L34" s="1"/>
      <c r="M34" s="1"/>
      <c r="N34" s="18"/>
    </row>
    <row r="35" spans="2:14" ht="15" customHeight="1" x14ac:dyDescent="0.25">
      <c r="B35" s="20"/>
      <c r="C35" s="5" t="s">
        <v>42</v>
      </c>
      <c r="D35" s="6" t="s">
        <v>29</v>
      </c>
      <c r="E35" s="11">
        <v>6.3730000000000002E-3</v>
      </c>
      <c r="F35" s="1"/>
      <c r="G35" s="1"/>
      <c r="H35" s="1"/>
      <c r="I35" s="1"/>
      <c r="J35" s="1"/>
      <c r="K35" s="1"/>
      <c r="L35" s="1"/>
      <c r="M35" s="1"/>
      <c r="N35" s="18"/>
    </row>
    <row r="36" spans="2:14" ht="15" customHeight="1" x14ac:dyDescent="0.25">
      <c r="B36" s="20"/>
      <c r="C36" s="5" t="s">
        <v>41</v>
      </c>
      <c r="D36" s="6" t="s">
        <v>29</v>
      </c>
      <c r="E36" s="11">
        <v>3.5539999999999999E-3</v>
      </c>
      <c r="F36" s="1"/>
      <c r="G36" s="1"/>
      <c r="H36" s="1"/>
      <c r="I36" s="1"/>
      <c r="J36" s="1"/>
      <c r="K36" s="1"/>
      <c r="L36" s="1"/>
      <c r="M36" s="1"/>
      <c r="N36" s="18"/>
    </row>
    <row r="37" spans="2:14" ht="15" customHeight="1" x14ac:dyDescent="0.25">
      <c r="B37" s="20"/>
      <c r="C37" s="5" t="s">
        <v>75</v>
      </c>
      <c r="D37" s="6" t="s">
        <v>29</v>
      </c>
      <c r="E37" s="11">
        <v>1.751E-3</v>
      </c>
      <c r="F37" s="1"/>
      <c r="G37" s="1"/>
      <c r="H37" s="1"/>
      <c r="I37" s="1"/>
      <c r="J37" s="1"/>
      <c r="K37" s="1"/>
      <c r="L37" s="1"/>
      <c r="M37" s="1"/>
      <c r="N37" s="18"/>
    </row>
    <row r="38" spans="2:14" ht="15" customHeight="1" x14ac:dyDescent="0.25">
      <c r="B38" s="20"/>
      <c r="C38" s="5" t="s">
        <v>85</v>
      </c>
      <c r="D38" s="6" t="s">
        <v>29</v>
      </c>
      <c r="E38" s="11">
        <v>1.077E-3</v>
      </c>
      <c r="F38" s="1"/>
      <c r="G38" s="1"/>
      <c r="H38" s="1"/>
      <c r="I38" s="1"/>
      <c r="J38" s="1"/>
      <c r="K38" s="1"/>
      <c r="L38" s="1"/>
      <c r="M38" s="1"/>
      <c r="N38" s="18"/>
    </row>
    <row r="39" spans="2:14" ht="15.75" customHeight="1" x14ac:dyDescent="0.25">
      <c r="B39" s="20"/>
      <c r="C39" s="7" t="s">
        <v>44</v>
      </c>
      <c r="D39" s="8"/>
      <c r="E39" s="12">
        <v>0.74108799999999997</v>
      </c>
      <c r="F39" s="1"/>
      <c r="G39" s="1"/>
      <c r="H39" s="1"/>
      <c r="I39" s="1"/>
      <c r="J39" s="1"/>
      <c r="K39" s="1"/>
      <c r="L39" s="1"/>
      <c r="M39" s="1"/>
      <c r="N39" s="18"/>
    </row>
    <row r="40" spans="2:14" ht="15" customHeight="1" x14ac:dyDescent="0.25">
      <c r="B40" s="20"/>
      <c r="C40" s="5" t="s">
        <v>45</v>
      </c>
      <c r="D40" s="6"/>
      <c r="E40" s="11">
        <v>2.7409999999999999E-3</v>
      </c>
      <c r="F40" s="1"/>
      <c r="G40" s="1"/>
      <c r="H40" s="1"/>
      <c r="I40" s="1"/>
      <c r="J40" s="1"/>
      <c r="K40" s="1"/>
      <c r="L40" s="1"/>
      <c r="M40" s="1"/>
      <c r="N40" s="18"/>
    </row>
    <row r="41" spans="2:14" ht="15.75" customHeight="1" x14ac:dyDescent="0.25">
      <c r="B41" s="20"/>
      <c r="C41" s="7" t="s">
        <v>46</v>
      </c>
      <c r="D41" s="8"/>
      <c r="E41" s="12">
        <v>2.7409999999999999E-3</v>
      </c>
      <c r="F41" s="1"/>
      <c r="G41" s="1"/>
      <c r="H41" s="1"/>
      <c r="I41" s="1"/>
      <c r="J41" s="1"/>
      <c r="K41" s="1"/>
      <c r="L41" s="1"/>
      <c r="M41" s="1"/>
      <c r="N41" s="18"/>
    </row>
    <row r="42" spans="2:14" ht="15" customHeight="1" x14ac:dyDescent="0.25">
      <c r="B42" s="20"/>
      <c r="C42" s="5" t="s">
        <v>86</v>
      </c>
      <c r="D42" s="6" t="s">
        <v>180</v>
      </c>
      <c r="E42" s="11">
        <v>3.5399999999999999E-4</v>
      </c>
      <c r="F42" s="1"/>
      <c r="G42" s="1"/>
      <c r="H42" s="1"/>
      <c r="I42" s="1"/>
      <c r="J42" s="1"/>
      <c r="K42" s="1"/>
      <c r="L42" s="1"/>
      <c r="M42" s="1"/>
      <c r="N42" s="18"/>
    </row>
    <row r="43" spans="2:14" ht="15.75" customHeight="1" x14ac:dyDescent="0.25">
      <c r="B43" s="20"/>
      <c r="C43" s="7" t="s">
        <v>50</v>
      </c>
      <c r="D43" s="8"/>
      <c r="E43" s="12">
        <v>3.5399999999999999E-4</v>
      </c>
      <c r="F43" s="1"/>
      <c r="G43" s="1"/>
      <c r="H43" s="1"/>
      <c r="I43" s="1"/>
      <c r="J43" s="1"/>
      <c r="K43" s="1"/>
      <c r="L43" s="1"/>
      <c r="M43" s="1"/>
      <c r="N43" s="18"/>
    </row>
    <row r="44" spans="2:14" ht="15" customHeight="1" x14ac:dyDescent="0.25">
      <c r="B44" s="20"/>
      <c r="C44" s="5" t="s">
        <v>228</v>
      </c>
      <c r="D44" s="6" t="s">
        <v>180</v>
      </c>
      <c r="E44" s="11">
        <v>4.2900000000000004E-3</v>
      </c>
      <c r="F44" s="1"/>
      <c r="G44" s="1"/>
      <c r="H44" s="1"/>
      <c r="I44" s="1"/>
      <c r="J44" s="1"/>
      <c r="K44" s="1"/>
      <c r="L44" s="1"/>
      <c r="M44" s="1"/>
      <c r="N44" s="18"/>
    </row>
    <row r="45" spans="2:14" ht="15" customHeight="1" x14ac:dyDescent="0.25">
      <c r="B45" s="20"/>
      <c r="C45" s="5" t="s">
        <v>231</v>
      </c>
      <c r="D45" s="6" t="s">
        <v>180</v>
      </c>
      <c r="E45" s="11">
        <v>3.5720000000000001E-3</v>
      </c>
      <c r="F45" s="1"/>
      <c r="G45" s="1"/>
      <c r="H45" s="1"/>
      <c r="I45" s="1"/>
      <c r="J45" s="1"/>
      <c r="K45" s="1"/>
      <c r="L45" s="1"/>
      <c r="M45" s="1"/>
      <c r="N45" s="18"/>
    </row>
    <row r="46" spans="2:14" ht="15" customHeight="1" x14ac:dyDescent="0.25">
      <c r="B46" s="20"/>
      <c r="C46" s="5" t="s">
        <v>233</v>
      </c>
      <c r="D46" s="6" t="s">
        <v>180</v>
      </c>
      <c r="E46" s="11">
        <v>3.006E-3</v>
      </c>
      <c r="F46" s="1"/>
      <c r="G46" s="1"/>
      <c r="H46" s="1"/>
      <c r="I46" s="1"/>
      <c r="J46" s="1"/>
      <c r="K46" s="1"/>
      <c r="L46" s="1"/>
      <c r="M46" s="1"/>
      <c r="N46" s="18"/>
    </row>
    <row r="47" spans="2:14" ht="15" customHeight="1" x14ac:dyDescent="0.25">
      <c r="B47" s="20"/>
      <c r="C47" s="5" t="s">
        <v>227</v>
      </c>
      <c r="D47" s="6" t="s">
        <v>180</v>
      </c>
      <c r="E47" s="11">
        <v>2.4979999999999998E-3</v>
      </c>
      <c r="F47" s="1"/>
      <c r="G47" s="1"/>
      <c r="H47" s="1"/>
      <c r="I47" s="1"/>
      <c r="J47" s="1"/>
      <c r="K47" s="1"/>
      <c r="L47" s="1"/>
      <c r="M47" s="1"/>
      <c r="N47" s="18"/>
    </row>
    <row r="48" spans="2:14" ht="15" customHeight="1" x14ac:dyDescent="0.25">
      <c r="B48" s="20"/>
      <c r="C48" s="5" t="s">
        <v>222</v>
      </c>
      <c r="D48" s="6" t="s">
        <v>180</v>
      </c>
      <c r="E48" s="11">
        <v>2.4910000000000002E-3</v>
      </c>
      <c r="F48" s="1"/>
      <c r="G48" s="1"/>
      <c r="H48" s="1"/>
      <c r="I48" s="1"/>
      <c r="J48" s="1"/>
      <c r="K48" s="1"/>
      <c r="L48" s="1"/>
      <c r="M48" s="1"/>
      <c r="N48" s="18"/>
    </row>
    <row r="49" spans="2:14" ht="15" customHeight="1" x14ac:dyDescent="0.25">
      <c r="B49" s="20"/>
      <c r="C49" s="5" t="s">
        <v>223</v>
      </c>
      <c r="D49" s="6" t="s">
        <v>180</v>
      </c>
      <c r="E49" s="11">
        <v>2.1359999999999999E-3</v>
      </c>
      <c r="F49" s="1"/>
      <c r="G49" s="1"/>
      <c r="H49" s="1"/>
      <c r="I49" s="1"/>
      <c r="J49" s="1"/>
      <c r="K49" s="1"/>
      <c r="L49" s="1"/>
      <c r="M49" s="1"/>
      <c r="N49" s="18"/>
    </row>
    <row r="50" spans="2:14" ht="15" customHeight="1" x14ac:dyDescent="0.25">
      <c r="B50" s="20"/>
      <c r="C50" s="5" t="s">
        <v>230</v>
      </c>
      <c r="D50" s="6" t="s">
        <v>180</v>
      </c>
      <c r="E50" s="11">
        <v>1.4289999999999999E-3</v>
      </c>
      <c r="F50" s="1"/>
      <c r="G50" s="1"/>
      <c r="H50" s="1"/>
      <c r="I50" s="1"/>
      <c r="J50" s="1"/>
      <c r="K50" s="1"/>
      <c r="L50" s="1"/>
      <c r="M50" s="1"/>
      <c r="N50" s="18"/>
    </row>
    <row r="51" spans="2:14" ht="15" customHeight="1" x14ac:dyDescent="0.25">
      <c r="B51" s="20"/>
      <c r="C51" s="5" t="s">
        <v>232</v>
      </c>
      <c r="D51" s="6" t="s">
        <v>180</v>
      </c>
      <c r="E51" s="11">
        <v>1.4270000000000001E-3</v>
      </c>
      <c r="F51" s="1"/>
      <c r="G51" s="1"/>
      <c r="H51" s="1"/>
      <c r="I51" s="1"/>
      <c r="J51" s="1"/>
      <c r="K51" s="1"/>
      <c r="L51" s="1"/>
      <c r="M51" s="1"/>
      <c r="N51" s="18"/>
    </row>
    <row r="52" spans="2:14" ht="15" customHeight="1" x14ac:dyDescent="0.25">
      <c r="B52" s="20"/>
      <c r="C52" s="5" t="s">
        <v>221</v>
      </c>
      <c r="D52" s="6" t="s">
        <v>180</v>
      </c>
      <c r="E52" s="11">
        <v>1.4220000000000001E-3</v>
      </c>
      <c r="F52" s="1"/>
      <c r="G52" s="1"/>
      <c r="H52" s="1"/>
      <c r="I52" s="1"/>
      <c r="J52" s="1"/>
      <c r="K52" s="1"/>
      <c r="L52" s="1"/>
      <c r="M52" s="1"/>
      <c r="N52" s="18"/>
    </row>
    <row r="53" spans="2:14" ht="15" customHeight="1" x14ac:dyDescent="0.25">
      <c r="B53" s="20"/>
      <c r="C53" s="5" t="s">
        <v>226</v>
      </c>
      <c r="D53" s="6" t="s">
        <v>180</v>
      </c>
      <c r="E53" s="11">
        <v>1.07E-3</v>
      </c>
      <c r="F53" s="1"/>
      <c r="G53" s="1"/>
      <c r="H53" s="1"/>
      <c r="I53" s="1"/>
      <c r="J53" s="1"/>
      <c r="K53" s="1"/>
      <c r="L53" s="1"/>
      <c r="M53" s="1"/>
      <c r="N53" s="18"/>
    </row>
    <row r="54" spans="2:14" ht="15" customHeight="1" x14ac:dyDescent="0.25">
      <c r="B54" s="20"/>
      <c r="C54" s="5" t="s">
        <v>198</v>
      </c>
      <c r="D54" s="6" t="s">
        <v>180</v>
      </c>
      <c r="E54" s="11">
        <v>7.1599999999999995E-4</v>
      </c>
      <c r="F54" s="1"/>
      <c r="G54" s="1"/>
      <c r="H54" s="1"/>
      <c r="I54" s="1"/>
      <c r="J54" s="1"/>
      <c r="K54" s="1"/>
      <c r="L54" s="1"/>
      <c r="M54" s="1"/>
      <c r="N54" s="18"/>
    </row>
    <row r="55" spans="2:14" ht="15" customHeight="1" x14ac:dyDescent="0.25">
      <c r="B55" s="20"/>
      <c r="C55" s="5" t="s">
        <v>225</v>
      </c>
      <c r="D55" s="6" t="s">
        <v>180</v>
      </c>
      <c r="E55" s="11">
        <v>7.1400000000000001E-4</v>
      </c>
      <c r="F55" s="1"/>
      <c r="G55" s="1"/>
      <c r="H55" s="1"/>
      <c r="I55" s="1"/>
      <c r="J55" s="1"/>
      <c r="K55" s="1"/>
      <c r="L55" s="1"/>
      <c r="M55" s="1"/>
      <c r="N55" s="18"/>
    </row>
    <row r="56" spans="2:14" ht="15" customHeight="1" x14ac:dyDescent="0.25">
      <c r="B56" s="20"/>
      <c r="C56" s="5" t="s">
        <v>224</v>
      </c>
      <c r="D56" s="6" t="s">
        <v>180</v>
      </c>
      <c r="E56" s="11">
        <v>7.1299999999999998E-4</v>
      </c>
      <c r="F56" s="1"/>
      <c r="G56" s="1"/>
      <c r="H56" s="1"/>
      <c r="I56" s="1"/>
      <c r="J56" s="1"/>
      <c r="K56" s="1"/>
      <c r="L56" s="1"/>
      <c r="M56" s="1"/>
      <c r="N56" s="18"/>
    </row>
    <row r="57" spans="2:14" ht="15" customHeight="1" x14ac:dyDescent="0.25">
      <c r="B57" s="20"/>
      <c r="C57" s="5" t="s">
        <v>229</v>
      </c>
      <c r="D57" s="6" t="s">
        <v>180</v>
      </c>
      <c r="E57" s="11">
        <v>7.1000000000000002E-4</v>
      </c>
      <c r="F57" s="1"/>
      <c r="G57" s="1"/>
      <c r="H57" s="1"/>
      <c r="I57" s="1"/>
      <c r="J57" s="1"/>
      <c r="K57" s="1"/>
      <c r="L57" s="1"/>
      <c r="M57" s="1"/>
      <c r="N57" s="18"/>
    </row>
    <row r="58" spans="2:14" ht="15" customHeight="1" x14ac:dyDescent="0.25">
      <c r="B58" s="20"/>
      <c r="C58" s="5" t="s">
        <v>234</v>
      </c>
      <c r="D58" s="6" t="s">
        <v>180</v>
      </c>
      <c r="E58" s="11">
        <v>1.73E-4</v>
      </c>
      <c r="F58" s="1"/>
      <c r="G58" s="1"/>
      <c r="H58" s="1"/>
      <c r="I58" s="1"/>
      <c r="J58" s="1"/>
      <c r="K58" s="1"/>
      <c r="L58" s="1"/>
      <c r="M58" s="1"/>
      <c r="N58" s="18"/>
    </row>
    <row r="59" spans="2:14" ht="15.75" customHeight="1" x14ac:dyDescent="0.25">
      <c r="B59" s="20"/>
      <c r="C59" s="7" t="s">
        <v>51</v>
      </c>
      <c r="D59" s="8"/>
      <c r="E59" s="12">
        <v>2.6367000000000002E-2</v>
      </c>
      <c r="F59" s="1"/>
      <c r="G59" s="1"/>
      <c r="H59" s="1"/>
      <c r="I59" s="1"/>
      <c r="J59" s="1"/>
      <c r="K59" s="1"/>
      <c r="L59" s="1"/>
      <c r="M59" s="1"/>
      <c r="N59" s="18"/>
    </row>
    <row r="60" spans="2:14" ht="15" customHeight="1" x14ac:dyDescent="0.25">
      <c r="B60" s="20"/>
      <c r="C60" s="5" t="s">
        <v>87</v>
      </c>
      <c r="D60" s="6" t="s">
        <v>180</v>
      </c>
      <c r="E60" s="11">
        <v>5.5583E-2</v>
      </c>
      <c r="F60" s="1"/>
      <c r="G60" s="1"/>
      <c r="H60" s="1"/>
      <c r="I60" s="1"/>
      <c r="J60" s="1"/>
      <c r="K60" s="1"/>
      <c r="L60" s="1"/>
      <c r="M60" s="1"/>
      <c r="N60" s="18"/>
    </row>
    <row r="61" spans="2:14" ht="15" customHeight="1" x14ac:dyDescent="0.25">
      <c r="B61" s="20"/>
      <c r="C61" s="5" t="s">
        <v>88</v>
      </c>
      <c r="D61" s="6" t="s">
        <v>180</v>
      </c>
      <c r="E61" s="11">
        <v>8.6969999999999999E-3</v>
      </c>
      <c r="F61" s="1"/>
      <c r="G61" s="1"/>
      <c r="H61" s="1"/>
      <c r="I61" s="1"/>
      <c r="J61" s="1"/>
      <c r="K61" s="1"/>
      <c r="L61" s="1"/>
      <c r="M61" s="1"/>
      <c r="N61" s="18"/>
    </row>
    <row r="62" spans="2:14" ht="15" customHeight="1" x14ac:dyDescent="0.25">
      <c r="B62" s="20"/>
      <c r="C62" s="5" t="s">
        <v>89</v>
      </c>
      <c r="D62" s="6" t="s">
        <v>180</v>
      </c>
      <c r="E62" s="11">
        <v>6.9369999999999996E-3</v>
      </c>
      <c r="F62" s="1"/>
      <c r="G62" s="1"/>
      <c r="H62" s="1"/>
      <c r="I62" s="1"/>
      <c r="J62" s="1"/>
      <c r="K62" s="1"/>
      <c r="L62" s="1"/>
      <c r="M62" s="1"/>
      <c r="N62" s="18"/>
    </row>
    <row r="63" spans="2:14" ht="15.75" customHeight="1" x14ac:dyDescent="0.25">
      <c r="B63" s="20"/>
      <c r="C63" s="7" t="s">
        <v>90</v>
      </c>
      <c r="D63" s="8"/>
      <c r="E63" s="12">
        <v>7.1217000000000003E-2</v>
      </c>
      <c r="F63" s="1"/>
      <c r="G63" s="1"/>
      <c r="H63" s="1"/>
      <c r="I63" s="1"/>
      <c r="J63" s="1"/>
      <c r="K63" s="1"/>
      <c r="L63" s="1"/>
      <c r="M63" s="1"/>
      <c r="N63" s="18"/>
    </row>
    <row r="64" spans="2:14" ht="15" customHeight="1" x14ac:dyDescent="0.25">
      <c r="B64" s="20"/>
      <c r="C64" s="5" t="s">
        <v>8</v>
      </c>
      <c r="D64" s="6"/>
      <c r="E64" s="11">
        <v>8.3879999999999996E-3</v>
      </c>
      <c r="F64" s="1"/>
      <c r="G64" s="1"/>
      <c r="H64" s="1"/>
      <c r="I64" s="1"/>
      <c r="J64" s="1"/>
      <c r="K64" s="1"/>
      <c r="L64" s="1"/>
      <c r="M64" s="1"/>
      <c r="N64" s="18"/>
    </row>
    <row r="65" spans="2:14" ht="15.75" customHeight="1" x14ac:dyDescent="0.25">
      <c r="B65" s="20"/>
      <c r="C65" s="7" t="s">
        <v>9</v>
      </c>
      <c r="D65" s="8"/>
      <c r="E65" s="12">
        <v>8.3879999999999996E-3</v>
      </c>
      <c r="F65" s="1"/>
      <c r="G65" s="1"/>
      <c r="H65" s="1"/>
      <c r="I65" s="1"/>
      <c r="J65" s="1"/>
      <c r="K65" s="1"/>
      <c r="L65" s="1"/>
      <c r="M65" s="1"/>
      <c r="N65" s="18"/>
    </row>
    <row r="66" spans="2:14" ht="15" customHeight="1" x14ac:dyDescent="0.25">
      <c r="B66" s="20"/>
      <c r="C66" s="5" t="s">
        <v>75</v>
      </c>
      <c r="D66" s="6" t="s">
        <v>29</v>
      </c>
      <c r="E66" s="11">
        <v>2.8050000000000002E-3</v>
      </c>
      <c r="F66" s="1"/>
      <c r="G66" s="1"/>
      <c r="H66" s="1"/>
      <c r="I66" s="1"/>
      <c r="J66" s="1"/>
      <c r="K66" s="1"/>
      <c r="L66" s="1"/>
      <c r="M66" s="1"/>
      <c r="N66" s="18"/>
    </row>
    <row r="67" spans="2:14" ht="15.75" customHeight="1" x14ac:dyDescent="0.25">
      <c r="B67" s="20"/>
      <c r="C67" s="7" t="s">
        <v>91</v>
      </c>
      <c r="D67" s="8"/>
      <c r="E67" s="12">
        <v>2.8050000000000002E-3</v>
      </c>
      <c r="F67" s="1"/>
      <c r="G67" s="1"/>
      <c r="H67" s="1"/>
      <c r="I67" s="1"/>
      <c r="J67" s="1"/>
      <c r="K67" s="1"/>
      <c r="L67" s="1"/>
      <c r="M67" s="1"/>
      <c r="N67" s="18"/>
    </row>
    <row r="68" spans="2:14" ht="15" customHeight="1" x14ac:dyDescent="0.25">
      <c r="B68" s="20"/>
      <c r="C68" s="5"/>
      <c r="D68" s="6"/>
      <c r="E68" s="11"/>
      <c r="F68" s="1"/>
      <c r="G68" s="1"/>
      <c r="H68" s="1"/>
      <c r="I68" s="1"/>
      <c r="J68" s="1"/>
      <c r="K68" s="1"/>
      <c r="L68" s="1"/>
      <c r="M68" s="1"/>
      <c r="N68" s="18"/>
    </row>
    <row r="69" spans="2:14" ht="15.75" customHeight="1" x14ac:dyDescent="0.25">
      <c r="B69" s="20"/>
      <c r="C69" s="7" t="s">
        <v>10</v>
      </c>
      <c r="D69" s="8"/>
      <c r="E69" s="12">
        <v>3.2938000000000002E-2</v>
      </c>
      <c r="F69" s="1"/>
      <c r="G69" s="1"/>
      <c r="H69" s="1"/>
      <c r="I69" s="1"/>
      <c r="J69" s="1"/>
      <c r="K69" s="1"/>
      <c r="L69" s="1"/>
      <c r="M69" s="1"/>
      <c r="N69" s="18"/>
    </row>
    <row r="70" spans="2:14" ht="15" customHeight="1" x14ac:dyDescent="0.25">
      <c r="B70" s="20"/>
      <c r="C70" s="5"/>
      <c r="D70" s="6"/>
      <c r="E70" s="11"/>
      <c r="F70" s="1"/>
      <c r="G70" s="1"/>
      <c r="H70" s="1"/>
      <c r="I70" s="1"/>
      <c r="J70" s="1"/>
      <c r="K70" s="1"/>
      <c r="L70" s="1"/>
      <c r="M70" s="1"/>
      <c r="N70" s="18"/>
    </row>
    <row r="71" spans="2:14" ht="15" customHeight="1" x14ac:dyDescent="0.25">
      <c r="B71" s="20"/>
      <c r="C71" s="9" t="s">
        <v>11</v>
      </c>
      <c r="D71" s="10"/>
      <c r="E71" s="13">
        <v>1</v>
      </c>
      <c r="F71" s="1"/>
      <c r="G71" s="1"/>
      <c r="H71" s="1"/>
      <c r="I71" s="1"/>
      <c r="J71" s="1"/>
      <c r="K71" s="1"/>
      <c r="L71" s="1"/>
      <c r="M71" s="1"/>
      <c r="N71" s="18"/>
    </row>
    <row r="72" spans="2:14" ht="15" customHeight="1" x14ac:dyDescent="0.25">
      <c r="B72" s="20"/>
      <c r="C72" s="1"/>
      <c r="D72" s="1"/>
      <c r="E72" s="1"/>
      <c r="F72" s="1"/>
      <c r="G72" s="1"/>
      <c r="H72" s="1"/>
      <c r="I72" s="1"/>
      <c r="J72" s="1"/>
      <c r="K72" s="1"/>
      <c r="L72" s="1"/>
      <c r="M72" s="1"/>
      <c r="N72" s="18"/>
    </row>
    <row r="73" spans="2:14" ht="15" customHeight="1" thickBot="1" x14ac:dyDescent="0.3">
      <c r="B73" s="21"/>
      <c r="C73" s="22"/>
      <c r="D73" s="22"/>
      <c r="E73" s="22"/>
      <c r="F73" s="22"/>
      <c r="G73" s="22"/>
      <c r="H73" s="22"/>
      <c r="I73" s="22"/>
      <c r="J73" s="22"/>
      <c r="K73" s="22"/>
      <c r="L73" s="22"/>
      <c r="M73" s="22"/>
      <c r="N73" s="23"/>
    </row>
    <row r="74" spans="2:14" ht="15" customHeight="1" thickBot="1" x14ac:dyDescent="0.3"/>
    <row r="75" spans="2:14" ht="15" customHeight="1" x14ac:dyDescent="0.25">
      <c r="B75" s="68" t="s">
        <v>286</v>
      </c>
      <c r="C75" s="69"/>
      <c r="D75" s="69"/>
      <c r="E75" s="69"/>
      <c r="F75" s="69"/>
      <c r="G75" s="69"/>
      <c r="H75" s="69"/>
      <c r="I75" s="69"/>
      <c r="J75" s="69"/>
      <c r="K75" s="69"/>
      <c r="L75" s="69"/>
      <c r="M75" s="69"/>
      <c r="N75" s="70"/>
    </row>
    <row r="76" spans="2:14" ht="15" customHeight="1" x14ac:dyDescent="0.25">
      <c r="B76" s="71"/>
      <c r="C76" s="72"/>
      <c r="D76" s="72"/>
      <c r="E76" s="72"/>
      <c r="F76" s="72"/>
      <c r="G76" s="72"/>
      <c r="H76" s="72"/>
      <c r="I76" s="72"/>
      <c r="J76" s="72"/>
      <c r="K76" s="72"/>
      <c r="L76" s="72"/>
      <c r="M76" s="72"/>
      <c r="N76" s="73"/>
    </row>
    <row r="77" spans="2:14" ht="15" customHeight="1" x14ac:dyDescent="0.25">
      <c r="B77" s="71"/>
      <c r="C77" s="72"/>
      <c r="D77" s="72"/>
      <c r="E77" s="72"/>
      <c r="F77" s="72"/>
      <c r="G77" s="72"/>
      <c r="H77" s="72"/>
      <c r="I77" s="72"/>
      <c r="J77" s="72"/>
      <c r="K77" s="72"/>
      <c r="L77" s="72"/>
      <c r="M77" s="72"/>
      <c r="N77" s="73"/>
    </row>
    <row r="78" spans="2:14" ht="15" customHeight="1" thickBot="1" x14ac:dyDescent="0.3">
      <c r="B78" s="74"/>
      <c r="C78" s="75"/>
      <c r="D78" s="75"/>
      <c r="E78" s="75"/>
      <c r="F78" s="75"/>
      <c r="G78" s="75"/>
      <c r="H78" s="75"/>
      <c r="I78" s="75"/>
      <c r="J78" s="75"/>
      <c r="K78" s="75"/>
      <c r="L78" s="75"/>
      <c r="M78" s="75"/>
      <c r="N78" s="76"/>
    </row>
    <row r="79" spans="2:14" ht="15" customHeight="1" thickBot="1" x14ac:dyDescent="0.3"/>
    <row r="80" spans="2:14" ht="120" customHeight="1" thickBot="1" x14ac:dyDescent="0.3">
      <c r="B80" s="85" t="s">
        <v>292</v>
      </c>
      <c r="C80" s="86"/>
      <c r="D80" s="86"/>
      <c r="E80" s="86"/>
      <c r="F80" s="86"/>
      <c r="G80" s="86"/>
      <c r="H80" s="86"/>
      <c r="I80" s="86"/>
      <c r="J80" s="86"/>
      <c r="K80" s="86"/>
      <c r="L80" s="86"/>
      <c r="M80" s="86"/>
      <c r="N80" s="87"/>
    </row>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sheetData>
  <sortState ref="C44:E58">
    <sortCondition descending="1" ref="E44"/>
  </sortState>
  <mergeCells count="7">
    <mergeCell ref="B75:N78"/>
    <mergeCell ref="B80:N80"/>
    <mergeCell ref="C3:N3"/>
    <mergeCell ref="D5:E5"/>
    <mergeCell ref="G7:N7"/>
    <mergeCell ref="G24:K24"/>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2E45D-4471-43F3-819B-112E7F7BD8B0}">
  <dimension ref="B1:N53"/>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7" t="s">
        <v>134</v>
      </c>
      <c r="D3" s="78"/>
      <c r="E3" s="78"/>
      <c r="F3" s="78"/>
      <c r="G3" s="78"/>
      <c r="H3" s="78"/>
      <c r="I3" s="78"/>
      <c r="J3" s="78"/>
      <c r="K3" s="78"/>
      <c r="L3" s="78"/>
      <c r="M3" s="78"/>
      <c r="N3" s="79"/>
    </row>
    <row r="4" spans="2:14" ht="15.75" customHeight="1" x14ac:dyDescent="0.25">
      <c r="B4" s="20"/>
      <c r="C4" s="14"/>
      <c r="D4" s="1"/>
      <c r="E4" s="1"/>
      <c r="F4" s="1"/>
      <c r="G4" s="1"/>
      <c r="H4" s="1"/>
      <c r="I4" s="1"/>
      <c r="J4" s="1"/>
      <c r="K4" s="1"/>
      <c r="L4" s="1"/>
      <c r="M4" s="1"/>
      <c r="N4" s="18"/>
    </row>
    <row r="5" spans="2:14" ht="18" customHeight="1" x14ac:dyDescent="0.25">
      <c r="B5" s="20"/>
      <c r="C5" s="15" t="s">
        <v>1</v>
      </c>
      <c r="D5" s="80" t="s">
        <v>135</v>
      </c>
      <c r="E5" s="8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2" t="s">
        <v>16</v>
      </c>
      <c r="H7" s="83"/>
      <c r="I7" s="83"/>
      <c r="J7" s="83"/>
      <c r="K7" s="83"/>
      <c r="L7" s="83"/>
      <c r="M7" s="83"/>
      <c r="N7" s="84"/>
    </row>
    <row r="8" spans="2:14" ht="15" customHeight="1" x14ac:dyDescent="0.25">
      <c r="B8" s="20"/>
      <c r="C8" s="5" t="s">
        <v>23</v>
      </c>
      <c r="D8" s="6" t="s">
        <v>22</v>
      </c>
      <c r="E8" s="11">
        <v>0.11929099999999999</v>
      </c>
      <c r="F8" s="1"/>
      <c r="G8" s="24" t="s">
        <v>15</v>
      </c>
      <c r="H8" s="28">
        <v>0.90288599999999997</v>
      </c>
      <c r="I8" s="1"/>
      <c r="J8" s="24" t="s">
        <v>12</v>
      </c>
      <c r="K8" s="24" t="s">
        <v>5</v>
      </c>
      <c r="L8" s="1"/>
      <c r="M8" s="1"/>
      <c r="N8" s="18"/>
    </row>
    <row r="9" spans="2:14" ht="15" customHeight="1" x14ac:dyDescent="0.25">
      <c r="B9" s="20"/>
      <c r="C9" s="5" t="s">
        <v>21</v>
      </c>
      <c r="D9" s="6" t="s">
        <v>22</v>
      </c>
      <c r="E9" s="11">
        <v>0.117649</v>
      </c>
      <c r="F9" s="1"/>
      <c r="G9" s="24" t="s">
        <v>108</v>
      </c>
      <c r="H9" s="28">
        <v>9.7114000000000006E-2</v>
      </c>
      <c r="I9" s="1"/>
      <c r="J9" s="24" t="s">
        <v>10</v>
      </c>
      <c r="K9" s="28">
        <v>1.0834E-2</v>
      </c>
      <c r="L9" s="1"/>
      <c r="M9" s="1"/>
      <c r="N9" s="18"/>
    </row>
    <row r="10" spans="2:14" ht="15.75" customHeight="1" x14ac:dyDescent="0.25">
      <c r="B10" s="20"/>
      <c r="C10" s="7" t="s">
        <v>26</v>
      </c>
      <c r="D10" s="8"/>
      <c r="E10" s="12">
        <v>0.23694000000000001</v>
      </c>
      <c r="F10" s="1"/>
      <c r="G10" s="1"/>
      <c r="H10" s="1"/>
      <c r="I10" s="1"/>
      <c r="J10" s="24" t="s">
        <v>13</v>
      </c>
      <c r="K10" s="28">
        <v>1.461E-2</v>
      </c>
      <c r="L10" s="1"/>
      <c r="M10" s="1"/>
      <c r="N10" s="18"/>
    </row>
    <row r="11" spans="2:14" ht="15" customHeight="1" x14ac:dyDescent="0.25">
      <c r="B11" s="20"/>
      <c r="C11" s="5" t="s">
        <v>30</v>
      </c>
      <c r="D11" s="6" t="s">
        <v>22</v>
      </c>
      <c r="E11" s="11">
        <v>0.120889</v>
      </c>
      <c r="F11" s="1"/>
      <c r="G11" s="1"/>
      <c r="H11" s="1"/>
      <c r="I11" s="1"/>
      <c r="J11" s="24" t="s">
        <v>52</v>
      </c>
      <c r="K11" s="28">
        <v>0.23694000000000001</v>
      </c>
      <c r="L11" s="1"/>
      <c r="M11" s="1"/>
      <c r="N11" s="18"/>
    </row>
    <row r="12" spans="2:14" ht="15" customHeight="1" x14ac:dyDescent="0.25">
      <c r="B12" s="20"/>
      <c r="C12" s="5" t="s">
        <v>32</v>
      </c>
      <c r="D12" s="6" t="s">
        <v>22</v>
      </c>
      <c r="E12" s="11">
        <v>9.5374E-2</v>
      </c>
      <c r="F12" s="1"/>
      <c r="G12" s="1"/>
      <c r="H12" s="1"/>
      <c r="I12" s="1"/>
      <c r="J12" s="24" t="s">
        <v>53</v>
      </c>
      <c r="K12" s="28">
        <v>0.35674800000000001</v>
      </c>
      <c r="L12" s="1"/>
      <c r="M12" s="1"/>
      <c r="N12" s="18"/>
    </row>
    <row r="13" spans="2:14" ht="15.75" customHeight="1" x14ac:dyDescent="0.25">
      <c r="B13" s="20"/>
      <c r="C13" s="7" t="s">
        <v>27</v>
      </c>
      <c r="D13" s="8"/>
      <c r="E13" s="12">
        <v>0.21626300000000001</v>
      </c>
      <c r="F13" s="1"/>
      <c r="G13" s="1"/>
      <c r="H13" s="1"/>
      <c r="I13" s="1"/>
      <c r="J13" s="24" t="s">
        <v>54</v>
      </c>
      <c r="K13" s="28">
        <v>0.21626300000000001</v>
      </c>
      <c r="L13" s="1"/>
      <c r="M13" s="1"/>
      <c r="N13" s="18"/>
    </row>
    <row r="14" spans="2:14" ht="15" customHeight="1" x14ac:dyDescent="0.25">
      <c r="B14" s="20"/>
      <c r="C14" s="5" t="s">
        <v>136</v>
      </c>
      <c r="D14" s="6" t="s">
        <v>103</v>
      </c>
      <c r="E14" s="11">
        <v>9.7114000000000006E-2</v>
      </c>
      <c r="F14" s="1"/>
      <c r="G14" s="1"/>
      <c r="H14" s="1"/>
      <c r="I14" s="1"/>
      <c r="J14" s="24" t="s">
        <v>45</v>
      </c>
      <c r="K14" s="28">
        <v>4.2680000000000001E-3</v>
      </c>
      <c r="L14" s="1"/>
      <c r="M14" s="1"/>
      <c r="N14" s="18"/>
    </row>
    <row r="15" spans="2:14" ht="15" customHeight="1" x14ac:dyDescent="0.25">
      <c r="B15" s="20"/>
      <c r="C15" s="5" t="s">
        <v>74</v>
      </c>
      <c r="D15" s="6" t="s">
        <v>29</v>
      </c>
      <c r="E15" s="11">
        <v>9.5875000000000002E-2</v>
      </c>
      <c r="F15" s="1"/>
      <c r="G15" s="1"/>
      <c r="H15" s="1"/>
      <c r="I15" s="1"/>
      <c r="J15" s="24" t="s">
        <v>55</v>
      </c>
      <c r="K15" s="28">
        <v>0.16033700000000001</v>
      </c>
      <c r="L15" s="1"/>
      <c r="M15" s="1"/>
      <c r="N15" s="18"/>
    </row>
    <row r="16" spans="2:14" ht="15" customHeight="1" x14ac:dyDescent="0.25">
      <c r="B16" s="20"/>
      <c r="C16" s="5" t="s">
        <v>34</v>
      </c>
      <c r="D16" s="6" t="s">
        <v>29</v>
      </c>
      <c r="E16" s="11">
        <v>7.2281999999999999E-2</v>
      </c>
      <c r="F16" s="1"/>
      <c r="G16" s="1"/>
      <c r="H16" s="1"/>
      <c r="I16" s="1"/>
      <c r="J16" s="24" t="s">
        <v>138</v>
      </c>
      <c r="K16" s="25">
        <v>0</v>
      </c>
      <c r="L16" s="1"/>
      <c r="M16" s="1"/>
      <c r="N16" s="18"/>
    </row>
    <row r="17" spans="2:14" ht="15" customHeight="1" x14ac:dyDescent="0.25">
      <c r="B17" s="20"/>
      <c r="C17" s="5" t="s">
        <v>75</v>
      </c>
      <c r="D17" s="6" t="s">
        <v>29</v>
      </c>
      <c r="E17" s="11">
        <v>4.8128999999999998E-2</v>
      </c>
      <c r="F17" s="1"/>
      <c r="G17" s="1"/>
      <c r="H17" s="1"/>
      <c r="I17" s="1"/>
      <c r="J17" s="1"/>
      <c r="K17" s="1"/>
      <c r="L17" s="1"/>
      <c r="M17" s="1"/>
      <c r="N17" s="18"/>
    </row>
    <row r="18" spans="2:14" ht="15" customHeight="1" x14ac:dyDescent="0.25">
      <c r="B18" s="20"/>
      <c r="C18" s="5" t="s">
        <v>28</v>
      </c>
      <c r="D18" s="6" t="s">
        <v>29</v>
      </c>
      <c r="E18" s="11">
        <v>4.3347999999999998E-2</v>
      </c>
      <c r="F18" s="1"/>
      <c r="G18" s="1"/>
      <c r="H18" s="1"/>
      <c r="I18" s="1"/>
      <c r="J18" s="1"/>
      <c r="K18" s="1"/>
      <c r="L18" s="1"/>
      <c r="M18" s="1"/>
      <c r="N18" s="18"/>
    </row>
    <row r="19" spans="2:14" ht="15.75" customHeight="1" x14ac:dyDescent="0.25">
      <c r="B19" s="20"/>
      <c r="C19" s="7" t="s">
        <v>44</v>
      </c>
      <c r="D19" s="8"/>
      <c r="E19" s="12">
        <v>0.35674800000000001</v>
      </c>
      <c r="F19" s="1"/>
      <c r="G19" s="1"/>
      <c r="H19" s="1"/>
      <c r="I19" s="1"/>
      <c r="J19" s="1"/>
      <c r="K19" s="1"/>
      <c r="L19" s="1"/>
      <c r="M19" s="1"/>
      <c r="N19" s="18"/>
    </row>
    <row r="20" spans="2:14" ht="15" customHeight="1" x14ac:dyDescent="0.25">
      <c r="B20" s="20"/>
      <c r="C20" s="5" t="s">
        <v>45</v>
      </c>
      <c r="D20" s="6"/>
      <c r="E20" s="11">
        <v>4.2680000000000001E-3</v>
      </c>
      <c r="F20" s="1"/>
      <c r="G20" s="1"/>
      <c r="H20" s="1"/>
      <c r="I20" s="1"/>
      <c r="J20" s="1"/>
      <c r="K20" s="1"/>
      <c r="L20" s="1"/>
      <c r="M20" s="1"/>
      <c r="N20" s="18"/>
    </row>
    <row r="21" spans="2:14" ht="15.75" customHeight="1" x14ac:dyDescent="0.25">
      <c r="B21" s="20"/>
      <c r="C21" s="7" t="s">
        <v>46</v>
      </c>
      <c r="D21" s="8"/>
      <c r="E21" s="12">
        <v>4.2680000000000001E-3</v>
      </c>
      <c r="F21" s="1"/>
      <c r="G21" s="1"/>
      <c r="H21" s="1"/>
      <c r="I21" s="1"/>
      <c r="J21" s="1"/>
      <c r="K21" s="1"/>
      <c r="L21" s="1"/>
      <c r="M21" s="1"/>
      <c r="N21" s="18"/>
    </row>
    <row r="22" spans="2:14" ht="15" customHeight="1" x14ac:dyDescent="0.25">
      <c r="B22" s="20"/>
      <c r="C22" s="5" t="s">
        <v>47</v>
      </c>
      <c r="D22" s="6" t="s">
        <v>180</v>
      </c>
      <c r="E22" s="11">
        <v>7.3325000000000001E-2</v>
      </c>
      <c r="F22" s="1"/>
      <c r="G22" s="1"/>
      <c r="H22" s="1"/>
      <c r="I22" s="1"/>
      <c r="J22" s="1"/>
      <c r="K22" s="1"/>
      <c r="L22" s="1"/>
      <c r="M22" s="1"/>
      <c r="N22" s="18"/>
    </row>
    <row r="23" spans="2:14" ht="15" customHeight="1" x14ac:dyDescent="0.25">
      <c r="B23" s="20"/>
      <c r="C23" s="5" t="s">
        <v>61</v>
      </c>
      <c r="D23" s="6" t="s">
        <v>180</v>
      </c>
      <c r="E23" s="11">
        <v>7.2521000000000002E-2</v>
      </c>
      <c r="F23" s="1"/>
      <c r="G23" s="1"/>
      <c r="H23" s="1"/>
      <c r="I23" s="1"/>
      <c r="J23" s="1"/>
      <c r="K23" s="1"/>
      <c r="L23" s="1"/>
      <c r="M23" s="1"/>
      <c r="N23" s="18"/>
    </row>
    <row r="24" spans="2:14" ht="15" customHeight="1" x14ac:dyDescent="0.25">
      <c r="B24" s="20"/>
      <c r="C24" s="5" t="s">
        <v>60</v>
      </c>
      <c r="D24" s="6" t="s">
        <v>180</v>
      </c>
      <c r="E24" s="11">
        <v>1.4491E-2</v>
      </c>
      <c r="F24" s="1"/>
      <c r="G24" s="82" t="s">
        <v>17</v>
      </c>
      <c r="H24" s="83"/>
      <c r="I24" s="83"/>
      <c r="J24" s="83"/>
      <c r="K24" s="83"/>
      <c r="L24" s="67">
        <v>1.2127523043278443</v>
      </c>
      <c r="M24" s="26"/>
      <c r="N24" s="27"/>
    </row>
    <row r="25" spans="2:14" ht="15.75" customHeight="1" x14ac:dyDescent="0.25">
      <c r="B25" s="20"/>
      <c r="C25" s="7" t="s">
        <v>50</v>
      </c>
      <c r="D25" s="8"/>
      <c r="E25" s="12">
        <v>0.16033700000000001</v>
      </c>
      <c r="F25" s="1"/>
      <c r="G25" s="1"/>
      <c r="H25" s="1"/>
      <c r="I25" s="1"/>
      <c r="J25" s="1"/>
      <c r="K25" s="1"/>
      <c r="L25" s="1"/>
      <c r="M25" s="1"/>
      <c r="N25" s="18"/>
    </row>
    <row r="26" spans="2:14" ht="15" customHeight="1" x14ac:dyDescent="0.25">
      <c r="B26" s="20"/>
      <c r="C26" s="5" t="s">
        <v>8</v>
      </c>
      <c r="D26" s="6"/>
      <c r="E26" s="11">
        <v>1.461E-2</v>
      </c>
      <c r="F26" s="1"/>
      <c r="G26" s="82" t="s">
        <v>18</v>
      </c>
      <c r="H26" s="83"/>
      <c r="I26" s="83"/>
      <c r="J26" s="83"/>
      <c r="K26" s="83"/>
      <c r="L26" s="83"/>
      <c r="M26" s="83"/>
      <c r="N26" s="84"/>
    </row>
    <row r="27" spans="2:14" ht="15.75" customHeight="1" x14ac:dyDescent="0.25">
      <c r="B27" s="20"/>
      <c r="C27" s="7" t="s">
        <v>9</v>
      </c>
      <c r="D27" s="8"/>
      <c r="E27" s="12">
        <v>1.461E-2</v>
      </c>
      <c r="F27" s="1"/>
      <c r="G27" s="1"/>
      <c r="H27" s="1"/>
      <c r="I27" s="1"/>
      <c r="J27" s="1"/>
      <c r="K27" s="1"/>
      <c r="L27" s="1"/>
      <c r="M27" s="1"/>
      <c r="N27" s="18"/>
    </row>
    <row r="28" spans="2:14" ht="15" customHeight="1" x14ac:dyDescent="0.25">
      <c r="B28" s="20"/>
      <c r="C28" s="5"/>
      <c r="D28" s="6"/>
      <c r="E28" s="11"/>
      <c r="F28" s="1"/>
      <c r="G28" s="1"/>
      <c r="H28" s="1"/>
      <c r="I28" s="1"/>
      <c r="J28" s="1"/>
      <c r="K28" s="1"/>
      <c r="L28" s="1"/>
      <c r="M28" s="1"/>
      <c r="N28" s="18"/>
    </row>
    <row r="29" spans="2:14" ht="15.75" customHeight="1" x14ac:dyDescent="0.25">
      <c r="B29" s="20"/>
      <c r="C29" s="7" t="s">
        <v>10</v>
      </c>
      <c r="D29" s="8"/>
      <c r="E29" s="12">
        <v>1.0834E-2</v>
      </c>
      <c r="F29" s="1"/>
      <c r="G29" s="1"/>
      <c r="H29" s="1"/>
      <c r="I29" s="1"/>
      <c r="J29" s="1"/>
      <c r="K29" s="1"/>
      <c r="L29" s="1"/>
      <c r="M29" s="1"/>
      <c r="N29" s="18"/>
    </row>
    <row r="30" spans="2:14" ht="15" customHeight="1" x14ac:dyDescent="0.25">
      <c r="B30" s="20"/>
      <c r="C30" s="5"/>
      <c r="D30" s="6"/>
      <c r="E30" s="11"/>
      <c r="F30" s="1"/>
      <c r="G30" s="1"/>
      <c r="H30" s="1"/>
      <c r="I30" s="1"/>
      <c r="J30" s="1"/>
      <c r="K30" s="1"/>
      <c r="L30" s="1"/>
      <c r="M30" s="1"/>
      <c r="N30" s="18"/>
    </row>
    <row r="31" spans="2:14" ht="15.75" customHeight="1" x14ac:dyDescent="0.25">
      <c r="B31" s="20"/>
      <c r="C31" s="9" t="s">
        <v>11</v>
      </c>
      <c r="D31" s="10"/>
      <c r="E31" s="13">
        <v>1</v>
      </c>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29" t="s">
        <v>137</v>
      </c>
      <c r="D33" s="29"/>
      <c r="E33" s="103">
        <v>0.58455000000000001</v>
      </c>
      <c r="F33" s="1"/>
      <c r="G33" s="1"/>
      <c r="H33" s="1"/>
      <c r="I33" s="1"/>
      <c r="J33" s="1"/>
      <c r="K33" s="1"/>
      <c r="L33" s="1"/>
      <c r="M33" s="1"/>
      <c r="N33" s="18"/>
    </row>
    <row r="34" spans="2:14" ht="15" customHeight="1" x14ac:dyDescent="0.25">
      <c r="B34" s="20"/>
      <c r="F34" s="1"/>
      <c r="G34" s="1"/>
      <c r="H34" s="1"/>
      <c r="I34" s="1"/>
      <c r="J34" s="1"/>
      <c r="K34" s="1"/>
      <c r="L34" s="1"/>
      <c r="M34" s="1"/>
      <c r="N34" s="18"/>
    </row>
    <row r="35" spans="2:14" ht="15" customHeight="1" x14ac:dyDescent="0.25">
      <c r="B35" s="20"/>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8" t="s">
        <v>286</v>
      </c>
      <c r="C45" s="69"/>
      <c r="D45" s="69"/>
      <c r="E45" s="69"/>
      <c r="F45" s="69"/>
      <c r="G45" s="69"/>
      <c r="H45" s="69"/>
      <c r="I45" s="69"/>
      <c r="J45" s="69"/>
      <c r="K45" s="69"/>
      <c r="L45" s="69"/>
      <c r="M45" s="69"/>
      <c r="N45" s="70"/>
    </row>
    <row r="46" spans="2:14" ht="15" customHeight="1" x14ac:dyDescent="0.25">
      <c r="B46" s="71"/>
      <c r="C46" s="72"/>
      <c r="D46" s="72"/>
      <c r="E46" s="72"/>
      <c r="F46" s="72"/>
      <c r="G46" s="72"/>
      <c r="H46" s="72"/>
      <c r="I46" s="72"/>
      <c r="J46" s="72"/>
      <c r="K46" s="72"/>
      <c r="L46" s="72"/>
      <c r="M46" s="72"/>
      <c r="N46" s="73"/>
    </row>
    <row r="47" spans="2:14" ht="15" customHeight="1" x14ac:dyDescent="0.25">
      <c r="B47" s="71"/>
      <c r="C47" s="72"/>
      <c r="D47" s="72"/>
      <c r="E47" s="72"/>
      <c r="F47" s="72"/>
      <c r="G47" s="72"/>
      <c r="H47" s="72"/>
      <c r="I47" s="72"/>
      <c r="J47" s="72"/>
      <c r="K47" s="72"/>
      <c r="L47" s="72"/>
      <c r="M47" s="72"/>
      <c r="N47" s="73"/>
    </row>
    <row r="48" spans="2:14" ht="15" customHeight="1" thickBot="1" x14ac:dyDescent="0.3">
      <c r="B48" s="74"/>
      <c r="C48" s="75"/>
      <c r="D48" s="75"/>
      <c r="E48" s="75"/>
      <c r="F48" s="75"/>
      <c r="G48" s="75"/>
      <c r="H48" s="75"/>
      <c r="I48" s="75"/>
      <c r="J48" s="75"/>
      <c r="K48" s="75"/>
      <c r="L48" s="75"/>
      <c r="M48" s="75"/>
      <c r="N48" s="76"/>
    </row>
    <row r="49" spans="2:14" ht="15" customHeight="1" thickBot="1" x14ac:dyDescent="0.3"/>
    <row r="50" spans="2:14" ht="68.25" customHeight="1" thickBot="1" x14ac:dyDescent="0.3">
      <c r="B50" s="85" t="s">
        <v>293</v>
      </c>
      <c r="C50" s="86"/>
      <c r="D50" s="86"/>
      <c r="E50" s="86"/>
      <c r="F50" s="86"/>
      <c r="G50" s="86"/>
      <c r="H50" s="86"/>
      <c r="I50" s="86"/>
      <c r="J50" s="86"/>
      <c r="K50" s="86"/>
      <c r="L50" s="86"/>
      <c r="M50" s="86"/>
      <c r="N50" s="87"/>
    </row>
    <row r="51" spans="2:14" ht="15" customHeight="1" x14ac:dyDescent="0.25"/>
    <row r="52" spans="2:14" ht="15.75" thickBot="1" x14ac:dyDescent="0.3"/>
    <row r="53" spans="2:14" ht="134.25" customHeight="1" thickBot="1" x14ac:dyDescent="0.3">
      <c r="B53" s="85" t="s">
        <v>292</v>
      </c>
      <c r="C53" s="86"/>
      <c r="D53" s="86"/>
      <c r="E53" s="86"/>
      <c r="F53" s="86"/>
      <c r="G53" s="86"/>
      <c r="H53" s="86"/>
      <c r="I53" s="86"/>
      <c r="J53" s="86"/>
      <c r="K53" s="86"/>
      <c r="L53" s="86"/>
      <c r="M53" s="86"/>
      <c r="N53" s="87"/>
    </row>
  </sheetData>
  <mergeCells count="8">
    <mergeCell ref="B45:N48"/>
    <mergeCell ref="B53:N53"/>
    <mergeCell ref="B50:N50"/>
    <mergeCell ref="C3:N3"/>
    <mergeCell ref="D5:E5"/>
    <mergeCell ref="G7:N7"/>
    <mergeCell ref="G24:K24"/>
    <mergeCell ref="G26:N26"/>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2008A-28E2-4C1B-A378-EC4D76B59A59}">
  <dimension ref="B1:N52"/>
  <sheetViews>
    <sheetView showGridLines="0" zoomScale="75"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7" t="s">
        <v>94</v>
      </c>
      <c r="D3" s="78"/>
      <c r="E3" s="78"/>
      <c r="F3" s="78"/>
      <c r="G3" s="78"/>
      <c r="H3" s="78"/>
      <c r="I3" s="78"/>
      <c r="J3" s="78"/>
      <c r="K3" s="78"/>
      <c r="L3" s="78"/>
      <c r="M3" s="78"/>
      <c r="N3" s="79"/>
    </row>
    <row r="4" spans="2:14" ht="15.75" customHeight="1" x14ac:dyDescent="0.25">
      <c r="B4" s="20"/>
      <c r="C4" s="14"/>
      <c r="D4" s="1"/>
      <c r="E4" s="1"/>
      <c r="F4" s="1"/>
      <c r="G4" s="1"/>
      <c r="H4" s="1"/>
      <c r="I4" s="1"/>
      <c r="J4" s="1"/>
      <c r="K4" s="1"/>
      <c r="L4" s="1"/>
      <c r="M4" s="1"/>
      <c r="N4" s="18"/>
    </row>
    <row r="5" spans="2:14" ht="18" customHeight="1" x14ac:dyDescent="0.25">
      <c r="B5" s="20"/>
      <c r="C5" s="15" t="s">
        <v>1</v>
      </c>
      <c r="D5" s="80" t="s">
        <v>95</v>
      </c>
      <c r="E5" s="8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2" t="s">
        <v>16</v>
      </c>
      <c r="H7" s="83"/>
      <c r="I7" s="83"/>
      <c r="J7" s="83"/>
      <c r="K7" s="83"/>
      <c r="L7" s="83"/>
      <c r="M7" s="83"/>
      <c r="N7" s="84"/>
    </row>
    <row r="8" spans="2:14" ht="15" customHeight="1" x14ac:dyDescent="0.25">
      <c r="B8" s="20"/>
      <c r="C8" s="5" t="s">
        <v>96</v>
      </c>
      <c r="D8" s="6" t="s">
        <v>97</v>
      </c>
      <c r="E8" s="11">
        <v>0.10084700000000001</v>
      </c>
      <c r="F8" s="1"/>
      <c r="G8" s="24" t="s">
        <v>107</v>
      </c>
      <c r="H8" s="28">
        <v>0.544987</v>
      </c>
      <c r="I8" s="1"/>
      <c r="J8" s="24" t="s">
        <v>12</v>
      </c>
      <c r="K8" s="24" t="s">
        <v>5</v>
      </c>
      <c r="L8" s="1"/>
      <c r="M8" s="1"/>
      <c r="N8" s="18"/>
    </row>
    <row r="9" spans="2:14" ht="15" customHeight="1" x14ac:dyDescent="0.25">
      <c r="B9" s="20"/>
      <c r="C9" s="5" t="s">
        <v>98</v>
      </c>
      <c r="D9" s="6" t="s">
        <v>97</v>
      </c>
      <c r="E9" s="11">
        <v>0.100138</v>
      </c>
      <c r="F9" s="1"/>
      <c r="G9" s="24" t="s">
        <v>15</v>
      </c>
      <c r="H9" s="28">
        <v>0.41160200000000002</v>
      </c>
      <c r="I9" s="1"/>
      <c r="J9" s="24" t="s">
        <v>10</v>
      </c>
      <c r="K9" s="28">
        <v>3.4595000000000001E-2</v>
      </c>
      <c r="L9" s="1"/>
      <c r="M9" s="1"/>
      <c r="N9" s="18"/>
    </row>
    <row r="10" spans="2:14" ht="15" customHeight="1" x14ac:dyDescent="0.25">
      <c r="B10" s="20"/>
      <c r="C10" s="5" t="s">
        <v>99</v>
      </c>
      <c r="D10" s="6" t="s">
        <v>97</v>
      </c>
      <c r="E10" s="11">
        <v>7.6383000000000006E-2</v>
      </c>
      <c r="F10" s="1"/>
      <c r="G10" s="24" t="s">
        <v>108</v>
      </c>
      <c r="H10" s="28">
        <v>4.3410999999999998E-2</v>
      </c>
      <c r="I10" s="1"/>
      <c r="J10" s="24" t="s">
        <v>13</v>
      </c>
      <c r="K10" s="28">
        <v>3.8406999999999997E-2</v>
      </c>
      <c r="L10" s="1"/>
      <c r="M10" s="1"/>
      <c r="N10" s="18"/>
    </row>
    <row r="11" spans="2:14" ht="15" customHeight="1" x14ac:dyDescent="0.25">
      <c r="B11" s="20"/>
      <c r="C11" s="5" t="s">
        <v>100</v>
      </c>
      <c r="D11" s="6" t="s">
        <v>97</v>
      </c>
      <c r="E11" s="11">
        <v>7.3885000000000006E-2</v>
      </c>
      <c r="F11" s="1"/>
      <c r="G11" s="1"/>
      <c r="H11" s="1"/>
      <c r="I11" s="1"/>
      <c r="J11" s="24" t="s">
        <v>53</v>
      </c>
      <c r="K11" s="28">
        <v>0.58839799999999998</v>
      </c>
      <c r="L11" s="1"/>
      <c r="M11" s="1"/>
      <c r="N11" s="18"/>
    </row>
    <row r="12" spans="2:14" ht="15" customHeight="1" x14ac:dyDescent="0.25">
      <c r="B12" s="20"/>
      <c r="C12" s="5" t="s">
        <v>101</v>
      </c>
      <c r="D12" s="6" t="s">
        <v>97</v>
      </c>
      <c r="E12" s="11">
        <v>5.2083999999999998E-2</v>
      </c>
      <c r="F12" s="1"/>
      <c r="G12" s="1"/>
      <c r="H12" s="1"/>
      <c r="I12" s="1"/>
      <c r="J12" s="24" t="s">
        <v>45</v>
      </c>
      <c r="K12" s="28">
        <v>3.6129999999999999E-3</v>
      </c>
      <c r="L12" s="1"/>
      <c r="M12" s="1"/>
      <c r="N12" s="18"/>
    </row>
    <row r="13" spans="2:14" ht="15" customHeight="1" x14ac:dyDescent="0.25">
      <c r="B13" s="20"/>
      <c r="C13" s="5" t="s">
        <v>102</v>
      </c>
      <c r="D13" s="6" t="s">
        <v>97</v>
      </c>
      <c r="E13" s="11">
        <v>5.0569000000000003E-2</v>
      </c>
      <c r="F13" s="1"/>
      <c r="G13" s="1"/>
      <c r="H13" s="1"/>
      <c r="I13" s="1"/>
      <c r="J13" s="24" t="s">
        <v>55</v>
      </c>
      <c r="K13" s="28">
        <v>0.26214399999999999</v>
      </c>
      <c r="L13" s="1"/>
      <c r="M13" s="1"/>
      <c r="N13" s="18"/>
    </row>
    <row r="14" spans="2:14" ht="15" customHeight="1" x14ac:dyDescent="0.25">
      <c r="B14" s="20"/>
      <c r="C14" s="5" t="s">
        <v>291</v>
      </c>
      <c r="D14" s="6" t="s">
        <v>103</v>
      </c>
      <c r="E14" s="11">
        <v>4.3410999999999998E-2</v>
      </c>
      <c r="F14" s="1"/>
      <c r="G14" s="1"/>
      <c r="H14" s="1"/>
      <c r="I14" s="1"/>
      <c r="J14" s="24" t="s">
        <v>71</v>
      </c>
      <c r="K14" s="28">
        <v>7.2843000000000005E-2</v>
      </c>
      <c r="L14" s="1"/>
      <c r="M14" s="1"/>
      <c r="N14" s="18"/>
    </row>
    <row r="15" spans="2:14" ht="15" customHeight="1" x14ac:dyDescent="0.25">
      <c r="B15" s="20"/>
      <c r="C15" s="5" t="s">
        <v>290</v>
      </c>
      <c r="D15" s="6" t="s">
        <v>97</v>
      </c>
      <c r="E15" s="11">
        <v>4.0340000000000001E-2</v>
      </c>
      <c r="F15" s="1"/>
      <c r="G15" s="1"/>
      <c r="H15" s="1"/>
      <c r="I15" s="1"/>
      <c r="J15" s="1"/>
      <c r="K15" s="1"/>
      <c r="L15" s="1"/>
      <c r="M15" s="1"/>
      <c r="N15" s="18"/>
    </row>
    <row r="16" spans="2:14" ht="15" customHeight="1" x14ac:dyDescent="0.25">
      <c r="B16" s="20"/>
      <c r="C16" s="5" t="s">
        <v>105</v>
      </c>
      <c r="D16" s="6" t="s">
        <v>97</v>
      </c>
      <c r="E16" s="11">
        <v>3.8087999999999997E-2</v>
      </c>
      <c r="F16" s="1"/>
      <c r="G16" s="1"/>
      <c r="H16" s="1"/>
      <c r="I16" s="1"/>
      <c r="J16" s="1"/>
      <c r="K16" s="1"/>
      <c r="L16" s="1"/>
      <c r="M16" s="1"/>
      <c r="N16" s="18"/>
    </row>
    <row r="17" spans="2:14" ht="15" customHeight="1" x14ac:dyDescent="0.25">
      <c r="B17" s="20"/>
      <c r="C17" s="5" t="s">
        <v>106</v>
      </c>
      <c r="D17" s="6" t="s">
        <v>97</v>
      </c>
      <c r="E17" s="11">
        <v>1.2652999999999999E-2</v>
      </c>
      <c r="F17" s="1"/>
      <c r="G17" s="1"/>
      <c r="H17" s="1"/>
      <c r="I17" s="1"/>
      <c r="J17" s="1"/>
      <c r="K17" s="1"/>
      <c r="L17" s="1"/>
      <c r="M17" s="1"/>
      <c r="N17" s="18"/>
    </row>
    <row r="18" spans="2:14" ht="15.75" customHeight="1" x14ac:dyDescent="0.25">
      <c r="B18" s="20"/>
      <c r="C18" s="7" t="s">
        <v>44</v>
      </c>
      <c r="D18" s="8"/>
      <c r="E18" s="12">
        <v>0.58839799999999998</v>
      </c>
      <c r="F18" s="1"/>
      <c r="G18" s="1"/>
      <c r="H18" s="1"/>
      <c r="I18" s="1"/>
      <c r="J18" s="1"/>
      <c r="K18" s="1"/>
      <c r="L18" s="1"/>
      <c r="M18" s="1"/>
      <c r="N18" s="18"/>
    </row>
    <row r="19" spans="2:14" ht="15" customHeight="1" x14ac:dyDescent="0.25">
      <c r="B19" s="20"/>
      <c r="C19" s="5" t="s">
        <v>45</v>
      </c>
      <c r="D19" s="6"/>
      <c r="E19" s="11">
        <v>3.6129999999999999E-3</v>
      </c>
      <c r="F19" s="1"/>
      <c r="G19" s="1"/>
      <c r="H19" s="1"/>
      <c r="I19" s="1"/>
      <c r="J19" s="1"/>
      <c r="K19" s="1"/>
      <c r="L19" s="1"/>
      <c r="M19" s="1"/>
      <c r="N19" s="18"/>
    </row>
    <row r="20" spans="2:14" ht="15.75" customHeight="1" x14ac:dyDescent="0.25">
      <c r="B20" s="20"/>
      <c r="C20" s="7" t="s">
        <v>46</v>
      </c>
      <c r="D20" s="8"/>
      <c r="E20" s="12">
        <v>3.6129999999999999E-3</v>
      </c>
      <c r="F20" s="1"/>
      <c r="G20" s="1"/>
      <c r="H20" s="1"/>
      <c r="I20" s="1"/>
      <c r="J20" s="1"/>
      <c r="K20" s="1"/>
      <c r="L20" s="1"/>
      <c r="M20" s="1"/>
      <c r="N20" s="18"/>
    </row>
    <row r="21" spans="2:14" ht="15" customHeight="1" x14ac:dyDescent="0.25">
      <c r="B21" s="20"/>
      <c r="C21" s="5" t="s">
        <v>47</v>
      </c>
      <c r="D21" s="6" t="s">
        <v>180</v>
      </c>
      <c r="E21" s="11">
        <v>0.16101499999999999</v>
      </c>
      <c r="F21" s="1"/>
      <c r="G21" s="1"/>
      <c r="H21" s="1"/>
      <c r="I21" s="1"/>
      <c r="J21" s="1"/>
      <c r="K21" s="1"/>
      <c r="L21" s="1"/>
      <c r="M21" s="1"/>
      <c r="N21" s="18"/>
    </row>
    <row r="22" spans="2:14" ht="15" customHeight="1" x14ac:dyDescent="0.25">
      <c r="B22" s="20"/>
      <c r="C22" s="5" t="s">
        <v>63</v>
      </c>
      <c r="D22" s="6" t="s">
        <v>180</v>
      </c>
      <c r="E22" s="11">
        <v>7.5873999999999997E-2</v>
      </c>
      <c r="F22" s="1"/>
      <c r="G22" s="1"/>
      <c r="H22" s="1"/>
      <c r="I22" s="1"/>
      <c r="J22" s="1"/>
      <c r="K22" s="1"/>
      <c r="L22" s="1"/>
      <c r="M22" s="1"/>
      <c r="N22" s="18"/>
    </row>
    <row r="23" spans="2:14" ht="15" customHeight="1" x14ac:dyDescent="0.25">
      <c r="B23" s="20"/>
      <c r="C23" s="5" t="s">
        <v>60</v>
      </c>
      <c r="D23" s="6" t="s">
        <v>180</v>
      </c>
      <c r="E23" s="11">
        <v>2.5255E-2</v>
      </c>
      <c r="F23" s="1"/>
      <c r="G23" s="1"/>
      <c r="H23" s="1"/>
      <c r="I23" s="1"/>
      <c r="J23" s="1"/>
      <c r="K23" s="1"/>
      <c r="L23" s="1"/>
      <c r="M23" s="1"/>
      <c r="N23" s="18"/>
    </row>
    <row r="24" spans="2:14" ht="15.75" customHeight="1" x14ac:dyDescent="0.25">
      <c r="B24" s="20"/>
      <c r="C24" s="7" t="s">
        <v>50</v>
      </c>
      <c r="D24" s="8"/>
      <c r="E24" s="12">
        <v>0.26214399999999999</v>
      </c>
      <c r="F24" s="1"/>
      <c r="G24" s="82" t="s">
        <v>17</v>
      </c>
      <c r="H24" s="83"/>
      <c r="I24" s="83"/>
      <c r="J24" s="83"/>
      <c r="K24" s="83"/>
      <c r="L24" s="67">
        <v>11.026377697906629</v>
      </c>
      <c r="M24" s="26"/>
      <c r="N24" s="27"/>
    </row>
    <row r="25" spans="2:14" ht="15" customHeight="1" x14ac:dyDescent="0.25">
      <c r="B25" s="20"/>
      <c r="C25" s="5" t="s">
        <v>287</v>
      </c>
      <c r="D25" s="6" t="s">
        <v>69</v>
      </c>
      <c r="E25" s="11">
        <v>7.2843000000000005E-2</v>
      </c>
      <c r="F25" s="1"/>
      <c r="G25" s="1"/>
      <c r="H25" s="1"/>
      <c r="I25" s="1"/>
      <c r="J25" s="1"/>
      <c r="K25" s="1"/>
      <c r="L25" s="1"/>
      <c r="M25" s="1"/>
      <c r="N25" s="18"/>
    </row>
    <row r="26" spans="2:14" ht="15.75" customHeight="1" x14ac:dyDescent="0.25">
      <c r="B26" s="20"/>
      <c r="C26" s="7" t="s">
        <v>70</v>
      </c>
      <c r="D26" s="8"/>
      <c r="E26" s="12">
        <v>7.2843000000000005E-2</v>
      </c>
      <c r="F26" s="1"/>
      <c r="G26" s="82" t="s">
        <v>18</v>
      </c>
      <c r="H26" s="83"/>
      <c r="I26" s="83"/>
      <c r="J26" s="83"/>
      <c r="K26" s="83"/>
      <c r="L26" s="83"/>
      <c r="M26" s="83"/>
      <c r="N26" s="84"/>
    </row>
    <row r="27" spans="2:14" ht="15" customHeight="1" x14ac:dyDescent="0.25">
      <c r="B27" s="20"/>
      <c r="C27" s="5" t="s">
        <v>8</v>
      </c>
      <c r="D27" s="6"/>
      <c r="E27" s="11">
        <v>3.8406999999999997E-2</v>
      </c>
      <c r="F27" s="1"/>
      <c r="G27" s="1"/>
      <c r="H27" s="1"/>
      <c r="I27" s="1"/>
      <c r="J27" s="1"/>
      <c r="K27" s="1"/>
      <c r="L27" s="1"/>
      <c r="M27" s="1"/>
      <c r="N27" s="18"/>
    </row>
    <row r="28" spans="2:14" ht="15.75" customHeight="1" x14ac:dyDescent="0.25">
      <c r="B28" s="20"/>
      <c r="C28" s="7" t="s">
        <v>9</v>
      </c>
      <c r="D28" s="8"/>
      <c r="E28" s="12">
        <v>3.8406999999999997E-2</v>
      </c>
      <c r="F28" s="1"/>
      <c r="G28" s="1"/>
      <c r="H28" s="1"/>
      <c r="I28" s="1"/>
      <c r="J28" s="1"/>
      <c r="K28" s="1"/>
      <c r="L28" s="1"/>
      <c r="M28" s="1"/>
      <c r="N28" s="18"/>
    </row>
    <row r="29" spans="2:14" ht="15" customHeight="1" x14ac:dyDescent="0.25">
      <c r="B29" s="20"/>
      <c r="C29" s="5"/>
      <c r="D29" s="6"/>
      <c r="E29" s="11"/>
      <c r="F29" s="1"/>
      <c r="G29" s="1"/>
      <c r="H29" s="1"/>
      <c r="I29" s="1"/>
      <c r="J29" s="1"/>
      <c r="K29" s="1"/>
      <c r="L29" s="1"/>
      <c r="M29" s="1"/>
      <c r="N29" s="18"/>
    </row>
    <row r="30" spans="2:14" ht="15.75" customHeight="1" x14ac:dyDescent="0.25">
      <c r="B30" s="20"/>
      <c r="C30" s="7" t="s">
        <v>10</v>
      </c>
      <c r="D30" s="8"/>
      <c r="E30" s="12">
        <v>3.4595000000000001E-2</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 customHeight="1" x14ac:dyDescent="0.25">
      <c r="B32" s="20"/>
      <c r="C32" s="9" t="s">
        <v>11</v>
      </c>
      <c r="D32" s="10"/>
      <c r="E32" s="13">
        <v>1</v>
      </c>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t="s">
        <v>288</v>
      </c>
      <c r="D34" s="1"/>
      <c r="E34" s="1"/>
      <c r="F34" s="1"/>
      <c r="G34" s="1"/>
      <c r="H34" s="1"/>
      <c r="I34" s="1"/>
      <c r="J34" s="1"/>
      <c r="K34" s="1"/>
      <c r="L34" s="1"/>
      <c r="M34" s="1"/>
      <c r="N34" s="18"/>
    </row>
    <row r="35" spans="2:14" ht="15" customHeight="1" x14ac:dyDescent="0.25">
      <c r="B35" s="20"/>
      <c r="C35" s="1" t="s">
        <v>289</v>
      </c>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8" t="s">
        <v>286</v>
      </c>
      <c r="C45" s="69"/>
      <c r="D45" s="69"/>
      <c r="E45" s="69"/>
      <c r="F45" s="69"/>
      <c r="G45" s="69"/>
      <c r="H45" s="69"/>
      <c r="I45" s="69"/>
      <c r="J45" s="69"/>
      <c r="K45" s="69"/>
      <c r="L45" s="69"/>
      <c r="M45" s="69"/>
      <c r="N45" s="70"/>
    </row>
    <row r="46" spans="2:14" ht="15" customHeight="1" x14ac:dyDescent="0.25">
      <c r="B46" s="71"/>
      <c r="C46" s="72"/>
      <c r="D46" s="72"/>
      <c r="E46" s="72"/>
      <c r="F46" s="72"/>
      <c r="G46" s="72"/>
      <c r="H46" s="72"/>
      <c r="I46" s="72"/>
      <c r="J46" s="72"/>
      <c r="K46" s="72"/>
      <c r="L46" s="72"/>
      <c r="M46" s="72"/>
      <c r="N46" s="73"/>
    </row>
    <row r="47" spans="2:14" ht="15" customHeight="1" x14ac:dyDescent="0.25">
      <c r="B47" s="71"/>
      <c r="C47" s="72"/>
      <c r="D47" s="72"/>
      <c r="E47" s="72"/>
      <c r="F47" s="72"/>
      <c r="G47" s="72"/>
      <c r="H47" s="72"/>
      <c r="I47" s="72"/>
      <c r="J47" s="72"/>
      <c r="K47" s="72"/>
      <c r="L47" s="72"/>
      <c r="M47" s="72"/>
      <c r="N47" s="73"/>
    </row>
    <row r="48" spans="2:14" ht="15" customHeight="1" thickBot="1" x14ac:dyDescent="0.3">
      <c r="B48" s="74"/>
      <c r="C48" s="75"/>
      <c r="D48" s="75"/>
      <c r="E48" s="75"/>
      <c r="F48" s="75"/>
      <c r="G48" s="75"/>
      <c r="H48" s="75"/>
      <c r="I48" s="75"/>
      <c r="J48" s="75"/>
      <c r="K48" s="75"/>
      <c r="L48" s="75"/>
      <c r="M48" s="75"/>
      <c r="N48" s="76"/>
    </row>
    <row r="49" spans="2:14" ht="15" customHeight="1" thickBot="1" x14ac:dyDescent="0.3"/>
    <row r="50" spans="2:14" ht="133.5" customHeight="1" thickBot="1" x14ac:dyDescent="0.3">
      <c r="B50" s="85" t="s">
        <v>292</v>
      </c>
      <c r="C50" s="86"/>
      <c r="D50" s="86"/>
      <c r="E50" s="86"/>
      <c r="F50" s="86"/>
      <c r="G50" s="86"/>
      <c r="H50" s="86"/>
      <c r="I50" s="86"/>
      <c r="J50" s="86"/>
      <c r="K50" s="86"/>
      <c r="L50" s="86"/>
      <c r="M50" s="86"/>
      <c r="N50" s="87"/>
    </row>
    <row r="51" spans="2:14" ht="15" customHeight="1" x14ac:dyDescent="0.25"/>
    <row r="52" spans="2:14" ht="15" customHeight="1" x14ac:dyDescent="0.25"/>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6939E-768C-4CD1-BEE7-0BFFDB3F42D2}">
  <dimension ref="B1:N45"/>
  <sheetViews>
    <sheetView showGridLines="0" zoomScale="75"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7" t="s">
        <v>141</v>
      </c>
      <c r="D3" s="78"/>
      <c r="E3" s="78"/>
      <c r="F3" s="78"/>
      <c r="G3" s="78"/>
      <c r="H3" s="78"/>
      <c r="I3" s="78"/>
      <c r="J3" s="78"/>
      <c r="K3" s="78"/>
      <c r="L3" s="78"/>
      <c r="M3" s="78"/>
      <c r="N3" s="79"/>
    </row>
    <row r="4" spans="2:14" ht="15.75" customHeight="1" x14ac:dyDescent="0.25">
      <c r="B4" s="20"/>
      <c r="C4" s="14"/>
      <c r="D4" s="1"/>
      <c r="E4" s="1"/>
      <c r="F4" s="1"/>
      <c r="G4" s="1"/>
      <c r="H4" s="1"/>
      <c r="I4" s="1"/>
      <c r="J4" s="1"/>
      <c r="K4" s="1"/>
      <c r="L4" s="1"/>
      <c r="M4" s="1"/>
      <c r="N4" s="18"/>
    </row>
    <row r="5" spans="2:14" ht="18" customHeight="1" x14ac:dyDescent="0.25">
      <c r="B5" s="20"/>
      <c r="C5" s="15" t="s">
        <v>1</v>
      </c>
      <c r="D5" s="80" t="s">
        <v>142</v>
      </c>
      <c r="E5" s="8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2" t="s">
        <v>16</v>
      </c>
      <c r="H7" s="83"/>
      <c r="I7" s="83"/>
      <c r="J7" s="83"/>
      <c r="K7" s="83"/>
      <c r="L7" s="83"/>
      <c r="M7" s="83"/>
      <c r="N7" s="84"/>
    </row>
    <row r="8" spans="2:14" ht="15" customHeight="1" x14ac:dyDescent="0.25">
      <c r="B8" s="20"/>
      <c r="C8" s="5" t="s">
        <v>59</v>
      </c>
      <c r="D8" s="6" t="s">
        <v>180</v>
      </c>
      <c r="E8" s="11">
        <v>0.96010300000000004</v>
      </c>
      <c r="F8" s="1"/>
      <c r="G8" s="24" t="s">
        <v>15</v>
      </c>
      <c r="H8" s="25">
        <v>1</v>
      </c>
      <c r="I8" s="1"/>
      <c r="J8" s="24" t="s">
        <v>12</v>
      </c>
      <c r="K8" s="24" t="s">
        <v>5</v>
      </c>
      <c r="L8" s="1"/>
      <c r="M8" s="1"/>
      <c r="N8" s="18"/>
    </row>
    <row r="9" spans="2:14" ht="15" customHeight="1" x14ac:dyDescent="0.25">
      <c r="B9" s="20"/>
      <c r="C9" s="5" t="s">
        <v>77</v>
      </c>
      <c r="D9" s="6" t="s">
        <v>180</v>
      </c>
      <c r="E9" s="11">
        <v>1.1221999999999999E-2</v>
      </c>
      <c r="F9" s="1"/>
      <c r="G9" s="1"/>
      <c r="H9" s="1"/>
      <c r="I9" s="1"/>
      <c r="J9" s="24" t="s">
        <v>10</v>
      </c>
      <c r="K9" s="28">
        <v>2.4479000000000001E-2</v>
      </c>
      <c r="L9" s="1"/>
      <c r="M9" s="1"/>
      <c r="N9" s="18"/>
    </row>
    <row r="10" spans="2:14" ht="15" customHeight="1" x14ac:dyDescent="0.25">
      <c r="B10" s="20"/>
      <c r="C10" s="5" t="s">
        <v>63</v>
      </c>
      <c r="D10" s="6" t="s">
        <v>180</v>
      </c>
      <c r="E10" s="11">
        <v>2.8029999999999999E-3</v>
      </c>
      <c r="F10" s="1"/>
      <c r="G10" s="1"/>
      <c r="H10" s="1"/>
      <c r="I10" s="1"/>
      <c r="J10" s="24" t="s">
        <v>13</v>
      </c>
      <c r="K10" s="28">
        <v>1.3489999999999999E-3</v>
      </c>
      <c r="L10" s="1"/>
      <c r="M10" s="1"/>
      <c r="N10" s="18"/>
    </row>
    <row r="11" spans="2:14" ht="15" customHeight="1" x14ac:dyDescent="0.25">
      <c r="B11" s="20"/>
      <c r="C11" s="5" t="s">
        <v>124</v>
      </c>
      <c r="D11" s="6" t="s">
        <v>180</v>
      </c>
      <c r="E11" s="30">
        <v>4.3999999999999999E-5</v>
      </c>
      <c r="F11" s="1"/>
      <c r="G11" s="1"/>
      <c r="H11" s="1"/>
      <c r="I11" s="1"/>
      <c r="J11" s="24" t="s">
        <v>55</v>
      </c>
      <c r="K11" s="28">
        <v>0.97417200000000004</v>
      </c>
      <c r="L11" s="1"/>
      <c r="M11" s="1"/>
      <c r="N11" s="18"/>
    </row>
    <row r="12" spans="2:14" ht="15.75" customHeight="1" x14ac:dyDescent="0.25">
      <c r="B12" s="20"/>
      <c r="C12" s="7" t="s">
        <v>50</v>
      </c>
      <c r="D12" s="8"/>
      <c r="E12" s="12">
        <v>0.97417200000000004</v>
      </c>
      <c r="F12" s="1"/>
      <c r="G12" s="1"/>
      <c r="H12" s="1"/>
      <c r="I12" s="1"/>
      <c r="J12" s="1"/>
      <c r="K12" s="1"/>
      <c r="L12" s="1"/>
      <c r="M12" s="1"/>
      <c r="N12" s="18"/>
    </row>
    <row r="13" spans="2:14" ht="15" customHeight="1" x14ac:dyDescent="0.25">
      <c r="B13" s="20"/>
      <c r="C13" s="5" t="s">
        <v>8</v>
      </c>
      <c r="D13" s="6"/>
      <c r="E13" s="11">
        <v>1.3489999999999999E-3</v>
      </c>
      <c r="F13" s="1"/>
      <c r="G13" s="1"/>
      <c r="H13" s="1"/>
      <c r="I13" s="1"/>
      <c r="J13" s="1"/>
      <c r="K13" s="1"/>
      <c r="L13" s="1"/>
      <c r="M13" s="1"/>
      <c r="N13" s="18"/>
    </row>
    <row r="14" spans="2:14" ht="15.75" customHeight="1" x14ac:dyDescent="0.25">
      <c r="B14" s="20"/>
      <c r="C14" s="7" t="s">
        <v>9</v>
      </c>
      <c r="D14" s="8"/>
      <c r="E14" s="12">
        <v>1.3489999999999999E-3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10</v>
      </c>
      <c r="D16" s="8"/>
      <c r="E16" s="12">
        <v>2.4479000000000001E-2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11</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2" t="s">
        <v>17</v>
      </c>
      <c r="H24" s="83"/>
      <c r="I24" s="83"/>
      <c r="J24" s="83"/>
      <c r="K24" s="83"/>
      <c r="L24" s="65">
        <v>13.551465835802508</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2" t="s">
        <v>18</v>
      </c>
      <c r="H26" s="83"/>
      <c r="I26" s="83"/>
      <c r="J26" s="83"/>
      <c r="K26" s="83"/>
      <c r="L26" s="83"/>
      <c r="M26" s="83"/>
      <c r="N26" s="8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2.75" customHeight="1" thickBot="1" x14ac:dyDescent="0.3">
      <c r="B45" s="85" t="s">
        <v>292</v>
      </c>
      <c r="C45" s="86"/>
      <c r="D45" s="86"/>
      <c r="E45" s="86"/>
      <c r="F45" s="86"/>
      <c r="G45" s="86"/>
      <c r="H45" s="86"/>
      <c r="I45" s="86"/>
      <c r="J45" s="86"/>
      <c r="K45" s="86"/>
      <c r="L45" s="86"/>
      <c r="M45" s="86"/>
      <c r="N45" s="87"/>
    </row>
  </sheetData>
  <mergeCells count="6">
    <mergeCell ref="B45:N45"/>
    <mergeCell ref="C3:N3"/>
    <mergeCell ref="D5:E5"/>
    <mergeCell ref="G7:N7"/>
    <mergeCell ref="G24:K24"/>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A489E-867D-4A90-9645-2117DEBB1267}">
  <dimension ref="B1:N45"/>
  <sheetViews>
    <sheetView showGridLines="0" zoomScale="75"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7" t="s">
        <v>139</v>
      </c>
      <c r="D3" s="78"/>
      <c r="E3" s="78"/>
      <c r="F3" s="78"/>
      <c r="G3" s="78"/>
      <c r="H3" s="78"/>
      <c r="I3" s="78"/>
      <c r="J3" s="78"/>
      <c r="K3" s="78"/>
      <c r="L3" s="78"/>
      <c r="M3" s="78"/>
      <c r="N3" s="79"/>
    </row>
    <row r="4" spans="2:14" ht="15.75" customHeight="1" x14ac:dyDescent="0.25">
      <c r="B4" s="20"/>
      <c r="C4" s="14"/>
      <c r="D4" s="1"/>
      <c r="E4" s="1"/>
      <c r="F4" s="1"/>
      <c r="G4" s="1"/>
      <c r="H4" s="1"/>
      <c r="I4" s="1"/>
      <c r="J4" s="1"/>
      <c r="K4" s="1"/>
      <c r="L4" s="1"/>
      <c r="M4" s="1"/>
      <c r="N4" s="18"/>
    </row>
    <row r="5" spans="2:14" ht="18" customHeight="1" x14ac:dyDescent="0.25">
      <c r="B5" s="20"/>
      <c r="C5" s="15" t="s">
        <v>1</v>
      </c>
      <c r="D5" s="80" t="s">
        <v>140</v>
      </c>
      <c r="E5" s="8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2" t="s">
        <v>16</v>
      </c>
      <c r="H7" s="83"/>
      <c r="I7" s="83"/>
      <c r="J7" s="83"/>
      <c r="K7" s="83"/>
      <c r="L7" s="83"/>
      <c r="M7" s="83"/>
      <c r="N7" s="84"/>
    </row>
    <row r="8" spans="2:14" ht="15" customHeight="1" x14ac:dyDescent="0.25">
      <c r="B8" s="20"/>
      <c r="C8" s="5" t="s">
        <v>59</v>
      </c>
      <c r="D8" s="6" t="s">
        <v>180</v>
      </c>
      <c r="E8" s="11">
        <v>0.70220499999999997</v>
      </c>
      <c r="F8" s="1"/>
      <c r="G8" s="24" t="s">
        <v>15</v>
      </c>
      <c r="H8" s="25">
        <v>1</v>
      </c>
      <c r="I8" s="1"/>
      <c r="J8" s="24" t="s">
        <v>12</v>
      </c>
      <c r="K8" s="24" t="s">
        <v>5</v>
      </c>
      <c r="L8" s="1"/>
      <c r="M8" s="1"/>
      <c r="N8" s="18"/>
    </row>
    <row r="9" spans="2:14" ht="15" customHeight="1" x14ac:dyDescent="0.25">
      <c r="B9" s="20"/>
      <c r="C9" s="5" t="s">
        <v>60</v>
      </c>
      <c r="D9" s="6" t="s">
        <v>180</v>
      </c>
      <c r="E9" s="11">
        <v>0.24759</v>
      </c>
      <c r="F9" s="1"/>
      <c r="G9" s="1"/>
      <c r="H9" s="1"/>
      <c r="I9" s="1"/>
      <c r="J9" s="24" t="s">
        <v>10</v>
      </c>
      <c r="K9" s="28">
        <v>2.0553999999999999E-2</v>
      </c>
      <c r="L9" s="1"/>
      <c r="M9" s="1"/>
      <c r="N9" s="18"/>
    </row>
    <row r="10" spans="2:14" ht="15" customHeight="1" x14ac:dyDescent="0.25">
      <c r="B10" s="20"/>
      <c r="C10" s="5" t="s">
        <v>68</v>
      </c>
      <c r="D10" s="6" t="s">
        <v>180</v>
      </c>
      <c r="E10" s="11">
        <v>7.4099999999999999E-3</v>
      </c>
      <c r="F10" s="1"/>
      <c r="G10" s="1"/>
      <c r="H10" s="1"/>
      <c r="I10" s="1"/>
      <c r="J10" s="24" t="s">
        <v>13</v>
      </c>
      <c r="K10" s="28">
        <v>1.3311999999999999E-2</v>
      </c>
      <c r="L10" s="1"/>
      <c r="M10" s="1"/>
      <c r="N10" s="18"/>
    </row>
    <row r="11" spans="2:14" ht="15" customHeight="1" x14ac:dyDescent="0.25">
      <c r="B11" s="20"/>
      <c r="C11" s="5" t="s">
        <v>64</v>
      </c>
      <c r="D11" s="6" t="s">
        <v>180</v>
      </c>
      <c r="E11" s="11">
        <v>4.9899999999999996E-3</v>
      </c>
      <c r="F11" s="1"/>
      <c r="G11" s="1"/>
      <c r="H11" s="1"/>
      <c r="I11" s="1"/>
      <c r="J11" s="24" t="s">
        <v>55</v>
      </c>
      <c r="K11" s="28">
        <v>0.96613400000000005</v>
      </c>
      <c r="L11" s="1"/>
      <c r="M11" s="1"/>
      <c r="N11" s="18"/>
    </row>
    <row r="12" spans="2:14" ht="15" customHeight="1" x14ac:dyDescent="0.25">
      <c r="B12" s="20"/>
      <c r="C12" s="5" t="s">
        <v>124</v>
      </c>
      <c r="D12" s="6" t="s">
        <v>180</v>
      </c>
      <c r="E12" s="11">
        <v>2.3549999999999999E-3</v>
      </c>
      <c r="F12" s="1"/>
      <c r="G12" s="1"/>
      <c r="H12" s="1"/>
      <c r="I12" s="1"/>
      <c r="J12" s="1"/>
      <c r="K12" s="1"/>
      <c r="L12" s="1"/>
      <c r="M12" s="1"/>
      <c r="N12" s="18"/>
    </row>
    <row r="13" spans="2:14" ht="15" customHeight="1" x14ac:dyDescent="0.25">
      <c r="B13" s="20"/>
      <c r="C13" s="5" t="s">
        <v>111</v>
      </c>
      <c r="D13" s="6" t="s">
        <v>180</v>
      </c>
      <c r="E13" s="11">
        <v>1.5839999999999999E-3</v>
      </c>
      <c r="F13" s="1"/>
      <c r="G13" s="1"/>
      <c r="H13" s="1"/>
      <c r="I13" s="1"/>
      <c r="J13" s="1"/>
      <c r="K13" s="1"/>
      <c r="L13" s="1"/>
      <c r="M13" s="1"/>
      <c r="N13" s="18"/>
    </row>
    <row r="14" spans="2:14" ht="15.75" customHeight="1" x14ac:dyDescent="0.25">
      <c r="B14" s="20"/>
      <c r="C14" s="7" t="s">
        <v>50</v>
      </c>
      <c r="D14" s="8"/>
      <c r="E14" s="12">
        <v>0.96613400000000005</v>
      </c>
      <c r="F14" s="1"/>
      <c r="G14" s="1"/>
      <c r="H14" s="1"/>
      <c r="I14" s="1"/>
      <c r="J14" s="1"/>
      <c r="K14" s="1"/>
      <c r="L14" s="1"/>
      <c r="M14" s="1"/>
      <c r="N14" s="18"/>
    </row>
    <row r="15" spans="2:14" ht="15" customHeight="1" x14ac:dyDescent="0.25">
      <c r="B15" s="20"/>
      <c r="C15" s="5" t="s">
        <v>8</v>
      </c>
      <c r="D15" s="6"/>
      <c r="E15" s="11">
        <v>1.3311999999999999E-2</v>
      </c>
      <c r="F15" s="1"/>
      <c r="G15" s="1"/>
      <c r="H15" s="1"/>
      <c r="I15" s="1"/>
      <c r="J15" s="1"/>
      <c r="K15" s="1"/>
      <c r="L15" s="1"/>
      <c r="M15" s="1"/>
      <c r="N15" s="18"/>
    </row>
    <row r="16" spans="2:14" ht="15.75" customHeight="1" x14ac:dyDescent="0.25">
      <c r="B16" s="20"/>
      <c r="C16" s="7" t="s">
        <v>9</v>
      </c>
      <c r="D16" s="8"/>
      <c r="E16" s="12">
        <v>1.3311999999999999E-2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10</v>
      </c>
      <c r="D18" s="8"/>
      <c r="E18" s="12">
        <v>2.0553999999999999E-2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11</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2" t="s">
        <v>17</v>
      </c>
      <c r="H24" s="83"/>
      <c r="I24" s="83"/>
      <c r="J24" s="83"/>
      <c r="K24" s="83"/>
      <c r="L24" s="67">
        <v>11.247891153293025</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2" t="s">
        <v>18</v>
      </c>
      <c r="H26" s="83"/>
      <c r="I26" s="83"/>
      <c r="J26" s="83"/>
      <c r="K26" s="83"/>
      <c r="L26" s="83"/>
      <c r="M26" s="83"/>
      <c r="N26" s="8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3.5" customHeight="1" thickBot="1" x14ac:dyDescent="0.3">
      <c r="B45" s="85" t="s">
        <v>292</v>
      </c>
      <c r="C45" s="86"/>
      <c r="D45" s="86"/>
      <c r="E45" s="86"/>
      <c r="F45" s="86"/>
      <c r="G45" s="86"/>
      <c r="H45" s="86"/>
      <c r="I45" s="86"/>
      <c r="J45" s="86"/>
      <c r="K45" s="86"/>
      <c r="L45" s="86"/>
      <c r="M45" s="86"/>
      <c r="N45" s="87"/>
    </row>
  </sheetData>
  <mergeCells count="6">
    <mergeCell ref="B45:N45"/>
    <mergeCell ref="C3:N3"/>
    <mergeCell ref="D5:E5"/>
    <mergeCell ref="G7:N7"/>
    <mergeCell ref="G24:K24"/>
    <mergeCell ref="G26:N26"/>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605C-76CF-4D63-AD6A-885F1EFDA0E5}">
  <dimension ref="B1:N45"/>
  <sheetViews>
    <sheetView showGridLines="0" zoomScale="75"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7" t="s">
        <v>117</v>
      </c>
      <c r="D3" s="78"/>
      <c r="E3" s="78"/>
      <c r="F3" s="78"/>
      <c r="G3" s="78"/>
      <c r="H3" s="78"/>
      <c r="I3" s="78"/>
      <c r="J3" s="78"/>
      <c r="K3" s="78"/>
      <c r="L3" s="78"/>
      <c r="M3" s="78"/>
      <c r="N3" s="79"/>
    </row>
    <row r="4" spans="2:14" ht="15.75" customHeight="1" x14ac:dyDescent="0.25">
      <c r="B4" s="20"/>
      <c r="C4" s="14"/>
      <c r="D4" s="1"/>
      <c r="E4" s="1"/>
      <c r="F4" s="1"/>
      <c r="G4" s="1"/>
      <c r="H4" s="1"/>
      <c r="I4" s="1"/>
      <c r="J4" s="1"/>
      <c r="K4" s="1"/>
      <c r="L4" s="1"/>
      <c r="M4" s="1"/>
      <c r="N4" s="18"/>
    </row>
    <row r="5" spans="2:14" ht="18" customHeight="1" x14ac:dyDescent="0.25">
      <c r="B5" s="20"/>
      <c r="C5" s="15" t="s">
        <v>1</v>
      </c>
      <c r="D5" s="80" t="s">
        <v>118</v>
      </c>
      <c r="E5" s="8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2" t="s">
        <v>16</v>
      </c>
      <c r="H7" s="83"/>
      <c r="I7" s="83"/>
      <c r="J7" s="83"/>
      <c r="K7" s="83"/>
      <c r="L7" s="83"/>
      <c r="M7" s="83"/>
      <c r="N7" s="84"/>
    </row>
    <row r="8" spans="2:14" ht="15" customHeight="1" x14ac:dyDescent="0.25">
      <c r="B8" s="20"/>
      <c r="C8" s="5" t="s">
        <v>119</v>
      </c>
      <c r="D8" s="6" t="s">
        <v>180</v>
      </c>
      <c r="E8" s="11">
        <v>0.31445299999999998</v>
      </c>
      <c r="F8" s="1"/>
      <c r="G8" s="24" t="s">
        <v>15</v>
      </c>
      <c r="H8" s="25">
        <v>1</v>
      </c>
      <c r="I8" s="1"/>
      <c r="J8" s="24" t="s">
        <v>12</v>
      </c>
      <c r="K8" s="24" t="s">
        <v>5</v>
      </c>
      <c r="L8" s="1"/>
      <c r="M8" s="1"/>
      <c r="N8" s="18"/>
    </row>
    <row r="9" spans="2:14" ht="15" customHeight="1" x14ac:dyDescent="0.25">
      <c r="B9" s="20"/>
      <c r="C9" s="5" t="s">
        <v>49</v>
      </c>
      <c r="D9" s="6" t="s">
        <v>180</v>
      </c>
      <c r="E9" s="11">
        <v>0.30309900000000001</v>
      </c>
      <c r="F9" s="1"/>
      <c r="G9" s="1"/>
      <c r="H9" s="1"/>
      <c r="I9" s="1"/>
      <c r="J9" s="24" t="s">
        <v>10</v>
      </c>
      <c r="K9" s="28">
        <v>1.1487000000000001E-2</v>
      </c>
      <c r="L9" s="1"/>
      <c r="M9" s="1"/>
      <c r="N9" s="18"/>
    </row>
    <row r="10" spans="2:14" ht="15" customHeight="1" x14ac:dyDescent="0.25">
      <c r="B10" s="20"/>
      <c r="C10" s="5" t="s">
        <v>120</v>
      </c>
      <c r="D10" s="6" t="s">
        <v>180</v>
      </c>
      <c r="E10" s="11">
        <v>0.20153699999999999</v>
      </c>
      <c r="F10" s="1"/>
      <c r="G10" s="1"/>
      <c r="H10" s="1"/>
      <c r="I10" s="1"/>
      <c r="J10" s="24" t="s">
        <v>13</v>
      </c>
      <c r="K10" s="28">
        <v>4.7159999999999997E-3</v>
      </c>
      <c r="L10" s="1"/>
      <c r="M10" s="1"/>
      <c r="N10" s="18"/>
    </row>
    <row r="11" spans="2:14" ht="15" customHeight="1" x14ac:dyDescent="0.25">
      <c r="B11" s="20"/>
      <c r="C11" s="5" t="s">
        <v>121</v>
      </c>
      <c r="D11" s="6" t="s">
        <v>180</v>
      </c>
      <c r="E11" s="11">
        <v>0.101466</v>
      </c>
      <c r="F11" s="1"/>
      <c r="G11" s="1"/>
      <c r="H11" s="1"/>
      <c r="I11" s="1"/>
      <c r="J11" s="24" t="s">
        <v>55</v>
      </c>
      <c r="K11" s="28">
        <v>0.98379700000000003</v>
      </c>
      <c r="L11" s="1"/>
      <c r="M11" s="1"/>
      <c r="N11" s="18"/>
    </row>
    <row r="12" spans="2:14" ht="15" customHeight="1" x14ac:dyDescent="0.25">
      <c r="B12" s="20"/>
      <c r="C12" s="5" t="s">
        <v>48</v>
      </c>
      <c r="D12" s="6" t="s">
        <v>180</v>
      </c>
      <c r="E12" s="11">
        <v>6.3242000000000007E-2</v>
      </c>
      <c r="F12" s="1"/>
      <c r="G12" s="1"/>
      <c r="H12" s="1"/>
      <c r="I12" s="1"/>
      <c r="J12" s="1"/>
      <c r="K12" s="1"/>
      <c r="L12" s="1"/>
      <c r="M12" s="1"/>
      <c r="N12" s="18"/>
    </row>
    <row r="13" spans="2:14" ht="15.75" customHeight="1" x14ac:dyDescent="0.25">
      <c r="B13" s="20"/>
      <c r="C13" s="7" t="s">
        <v>50</v>
      </c>
      <c r="D13" s="8"/>
      <c r="E13" s="12">
        <v>0.98379700000000003</v>
      </c>
      <c r="F13" s="1"/>
      <c r="G13" s="1"/>
      <c r="H13" s="1"/>
      <c r="I13" s="1"/>
      <c r="J13" s="1"/>
      <c r="K13" s="1"/>
      <c r="L13" s="1"/>
      <c r="M13" s="1"/>
      <c r="N13" s="18"/>
    </row>
    <row r="14" spans="2:14" ht="15" customHeight="1" x14ac:dyDescent="0.25">
      <c r="B14" s="20"/>
      <c r="C14" s="5" t="s">
        <v>8</v>
      </c>
      <c r="D14" s="6"/>
      <c r="E14" s="11">
        <v>4.7159999999999997E-3</v>
      </c>
      <c r="F14" s="1"/>
      <c r="G14" s="1"/>
      <c r="H14" s="1"/>
      <c r="I14" s="1"/>
      <c r="J14" s="1"/>
      <c r="K14" s="1"/>
      <c r="L14" s="1"/>
      <c r="M14" s="1"/>
      <c r="N14" s="18"/>
    </row>
    <row r="15" spans="2:14" ht="15.75" customHeight="1" x14ac:dyDescent="0.25">
      <c r="B15" s="20"/>
      <c r="C15" s="7" t="s">
        <v>9</v>
      </c>
      <c r="D15" s="8"/>
      <c r="E15" s="12">
        <v>4.7159999999999997E-3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10</v>
      </c>
      <c r="D17" s="8"/>
      <c r="E17" s="12">
        <v>1.1487000000000001E-2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11</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2" t="s">
        <v>17</v>
      </c>
      <c r="H24" s="83"/>
      <c r="I24" s="83"/>
      <c r="J24" s="83"/>
      <c r="K24" s="83"/>
      <c r="L24" s="67">
        <v>2.266225270207348</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2" t="s">
        <v>18</v>
      </c>
      <c r="H26" s="83"/>
      <c r="I26" s="83"/>
      <c r="J26" s="83"/>
      <c r="K26" s="83"/>
      <c r="L26" s="83"/>
      <c r="M26" s="83"/>
      <c r="N26" s="8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5" customHeight="1" thickBot="1" x14ac:dyDescent="0.3">
      <c r="B45" s="85" t="s">
        <v>292</v>
      </c>
      <c r="C45" s="86"/>
      <c r="D45" s="86"/>
      <c r="E45" s="86"/>
      <c r="F45" s="86"/>
      <c r="G45" s="86"/>
      <c r="H45" s="86"/>
      <c r="I45" s="86"/>
      <c r="J45" s="86"/>
      <c r="K45" s="86"/>
      <c r="L45" s="86"/>
      <c r="M45" s="86"/>
      <c r="N45" s="87"/>
    </row>
  </sheetData>
  <mergeCells count="6">
    <mergeCell ref="B45:N45"/>
    <mergeCell ref="C3:N3"/>
    <mergeCell ref="D5:E5"/>
    <mergeCell ref="G7:N7"/>
    <mergeCell ref="G24:K24"/>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C2E6C-8DDE-4C11-97DB-D807C33DCE0B}">
  <dimension ref="B1:N45"/>
  <sheetViews>
    <sheetView showGridLines="0" zoomScale="75"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7" t="s">
        <v>129</v>
      </c>
      <c r="D3" s="78"/>
      <c r="E3" s="78"/>
      <c r="F3" s="78"/>
      <c r="G3" s="78"/>
      <c r="H3" s="78"/>
      <c r="I3" s="78"/>
      <c r="J3" s="78"/>
      <c r="K3" s="78"/>
      <c r="L3" s="78"/>
      <c r="M3" s="78"/>
      <c r="N3" s="79"/>
    </row>
    <row r="4" spans="2:14" ht="15.75" customHeight="1" x14ac:dyDescent="0.25">
      <c r="B4" s="20"/>
      <c r="C4" s="14"/>
      <c r="D4" s="1"/>
      <c r="E4" s="1"/>
      <c r="F4" s="1"/>
      <c r="G4" s="1"/>
      <c r="H4" s="1"/>
      <c r="I4" s="1"/>
      <c r="J4" s="1"/>
      <c r="K4" s="1"/>
      <c r="L4" s="1"/>
      <c r="M4" s="1"/>
      <c r="N4" s="18"/>
    </row>
    <row r="5" spans="2:14" ht="18" customHeight="1" x14ac:dyDescent="0.25">
      <c r="B5" s="20"/>
      <c r="C5" s="15" t="s">
        <v>1</v>
      </c>
      <c r="D5" s="80" t="s">
        <v>130</v>
      </c>
      <c r="E5" s="8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2" t="s">
        <v>16</v>
      </c>
      <c r="H7" s="83"/>
      <c r="I7" s="83"/>
      <c r="J7" s="83"/>
      <c r="K7" s="83"/>
      <c r="L7" s="83"/>
      <c r="M7" s="83"/>
      <c r="N7" s="84"/>
    </row>
    <row r="8" spans="2:14" ht="15" customHeight="1" x14ac:dyDescent="0.25">
      <c r="B8" s="20"/>
      <c r="C8" s="5" t="s">
        <v>47</v>
      </c>
      <c r="D8" s="6" t="s">
        <v>180</v>
      </c>
      <c r="E8" s="11">
        <v>0.730796</v>
      </c>
      <c r="F8" s="1"/>
      <c r="G8" s="24" t="s">
        <v>15</v>
      </c>
      <c r="H8" s="25">
        <v>1</v>
      </c>
      <c r="I8" s="1"/>
      <c r="J8" s="24" t="s">
        <v>12</v>
      </c>
      <c r="K8" s="24" t="s">
        <v>5</v>
      </c>
      <c r="L8" s="1"/>
      <c r="M8" s="1"/>
      <c r="N8" s="18"/>
    </row>
    <row r="9" spans="2:14" ht="15" customHeight="1" x14ac:dyDescent="0.25">
      <c r="B9" s="20"/>
      <c r="C9" s="5" t="s">
        <v>68</v>
      </c>
      <c r="D9" s="6" t="s">
        <v>180</v>
      </c>
      <c r="E9" s="11">
        <v>0.13519700000000001</v>
      </c>
      <c r="F9" s="1"/>
      <c r="G9" s="1"/>
      <c r="H9" s="1"/>
      <c r="I9" s="1"/>
      <c r="J9" s="24" t="s">
        <v>10</v>
      </c>
      <c r="K9" s="28">
        <v>2.7444E-2</v>
      </c>
      <c r="L9" s="1"/>
      <c r="M9" s="1"/>
      <c r="N9" s="18"/>
    </row>
    <row r="10" spans="2:14" ht="15" customHeight="1" x14ac:dyDescent="0.25">
      <c r="B10" s="20"/>
      <c r="C10" s="5" t="s">
        <v>64</v>
      </c>
      <c r="D10" s="6" t="s">
        <v>180</v>
      </c>
      <c r="E10" s="11">
        <v>0.103558</v>
      </c>
      <c r="F10" s="1"/>
      <c r="G10" s="1"/>
      <c r="H10" s="1"/>
      <c r="I10" s="1"/>
      <c r="J10" s="24" t="s">
        <v>13</v>
      </c>
      <c r="K10" s="28">
        <v>3.0049999999999999E-3</v>
      </c>
      <c r="L10" s="1"/>
      <c r="M10" s="1"/>
      <c r="N10" s="18"/>
    </row>
    <row r="11" spans="2:14" ht="15.75" customHeight="1" x14ac:dyDescent="0.25">
      <c r="B11" s="20"/>
      <c r="C11" s="7" t="s">
        <v>50</v>
      </c>
      <c r="D11" s="8"/>
      <c r="E11" s="12">
        <v>0.96955100000000005</v>
      </c>
      <c r="F11" s="1"/>
      <c r="G11" s="1"/>
      <c r="H11" s="1"/>
      <c r="I11" s="1"/>
      <c r="J11" s="24" t="s">
        <v>55</v>
      </c>
      <c r="K11" s="28">
        <v>0.96955100000000005</v>
      </c>
      <c r="L11" s="1"/>
      <c r="M11" s="1"/>
      <c r="N11" s="18"/>
    </row>
    <row r="12" spans="2:14" ht="15" customHeight="1" x14ac:dyDescent="0.25">
      <c r="B12" s="20"/>
      <c r="C12" s="5" t="s">
        <v>8</v>
      </c>
      <c r="D12" s="6"/>
      <c r="E12" s="11">
        <v>3.0049999999999999E-3</v>
      </c>
      <c r="F12" s="1"/>
      <c r="G12" s="1"/>
      <c r="H12" s="1"/>
      <c r="I12" s="1"/>
      <c r="J12" s="1"/>
      <c r="K12" s="1"/>
      <c r="L12" s="1"/>
      <c r="M12" s="1"/>
      <c r="N12" s="18"/>
    </row>
    <row r="13" spans="2:14" ht="15.75" customHeight="1" x14ac:dyDescent="0.25">
      <c r="B13" s="20"/>
      <c r="C13" s="7" t="s">
        <v>9</v>
      </c>
      <c r="D13" s="8"/>
      <c r="E13" s="12">
        <v>3.0049999999999999E-3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10</v>
      </c>
      <c r="D15" s="8"/>
      <c r="E15" s="12">
        <v>2.7444E-2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11</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2" t="s">
        <v>17</v>
      </c>
      <c r="H24" s="83"/>
      <c r="I24" s="83"/>
      <c r="J24" s="83"/>
      <c r="K24" s="83"/>
      <c r="L24" s="65">
        <v>3.4882239819529528</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2" t="s">
        <v>18</v>
      </c>
      <c r="H26" s="83"/>
      <c r="I26" s="83"/>
      <c r="J26" s="83"/>
      <c r="K26" s="83"/>
      <c r="L26" s="83"/>
      <c r="M26" s="83"/>
      <c r="N26" s="8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1.25" customHeight="1" thickBot="1" x14ac:dyDescent="0.3">
      <c r="B45" s="85" t="s">
        <v>292</v>
      </c>
      <c r="C45" s="86"/>
      <c r="D45" s="86"/>
      <c r="E45" s="86"/>
      <c r="F45" s="86"/>
      <c r="G45" s="86"/>
      <c r="H45" s="86"/>
      <c r="I45" s="86"/>
      <c r="J45" s="86"/>
      <c r="K45" s="86"/>
      <c r="L45" s="86"/>
      <c r="M45" s="86"/>
      <c r="N45" s="87"/>
    </row>
  </sheetData>
  <mergeCells count="6">
    <mergeCell ref="B45:N45"/>
    <mergeCell ref="C3:N3"/>
    <mergeCell ref="D5:E5"/>
    <mergeCell ref="G7:N7"/>
    <mergeCell ref="G24:K24"/>
    <mergeCell ref="G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28D31-3C6C-4A59-B4C1-73D403943D06}">
  <dimension ref="B1:N45"/>
  <sheetViews>
    <sheetView showGridLines="0" zoomScale="75"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7" t="s">
        <v>122</v>
      </c>
      <c r="D3" s="78"/>
      <c r="E3" s="78"/>
      <c r="F3" s="78"/>
      <c r="G3" s="78"/>
      <c r="H3" s="78"/>
      <c r="I3" s="78"/>
      <c r="J3" s="78"/>
      <c r="K3" s="78"/>
      <c r="L3" s="78"/>
      <c r="M3" s="78"/>
      <c r="N3" s="79"/>
    </row>
    <row r="4" spans="2:14" ht="15.75" customHeight="1" x14ac:dyDescent="0.25">
      <c r="B4" s="20"/>
      <c r="C4" s="14"/>
      <c r="D4" s="1"/>
      <c r="E4" s="1"/>
      <c r="F4" s="1"/>
      <c r="G4" s="1"/>
      <c r="H4" s="1"/>
      <c r="I4" s="1"/>
      <c r="J4" s="1"/>
      <c r="K4" s="1"/>
      <c r="L4" s="1"/>
      <c r="M4" s="1"/>
      <c r="N4" s="18"/>
    </row>
    <row r="5" spans="2:14" ht="18" customHeight="1" x14ac:dyDescent="0.25">
      <c r="B5" s="20"/>
      <c r="C5" s="15" t="s">
        <v>1</v>
      </c>
      <c r="D5" s="80" t="s">
        <v>123</v>
      </c>
      <c r="E5" s="8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2" t="s">
        <v>16</v>
      </c>
      <c r="H7" s="83"/>
      <c r="I7" s="83"/>
      <c r="J7" s="83"/>
      <c r="K7" s="83"/>
      <c r="L7" s="83"/>
      <c r="M7" s="83"/>
      <c r="N7" s="84"/>
    </row>
    <row r="8" spans="2:14" ht="15" customHeight="1" x14ac:dyDescent="0.25">
      <c r="B8" s="20"/>
      <c r="C8" s="5" t="s">
        <v>124</v>
      </c>
      <c r="D8" s="6" t="s">
        <v>180</v>
      </c>
      <c r="E8" s="11">
        <v>0.58198799999999995</v>
      </c>
      <c r="F8" s="1"/>
      <c r="G8" s="24" t="s">
        <v>15</v>
      </c>
      <c r="H8" s="25">
        <v>1</v>
      </c>
      <c r="I8" s="1"/>
      <c r="J8" s="24" t="s">
        <v>12</v>
      </c>
      <c r="K8" s="24" t="s">
        <v>5</v>
      </c>
      <c r="L8" s="1"/>
      <c r="M8" s="1"/>
      <c r="N8" s="18"/>
    </row>
    <row r="9" spans="2:14" ht="15" customHeight="1" x14ac:dyDescent="0.25">
      <c r="B9" s="20"/>
      <c r="C9" s="5" t="s">
        <v>125</v>
      </c>
      <c r="D9" s="6" t="s">
        <v>180</v>
      </c>
      <c r="E9" s="11">
        <v>0.35209200000000002</v>
      </c>
      <c r="F9" s="1"/>
      <c r="G9" s="1"/>
      <c r="H9" s="1"/>
      <c r="I9" s="1"/>
      <c r="J9" s="24" t="s">
        <v>10</v>
      </c>
      <c r="K9" s="28">
        <v>2.3067000000000001E-2</v>
      </c>
      <c r="L9" s="1"/>
      <c r="M9" s="1"/>
      <c r="N9" s="18"/>
    </row>
    <row r="10" spans="2:14" ht="15" customHeight="1" x14ac:dyDescent="0.25">
      <c r="B10" s="20"/>
      <c r="C10" s="5" t="s">
        <v>47</v>
      </c>
      <c r="D10" s="6" t="s">
        <v>180</v>
      </c>
      <c r="E10" s="11">
        <v>3.9308999999999997E-2</v>
      </c>
      <c r="F10" s="1"/>
      <c r="G10" s="1"/>
      <c r="H10" s="1"/>
      <c r="I10" s="1"/>
      <c r="J10" s="24" t="s">
        <v>13</v>
      </c>
      <c r="K10" s="28">
        <v>3.5439999999999998E-3</v>
      </c>
      <c r="L10" s="1"/>
      <c r="M10" s="1"/>
      <c r="N10" s="18"/>
    </row>
    <row r="11" spans="2:14" ht="15.75" customHeight="1" x14ac:dyDescent="0.25">
      <c r="B11" s="20"/>
      <c r="C11" s="7" t="s">
        <v>50</v>
      </c>
      <c r="D11" s="8"/>
      <c r="E11" s="12">
        <v>0.97338899999999995</v>
      </c>
      <c r="F11" s="1"/>
      <c r="G11" s="1"/>
      <c r="H11" s="1"/>
      <c r="I11" s="1"/>
      <c r="J11" s="24" t="s">
        <v>55</v>
      </c>
      <c r="K11" s="28">
        <v>0.97338899999999995</v>
      </c>
      <c r="L11" s="1"/>
      <c r="M11" s="1"/>
      <c r="N11" s="18"/>
    </row>
    <row r="12" spans="2:14" ht="15" customHeight="1" x14ac:dyDescent="0.25">
      <c r="B12" s="20"/>
      <c r="C12" s="5" t="s">
        <v>8</v>
      </c>
      <c r="D12" s="6"/>
      <c r="E12" s="11">
        <v>3.5439999999999998E-3</v>
      </c>
      <c r="F12" s="1"/>
      <c r="G12" s="1"/>
      <c r="H12" s="1"/>
      <c r="I12" s="1"/>
      <c r="J12" s="1"/>
      <c r="K12" s="1"/>
      <c r="L12" s="1"/>
      <c r="M12" s="1"/>
      <c r="N12" s="18"/>
    </row>
    <row r="13" spans="2:14" ht="15.75" customHeight="1" x14ac:dyDescent="0.25">
      <c r="B13" s="20"/>
      <c r="C13" s="7" t="s">
        <v>9</v>
      </c>
      <c r="D13" s="8"/>
      <c r="E13" s="12">
        <v>3.5439999999999998E-3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10</v>
      </c>
      <c r="D15" s="8"/>
      <c r="E15" s="12">
        <v>2.3067000000000001E-2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11</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2" t="s">
        <v>17</v>
      </c>
      <c r="H24" s="83"/>
      <c r="I24" s="83"/>
      <c r="J24" s="83"/>
      <c r="K24" s="83"/>
      <c r="L24" s="67">
        <v>3.9672278887517356</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2" t="s">
        <v>18</v>
      </c>
      <c r="H26" s="83"/>
      <c r="I26" s="83"/>
      <c r="J26" s="83"/>
      <c r="K26" s="83"/>
      <c r="L26" s="83"/>
      <c r="M26" s="83"/>
      <c r="N26" s="8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5.25" customHeight="1" thickBot="1" x14ac:dyDescent="0.3">
      <c r="B45" s="85" t="s">
        <v>292</v>
      </c>
      <c r="C45" s="86"/>
      <c r="D45" s="86"/>
      <c r="E45" s="86"/>
      <c r="F45" s="86"/>
      <c r="G45" s="86"/>
      <c r="H45" s="86"/>
      <c r="I45" s="86"/>
      <c r="J45" s="86"/>
      <c r="K45" s="86"/>
      <c r="L45" s="86"/>
      <c r="M45" s="86"/>
      <c r="N45" s="87"/>
    </row>
  </sheetData>
  <mergeCells count="6">
    <mergeCell ref="B45:N45"/>
    <mergeCell ref="C3:N3"/>
    <mergeCell ref="D5:E5"/>
    <mergeCell ref="G7:N7"/>
    <mergeCell ref="G24:K24"/>
    <mergeCell ref="G26:N2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2574E-077E-4D18-8B55-171C576584C3}">
  <dimension ref="B1:N45"/>
  <sheetViews>
    <sheetView showGridLines="0" zoomScale="75"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7" t="s">
        <v>126</v>
      </c>
      <c r="D3" s="78"/>
      <c r="E3" s="78"/>
      <c r="F3" s="78"/>
      <c r="G3" s="78"/>
      <c r="H3" s="78"/>
      <c r="I3" s="78"/>
      <c r="J3" s="78"/>
      <c r="K3" s="78"/>
      <c r="L3" s="78"/>
      <c r="M3" s="78"/>
      <c r="N3" s="79"/>
    </row>
    <row r="4" spans="2:14" ht="15.75" customHeight="1" x14ac:dyDescent="0.25">
      <c r="B4" s="20"/>
      <c r="C4" s="14"/>
      <c r="D4" s="1"/>
      <c r="E4" s="1"/>
      <c r="F4" s="1"/>
      <c r="G4" s="1"/>
      <c r="H4" s="1"/>
      <c r="I4" s="1"/>
      <c r="J4" s="1"/>
      <c r="K4" s="1"/>
      <c r="L4" s="1"/>
      <c r="M4" s="1"/>
      <c r="N4" s="18"/>
    </row>
    <row r="5" spans="2:14" ht="18" customHeight="1" x14ac:dyDescent="0.25">
      <c r="B5" s="20"/>
      <c r="C5" s="15" t="s">
        <v>1</v>
      </c>
      <c r="D5" s="80" t="s">
        <v>127</v>
      </c>
      <c r="E5" s="8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2" t="s">
        <v>16</v>
      </c>
      <c r="H7" s="83"/>
      <c r="I7" s="83"/>
      <c r="J7" s="83"/>
      <c r="K7" s="83"/>
      <c r="L7" s="83"/>
      <c r="M7" s="83"/>
      <c r="N7" s="84"/>
    </row>
    <row r="8" spans="2:14" ht="15" customHeight="1" x14ac:dyDescent="0.25">
      <c r="B8" s="20"/>
      <c r="C8" s="5" t="s">
        <v>111</v>
      </c>
      <c r="D8" s="6" t="s">
        <v>180</v>
      </c>
      <c r="E8" s="11">
        <v>0.72159099999999998</v>
      </c>
      <c r="F8" s="1"/>
      <c r="G8" s="24" t="s">
        <v>15</v>
      </c>
      <c r="H8" s="25">
        <v>1</v>
      </c>
      <c r="I8" s="1"/>
      <c r="J8" s="24" t="s">
        <v>12</v>
      </c>
      <c r="K8" s="24" t="s">
        <v>5</v>
      </c>
      <c r="L8" s="1"/>
      <c r="M8" s="1"/>
      <c r="N8" s="18"/>
    </row>
    <row r="9" spans="2:14" ht="15" customHeight="1" x14ac:dyDescent="0.25">
      <c r="B9" s="20"/>
      <c r="C9" s="5" t="s">
        <v>62</v>
      </c>
      <c r="D9" s="6" t="s">
        <v>180</v>
      </c>
      <c r="E9" s="11">
        <v>0.24059800000000001</v>
      </c>
      <c r="F9" s="1"/>
      <c r="G9" s="1"/>
      <c r="H9" s="1"/>
      <c r="I9" s="1"/>
      <c r="J9" s="24" t="s">
        <v>10</v>
      </c>
      <c r="K9" s="28">
        <v>2.3876000000000001E-2</v>
      </c>
      <c r="L9" s="1"/>
      <c r="M9" s="1"/>
      <c r="N9" s="18"/>
    </row>
    <row r="10" spans="2:14" ht="15.75" customHeight="1" x14ac:dyDescent="0.25">
      <c r="B10" s="20"/>
      <c r="C10" s="7" t="s">
        <v>50</v>
      </c>
      <c r="D10" s="8"/>
      <c r="E10" s="12">
        <v>0.96218899999999996</v>
      </c>
      <c r="F10" s="1"/>
      <c r="G10" s="1"/>
      <c r="H10" s="1"/>
      <c r="I10" s="1"/>
      <c r="J10" s="24" t="s">
        <v>13</v>
      </c>
      <c r="K10" s="28">
        <v>1.3934999999999999E-2</v>
      </c>
      <c r="L10" s="1"/>
      <c r="M10" s="1"/>
      <c r="N10" s="18"/>
    </row>
    <row r="11" spans="2:14" ht="15" customHeight="1" x14ac:dyDescent="0.25">
      <c r="B11" s="20"/>
      <c r="C11" s="5" t="s">
        <v>8</v>
      </c>
      <c r="D11" s="6"/>
      <c r="E11" s="11">
        <v>1.3934999999999999E-2</v>
      </c>
      <c r="F11" s="1"/>
      <c r="G11" s="1"/>
      <c r="H11" s="1"/>
      <c r="I11" s="1"/>
      <c r="J11" s="24" t="s">
        <v>55</v>
      </c>
      <c r="K11" s="28">
        <v>0.96218899999999996</v>
      </c>
      <c r="L11" s="1"/>
      <c r="M11" s="1"/>
      <c r="N11" s="18"/>
    </row>
    <row r="12" spans="2:14" ht="15.75" customHeight="1" x14ac:dyDescent="0.25">
      <c r="B12" s="20"/>
      <c r="C12" s="7" t="s">
        <v>9</v>
      </c>
      <c r="D12" s="8"/>
      <c r="E12" s="12">
        <v>1.3934999999999999E-2</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10</v>
      </c>
      <c r="D14" s="8"/>
      <c r="E14" s="12">
        <v>2.3876000000000001E-2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11</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2" t="s">
        <v>17</v>
      </c>
      <c r="H24" s="83"/>
      <c r="I24" s="83"/>
      <c r="J24" s="83"/>
      <c r="K24" s="83"/>
      <c r="L24" s="66">
        <v>7.9014708890827716</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2" t="s">
        <v>18</v>
      </c>
      <c r="H26" s="83"/>
      <c r="I26" s="83"/>
      <c r="J26" s="83"/>
      <c r="K26" s="83"/>
      <c r="L26" s="83"/>
      <c r="M26" s="83"/>
      <c r="N26" s="8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0.75" customHeight="1" thickBot="1" x14ac:dyDescent="0.3">
      <c r="B45" s="85" t="s">
        <v>292</v>
      </c>
      <c r="C45" s="86"/>
      <c r="D45" s="86"/>
      <c r="E45" s="86"/>
      <c r="F45" s="86"/>
      <c r="G45" s="86"/>
      <c r="H45" s="86"/>
      <c r="I45" s="86"/>
      <c r="J45" s="86"/>
      <c r="K45" s="86"/>
      <c r="L45" s="86"/>
      <c r="M45" s="86"/>
      <c r="N45" s="87"/>
    </row>
  </sheetData>
  <mergeCells count="6">
    <mergeCell ref="B45:N45"/>
    <mergeCell ref="C3:N3"/>
    <mergeCell ref="D5:E5"/>
    <mergeCell ref="G7:N7"/>
    <mergeCell ref="G24:K24"/>
    <mergeCell ref="G26:N2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E0BBB-E02A-4386-A03B-73FE9B56595E}">
  <dimension ref="B1:N45"/>
  <sheetViews>
    <sheetView showGridLines="0" zoomScale="75"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7" t="s">
        <v>112</v>
      </c>
      <c r="D3" s="78"/>
      <c r="E3" s="78"/>
      <c r="F3" s="78"/>
      <c r="G3" s="78"/>
      <c r="H3" s="78"/>
      <c r="I3" s="78"/>
      <c r="J3" s="78"/>
      <c r="K3" s="78"/>
      <c r="L3" s="78"/>
      <c r="M3" s="78"/>
      <c r="N3" s="79"/>
    </row>
    <row r="4" spans="2:14" ht="15.75" customHeight="1" x14ac:dyDescent="0.25">
      <c r="B4" s="20"/>
      <c r="C4" s="14"/>
      <c r="D4" s="1"/>
      <c r="E4" s="1"/>
      <c r="F4" s="1"/>
      <c r="G4" s="1"/>
      <c r="H4" s="1"/>
      <c r="I4" s="1"/>
      <c r="J4" s="1"/>
      <c r="K4" s="1"/>
      <c r="L4" s="1"/>
      <c r="M4" s="1"/>
      <c r="N4" s="18"/>
    </row>
    <row r="5" spans="2:14" ht="18" customHeight="1" x14ac:dyDescent="0.25">
      <c r="B5" s="20"/>
      <c r="C5" s="15" t="s">
        <v>1</v>
      </c>
      <c r="D5" s="80" t="s">
        <v>113</v>
      </c>
      <c r="E5" s="8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2" t="s">
        <v>16</v>
      </c>
      <c r="H7" s="83"/>
      <c r="I7" s="83"/>
      <c r="J7" s="83"/>
      <c r="K7" s="83"/>
      <c r="L7" s="83"/>
      <c r="M7" s="83"/>
      <c r="N7" s="84"/>
    </row>
    <row r="8" spans="2:14" ht="15" customHeight="1" x14ac:dyDescent="0.25">
      <c r="B8" s="20"/>
      <c r="C8" s="5" t="s">
        <v>114</v>
      </c>
      <c r="D8" s="6" t="s">
        <v>180</v>
      </c>
      <c r="E8" s="11">
        <v>0.13169900000000001</v>
      </c>
      <c r="F8" s="1"/>
      <c r="G8" s="24" t="s">
        <v>15</v>
      </c>
      <c r="H8" s="25">
        <v>1</v>
      </c>
      <c r="I8" s="1"/>
      <c r="J8" s="24" t="s">
        <v>12</v>
      </c>
      <c r="K8" s="24" t="s">
        <v>5</v>
      </c>
      <c r="L8" s="1"/>
      <c r="M8" s="1"/>
      <c r="N8" s="18"/>
    </row>
    <row r="9" spans="2:14" ht="15.75" customHeight="1" x14ac:dyDescent="0.25">
      <c r="B9" s="20"/>
      <c r="C9" s="7" t="s">
        <v>50</v>
      </c>
      <c r="D9" s="8"/>
      <c r="E9" s="12">
        <v>0.13169900000000001</v>
      </c>
      <c r="F9" s="1"/>
      <c r="G9" s="1"/>
      <c r="H9" s="1"/>
      <c r="I9" s="1"/>
      <c r="J9" s="24" t="s">
        <v>10</v>
      </c>
      <c r="K9" s="28">
        <v>1.0331999999999999E-2</v>
      </c>
      <c r="L9" s="1"/>
      <c r="M9" s="1"/>
      <c r="N9" s="18"/>
    </row>
    <row r="10" spans="2:14" ht="15" customHeight="1" x14ac:dyDescent="0.25">
      <c r="B10" s="20"/>
      <c r="C10" s="5" t="s">
        <v>244</v>
      </c>
      <c r="D10" s="6" t="s">
        <v>180</v>
      </c>
      <c r="E10" s="11">
        <v>0.160131</v>
      </c>
      <c r="F10" s="1"/>
      <c r="G10" s="1"/>
      <c r="H10" s="1"/>
      <c r="I10" s="1"/>
      <c r="J10" s="24" t="s">
        <v>13</v>
      </c>
      <c r="K10" s="28">
        <v>4.0135999999999998E-2</v>
      </c>
      <c r="L10" s="1"/>
      <c r="M10" s="1"/>
      <c r="N10" s="18"/>
    </row>
    <row r="11" spans="2:14" ht="15.75" customHeight="1" x14ac:dyDescent="0.25">
      <c r="B11" s="20"/>
      <c r="C11" s="5" t="s">
        <v>239</v>
      </c>
      <c r="D11" s="6" t="s">
        <v>180</v>
      </c>
      <c r="E11" s="11">
        <v>0.13288800000000001</v>
      </c>
      <c r="F11" s="1"/>
      <c r="G11" s="1"/>
      <c r="H11" s="1"/>
      <c r="I11" s="1"/>
      <c r="J11" s="24" t="s">
        <v>55</v>
      </c>
      <c r="K11" s="28">
        <v>0.13169900000000001</v>
      </c>
      <c r="L11" s="1"/>
      <c r="M11" s="1"/>
      <c r="N11" s="18"/>
    </row>
    <row r="12" spans="2:14" ht="15" customHeight="1" x14ac:dyDescent="0.25">
      <c r="B12" s="20"/>
      <c r="C12" s="5" t="s">
        <v>241</v>
      </c>
      <c r="D12" s="6" t="s">
        <v>180</v>
      </c>
      <c r="E12" s="11">
        <v>9.1065999999999994E-2</v>
      </c>
      <c r="F12" s="1"/>
      <c r="G12" s="1"/>
      <c r="H12" s="1"/>
      <c r="I12" s="1"/>
      <c r="J12" s="24" t="s">
        <v>56</v>
      </c>
      <c r="K12" s="28">
        <v>0.81783300000000003</v>
      </c>
      <c r="L12" s="1"/>
      <c r="M12" s="1"/>
      <c r="N12" s="18"/>
    </row>
    <row r="13" spans="2:14" ht="15.75" customHeight="1" x14ac:dyDescent="0.25">
      <c r="B13" s="20"/>
      <c r="C13" s="5" t="s">
        <v>247</v>
      </c>
      <c r="D13" s="6" t="s">
        <v>180</v>
      </c>
      <c r="E13" s="11">
        <v>5.5898000000000003E-2</v>
      </c>
      <c r="F13" s="1"/>
      <c r="G13" s="1"/>
      <c r="H13" s="1"/>
      <c r="I13" s="1"/>
      <c r="J13" s="1"/>
      <c r="K13" s="1"/>
      <c r="L13" s="1"/>
      <c r="M13" s="1"/>
      <c r="N13" s="18"/>
    </row>
    <row r="14" spans="2:14" ht="15" customHeight="1" x14ac:dyDescent="0.25">
      <c r="B14" s="20"/>
      <c r="C14" s="5" t="s">
        <v>237</v>
      </c>
      <c r="D14" s="6" t="s">
        <v>180</v>
      </c>
      <c r="E14" s="11">
        <v>4.5339999999999998E-2</v>
      </c>
      <c r="F14" s="1"/>
      <c r="G14" s="1"/>
      <c r="H14" s="1"/>
      <c r="I14" s="1"/>
      <c r="J14" s="1"/>
      <c r="K14" s="1"/>
      <c r="L14" s="1"/>
      <c r="M14" s="1"/>
      <c r="N14" s="18"/>
    </row>
    <row r="15" spans="2:14" ht="15.75" customHeight="1" x14ac:dyDescent="0.25">
      <c r="B15" s="20"/>
      <c r="C15" s="5" t="s">
        <v>242</v>
      </c>
      <c r="D15" s="6" t="s">
        <v>180</v>
      </c>
      <c r="E15" s="11">
        <v>4.5277999999999999E-2</v>
      </c>
      <c r="F15" s="1"/>
      <c r="G15" s="1"/>
      <c r="H15" s="1"/>
      <c r="I15" s="1"/>
      <c r="J15" s="1"/>
      <c r="K15" s="1"/>
      <c r="L15" s="1"/>
      <c r="M15" s="1"/>
      <c r="N15" s="18"/>
    </row>
    <row r="16" spans="2:14" ht="15" customHeight="1" x14ac:dyDescent="0.25">
      <c r="B16" s="20"/>
      <c r="C16" s="5" t="s">
        <v>236</v>
      </c>
      <c r="D16" s="6" t="s">
        <v>180</v>
      </c>
      <c r="E16" s="11">
        <v>4.5171999999999997E-2</v>
      </c>
      <c r="F16" s="1"/>
      <c r="G16" s="1"/>
      <c r="H16" s="1"/>
      <c r="I16" s="1"/>
      <c r="J16" s="1"/>
      <c r="K16" s="1"/>
      <c r="L16" s="1"/>
      <c r="M16" s="1"/>
      <c r="N16" s="18"/>
    </row>
    <row r="17" spans="2:14" ht="15" customHeight="1" x14ac:dyDescent="0.25">
      <c r="B17" s="20"/>
      <c r="C17" s="5" t="s">
        <v>243</v>
      </c>
      <c r="D17" s="6" t="s">
        <v>180</v>
      </c>
      <c r="E17" s="11">
        <v>3.7116000000000003E-2</v>
      </c>
      <c r="F17" s="1"/>
      <c r="G17" s="1"/>
      <c r="H17" s="1"/>
      <c r="I17" s="1"/>
      <c r="J17" s="1"/>
      <c r="K17" s="1"/>
      <c r="L17" s="1"/>
      <c r="M17" s="1"/>
      <c r="N17" s="18"/>
    </row>
    <row r="18" spans="2:14" ht="15" customHeight="1" x14ac:dyDescent="0.25">
      <c r="B18" s="20"/>
      <c r="C18" s="5" t="s">
        <v>248</v>
      </c>
      <c r="D18" s="6" t="s">
        <v>180</v>
      </c>
      <c r="E18" s="11">
        <v>3.6846999999999998E-2</v>
      </c>
      <c r="F18" s="1"/>
      <c r="G18" s="1"/>
      <c r="H18" s="1"/>
      <c r="I18" s="1"/>
      <c r="J18" s="1"/>
      <c r="K18" s="1"/>
      <c r="L18" s="1"/>
      <c r="M18" s="1"/>
      <c r="N18" s="18"/>
    </row>
    <row r="19" spans="2:14" ht="15" customHeight="1" x14ac:dyDescent="0.25">
      <c r="B19" s="20"/>
      <c r="C19" s="5" t="s">
        <v>245</v>
      </c>
      <c r="D19" s="6" t="s">
        <v>180</v>
      </c>
      <c r="E19" s="11">
        <v>3.6580000000000001E-2</v>
      </c>
      <c r="F19" s="1"/>
      <c r="G19" s="1"/>
      <c r="H19" s="1"/>
      <c r="I19" s="1"/>
      <c r="J19" s="1"/>
      <c r="K19" s="1"/>
      <c r="L19" s="1"/>
      <c r="M19" s="1"/>
      <c r="N19" s="18"/>
    </row>
    <row r="20" spans="2:14" ht="15" customHeight="1" x14ac:dyDescent="0.25">
      <c r="B20" s="20"/>
      <c r="C20" s="5" t="s">
        <v>195</v>
      </c>
      <c r="D20" s="6" t="s">
        <v>180</v>
      </c>
      <c r="E20" s="11">
        <v>3.1865999999999998E-2</v>
      </c>
      <c r="F20" s="1"/>
      <c r="G20" s="1"/>
      <c r="H20" s="1"/>
      <c r="I20" s="1"/>
      <c r="J20" s="1"/>
      <c r="K20" s="1"/>
      <c r="L20" s="1"/>
      <c r="M20" s="1"/>
      <c r="N20" s="18"/>
    </row>
    <row r="21" spans="2:14" ht="15" customHeight="1" x14ac:dyDescent="0.25">
      <c r="B21" s="20"/>
      <c r="C21" s="5" t="s">
        <v>246</v>
      </c>
      <c r="D21" s="6" t="s">
        <v>180</v>
      </c>
      <c r="E21" s="11">
        <v>3.1102999999999999E-2</v>
      </c>
      <c r="F21" s="1"/>
      <c r="G21" s="1"/>
      <c r="H21" s="1"/>
      <c r="I21" s="1"/>
      <c r="J21" s="1"/>
      <c r="K21" s="1"/>
      <c r="L21" s="1"/>
      <c r="M21" s="1"/>
      <c r="N21" s="18"/>
    </row>
    <row r="22" spans="2:14" ht="15" customHeight="1" x14ac:dyDescent="0.25">
      <c r="B22" s="20"/>
      <c r="C22" s="5" t="s">
        <v>235</v>
      </c>
      <c r="D22" s="6" t="s">
        <v>180</v>
      </c>
      <c r="E22" s="11">
        <v>2.2572999999999999E-2</v>
      </c>
      <c r="F22" s="1"/>
      <c r="G22" s="1"/>
      <c r="H22" s="1"/>
      <c r="I22" s="1"/>
      <c r="J22" s="1"/>
      <c r="K22" s="1"/>
      <c r="L22" s="1"/>
      <c r="M22" s="1"/>
      <c r="N22" s="18"/>
    </row>
    <row r="23" spans="2:14" ht="15" customHeight="1" x14ac:dyDescent="0.25">
      <c r="B23" s="20"/>
      <c r="C23" s="5" t="s">
        <v>250</v>
      </c>
      <c r="D23" s="6" t="s">
        <v>180</v>
      </c>
      <c r="E23" s="11">
        <v>1.8114000000000002E-2</v>
      </c>
      <c r="F23" s="1"/>
      <c r="G23" s="1"/>
      <c r="H23" s="1"/>
      <c r="I23" s="1"/>
      <c r="J23" s="1"/>
      <c r="K23" s="1"/>
      <c r="L23" s="1"/>
      <c r="M23" s="1"/>
      <c r="N23" s="18"/>
    </row>
    <row r="24" spans="2:14" ht="15" customHeight="1" x14ac:dyDescent="0.25">
      <c r="B24" s="20"/>
      <c r="C24" s="5" t="s">
        <v>249</v>
      </c>
      <c r="D24" s="6" t="s">
        <v>180</v>
      </c>
      <c r="E24" s="11">
        <v>9.0550000000000005E-3</v>
      </c>
      <c r="F24" s="1"/>
      <c r="G24" s="82" t="s">
        <v>17</v>
      </c>
      <c r="H24" s="83"/>
      <c r="I24" s="83"/>
      <c r="J24" s="83"/>
      <c r="K24" s="83"/>
      <c r="L24" s="67">
        <v>2.7310910851427876</v>
      </c>
      <c r="M24" s="26"/>
      <c r="N24" s="27"/>
    </row>
    <row r="25" spans="2:14" ht="15" customHeight="1" x14ac:dyDescent="0.25">
      <c r="B25" s="20"/>
      <c r="C25" s="5" t="s">
        <v>251</v>
      </c>
      <c r="D25" s="6" t="s">
        <v>180</v>
      </c>
      <c r="E25" s="11">
        <v>9.0489999999999998E-3</v>
      </c>
      <c r="F25" s="1"/>
      <c r="G25" s="1"/>
      <c r="H25" s="1"/>
      <c r="I25" s="1"/>
      <c r="J25" s="1"/>
      <c r="K25" s="1"/>
      <c r="L25" s="1"/>
      <c r="M25" s="1"/>
      <c r="N25" s="18"/>
    </row>
    <row r="26" spans="2:14" ht="15" customHeight="1" x14ac:dyDescent="0.25">
      <c r="B26" s="20"/>
      <c r="C26" s="5" t="s">
        <v>240</v>
      </c>
      <c r="D26" s="6" t="s">
        <v>180</v>
      </c>
      <c r="E26" s="11">
        <v>5.2709999999999996E-3</v>
      </c>
      <c r="F26" s="1"/>
      <c r="G26" s="82" t="s">
        <v>18</v>
      </c>
      <c r="H26" s="83"/>
      <c r="I26" s="83"/>
      <c r="J26" s="83"/>
      <c r="K26" s="83"/>
      <c r="L26" s="83"/>
      <c r="M26" s="83"/>
      <c r="N26" s="84"/>
    </row>
    <row r="27" spans="2:14" ht="15" customHeight="1" x14ac:dyDescent="0.25">
      <c r="B27" s="20"/>
      <c r="C27" s="5" t="s">
        <v>238</v>
      </c>
      <c r="D27" s="6" t="s">
        <v>180</v>
      </c>
      <c r="E27" s="11">
        <v>4.4860000000000004E-3</v>
      </c>
      <c r="F27" s="1"/>
      <c r="G27" s="1"/>
      <c r="H27" s="1"/>
      <c r="I27" s="1"/>
      <c r="J27" s="1"/>
      <c r="K27" s="1"/>
      <c r="L27" s="1"/>
      <c r="M27" s="1"/>
      <c r="N27" s="18"/>
    </row>
    <row r="28" spans="2:14" ht="15" customHeight="1" x14ac:dyDescent="0.25">
      <c r="B28" s="20"/>
      <c r="C28" s="7" t="s">
        <v>51</v>
      </c>
      <c r="D28" s="8"/>
      <c r="E28" s="12">
        <v>0.81783300000000003</v>
      </c>
      <c r="F28" s="1"/>
      <c r="G28" s="1"/>
      <c r="H28" s="1"/>
      <c r="I28" s="1"/>
      <c r="J28" s="1"/>
      <c r="K28" s="1"/>
      <c r="L28" s="1"/>
      <c r="M28" s="1"/>
      <c r="N28" s="18"/>
    </row>
    <row r="29" spans="2:14" ht="15" customHeight="1" x14ac:dyDescent="0.25">
      <c r="B29" s="20"/>
      <c r="C29" s="5" t="s">
        <v>8</v>
      </c>
      <c r="D29" s="6"/>
      <c r="E29" s="11">
        <v>4.0135999999999998E-2</v>
      </c>
      <c r="F29" s="1"/>
      <c r="G29" s="1"/>
      <c r="H29" s="1"/>
      <c r="I29" s="1"/>
      <c r="J29" s="1"/>
      <c r="K29" s="1"/>
      <c r="L29" s="1"/>
      <c r="M29" s="1"/>
      <c r="N29" s="18"/>
    </row>
    <row r="30" spans="2:14" ht="15" customHeight="1" x14ac:dyDescent="0.25">
      <c r="B30" s="20"/>
      <c r="C30" s="7" t="s">
        <v>9</v>
      </c>
      <c r="D30" s="8"/>
      <c r="E30" s="12">
        <v>4.0135999999999998E-2</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 customHeight="1" x14ac:dyDescent="0.25">
      <c r="B32" s="20"/>
      <c r="C32" s="7" t="s">
        <v>10</v>
      </c>
      <c r="D32" s="8"/>
      <c r="E32" s="12">
        <v>1.0331999999999999E-2</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 customHeight="1" x14ac:dyDescent="0.25">
      <c r="B34" s="20"/>
      <c r="C34" s="9" t="s">
        <v>11</v>
      </c>
      <c r="D34" s="10"/>
      <c r="E34" s="13">
        <v>1</v>
      </c>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F41" s="1"/>
      <c r="G41" s="1"/>
      <c r="H41" s="1"/>
      <c r="I41" s="1"/>
      <c r="J41" s="1"/>
      <c r="K41" s="1"/>
      <c r="L41" s="1"/>
      <c r="M41" s="1"/>
      <c r="N41" s="18"/>
    </row>
    <row r="42" spans="2:14" ht="15" customHeight="1" x14ac:dyDescent="0.25">
      <c r="B42" s="20"/>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9.25" customHeight="1" thickBot="1" x14ac:dyDescent="0.3">
      <c r="B45" s="85" t="s">
        <v>292</v>
      </c>
      <c r="C45" s="86"/>
      <c r="D45" s="86"/>
      <c r="E45" s="86"/>
      <c r="F45" s="86"/>
      <c r="G45" s="86"/>
      <c r="H45" s="86"/>
      <c r="I45" s="86"/>
      <c r="J45" s="86"/>
      <c r="K45" s="86"/>
      <c r="L45" s="86"/>
      <c r="M45" s="86"/>
      <c r="N45" s="87"/>
    </row>
  </sheetData>
  <sortState ref="C10:E27">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5AA7F-747B-4AAA-99FF-8C8ED3BC50F1}">
  <dimension ref="B1:N45"/>
  <sheetViews>
    <sheetView showGridLines="0" zoomScale="75"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7" t="s">
        <v>115</v>
      </c>
      <c r="D3" s="78"/>
      <c r="E3" s="78"/>
      <c r="F3" s="78"/>
      <c r="G3" s="78"/>
      <c r="H3" s="78"/>
      <c r="I3" s="78"/>
      <c r="J3" s="78"/>
      <c r="K3" s="78"/>
      <c r="L3" s="78"/>
      <c r="M3" s="78"/>
      <c r="N3" s="79"/>
    </row>
    <row r="4" spans="2:14" ht="15.75" customHeight="1" x14ac:dyDescent="0.25">
      <c r="B4" s="20"/>
      <c r="C4" s="14"/>
      <c r="D4" s="1"/>
      <c r="E4" s="1"/>
      <c r="F4" s="1"/>
      <c r="G4" s="1"/>
      <c r="H4" s="1"/>
      <c r="I4" s="1"/>
      <c r="J4" s="1"/>
      <c r="K4" s="1"/>
      <c r="L4" s="1"/>
      <c r="M4" s="1"/>
      <c r="N4" s="18"/>
    </row>
    <row r="5" spans="2:14" ht="18" customHeight="1" x14ac:dyDescent="0.25">
      <c r="B5" s="20"/>
      <c r="C5" s="15" t="s">
        <v>1</v>
      </c>
      <c r="D5" s="80" t="s">
        <v>116</v>
      </c>
      <c r="E5" s="8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2" t="s">
        <v>16</v>
      </c>
      <c r="H7" s="83"/>
      <c r="I7" s="83"/>
      <c r="J7" s="83"/>
      <c r="K7" s="83"/>
      <c r="L7" s="83"/>
      <c r="M7" s="83"/>
      <c r="N7" s="84"/>
    </row>
    <row r="8" spans="2:14" ht="15" customHeight="1" x14ac:dyDescent="0.25">
      <c r="B8" s="20"/>
      <c r="C8" s="5" t="s">
        <v>47</v>
      </c>
      <c r="D8" s="6" t="s">
        <v>180</v>
      </c>
      <c r="E8" s="11">
        <v>0.182037</v>
      </c>
      <c r="F8" s="1"/>
      <c r="G8" s="24" t="s">
        <v>15</v>
      </c>
      <c r="H8" s="25">
        <v>1</v>
      </c>
      <c r="I8" s="1"/>
      <c r="J8" s="24" t="s">
        <v>12</v>
      </c>
      <c r="K8" s="24" t="s">
        <v>5</v>
      </c>
      <c r="L8" s="1"/>
      <c r="M8" s="1"/>
      <c r="N8" s="18"/>
    </row>
    <row r="9" spans="2:14" ht="15.75" customHeight="1" x14ac:dyDescent="0.25">
      <c r="B9" s="20"/>
      <c r="C9" s="7" t="s">
        <v>50</v>
      </c>
      <c r="D9" s="8"/>
      <c r="E9" s="12">
        <v>0.182037</v>
      </c>
      <c r="F9" s="1"/>
      <c r="G9" s="1"/>
      <c r="H9" s="1"/>
      <c r="I9" s="1"/>
      <c r="J9" s="24" t="s">
        <v>10</v>
      </c>
      <c r="K9" s="28">
        <v>2.213E-2</v>
      </c>
      <c r="L9" s="1"/>
      <c r="M9" s="1"/>
      <c r="N9" s="18"/>
    </row>
    <row r="10" spans="2:14" ht="15" customHeight="1" x14ac:dyDescent="0.25">
      <c r="B10" s="20"/>
      <c r="C10" s="5" t="s">
        <v>254</v>
      </c>
      <c r="D10" s="6" t="s">
        <v>180</v>
      </c>
      <c r="E10" s="11">
        <v>0.17500199999999999</v>
      </c>
      <c r="F10" s="1"/>
      <c r="G10" s="1"/>
      <c r="H10" s="1"/>
      <c r="I10" s="1"/>
      <c r="J10" s="24" t="s">
        <v>13</v>
      </c>
      <c r="K10" s="28">
        <v>2.9689E-2</v>
      </c>
      <c r="L10" s="1"/>
      <c r="M10" s="1"/>
      <c r="N10" s="18"/>
    </row>
    <row r="11" spans="2:14" ht="15.75" customHeight="1" x14ac:dyDescent="0.25">
      <c r="B11" s="20"/>
      <c r="C11" s="5" t="s">
        <v>252</v>
      </c>
      <c r="D11" s="6" t="s">
        <v>180</v>
      </c>
      <c r="E11" s="11">
        <v>0.13223399999999999</v>
      </c>
      <c r="F11" s="1"/>
      <c r="G11" s="1"/>
      <c r="H11" s="1"/>
      <c r="I11" s="1"/>
      <c r="J11" s="24" t="s">
        <v>55</v>
      </c>
      <c r="K11" s="28">
        <v>0.182037</v>
      </c>
      <c r="L11" s="1"/>
      <c r="M11" s="1"/>
      <c r="N11" s="18"/>
    </row>
    <row r="12" spans="2:14" ht="15" customHeight="1" x14ac:dyDescent="0.25">
      <c r="B12" s="20"/>
      <c r="C12" s="5" t="s">
        <v>214</v>
      </c>
      <c r="D12" s="6" t="s">
        <v>180</v>
      </c>
      <c r="E12" s="11">
        <v>0.12288300000000001</v>
      </c>
      <c r="F12" s="1"/>
      <c r="G12" s="1"/>
      <c r="H12" s="1"/>
      <c r="I12" s="1"/>
      <c r="J12" s="24" t="s">
        <v>56</v>
      </c>
      <c r="K12" s="28">
        <v>0.76614400000000005</v>
      </c>
      <c r="L12" s="1"/>
      <c r="M12" s="1"/>
      <c r="N12" s="18"/>
    </row>
    <row r="13" spans="2:14" ht="15.75" customHeight="1" x14ac:dyDescent="0.25">
      <c r="B13" s="20"/>
      <c r="C13" s="5" t="s">
        <v>260</v>
      </c>
      <c r="D13" s="6" t="s">
        <v>180</v>
      </c>
      <c r="E13" s="11">
        <v>0.120481</v>
      </c>
      <c r="F13" s="1"/>
      <c r="G13" s="1"/>
      <c r="H13" s="1"/>
      <c r="I13" s="1"/>
      <c r="J13" s="1"/>
      <c r="K13" s="1"/>
      <c r="L13" s="1"/>
      <c r="M13" s="1"/>
      <c r="N13" s="18"/>
    </row>
    <row r="14" spans="2:14" ht="15" customHeight="1" x14ac:dyDescent="0.25">
      <c r="B14" s="20"/>
      <c r="C14" s="5" t="s">
        <v>257</v>
      </c>
      <c r="D14" s="6" t="s">
        <v>180</v>
      </c>
      <c r="E14" s="11">
        <v>6.0218000000000001E-2</v>
      </c>
      <c r="F14" s="1"/>
      <c r="G14" s="1"/>
      <c r="H14" s="1"/>
      <c r="I14" s="1"/>
      <c r="J14" s="1"/>
      <c r="K14" s="1"/>
      <c r="L14" s="1"/>
      <c r="M14" s="1"/>
      <c r="N14" s="18"/>
    </row>
    <row r="15" spans="2:14" ht="15.75" customHeight="1" x14ac:dyDescent="0.25">
      <c r="B15" s="20"/>
      <c r="C15" s="5" t="s">
        <v>255</v>
      </c>
      <c r="D15" s="6" t="s">
        <v>180</v>
      </c>
      <c r="E15" s="11">
        <v>5.8192000000000001E-2</v>
      </c>
      <c r="F15" s="1"/>
      <c r="G15" s="1"/>
      <c r="H15" s="1"/>
      <c r="I15" s="1"/>
      <c r="J15" s="1"/>
      <c r="K15" s="1"/>
      <c r="L15" s="1"/>
      <c r="M15" s="1"/>
      <c r="N15" s="18"/>
    </row>
    <row r="16" spans="2:14" ht="15" customHeight="1" x14ac:dyDescent="0.25">
      <c r="B16" s="20"/>
      <c r="C16" s="5" t="s">
        <v>256</v>
      </c>
      <c r="D16" s="6" t="s">
        <v>180</v>
      </c>
      <c r="E16" s="11">
        <v>3.6150000000000002E-2</v>
      </c>
      <c r="F16" s="1"/>
      <c r="G16" s="1"/>
      <c r="H16" s="1"/>
      <c r="I16" s="1"/>
      <c r="J16" s="1"/>
      <c r="K16" s="1"/>
      <c r="L16" s="1"/>
      <c r="M16" s="1"/>
      <c r="N16" s="18"/>
    </row>
    <row r="17" spans="2:14" ht="15" customHeight="1" x14ac:dyDescent="0.25">
      <c r="B17" s="20"/>
      <c r="C17" s="5" t="s">
        <v>259</v>
      </c>
      <c r="D17" s="6" t="s">
        <v>180</v>
      </c>
      <c r="E17" s="11">
        <v>3.0061000000000001E-2</v>
      </c>
      <c r="F17" s="1"/>
      <c r="G17" s="1"/>
      <c r="H17" s="1"/>
      <c r="I17" s="1"/>
      <c r="J17" s="1"/>
      <c r="K17" s="1"/>
      <c r="L17" s="1"/>
      <c r="M17" s="1"/>
      <c r="N17" s="18"/>
    </row>
    <row r="18" spans="2:14" ht="15" customHeight="1" x14ac:dyDescent="0.25">
      <c r="B18" s="20"/>
      <c r="C18" s="5" t="s">
        <v>258</v>
      </c>
      <c r="D18" s="6" t="s">
        <v>180</v>
      </c>
      <c r="E18" s="11">
        <v>2.7261000000000001E-2</v>
      </c>
      <c r="F18" s="1"/>
      <c r="G18" s="1"/>
      <c r="H18" s="1"/>
      <c r="I18" s="1"/>
      <c r="J18" s="1"/>
      <c r="K18" s="1"/>
      <c r="L18" s="1"/>
      <c r="M18" s="1"/>
      <c r="N18" s="18"/>
    </row>
    <row r="19" spans="2:14" ht="15" customHeight="1" x14ac:dyDescent="0.25">
      <c r="B19" s="20"/>
      <c r="C19" s="5" t="s">
        <v>253</v>
      </c>
      <c r="D19" s="6" t="s">
        <v>180</v>
      </c>
      <c r="E19" s="11">
        <v>3.6619999999999999E-3</v>
      </c>
      <c r="F19" s="1"/>
      <c r="G19" s="1"/>
      <c r="H19" s="1"/>
      <c r="I19" s="1"/>
      <c r="J19" s="1"/>
      <c r="K19" s="1"/>
      <c r="L19" s="1"/>
      <c r="M19" s="1"/>
      <c r="N19" s="18"/>
    </row>
    <row r="20" spans="2:14" ht="15" customHeight="1" x14ac:dyDescent="0.25">
      <c r="B20" s="20"/>
      <c r="C20" s="7" t="s">
        <v>51</v>
      </c>
      <c r="D20" s="8"/>
      <c r="E20" s="12">
        <v>0.76614400000000005</v>
      </c>
      <c r="F20" s="1"/>
      <c r="G20" s="1"/>
      <c r="H20" s="1"/>
      <c r="I20" s="1"/>
      <c r="J20" s="1"/>
      <c r="K20" s="1"/>
      <c r="L20" s="1"/>
      <c r="M20" s="1"/>
      <c r="N20" s="18"/>
    </row>
    <row r="21" spans="2:14" ht="15" customHeight="1" x14ac:dyDescent="0.25">
      <c r="B21" s="20"/>
      <c r="C21" s="5" t="s">
        <v>8</v>
      </c>
      <c r="D21" s="6"/>
      <c r="E21" s="11">
        <v>2.9689E-2</v>
      </c>
      <c r="F21" s="1"/>
      <c r="G21" s="1"/>
      <c r="H21" s="1"/>
      <c r="I21" s="1"/>
      <c r="J21" s="1"/>
      <c r="K21" s="1"/>
      <c r="L21" s="1"/>
      <c r="M21" s="1"/>
      <c r="N21" s="18"/>
    </row>
    <row r="22" spans="2:14" ht="15" customHeight="1" x14ac:dyDescent="0.25">
      <c r="B22" s="20"/>
      <c r="C22" s="7" t="s">
        <v>9</v>
      </c>
      <c r="D22" s="8"/>
      <c r="E22" s="12">
        <v>2.9689E-2</v>
      </c>
      <c r="F22" s="1"/>
      <c r="G22" s="1"/>
      <c r="H22" s="1"/>
      <c r="I22" s="1"/>
      <c r="J22" s="1"/>
      <c r="K22" s="1"/>
      <c r="L22" s="1"/>
      <c r="M22" s="1"/>
      <c r="N22" s="18"/>
    </row>
    <row r="23" spans="2:14" ht="15" customHeight="1" x14ac:dyDescent="0.25">
      <c r="B23" s="20"/>
      <c r="C23" s="5"/>
      <c r="D23" s="6"/>
      <c r="E23" s="11"/>
      <c r="F23" s="1"/>
      <c r="G23" s="1"/>
      <c r="H23" s="1"/>
      <c r="I23" s="1"/>
      <c r="J23" s="1"/>
      <c r="K23" s="1"/>
      <c r="L23" s="1"/>
      <c r="M23" s="1"/>
      <c r="N23" s="18"/>
    </row>
    <row r="24" spans="2:14" ht="15" customHeight="1" x14ac:dyDescent="0.25">
      <c r="B24" s="20"/>
      <c r="C24" s="7" t="s">
        <v>10</v>
      </c>
      <c r="D24" s="8"/>
      <c r="E24" s="12">
        <v>2.213E-2</v>
      </c>
      <c r="F24" s="1"/>
      <c r="G24" s="82" t="s">
        <v>17</v>
      </c>
      <c r="H24" s="83"/>
      <c r="I24" s="83"/>
      <c r="J24" s="83"/>
      <c r="K24" s="83"/>
      <c r="L24" s="65">
        <v>3.568760957022056</v>
      </c>
      <c r="M24" s="26"/>
      <c r="N24" s="27"/>
    </row>
    <row r="25" spans="2:14" ht="15" customHeight="1" x14ac:dyDescent="0.25">
      <c r="B25" s="20"/>
      <c r="C25" s="5"/>
      <c r="D25" s="6"/>
      <c r="E25" s="11"/>
      <c r="F25" s="1"/>
      <c r="G25" s="1"/>
      <c r="H25" s="1"/>
      <c r="I25" s="1"/>
      <c r="J25" s="1"/>
      <c r="K25" s="1"/>
      <c r="L25" s="1"/>
      <c r="M25" s="1"/>
      <c r="N25" s="18"/>
    </row>
    <row r="26" spans="2:14" ht="15" customHeight="1" x14ac:dyDescent="0.25">
      <c r="B26" s="20"/>
      <c r="C26" s="9" t="s">
        <v>11</v>
      </c>
      <c r="D26" s="10"/>
      <c r="E26" s="13">
        <v>1</v>
      </c>
      <c r="F26" s="1"/>
      <c r="G26" s="82" t="s">
        <v>18</v>
      </c>
      <c r="H26" s="83"/>
      <c r="I26" s="83"/>
      <c r="J26" s="83"/>
      <c r="K26" s="83"/>
      <c r="L26" s="83"/>
      <c r="M26" s="83"/>
      <c r="N26" s="8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F31" s="1"/>
      <c r="G31" s="1"/>
      <c r="H31" s="1"/>
      <c r="I31" s="1"/>
      <c r="J31" s="1"/>
      <c r="K31" s="1"/>
      <c r="L31" s="1"/>
      <c r="M31" s="1"/>
      <c r="N31" s="18"/>
    </row>
    <row r="32" spans="2:14" ht="15" customHeight="1" x14ac:dyDescent="0.25">
      <c r="B32" s="20"/>
      <c r="F32" s="1"/>
      <c r="G32" s="1"/>
      <c r="H32" s="1"/>
      <c r="I32" s="1"/>
      <c r="J32" s="1"/>
      <c r="K32" s="1"/>
      <c r="L32" s="1"/>
      <c r="M32" s="1"/>
      <c r="N32" s="18"/>
    </row>
    <row r="33" spans="2:14" ht="15" customHeight="1" x14ac:dyDescent="0.25">
      <c r="B33" s="20"/>
      <c r="F33" s="1"/>
      <c r="G33" s="1"/>
      <c r="H33" s="1"/>
      <c r="I33" s="1"/>
      <c r="J33" s="1"/>
      <c r="K33" s="1"/>
      <c r="L33" s="1"/>
      <c r="M33" s="1"/>
      <c r="N33" s="18"/>
    </row>
    <row r="34" spans="2:14" ht="15" customHeight="1" x14ac:dyDescent="0.25">
      <c r="B34" s="20"/>
      <c r="F34" s="1"/>
      <c r="G34" s="1"/>
      <c r="H34" s="1"/>
      <c r="I34" s="1"/>
      <c r="J34" s="1"/>
      <c r="K34" s="1"/>
      <c r="L34" s="1"/>
      <c r="M34" s="1"/>
      <c r="N34" s="18"/>
    </row>
    <row r="35" spans="2:14" ht="15" customHeight="1" x14ac:dyDescent="0.25">
      <c r="B35" s="20"/>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5.25" customHeight="1" thickBot="1" x14ac:dyDescent="0.3">
      <c r="B45" s="85" t="s">
        <v>292</v>
      </c>
      <c r="C45" s="86"/>
      <c r="D45" s="86"/>
      <c r="E45" s="86"/>
      <c r="F45" s="86"/>
      <c r="G45" s="86"/>
      <c r="H45" s="86"/>
      <c r="I45" s="86"/>
      <c r="J45" s="86"/>
      <c r="K45" s="86"/>
      <c r="L45" s="86"/>
      <c r="M45" s="86"/>
      <c r="N45" s="87"/>
    </row>
  </sheetData>
  <sortState ref="C10:E19">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1BDB4-A4E8-4201-AC5C-B6E6FA528A32}">
  <dimension ref="B1:N45"/>
  <sheetViews>
    <sheetView showGridLines="0" zoomScale="75" zoomScaleNormal="75" workbookViewId="0"/>
  </sheetViews>
  <sheetFormatPr defaultRowHeight="15" x14ac:dyDescent="0.25"/>
  <cols>
    <col min="1" max="1" width="2.85546875" customWidth="1"/>
    <col min="2" max="2" width="3.85546875" customWidth="1"/>
    <col min="3" max="3" width="56.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7" t="s">
        <v>109</v>
      </c>
      <c r="D3" s="78"/>
      <c r="E3" s="78"/>
      <c r="F3" s="78"/>
      <c r="G3" s="78"/>
      <c r="H3" s="78"/>
      <c r="I3" s="78"/>
      <c r="J3" s="78"/>
      <c r="K3" s="78"/>
      <c r="L3" s="78"/>
      <c r="M3" s="78"/>
      <c r="N3" s="79"/>
    </row>
    <row r="4" spans="2:14" ht="15.75" customHeight="1" x14ac:dyDescent="0.25">
      <c r="B4" s="20"/>
      <c r="C4" s="14"/>
      <c r="D4" s="1"/>
      <c r="E4" s="1"/>
      <c r="F4" s="1"/>
      <c r="G4" s="1"/>
      <c r="H4" s="1"/>
      <c r="I4" s="1"/>
      <c r="J4" s="1"/>
      <c r="K4" s="1"/>
      <c r="L4" s="1"/>
      <c r="M4" s="1"/>
      <c r="N4" s="18"/>
    </row>
    <row r="5" spans="2:14" ht="18" customHeight="1" x14ac:dyDescent="0.25">
      <c r="B5" s="20"/>
      <c r="C5" s="15" t="s">
        <v>1</v>
      </c>
      <c r="D5" s="80" t="s">
        <v>110</v>
      </c>
      <c r="E5" s="8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2" t="s">
        <v>16</v>
      </c>
      <c r="H7" s="83"/>
      <c r="I7" s="83"/>
      <c r="J7" s="83"/>
      <c r="K7" s="83"/>
      <c r="L7" s="83"/>
      <c r="M7" s="83"/>
      <c r="N7" s="84"/>
    </row>
    <row r="8" spans="2:14" ht="15" customHeight="1" x14ac:dyDescent="0.25">
      <c r="B8" s="20"/>
      <c r="C8" s="5" t="s">
        <v>111</v>
      </c>
      <c r="D8" s="6" t="s">
        <v>180</v>
      </c>
      <c r="E8" s="11">
        <v>6.3170000000000004E-2</v>
      </c>
      <c r="F8" s="1"/>
      <c r="G8" s="24" t="s">
        <v>15</v>
      </c>
      <c r="H8" s="25">
        <v>1</v>
      </c>
      <c r="I8" s="1"/>
      <c r="J8" s="24" t="s">
        <v>12</v>
      </c>
      <c r="K8" s="24" t="s">
        <v>5</v>
      </c>
      <c r="L8" s="1"/>
      <c r="M8" s="1"/>
      <c r="N8" s="18"/>
    </row>
    <row r="9" spans="2:14" ht="15" customHeight="1" x14ac:dyDescent="0.25">
      <c r="B9" s="20"/>
      <c r="C9" s="5" t="s">
        <v>62</v>
      </c>
      <c r="D9" s="6" t="s">
        <v>180</v>
      </c>
      <c r="E9" s="11">
        <v>1.435E-2</v>
      </c>
      <c r="F9" s="1"/>
      <c r="G9" s="1"/>
      <c r="H9" s="1"/>
      <c r="I9" s="1"/>
      <c r="J9" s="24" t="s">
        <v>10</v>
      </c>
      <c r="K9" s="28">
        <v>1.5462999999999999E-2</v>
      </c>
      <c r="L9" s="1"/>
      <c r="M9" s="1"/>
      <c r="N9" s="18"/>
    </row>
    <row r="10" spans="2:14" ht="15.75" customHeight="1" x14ac:dyDescent="0.25">
      <c r="B10" s="20"/>
      <c r="C10" s="7" t="s">
        <v>50</v>
      </c>
      <c r="D10" s="8"/>
      <c r="E10" s="12">
        <v>7.7520000000000006E-2</v>
      </c>
      <c r="F10" s="1"/>
      <c r="G10" s="1"/>
      <c r="H10" s="1"/>
      <c r="I10" s="1"/>
      <c r="J10" s="24" t="s">
        <v>13</v>
      </c>
      <c r="K10" s="28">
        <v>1.4016000000000001E-2</v>
      </c>
      <c r="L10" s="1"/>
      <c r="M10" s="1"/>
      <c r="N10" s="18"/>
    </row>
    <row r="11" spans="2:14" ht="15" customHeight="1" x14ac:dyDescent="0.25">
      <c r="B11" s="20"/>
      <c r="C11" s="5" t="s">
        <v>283</v>
      </c>
      <c r="D11" s="6" t="s">
        <v>180</v>
      </c>
      <c r="E11" s="11">
        <v>0.15467400000000001</v>
      </c>
      <c r="F11" s="1"/>
      <c r="G11" s="1"/>
      <c r="H11" s="1"/>
      <c r="I11" s="1"/>
      <c r="J11" s="24" t="s">
        <v>55</v>
      </c>
      <c r="K11" s="28">
        <v>7.7520000000000006E-2</v>
      </c>
      <c r="L11" s="1"/>
      <c r="M11" s="1"/>
      <c r="N11" s="18"/>
    </row>
    <row r="12" spans="2:14" ht="15.75" customHeight="1" x14ac:dyDescent="0.25">
      <c r="B12" s="20"/>
      <c r="C12" s="5" t="s">
        <v>282</v>
      </c>
      <c r="D12" s="6" t="s">
        <v>180</v>
      </c>
      <c r="E12" s="11">
        <v>0.154558</v>
      </c>
      <c r="F12" s="1"/>
      <c r="G12" s="1"/>
      <c r="H12" s="1"/>
      <c r="I12" s="1"/>
      <c r="J12" s="24" t="s">
        <v>56</v>
      </c>
      <c r="K12" s="28">
        <v>0.89300100000000004</v>
      </c>
      <c r="L12" s="1"/>
      <c r="M12" s="1"/>
      <c r="N12" s="18"/>
    </row>
    <row r="13" spans="2:14" ht="15" customHeight="1" x14ac:dyDescent="0.25">
      <c r="B13" s="20"/>
      <c r="C13" s="5" t="s">
        <v>280</v>
      </c>
      <c r="D13" s="6" t="s">
        <v>180</v>
      </c>
      <c r="E13" s="11">
        <v>0.130026</v>
      </c>
      <c r="F13" s="1"/>
      <c r="G13" s="1"/>
      <c r="H13" s="1"/>
      <c r="I13" s="1"/>
      <c r="J13" s="1"/>
      <c r="K13" s="1"/>
      <c r="L13" s="1"/>
      <c r="M13" s="1"/>
      <c r="N13" s="18"/>
    </row>
    <row r="14" spans="2:14" ht="15.75" customHeight="1" x14ac:dyDescent="0.25">
      <c r="B14" s="20"/>
      <c r="C14" s="5" t="s">
        <v>281</v>
      </c>
      <c r="D14" s="6" t="s">
        <v>180</v>
      </c>
      <c r="E14" s="11">
        <v>8.6737999999999996E-2</v>
      </c>
      <c r="F14" s="1"/>
      <c r="G14" s="1"/>
      <c r="H14" s="1"/>
      <c r="I14" s="1"/>
      <c r="J14" s="1"/>
      <c r="K14" s="1"/>
      <c r="L14" s="1"/>
      <c r="M14" s="1"/>
      <c r="N14" s="18"/>
    </row>
    <row r="15" spans="2:14" ht="15" customHeight="1" x14ac:dyDescent="0.25">
      <c r="B15" s="20"/>
      <c r="C15" s="5" t="s">
        <v>271</v>
      </c>
      <c r="D15" s="6" t="s">
        <v>180</v>
      </c>
      <c r="E15" s="11">
        <v>4.5261000000000003E-2</v>
      </c>
      <c r="F15" s="1"/>
      <c r="G15" s="1"/>
      <c r="H15" s="1"/>
      <c r="I15" s="1"/>
      <c r="J15" s="1"/>
      <c r="K15" s="1"/>
      <c r="L15" s="1"/>
      <c r="M15" s="1"/>
      <c r="N15" s="18"/>
    </row>
    <row r="16" spans="2:14" ht="15.75" customHeight="1" x14ac:dyDescent="0.25">
      <c r="B16" s="20"/>
      <c r="C16" s="5" t="s">
        <v>278</v>
      </c>
      <c r="D16" s="6" t="s">
        <v>180</v>
      </c>
      <c r="E16" s="11">
        <v>4.0021000000000001E-2</v>
      </c>
      <c r="F16" s="1"/>
      <c r="G16" s="1"/>
      <c r="H16" s="1"/>
      <c r="I16" s="1"/>
      <c r="J16" s="1"/>
      <c r="K16" s="1"/>
      <c r="L16" s="1"/>
      <c r="M16" s="1"/>
      <c r="N16" s="18"/>
    </row>
    <row r="17" spans="2:14" ht="15" customHeight="1" x14ac:dyDescent="0.25">
      <c r="B17" s="20"/>
      <c r="C17" s="5" t="s">
        <v>273</v>
      </c>
      <c r="D17" s="6" t="s">
        <v>180</v>
      </c>
      <c r="E17" s="11">
        <v>3.4979999999999997E-2</v>
      </c>
      <c r="F17" s="1"/>
      <c r="G17" s="1"/>
      <c r="H17" s="1"/>
      <c r="I17" s="1"/>
      <c r="J17" s="1"/>
      <c r="K17" s="1"/>
      <c r="L17" s="1"/>
      <c r="M17" s="1"/>
      <c r="N17" s="18"/>
    </row>
    <row r="18" spans="2:14" ht="15" customHeight="1" x14ac:dyDescent="0.25">
      <c r="B18" s="20"/>
      <c r="C18" s="5" t="s">
        <v>274</v>
      </c>
      <c r="D18" s="6" t="s">
        <v>180</v>
      </c>
      <c r="E18" s="11">
        <v>3.0821999999999999E-2</v>
      </c>
      <c r="F18" s="1"/>
      <c r="G18" s="1"/>
      <c r="H18" s="1"/>
      <c r="I18" s="1"/>
      <c r="J18" s="1"/>
      <c r="K18" s="1"/>
      <c r="L18" s="1"/>
      <c r="M18" s="1"/>
      <c r="N18" s="18"/>
    </row>
    <row r="19" spans="2:14" ht="15" customHeight="1" x14ac:dyDescent="0.25">
      <c r="B19" s="20"/>
      <c r="C19" s="5" t="s">
        <v>267</v>
      </c>
      <c r="D19" s="6" t="s">
        <v>180</v>
      </c>
      <c r="E19" s="11">
        <v>2.9772E-2</v>
      </c>
      <c r="F19" s="1"/>
      <c r="G19" s="1"/>
      <c r="H19" s="1"/>
      <c r="I19" s="1"/>
      <c r="J19" s="1"/>
      <c r="K19" s="1"/>
      <c r="L19" s="1"/>
      <c r="M19" s="1"/>
      <c r="N19" s="18"/>
    </row>
    <row r="20" spans="2:14" ht="15" customHeight="1" x14ac:dyDescent="0.25">
      <c r="B20" s="20"/>
      <c r="C20" s="5" t="s">
        <v>264</v>
      </c>
      <c r="D20" s="6" t="s">
        <v>180</v>
      </c>
      <c r="E20" s="11">
        <v>2.7869999999999999E-2</v>
      </c>
      <c r="F20" s="1"/>
      <c r="G20" s="1"/>
      <c r="H20" s="1"/>
      <c r="I20" s="1"/>
      <c r="J20" s="1"/>
      <c r="K20" s="1"/>
      <c r="L20" s="1"/>
      <c r="M20" s="1"/>
      <c r="N20" s="18"/>
    </row>
    <row r="21" spans="2:14" ht="15" customHeight="1" x14ac:dyDescent="0.25">
      <c r="B21" s="20"/>
      <c r="C21" s="5" t="s">
        <v>266</v>
      </c>
      <c r="D21" s="6" t="s">
        <v>180</v>
      </c>
      <c r="E21" s="11">
        <v>2.0947E-2</v>
      </c>
      <c r="F21" s="1"/>
      <c r="G21" s="1"/>
      <c r="H21" s="1"/>
      <c r="I21" s="1"/>
      <c r="J21" s="1"/>
      <c r="K21" s="1"/>
      <c r="L21" s="1"/>
      <c r="M21" s="1"/>
      <c r="N21" s="18"/>
    </row>
    <row r="22" spans="2:14" ht="15" customHeight="1" x14ac:dyDescent="0.25">
      <c r="B22" s="20"/>
      <c r="C22" s="5" t="s">
        <v>269</v>
      </c>
      <c r="D22" s="6" t="s">
        <v>180</v>
      </c>
      <c r="E22" s="11">
        <v>1.6524E-2</v>
      </c>
      <c r="F22" s="1"/>
      <c r="G22" s="1"/>
      <c r="H22" s="1"/>
      <c r="I22" s="1"/>
      <c r="J22" s="1"/>
      <c r="K22" s="1"/>
      <c r="L22" s="1"/>
      <c r="M22" s="1"/>
      <c r="N22" s="18"/>
    </row>
    <row r="23" spans="2:14" ht="15" customHeight="1" x14ac:dyDescent="0.25">
      <c r="B23" s="20"/>
      <c r="C23" s="5" t="s">
        <v>261</v>
      </c>
      <c r="D23" s="6" t="s">
        <v>180</v>
      </c>
      <c r="E23" s="11">
        <v>1.5653E-2</v>
      </c>
      <c r="F23" s="1"/>
      <c r="G23" s="1"/>
      <c r="H23" s="1"/>
      <c r="I23" s="1"/>
      <c r="J23" s="1"/>
      <c r="K23" s="1"/>
      <c r="L23" s="1"/>
      <c r="M23" s="1"/>
      <c r="N23" s="18"/>
    </row>
    <row r="24" spans="2:14" ht="15" customHeight="1" x14ac:dyDescent="0.25">
      <c r="B24" s="20"/>
      <c r="C24" s="5" t="s">
        <v>272</v>
      </c>
      <c r="D24" s="6" t="s">
        <v>180</v>
      </c>
      <c r="E24" s="11">
        <v>1.553E-2</v>
      </c>
      <c r="F24" s="1"/>
      <c r="G24" s="82" t="s">
        <v>17</v>
      </c>
      <c r="H24" s="83"/>
      <c r="I24" s="83"/>
      <c r="J24" s="83"/>
      <c r="K24" s="83"/>
      <c r="L24" s="65">
        <v>8.1008945180869674</v>
      </c>
      <c r="M24" s="26"/>
      <c r="N24" s="27"/>
    </row>
    <row r="25" spans="2:14" ht="15" customHeight="1" x14ac:dyDescent="0.25">
      <c r="B25" s="20"/>
      <c r="C25" s="5" t="s">
        <v>279</v>
      </c>
      <c r="D25" s="6" t="s">
        <v>180</v>
      </c>
      <c r="E25" s="11">
        <v>1.5465E-2</v>
      </c>
      <c r="F25" s="1"/>
      <c r="G25" s="1"/>
      <c r="H25" s="1"/>
      <c r="I25" s="1"/>
      <c r="J25" s="1"/>
      <c r="K25" s="1"/>
      <c r="L25" s="1"/>
      <c r="M25" s="1"/>
      <c r="N25" s="18"/>
    </row>
    <row r="26" spans="2:14" ht="15" customHeight="1" x14ac:dyDescent="0.25">
      <c r="B26" s="20"/>
      <c r="C26" s="5" t="s">
        <v>270</v>
      </c>
      <c r="D26" s="6" t="s">
        <v>180</v>
      </c>
      <c r="E26" s="11">
        <v>1.5087E-2</v>
      </c>
      <c r="F26" s="1"/>
      <c r="G26" s="82" t="s">
        <v>18</v>
      </c>
      <c r="H26" s="83"/>
      <c r="I26" s="83"/>
      <c r="J26" s="83"/>
      <c r="K26" s="83"/>
      <c r="L26" s="83"/>
      <c r="M26" s="83"/>
      <c r="N26" s="84"/>
    </row>
    <row r="27" spans="2:14" ht="15" customHeight="1" x14ac:dyDescent="0.25">
      <c r="B27" s="20"/>
      <c r="C27" s="5" t="s">
        <v>265</v>
      </c>
      <c r="D27" s="6" t="s">
        <v>180</v>
      </c>
      <c r="E27" s="11">
        <v>1.4931E-2</v>
      </c>
      <c r="F27" s="1"/>
      <c r="G27" s="1"/>
      <c r="H27" s="1"/>
      <c r="I27" s="1"/>
      <c r="J27" s="1"/>
      <c r="K27" s="1"/>
      <c r="L27" s="1"/>
      <c r="M27" s="1"/>
      <c r="N27" s="18"/>
    </row>
    <row r="28" spans="2:14" ht="15" customHeight="1" x14ac:dyDescent="0.25">
      <c r="B28" s="20"/>
      <c r="C28" s="5" t="s">
        <v>263</v>
      </c>
      <c r="D28" s="6" t="s">
        <v>180</v>
      </c>
      <c r="E28" s="11">
        <v>1.4696000000000001E-2</v>
      </c>
      <c r="F28" s="1"/>
      <c r="G28" s="1"/>
      <c r="H28" s="1"/>
      <c r="I28" s="1"/>
      <c r="J28" s="1"/>
      <c r="K28" s="1"/>
      <c r="L28" s="1"/>
      <c r="M28" s="1"/>
      <c r="N28" s="18"/>
    </row>
    <row r="29" spans="2:14" ht="15" customHeight="1" x14ac:dyDescent="0.25">
      <c r="B29" s="20"/>
      <c r="C29" s="5" t="s">
        <v>277</v>
      </c>
      <c r="D29" s="6" t="s">
        <v>180</v>
      </c>
      <c r="E29" s="11">
        <v>9.2029999999999994E-3</v>
      </c>
      <c r="F29" s="1"/>
      <c r="G29" s="1"/>
      <c r="H29" s="1"/>
      <c r="I29" s="1"/>
      <c r="J29" s="1"/>
      <c r="K29" s="1"/>
      <c r="L29" s="1"/>
      <c r="M29" s="1"/>
      <c r="N29" s="18"/>
    </row>
    <row r="30" spans="2:14" ht="15" customHeight="1" x14ac:dyDescent="0.25">
      <c r="B30" s="20"/>
      <c r="C30" s="5" t="s">
        <v>276</v>
      </c>
      <c r="D30" s="6" t="s">
        <v>180</v>
      </c>
      <c r="E30" s="11">
        <v>7.5059999999999997E-3</v>
      </c>
      <c r="F30" s="1"/>
      <c r="G30" s="1"/>
      <c r="H30" s="1"/>
      <c r="I30" s="1"/>
      <c r="J30" s="1"/>
      <c r="K30" s="1"/>
      <c r="L30" s="1"/>
      <c r="M30" s="1"/>
      <c r="N30" s="18"/>
    </row>
    <row r="31" spans="2:14" ht="15" customHeight="1" x14ac:dyDescent="0.25">
      <c r="B31" s="20"/>
      <c r="C31" s="5" t="s">
        <v>275</v>
      </c>
      <c r="D31" s="6" t="s">
        <v>180</v>
      </c>
      <c r="E31" s="11">
        <v>5.8830000000000002E-3</v>
      </c>
      <c r="F31" s="1"/>
      <c r="G31" s="1"/>
      <c r="H31" s="1"/>
      <c r="I31" s="1"/>
      <c r="J31" s="1"/>
      <c r="K31" s="1"/>
      <c r="L31" s="1"/>
      <c r="M31" s="1"/>
      <c r="N31" s="18"/>
    </row>
    <row r="32" spans="2:14" ht="15" customHeight="1" x14ac:dyDescent="0.25">
      <c r="B32" s="20"/>
      <c r="C32" s="5" t="s">
        <v>268</v>
      </c>
      <c r="D32" s="6" t="s">
        <v>180</v>
      </c>
      <c r="E32" s="11">
        <v>4.2009999999999999E-3</v>
      </c>
      <c r="F32" s="1"/>
      <c r="G32" s="1"/>
      <c r="H32" s="1"/>
      <c r="I32" s="1"/>
      <c r="J32" s="1"/>
      <c r="K32" s="1"/>
      <c r="L32" s="1"/>
      <c r="M32" s="1"/>
      <c r="N32" s="18"/>
    </row>
    <row r="33" spans="2:14" ht="15" customHeight="1" x14ac:dyDescent="0.25">
      <c r="B33" s="20"/>
      <c r="C33" s="5" t="s">
        <v>262</v>
      </c>
      <c r="D33" s="6" t="s">
        <v>180</v>
      </c>
      <c r="E33" s="11">
        <v>2.653E-3</v>
      </c>
      <c r="F33" s="1"/>
      <c r="G33" s="1"/>
      <c r="H33" s="1"/>
      <c r="I33" s="1"/>
      <c r="J33" s="1"/>
      <c r="K33" s="1"/>
      <c r="L33" s="1"/>
      <c r="M33" s="1"/>
      <c r="N33" s="18"/>
    </row>
    <row r="34" spans="2:14" ht="15" customHeight="1" x14ac:dyDescent="0.25">
      <c r="B34" s="20"/>
      <c r="C34" s="7" t="s">
        <v>51</v>
      </c>
      <c r="D34" s="8"/>
      <c r="E34" s="12">
        <v>0.89300100000000004</v>
      </c>
      <c r="F34" s="1"/>
      <c r="G34" s="1"/>
      <c r="H34" s="1"/>
      <c r="I34" s="1"/>
      <c r="J34" s="1"/>
      <c r="K34" s="1"/>
      <c r="L34" s="1"/>
      <c r="M34" s="1"/>
      <c r="N34" s="18"/>
    </row>
    <row r="35" spans="2:14" ht="15" customHeight="1" x14ac:dyDescent="0.25">
      <c r="B35" s="20"/>
      <c r="C35" s="5" t="s">
        <v>8</v>
      </c>
      <c r="D35" s="6"/>
      <c r="E35" s="11">
        <v>1.4016000000000001E-2</v>
      </c>
      <c r="F35" s="1"/>
      <c r="G35" s="1"/>
      <c r="H35" s="1"/>
      <c r="I35" s="1"/>
      <c r="J35" s="1"/>
      <c r="K35" s="1"/>
      <c r="L35" s="1"/>
      <c r="M35" s="1"/>
      <c r="N35" s="18"/>
    </row>
    <row r="36" spans="2:14" ht="15" customHeight="1" x14ac:dyDescent="0.25">
      <c r="B36" s="20"/>
      <c r="C36" s="7" t="s">
        <v>9</v>
      </c>
      <c r="D36" s="8"/>
      <c r="E36" s="12">
        <v>1.4016000000000001E-2</v>
      </c>
      <c r="F36" s="1"/>
      <c r="G36" s="1"/>
      <c r="H36" s="1"/>
      <c r="I36" s="1"/>
      <c r="J36" s="1"/>
      <c r="K36" s="1"/>
      <c r="L36" s="1"/>
      <c r="M36" s="1"/>
      <c r="N36" s="18"/>
    </row>
    <row r="37" spans="2:14" ht="15" customHeight="1" x14ac:dyDescent="0.25">
      <c r="B37" s="20"/>
      <c r="C37" s="5"/>
      <c r="D37" s="6"/>
      <c r="E37" s="11"/>
      <c r="F37" s="1"/>
      <c r="G37" s="1"/>
      <c r="H37" s="1"/>
      <c r="I37" s="1"/>
      <c r="J37" s="1"/>
      <c r="K37" s="1"/>
      <c r="L37" s="1"/>
      <c r="M37" s="1"/>
      <c r="N37" s="18"/>
    </row>
    <row r="38" spans="2:14" ht="15" customHeight="1" x14ac:dyDescent="0.25">
      <c r="B38" s="20"/>
      <c r="C38" s="7" t="s">
        <v>10</v>
      </c>
      <c r="D38" s="8"/>
      <c r="E38" s="12">
        <v>1.5462999999999999E-2</v>
      </c>
      <c r="F38" s="1"/>
      <c r="G38" s="1"/>
      <c r="H38" s="1"/>
      <c r="I38" s="1"/>
      <c r="J38" s="1"/>
      <c r="K38" s="1"/>
      <c r="L38" s="1"/>
      <c r="M38" s="1"/>
      <c r="N38" s="18"/>
    </row>
    <row r="39" spans="2:14" ht="15" customHeight="1" x14ac:dyDescent="0.25">
      <c r="B39" s="20"/>
      <c r="C39" s="5"/>
      <c r="D39" s="6"/>
      <c r="E39" s="11"/>
      <c r="F39" s="1"/>
      <c r="G39" s="1"/>
      <c r="H39" s="1"/>
      <c r="I39" s="1"/>
      <c r="J39" s="1"/>
      <c r="K39" s="1"/>
      <c r="L39" s="1"/>
      <c r="M39" s="1"/>
      <c r="N39" s="18"/>
    </row>
    <row r="40" spans="2:14" ht="15" customHeight="1" x14ac:dyDescent="0.25">
      <c r="B40" s="20"/>
      <c r="C40" s="9" t="s">
        <v>11</v>
      </c>
      <c r="D40" s="10"/>
      <c r="E40" s="13">
        <v>1</v>
      </c>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3.75" customHeight="1" thickBot="1" x14ac:dyDescent="0.3">
      <c r="B45" s="85" t="s">
        <v>292</v>
      </c>
      <c r="C45" s="86"/>
      <c r="D45" s="86"/>
      <c r="E45" s="86"/>
      <c r="F45" s="86"/>
      <c r="G45" s="86"/>
      <c r="H45" s="86"/>
      <c r="I45" s="86"/>
      <c r="J45" s="86"/>
      <c r="K45" s="86"/>
      <c r="L45" s="86"/>
      <c r="M45" s="86"/>
      <c r="N45" s="87"/>
    </row>
  </sheetData>
  <sortState ref="C11:E33">
    <sortCondition descending="1" ref="E11"/>
  </sortState>
  <mergeCells count="6">
    <mergeCell ref="B45:N45"/>
    <mergeCell ref="C3:N3"/>
    <mergeCell ref="D5:E5"/>
    <mergeCell ref="G7:N7"/>
    <mergeCell ref="G24:K24"/>
    <mergeCell ref="G26:N2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6955C-93BD-4A3F-A59A-DDF86C9E1905}">
  <dimension ref="B1:N45"/>
  <sheetViews>
    <sheetView showGridLines="0" zoomScale="75" zoomScaleNormal="75" workbookViewId="0"/>
  </sheetViews>
  <sheetFormatPr defaultRowHeight="15" x14ac:dyDescent="0.25"/>
  <cols>
    <col min="1" max="1" width="2.85546875" customWidth="1"/>
    <col min="2" max="2" width="3.85546875" customWidth="1"/>
    <col min="3" max="3" width="6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7" t="s">
        <v>0</v>
      </c>
      <c r="D3" s="78"/>
      <c r="E3" s="78"/>
      <c r="F3" s="78"/>
      <c r="G3" s="78"/>
      <c r="H3" s="78"/>
      <c r="I3" s="78"/>
      <c r="J3" s="78"/>
      <c r="K3" s="78"/>
      <c r="L3" s="78"/>
      <c r="M3" s="78"/>
      <c r="N3" s="79"/>
    </row>
    <row r="4" spans="2:14" ht="15.75" customHeight="1" x14ac:dyDescent="0.25">
      <c r="B4" s="20"/>
      <c r="C4" s="14"/>
      <c r="D4" s="1"/>
      <c r="E4" s="1"/>
      <c r="F4" s="1"/>
      <c r="G4" s="1"/>
      <c r="H4" s="1"/>
      <c r="I4" s="1"/>
      <c r="J4" s="1"/>
      <c r="K4" s="1"/>
      <c r="L4" s="1"/>
      <c r="M4" s="1"/>
      <c r="N4" s="18"/>
    </row>
    <row r="5" spans="2:14" ht="18" customHeight="1" x14ac:dyDescent="0.25">
      <c r="B5" s="20"/>
      <c r="C5" s="15" t="s">
        <v>1</v>
      </c>
      <c r="D5" s="80" t="s">
        <v>2</v>
      </c>
      <c r="E5" s="8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2" t="s">
        <v>16</v>
      </c>
      <c r="H7" s="83"/>
      <c r="I7" s="83"/>
      <c r="J7" s="83"/>
      <c r="K7" s="83"/>
      <c r="L7" s="83"/>
      <c r="M7" s="83"/>
      <c r="N7" s="84"/>
    </row>
    <row r="8" spans="2:14" ht="15" customHeight="1" x14ac:dyDescent="0.25">
      <c r="B8" s="20"/>
      <c r="C8" s="5" t="s">
        <v>6</v>
      </c>
      <c r="D8" s="6"/>
      <c r="E8" s="11">
        <v>0.58900699999999995</v>
      </c>
      <c r="F8" s="1"/>
      <c r="G8" s="24" t="s">
        <v>15</v>
      </c>
      <c r="H8" s="25">
        <v>1</v>
      </c>
      <c r="I8" s="1"/>
      <c r="J8" s="24" t="s">
        <v>12</v>
      </c>
      <c r="K8" s="24" t="s">
        <v>5</v>
      </c>
      <c r="L8" s="1"/>
      <c r="M8" s="1"/>
      <c r="N8" s="18"/>
    </row>
    <row r="9" spans="2:14" ht="15" customHeight="1" x14ac:dyDescent="0.25">
      <c r="B9" s="20"/>
      <c r="C9" s="5" t="s">
        <v>284</v>
      </c>
      <c r="D9" s="6"/>
      <c r="E9" s="11">
        <v>0.36946499999999999</v>
      </c>
      <c r="F9" s="1"/>
      <c r="G9" s="1"/>
      <c r="H9" s="1"/>
      <c r="I9" s="1"/>
      <c r="J9" s="24" t="s">
        <v>10</v>
      </c>
      <c r="K9" s="28">
        <v>-1.26E-4</v>
      </c>
      <c r="L9" s="1"/>
      <c r="M9" s="1"/>
      <c r="N9" s="18"/>
    </row>
    <row r="10" spans="2:14" ht="15.75" customHeight="1" x14ac:dyDescent="0.25">
      <c r="B10" s="20"/>
      <c r="C10" s="7" t="s">
        <v>7</v>
      </c>
      <c r="D10" s="8"/>
      <c r="E10" s="12">
        <v>0.95847199999999999</v>
      </c>
      <c r="F10" s="1"/>
      <c r="G10" s="1"/>
      <c r="H10" s="1"/>
      <c r="I10" s="1"/>
      <c r="J10" s="24" t="s">
        <v>13</v>
      </c>
      <c r="K10" s="28">
        <v>4.1653999999999997E-2</v>
      </c>
      <c r="L10" s="1"/>
      <c r="M10" s="1"/>
      <c r="N10" s="18"/>
    </row>
    <row r="11" spans="2:14" ht="15" customHeight="1" x14ac:dyDescent="0.25">
      <c r="B11" s="20"/>
      <c r="C11" s="5" t="s">
        <v>8</v>
      </c>
      <c r="D11" s="6"/>
      <c r="E11" s="11">
        <v>4.1653999999999997E-2</v>
      </c>
      <c r="F11" s="1"/>
      <c r="G11" s="1"/>
      <c r="H11" s="1"/>
      <c r="I11" s="1"/>
      <c r="J11" s="24" t="s">
        <v>14</v>
      </c>
      <c r="K11" s="28">
        <v>0.95847199999999999</v>
      </c>
      <c r="L11" s="1"/>
      <c r="M11" s="1"/>
      <c r="N11" s="18"/>
    </row>
    <row r="12" spans="2:14" ht="15.75" customHeight="1" x14ac:dyDescent="0.25">
      <c r="B12" s="20"/>
      <c r="C12" s="7" t="s">
        <v>9</v>
      </c>
      <c r="D12" s="8"/>
      <c r="E12" s="12">
        <v>4.1653999999999997E-2</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10</v>
      </c>
      <c r="D14" s="8"/>
      <c r="E14" s="12">
        <v>-1.26E-4</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11</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2" t="s">
        <v>17</v>
      </c>
      <c r="H24" s="83"/>
      <c r="I24" s="83"/>
      <c r="J24" s="83"/>
      <c r="K24" s="83"/>
      <c r="L24" s="67">
        <v>2.6631372173734817</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2" t="s">
        <v>18</v>
      </c>
      <c r="H26" s="83"/>
      <c r="I26" s="83"/>
      <c r="J26" s="83"/>
      <c r="K26" s="83"/>
      <c r="L26" s="83"/>
      <c r="M26" s="83"/>
      <c r="N26" s="8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8.5" customHeight="1" thickBot="1" x14ac:dyDescent="0.3">
      <c r="B45" s="85" t="s">
        <v>292</v>
      </c>
      <c r="C45" s="86"/>
      <c r="D45" s="86"/>
      <c r="E45" s="86"/>
      <c r="F45" s="86"/>
      <c r="G45" s="86"/>
      <c r="H45" s="86"/>
      <c r="I45" s="86"/>
      <c r="J45" s="86"/>
      <c r="K45" s="86"/>
      <c r="L45" s="86"/>
      <c r="M45" s="86"/>
      <c r="N45" s="87"/>
    </row>
  </sheetData>
  <mergeCells count="6">
    <mergeCell ref="B45:N45"/>
    <mergeCell ref="C3:N3"/>
    <mergeCell ref="D5:E5"/>
    <mergeCell ref="G7:N7"/>
    <mergeCell ref="G24:K24"/>
    <mergeCell ref="G26:N26"/>
  </mergeCells>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D9B71-1FE8-4032-9DE1-C5DE2F048710}">
  <sheetPr>
    <tabColor rgb="FFE5E3E3"/>
    <pageSetUpPr fitToPage="1"/>
  </sheetPr>
  <dimension ref="B1:X691"/>
  <sheetViews>
    <sheetView showGridLines="0" zoomScale="75" zoomScaleNormal="75" workbookViewId="0"/>
  </sheetViews>
  <sheetFormatPr defaultRowHeight="15" x14ac:dyDescent="0.2"/>
  <cols>
    <col min="1" max="1" width="2.85546875" style="31" customWidth="1"/>
    <col min="2" max="2" width="3.85546875" style="31" customWidth="1"/>
    <col min="3" max="3" width="60.5703125" style="31" customWidth="1"/>
    <col min="4" max="4" width="15.42578125" style="31" bestFit="1" customWidth="1"/>
    <col min="5" max="5" width="9.140625" style="31"/>
    <col min="6" max="6" width="10.7109375" style="31" customWidth="1"/>
    <col min="7" max="7" width="10.5703125" style="31" bestFit="1" customWidth="1"/>
    <col min="8" max="9" width="9.140625" style="31"/>
    <col min="10" max="11" width="16.42578125" style="31" customWidth="1"/>
    <col min="12" max="18" width="9.140625" style="31"/>
    <col min="19" max="19" width="9.85546875" style="31" customWidth="1"/>
    <col min="20" max="21" width="9.28515625" style="31" bestFit="1" customWidth="1"/>
    <col min="22" max="16384" width="9.140625" style="31"/>
  </cols>
  <sheetData>
    <row r="1" spans="2:24" ht="15.75" thickBot="1" x14ac:dyDescent="0.25"/>
    <row r="2" spans="2:24" x14ac:dyDescent="0.2">
      <c r="B2" s="32"/>
      <c r="C2" s="33"/>
      <c r="D2" s="33"/>
      <c r="E2" s="33"/>
      <c r="F2" s="33"/>
      <c r="G2" s="33"/>
      <c r="H2" s="33"/>
      <c r="I2" s="33"/>
      <c r="J2" s="33"/>
      <c r="K2" s="33"/>
      <c r="L2" s="33"/>
      <c r="M2" s="34"/>
    </row>
    <row r="3" spans="2:24" ht="20.25" customHeight="1" x14ac:dyDescent="0.2">
      <c r="B3" s="35"/>
      <c r="C3" s="88" t="s">
        <v>294</v>
      </c>
      <c r="D3" s="88"/>
      <c r="E3" s="88"/>
      <c r="F3" s="88"/>
      <c r="G3" s="88"/>
      <c r="H3" s="88"/>
      <c r="I3" s="88"/>
      <c r="J3" s="88"/>
      <c r="K3" s="88"/>
      <c r="L3" s="88"/>
      <c r="M3" s="89"/>
    </row>
    <row r="4" spans="2:24" ht="15.75" x14ac:dyDescent="0.25">
      <c r="B4" s="35"/>
      <c r="C4" s="36" t="s">
        <v>313</v>
      </c>
      <c r="D4" s="37"/>
      <c r="E4" s="37"/>
      <c r="F4" s="38"/>
      <c r="G4" s="38"/>
      <c r="H4" s="38"/>
      <c r="I4" s="38"/>
      <c r="J4" s="38"/>
      <c r="K4" s="38"/>
      <c r="L4" s="38"/>
      <c r="M4" s="39"/>
    </row>
    <row r="5" spans="2:24" ht="20.25" customHeight="1" x14ac:dyDescent="0.25">
      <c r="B5" s="35"/>
      <c r="C5" s="15" t="s">
        <v>1</v>
      </c>
      <c r="D5" s="40" t="s">
        <v>314</v>
      </c>
      <c r="E5" s="41"/>
      <c r="F5" s="38"/>
      <c r="G5" s="38"/>
      <c r="H5" s="38"/>
      <c r="I5" s="38"/>
      <c r="J5" s="38"/>
      <c r="K5" s="38"/>
      <c r="L5" s="38"/>
      <c r="M5" s="39"/>
    </row>
    <row r="6" spans="2:24" x14ac:dyDescent="0.2">
      <c r="B6" s="35"/>
      <c r="C6" s="38"/>
      <c r="D6" s="38"/>
      <c r="E6" s="38"/>
      <c r="F6" s="38"/>
      <c r="G6" s="38"/>
      <c r="H6" s="38"/>
      <c r="I6" s="38"/>
      <c r="J6" s="38"/>
      <c r="K6" s="38"/>
      <c r="L6" s="38"/>
      <c r="M6" s="39"/>
    </row>
    <row r="7" spans="2:24" ht="15.75" x14ac:dyDescent="0.2">
      <c r="B7" s="35"/>
      <c r="C7" s="42" t="s">
        <v>3</v>
      </c>
      <c r="D7" s="43" t="s">
        <v>5</v>
      </c>
      <c r="E7" s="38"/>
      <c r="F7" s="90" t="s">
        <v>18</v>
      </c>
      <c r="G7" s="90"/>
      <c r="H7" s="90"/>
      <c r="I7" s="90"/>
      <c r="J7" s="90"/>
      <c r="K7" s="90"/>
      <c r="L7" s="90"/>
      <c r="M7" s="91"/>
    </row>
    <row r="8" spans="2:24" x14ac:dyDescent="0.2">
      <c r="B8" s="35"/>
      <c r="C8" s="44" t="s">
        <v>295</v>
      </c>
      <c r="D8" s="45">
        <v>0.97452399999999995</v>
      </c>
      <c r="E8" s="38"/>
      <c r="F8" s="38"/>
      <c r="G8" s="46"/>
      <c r="H8" s="38"/>
      <c r="I8" s="38" t="s">
        <v>296</v>
      </c>
      <c r="J8" s="47">
        <f>D9</f>
        <v>0.97452399999999995</v>
      </c>
      <c r="K8" s="38"/>
      <c r="L8" s="38"/>
      <c r="M8" s="39"/>
      <c r="S8" s="48"/>
      <c r="W8" s="31" t="s">
        <v>297</v>
      </c>
      <c r="X8" s="31">
        <v>0.25058799999999998</v>
      </c>
    </row>
    <row r="9" spans="2:24" ht="15.75" x14ac:dyDescent="0.25">
      <c r="B9" s="35"/>
      <c r="C9" s="49" t="s">
        <v>296</v>
      </c>
      <c r="D9" s="50">
        <v>0.97452399999999995</v>
      </c>
      <c r="E9" s="38"/>
      <c r="F9" s="38"/>
      <c r="G9" s="38"/>
      <c r="H9" s="38"/>
      <c r="I9" s="38" t="s">
        <v>10</v>
      </c>
      <c r="J9" s="47">
        <f>D13</f>
        <v>-1.4319999999999999E-2</v>
      </c>
      <c r="K9" s="38"/>
      <c r="L9" s="38"/>
      <c r="M9" s="39"/>
      <c r="S9" s="48"/>
      <c r="W9" s="31" t="s">
        <v>298</v>
      </c>
      <c r="X9" s="31">
        <v>6.1296999999999997E-2</v>
      </c>
    </row>
    <row r="10" spans="2:24" x14ac:dyDescent="0.2">
      <c r="B10" s="35"/>
      <c r="C10" s="51" t="s">
        <v>8</v>
      </c>
      <c r="D10" s="52">
        <v>3.9795999999999998E-2</v>
      </c>
      <c r="E10" s="38"/>
      <c r="F10" s="38"/>
      <c r="G10" s="38"/>
      <c r="I10" s="31" t="s">
        <v>9</v>
      </c>
      <c r="J10" s="47">
        <f>D11</f>
        <v>3.9795999999999998E-2</v>
      </c>
      <c r="K10" s="38"/>
      <c r="L10" s="38"/>
      <c r="M10" s="39"/>
      <c r="S10" s="48"/>
      <c r="W10" s="31" t="s">
        <v>299</v>
      </c>
      <c r="X10" s="31">
        <v>3.0130999999999998E-2</v>
      </c>
    </row>
    <row r="11" spans="2:24" ht="15.75" x14ac:dyDescent="0.2">
      <c r="B11" s="35"/>
      <c r="C11" s="53" t="s">
        <v>9</v>
      </c>
      <c r="D11" s="54">
        <v>3.9795999999999998E-2</v>
      </c>
      <c r="E11" s="38"/>
      <c r="F11" s="38"/>
      <c r="G11" s="38"/>
      <c r="J11" s="38"/>
      <c r="K11" s="38"/>
      <c r="L11" s="38"/>
      <c r="M11" s="39"/>
      <c r="S11" s="48"/>
      <c r="W11" s="31" t="s">
        <v>300</v>
      </c>
      <c r="X11" s="31">
        <v>2.7299E-2</v>
      </c>
    </row>
    <row r="12" spans="2:24" x14ac:dyDescent="0.2">
      <c r="B12" s="35"/>
      <c r="C12" s="51"/>
      <c r="D12" s="55"/>
      <c r="E12" s="38"/>
      <c r="F12" s="38"/>
      <c r="G12" s="38"/>
      <c r="J12" s="38"/>
      <c r="K12" s="38"/>
      <c r="L12" s="38"/>
      <c r="M12" s="39"/>
      <c r="S12" s="48"/>
      <c r="W12" s="31" t="s">
        <v>301</v>
      </c>
      <c r="X12" s="31">
        <v>2.5925E-2</v>
      </c>
    </row>
    <row r="13" spans="2:24" ht="15.75" x14ac:dyDescent="0.2">
      <c r="B13" s="35"/>
      <c r="C13" s="53" t="s">
        <v>10</v>
      </c>
      <c r="D13" s="54">
        <v>-1.4319999999999999E-2</v>
      </c>
      <c r="E13" s="38"/>
      <c r="F13" s="38"/>
      <c r="G13" s="38"/>
      <c r="J13" s="38"/>
      <c r="K13" s="38"/>
      <c r="L13" s="38"/>
      <c r="M13" s="39"/>
      <c r="S13" s="48"/>
      <c r="W13" s="31" t="s">
        <v>302</v>
      </c>
      <c r="X13" s="31">
        <v>2.3822000000000003E-2</v>
      </c>
    </row>
    <row r="14" spans="2:24" x14ac:dyDescent="0.2">
      <c r="B14" s="35"/>
      <c r="C14" s="51"/>
      <c r="D14" s="55"/>
      <c r="E14" s="38"/>
      <c r="F14" s="38"/>
      <c r="G14" s="38"/>
      <c r="H14" s="38"/>
      <c r="I14" s="38"/>
      <c r="J14" s="38"/>
      <c r="K14" s="38"/>
      <c r="L14" s="38"/>
      <c r="M14" s="39"/>
      <c r="S14" s="48"/>
      <c r="W14" s="31" t="s">
        <v>303</v>
      </c>
      <c r="X14" s="31">
        <v>2.3753E-2</v>
      </c>
    </row>
    <row r="15" spans="2:24" ht="15.75" x14ac:dyDescent="0.2">
      <c r="B15" s="35"/>
      <c r="C15" s="56" t="s">
        <v>11</v>
      </c>
      <c r="D15" s="57">
        <f>D13+D11+D9</f>
        <v>1</v>
      </c>
      <c r="E15" s="38"/>
      <c r="F15" s="38"/>
      <c r="G15" s="38"/>
      <c r="H15" s="38"/>
      <c r="I15" s="38"/>
      <c r="J15" s="38"/>
      <c r="K15" s="38"/>
      <c r="L15" s="38"/>
      <c r="M15" s="39"/>
      <c r="S15" s="48"/>
      <c r="W15" s="31" t="s">
        <v>304</v>
      </c>
      <c r="X15" s="31">
        <v>1.8620999999999999E-2</v>
      </c>
    </row>
    <row r="16" spans="2:24" x14ac:dyDescent="0.2">
      <c r="B16" s="35"/>
      <c r="E16" s="38"/>
      <c r="F16" s="38"/>
      <c r="G16" s="38"/>
      <c r="H16" s="38"/>
      <c r="I16" s="38"/>
      <c r="J16" s="38"/>
      <c r="K16" s="38"/>
      <c r="L16" s="38"/>
      <c r="M16" s="39"/>
      <c r="S16" s="48"/>
      <c r="W16" s="31" t="s">
        <v>305</v>
      </c>
      <c r="X16" s="31">
        <v>1.7219000000000002E-2</v>
      </c>
    </row>
    <row r="17" spans="2:24" ht="15.75" x14ac:dyDescent="0.25">
      <c r="B17" s="35"/>
      <c r="C17" s="58"/>
      <c r="D17" s="59"/>
      <c r="E17" s="38"/>
      <c r="F17" s="38"/>
      <c r="G17" s="38"/>
      <c r="H17" s="38"/>
      <c r="I17" s="38"/>
      <c r="J17" s="38"/>
      <c r="K17" s="38"/>
      <c r="L17" s="38"/>
      <c r="M17" s="39"/>
      <c r="S17" s="48"/>
      <c r="W17" s="31" t="s">
        <v>306</v>
      </c>
      <c r="X17" s="31">
        <v>1.6056000000000001E-2</v>
      </c>
    </row>
    <row r="18" spans="2:24" x14ac:dyDescent="0.2">
      <c r="B18" s="35"/>
      <c r="C18" s="60"/>
      <c r="D18" s="60"/>
      <c r="E18" s="38"/>
      <c r="F18" s="38"/>
      <c r="G18" s="38"/>
      <c r="H18" s="38"/>
      <c r="I18" s="38"/>
      <c r="J18" s="38"/>
      <c r="K18" s="38"/>
      <c r="L18" s="38"/>
      <c r="M18" s="39"/>
      <c r="S18" s="48"/>
      <c r="W18" s="31" t="s">
        <v>307</v>
      </c>
      <c r="X18" s="31">
        <v>1.41E-2</v>
      </c>
    </row>
    <row r="19" spans="2:24" ht="15.75" x14ac:dyDescent="0.25">
      <c r="B19" s="35"/>
      <c r="C19" s="58"/>
      <c r="D19" s="61"/>
      <c r="E19" s="38"/>
      <c r="F19" s="38"/>
      <c r="G19" s="38"/>
      <c r="H19" s="38"/>
      <c r="I19" s="38"/>
      <c r="J19" s="38"/>
      <c r="K19" s="38"/>
      <c r="L19" s="38"/>
      <c r="M19" s="39"/>
      <c r="S19" s="48"/>
      <c r="W19" s="31" t="s">
        <v>308</v>
      </c>
      <c r="X19" s="31">
        <v>1.1167E-2</v>
      </c>
    </row>
    <row r="20" spans="2:24" x14ac:dyDescent="0.2">
      <c r="B20" s="35"/>
      <c r="E20" s="38"/>
      <c r="F20" s="38"/>
      <c r="G20" s="38"/>
      <c r="H20" s="38"/>
      <c r="I20" s="38"/>
      <c r="J20" s="38"/>
      <c r="K20" s="38"/>
      <c r="L20" s="38"/>
      <c r="M20" s="39"/>
      <c r="S20" s="48"/>
      <c r="W20" s="31" t="s">
        <v>309</v>
      </c>
      <c r="X20" s="31">
        <v>1.1159000000000001E-2</v>
      </c>
    </row>
    <row r="21" spans="2:24" x14ac:dyDescent="0.2">
      <c r="B21" s="35"/>
      <c r="E21" s="38"/>
      <c r="F21" s="38"/>
      <c r="G21" s="38"/>
      <c r="H21" s="38"/>
      <c r="I21" s="38"/>
      <c r="J21" s="38"/>
      <c r="K21" s="38"/>
      <c r="L21" s="38"/>
      <c r="M21" s="39"/>
      <c r="S21" s="48"/>
      <c r="W21" s="31" t="s">
        <v>310</v>
      </c>
      <c r="X21" s="31">
        <v>1.0543E-2</v>
      </c>
    </row>
    <row r="22" spans="2:24" ht="16.5" thickBot="1" x14ac:dyDescent="0.3">
      <c r="B22" s="62"/>
      <c r="C22" s="92"/>
      <c r="D22" s="92"/>
      <c r="E22" s="92"/>
      <c r="F22" s="92"/>
      <c r="G22" s="92"/>
      <c r="H22" s="92"/>
      <c r="I22" s="92"/>
      <c r="J22" s="92"/>
      <c r="K22" s="92"/>
      <c r="L22" s="92"/>
      <c r="M22" s="93"/>
      <c r="S22" s="48"/>
    </row>
    <row r="23" spans="2:24" ht="15.75" thickBot="1" x14ac:dyDescent="0.25">
      <c r="S23" s="48"/>
    </row>
    <row r="24" spans="2:24" ht="15" customHeight="1" x14ac:dyDescent="0.2">
      <c r="B24" s="94" t="s">
        <v>311</v>
      </c>
      <c r="C24" s="95"/>
      <c r="D24" s="95"/>
      <c r="E24" s="95"/>
      <c r="F24" s="95"/>
      <c r="G24" s="95"/>
      <c r="H24" s="95"/>
      <c r="I24" s="95"/>
      <c r="J24" s="95"/>
      <c r="K24" s="95"/>
      <c r="L24" s="95"/>
      <c r="M24" s="95"/>
      <c r="N24" s="96"/>
      <c r="S24" s="48"/>
    </row>
    <row r="25" spans="2:24" ht="15.75" customHeight="1" x14ac:dyDescent="0.2">
      <c r="B25" s="97"/>
      <c r="C25" s="98"/>
      <c r="D25" s="98"/>
      <c r="E25" s="98"/>
      <c r="F25" s="98"/>
      <c r="G25" s="98"/>
      <c r="H25" s="98"/>
      <c r="I25" s="98"/>
      <c r="J25" s="98"/>
      <c r="K25" s="98"/>
      <c r="L25" s="98"/>
      <c r="M25" s="98"/>
      <c r="N25" s="99"/>
      <c r="S25" s="48"/>
    </row>
    <row r="26" spans="2:24" ht="15.75" customHeight="1" x14ac:dyDescent="0.2">
      <c r="B26" s="97"/>
      <c r="C26" s="98"/>
      <c r="D26" s="98"/>
      <c r="E26" s="98"/>
      <c r="F26" s="98"/>
      <c r="G26" s="98"/>
      <c r="H26" s="98"/>
      <c r="I26" s="98"/>
      <c r="J26" s="98"/>
      <c r="K26" s="98"/>
      <c r="L26" s="98"/>
      <c r="M26" s="98"/>
      <c r="N26" s="99"/>
      <c r="S26" s="48"/>
    </row>
    <row r="27" spans="2:24" ht="15.75" customHeight="1" x14ac:dyDescent="0.2">
      <c r="B27" s="97"/>
      <c r="C27" s="98"/>
      <c r="D27" s="98"/>
      <c r="E27" s="98"/>
      <c r="F27" s="98"/>
      <c r="G27" s="98"/>
      <c r="H27" s="98"/>
      <c r="I27" s="98"/>
      <c r="J27" s="98"/>
      <c r="K27" s="98"/>
      <c r="L27" s="98"/>
      <c r="M27" s="98"/>
      <c r="N27" s="99"/>
      <c r="S27" s="48"/>
    </row>
    <row r="28" spans="2:24" ht="15.75" customHeight="1" x14ac:dyDescent="0.2">
      <c r="B28" s="97"/>
      <c r="C28" s="98"/>
      <c r="D28" s="98"/>
      <c r="E28" s="98"/>
      <c r="F28" s="98"/>
      <c r="G28" s="98"/>
      <c r="H28" s="98"/>
      <c r="I28" s="98"/>
      <c r="J28" s="98"/>
      <c r="K28" s="98"/>
      <c r="L28" s="98"/>
      <c r="M28" s="98"/>
      <c r="N28" s="99"/>
      <c r="S28" s="48"/>
    </row>
    <row r="29" spans="2:24" ht="15.75" customHeight="1" x14ac:dyDescent="0.2">
      <c r="B29" s="97"/>
      <c r="C29" s="98"/>
      <c r="D29" s="98"/>
      <c r="E29" s="98"/>
      <c r="F29" s="98"/>
      <c r="G29" s="98"/>
      <c r="H29" s="98"/>
      <c r="I29" s="98"/>
      <c r="J29" s="98"/>
      <c r="K29" s="98"/>
      <c r="L29" s="98"/>
      <c r="M29" s="98"/>
      <c r="N29" s="99"/>
      <c r="S29" s="48"/>
    </row>
    <row r="30" spans="2:24" ht="28.5" customHeight="1" thickBot="1" x14ac:dyDescent="0.25">
      <c r="B30" s="100"/>
      <c r="C30" s="101"/>
      <c r="D30" s="101"/>
      <c r="E30" s="101"/>
      <c r="F30" s="101"/>
      <c r="G30" s="101"/>
      <c r="H30" s="101"/>
      <c r="I30" s="101"/>
      <c r="J30" s="101"/>
      <c r="K30" s="101"/>
      <c r="L30" s="101"/>
      <c r="M30" s="101"/>
      <c r="N30" s="102"/>
      <c r="S30" s="48"/>
    </row>
    <row r="31" spans="2:24" ht="15.75" thickBot="1" x14ac:dyDescent="0.25">
      <c r="S31" s="48"/>
    </row>
    <row r="32" spans="2:24" x14ac:dyDescent="0.2">
      <c r="B32" s="94" t="s">
        <v>312</v>
      </c>
      <c r="C32" s="95"/>
      <c r="D32" s="95"/>
      <c r="E32" s="95"/>
      <c r="F32" s="95"/>
      <c r="G32" s="95"/>
      <c r="H32" s="95"/>
      <c r="I32" s="95"/>
      <c r="J32" s="95"/>
      <c r="K32" s="95"/>
      <c r="L32" s="95"/>
      <c r="M32" s="95"/>
      <c r="N32" s="96"/>
      <c r="S32" s="48"/>
    </row>
    <row r="33" spans="2:19" x14ac:dyDescent="0.2">
      <c r="B33" s="97"/>
      <c r="C33" s="98"/>
      <c r="D33" s="98"/>
      <c r="E33" s="98"/>
      <c r="F33" s="98"/>
      <c r="G33" s="98"/>
      <c r="H33" s="98"/>
      <c r="I33" s="98"/>
      <c r="J33" s="98"/>
      <c r="K33" s="98"/>
      <c r="L33" s="98"/>
      <c r="M33" s="98"/>
      <c r="N33" s="99"/>
      <c r="S33" s="48"/>
    </row>
    <row r="34" spans="2:19" x14ac:dyDescent="0.2">
      <c r="B34" s="97"/>
      <c r="C34" s="98"/>
      <c r="D34" s="98"/>
      <c r="E34" s="98"/>
      <c r="F34" s="98"/>
      <c r="G34" s="98"/>
      <c r="H34" s="98"/>
      <c r="I34" s="98"/>
      <c r="J34" s="98"/>
      <c r="K34" s="98"/>
      <c r="L34" s="98"/>
      <c r="M34" s="98"/>
      <c r="N34" s="99"/>
      <c r="S34" s="48"/>
    </row>
    <row r="35" spans="2:19" x14ac:dyDescent="0.2">
      <c r="B35" s="97"/>
      <c r="C35" s="98"/>
      <c r="D35" s="98"/>
      <c r="E35" s="98"/>
      <c r="F35" s="98"/>
      <c r="G35" s="98"/>
      <c r="H35" s="98"/>
      <c r="I35" s="98"/>
      <c r="J35" s="98"/>
      <c r="K35" s="98"/>
      <c r="L35" s="98"/>
      <c r="M35" s="98"/>
      <c r="N35" s="99"/>
      <c r="S35" s="48"/>
    </row>
    <row r="36" spans="2:19" x14ac:dyDescent="0.2">
      <c r="B36" s="97"/>
      <c r="C36" s="98"/>
      <c r="D36" s="98"/>
      <c r="E36" s="98"/>
      <c r="F36" s="98"/>
      <c r="G36" s="98"/>
      <c r="H36" s="98"/>
      <c r="I36" s="98"/>
      <c r="J36" s="98"/>
      <c r="K36" s="98"/>
      <c r="L36" s="98"/>
      <c r="M36" s="98"/>
      <c r="N36" s="99"/>
      <c r="S36" s="48"/>
    </row>
    <row r="37" spans="2:19" x14ac:dyDescent="0.2">
      <c r="B37" s="97"/>
      <c r="C37" s="98"/>
      <c r="D37" s="98"/>
      <c r="E37" s="98"/>
      <c r="F37" s="98"/>
      <c r="G37" s="98"/>
      <c r="H37" s="98"/>
      <c r="I37" s="98"/>
      <c r="J37" s="98"/>
      <c r="K37" s="98"/>
      <c r="L37" s="98"/>
      <c r="M37" s="98"/>
      <c r="N37" s="99"/>
      <c r="S37" s="48"/>
    </row>
    <row r="38" spans="2:19" ht="15.75" thickBot="1" x14ac:dyDescent="0.25">
      <c r="B38" s="100"/>
      <c r="C38" s="101"/>
      <c r="D38" s="101"/>
      <c r="E38" s="101"/>
      <c r="F38" s="101"/>
      <c r="G38" s="101"/>
      <c r="H38" s="101"/>
      <c r="I38" s="101"/>
      <c r="J38" s="101"/>
      <c r="K38" s="101"/>
      <c r="L38" s="101"/>
      <c r="M38" s="101"/>
      <c r="N38" s="102"/>
      <c r="S38" s="48"/>
    </row>
    <row r="39" spans="2:19" x14ac:dyDescent="0.2">
      <c r="S39" s="48"/>
    </row>
    <row r="40" spans="2:19" x14ac:dyDescent="0.2">
      <c r="S40" s="48"/>
    </row>
    <row r="41" spans="2:19" x14ac:dyDescent="0.2">
      <c r="S41" s="48"/>
    </row>
    <row r="42" spans="2:19" x14ac:dyDescent="0.2">
      <c r="S42" s="48"/>
    </row>
    <row r="43" spans="2:19" x14ac:dyDescent="0.2">
      <c r="S43" s="48"/>
    </row>
    <row r="44" spans="2:19" x14ac:dyDescent="0.2">
      <c r="S44" s="48"/>
    </row>
    <row r="45" spans="2:19" x14ac:dyDescent="0.2">
      <c r="S45" s="48"/>
    </row>
    <row r="46" spans="2:19" x14ac:dyDescent="0.2">
      <c r="S46" s="48"/>
    </row>
    <row r="47" spans="2:19" x14ac:dyDescent="0.2">
      <c r="S47" s="48"/>
    </row>
    <row r="48" spans="2:19" x14ac:dyDescent="0.2">
      <c r="S48" s="48"/>
    </row>
    <row r="49" spans="19:19" x14ac:dyDescent="0.2">
      <c r="S49" s="48"/>
    </row>
    <row r="50" spans="19:19" x14ac:dyDescent="0.2">
      <c r="S50" s="48"/>
    </row>
    <row r="51" spans="19:19" x14ac:dyDescent="0.2">
      <c r="S51" s="48"/>
    </row>
    <row r="52" spans="19:19" x14ac:dyDescent="0.2">
      <c r="S52" s="48"/>
    </row>
    <row r="53" spans="19:19" x14ac:dyDescent="0.2">
      <c r="S53" s="48"/>
    </row>
    <row r="54" spans="19:19" x14ac:dyDescent="0.2">
      <c r="S54" s="48"/>
    </row>
    <row r="55" spans="19:19" x14ac:dyDescent="0.2">
      <c r="S55" s="48"/>
    </row>
    <row r="56" spans="19:19" x14ac:dyDescent="0.2">
      <c r="S56" s="48"/>
    </row>
    <row r="57" spans="19:19" x14ac:dyDescent="0.2">
      <c r="S57" s="48"/>
    </row>
    <row r="58" spans="19:19" x14ac:dyDescent="0.2">
      <c r="S58" s="48"/>
    </row>
    <row r="59" spans="19:19" x14ac:dyDescent="0.2">
      <c r="S59" s="48"/>
    </row>
    <row r="60" spans="19:19" x14ac:dyDescent="0.2">
      <c r="S60" s="48"/>
    </row>
    <row r="61" spans="19:19" x14ac:dyDescent="0.2">
      <c r="S61" s="48"/>
    </row>
    <row r="62" spans="19:19" x14ac:dyDescent="0.2">
      <c r="S62" s="48"/>
    </row>
    <row r="63" spans="19:19" x14ac:dyDescent="0.2">
      <c r="S63" s="48"/>
    </row>
    <row r="64" spans="19:19" x14ac:dyDescent="0.2">
      <c r="S64" s="48"/>
    </row>
    <row r="65" spans="19:19" x14ac:dyDescent="0.2">
      <c r="S65" s="48"/>
    </row>
    <row r="66" spans="19:19" x14ac:dyDescent="0.2">
      <c r="S66" s="48"/>
    </row>
    <row r="67" spans="19:19" x14ac:dyDescent="0.2">
      <c r="S67" s="48"/>
    </row>
    <row r="68" spans="19:19" x14ac:dyDescent="0.2">
      <c r="S68" s="48"/>
    </row>
    <row r="69" spans="19:19" x14ac:dyDescent="0.2">
      <c r="S69" s="48"/>
    </row>
    <row r="70" spans="19:19" x14ac:dyDescent="0.2">
      <c r="S70" s="48"/>
    </row>
    <row r="71" spans="19:19" x14ac:dyDescent="0.2">
      <c r="S71" s="48"/>
    </row>
    <row r="72" spans="19:19" x14ac:dyDescent="0.2">
      <c r="S72" s="48"/>
    </row>
    <row r="73" spans="19:19" x14ac:dyDescent="0.2">
      <c r="S73" s="48"/>
    </row>
    <row r="74" spans="19:19" x14ac:dyDescent="0.2">
      <c r="S74" s="48"/>
    </row>
    <row r="75" spans="19:19" x14ac:dyDescent="0.2">
      <c r="S75" s="48"/>
    </row>
    <row r="76" spans="19:19" x14ac:dyDescent="0.2">
      <c r="S76" s="48"/>
    </row>
    <row r="77" spans="19:19" x14ac:dyDescent="0.2">
      <c r="S77" s="48"/>
    </row>
    <row r="78" spans="19:19" x14ac:dyDescent="0.2">
      <c r="S78" s="48"/>
    </row>
    <row r="79" spans="19:19" x14ac:dyDescent="0.2">
      <c r="S79" s="48"/>
    </row>
    <row r="80" spans="19:19" x14ac:dyDescent="0.2">
      <c r="S80" s="48"/>
    </row>
    <row r="81" spans="19:19" x14ac:dyDescent="0.2">
      <c r="S81" s="48"/>
    </row>
    <row r="82" spans="19:19" x14ac:dyDescent="0.2">
      <c r="S82" s="48"/>
    </row>
    <row r="83" spans="19:19" x14ac:dyDescent="0.2">
      <c r="S83" s="48"/>
    </row>
    <row r="84" spans="19:19" x14ac:dyDescent="0.2">
      <c r="S84" s="48"/>
    </row>
    <row r="85" spans="19:19" x14ac:dyDescent="0.2">
      <c r="S85" s="48"/>
    </row>
    <row r="86" spans="19:19" x14ac:dyDescent="0.2">
      <c r="S86" s="48"/>
    </row>
    <row r="87" spans="19:19" x14ac:dyDescent="0.2">
      <c r="S87" s="48"/>
    </row>
    <row r="88" spans="19:19" x14ac:dyDescent="0.2">
      <c r="S88" s="48"/>
    </row>
    <row r="89" spans="19:19" x14ac:dyDescent="0.2">
      <c r="S89" s="48"/>
    </row>
    <row r="90" spans="19:19" x14ac:dyDescent="0.2">
      <c r="S90" s="48"/>
    </row>
    <row r="91" spans="19:19" x14ac:dyDescent="0.2">
      <c r="S91" s="48"/>
    </row>
    <row r="92" spans="19:19" x14ac:dyDescent="0.2">
      <c r="S92" s="48"/>
    </row>
    <row r="93" spans="19:19" x14ac:dyDescent="0.2">
      <c r="S93" s="48"/>
    </row>
    <row r="94" spans="19:19" x14ac:dyDescent="0.2">
      <c r="S94" s="48"/>
    </row>
    <row r="95" spans="19:19" x14ac:dyDescent="0.2">
      <c r="S95" s="48"/>
    </row>
    <row r="96" spans="19:19" x14ac:dyDescent="0.2">
      <c r="S96" s="48"/>
    </row>
    <row r="97" spans="19:19" x14ac:dyDescent="0.2">
      <c r="S97" s="48"/>
    </row>
    <row r="98" spans="19:19" x14ac:dyDescent="0.2">
      <c r="S98" s="48"/>
    </row>
    <row r="99" spans="19:19" x14ac:dyDescent="0.2">
      <c r="S99" s="48"/>
    </row>
    <row r="100" spans="19:19" x14ac:dyDescent="0.2">
      <c r="S100" s="48"/>
    </row>
    <row r="101" spans="19:19" x14ac:dyDescent="0.2">
      <c r="S101" s="48"/>
    </row>
    <row r="102" spans="19:19" x14ac:dyDescent="0.2">
      <c r="S102" s="48"/>
    </row>
    <row r="103" spans="19:19" x14ac:dyDescent="0.2">
      <c r="S103" s="48"/>
    </row>
    <row r="104" spans="19:19" x14ac:dyDescent="0.2">
      <c r="S104" s="48"/>
    </row>
    <row r="105" spans="19:19" x14ac:dyDescent="0.2">
      <c r="S105" s="48"/>
    </row>
    <row r="106" spans="19:19" x14ac:dyDescent="0.2">
      <c r="S106" s="48"/>
    </row>
    <row r="107" spans="19:19" x14ac:dyDescent="0.2">
      <c r="S107" s="48"/>
    </row>
    <row r="108" spans="19:19" x14ac:dyDescent="0.2">
      <c r="S108" s="48"/>
    </row>
    <row r="109" spans="19:19" x14ac:dyDescent="0.2">
      <c r="S109" s="48"/>
    </row>
    <row r="110" spans="19:19" x14ac:dyDescent="0.2">
      <c r="S110" s="48"/>
    </row>
    <row r="111" spans="19:19" x14ac:dyDescent="0.2">
      <c r="S111" s="48"/>
    </row>
    <row r="112" spans="19:19" x14ac:dyDescent="0.2">
      <c r="S112" s="48"/>
    </row>
    <row r="113" spans="19:19" x14ac:dyDescent="0.2">
      <c r="S113" s="48"/>
    </row>
    <row r="114" spans="19:19" x14ac:dyDescent="0.2">
      <c r="S114" s="48"/>
    </row>
    <row r="115" spans="19:19" x14ac:dyDescent="0.2">
      <c r="S115" s="48"/>
    </row>
    <row r="116" spans="19:19" x14ac:dyDescent="0.2">
      <c r="S116" s="48"/>
    </row>
    <row r="117" spans="19:19" x14ac:dyDescent="0.2">
      <c r="S117" s="48"/>
    </row>
    <row r="118" spans="19:19" x14ac:dyDescent="0.2">
      <c r="S118" s="48"/>
    </row>
    <row r="119" spans="19:19" x14ac:dyDescent="0.2">
      <c r="S119" s="48"/>
    </row>
    <row r="120" spans="19:19" x14ac:dyDescent="0.2">
      <c r="S120" s="48"/>
    </row>
    <row r="121" spans="19:19" x14ac:dyDescent="0.2">
      <c r="S121" s="48"/>
    </row>
    <row r="122" spans="19:19" x14ac:dyDescent="0.2">
      <c r="S122" s="48"/>
    </row>
    <row r="123" spans="19:19" x14ac:dyDescent="0.2">
      <c r="S123" s="48"/>
    </row>
    <row r="124" spans="19:19" x14ac:dyDescent="0.2">
      <c r="S124" s="48"/>
    </row>
    <row r="125" spans="19:19" x14ac:dyDescent="0.2">
      <c r="S125" s="48"/>
    </row>
    <row r="126" spans="19:19" x14ac:dyDescent="0.2">
      <c r="S126" s="48"/>
    </row>
    <row r="127" spans="19:19" x14ac:dyDescent="0.2">
      <c r="S127" s="48"/>
    </row>
    <row r="128" spans="19:19" x14ac:dyDescent="0.2">
      <c r="S128" s="48"/>
    </row>
    <row r="129" spans="19:19" x14ac:dyDescent="0.2">
      <c r="S129" s="48"/>
    </row>
    <row r="130" spans="19:19" x14ac:dyDescent="0.2">
      <c r="S130" s="48"/>
    </row>
    <row r="131" spans="19:19" x14ac:dyDescent="0.2">
      <c r="S131" s="48"/>
    </row>
    <row r="132" spans="19:19" x14ac:dyDescent="0.2">
      <c r="S132" s="48"/>
    </row>
    <row r="133" spans="19:19" x14ac:dyDescent="0.2">
      <c r="S133" s="48"/>
    </row>
    <row r="134" spans="19:19" x14ac:dyDescent="0.2">
      <c r="S134" s="48"/>
    </row>
    <row r="135" spans="19:19" x14ac:dyDescent="0.2">
      <c r="S135" s="48"/>
    </row>
    <row r="136" spans="19:19" x14ac:dyDescent="0.2">
      <c r="S136" s="48"/>
    </row>
    <row r="137" spans="19:19" x14ac:dyDescent="0.2">
      <c r="S137" s="48"/>
    </row>
    <row r="138" spans="19:19" x14ac:dyDescent="0.2">
      <c r="S138" s="48"/>
    </row>
    <row r="139" spans="19:19" x14ac:dyDescent="0.2">
      <c r="S139" s="48"/>
    </row>
    <row r="140" spans="19:19" x14ac:dyDescent="0.2">
      <c r="S140" s="48"/>
    </row>
    <row r="141" spans="19:19" x14ac:dyDescent="0.2">
      <c r="S141" s="48"/>
    </row>
    <row r="142" spans="19:19" x14ac:dyDescent="0.2">
      <c r="S142" s="48"/>
    </row>
    <row r="143" spans="19:19" x14ac:dyDescent="0.2">
      <c r="S143" s="48"/>
    </row>
    <row r="144" spans="19:19" x14ac:dyDescent="0.2">
      <c r="S144" s="48"/>
    </row>
    <row r="145" spans="19:19" x14ac:dyDescent="0.2">
      <c r="S145" s="48"/>
    </row>
    <row r="146" spans="19:19" x14ac:dyDescent="0.2">
      <c r="S146" s="48"/>
    </row>
    <row r="147" spans="19:19" x14ac:dyDescent="0.2">
      <c r="S147" s="48"/>
    </row>
    <row r="148" spans="19:19" x14ac:dyDescent="0.2">
      <c r="S148" s="48"/>
    </row>
    <row r="149" spans="19:19" x14ac:dyDescent="0.2">
      <c r="S149" s="48"/>
    </row>
    <row r="150" spans="19:19" x14ac:dyDescent="0.2">
      <c r="S150" s="48"/>
    </row>
    <row r="151" spans="19:19" x14ac:dyDescent="0.2">
      <c r="S151" s="48"/>
    </row>
    <row r="152" spans="19:19" x14ac:dyDescent="0.2">
      <c r="S152" s="48"/>
    </row>
    <row r="153" spans="19:19" x14ac:dyDescent="0.2">
      <c r="S153" s="48"/>
    </row>
    <row r="154" spans="19:19" x14ac:dyDescent="0.2">
      <c r="S154" s="48"/>
    </row>
    <row r="155" spans="19:19" x14ac:dyDescent="0.2">
      <c r="S155" s="48"/>
    </row>
    <row r="156" spans="19:19" x14ac:dyDescent="0.2">
      <c r="S156" s="48"/>
    </row>
    <row r="157" spans="19:19" x14ac:dyDescent="0.2">
      <c r="S157" s="48"/>
    </row>
    <row r="158" spans="19:19" x14ac:dyDescent="0.2">
      <c r="S158" s="48"/>
    </row>
    <row r="159" spans="19:19" x14ac:dyDescent="0.2">
      <c r="S159" s="48"/>
    </row>
    <row r="160" spans="19:19" x14ac:dyDescent="0.2">
      <c r="S160" s="48"/>
    </row>
    <row r="161" spans="19:19" x14ac:dyDescent="0.2">
      <c r="S161" s="48"/>
    </row>
    <row r="162" spans="19:19" x14ac:dyDescent="0.2">
      <c r="S162" s="48"/>
    </row>
    <row r="163" spans="19:19" x14ac:dyDescent="0.2">
      <c r="S163" s="48"/>
    </row>
    <row r="164" spans="19:19" x14ac:dyDescent="0.2">
      <c r="S164" s="48"/>
    </row>
    <row r="165" spans="19:19" x14ac:dyDescent="0.2">
      <c r="S165" s="48"/>
    </row>
    <row r="166" spans="19:19" x14ac:dyDescent="0.2">
      <c r="S166" s="48"/>
    </row>
    <row r="167" spans="19:19" x14ac:dyDescent="0.2">
      <c r="S167" s="48"/>
    </row>
    <row r="168" spans="19:19" x14ac:dyDescent="0.2">
      <c r="S168" s="48"/>
    </row>
    <row r="169" spans="19:19" x14ac:dyDescent="0.2">
      <c r="S169" s="48"/>
    </row>
    <row r="170" spans="19:19" x14ac:dyDescent="0.2">
      <c r="S170" s="48"/>
    </row>
    <row r="171" spans="19:19" x14ac:dyDescent="0.2">
      <c r="S171" s="48"/>
    </row>
    <row r="172" spans="19:19" x14ac:dyDescent="0.2">
      <c r="S172" s="48"/>
    </row>
    <row r="173" spans="19:19" x14ac:dyDescent="0.2">
      <c r="S173" s="48"/>
    </row>
    <row r="174" spans="19:19" x14ac:dyDescent="0.2">
      <c r="S174" s="48"/>
    </row>
    <row r="175" spans="19:19" x14ac:dyDescent="0.2">
      <c r="S175" s="48"/>
    </row>
    <row r="176" spans="19:19" x14ac:dyDescent="0.2">
      <c r="S176" s="48"/>
    </row>
    <row r="177" spans="19:19" x14ac:dyDescent="0.2">
      <c r="S177" s="48"/>
    </row>
    <row r="178" spans="19:19" x14ac:dyDescent="0.2">
      <c r="S178" s="48"/>
    </row>
    <row r="179" spans="19:19" x14ac:dyDescent="0.2">
      <c r="S179" s="48"/>
    </row>
    <row r="180" spans="19:19" x14ac:dyDescent="0.2">
      <c r="S180" s="48"/>
    </row>
    <row r="181" spans="19:19" x14ac:dyDescent="0.2">
      <c r="S181" s="48"/>
    </row>
    <row r="182" spans="19:19" x14ac:dyDescent="0.2">
      <c r="S182" s="48"/>
    </row>
    <row r="183" spans="19:19" x14ac:dyDescent="0.2">
      <c r="S183" s="48"/>
    </row>
    <row r="184" spans="19:19" x14ac:dyDescent="0.2">
      <c r="S184" s="48"/>
    </row>
    <row r="185" spans="19:19" x14ac:dyDescent="0.2">
      <c r="S185" s="48"/>
    </row>
    <row r="186" spans="19:19" x14ac:dyDescent="0.2">
      <c r="S186" s="48"/>
    </row>
    <row r="187" spans="19:19" x14ac:dyDescent="0.2">
      <c r="S187" s="48"/>
    </row>
    <row r="188" spans="19:19" x14ac:dyDescent="0.2">
      <c r="S188" s="48"/>
    </row>
    <row r="189" spans="19:19" x14ac:dyDescent="0.2">
      <c r="S189" s="48"/>
    </row>
    <row r="190" spans="19:19" x14ac:dyDescent="0.2">
      <c r="S190" s="48"/>
    </row>
    <row r="191" spans="19:19" x14ac:dyDescent="0.2">
      <c r="S191" s="48"/>
    </row>
    <row r="192" spans="19:19" x14ac:dyDescent="0.2">
      <c r="S192" s="48"/>
    </row>
    <row r="193" spans="19:19" x14ac:dyDescent="0.2">
      <c r="S193" s="48"/>
    </row>
    <row r="194" spans="19:19" x14ac:dyDescent="0.2">
      <c r="S194" s="48"/>
    </row>
    <row r="195" spans="19:19" x14ac:dyDescent="0.2">
      <c r="S195" s="48"/>
    </row>
    <row r="196" spans="19:19" x14ac:dyDescent="0.2">
      <c r="S196" s="48"/>
    </row>
    <row r="197" spans="19:19" x14ac:dyDescent="0.2">
      <c r="S197" s="48"/>
    </row>
    <row r="198" spans="19:19" x14ac:dyDescent="0.2">
      <c r="S198" s="48"/>
    </row>
    <row r="199" spans="19:19" x14ac:dyDescent="0.2">
      <c r="S199" s="48"/>
    </row>
    <row r="200" spans="19:19" x14ac:dyDescent="0.2">
      <c r="S200" s="48"/>
    </row>
    <row r="201" spans="19:19" x14ac:dyDescent="0.2">
      <c r="S201" s="48"/>
    </row>
    <row r="202" spans="19:19" x14ac:dyDescent="0.2">
      <c r="S202" s="48"/>
    </row>
    <row r="203" spans="19:19" x14ac:dyDescent="0.2">
      <c r="S203" s="48"/>
    </row>
    <row r="204" spans="19:19" x14ac:dyDescent="0.2">
      <c r="S204" s="48"/>
    </row>
    <row r="205" spans="19:19" x14ac:dyDescent="0.2">
      <c r="S205" s="48"/>
    </row>
    <row r="206" spans="19:19" x14ac:dyDescent="0.2">
      <c r="S206" s="48"/>
    </row>
    <row r="207" spans="19:19" x14ac:dyDescent="0.2">
      <c r="S207" s="48"/>
    </row>
    <row r="208" spans="19:19" x14ac:dyDescent="0.2">
      <c r="S208" s="48"/>
    </row>
    <row r="209" spans="19:19" x14ac:dyDescent="0.2">
      <c r="S209" s="48"/>
    </row>
    <row r="210" spans="19:19" x14ac:dyDescent="0.2">
      <c r="S210" s="48"/>
    </row>
    <row r="211" spans="19:19" x14ac:dyDescent="0.2">
      <c r="S211" s="48"/>
    </row>
    <row r="212" spans="19:19" x14ac:dyDescent="0.2">
      <c r="S212" s="48"/>
    </row>
    <row r="213" spans="19:19" x14ac:dyDescent="0.2">
      <c r="S213" s="48"/>
    </row>
    <row r="214" spans="19:19" x14ac:dyDescent="0.2">
      <c r="S214" s="48"/>
    </row>
    <row r="215" spans="19:19" x14ac:dyDescent="0.2">
      <c r="S215" s="48"/>
    </row>
    <row r="216" spans="19:19" x14ac:dyDescent="0.2">
      <c r="S216" s="48"/>
    </row>
    <row r="217" spans="19:19" x14ac:dyDescent="0.2">
      <c r="S217" s="48"/>
    </row>
    <row r="218" spans="19:19" x14ac:dyDescent="0.2">
      <c r="S218" s="48"/>
    </row>
    <row r="219" spans="19:19" x14ac:dyDescent="0.2">
      <c r="S219" s="48"/>
    </row>
    <row r="220" spans="19:19" x14ac:dyDescent="0.2">
      <c r="S220" s="48"/>
    </row>
    <row r="221" spans="19:19" x14ac:dyDescent="0.2">
      <c r="S221" s="48"/>
    </row>
    <row r="222" spans="19:19" x14ac:dyDescent="0.2">
      <c r="S222" s="48"/>
    </row>
    <row r="223" spans="19:19" x14ac:dyDescent="0.2">
      <c r="S223" s="48"/>
    </row>
    <row r="224" spans="19:19" x14ac:dyDescent="0.2">
      <c r="S224" s="48"/>
    </row>
    <row r="225" spans="19:19" x14ac:dyDescent="0.2">
      <c r="S225" s="48"/>
    </row>
    <row r="226" spans="19:19" x14ac:dyDescent="0.2">
      <c r="S226" s="48"/>
    </row>
    <row r="227" spans="19:19" x14ac:dyDescent="0.2">
      <c r="S227" s="48"/>
    </row>
    <row r="228" spans="19:19" x14ac:dyDescent="0.2">
      <c r="S228" s="48"/>
    </row>
    <row r="229" spans="19:19" x14ac:dyDescent="0.2">
      <c r="S229" s="48"/>
    </row>
    <row r="230" spans="19:19" x14ac:dyDescent="0.2">
      <c r="S230" s="48"/>
    </row>
    <row r="231" spans="19:19" x14ac:dyDescent="0.2">
      <c r="S231" s="48"/>
    </row>
    <row r="232" spans="19:19" x14ac:dyDescent="0.2">
      <c r="S232" s="48"/>
    </row>
    <row r="233" spans="19:19" x14ac:dyDescent="0.2">
      <c r="S233" s="48"/>
    </row>
    <row r="234" spans="19:19" x14ac:dyDescent="0.2">
      <c r="S234" s="48"/>
    </row>
    <row r="235" spans="19:19" x14ac:dyDescent="0.2">
      <c r="S235" s="48"/>
    </row>
    <row r="236" spans="19:19" x14ac:dyDescent="0.2">
      <c r="S236" s="48"/>
    </row>
    <row r="237" spans="19:19" x14ac:dyDescent="0.2">
      <c r="S237" s="48"/>
    </row>
    <row r="238" spans="19:19" x14ac:dyDescent="0.2">
      <c r="S238" s="48"/>
    </row>
    <row r="239" spans="19:19" x14ac:dyDescent="0.2">
      <c r="S239" s="48"/>
    </row>
    <row r="240" spans="19:19" x14ac:dyDescent="0.2">
      <c r="S240" s="48"/>
    </row>
    <row r="241" spans="19:19" x14ac:dyDescent="0.2">
      <c r="S241" s="48"/>
    </row>
    <row r="242" spans="19:19" x14ac:dyDescent="0.2">
      <c r="S242" s="48"/>
    </row>
    <row r="243" spans="19:19" x14ac:dyDescent="0.2">
      <c r="S243" s="48"/>
    </row>
    <row r="244" spans="19:19" x14ac:dyDescent="0.2">
      <c r="S244" s="48"/>
    </row>
    <row r="245" spans="19:19" x14ac:dyDescent="0.2">
      <c r="S245" s="48"/>
    </row>
    <row r="246" spans="19:19" x14ac:dyDescent="0.2">
      <c r="S246" s="48"/>
    </row>
    <row r="247" spans="19:19" x14ac:dyDescent="0.2">
      <c r="S247" s="48"/>
    </row>
    <row r="248" spans="19:19" x14ac:dyDescent="0.2">
      <c r="S248" s="48"/>
    </row>
    <row r="249" spans="19:19" x14ac:dyDescent="0.2">
      <c r="S249" s="48"/>
    </row>
    <row r="250" spans="19:19" x14ac:dyDescent="0.2">
      <c r="S250" s="48"/>
    </row>
    <row r="251" spans="19:19" x14ac:dyDescent="0.2">
      <c r="S251" s="48"/>
    </row>
    <row r="252" spans="19:19" x14ac:dyDescent="0.2">
      <c r="S252" s="48"/>
    </row>
    <row r="253" spans="19:19" x14ac:dyDescent="0.2">
      <c r="S253" s="48"/>
    </row>
    <row r="254" spans="19:19" x14ac:dyDescent="0.2">
      <c r="S254" s="48"/>
    </row>
    <row r="255" spans="19:19" x14ac:dyDescent="0.2">
      <c r="S255" s="48"/>
    </row>
    <row r="256" spans="19:19" x14ac:dyDescent="0.2">
      <c r="S256" s="48"/>
    </row>
    <row r="257" spans="19:19" x14ac:dyDescent="0.2">
      <c r="S257" s="48"/>
    </row>
    <row r="258" spans="19:19" x14ac:dyDescent="0.2">
      <c r="S258" s="48"/>
    </row>
    <row r="259" spans="19:19" x14ac:dyDescent="0.2">
      <c r="S259" s="48"/>
    </row>
    <row r="260" spans="19:19" x14ac:dyDescent="0.2">
      <c r="S260" s="48"/>
    </row>
    <row r="261" spans="19:19" x14ac:dyDescent="0.2">
      <c r="S261" s="48"/>
    </row>
    <row r="262" spans="19:19" x14ac:dyDescent="0.2">
      <c r="S262" s="48"/>
    </row>
    <row r="263" spans="19:19" x14ac:dyDescent="0.2">
      <c r="S263" s="48"/>
    </row>
    <row r="264" spans="19:19" x14ac:dyDescent="0.2">
      <c r="S264" s="48"/>
    </row>
    <row r="265" spans="19:19" x14ac:dyDescent="0.2">
      <c r="S265" s="48"/>
    </row>
    <row r="266" spans="19:19" x14ac:dyDescent="0.2">
      <c r="S266" s="48"/>
    </row>
    <row r="267" spans="19:19" x14ac:dyDescent="0.2">
      <c r="S267" s="48"/>
    </row>
    <row r="268" spans="19:19" x14ac:dyDescent="0.2">
      <c r="S268" s="48"/>
    </row>
    <row r="269" spans="19:19" x14ac:dyDescent="0.2">
      <c r="S269" s="48"/>
    </row>
    <row r="270" spans="19:19" x14ac:dyDescent="0.2">
      <c r="S270" s="48"/>
    </row>
    <row r="271" spans="19:19" x14ac:dyDescent="0.2">
      <c r="S271" s="48"/>
    </row>
    <row r="272" spans="19:19" x14ac:dyDescent="0.2">
      <c r="S272" s="48"/>
    </row>
    <row r="273" spans="19:19" x14ac:dyDescent="0.2">
      <c r="S273" s="48"/>
    </row>
    <row r="274" spans="19:19" x14ac:dyDescent="0.2">
      <c r="S274" s="48"/>
    </row>
    <row r="275" spans="19:19" x14ac:dyDescent="0.2">
      <c r="S275" s="48"/>
    </row>
    <row r="276" spans="19:19" x14ac:dyDescent="0.2">
      <c r="S276" s="48"/>
    </row>
    <row r="277" spans="19:19" x14ac:dyDescent="0.2">
      <c r="S277" s="48"/>
    </row>
    <row r="278" spans="19:19" x14ac:dyDescent="0.2">
      <c r="S278" s="48"/>
    </row>
    <row r="279" spans="19:19" x14ac:dyDescent="0.2">
      <c r="S279" s="48"/>
    </row>
    <row r="280" spans="19:19" x14ac:dyDescent="0.2">
      <c r="S280" s="48"/>
    </row>
    <row r="281" spans="19:19" x14ac:dyDescent="0.2">
      <c r="S281" s="48"/>
    </row>
    <row r="282" spans="19:19" x14ac:dyDescent="0.2">
      <c r="S282" s="48"/>
    </row>
    <row r="283" spans="19:19" x14ac:dyDescent="0.2">
      <c r="S283" s="48"/>
    </row>
    <row r="284" spans="19:19" x14ac:dyDescent="0.2">
      <c r="S284" s="48"/>
    </row>
    <row r="285" spans="19:19" x14ac:dyDescent="0.2">
      <c r="S285" s="48"/>
    </row>
    <row r="286" spans="19:19" x14ac:dyDescent="0.2">
      <c r="S286" s="48"/>
    </row>
    <row r="287" spans="19:19" x14ac:dyDescent="0.2">
      <c r="S287" s="48"/>
    </row>
    <row r="288" spans="19:19" x14ac:dyDescent="0.2">
      <c r="S288" s="48"/>
    </row>
    <row r="289" spans="19:19" x14ac:dyDescent="0.2">
      <c r="S289" s="48"/>
    </row>
    <row r="290" spans="19:19" x14ac:dyDescent="0.2">
      <c r="S290" s="48"/>
    </row>
    <row r="291" spans="19:19" x14ac:dyDescent="0.2">
      <c r="S291" s="48"/>
    </row>
    <row r="292" spans="19:19" x14ac:dyDescent="0.2">
      <c r="S292" s="48"/>
    </row>
    <row r="293" spans="19:19" x14ac:dyDescent="0.2">
      <c r="S293" s="48"/>
    </row>
    <row r="294" spans="19:19" x14ac:dyDescent="0.2">
      <c r="S294" s="48"/>
    </row>
    <row r="295" spans="19:19" x14ac:dyDescent="0.2">
      <c r="S295" s="48"/>
    </row>
    <row r="296" spans="19:19" x14ac:dyDescent="0.2">
      <c r="S296" s="48"/>
    </row>
    <row r="297" spans="19:19" x14ac:dyDescent="0.2">
      <c r="S297" s="48"/>
    </row>
    <row r="298" spans="19:19" x14ac:dyDescent="0.2">
      <c r="S298" s="48"/>
    </row>
    <row r="299" spans="19:19" x14ac:dyDescent="0.2">
      <c r="S299" s="48"/>
    </row>
    <row r="300" spans="19:19" x14ac:dyDescent="0.2">
      <c r="S300" s="48"/>
    </row>
    <row r="301" spans="19:19" x14ac:dyDescent="0.2">
      <c r="S301" s="48"/>
    </row>
    <row r="302" spans="19:19" x14ac:dyDescent="0.2">
      <c r="S302" s="48"/>
    </row>
    <row r="303" spans="19:19" x14ac:dyDescent="0.2">
      <c r="S303" s="48"/>
    </row>
    <row r="304" spans="19:19" x14ac:dyDescent="0.2">
      <c r="S304" s="48"/>
    </row>
    <row r="305" spans="19:19" x14ac:dyDescent="0.2">
      <c r="S305" s="48"/>
    </row>
    <row r="306" spans="19:19" x14ac:dyDescent="0.2">
      <c r="S306" s="48"/>
    </row>
    <row r="307" spans="19:19" x14ac:dyDescent="0.2">
      <c r="S307" s="48"/>
    </row>
    <row r="308" spans="19:19" x14ac:dyDescent="0.2">
      <c r="S308" s="48"/>
    </row>
    <row r="309" spans="19:19" x14ac:dyDescent="0.2">
      <c r="S309" s="48"/>
    </row>
    <row r="310" spans="19:19" x14ac:dyDescent="0.2">
      <c r="S310" s="48"/>
    </row>
    <row r="311" spans="19:19" x14ac:dyDescent="0.2">
      <c r="S311" s="48"/>
    </row>
    <row r="312" spans="19:19" x14ac:dyDescent="0.2">
      <c r="S312" s="48"/>
    </row>
    <row r="313" spans="19:19" x14ac:dyDescent="0.2">
      <c r="S313" s="48"/>
    </row>
    <row r="314" spans="19:19" x14ac:dyDescent="0.2">
      <c r="S314" s="48"/>
    </row>
    <row r="315" spans="19:19" x14ac:dyDescent="0.2">
      <c r="S315" s="48"/>
    </row>
    <row r="316" spans="19:19" x14ac:dyDescent="0.2">
      <c r="S316" s="48"/>
    </row>
    <row r="317" spans="19:19" x14ac:dyDescent="0.2">
      <c r="S317" s="48"/>
    </row>
    <row r="318" spans="19:19" x14ac:dyDescent="0.2">
      <c r="S318" s="48"/>
    </row>
    <row r="319" spans="19:19" x14ac:dyDescent="0.2">
      <c r="S319" s="48"/>
    </row>
    <row r="320" spans="19:19" x14ac:dyDescent="0.2">
      <c r="S320" s="48"/>
    </row>
    <row r="321" spans="19:19" x14ac:dyDescent="0.2">
      <c r="S321" s="48"/>
    </row>
    <row r="322" spans="19:19" x14ac:dyDescent="0.2">
      <c r="S322" s="48"/>
    </row>
    <row r="323" spans="19:19" x14ac:dyDescent="0.2">
      <c r="S323" s="48"/>
    </row>
    <row r="324" spans="19:19" x14ac:dyDescent="0.2">
      <c r="S324" s="48"/>
    </row>
    <row r="325" spans="19:19" x14ac:dyDescent="0.2">
      <c r="S325" s="48"/>
    </row>
    <row r="326" spans="19:19" x14ac:dyDescent="0.2">
      <c r="S326" s="48"/>
    </row>
    <row r="327" spans="19:19" x14ac:dyDescent="0.2">
      <c r="S327" s="48"/>
    </row>
    <row r="328" spans="19:19" x14ac:dyDescent="0.2">
      <c r="S328" s="48"/>
    </row>
    <row r="329" spans="19:19" x14ac:dyDescent="0.2">
      <c r="S329" s="48"/>
    </row>
    <row r="330" spans="19:19" x14ac:dyDescent="0.2">
      <c r="S330" s="48"/>
    </row>
    <row r="331" spans="19:19" x14ac:dyDescent="0.2">
      <c r="S331" s="48"/>
    </row>
    <row r="332" spans="19:19" x14ac:dyDescent="0.2">
      <c r="S332" s="48"/>
    </row>
    <row r="333" spans="19:19" x14ac:dyDescent="0.2">
      <c r="S333" s="48"/>
    </row>
    <row r="334" spans="19:19" x14ac:dyDescent="0.2">
      <c r="S334" s="48"/>
    </row>
    <row r="335" spans="19:19" x14ac:dyDescent="0.2">
      <c r="S335" s="48"/>
    </row>
    <row r="336" spans="19:19" x14ac:dyDescent="0.2">
      <c r="S336" s="48"/>
    </row>
    <row r="337" spans="19:19" x14ac:dyDescent="0.2">
      <c r="S337" s="48"/>
    </row>
    <row r="338" spans="19:19" x14ac:dyDescent="0.2">
      <c r="S338" s="48"/>
    </row>
    <row r="339" spans="19:19" x14ac:dyDescent="0.2">
      <c r="S339" s="48"/>
    </row>
    <row r="340" spans="19:19" x14ac:dyDescent="0.2">
      <c r="S340" s="48"/>
    </row>
    <row r="341" spans="19:19" x14ac:dyDescent="0.2">
      <c r="S341" s="48"/>
    </row>
    <row r="342" spans="19:19" x14ac:dyDescent="0.2">
      <c r="S342" s="48"/>
    </row>
    <row r="343" spans="19:19" x14ac:dyDescent="0.2">
      <c r="S343" s="48"/>
    </row>
    <row r="344" spans="19:19" x14ac:dyDescent="0.2">
      <c r="S344" s="48"/>
    </row>
    <row r="345" spans="19:19" x14ac:dyDescent="0.2">
      <c r="S345" s="48"/>
    </row>
    <row r="346" spans="19:19" x14ac:dyDescent="0.2">
      <c r="S346" s="48"/>
    </row>
    <row r="347" spans="19:19" x14ac:dyDescent="0.2">
      <c r="S347" s="48"/>
    </row>
    <row r="348" spans="19:19" x14ac:dyDescent="0.2">
      <c r="S348" s="48"/>
    </row>
    <row r="349" spans="19:19" x14ac:dyDescent="0.2">
      <c r="S349" s="48"/>
    </row>
    <row r="350" spans="19:19" x14ac:dyDescent="0.2">
      <c r="S350" s="48"/>
    </row>
    <row r="351" spans="19:19" x14ac:dyDescent="0.2">
      <c r="S351" s="48"/>
    </row>
    <row r="352" spans="19:19" x14ac:dyDescent="0.2">
      <c r="S352" s="48"/>
    </row>
    <row r="353" spans="19:19" x14ac:dyDescent="0.2">
      <c r="S353" s="48"/>
    </row>
    <row r="354" spans="19:19" x14ac:dyDescent="0.2">
      <c r="S354" s="48"/>
    </row>
    <row r="355" spans="19:19" x14ac:dyDescent="0.2">
      <c r="S355" s="48"/>
    </row>
    <row r="356" spans="19:19" x14ac:dyDescent="0.2">
      <c r="S356" s="48"/>
    </row>
    <row r="357" spans="19:19" x14ac:dyDescent="0.2">
      <c r="S357" s="48"/>
    </row>
    <row r="358" spans="19:19" x14ac:dyDescent="0.2">
      <c r="S358" s="48"/>
    </row>
    <row r="359" spans="19:19" x14ac:dyDescent="0.2">
      <c r="S359" s="48"/>
    </row>
    <row r="360" spans="19:19" x14ac:dyDescent="0.2">
      <c r="S360" s="48"/>
    </row>
    <row r="361" spans="19:19" x14ac:dyDescent="0.2">
      <c r="S361" s="48"/>
    </row>
    <row r="362" spans="19:19" x14ac:dyDescent="0.2">
      <c r="S362" s="48"/>
    </row>
    <row r="363" spans="19:19" x14ac:dyDescent="0.2">
      <c r="S363" s="48"/>
    </row>
    <row r="364" spans="19:19" x14ac:dyDescent="0.2">
      <c r="S364" s="48"/>
    </row>
    <row r="365" spans="19:19" x14ac:dyDescent="0.2">
      <c r="S365" s="48"/>
    </row>
    <row r="366" spans="19:19" x14ac:dyDescent="0.2">
      <c r="S366" s="48"/>
    </row>
    <row r="367" spans="19:19" x14ac:dyDescent="0.2">
      <c r="S367" s="48"/>
    </row>
    <row r="368" spans="19:19" x14ac:dyDescent="0.2">
      <c r="S368" s="48"/>
    </row>
    <row r="369" spans="19:19" x14ac:dyDescent="0.2">
      <c r="S369" s="48"/>
    </row>
    <row r="370" spans="19:19" x14ac:dyDescent="0.2">
      <c r="S370" s="48"/>
    </row>
    <row r="371" spans="19:19" x14ac:dyDescent="0.2">
      <c r="S371" s="48"/>
    </row>
    <row r="372" spans="19:19" x14ac:dyDescent="0.2">
      <c r="S372" s="48"/>
    </row>
    <row r="373" spans="19:19" x14ac:dyDescent="0.2">
      <c r="S373" s="48"/>
    </row>
    <row r="374" spans="19:19" x14ac:dyDescent="0.2">
      <c r="S374" s="48"/>
    </row>
    <row r="375" spans="19:19" x14ac:dyDescent="0.2">
      <c r="S375" s="48"/>
    </row>
    <row r="376" spans="19:19" x14ac:dyDescent="0.2">
      <c r="S376" s="48"/>
    </row>
    <row r="377" spans="19:19" x14ac:dyDescent="0.2">
      <c r="S377" s="48"/>
    </row>
    <row r="378" spans="19:19" x14ac:dyDescent="0.2">
      <c r="S378" s="48"/>
    </row>
    <row r="379" spans="19:19" x14ac:dyDescent="0.2">
      <c r="S379" s="48"/>
    </row>
    <row r="380" spans="19:19" x14ac:dyDescent="0.2">
      <c r="S380" s="48"/>
    </row>
    <row r="381" spans="19:19" x14ac:dyDescent="0.2">
      <c r="S381" s="48"/>
    </row>
    <row r="382" spans="19:19" x14ac:dyDescent="0.2">
      <c r="S382" s="48"/>
    </row>
    <row r="383" spans="19:19" x14ac:dyDescent="0.2">
      <c r="S383" s="48"/>
    </row>
    <row r="384" spans="19:19" x14ac:dyDescent="0.2">
      <c r="S384" s="48"/>
    </row>
    <row r="385" spans="19:19" x14ac:dyDescent="0.2">
      <c r="S385" s="48"/>
    </row>
    <row r="386" spans="19:19" x14ac:dyDescent="0.2">
      <c r="S386" s="48"/>
    </row>
    <row r="387" spans="19:19" x14ac:dyDescent="0.2">
      <c r="S387" s="48"/>
    </row>
    <row r="388" spans="19:19" x14ac:dyDescent="0.2">
      <c r="S388" s="48"/>
    </row>
    <row r="389" spans="19:19" x14ac:dyDescent="0.2">
      <c r="S389" s="48"/>
    </row>
    <row r="390" spans="19:19" x14ac:dyDescent="0.2">
      <c r="S390" s="48"/>
    </row>
    <row r="391" spans="19:19" x14ac:dyDescent="0.2">
      <c r="S391" s="48"/>
    </row>
    <row r="392" spans="19:19" x14ac:dyDescent="0.2">
      <c r="S392" s="48"/>
    </row>
    <row r="393" spans="19:19" x14ac:dyDescent="0.2">
      <c r="S393" s="48"/>
    </row>
    <row r="394" spans="19:19" x14ac:dyDescent="0.2">
      <c r="S394" s="48"/>
    </row>
    <row r="395" spans="19:19" x14ac:dyDescent="0.2">
      <c r="S395" s="48"/>
    </row>
    <row r="396" spans="19:19" x14ac:dyDescent="0.2">
      <c r="S396" s="48"/>
    </row>
    <row r="397" spans="19:19" x14ac:dyDescent="0.2">
      <c r="S397" s="48"/>
    </row>
    <row r="398" spans="19:19" x14ac:dyDescent="0.2">
      <c r="S398" s="48"/>
    </row>
    <row r="399" spans="19:19" x14ac:dyDescent="0.2">
      <c r="S399" s="48"/>
    </row>
    <row r="400" spans="19:19" x14ac:dyDescent="0.2">
      <c r="S400" s="48"/>
    </row>
    <row r="401" spans="19:19" x14ac:dyDescent="0.2">
      <c r="S401" s="48"/>
    </row>
    <row r="402" spans="19:19" x14ac:dyDescent="0.2">
      <c r="S402" s="48"/>
    </row>
    <row r="403" spans="19:19" x14ac:dyDescent="0.2">
      <c r="S403" s="48"/>
    </row>
    <row r="404" spans="19:19" x14ac:dyDescent="0.2">
      <c r="S404" s="48"/>
    </row>
    <row r="405" spans="19:19" x14ac:dyDescent="0.2">
      <c r="S405" s="48"/>
    </row>
    <row r="406" spans="19:19" x14ac:dyDescent="0.2">
      <c r="S406" s="48"/>
    </row>
    <row r="407" spans="19:19" x14ac:dyDescent="0.2">
      <c r="S407" s="48"/>
    </row>
    <row r="408" spans="19:19" x14ac:dyDescent="0.2">
      <c r="S408" s="48"/>
    </row>
    <row r="409" spans="19:19" x14ac:dyDescent="0.2">
      <c r="S409" s="48"/>
    </row>
    <row r="410" spans="19:19" x14ac:dyDescent="0.2">
      <c r="S410" s="48"/>
    </row>
    <row r="411" spans="19:19" x14ac:dyDescent="0.2">
      <c r="S411" s="48"/>
    </row>
    <row r="412" spans="19:19" x14ac:dyDescent="0.2">
      <c r="S412" s="48"/>
    </row>
    <row r="413" spans="19:19" x14ac:dyDescent="0.2">
      <c r="S413" s="48"/>
    </row>
    <row r="414" spans="19:19" x14ac:dyDescent="0.2">
      <c r="S414" s="48"/>
    </row>
    <row r="415" spans="19:19" x14ac:dyDescent="0.2">
      <c r="S415" s="48"/>
    </row>
    <row r="416" spans="19:19" x14ac:dyDescent="0.2">
      <c r="S416" s="48"/>
    </row>
    <row r="417" spans="19:19" x14ac:dyDescent="0.2">
      <c r="S417" s="48"/>
    </row>
    <row r="418" spans="19:19" x14ac:dyDescent="0.2">
      <c r="S418" s="48"/>
    </row>
    <row r="419" spans="19:19" x14ac:dyDescent="0.2">
      <c r="S419" s="48"/>
    </row>
    <row r="420" spans="19:19" x14ac:dyDescent="0.2">
      <c r="S420" s="48"/>
    </row>
    <row r="421" spans="19:19" x14ac:dyDescent="0.2">
      <c r="S421" s="48"/>
    </row>
    <row r="422" spans="19:19" x14ac:dyDescent="0.2">
      <c r="S422" s="48"/>
    </row>
    <row r="423" spans="19:19" x14ac:dyDescent="0.2">
      <c r="S423" s="48"/>
    </row>
    <row r="424" spans="19:19" x14ac:dyDescent="0.2">
      <c r="S424" s="48"/>
    </row>
    <row r="425" spans="19:19" x14ac:dyDescent="0.2">
      <c r="S425" s="48"/>
    </row>
    <row r="426" spans="19:19" x14ac:dyDescent="0.2">
      <c r="S426" s="48"/>
    </row>
    <row r="427" spans="19:19" x14ac:dyDescent="0.2">
      <c r="S427" s="48"/>
    </row>
    <row r="428" spans="19:19" x14ac:dyDescent="0.2">
      <c r="S428" s="48"/>
    </row>
    <row r="429" spans="19:19" x14ac:dyDescent="0.2">
      <c r="S429" s="48"/>
    </row>
    <row r="430" spans="19:19" x14ac:dyDescent="0.2">
      <c r="S430" s="48"/>
    </row>
    <row r="431" spans="19:19" x14ac:dyDescent="0.2">
      <c r="S431" s="48"/>
    </row>
    <row r="432" spans="19:19" x14ac:dyDescent="0.2">
      <c r="S432" s="48"/>
    </row>
    <row r="433" spans="19:19" x14ac:dyDescent="0.2">
      <c r="S433" s="48"/>
    </row>
    <row r="434" spans="19:19" x14ac:dyDescent="0.2">
      <c r="S434" s="48"/>
    </row>
    <row r="435" spans="19:19" x14ac:dyDescent="0.2">
      <c r="S435" s="48"/>
    </row>
    <row r="436" spans="19:19" x14ac:dyDescent="0.2">
      <c r="S436" s="48"/>
    </row>
    <row r="437" spans="19:19" x14ac:dyDescent="0.2">
      <c r="S437" s="48"/>
    </row>
    <row r="438" spans="19:19" x14ac:dyDescent="0.2">
      <c r="S438" s="48"/>
    </row>
    <row r="439" spans="19:19" x14ac:dyDescent="0.2">
      <c r="S439" s="48"/>
    </row>
    <row r="440" spans="19:19" x14ac:dyDescent="0.2">
      <c r="S440" s="48"/>
    </row>
    <row r="441" spans="19:19" x14ac:dyDescent="0.2">
      <c r="S441" s="48"/>
    </row>
    <row r="442" spans="19:19" x14ac:dyDescent="0.2">
      <c r="S442" s="48"/>
    </row>
    <row r="443" spans="19:19" x14ac:dyDescent="0.2">
      <c r="S443" s="48"/>
    </row>
    <row r="444" spans="19:19" x14ac:dyDescent="0.2">
      <c r="S444" s="48"/>
    </row>
    <row r="445" spans="19:19" x14ac:dyDescent="0.2">
      <c r="S445" s="48"/>
    </row>
    <row r="446" spans="19:19" x14ac:dyDescent="0.2">
      <c r="S446" s="48"/>
    </row>
    <row r="447" spans="19:19" x14ac:dyDescent="0.2">
      <c r="S447" s="48"/>
    </row>
    <row r="448" spans="19:19" x14ac:dyDescent="0.2">
      <c r="S448" s="48"/>
    </row>
    <row r="449" spans="19:19" x14ac:dyDescent="0.2">
      <c r="S449" s="48"/>
    </row>
    <row r="450" spans="19:19" x14ac:dyDescent="0.2">
      <c r="S450" s="48"/>
    </row>
    <row r="451" spans="19:19" x14ac:dyDescent="0.2">
      <c r="S451" s="48"/>
    </row>
    <row r="452" spans="19:19" x14ac:dyDescent="0.2">
      <c r="S452" s="48"/>
    </row>
    <row r="453" spans="19:19" x14ac:dyDescent="0.2">
      <c r="S453" s="48"/>
    </row>
    <row r="454" spans="19:19" x14ac:dyDescent="0.2">
      <c r="S454" s="48"/>
    </row>
    <row r="455" spans="19:19" x14ac:dyDescent="0.2">
      <c r="S455" s="48"/>
    </row>
    <row r="456" spans="19:19" x14ac:dyDescent="0.2">
      <c r="S456" s="48"/>
    </row>
    <row r="457" spans="19:19" x14ac:dyDescent="0.2">
      <c r="S457" s="48"/>
    </row>
    <row r="458" spans="19:19" x14ac:dyDescent="0.2">
      <c r="S458" s="48"/>
    </row>
    <row r="459" spans="19:19" x14ac:dyDescent="0.2">
      <c r="S459" s="48"/>
    </row>
    <row r="460" spans="19:19" x14ac:dyDescent="0.2">
      <c r="S460" s="48"/>
    </row>
    <row r="461" spans="19:19" x14ac:dyDescent="0.2">
      <c r="S461" s="48"/>
    </row>
    <row r="462" spans="19:19" x14ac:dyDescent="0.2">
      <c r="S462" s="48"/>
    </row>
    <row r="463" spans="19:19" x14ac:dyDescent="0.2">
      <c r="S463" s="48"/>
    </row>
    <row r="464" spans="19:19" x14ac:dyDescent="0.2">
      <c r="S464" s="48"/>
    </row>
    <row r="465" spans="19:19" x14ac:dyDescent="0.2">
      <c r="S465" s="48"/>
    </row>
    <row r="466" spans="19:19" x14ac:dyDescent="0.2">
      <c r="S466" s="48"/>
    </row>
    <row r="467" spans="19:19" x14ac:dyDescent="0.2">
      <c r="S467" s="48"/>
    </row>
    <row r="468" spans="19:19" x14ac:dyDescent="0.2">
      <c r="S468" s="48"/>
    </row>
    <row r="469" spans="19:19" x14ac:dyDescent="0.2">
      <c r="S469" s="48"/>
    </row>
    <row r="470" spans="19:19" x14ac:dyDescent="0.2">
      <c r="S470" s="48"/>
    </row>
    <row r="471" spans="19:19" x14ac:dyDescent="0.2">
      <c r="S471" s="48"/>
    </row>
    <row r="472" spans="19:19" x14ac:dyDescent="0.2">
      <c r="S472" s="48"/>
    </row>
    <row r="473" spans="19:19" x14ac:dyDescent="0.2">
      <c r="S473" s="48"/>
    </row>
    <row r="474" spans="19:19" x14ac:dyDescent="0.2">
      <c r="S474" s="48"/>
    </row>
    <row r="475" spans="19:19" x14ac:dyDescent="0.2">
      <c r="S475" s="48"/>
    </row>
    <row r="476" spans="19:19" x14ac:dyDescent="0.2">
      <c r="S476" s="48"/>
    </row>
    <row r="477" spans="19:19" x14ac:dyDescent="0.2">
      <c r="S477" s="48"/>
    </row>
    <row r="478" spans="19:19" x14ac:dyDescent="0.2">
      <c r="S478" s="48"/>
    </row>
    <row r="479" spans="19:19" x14ac:dyDescent="0.2">
      <c r="S479" s="48"/>
    </row>
    <row r="480" spans="19:19" x14ac:dyDescent="0.2">
      <c r="S480" s="48"/>
    </row>
    <row r="481" spans="19:19" x14ac:dyDescent="0.2">
      <c r="S481" s="48"/>
    </row>
    <row r="482" spans="19:19" x14ac:dyDescent="0.2">
      <c r="S482" s="48"/>
    </row>
    <row r="483" spans="19:19" x14ac:dyDescent="0.2">
      <c r="S483" s="48"/>
    </row>
    <row r="484" spans="19:19" x14ac:dyDescent="0.2">
      <c r="S484" s="48"/>
    </row>
    <row r="485" spans="19:19" x14ac:dyDescent="0.2">
      <c r="S485" s="48"/>
    </row>
    <row r="486" spans="19:19" x14ac:dyDescent="0.2">
      <c r="S486" s="48"/>
    </row>
    <row r="487" spans="19:19" x14ac:dyDescent="0.2">
      <c r="S487" s="48"/>
    </row>
    <row r="488" spans="19:19" x14ac:dyDescent="0.2">
      <c r="S488" s="48"/>
    </row>
    <row r="489" spans="19:19" x14ac:dyDescent="0.2">
      <c r="S489" s="48"/>
    </row>
    <row r="490" spans="19:19" x14ac:dyDescent="0.2">
      <c r="S490" s="48"/>
    </row>
    <row r="491" spans="19:19" x14ac:dyDescent="0.2">
      <c r="S491" s="48"/>
    </row>
    <row r="492" spans="19:19" x14ac:dyDescent="0.2">
      <c r="S492" s="48"/>
    </row>
    <row r="493" spans="19:19" x14ac:dyDescent="0.2">
      <c r="S493" s="48"/>
    </row>
    <row r="494" spans="19:19" x14ac:dyDescent="0.2">
      <c r="S494" s="48"/>
    </row>
    <row r="495" spans="19:19" x14ac:dyDescent="0.2">
      <c r="S495" s="48"/>
    </row>
    <row r="496" spans="19:19" x14ac:dyDescent="0.2">
      <c r="S496" s="48"/>
    </row>
    <row r="497" spans="19:19" x14ac:dyDescent="0.2">
      <c r="S497" s="48"/>
    </row>
    <row r="498" spans="19:19" x14ac:dyDescent="0.2">
      <c r="S498" s="48"/>
    </row>
    <row r="499" spans="19:19" x14ac:dyDescent="0.2">
      <c r="S499" s="48"/>
    </row>
    <row r="500" spans="19:19" x14ac:dyDescent="0.2">
      <c r="S500" s="48"/>
    </row>
    <row r="501" spans="19:19" x14ac:dyDescent="0.2">
      <c r="S501" s="48"/>
    </row>
    <row r="502" spans="19:19" x14ac:dyDescent="0.2">
      <c r="S502" s="48"/>
    </row>
    <row r="503" spans="19:19" x14ac:dyDescent="0.2">
      <c r="S503" s="48"/>
    </row>
    <row r="504" spans="19:19" x14ac:dyDescent="0.2">
      <c r="S504" s="48"/>
    </row>
    <row r="505" spans="19:19" x14ac:dyDescent="0.2">
      <c r="S505" s="48"/>
    </row>
    <row r="506" spans="19:19" x14ac:dyDescent="0.2">
      <c r="S506" s="48"/>
    </row>
    <row r="507" spans="19:19" x14ac:dyDescent="0.2">
      <c r="S507" s="48"/>
    </row>
    <row r="508" spans="19:19" x14ac:dyDescent="0.2">
      <c r="S508" s="48"/>
    </row>
    <row r="509" spans="19:19" x14ac:dyDescent="0.2">
      <c r="S509" s="48"/>
    </row>
    <row r="510" spans="19:19" x14ac:dyDescent="0.2">
      <c r="S510" s="48"/>
    </row>
    <row r="511" spans="19:19" x14ac:dyDescent="0.2">
      <c r="S511" s="48"/>
    </row>
    <row r="512" spans="19:19" x14ac:dyDescent="0.2">
      <c r="S512" s="48"/>
    </row>
    <row r="513" spans="19:19" x14ac:dyDescent="0.2">
      <c r="S513" s="48"/>
    </row>
    <row r="514" spans="19:19" x14ac:dyDescent="0.2">
      <c r="S514" s="48"/>
    </row>
    <row r="515" spans="19:19" x14ac:dyDescent="0.2">
      <c r="S515" s="48"/>
    </row>
    <row r="516" spans="19:19" x14ac:dyDescent="0.2">
      <c r="S516" s="48"/>
    </row>
    <row r="517" spans="19:19" x14ac:dyDescent="0.2">
      <c r="S517" s="48"/>
    </row>
    <row r="518" spans="19:19" x14ac:dyDescent="0.2">
      <c r="S518" s="48"/>
    </row>
    <row r="519" spans="19:19" x14ac:dyDescent="0.2">
      <c r="S519" s="48"/>
    </row>
    <row r="520" spans="19:19" x14ac:dyDescent="0.2">
      <c r="S520" s="48"/>
    </row>
    <row r="521" spans="19:19" x14ac:dyDescent="0.2">
      <c r="S521" s="48"/>
    </row>
    <row r="522" spans="19:19" x14ac:dyDescent="0.2">
      <c r="S522" s="48"/>
    </row>
    <row r="523" spans="19:19" x14ac:dyDescent="0.2">
      <c r="S523" s="48"/>
    </row>
    <row r="524" spans="19:19" x14ac:dyDescent="0.2">
      <c r="S524" s="48"/>
    </row>
    <row r="525" spans="19:19" x14ac:dyDescent="0.2">
      <c r="S525" s="48"/>
    </row>
    <row r="526" spans="19:19" x14ac:dyDescent="0.2">
      <c r="S526" s="48"/>
    </row>
    <row r="527" spans="19:19" x14ac:dyDescent="0.2">
      <c r="S527" s="48"/>
    </row>
    <row r="528" spans="19:19" x14ac:dyDescent="0.2">
      <c r="S528" s="48"/>
    </row>
    <row r="529" spans="19:19" x14ac:dyDescent="0.2">
      <c r="S529" s="48"/>
    </row>
    <row r="530" spans="19:19" x14ac:dyDescent="0.2">
      <c r="S530" s="48"/>
    </row>
    <row r="531" spans="19:19" x14ac:dyDescent="0.2">
      <c r="S531" s="48"/>
    </row>
    <row r="532" spans="19:19" x14ac:dyDescent="0.2">
      <c r="S532" s="48"/>
    </row>
    <row r="533" spans="19:19" x14ac:dyDescent="0.2">
      <c r="S533" s="48"/>
    </row>
    <row r="534" spans="19:19" x14ac:dyDescent="0.2">
      <c r="S534" s="48"/>
    </row>
    <row r="535" spans="19:19" x14ac:dyDescent="0.2">
      <c r="S535" s="48"/>
    </row>
    <row r="536" spans="19:19" x14ac:dyDescent="0.2">
      <c r="S536" s="48"/>
    </row>
    <row r="537" spans="19:19" x14ac:dyDescent="0.2">
      <c r="S537" s="48"/>
    </row>
    <row r="538" spans="19:19" x14ac:dyDescent="0.2">
      <c r="S538" s="48"/>
    </row>
    <row r="539" spans="19:19" x14ac:dyDescent="0.2">
      <c r="S539" s="48"/>
    </row>
    <row r="540" spans="19:19" x14ac:dyDescent="0.2">
      <c r="S540" s="48"/>
    </row>
    <row r="541" spans="19:19" x14ac:dyDescent="0.2">
      <c r="S541" s="48"/>
    </row>
    <row r="542" spans="19:19" x14ac:dyDescent="0.2">
      <c r="S542" s="48"/>
    </row>
    <row r="543" spans="19:19" x14ac:dyDescent="0.2">
      <c r="S543" s="48"/>
    </row>
    <row r="544" spans="19:19" x14ac:dyDescent="0.2">
      <c r="S544" s="48"/>
    </row>
    <row r="545" spans="19:19" x14ac:dyDescent="0.2">
      <c r="S545" s="48"/>
    </row>
    <row r="546" spans="19:19" x14ac:dyDescent="0.2">
      <c r="S546" s="48"/>
    </row>
    <row r="547" spans="19:19" x14ac:dyDescent="0.2">
      <c r="S547" s="48"/>
    </row>
    <row r="548" spans="19:19" x14ac:dyDescent="0.2">
      <c r="S548" s="48"/>
    </row>
    <row r="549" spans="19:19" x14ac:dyDescent="0.2">
      <c r="S549" s="48"/>
    </row>
    <row r="550" spans="19:19" x14ac:dyDescent="0.2">
      <c r="S550" s="48"/>
    </row>
    <row r="551" spans="19:19" x14ac:dyDescent="0.2">
      <c r="S551" s="48"/>
    </row>
    <row r="552" spans="19:19" x14ac:dyDescent="0.2">
      <c r="S552" s="48"/>
    </row>
    <row r="553" spans="19:19" x14ac:dyDescent="0.2">
      <c r="S553" s="48"/>
    </row>
    <row r="554" spans="19:19" x14ac:dyDescent="0.2">
      <c r="S554" s="48"/>
    </row>
    <row r="555" spans="19:19" x14ac:dyDescent="0.2">
      <c r="S555" s="48"/>
    </row>
    <row r="556" spans="19:19" x14ac:dyDescent="0.2">
      <c r="S556" s="48"/>
    </row>
    <row r="557" spans="19:19" x14ac:dyDescent="0.2">
      <c r="S557" s="48"/>
    </row>
    <row r="558" spans="19:19" x14ac:dyDescent="0.2">
      <c r="S558" s="48"/>
    </row>
    <row r="559" spans="19:19" x14ac:dyDescent="0.2">
      <c r="S559" s="48"/>
    </row>
    <row r="560" spans="19:19" x14ac:dyDescent="0.2">
      <c r="S560" s="48"/>
    </row>
    <row r="561" spans="19:19" x14ac:dyDescent="0.2">
      <c r="S561" s="48"/>
    </row>
    <row r="562" spans="19:19" x14ac:dyDescent="0.2">
      <c r="S562" s="48"/>
    </row>
    <row r="563" spans="19:19" x14ac:dyDescent="0.2">
      <c r="S563" s="48"/>
    </row>
    <row r="564" spans="19:19" x14ac:dyDescent="0.2">
      <c r="S564" s="48"/>
    </row>
    <row r="565" spans="19:19" x14ac:dyDescent="0.2">
      <c r="S565" s="48"/>
    </row>
    <row r="566" spans="19:19" x14ac:dyDescent="0.2">
      <c r="S566" s="48"/>
    </row>
    <row r="567" spans="19:19" x14ac:dyDescent="0.2">
      <c r="S567" s="48"/>
    </row>
    <row r="568" spans="19:19" x14ac:dyDescent="0.2">
      <c r="S568" s="48"/>
    </row>
    <row r="569" spans="19:19" x14ac:dyDescent="0.2">
      <c r="S569" s="48"/>
    </row>
    <row r="570" spans="19:19" x14ac:dyDescent="0.2">
      <c r="S570" s="48"/>
    </row>
    <row r="571" spans="19:19" x14ac:dyDescent="0.2">
      <c r="S571" s="48"/>
    </row>
    <row r="572" spans="19:19" x14ac:dyDescent="0.2">
      <c r="S572" s="48"/>
    </row>
    <row r="573" spans="19:19" x14ac:dyDescent="0.2">
      <c r="S573" s="48"/>
    </row>
    <row r="574" spans="19:19" x14ac:dyDescent="0.2">
      <c r="S574" s="48"/>
    </row>
    <row r="575" spans="19:19" x14ac:dyDescent="0.2">
      <c r="S575" s="48"/>
    </row>
    <row r="576" spans="19:19" x14ac:dyDescent="0.2">
      <c r="S576" s="48"/>
    </row>
    <row r="577" spans="19:19" x14ac:dyDescent="0.2">
      <c r="S577" s="48"/>
    </row>
    <row r="578" spans="19:19" x14ac:dyDescent="0.2">
      <c r="S578" s="48"/>
    </row>
    <row r="579" spans="19:19" x14ac:dyDescent="0.2">
      <c r="S579" s="48"/>
    </row>
    <row r="580" spans="19:19" x14ac:dyDescent="0.2">
      <c r="S580" s="48"/>
    </row>
    <row r="581" spans="19:19" x14ac:dyDescent="0.2">
      <c r="S581" s="48"/>
    </row>
    <row r="582" spans="19:19" x14ac:dyDescent="0.2">
      <c r="S582" s="48"/>
    </row>
    <row r="583" spans="19:19" x14ac:dyDescent="0.2">
      <c r="S583" s="48"/>
    </row>
    <row r="584" spans="19:19" x14ac:dyDescent="0.2">
      <c r="S584" s="48"/>
    </row>
    <row r="585" spans="19:19" x14ac:dyDescent="0.2">
      <c r="S585" s="48"/>
    </row>
    <row r="586" spans="19:19" x14ac:dyDescent="0.2">
      <c r="S586" s="48"/>
    </row>
    <row r="587" spans="19:19" x14ac:dyDescent="0.2">
      <c r="S587" s="48"/>
    </row>
    <row r="588" spans="19:19" x14ac:dyDescent="0.2">
      <c r="S588" s="48"/>
    </row>
    <row r="589" spans="19:19" x14ac:dyDescent="0.2">
      <c r="S589" s="48"/>
    </row>
    <row r="590" spans="19:19" x14ac:dyDescent="0.2">
      <c r="S590" s="48"/>
    </row>
    <row r="591" spans="19:19" x14ac:dyDescent="0.2">
      <c r="S591" s="48"/>
    </row>
    <row r="592" spans="19:19" x14ac:dyDescent="0.2">
      <c r="S592" s="48"/>
    </row>
    <row r="593" spans="19:19" x14ac:dyDescent="0.2">
      <c r="S593" s="48"/>
    </row>
    <row r="594" spans="19:19" x14ac:dyDescent="0.2">
      <c r="S594" s="48"/>
    </row>
    <row r="595" spans="19:19" x14ac:dyDescent="0.2">
      <c r="S595" s="48"/>
    </row>
    <row r="596" spans="19:19" x14ac:dyDescent="0.2">
      <c r="S596" s="48"/>
    </row>
    <row r="597" spans="19:19" x14ac:dyDescent="0.2">
      <c r="S597" s="48"/>
    </row>
    <row r="598" spans="19:19" x14ac:dyDescent="0.2">
      <c r="S598" s="48"/>
    </row>
    <row r="599" spans="19:19" x14ac:dyDescent="0.2">
      <c r="S599" s="48"/>
    </row>
    <row r="600" spans="19:19" x14ac:dyDescent="0.2">
      <c r="S600" s="48"/>
    </row>
    <row r="601" spans="19:19" x14ac:dyDescent="0.2">
      <c r="S601" s="48"/>
    </row>
    <row r="602" spans="19:19" x14ac:dyDescent="0.2">
      <c r="S602" s="48"/>
    </row>
    <row r="603" spans="19:19" x14ac:dyDescent="0.2">
      <c r="S603" s="48"/>
    </row>
    <row r="604" spans="19:19" x14ac:dyDescent="0.2">
      <c r="S604" s="48"/>
    </row>
    <row r="605" spans="19:19" x14ac:dyDescent="0.2">
      <c r="S605" s="48"/>
    </row>
    <row r="606" spans="19:19" x14ac:dyDescent="0.2">
      <c r="S606" s="48"/>
    </row>
    <row r="607" spans="19:19" x14ac:dyDescent="0.2">
      <c r="S607" s="48"/>
    </row>
    <row r="608" spans="19:19" x14ac:dyDescent="0.2">
      <c r="S608" s="48"/>
    </row>
    <row r="609" spans="19:19" x14ac:dyDescent="0.2">
      <c r="S609" s="48"/>
    </row>
    <row r="610" spans="19:19" x14ac:dyDescent="0.2">
      <c r="S610" s="48"/>
    </row>
    <row r="611" spans="19:19" x14ac:dyDescent="0.2">
      <c r="S611" s="48"/>
    </row>
    <row r="612" spans="19:19" x14ac:dyDescent="0.2">
      <c r="S612" s="48"/>
    </row>
    <row r="613" spans="19:19" x14ac:dyDescent="0.2">
      <c r="S613" s="48"/>
    </row>
    <row r="614" spans="19:19" x14ac:dyDescent="0.2">
      <c r="S614" s="48"/>
    </row>
    <row r="615" spans="19:19" x14ac:dyDescent="0.2">
      <c r="S615" s="48"/>
    </row>
    <row r="616" spans="19:19" x14ac:dyDescent="0.2">
      <c r="S616" s="48"/>
    </row>
    <row r="617" spans="19:19" x14ac:dyDescent="0.2">
      <c r="S617" s="48"/>
    </row>
    <row r="618" spans="19:19" x14ac:dyDescent="0.2">
      <c r="S618" s="48"/>
    </row>
    <row r="619" spans="19:19" x14ac:dyDescent="0.2">
      <c r="S619" s="48"/>
    </row>
    <row r="620" spans="19:19" x14ac:dyDescent="0.2">
      <c r="S620" s="48"/>
    </row>
    <row r="621" spans="19:19" x14ac:dyDescent="0.2">
      <c r="S621" s="48"/>
    </row>
    <row r="622" spans="19:19" x14ac:dyDescent="0.2">
      <c r="S622" s="48"/>
    </row>
    <row r="623" spans="19:19" x14ac:dyDescent="0.2">
      <c r="S623" s="48"/>
    </row>
    <row r="624" spans="19:19" x14ac:dyDescent="0.2">
      <c r="S624" s="48"/>
    </row>
    <row r="625" spans="19:19" x14ac:dyDescent="0.2">
      <c r="S625" s="48"/>
    </row>
    <row r="626" spans="19:19" x14ac:dyDescent="0.2">
      <c r="S626" s="48"/>
    </row>
    <row r="627" spans="19:19" x14ac:dyDescent="0.2">
      <c r="S627" s="48"/>
    </row>
    <row r="628" spans="19:19" x14ac:dyDescent="0.2">
      <c r="S628" s="48"/>
    </row>
    <row r="629" spans="19:19" x14ac:dyDescent="0.2">
      <c r="S629" s="48"/>
    </row>
    <row r="630" spans="19:19" x14ac:dyDescent="0.2">
      <c r="S630" s="48"/>
    </row>
    <row r="631" spans="19:19" x14ac:dyDescent="0.2">
      <c r="S631" s="48"/>
    </row>
    <row r="632" spans="19:19" x14ac:dyDescent="0.2">
      <c r="S632" s="48"/>
    </row>
    <row r="633" spans="19:19" x14ac:dyDescent="0.2">
      <c r="S633" s="48"/>
    </row>
    <row r="634" spans="19:19" x14ac:dyDescent="0.2">
      <c r="S634" s="48"/>
    </row>
    <row r="635" spans="19:19" x14ac:dyDescent="0.2">
      <c r="S635" s="48"/>
    </row>
    <row r="636" spans="19:19" x14ac:dyDescent="0.2">
      <c r="S636" s="48"/>
    </row>
    <row r="637" spans="19:19" x14ac:dyDescent="0.2">
      <c r="S637" s="48"/>
    </row>
    <row r="638" spans="19:19" x14ac:dyDescent="0.2">
      <c r="S638" s="48"/>
    </row>
    <row r="639" spans="19:19" x14ac:dyDescent="0.2">
      <c r="S639" s="48"/>
    </row>
    <row r="640" spans="19:19" x14ac:dyDescent="0.2">
      <c r="S640" s="48"/>
    </row>
    <row r="641" spans="19:19" x14ac:dyDescent="0.2">
      <c r="S641" s="48"/>
    </row>
    <row r="642" spans="19:19" x14ac:dyDescent="0.2">
      <c r="S642" s="48"/>
    </row>
    <row r="643" spans="19:19" x14ac:dyDescent="0.2">
      <c r="S643" s="48"/>
    </row>
    <row r="644" spans="19:19" x14ac:dyDescent="0.2">
      <c r="S644" s="48"/>
    </row>
    <row r="645" spans="19:19" x14ac:dyDescent="0.2">
      <c r="S645" s="48"/>
    </row>
    <row r="646" spans="19:19" x14ac:dyDescent="0.2">
      <c r="S646" s="48"/>
    </row>
    <row r="647" spans="19:19" x14ac:dyDescent="0.2">
      <c r="S647" s="48"/>
    </row>
    <row r="648" spans="19:19" x14ac:dyDescent="0.2">
      <c r="S648" s="48"/>
    </row>
    <row r="649" spans="19:19" x14ac:dyDescent="0.2">
      <c r="S649" s="48"/>
    </row>
    <row r="650" spans="19:19" x14ac:dyDescent="0.2">
      <c r="S650" s="48"/>
    </row>
    <row r="651" spans="19:19" x14ac:dyDescent="0.2">
      <c r="S651" s="48"/>
    </row>
    <row r="652" spans="19:19" x14ac:dyDescent="0.2">
      <c r="S652" s="48"/>
    </row>
    <row r="653" spans="19:19" x14ac:dyDescent="0.2">
      <c r="S653" s="48"/>
    </row>
    <row r="654" spans="19:19" x14ac:dyDescent="0.2">
      <c r="S654" s="48"/>
    </row>
    <row r="655" spans="19:19" x14ac:dyDescent="0.2">
      <c r="S655" s="48"/>
    </row>
    <row r="656" spans="19:19" x14ac:dyDescent="0.2">
      <c r="S656" s="48"/>
    </row>
    <row r="657" spans="19:19" x14ac:dyDescent="0.2">
      <c r="S657" s="48"/>
    </row>
    <row r="658" spans="19:19" x14ac:dyDescent="0.2">
      <c r="S658" s="48"/>
    </row>
    <row r="659" spans="19:19" x14ac:dyDescent="0.2">
      <c r="S659" s="48"/>
    </row>
    <row r="660" spans="19:19" x14ac:dyDescent="0.2">
      <c r="S660" s="48"/>
    </row>
    <row r="661" spans="19:19" x14ac:dyDescent="0.2">
      <c r="S661" s="48"/>
    </row>
    <row r="662" spans="19:19" x14ac:dyDescent="0.2">
      <c r="S662" s="48"/>
    </row>
    <row r="663" spans="19:19" x14ac:dyDescent="0.2">
      <c r="S663" s="48"/>
    </row>
    <row r="664" spans="19:19" x14ac:dyDescent="0.2">
      <c r="S664" s="48"/>
    </row>
    <row r="665" spans="19:19" x14ac:dyDescent="0.2">
      <c r="S665" s="48"/>
    </row>
    <row r="666" spans="19:19" x14ac:dyDescent="0.2">
      <c r="S666" s="48"/>
    </row>
    <row r="667" spans="19:19" x14ac:dyDescent="0.2">
      <c r="S667" s="48"/>
    </row>
    <row r="668" spans="19:19" x14ac:dyDescent="0.2">
      <c r="S668" s="48"/>
    </row>
    <row r="669" spans="19:19" x14ac:dyDescent="0.2">
      <c r="S669" s="48"/>
    </row>
    <row r="670" spans="19:19" x14ac:dyDescent="0.2">
      <c r="S670" s="48"/>
    </row>
    <row r="671" spans="19:19" x14ac:dyDescent="0.2">
      <c r="S671" s="48"/>
    </row>
    <row r="672" spans="19:19" x14ac:dyDescent="0.2">
      <c r="S672" s="48"/>
    </row>
    <row r="673" spans="19:19" x14ac:dyDescent="0.2">
      <c r="S673" s="48"/>
    </row>
    <row r="674" spans="19:19" x14ac:dyDescent="0.2">
      <c r="S674" s="48"/>
    </row>
    <row r="675" spans="19:19" x14ac:dyDescent="0.2">
      <c r="S675" s="48"/>
    </row>
    <row r="676" spans="19:19" x14ac:dyDescent="0.2">
      <c r="S676" s="48"/>
    </row>
    <row r="677" spans="19:19" x14ac:dyDescent="0.2">
      <c r="S677" s="48"/>
    </row>
    <row r="678" spans="19:19" x14ac:dyDescent="0.2">
      <c r="S678" s="48"/>
    </row>
    <row r="679" spans="19:19" x14ac:dyDescent="0.2">
      <c r="S679" s="48"/>
    </row>
    <row r="680" spans="19:19" x14ac:dyDescent="0.2">
      <c r="S680" s="48"/>
    </row>
    <row r="681" spans="19:19" x14ac:dyDescent="0.2">
      <c r="S681" s="48"/>
    </row>
    <row r="682" spans="19:19" x14ac:dyDescent="0.2">
      <c r="S682" s="48"/>
    </row>
    <row r="683" spans="19:19" x14ac:dyDescent="0.2">
      <c r="S683" s="48"/>
    </row>
    <row r="684" spans="19:19" x14ac:dyDescent="0.2">
      <c r="S684" s="48"/>
    </row>
    <row r="685" spans="19:19" x14ac:dyDescent="0.2">
      <c r="S685" s="48"/>
    </row>
    <row r="686" spans="19:19" x14ac:dyDescent="0.2">
      <c r="S686" s="48"/>
    </row>
    <row r="687" spans="19:19" x14ac:dyDescent="0.2">
      <c r="S687" s="48"/>
    </row>
    <row r="688" spans="19:19" x14ac:dyDescent="0.2">
      <c r="S688" s="48"/>
    </row>
    <row r="689" spans="19:19" x14ac:dyDescent="0.2">
      <c r="S689" s="48"/>
    </row>
    <row r="690" spans="19:19" x14ac:dyDescent="0.2">
      <c r="S690" s="48"/>
    </row>
    <row r="691" spans="19:19" x14ac:dyDescent="0.2">
      <c r="S691" s="48"/>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BANDHAN OF</vt:lpstr>
      <vt:lpstr>BANDHAN CF</vt:lpstr>
      <vt:lpstr>BANDHAN LDF</vt:lpstr>
      <vt:lpstr>BANDHAN MMF</vt:lpstr>
      <vt:lpstr>BANDHAN USTF</vt:lpstr>
      <vt:lpstr>BANDHAN DBF</vt:lpstr>
      <vt:lpstr>BANDHAN BOND IP</vt:lpstr>
      <vt:lpstr>BANDHAN BOND MT</vt:lpstr>
      <vt:lpstr>BANDHAN BOND ST</vt:lpstr>
      <vt:lpstr>BANDHAN BPDF</vt:lpstr>
      <vt:lpstr>BANDHAN CBF</vt:lpstr>
      <vt:lpstr>BANDHAN FRF</vt:lpstr>
      <vt:lpstr>BANDHAN CRF</vt:lpstr>
      <vt:lpstr>BANDHAN GSF-IP</vt:lpstr>
      <vt:lpstr>BANDHAN GSF - CMP</vt:lpstr>
      <vt:lpstr>BANDHAN GIF26</vt:lpstr>
      <vt:lpstr>BANDHAN GIF2027</vt:lpstr>
      <vt:lpstr>BANDHAN GIF2028</vt:lpstr>
      <vt:lpstr>BANDHAN GIF32</vt:lpstr>
      <vt:lpstr>BANDHAN SDLGIF26</vt:lpstr>
      <vt:lpstr>BANDHAN SDLGIF27</vt:lpstr>
      <vt:lpstr>BANDHAN SDLGIF32</vt:lpstr>
      <vt:lpstr>BANDHAN ASBF</vt:lpstr>
      <vt:lpstr>BANDHAN US TB 0-1yr FOF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BANDHANMF Products2</dc:creator>
  <cp:lastModifiedBy>BANDHANMF Products2</cp:lastModifiedBy>
  <dcterms:created xsi:type="dcterms:W3CDTF">2023-12-01T03:57:35Z</dcterms:created>
  <dcterms:modified xsi:type="dcterms:W3CDTF">2023-12-04T06:55:55Z</dcterms:modified>
</cp:coreProperties>
</file>