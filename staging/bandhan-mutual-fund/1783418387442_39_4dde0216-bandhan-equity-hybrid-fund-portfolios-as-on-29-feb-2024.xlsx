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Mar 2024\"/>
    </mc:Choice>
  </mc:AlternateContent>
  <xr:revisionPtr revIDLastSave="0" documentId="13_ncr:1_{F6B04970-D107-44F7-9BE4-6ADDEB53452E}"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 RF" sheetId="41" r:id="rId19"/>
    <sheet name="BANDHAN MAF" sheetId="45" r:id="rId20"/>
    <sheet name="BANDHAN AAF-AP" sheetId="19" r:id="rId21"/>
    <sheet name="BANDHANAAF-MP" sheetId="20" r:id="rId22"/>
    <sheet name="BANDHANAAF-CP" sheetId="21" r:id="rId23"/>
    <sheet name="BANDHAN-NIFTY 50 Index" sheetId="10" r:id="rId24"/>
    <sheet name="BANDHAN- S&amp;P BSE SENSEX ETF" sheetId="16" r:id="rId25"/>
    <sheet name="BANDHAN- Nifty 50 ETF" sheetId="17" r:id="rId26"/>
    <sheet name="BANDHAN-Nifty 100 Index" sheetId="31" r:id="rId27"/>
    <sheet name="BANDHAN-Nifty200 Mom30 Index" sheetId="34" r:id="rId28"/>
    <sheet name="BANDHAN NIF100LV30" sheetId="35" r:id="rId29"/>
    <sheet name="BANDHAN NIFTY IT INDEX" sheetId="40" r:id="rId30"/>
    <sheet name="Bandhan Nifty Alpha 50 Index" sheetId="42" r:id="rId31"/>
    <sheet name="Bandhan Nifty Smallcap 250 " sheetId="44" r:id="rId32"/>
  </sheets>
  <definedNames>
    <definedName name="_xlnm._FilterDatabase" localSheetId="20" hidden="1">'BANDHAN AAF-AP'!$C$12:$D$15</definedName>
    <definedName name="_xlnm._FilterDatabase" localSheetId="14" hidden="1">'BANDHAN BAF'!$I$42:$J$47</definedName>
    <definedName name="_xlnm.Print_Area" localSheetId="13">'BANDHAN-AF'!$C$5:$E$21</definedName>
  </definedNames>
  <calcPr calcId="191029"/>
</workbook>
</file>

<file path=xl/calcChain.xml><?xml version="1.0" encoding="utf-8"?>
<calcChain xmlns="http://schemas.openxmlformats.org/spreadsheetml/2006/main">
  <c r="K14" i="18" l="1"/>
  <c r="E52" i="18"/>
  <c r="K16" i="25"/>
  <c r="E49" i="5"/>
  <c r="E23" i="27"/>
  <c r="E43" i="45" l="1"/>
  <c r="E24" i="45"/>
  <c r="E35" i="25" l="1"/>
  <c r="E24" i="44"/>
  <c r="E24" i="42" l="1"/>
  <c r="E24" i="41" l="1"/>
  <c r="E36" i="41" l="1"/>
  <c r="K15" i="25"/>
  <c r="K10" i="25"/>
  <c r="E19" i="40" l="1"/>
  <c r="J11" i="19" l="1"/>
  <c r="D11" i="19" l="1"/>
  <c r="E45" i="5"/>
  <c r="E24" i="39"/>
  <c r="K12" i="26" l="1"/>
  <c r="K13" i="26" l="1"/>
  <c r="D15" i="29"/>
  <c r="K14" i="25" l="1"/>
  <c r="K9" i="26" l="1"/>
  <c r="D14" i="21" l="1"/>
  <c r="D11" i="21"/>
  <c r="E24" i="37" l="1"/>
  <c r="E24" i="35" l="1"/>
  <c r="E24" i="34" l="1"/>
  <c r="E24" i="33"/>
  <c r="E23" i="25" l="1"/>
  <c r="E42" i="25" s="1"/>
  <c r="E23" i="5" l="1"/>
  <c r="E24" i="31" l="1"/>
  <c r="K9" i="18" l="1"/>
  <c r="D18" i="21" l="1"/>
  <c r="E24" i="30"/>
  <c r="D16" i="19" l="1"/>
  <c r="J10" i="29"/>
  <c r="J9" i="29"/>
  <c r="K12" i="18" l="1"/>
  <c r="E24" i="12" l="1"/>
  <c r="K9" i="25" l="1"/>
  <c r="S8" i="27"/>
  <c r="S9" i="27" s="1"/>
  <c r="E24" i="8"/>
  <c r="J8" i="29" l="1"/>
  <c r="I9" i="18" l="1"/>
  <c r="I10" i="18"/>
  <c r="K11" i="18" l="1"/>
  <c r="E24" i="28" l="1"/>
  <c r="E24" i="18" l="1"/>
  <c r="K10" i="18" l="1"/>
  <c r="E24" i="26"/>
  <c r="E42"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<sst xmlns="http://schemas.openxmlformats.org/spreadsheetml/2006/main" count="1978" uniqueCount="360">
  <si>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</si>
  <si>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</si>
  <si>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</si>
  <si>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</si>
  <si>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</si>
  <si>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</si>
  <si>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</si>
  <si>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</si>
  <si>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</si>
  <si>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</si>
  <si>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</si>
  <si>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</si>
  <si>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</si>
  <si>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</si>
  <si>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</si>
  <si>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</si>
  <si>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</si>
  <si>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</si>
  <si>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</si>
  <si>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</si>
  <si>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</si>
  <si>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</si>
  <si>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</si>
  <si>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</si>
  <si>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</si>
  <si>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</si>
  <si>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</si>
  <si>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</si>
  <si>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</si>
  <si>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</si>
  <si>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</si>
  <si>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</si>
  <si>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</si>
  <si>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</si>
  <si>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</si>
  <si>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</si>
  <si>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</si>
  <si>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</si>
  <si>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</si>
  <si>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</si>
  <si>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</si>
  <si>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</si>
  <si>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</si>
  <si>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</si>
  <si>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</si>
  <si>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</si>
  <si>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</si>
  <si>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</si>
  <si>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</si>
  <si>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</si>
  <si>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</si>
  <si>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</si>
  <si>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</si>
  <si>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</si>
  <si>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</si>
  <si>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</si>
  <si>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</si>
  <si>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</si>
  <si>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</si>
  <si>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</si>
  <si>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</si>
  <si>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</si>
  <si>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</si>
  <si>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</si>
  <si>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</si>
  <si>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</si>
  <si>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</si>
  <si>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</si>
  <si>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</si>
  <si>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</si>
  <si>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</si>
  <si>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REC Limited</t>
  </si>
  <si>
    <t>JK Cement Limited</t>
  </si>
  <si>
    <t>Bharti Airtel Limited</t>
  </si>
  <si>
    <t>LIC Housing Finance Limited</t>
  </si>
  <si>
    <t>Torrent Power Limited</t>
  </si>
  <si>
    <t>8.24% GOI (MD 15/02/2027)</t>
  </si>
  <si>
    <t>Sun Pharmaceutical Industries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</si>
  <si>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</si>
  <si>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</si>
  <si>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</si>
  <si>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</si>
  <si>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</si>
  <si>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</si>
  <si>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</si>
  <si>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</si>
  <si>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</si>
  <si>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</si>
  <si>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</si>
  <si>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</si>
  <si>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</si>
  <si>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</si>
  <si>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</si>
  <si>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</si>
  <si>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</si>
  <si>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</si>
  <si>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</si>
  <si>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</si>
  <si>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</si>
  <si>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</si>
  <si>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</si>
  <si>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</si>
  <si>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</si>
  <si>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</si>
  <si>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</si>
  <si>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</si>
  <si>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</si>
  <si>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</si>
  <si>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</si>
  <si>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</si>
  <si>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A1+</t>
  </si>
  <si>
    <t>8.28% GOI (M/D 21/09/2027)</t>
  </si>
  <si>
    <t>8.33% GOI 2026 (M/D 09/07/2026)</t>
  </si>
  <si>
    <t>Average Maturity in Days</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</si>
  <si>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</si>
  <si>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</si>
  <si>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</si>
  <si>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</si>
  <si>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</si>
  <si>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</si>
  <si>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</si>
  <si>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</si>
  <si>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</si>
  <si>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</si>
  <si>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</si>
  <si>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</si>
  <si>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</si>
  <si>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</si>
  <si>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</si>
  <si>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</si>
  <si>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</si>
  <si>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</si>
  <si>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</si>
  <si>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</si>
  <si>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</si>
  <si>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</si>
  <si>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</si>
  <si>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</si>
  <si>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</si>
  <si>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</si>
  <si>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</si>
  <si>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</si>
  <si>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</si>
  <si>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</si>
  <si>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</si>
  <si>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</si>
  <si>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</si>
  <si>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</si>
  <si>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</si>
  <si>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</si>
  <si>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</si>
  <si>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7.38% GOI (MD 20/06/2027)</t>
  </si>
  <si>
    <t>Prataap Snacks Limited</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</si>
  <si>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</si>
  <si>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</si>
  <si>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</si>
  <si>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</si>
  <si>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</si>
  <si>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</si>
  <si>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</si>
  <si>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</si>
  <si>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</si>
  <si>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</si>
  <si>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</si>
  <si>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</si>
  <si>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</si>
  <si>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</si>
  <si>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</si>
  <si>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</si>
  <si>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</si>
  <si>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</si>
  <si>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</si>
  <si>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</si>
  <si>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</si>
  <si>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</si>
  <si>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</si>
  <si>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</si>
  <si>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</si>
  <si>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</si>
  <si>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</si>
  <si>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</si>
  <si>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</si>
  <si>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</si>
  <si>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</si>
  <si>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</si>
  <si>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</si>
  <si>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</si>
  <si>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</si>
  <si>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</si>
  <si>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</si>
  <si>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</si>
  <si>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</si>
  <si>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</si>
  <si>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</si>
  <si>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Commercial Paper</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</si>
  <si>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</si>
  <si>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</si>
  <si>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</si>
  <si>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</si>
  <si>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</si>
  <si>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</si>
  <si>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</si>
  <si>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</si>
  <si>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</si>
  <si>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</si>
  <si>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</si>
  <si>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</si>
  <si>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BANDHAN FINANCIAL SERVICES FUND</t>
  </si>
  <si>
    <t>APL Apollo Tubes Limited</t>
  </si>
  <si>
    <t>Financial Technology (Fintech)</t>
  </si>
  <si>
    <t>Household Products</t>
  </si>
  <si>
    <t>The Phoenix Mills Limited</t>
  </si>
  <si>
    <t>Suzlon Energy Limited</t>
  </si>
  <si>
    <t>NHPC Limited</t>
  </si>
  <si>
    <t>L&amp;T Technology Services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</si>
  <si>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</si>
  <si>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</si>
  <si>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</si>
  <si>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</si>
  <si>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</si>
  <si>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</si>
  <si>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</si>
  <si>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</si>
  <si>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</si>
  <si>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</si>
  <si>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Varun Beverages Limited</t>
  </si>
  <si>
    <t>Apar Industries Limited</t>
  </si>
  <si>
    <t>United Breweries Limited</t>
  </si>
  <si>
    <t>Arvind Limited</t>
  </si>
  <si>
    <t>7.06% GOI (MD 10/04/2028)</t>
  </si>
  <si>
    <t>7.18% GOI (MD 24/07/2037)</t>
  </si>
  <si>
    <t>Corporate Debt Market Development Fund</t>
  </si>
  <si>
    <t>BANDHAN RETIREMENT FUND</t>
  </si>
  <si>
    <t>Coal India Limited</t>
  </si>
  <si>
    <t>TVS Holdings Limited</t>
  </si>
  <si>
    <t>Exide Industries Limited</t>
  </si>
  <si>
    <t>General Insurance Corporation of India</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</si>
  <si>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</si>
  <si>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Greenply Industries Limited</t>
  </si>
  <si>
    <t>Manappuram Finance Limited</t>
  </si>
  <si>
    <t>Gateway Distriparks Limited</t>
  </si>
  <si>
    <t>Sandhar Technologies Limited</t>
  </si>
  <si>
    <t>Shriram Finance Limited</t>
  </si>
  <si>
    <t>Nestle India Limited</t>
  </si>
  <si>
    <t>Bandhan Nifty Alpha 50 Index Fund</t>
  </si>
  <si>
    <t>Bharat Heavy Electricals Limited</t>
  </si>
  <si>
    <t>Sonata Software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</si>
  <si>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</si>
  <si>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</si>
  <si>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</si>
  <si>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</si>
  <si>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Container Corporation of India Limited</t>
  </si>
  <si>
    <t>Mankind Pharma Limited</t>
  </si>
  <si>
    <t>Kirloskar Ferrous Industries Limited</t>
  </si>
  <si>
    <t>Computer Age Management Services Limited</t>
  </si>
  <si>
    <t>Motilal Oswal Financial Services Limited</t>
  </si>
  <si>
    <t>GPT Infraprojects Limited</t>
  </si>
  <si>
    <t>Multi Commodity Exchange of India Limited</t>
  </si>
  <si>
    <t>Aurobindo Pharma Limited</t>
  </si>
  <si>
    <t>Lupin Limited</t>
  </si>
  <si>
    <t>BSE Limited</t>
  </si>
  <si>
    <t>Angel One Limited</t>
  </si>
  <si>
    <t>Prestige Estates Projects Limited</t>
  </si>
  <si>
    <t>KEI Industries Limited</t>
  </si>
  <si>
    <t>Rail Vikas Nigam Limited</t>
  </si>
  <si>
    <t>Bandhan Nifty Smallcap 250 Index Fund</t>
  </si>
  <si>
    <t>Telecom -  Equipment &amp; Accessories</t>
  </si>
  <si>
    <t>Healthcare Equipment &amp; Supplies</t>
  </si>
  <si>
    <t>Financial Technology (FINTECH)</t>
  </si>
  <si>
    <t>RBL Bank Limited</t>
  </si>
  <si>
    <t>IDFC Limited</t>
  </si>
  <si>
    <t>Central Depository Services (India) Limited</t>
  </si>
  <si>
    <t>Karur Vysya Bank Limited</t>
  </si>
  <si>
    <t>Mutual Fund Units</t>
  </si>
  <si>
    <t>Bandhan Money Manager Treasury -Direct Pl-Growth</t>
  </si>
  <si>
    <t>7.3% GOI (MD 19/06/2053)</t>
  </si>
  <si>
    <t>PTC^</t>
  </si>
  <si>
    <t>^PTC originated by Reliance Industries Limited</t>
  </si>
  <si>
    <t>Mutual Fund Units: Bandhan Liquid Fund - Direct Plan -Growth</t>
  </si>
  <si>
    <t>Mutual Fund Units: Bandhan Liquid Fund</t>
  </si>
  <si>
    <t>MRF Limited</t>
  </si>
  <si>
    <t>LG Balakrishnan &amp; Bros Limited</t>
  </si>
  <si>
    <t>Bandhan Ultra Short Term Fund - Direct Plan Growth</t>
  </si>
  <si>
    <t>Indian Oil Corporation Limited</t>
  </si>
  <si>
    <t>Zomato Limited</t>
  </si>
  <si>
    <t>Sobha Limited</t>
  </si>
  <si>
    <t>Avanti Feeds Limited</t>
  </si>
  <si>
    <t>NCC Limited</t>
  </si>
  <si>
    <t>Eicher Motors Limited</t>
  </si>
  <si>
    <t>Indian Renewable Energy Development Agency Limited</t>
  </si>
  <si>
    <t>HDFC Asset Management Company Limited</t>
  </si>
  <si>
    <t>PB Fintech Limited</t>
  </si>
  <si>
    <t>KPIT Technologies Limited</t>
  </si>
  <si>
    <t>Blue Star Limited</t>
  </si>
  <si>
    <t>Kalpataru Projects International Limited</t>
  </si>
  <si>
    <t>International Exchange Traded Funds</t>
  </si>
  <si>
    <t>iShares V PLC - iShares MSCI ACWI UCITS ETF</t>
  </si>
  <si>
    <t>Exchange Traded Funds</t>
  </si>
  <si>
    <t>Others</t>
  </si>
  <si>
    <t>ICICI Prudential Gold ETF</t>
  </si>
  <si>
    <t>ICICI Prudential Silver ETF</t>
  </si>
  <si>
    <t>BANDHAN MULTI ASSET ALLOCATION FUND</t>
  </si>
  <si>
    <t>GAIL (India) Limited</t>
  </si>
  <si>
    <t>Ambuja Cements Limited</t>
  </si>
  <si>
    <t>Power Grid Corporation of India Limited</t>
  </si>
  <si>
    <t>Mahindra &amp; Mahindra Financial Services Limited</t>
  </si>
  <si>
    <t>Apeejay Surrendra Park Hotels Limited</t>
  </si>
  <si>
    <t>Abbott India Limited</t>
  </si>
  <si>
    <t>SignatureGlobal (India) Limited</t>
  </si>
  <si>
    <t>Info Edge (India) Limited</t>
  </si>
  <si>
    <t>Jupiter Wagons Limited</t>
  </si>
  <si>
    <t>Engineering Services</t>
  </si>
  <si>
    <t>ICICI Lombard General Insurance Company Limited</t>
  </si>
  <si>
    <t>EIH Limited</t>
  </si>
  <si>
    <t>Sterling And Wilson Renewable Energy Limited</t>
  </si>
  <si>
    <t>Oil India Limited</t>
  </si>
  <si>
    <t>IT - Hardware</t>
  </si>
  <si>
    <t>Jio Financial Services Limited</t>
  </si>
  <si>
    <t>DLF Limited</t>
  </si>
  <si>
    <t>Torrent Pharmaceuticals Limited</t>
  </si>
  <si>
    <t>Elgi Equipments Limited</t>
  </si>
  <si>
    <t>National Aluminium Company Limited</t>
  </si>
  <si>
    <t>298.23 crs</t>
  </si>
  <si>
    <t>3883.52 crs</t>
  </si>
  <si>
    <t>1357.10 crs</t>
  </si>
  <si>
    <t>1504.81 crs</t>
  </si>
  <si>
    <t>8448.81 crs</t>
  </si>
  <si>
    <t>1072.96 crs</t>
  </si>
  <si>
    <t>1938.65 crs</t>
  </si>
  <si>
    <t>6754.18 crs</t>
  </si>
  <si>
    <t>4389.28 crs</t>
  </si>
  <si>
    <t>1009.31 crs</t>
  </si>
  <si>
    <t>423.54 crs</t>
  </si>
  <si>
    <t>742.32 crs</t>
  </si>
  <si>
    <t>6139.72 crs</t>
  </si>
  <si>
    <t>5767.97 crs</t>
  </si>
  <si>
    <t>2220.37 crs</t>
  </si>
  <si>
    <t>102.07 crs</t>
  </si>
  <si>
    <t>120.20 crs</t>
  </si>
  <si>
    <t>691.54 crs</t>
  </si>
  <si>
    <t>153.35 crs</t>
  </si>
  <si>
    <t>1261.04 crs</t>
  </si>
  <si>
    <t>17.48 crs</t>
  </si>
  <si>
    <t>18.01 crs</t>
  </si>
  <si>
    <t>6.24 crs</t>
  </si>
  <si>
    <t>1164.85 crs</t>
  </si>
  <si>
    <t>1.09 crs</t>
  </si>
  <si>
    <t>22.27 crs</t>
  </si>
  <si>
    <t>111.15 crs</t>
  </si>
  <si>
    <t>57.17 crs</t>
  </si>
  <si>
    <t>428.31 crs</t>
  </si>
  <si>
    <t>19.45 crs</t>
  </si>
  <si>
    <t>34.15 crs</t>
  </si>
  <si>
    <t>24.96 crs</t>
  </si>
  <si>
    <t>Portfolio as on - (29th February 2024)</t>
  </si>
  <si>
    <t>Net Assets as on 29 February, 2024</t>
  </si>
  <si>
    <t>Tata Technologies Ltd</t>
  </si>
  <si>
    <t>The Federal Bank Limited</t>
  </si>
  <si>
    <t>Sona BLW Precision Forgings Limited</t>
  </si>
  <si>
    <t>Dixon Technologies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</si>
</sst>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79">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67"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0" fontId="0" fillId="0" borderId="0" xfId="0"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0.99046500000000004</c:v>
                </c:pt>
                <c:pt idx="1">
                  <c:v>-5.6080000000000001E-3</c:v>
                </c:pt>
                <c:pt idx="2">
                  <c:v>1.5143E-2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CEF'!$W$8:$W$40</c:f>
              <c:strCache>
                <c:ptCount val="33"/>
                <c:pt idx="0">
                  <c:v>Banks</c:v>
                </c:pt>
                <c:pt idx="1">
                  <c:v>Finance</c:v>
                </c:pt>
                <c:pt idx="2">
                  <c:v>Pharmaceuticals &amp; Biotechnology</c:v>
                </c:pt>
                <c:pt idx="3">
                  <c:v>Auto Components</c:v>
                </c:pt>
                <c:pt idx="4">
                  <c:v>Retailing</c:v>
                </c:pt>
                <c:pt idx="5">
                  <c:v>IT - Software</c:v>
                </c:pt>
                <c:pt idx="6">
                  <c:v>Petroleum Products</c:v>
                </c:pt>
                <c:pt idx="7">
                  <c:v>Automobiles</c:v>
                </c:pt>
                <c:pt idx="8">
                  <c:v>Electrical Equipment</c:v>
                </c:pt>
                <c:pt idx="9">
                  <c:v>Realty</c:v>
                </c:pt>
                <c:pt idx="10">
                  <c:v>Transport Services</c:v>
                </c:pt>
                <c:pt idx="11">
                  <c:v>Ferrous Metals</c:v>
                </c:pt>
                <c:pt idx="12">
                  <c:v>Construction</c:v>
                </c:pt>
                <c:pt idx="13">
                  <c:v>Insurance</c:v>
                </c:pt>
                <c:pt idx="14">
                  <c:v>Power</c:v>
                </c:pt>
                <c:pt idx="15">
                  <c:v>Industrial Products</c:v>
                </c:pt>
                <c:pt idx="16">
                  <c:v>Consumer Durables</c:v>
                </c:pt>
                <c:pt idx="17">
                  <c:v>Capital Markets</c:v>
                </c:pt>
                <c:pt idx="18">
                  <c:v>Diversified FMCG</c:v>
                </c:pt>
                <c:pt idx="19">
                  <c:v>Cement &amp; Cement Products</c:v>
                </c:pt>
                <c:pt idx="20">
                  <c:v>Oil</c:v>
                </c:pt>
                <c:pt idx="21">
                  <c:v>Chemicals &amp; Petrochemicals</c:v>
                </c:pt>
                <c:pt idx="22">
                  <c:v>Gas</c:v>
                </c:pt>
                <c:pt idx="23">
                  <c:v>Telecom - Services</c:v>
                </c:pt>
                <c:pt idx="24">
                  <c:v>Commercial Services &amp; Supplies</c:v>
                </c:pt>
                <c:pt idx="25">
                  <c:v>Healthcare Services</c:v>
                </c:pt>
                <c:pt idx="26">
                  <c:v>Financial Technology (Fintech)</c:v>
                </c:pt>
                <c:pt idx="27">
                  <c:v>IT - Services</c:v>
                </c:pt>
                <c:pt idx="28">
                  <c:v>Diversified</c:v>
                </c:pt>
                <c:pt idx="29">
                  <c:v>Minerals &amp; Mining</c:v>
                </c:pt>
                <c:pt idx="30">
                  <c:v>Beverages</c:v>
                </c:pt>
                <c:pt idx="31">
                  <c:v>Leisure Services</c:v>
                </c:pt>
                <c:pt idx="32">
                  <c:v>Aerospace &amp; Defense</c:v>
                </c:pt>
              </c:strCache>
            </c:strRef>
          </c:cat>
          <c:val>
            <c:numRef>
              <c:f>'BANDHAN CEF'!$X$8:$X$40</c:f>
              <c:numCache>
                <c:formatCode>0.00%</c:formatCode>
                <c:ptCount val="33"/>
                <c:pt idx="0">
                  <c:v>0.11633200000000002</c:v>
                </c:pt>
                <c:pt idx="1">
                  <c:v>7.6121999999999995E-2</c:v>
                </c:pt>
                <c:pt idx="2">
                  <c:v>6.0298999999999998E-2</c:v>
                </c:pt>
                <c:pt idx="3">
                  <c:v>5.1637000000000002E-2</c:v>
                </c:pt>
                <c:pt idx="4">
                  <c:v>5.0523999999999999E-2</c:v>
                </c:pt>
                <c:pt idx="5">
                  <c:v>4.8420000000000005E-2</c:v>
                </c:pt>
                <c:pt idx="6">
                  <c:v>4.7022000000000001E-2</c:v>
                </c:pt>
                <c:pt idx="7">
                  <c:v>4.1423000000000001E-2</c:v>
                </c:pt>
                <c:pt idx="8">
                  <c:v>4.1024999999999999E-2</c:v>
                </c:pt>
                <c:pt idx="9">
                  <c:v>3.9886999999999999E-2</c:v>
                </c:pt>
                <c:pt idx="10">
                  <c:v>3.2753000000000004E-2</c:v>
                </c:pt>
                <c:pt idx="11">
                  <c:v>3.2538999999999998E-2</c:v>
                </c:pt>
                <c:pt idx="12">
                  <c:v>3.2159E-2</c:v>
                </c:pt>
                <c:pt idx="13">
                  <c:v>2.9241E-2</c:v>
                </c:pt>
                <c:pt idx="14">
                  <c:v>2.7300999999999999E-2</c:v>
                </c:pt>
                <c:pt idx="15">
                  <c:v>2.6375000000000003E-2</c:v>
                </c:pt>
                <c:pt idx="16">
                  <c:v>2.3542E-2</c:v>
                </c:pt>
                <c:pt idx="17">
                  <c:v>1.7693E-2</c:v>
                </c:pt>
                <c:pt idx="18">
                  <c:v>1.4827E-2</c:v>
                </c:pt>
                <c:pt idx="19">
                  <c:v>1.4389000000000001E-2</c:v>
                </c:pt>
                <c:pt idx="20">
                  <c:v>1.3948E-2</c:v>
                </c:pt>
                <c:pt idx="21">
                  <c:v>1.2731000000000001E-2</c:v>
                </c:pt>
                <c:pt idx="22">
                  <c:v>1.1265000000000001E-2</c:v>
                </c:pt>
                <c:pt idx="23">
                  <c:v>1.0741000000000001E-2</c:v>
                </c:pt>
                <c:pt idx="24">
                  <c:v>1.0186000000000001E-2</c:v>
                </c:pt>
                <c:pt idx="25">
                  <c:v>9.0900000000000009E-3</c:v>
                </c:pt>
                <c:pt idx="26">
                  <c:v>9.018E-3</c:v>
                </c:pt>
                <c:pt idx="27">
                  <c:v>8.9680000000000003E-3</c:v>
                </c:pt>
                <c:pt idx="28">
                  <c:v>8.5579999999999996E-3</c:v>
                </c:pt>
                <c:pt idx="29">
                  <c:v>7.1939999999999999E-3</c:v>
                </c:pt>
                <c:pt idx="30">
                  <c:v>5.078E-3</c:v>
                </c:pt>
                <c:pt idx="31">
                  <c:v>4.7460000000000002E-3</c:v>
                </c:pt>
                <c:pt idx="32">
                  <c:v>4.6470000000000001E-3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LCF'!$W$8:$W$28</c:f>
              <c:strCache>
                <c:ptCount val="21"/>
                <c:pt idx="0">
                  <c:v>Banks</c:v>
                </c:pt>
                <c:pt idx="1">
                  <c:v>IT - Software</c:v>
                </c:pt>
                <c:pt idx="2">
                  <c:v>Automobiles</c:v>
                </c:pt>
                <c:pt idx="3">
                  <c:v>Petroleum Products</c:v>
                </c:pt>
                <c:pt idx="4">
                  <c:v>Finance</c:v>
                </c:pt>
                <c:pt idx="5">
                  <c:v>Pharmaceuticals &amp; Biotechnology</c:v>
                </c:pt>
                <c:pt idx="6">
                  <c:v>Construction</c:v>
                </c:pt>
                <c:pt idx="7">
                  <c:v>Insurance</c:v>
                </c:pt>
                <c:pt idx="8">
                  <c:v>Beverages</c:v>
                </c:pt>
                <c:pt idx="9">
                  <c:v>Diversified FMCG</c:v>
                </c:pt>
                <c:pt idx="10">
                  <c:v>Realty</c:v>
                </c:pt>
                <c:pt idx="11">
                  <c:v>Consumer Durables</c:v>
                </c:pt>
                <c:pt idx="12">
                  <c:v>Retailing</c:v>
                </c:pt>
                <c:pt idx="13">
                  <c:v>Power</c:v>
                </c:pt>
                <c:pt idx="14">
                  <c:v>Consumable Fuels</c:v>
                </c:pt>
                <c:pt idx="15">
                  <c:v>Cement &amp; Cement Products</c:v>
                </c:pt>
                <c:pt idx="16">
                  <c:v>Agricultural, Commercial &amp; Construction Vehicles</c:v>
                </c:pt>
                <c:pt idx="17">
                  <c:v>Electrical Equipment</c:v>
                </c:pt>
                <c:pt idx="18">
                  <c:v>Leisure Services</c:v>
                </c:pt>
                <c:pt idx="19">
                  <c:v>Aerospace &amp; Defense</c:v>
                </c:pt>
                <c:pt idx="20">
                  <c:v>IT - Services</c:v>
                </c:pt>
              </c:strCache>
            </c:strRef>
          </c:cat>
          <c:val>
            <c:numRef>
              <c:f>'BANDHAN LCF'!$X$8:$X$28</c:f>
              <c:numCache>
                <c:formatCode>0.00%</c:formatCode>
                <c:ptCount val="21"/>
                <c:pt idx="0">
                  <c:v>0.22850299999999998</c:v>
                </c:pt>
                <c:pt idx="1">
                  <c:v>0.10847400000000001</c:v>
                </c:pt>
                <c:pt idx="2">
                  <c:v>0.10629400000000001</c:v>
                </c:pt>
                <c:pt idx="3">
                  <c:v>8.8383000000000003E-2</c:v>
                </c:pt>
                <c:pt idx="4">
                  <c:v>5.9028000000000004E-2</c:v>
                </c:pt>
                <c:pt idx="5">
                  <c:v>5.4646E-2</c:v>
                </c:pt>
                <c:pt idx="6">
                  <c:v>3.9333E-2</c:v>
                </c:pt>
                <c:pt idx="7">
                  <c:v>3.0786000000000001E-2</c:v>
                </c:pt>
                <c:pt idx="8">
                  <c:v>3.0488000000000001E-2</c:v>
                </c:pt>
                <c:pt idx="9">
                  <c:v>2.8892999999999999E-2</c:v>
                </c:pt>
                <c:pt idx="10">
                  <c:v>2.3630999999999999E-2</c:v>
                </c:pt>
                <c:pt idx="11">
                  <c:v>2.3088999999999998E-2</c:v>
                </c:pt>
                <c:pt idx="12">
                  <c:v>2.0708000000000001E-2</c:v>
                </c:pt>
                <c:pt idx="13">
                  <c:v>2.0544E-2</c:v>
                </c:pt>
                <c:pt idx="14">
                  <c:v>2.0226000000000001E-2</c:v>
                </c:pt>
                <c:pt idx="15">
                  <c:v>2.0154000000000002E-2</c:v>
                </c:pt>
                <c:pt idx="16">
                  <c:v>2.0028000000000001E-2</c:v>
                </c:pt>
                <c:pt idx="17">
                  <c:v>1.2061000000000001E-2</c:v>
                </c:pt>
                <c:pt idx="18">
                  <c:v>1.1048000000000001E-2</c:v>
                </c:pt>
                <c:pt idx="19">
                  <c:v>1.0088E-2</c:v>
                </c:pt>
                <c:pt idx="20">
                  <c:v>9.9220000000000003E-3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FEF'!$W$8:$W$28</c:f>
              <c:strCache>
                <c:ptCount val="21"/>
                <c:pt idx="0">
                  <c:v>Banks</c:v>
                </c:pt>
                <c:pt idx="1">
                  <c:v>Automobiles</c:v>
                </c:pt>
                <c:pt idx="2">
                  <c:v>Electrical Equipment</c:v>
                </c:pt>
                <c:pt idx="3">
                  <c:v>Petroleum Products</c:v>
                </c:pt>
                <c:pt idx="4">
                  <c:v>Finance</c:v>
                </c:pt>
                <c:pt idx="5">
                  <c:v>IT - Software</c:v>
                </c:pt>
                <c:pt idx="6">
                  <c:v>Retailing</c:v>
                </c:pt>
                <c:pt idx="7">
                  <c:v>Realty</c:v>
                </c:pt>
                <c:pt idx="8">
                  <c:v>Pharmaceuticals &amp; Biotechnology</c:v>
                </c:pt>
                <c:pt idx="9">
                  <c:v>Agricultural, Commercial &amp; Construction Vehicles</c:v>
                </c:pt>
                <c:pt idx="10">
                  <c:v>Leisure Services</c:v>
                </c:pt>
                <c:pt idx="11">
                  <c:v>Food Products</c:v>
                </c:pt>
                <c:pt idx="12">
                  <c:v>Aerospace &amp; Defense</c:v>
                </c:pt>
                <c:pt idx="13">
                  <c:v>Financial Technology (Fintech)</c:v>
                </c:pt>
                <c:pt idx="14">
                  <c:v>Construction</c:v>
                </c:pt>
                <c:pt idx="15">
                  <c:v>Healthcare Services</c:v>
                </c:pt>
                <c:pt idx="16">
                  <c:v>Consumer Durables</c:v>
                </c:pt>
                <c:pt idx="17">
                  <c:v>Engineering Services</c:v>
                </c:pt>
                <c:pt idx="18">
                  <c:v>Diversified FMCG</c:v>
                </c:pt>
                <c:pt idx="19">
                  <c:v>IT - Services</c:v>
                </c:pt>
                <c:pt idx="20">
                  <c:v>Industrial Manufacturing</c:v>
                </c:pt>
              </c:strCache>
            </c:strRef>
          </c:cat>
          <c:val>
            <c:numRef>
              <c:f>'BANDHAN FEF'!$X$8:$X$28</c:f>
              <c:numCache>
                <c:formatCode>0.00%</c:formatCode>
                <c:ptCount val="21"/>
                <c:pt idx="0">
                  <c:v>0.20727999999999999</c:v>
                </c:pt>
                <c:pt idx="1">
                  <c:v>0.10516400000000001</c:v>
                </c:pt>
                <c:pt idx="2">
                  <c:v>7.0065000000000002E-2</c:v>
                </c:pt>
                <c:pt idx="3">
                  <c:v>6.4716999999999997E-2</c:v>
                </c:pt>
                <c:pt idx="4">
                  <c:v>6.4632999999999996E-2</c:v>
                </c:pt>
                <c:pt idx="5">
                  <c:v>6.2528E-2</c:v>
                </c:pt>
                <c:pt idx="6">
                  <c:v>4.9699E-2</c:v>
                </c:pt>
                <c:pt idx="7">
                  <c:v>4.1154999999999997E-2</c:v>
                </c:pt>
                <c:pt idx="8">
                  <c:v>3.7969000000000003E-2</c:v>
                </c:pt>
                <c:pt idx="9">
                  <c:v>3.2368000000000001E-2</c:v>
                </c:pt>
                <c:pt idx="10">
                  <c:v>3.0192E-2</c:v>
                </c:pt>
                <c:pt idx="11">
                  <c:v>2.9374999999999998E-2</c:v>
                </c:pt>
                <c:pt idx="12">
                  <c:v>2.5937000000000002E-2</c:v>
                </c:pt>
                <c:pt idx="13">
                  <c:v>2.2855E-2</c:v>
                </c:pt>
                <c:pt idx="14">
                  <c:v>2.1233999999999999E-2</c:v>
                </c:pt>
                <c:pt idx="15">
                  <c:v>2.0889999999999999E-2</c:v>
                </c:pt>
                <c:pt idx="16">
                  <c:v>1.9762999999999999E-2</c:v>
                </c:pt>
                <c:pt idx="17">
                  <c:v>1.9431E-2</c:v>
                </c:pt>
                <c:pt idx="18">
                  <c:v>1.9248000000000001E-2</c:v>
                </c:pt>
                <c:pt idx="19">
                  <c:v>1.9127000000000002E-2</c:v>
                </c:pt>
                <c:pt idx="20">
                  <c:v>1.9054999999999999E-2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Pharmaceuticals &amp; Biotechnology</c:v>
                </c:pt>
                <c:pt idx="2">
                  <c:v>IT - Software</c:v>
                </c:pt>
                <c:pt idx="3">
                  <c:v>Automobiles</c:v>
                </c:pt>
                <c:pt idx="4">
                  <c:v>Finance</c:v>
                </c:pt>
                <c:pt idx="5">
                  <c:v>Petroleum Products</c:v>
                </c:pt>
                <c:pt idx="6">
                  <c:v>Electrical Equipment</c:v>
                </c:pt>
                <c:pt idx="7">
                  <c:v>Insurance</c:v>
                </c:pt>
                <c:pt idx="8">
                  <c:v>Power</c:v>
                </c:pt>
                <c:pt idx="9">
                  <c:v>Auto Components</c:v>
                </c:pt>
                <c:pt idx="10">
                  <c:v>Ferrous Metals</c:v>
                </c:pt>
                <c:pt idx="11">
                  <c:v>Leisure Services</c:v>
                </c:pt>
                <c:pt idx="12">
                  <c:v>Construction</c:v>
                </c:pt>
                <c:pt idx="13">
                  <c:v>Consumer Durables</c:v>
                </c:pt>
                <c:pt idx="14">
                  <c:v>Diversified FMCG</c:v>
                </c:pt>
                <c:pt idx="15">
                  <c:v>Beverages</c:v>
                </c:pt>
                <c:pt idx="16">
                  <c:v>Food Products</c:v>
                </c:pt>
                <c:pt idx="17">
                  <c:v>Personal Products</c:v>
                </c:pt>
                <c:pt idx="18">
                  <c:v>Gas</c:v>
                </c:pt>
                <c:pt idx="19">
                  <c:v>Consumable Fuels</c:v>
                </c:pt>
                <c:pt idx="20">
                  <c:v>Transport Services</c:v>
                </c:pt>
                <c:pt idx="21">
                  <c:v>Cement &amp; Cement Products</c:v>
                </c:pt>
                <c:pt idx="22">
                  <c:v>Commercial Services &amp; Supplies</c:v>
                </c:pt>
                <c:pt idx="23">
                  <c:v>Non - Ferrous Metals</c:v>
                </c:pt>
                <c:pt idx="24">
                  <c:v>Industrial Products</c:v>
                </c:pt>
                <c:pt idx="25">
                  <c:v>Oil</c:v>
                </c:pt>
                <c:pt idx="26">
                  <c:v>Telecom - Services</c:v>
                </c:pt>
                <c:pt idx="27">
                  <c:v>Retailing</c:v>
                </c:pt>
                <c:pt idx="28">
                  <c:v>Realty</c:v>
                </c:pt>
                <c:pt idx="29">
                  <c:v>Chemicals &amp; Petrochemicals</c:v>
                </c:pt>
              </c:strCache>
            </c:strRef>
          </c:cat>
          <c:val>
            <c:numRef>
              <c:f>'BANDHAN SVF'!$X$8:$X$37</c:f>
              <c:numCache>
                <c:formatCode>0.00%</c:formatCode>
                <c:ptCount val="30"/>
                <c:pt idx="0">
                  <c:v>0.17804300000000001</c:v>
                </c:pt>
                <c:pt idx="1">
                  <c:v>8.1951999999999997E-2</c:v>
                </c:pt>
                <c:pt idx="2">
                  <c:v>7.6103000000000004E-2</c:v>
                </c:pt>
                <c:pt idx="3">
                  <c:v>5.4823999999999998E-2</c:v>
                </c:pt>
                <c:pt idx="4">
                  <c:v>4.8569999999999995E-2</c:v>
                </c:pt>
                <c:pt idx="5">
                  <c:v>4.4089999999999997E-2</c:v>
                </c:pt>
                <c:pt idx="6">
                  <c:v>4.0931000000000002E-2</c:v>
                </c:pt>
                <c:pt idx="7">
                  <c:v>3.7822000000000001E-2</c:v>
                </c:pt>
                <c:pt idx="8">
                  <c:v>3.5237999999999998E-2</c:v>
                </c:pt>
                <c:pt idx="9">
                  <c:v>3.5006999999999996E-2</c:v>
                </c:pt>
                <c:pt idx="10">
                  <c:v>3.3016000000000004E-2</c:v>
                </c:pt>
                <c:pt idx="11">
                  <c:v>3.0702E-2</c:v>
                </c:pt>
                <c:pt idx="12">
                  <c:v>2.6476E-2</c:v>
                </c:pt>
                <c:pt idx="13">
                  <c:v>2.3789000000000001E-2</c:v>
                </c:pt>
                <c:pt idx="14">
                  <c:v>2.0198000000000001E-2</c:v>
                </c:pt>
                <c:pt idx="15">
                  <c:v>2.0105999999999999E-2</c:v>
                </c:pt>
                <c:pt idx="16">
                  <c:v>1.5591000000000001E-2</c:v>
                </c:pt>
                <c:pt idx="17">
                  <c:v>1.4886E-2</c:v>
                </c:pt>
                <c:pt idx="18">
                  <c:v>1.456E-2</c:v>
                </c:pt>
                <c:pt idx="19">
                  <c:v>1.3956E-2</c:v>
                </c:pt>
                <c:pt idx="20">
                  <c:v>1.3113E-2</c:v>
                </c:pt>
                <c:pt idx="21">
                  <c:v>1.3038000000000001E-2</c:v>
                </c:pt>
                <c:pt idx="22">
                  <c:v>1.1869000000000001E-2</c:v>
                </c:pt>
                <c:pt idx="23">
                  <c:v>1.1032999999999999E-2</c:v>
                </c:pt>
                <c:pt idx="24">
                  <c:v>1.0985999999999999E-2</c:v>
                </c:pt>
                <c:pt idx="25">
                  <c:v>1.0961E-2</c:v>
                </c:pt>
                <c:pt idx="26">
                  <c:v>9.3069999999999993E-3</c:v>
                </c:pt>
                <c:pt idx="27">
                  <c:v>9.2800000000000001E-3</c:v>
                </c:pt>
                <c:pt idx="28">
                  <c:v>9.2630000000000004E-3</c:v>
                </c:pt>
                <c:pt idx="29">
                  <c:v>7.8569999999999994E-3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Automobiles</c:v>
                </c:pt>
                <c:pt idx="4">
                  <c:v>Finance</c:v>
                </c:pt>
                <c:pt idx="5">
                  <c:v>Petroleum Products</c:v>
                </c:pt>
                <c:pt idx="6">
                  <c:v>Electrical Equipment</c:v>
                </c:pt>
                <c:pt idx="7">
                  <c:v>Insurance</c:v>
                </c:pt>
                <c:pt idx="8">
                  <c:v>Power</c:v>
                </c:pt>
                <c:pt idx="9">
                  <c:v>Auto Components</c:v>
                </c:pt>
                <c:pt idx="10">
                  <c:v>Ferrous Metals</c:v>
                </c:pt>
                <c:pt idx="11">
                  <c:v>Leisure Services</c:v>
                </c:pt>
                <c:pt idx="12">
                  <c:v>Construction</c:v>
                </c:pt>
                <c:pt idx="13">
                  <c:v>Consumer Durables</c:v>
                </c:pt>
                <c:pt idx="14">
                  <c:v>Diversified FMCG</c:v>
                </c:pt>
                <c:pt idx="15">
                  <c:v>Beverages</c:v>
                </c:pt>
                <c:pt idx="16">
                  <c:v>Food Products</c:v>
                </c:pt>
                <c:pt idx="17">
                  <c:v>Personal Products</c:v>
                </c:pt>
                <c:pt idx="18">
                  <c:v>Gas</c:v>
                </c:pt>
                <c:pt idx="19">
                  <c:v>Consumable Fuels</c:v>
                </c:pt>
                <c:pt idx="20">
                  <c:v>Transport Services</c:v>
                </c:pt>
                <c:pt idx="21">
                  <c:v>Cement &amp; Cement Products</c:v>
                </c:pt>
                <c:pt idx="22">
                  <c:v>Commercial Services &amp; Supplies</c:v>
                </c:pt>
                <c:pt idx="23">
                  <c:v>Non - Ferrous Metals</c:v>
                </c:pt>
                <c:pt idx="24">
                  <c:v>Industrial Products</c:v>
                </c:pt>
                <c:pt idx="25">
                  <c:v>Oil</c:v>
                </c:pt>
                <c:pt idx="26">
                  <c:v>Telecom - Services</c:v>
                </c:pt>
                <c:pt idx="27">
                  <c:v>Retailing</c:v>
                </c:pt>
              </c:strCache>
            </c:strRef>
          </c:cat>
          <c:val>
            <c:numRef>
              <c:f>'BANDHAN SVF'!$X$8:$X$35</c:f>
              <c:numCache>
                <c:formatCode>0.00%</c:formatCode>
                <c:ptCount val="28"/>
                <c:pt idx="0">
                  <c:v>0.17804300000000001</c:v>
                </c:pt>
                <c:pt idx="1">
                  <c:v>8.1951999999999997E-2</c:v>
                </c:pt>
                <c:pt idx="2">
                  <c:v>7.6103000000000004E-2</c:v>
                </c:pt>
                <c:pt idx="3">
                  <c:v>5.4823999999999998E-2</c:v>
                </c:pt>
                <c:pt idx="4">
                  <c:v>4.8569999999999995E-2</c:v>
                </c:pt>
                <c:pt idx="5">
                  <c:v>4.4089999999999997E-2</c:v>
                </c:pt>
                <c:pt idx="6">
                  <c:v>4.0931000000000002E-2</c:v>
                </c:pt>
                <c:pt idx="7">
                  <c:v>3.7822000000000001E-2</c:v>
                </c:pt>
                <c:pt idx="8">
                  <c:v>3.5237999999999998E-2</c:v>
                </c:pt>
                <c:pt idx="9">
                  <c:v>3.5006999999999996E-2</c:v>
                </c:pt>
                <c:pt idx="10">
                  <c:v>3.3016000000000004E-2</c:v>
                </c:pt>
                <c:pt idx="11">
                  <c:v>3.0702E-2</c:v>
                </c:pt>
                <c:pt idx="12">
                  <c:v>2.6476E-2</c:v>
                </c:pt>
                <c:pt idx="13">
                  <c:v>2.3789000000000001E-2</c:v>
                </c:pt>
                <c:pt idx="14">
                  <c:v>2.0198000000000001E-2</c:v>
                </c:pt>
                <c:pt idx="15">
                  <c:v>2.0105999999999999E-2</c:v>
                </c:pt>
                <c:pt idx="16">
                  <c:v>1.5591000000000001E-2</c:v>
                </c:pt>
                <c:pt idx="17">
                  <c:v>1.4886E-2</c:v>
                </c:pt>
                <c:pt idx="18">
                  <c:v>1.456E-2</c:v>
                </c:pt>
                <c:pt idx="19">
                  <c:v>1.3956E-2</c:v>
                </c:pt>
                <c:pt idx="20">
                  <c:v>1.3113E-2</c:v>
                </c:pt>
                <c:pt idx="21">
                  <c:v>1.3038000000000001E-2</c:v>
                </c:pt>
                <c:pt idx="22">
                  <c:v>1.1869000000000001E-2</c:v>
                </c:pt>
                <c:pt idx="23">
                  <c:v>1.1032999999999999E-2</c:v>
                </c:pt>
                <c:pt idx="24">
                  <c:v>1.0985999999999999E-2</c:v>
                </c:pt>
                <c:pt idx="25">
                  <c:v>1.0961E-2</c:v>
                </c:pt>
                <c:pt idx="26">
                  <c:v>9.3069999999999993E-3</c:v>
                </c:pt>
                <c:pt idx="27">
                  <c:v>9.2800000000000001E-3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'BANDHAN-MCAP'!$W$8:$W$40</c:f>
              <c:strCache>
                <c:ptCount val="33"/>
                <c:pt idx="0">
                  <c:v>Industrial Products</c:v>
                </c:pt>
                <c:pt idx="1">
                  <c:v>Auto Components</c:v>
                </c:pt>
                <c:pt idx="2">
                  <c:v>Electrical Equipment</c:v>
                </c:pt>
                <c:pt idx="3">
                  <c:v>IT - Software</c:v>
                </c:pt>
                <c:pt idx="4">
                  <c:v>Retailing</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Realty</c:v>
                </c:pt>
                <c:pt idx="16">
                  <c:v>Aerospace &amp; Defense</c:v>
                </c:pt>
                <c:pt idx="17">
                  <c:v>Industrial Manufacturing</c:v>
                </c:pt>
                <c:pt idx="18">
                  <c:v>Power</c:v>
                </c:pt>
                <c:pt idx="19">
                  <c:v>Telecom - Services</c:v>
                </c:pt>
                <c:pt idx="20">
                  <c:v>Financial Technology (Fintech)</c:v>
                </c:pt>
                <c:pt idx="21">
                  <c:v>Cement &amp; Cement Products</c:v>
                </c:pt>
                <c:pt idx="22">
                  <c:v>Fertilizers &amp; Agrochemicals</c:v>
                </c:pt>
                <c:pt idx="23">
                  <c:v>Textiles &amp; Apparels</c:v>
                </c:pt>
                <c:pt idx="24">
                  <c:v>Diversified</c:v>
                </c:pt>
                <c:pt idx="25">
                  <c:v>Minerals &amp; Mining</c:v>
                </c:pt>
                <c:pt idx="26">
                  <c:v>Oil</c:v>
                </c:pt>
                <c:pt idx="27">
                  <c:v>Transport Services</c:v>
                </c:pt>
                <c:pt idx="28">
                  <c:v>Ferrous Metals</c:v>
                </c:pt>
                <c:pt idx="29">
                  <c:v>Capital Markets</c:v>
                </c:pt>
                <c:pt idx="30">
                  <c:v>Engineering Services</c:v>
                </c:pt>
                <c:pt idx="31">
                  <c:v>Food Products</c:v>
                </c:pt>
                <c:pt idx="32">
                  <c:v>Household Products</c:v>
                </c:pt>
              </c:strCache>
            </c:strRef>
          </c:cat>
          <c:val>
            <c:numRef>
              <c:f>'BANDHAN-MCAP'!$X$8:$X$40</c:f>
              <c:numCache>
                <c:formatCode>0.00%</c:formatCode>
                <c:ptCount val="33"/>
                <c:pt idx="0">
                  <c:v>0.14430800000000002</c:v>
                </c:pt>
                <c:pt idx="1">
                  <c:v>8.3796999999999996E-2</c:v>
                </c:pt>
                <c:pt idx="2">
                  <c:v>6.8467E-2</c:v>
                </c:pt>
                <c:pt idx="3">
                  <c:v>6.5801999999999999E-2</c:v>
                </c:pt>
                <c:pt idx="4">
                  <c:v>6.3312999999999994E-2</c:v>
                </c:pt>
                <c:pt idx="5">
                  <c:v>5.2421999999999996E-2</c:v>
                </c:pt>
                <c:pt idx="6">
                  <c:v>4.3748000000000002E-2</c:v>
                </c:pt>
                <c:pt idx="7">
                  <c:v>4.0475999999999998E-2</c:v>
                </c:pt>
                <c:pt idx="8">
                  <c:v>3.6878000000000001E-2</c:v>
                </c:pt>
                <c:pt idx="9">
                  <c:v>3.5640999999999999E-2</c:v>
                </c:pt>
                <c:pt idx="10">
                  <c:v>3.5247000000000001E-2</c:v>
                </c:pt>
                <c:pt idx="11">
                  <c:v>2.9432E-2</c:v>
                </c:pt>
                <c:pt idx="12">
                  <c:v>2.7063999999999998E-2</c:v>
                </c:pt>
                <c:pt idx="13">
                  <c:v>2.5549000000000002E-2</c:v>
                </c:pt>
                <c:pt idx="14">
                  <c:v>2.5440000000000001E-2</c:v>
                </c:pt>
                <c:pt idx="15">
                  <c:v>2.0537E-2</c:v>
                </c:pt>
                <c:pt idx="16">
                  <c:v>1.8321999999999998E-2</c:v>
                </c:pt>
                <c:pt idx="17">
                  <c:v>1.7663999999999999E-2</c:v>
                </c:pt>
                <c:pt idx="18">
                  <c:v>1.7507999999999999E-2</c:v>
                </c:pt>
                <c:pt idx="19">
                  <c:v>1.5737999999999999E-2</c:v>
                </c:pt>
                <c:pt idx="20">
                  <c:v>1.5153E-2</c:v>
                </c:pt>
                <c:pt idx="21">
                  <c:v>1.2083999999999999E-2</c:v>
                </c:pt>
                <c:pt idx="22">
                  <c:v>1.1801000000000001E-2</c:v>
                </c:pt>
                <c:pt idx="23">
                  <c:v>1.0544E-2</c:v>
                </c:pt>
                <c:pt idx="24">
                  <c:v>9.5219999999999992E-3</c:v>
                </c:pt>
                <c:pt idx="25">
                  <c:v>8.2509999999999997E-3</c:v>
                </c:pt>
                <c:pt idx="26">
                  <c:v>6.332E-3</c:v>
                </c:pt>
                <c:pt idx="27">
                  <c:v>5.3610000000000003E-3</c:v>
                </c:pt>
                <c:pt idx="28">
                  <c:v>5.0530000000000002E-3</c:v>
                </c:pt>
                <c:pt idx="29">
                  <c:v>5.0390000000000001E-3</c:v>
                </c:pt>
                <c:pt idx="30">
                  <c:v>4.1729999999999996E-3</c:v>
                </c:pt>
                <c:pt idx="31">
                  <c:v>1.3780000000000001E-3</c:v>
                </c:pt>
                <c:pt idx="32">
                  <c:v>1.0510000000000001E-3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(29th February 2024)</c:v>
                </c:pt>
              </c:strCache>
            </c:strRef>
          </c:tx>
          <c:invertIfNegative val="0"/>
          <c:cat>
            <c:strRef>
              <c:f>'BANDHAN-MCAP'!$W$8:$W$40</c:f>
              <c:strCache>
                <c:ptCount val="33"/>
                <c:pt idx="0">
                  <c:v>Industrial Products</c:v>
                </c:pt>
                <c:pt idx="1">
                  <c:v>Auto Components</c:v>
                </c:pt>
                <c:pt idx="2">
                  <c:v>Electrical Equipment</c:v>
                </c:pt>
                <c:pt idx="3">
                  <c:v>IT - Software</c:v>
                </c:pt>
                <c:pt idx="4">
                  <c:v>Retailing</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Realty</c:v>
                </c:pt>
                <c:pt idx="16">
                  <c:v>Aerospace &amp; Defense</c:v>
                </c:pt>
                <c:pt idx="17">
                  <c:v>Industrial Manufacturing</c:v>
                </c:pt>
                <c:pt idx="18">
                  <c:v>Power</c:v>
                </c:pt>
                <c:pt idx="19">
                  <c:v>Telecom - Services</c:v>
                </c:pt>
                <c:pt idx="20">
                  <c:v>Financial Technology (Fintech)</c:v>
                </c:pt>
                <c:pt idx="21">
                  <c:v>Cement &amp; Cement Products</c:v>
                </c:pt>
                <c:pt idx="22">
                  <c:v>Fertilizers &amp; Agrochemicals</c:v>
                </c:pt>
                <c:pt idx="23">
                  <c:v>Textiles &amp; Apparels</c:v>
                </c:pt>
                <c:pt idx="24">
                  <c:v>Diversified</c:v>
                </c:pt>
                <c:pt idx="25">
                  <c:v>Minerals &amp; Mining</c:v>
                </c:pt>
                <c:pt idx="26">
                  <c:v>Oil</c:v>
                </c:pt>
                <c:pt idx="27">
                  <c:v>Transport Services</c:v>
                </c:pt>
                <c:pt idx="28">
                  <c:v>Ferrous Metals</c:v>
                </c:pt>
                <c:pt idx="29">
                  <c:v>Capital Markets</c:v>
                </c:pt>
                <c:pt idx="30">
                  <c:v>Engineering Services</c:v>
                </c:pt>
                <c:pt idx="31">
                  <c:v>Food Products</c:v>
                </c:pt>
                <c:pt idx="32">
                  <c:v>Household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(29th February 2024)</c:v>
                </c:pt>
              </c:strCache>
            </c:strRef>
          </c:tx>
          <c:invertIfNegative val="0"/>
          <c:cat>
            <c:strRef>
              <c:f>'BANDHAN-MCAP'!$W$8:$W$40</c:f>
              <c:strCache>
                <c:ptCount val="33"/>
                <c:pt idx="0">
                  <c:v>Industrial Products</c:v>
                </c:pt>
                <c:pt idx="1">
                  <c:v>Auto Components</c:v>
                </c:pt>
                <c:pt idx="2">
                  <c:v>Electrical Equipment</c:v>
                </c:pt>
                <c:pt idx="3">
                  <c:v>IT - Software</c:v>
                </c:pt>
                <c:pt idx="4">
                  <c:v>Retailing</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Realty</c:v>
                </c:pt>
                <c:pt idx="16">
                  <c:v>Aerospace &amp; Defense</c:v>
                </c:pt>
                <c:pt idx="17">
                  <c:v>Industrial Manufacturing</c:v>
                </c:pt>
                <c:pt idx="18">
                  <c:v>Power</c:v>
                </c:pt>
                <c:pt idx="19">
                  <c:v>Telecom - Services</c:v>
                </c:pt>
                <c:pt idx="20">
                  <c:v>Financial Technology (Fintech)</c:v>
                </c:pt>
                <c:pt idx="21">
                  <c:v>Cement &amp; Cement Products</c:v>
                </c:pt>
                <c:pt idx="22">
                  <c:v>Fertilizers &amp; Agrochemicals</c:v>
                </c:pt>
                <c:pt idx="23">
                  <c:v>Textiles &amp; Apparels</c:v>
                </c:pt>
                <c:pt idx="24">
                  <c:v>Diversified</c:v>
                </c:pt>
                <c:pt idx="25">
                  <c:v>Minerals &amp; Mining</c:v>
                </c:pt>
                <c:pt idx="26">
                  <c:v>Oil</c:v>
                </c:pt>
                <c:pt idx="27">
                  <c:v>Transport Services</c:v>
                </c:pt>
                <c:pt idx="28">
                  <c:v>Ferrous Metals</c:v>
                </c:pt>
                <c:pt idx="29">
                  <c:v>Capital Markets</c:v>
                </c:pt>
                <c:pt idx="30">
                  <c:v>Engineering Services</c:v>
                </c:pt>
                <c:pt idx="31">
                  <c:v>Food Products</c:v>
                </c:pt>
                <c:pt idx="32">
                  <c:v>Household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MCF'!$W$8:$W$41</c:f>
              <c:strCache>
                <c:ptCount val="34"/>
                <c:pt idx="0">
                  <c:v>Banks</c:v>
                </c:pt>
                <c:pt idx="1">
                  <c:v>Pharmaceuticals &amp; Biotechnology</c:v>
                </c:pt>
                <c:pt idx="2">
                  <c:v>IT - Software</c:v>
                </c:pt>
                <c:pt idx="3">
                  <c:v>Consumer Durables</c:v>
                </c:pt>
                <c:pt idx="4">
                  <c:v>Auto Components</c:v>
                </c:pt>
                <c:pt idx="5">
                  <c:v>Finance</c:v>
                </c:pt>
                <c:pt idx="6">
                  <c:v>Petroleum Products</c:v>
                </c:pt>
                <c:pt idx="7">
                  <c:v>Construction</c:v>
                </c:pt>
                <c:pt idx="8">
                  <c:v>Insurance</c:v>
                </c:pt>
                <c:pt idx="9">
                  <c:v>Leisure Services</c:v>
                </c:pt>
                <c:pt idx="10">
                  <c:v>Automobiles</c:v>
                </c:pt>
                <c:pt idx="11">
                  <c:v>Retailing</c:v>
                </c:pt>
                <c:pt idx="12">
                  <c:v>Realty</c:v>
                </c:pt>
                <c:pt idx="13">
                  <c:v>Industrial Products</c:v>
                </c:pt>
                <c:pt idx="14">
                  <c:v>Electrical Equipment</c:v>
                </c:pt>
                <c:pt idx="15">
                  <c:v>Cement &amp; Cement Products</c:v>
                </c:pt>
                <c:pt idx="16">
                  <c:v>Beverages</c:v>
                </c:pt>
                <c:pt idx="17">
                  <c:v>Commercial Services &amp; Supplies</c:v>
                </c:pt>
                <c:pt idx="18">
                  <c:v>Ferrous Metals</c:v>
                </c:pt>
                <c:pt idx="19">
                  <c:v>Food Products</c:v>
                </c:pt>
                <c:pt idx="20">
                  <c:v>Telecom - Services</c:v>
                </c:pt>
                <c:pt idx="21">
                  <c:v>Transport Services</c:v>
                </c:pt>
                <c:pt idx="22">
                  <c:v>Fertilizers &amp; Agrochemicals</c:v>
                </c:pt>
                <c:pt idx="23">
                  <c:v>IT - Services</c:v>
                </c:pt>
                <c:pt idx="24">
                  <c:v>Agricultural Food &amp; other Products</c:v>
                </c:pt>
                <c:pt idx="25">
                  <c:v>Diversified FMCG</c:v>
                </c:pt>
                <c:pt idx="26">
                  <c:v>Industrial Manufacturing</c:v>
                </c:pt>
                <c:pt idx="27">
                  <c:v>Oil</c:v>
                </c:pt>
                <c:pt idx="28">
                  <c:v>Power</c:v>
                </c:pt>
                <c:pt idx="29">
                  <c:v>Non - Ferrous Metals</c:v>
                </c:pt>
                <c:pt idx="30">
                  <c:v>Minerals &amp; Mining</c:v>
                </c:pt>
                <c:pt idx="31">
                  <c:v>Healthcare Services</c:v>
                </c:pt>
                <c:pt idx="32">
                  <c:v>Entertainment</c:v>
                </c:pt>
                <c:pt idx="33">
                  <c:v>Financial Technology (Fintech)</c:v>
                </c:pt>
              </c:strCache>
            </c:strRef>
          </c:cat>
          <c:val>
            <c:numRef>
              <c:f>'BANDHAN MCF'!$X$8:$X$41</c:f>
              <c:numCache>
                <c:formatCode>0.00%</c:formatCode>
                <c:ptCount val="34"/>
                <c:pt idx="0">
                  <c:v>0.15222500000000003</c:v>
                </c:pt>
                <c:pt idx="1">
                  <c:v>7.7336000000000002E-2</c:v>
                </c:pt>
                <c:pt idx="2">
                  <c:v>6.2343000000000003E-2</c:v>
                </c:pt>
                <c:pt idx="3">
                  <c:v>4.4857000000000001E-2</c:v>
                </c:pt>
                <c:pt idx="4">
                  <c:v>4.2912999999999993E-2</c:v>
                </c:pt>
                <c:pt idx="5">
                  <c:v>4.1388999999999995E-2</c:v>
                </c:pt>
                <c:pt idx="6">
                  <c:v>4.0866E-2</c:v>
                </c:pt>
                <c:pt idx="7">
                  <c:v>4.0649000000000005E-2</c:v>
                </c:pt>
                <c:pt idx="8">
                  <c:v>3.6700000000000003E-2</c:v>
                </c:pt>
                <c:pt idx="9">
                  <c:v>3.5004E-2</c:v>
                </c:pt>
                <c:pt idx="10">
                  <c:v>3.4882999999999997E-2</c:v>
                </c:pt>
                <c:pt idx="11">
                  <c:v>3.0361999999999997E-2</c:v>
                </c:pt>
                <c:pt idx="12">
                  <c:v>2.9150999999999996E-2</c:v>
                </c:pt>
                <c:pt idx="13">
                  <c:v>2.4125000000000001E-2</c:v>
                </c:pt>
                <c:pt idx="14">
                  <c:v>2.3560000000000001E-2</c:v>
                </c:pt>
                <c:pt idx="15">
                  <c:v>2.3389999999999998E-2</c:v>
                </c:pt>
                <c:pt idx="16">
                  <c:v>2.215E-2</c:v>
                </c:pt>
                <c:pt idx="17">
                  <c:v>1.9279999999999999E-2</c:v>
                </c:pt>
                <c:pt idx="18">
                  <c:v>1.5969000000000001E-2</c:v>
                </c:pt>
                <c:pt idx="19">
                  <c:v>1.5679999999999999E-2</c:v>
                </c:pt>
                <c:pt idx="20">
                  <c:v>1.3573E-2</c:v>
                </c:pt>
                <c:pt idx="21">
                  <c:v>1.3464E-2</c:v>
                </c:pt>
                <c:pt idx="22">
                  <c:v>1.3452E-2</c:v>
                </c:pt>
                <c:pt idx="23">
                  <c:v>1.3058999999999999E-2</c:v>
                </c:pt>
                <c:pt idx="24">
                  <c:v>1.2277E-2</c:v>
                </c:pt>
                <c:pt idx="25">
                  <c:v>1.1527000000000001E-2</c:v>
                </c:pt>
                <c:pt idx="26">
                  <c:v>1.0142999999999999E-2</c:v>
                </c:pt>
                <c:pt idx="27">
                  <c:v>8.4580000000000002E-3</c:v>
                </c:pt>
                <c:pt idx="28">
                  <c:v>8.0780000000000001E-3</c:v>
                </c:pt>
                <c:pt idx="29">
                  <c:v>7.6110000000000006E-3</c:v>
                </c:pt>
                <c:pt idx="30">
                  <c:v>5.8259999999999996E-3</c:v>
                </c:pt>
                <c:pt idx="31">
                  <c:v>5.8219999999999999E-3</c:v>
                </c:pt>
                <c:pt idx="32">
                  <c:v>5.8120000000000003E-3</c:v>
                </c:pt>
                <c:pt idx="33">
                  <c:v>4.215E-3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(29th February 2024)</c:v>
                </c:pt>
              </c:strCache>
            </c:strRef>
          </c:tx>
          <c:invertIfNegative val="0"/>
          <c:cat>
            <c:strRef>
              <c:f>'BANDHAN MCF'!$W$8:$W$41</c:f>
              <c:strCache>
                <c:ptCount val="34"/>
                <c:pt idx="0">
                  <c:v>Banks</c:v>
                </c:pt>
                <c:pt idx="1">
                  <c:v>Pharmaceuticals &amp; Biotechnology</c:v>
                </c:pt>
                <c:pt idx="2">
                  <c:v>IT - Software</c:v>
                </c:pt>
                <c:pt idx="3">
                  <c:v>Consumer Durables</c:v>
                </c:pt>
                <c:pt idx="4">
                  <c:v>Auto Components</c:v>
                </c:pt>
                <c:pt idx="5">
                  <c:v>Finance</c:v>
                </c:pt>
                <c:pt idx="6">
                  <c:v>Petroleum Products</c:v>
                </c:pt>
                <c:pt idx="7">
                  <c:v>Construction</c:v>
                </c:pt>
                <c:pt idx="8">
                  <c:v>Insurance</c:v>
                </c:pt>
                <c:pt idx="9">
                  <c:v>Leisure Services</c:v>
                </c:pt>
                <c:pt idx="10">
                  <c:v>Automobiles</c:v>
                </c:pt>
                <c:pt idx="11">
                  <c:v>Retailing</c:v>
                </c:pt>
                <c:pt idx="12">
                  <c:v>Realty</c:v>
                </c:pt>
                <c:pt idx="13">
                  <c:v>Industrial Products</c:v>
                </c:pt>
                <c:pt idx="14">
                  <c:v>Electrical Equipment</c:v>
                </c:pt>
                <c:pt idx="15">
                  <c:v>Cement &amp; Cement Products</c:v>
                </c:pt>
                <c:pt idx="16">
                  <c:v>Beverages</c:v>
                </c:pt>
                <c:pt idx="17">
                  <c:v>Commercial Services &amp; Supplies</c:v>
                </c:pt>
                <c:pt idx="18">
                  <c:v>Ferrous Metals</c:v>
                </c:pt>
                <c:pt idx="19">
                  <c:v>Food Products</c:v>
                </c:pt>
                <c:pt idx="20">
                  <c:v>Telecom - Services</c:v>
                </c:pt>
                <c:pt idx="21">
                  <c:v>Transport Services</c:v>
                </c:pt>
                <c:pt idx="22">
                  <c:v>Fertilizers &amp; Agrochemicals</c:v>
                </c:pt>
                <c:pt idx="23">
                  <c:v>IT - Services</c:v>
                </c:pt>
                <c:pt idx="24">
                  <c:v>Agricultural Food &amp; other Products</c:v>
                </c:pt>
                <c:pt idx="25">
                  <c:v>Diversified FMCG</c:v>
                </c:pt>
                <c:pt idx="26">
                  <c:v>Industrial Manufacturing</c:v>
                </c:pt>
                <c:pt idx="27">
                  <c:v>Oil</c:v>
                </c:pt>
                <c:pt idx="28">
                  <c:v>Power</c:v>
                </c:pt>
                <c:pt idx="29">
                  <c:v>Non - Ferrous Metals</c:v>
                </c:pt>
                <c:pt idx="30">
                  <c:v>Minerals &amp; Mining</c:v>
                </c:pt>
                <c:pt idx="31">
                  <c:v>Healthcare Services</c:v>
                </c:pt>
                <c:pt idx="32">
                  <c:v>Entertainment</c:v>
                </c:pt>
                <c:pt idx="33">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FCF'!$W$8:$W$42</c:f>
              <c:strCache>
                <c:ptCount val="35"/>
                <c:pt idx="0">
                  <c:v>Banks</c:v>
                </c:pt>
                <c:pt idx="1">
                  <c:v>IT - Software</c:v>
                </c:pt>
                <c:pt idx="2">
                  <c:v>Automobiles</c:v>
                </c:pt>
                <c:pt idx="3">
                  <c:v>Finance</c:v>
                </c:pt>
                <c:pt idx="4">
                  <c:v>Electrical Equipment</c:v>
                </c:pt>
                <c:pt idx="5">
                  <c:v>Petroleum Products</c:v>
                </c:pt>
                <c:pt idx="6">
                  <c:v>Pharmaceuticals &amp; Biotechnology</c:v>
                </c:pt>
                <c:pt idx="7">
                  <c:v>Retailing</c:v>
                </c:pt>
                <c:pt idx="8">
                  <c:v>Construction</c:v>
                </c:pt>
                <c:pt idx="9">
                  <c:v>Industrial Products</c:v>
                </c:pt>
                <c:pt idx="10">
                  <c:v>Auto Components</c:v>
                </c:pt>
                <c:pt idx="11">
                  <c:v>Power</c:v>
                </c:pt>
                <c:pt idx="12">
                  <c:v>Telecom - Services</c:v>
                </c:pt>
                <c:pt idx="13">
                  <c:v>Beverages</c:v>
                </c:pt>
                <c:pt idx="14">
                  <c:v>Insurance</c:v>
                </c:pt>
                <c:pt idx="15">
                  <c:v>Ferrous Metals</c:v>
                </c:pt>
                <c:pt idx="16">
                  <c:v>Cement &amp; Cement Products</c:v>
                </c:pt>
                <c:pt idx="17">
                  <c:v>Consumer Durables</c:v>
                </c:pt>
                <c:pt idx="18">
                  <c:v>Realty</c:v>
                </c:pt>
                <c:pt idx="19">
                  <c:v>Transport Services</c:v>
                </c:pt>
                <c:pt idx="20">
                  <c:v>Healthcare Services</c:v>
                </c:pt>
                <c:pt idx="21">
                  <c:v>Chemicals &amp; Petrochemicals</c:v>
                </c:pt>
                <c:pt idx="22">
                  <c:v>Diversified FMCG</c:v>
                </c:pt>
                <c:pt idx="23">
                  <c:v>Gas</c:v>
                </c:pt>
                <c:pt idx="24">
                  <c:v>Oil</c:v>
                </c:pt>
                <c:pt idx="25">
                  <c:v>Food Products</c:v>
                </c:pt>
                <c:pt idx="26">
                  <c:v>Consumable Fuels</c:v>
                </c:pt>
                <c:pt idx="27">
                  <c:v>Personal Products</c:v>
                </c:pt>
                <c:pt idx="28">
                  <c:v>Financial Technology (Fintech)</c:v>
                </c:pt>
                <c:pt idx="29">
                  <c:v>Diversified</c:v>
                </c:pt>
                <c:pt idx="30">
                  <c:v>Industrial Manufacturing</c:v>
                </c:pt>
                <c:pt idx="31">
                  <c:v>Non - Ferrous Metals</c:v>
                </c:pt>
                <c:pt idx="32">
                  <c:v>Leisure Services</c:v>
                </c:pt>
                <c:pt idx="33">
                  <c:v>Capital Markets</c:v>
                </c:pt>
                <c:pt idx="34">
                  <c:v>Commercial Services &amp; Supplies</c:v>
                </c:pt>
              </c:strCache>
            </c:strRef>
          </c:cat>
          <c:val>
            <c:numRef>
              <c:f>'BANDHAN FCF'!$X$8:$X$42</c:f>
              <c:numCache>
                <c:formatCode>0.0%</c:formatCode>
                <c:ptCount val="35"/>
                <c:pt idx="0">
                  <c:v>0.18051200000000003</c:v>
                </c:pt>
                <c:pt idx="1">
                  <c:v>8.7583999999999995E-2</c:v>
                </c:pt>
                <c:pt idx="2">
                  <c:v>5.9785000000000005E-2</c:v>
                </c:pt>
                <c:pt idx="3">
                  <c:v>5.1355999999999999E-2</c:v>
                </c:pt>
                <c:pt idx="4">
                  <c:v>4.9205999999999993E-2</c:v>
                </c:pt>
                <c:pt idx="5">
                  <c:v>4.8433000000000004E-2</c:v>
                </c:pt>
                <c:pt idx="6">
                  <c:v>4.6755000000000005E-2</c:v>
                </c:pt>
                <c:pt idx="7">
                  <c:v>4.4733000000000009E-2</c:v>
                </c:pt>
                <c:pt idx="8">
                  <c:v>3.8260999999999996E-2</c:v>
                </c:pt>
                <c:pt idx="9">
                  <c:v>2.8337000000000001E-2</c:v>
                </c:pt>
                <c:pt idx="10">
                  <c:v>2.6995000000000002E-2</c:v>
                </c:pt>
                <c:pt idx="11">
                  <c:v>2.5495E-2</c:v>
                </c:pt>
                <c:pt idx="12">
                  <c:v>2.1190000000000001E-2</c:v>
                </c:pt>
                <c:pt idx="13">
                  <c:v>2.0984000000000003E-2</c:v>
                </c:pt>
                <c:pt idx="14">
                  <c:v>2.0385E-2</c:v>
                </c:pt>
                <c:pt idx="15">
                  <c:v>1.9577999999999998E-2</c:v>
                </c:pt>
                <c:pt idx="16">
                  <c:v>1.9473999999999998E-2</c:v>
                </c:pt>
                <c:pt idx="17">
                  <c:v>1.7829000000000001E-2</c:v>
                </c:pt>
                <c:pt idx="18">
                  <c:v>1.5434E-2</c:v>
                </c:pt>
                <c:pt idx="19">
                  <c:v>1.3499000000000001E-2</c:v>
                </c:pt>
                <c:pt idx="20">
                  <c:v>1.3052000000000001E-2</c:v>
                </c:pt>
                <c:pt idx="21">
                  <c:v>1.0661E-2</c:v>
                </c:pt>
                <c:pt idx="22">
                  <c:v>1.0172E-2</c:v>
                </c:pt>
                <c:pt idx="23">
                  <c:v>1.0119E-2</c:v>
                </c:pt>
                <c:pt idx="24">
                  <c:v>9.9550000000000003E-3</c:v>
                </c:pt>
                <c:pt idx="25">
                  <c:v>9.7549999999999998E-3</c:v>
                </c:pt>
                <c:pt idx="26">
                  <c:v>9.698E-3</c:v>
                </c:pt>
                <c:pt idx="27">
                  <c:v>9.6010000000000002E-3</c:v>
                </c:pt>
                <c:pt idx="28">
                  <c:v>8.6420000000000004E-3</c:v>
                </c:pt>
                <c:pt idx="29">
                  <c:v>5.836E-3</c:v>
                </c:pt>
                <c:pt idx="30">
                  <c:v>4.7889999999999999E-3</c:v>
                </c:pt>
                <c:pt idx="31">
                  <c:v>4.5659999999999997E-3</c:v>
                </c:pt>
                <c:pt idx="32">
                  <c:v>4.2560000000000002E-3</c:v>
                </c:pt>
                <c:pt idx="33">
                  <c:v>2.3909999999999999E-3</c:v>
                </c:pt>
                <c:pt idx="34">
                  <c:v>1.5219999999999999E-3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EBF'!$W$8:$W$50</c:f>
              <c:strCache>
                <c:ptCount val="43"/>
                <c:pt idx="0">
                  <c:v>Finance</c:v>
                </c:pt>
                <c:pt idx="1">
                  <c:v>Industrial Products</c:v>
                </c:pt>
                <c:pt idx="2">
                  <c:v>Capital Markets</c:v>
                </c:pt>
                <c:pt idx="3">
                  <c:v>Auto Components</c:v>
                </c:pt>
                <c:pt idx="4">
                  <c:v>Pharmaceuticals &amp; Biotechnology</c:v>
                </c:pt>
                <c:pt idx="5">
                  <c:v>Consumer Durables</c:v>
                </c:pt>
                <c:pt idx="6">
                  <c:v>Textiles &amp; Apparels</c:v>
                </c:pt>
                <c:pt idx="7">
                  <c:v>Realty</c:v>
                </c:pt>
                <c:pt idx="8">
                  <c:v>Electrical Equipment</c:v>
                </c:pt>
                <c:pt idx="9">
                  <c:v>Commercial Services &amp; Supplies</c:v>
                </c:pt>
                <c:pt idx="10">
                  <c:v>Banks</c:v>
                </c:pt>
                <c:pt idx="11">
                  <c:v>Ferrous Metals</c:v>
                </c:pt>
                <c:pt idx="12">
                  <c:v>Retailing</c:v>
                </c:pt>
                <c:pt idx="13">
                  <c:v>Chemicals &amp; Petrochemicals</c:v>
                </c:pt>
                <c:pt idx="14">
                  <c:v>Healthcare Services</c:v>
                </c:pt>
                <c:pt idx="15">
                  <c:v>Cement &amp; Cement Products</c:v>
                </c:pt>
                <c:pt idx="16">
                  <c:v>Leisure Services</c:v>
                </c:pt>
                <c:pt idx="17">
                  <c:v>Transport Services</c:v>
                </c:pt>
                <c:pt idx="18">
                  <c:v>Power</c:v>
                </c:pt>
                <c:pt idx="19">
                  <c:v>IT - Services</c:v>
                </c:pt>
                <c:pt idx="20">
                  <c:v>Petroleum Products</c:v>
                </c:pt>
                <c:pt idx="21">
                  <c:v>Diversified</c:v>
                </c:pt>
                <c:pt idx="22">
                  <c:v>Oil</c:v>
                </c:pt>
                <c:pt idx="23">
                  <c:v>Minerals &amp; Mining</c:v>
                </c:pt>
                <c:pt idx="24">
                  <c:v>Beverages</c:v>
                </c:pt>
                <c:pt idx="25">
                  <c:v>IT - Software</c:v>
                </c:pt>
                <c:pt idx="26">
                  <c:v>Aerospace &amp; Defense</c:v>
                </c:pt>
                <c:pt idx="27">
                  <c:v>Industrial Manufacturing</c:v>
                </c:pt>
                <c:pt idx="28">
                  <c:v>Agricultural Food &amp; other Products</c:v>
                </c:pt>
                <c:pt idx="29">
                  <c:v>Non - Ferrous Metals</c:v>
                </c:pt>
                <c:pt idx="30">
                  <c:v>Food Products</c:v>
                </c:pt>
                <c:pt idx="31">
                  <c:v>Gas</c:v>
                </c:pt>
                <c:pt idx="32">
                  <c:v>IT - Hardware</c:v>
                </c:pt>
                <c:pt idx="33">
                  <c:v>Paper, Forest &amp; Jute Products</c:v>
                </c:pt>
                <c:pt idx="34">
                  <c:v>Transport Infrastructure</c:v>
                </c:pt>
                <c:pt idx="35">
                  <c:v>Household Products</c:v>
                </c:pt>
                <c:pt idx="36">
                  <c:v>Construction</c:v>
                </c:pt>
                <c:pt idx="37">
                  <c:v>Personal Products</c:v>
                </c:pt>
                <c:pt idx="38">
                  <c:v>Cigarettes &amp; Tobacco Products</c:v>
                </c:pt>
                <c:pt idx="39">
                  <c:v>Agricultural, Commercial &amp; Construction Vehicles</c:v>
                </c:pt>
                <c:pt idx="40">
                  <c:v>Automobiles</c:v>
                </c:pt>
                <c:pt idx="41">
                  <c:v>Insurance</c:v>
                </c:pt>
                <c:pt idx="42">
                  <c:v>Consumable Fuels</c:v>
                </c:pt>
              </c:strCache>
            </c:strRef>
          </c:cat>
          <c:val>
            <c:numRef>
              <c:f>'BANDHAN EBF'!$X$8:$X$50</c:f>
              <c:numCache>
                <c:formatCode>0.00%</c:formatCode>
                <c:ptCount val="43"/>
                <c:pt idx="0">
                  <c:v>0.13470299999999999</c:v>
                </c:pt>
                <c:pt idx="1">
                  <c:v>5.4713999999999999E-2</c:v>
                </c:pt>
                <c:pt idx="2">
                  <c:v>5.2533999999999997E-2</c:v>
                </c:pt>
                <c:pt idx="3">
                  <c:v>4.9763000000000002E-2</c:v>
                </c:pt>
                <c:pt idx="4">
                  <c:v>4.7728999999999994E-2</c:v>
                </c:pt>
                <c:pt idx="5">
                  <c:v>4.6729E-2</c:v>
                </c:pt>
                <c:pt idx="6">
                  <c:v>4.5086000000000001E-2</c:v>
                </c:pt>
                <c:pt idx="7">
                  <c:v>4.4006000000000003E-2</c:v>
                </c:pt>
                <c:pt idx="8">
                  <c:v>3.2660999999999996E-2</c:v>
                </c:pt>
                <c:pt idx="9">
                  <c:v>3.1214000000000002E-2</c:v>
                </c:pt>
                <c:pt idx="10">
                  <c:v>3.0345000000000004E-2</c:v>
                </c:pt>
                <c:pt idx="11">
                  <c:v>2.6970000000000001E-2</c:v>
                </c:pt>
                <c:pt idx="12">
                  <c:v>2.4523999999999997E-2</c:v>
                </c:pt>
                <c:pt idx="13">
                  <c:v>2.3803999999999999E-2</c:v>
                </c:pt>
                <c:pt idx="14">
                  <c:v>2.3116000000000001E-2</c:v>
                </c:pt>
                <c:pt idx="15">
                  <c:v>2.2217000000000001E-2</c:v>
                </c:pt>
                <c:pt idx="16">
                  <c:v>1.9739E-2</c:v>
                </c:pt>
                <c:pt idx="17">
                  <c:v>1.4223E-2</c:v>
                </c:pt>
                <c:pt idx="18">
                  <c:v>1.3103999999999999E-2</c:v>
                </c:pt>
                <c:pt idx="19">
                  <c:v>1.2936E-2</c:v>
                </c:pt>
                <c:pt idx="20">
                  <c:v>1.2737999999999999E-2</c:v>
                </c:pt>
                <c:pt idx="21">
                  <c:v>1.1318E-2</c:v>
                </c:pt>
                <c:pt idx="22">
                  <c:v>1.0807000000000001E-2</c:v>
                </c:pt>
                <c:pt idx="23">
                  <c:v>1.0721999999999999E-2</c:v>
                </c:pt>
                <c:pt idx="24">
                  <c:v>1.0305999999999999E-2</c:v>
                </c:pt>
                <c:pt idx="25">
                  <c:v>1.0137999999999999E-2</c:v>
                </c:pt>
                <c:pt idx="26">
                  <c:v>9.4649999999999995E-3</c:v>
                </c:pt>
                <c:pt idx="27">
                  <c:v>8.653000000000001E-3</c:v>
                </c:pt>
                <c:pt idx="28">
                  <c:v>8.2550000000000002E-3</c:v>
                </c:pt>
                <c:pt idx="29">
                  <c:v>6.3239999999999998E-3</c:v>
                </c:pt>
                <c:pt idx="30">
                  <c:v>6.2310000000000004E-3</c:v>
                </c:pt>
                <c:pt idx="31">
                  <c:v>5.9890000000000004E-3</c:v>
                </c:pt>
                <c:pt idx="32">
                  <c:v>5.2639999999999996E-3</c:v>
                </c:pt>
                <c:pt idx="33">
                  <c:v>5.1110000000000001E-3</c:v>
                </c:pt>
                <c:pt idx="34">
                  <c:v>4.8809999999999999E-3</c:v>
                </c:pt>
                <c:pt idx="35">
                  <c:v>4.5880000000000001E-3</c:v>
                </c:pt>
                <c:pt idx="36">
                  <c:v>4.2220000000000001E-3</c:v>
                </c:pt>
                <c:pt idx="37">
                  <c:v>3.7299999999999998E-3</c:v>
                </c:pt>
                <c:pt idx="38">
                  <c:v>2.7100000000000002E-3</c:v>
                </c:pt>
                <c:pt idx="39">
                  <c:v>2.1250000000000002E-3</c:v>
                </c:pt>
                <c:pt idx="40">
                  <c:v>2.0709999999999999E-3</c:v>
                </c:pt>
                <c:pt idx="41">
                  <c:v>1.727E-3</c:v>
                </c:pt>
                <c:pt idx="42">
                  <c:v>9.8999999999999994E-5</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(29th February 2024)</c:v>
                </c:pt>
              </c:strCache>
            </c:strRef>
          </c:tx>
          <c:invertIfNegative val="0"/>
          <c:cat>
            <c:strRef>
              <c:f>'BANDHAN EBF'!$W$8:$W$50</c:f>
              <c:strCache>
                <c:ptCount val="43"/>
                <c:pt idx="0">
                  <c:v>Finance</c:v>
                </c:pt>
                <c:pt idx="1">
                  <c:v>Industrial Products</c:v>
                </c:pt>
                <c:pt idx="2">
                  <c:v>Capital Markets</c:v>
                </c:pt>
                <c:pt idx="3">
                  <c:v>Auto Components</c:v>
                </c:pt>
                <c:pt idx="4">
                  <c:v>Pharmaceuticals &amp; Biotechnology</c:v>
                </c:pt>
                <c:pt idx="5">
                  <c:v>Consumer Durables</c:v>
                </c:pt>
                <c:pt idx="6">
                  <c:v>Textiles &amp; Apparels</c:v>
                </c:pt>
                <c:pt idx="7">
                  <c:v>Realty</c:v>
                </c:pt>
                <c:pt idx="8">
                  <c:v>Electrical Equipment</c:v>
                </c:pt>
                <c:pt idx="9">
                  <c:v>Commercial Services &amp; Supplies</c:v>
                </c:pt>
                <c:pt idx="10">
                  <c:v>Banks</c:v>
                </c:pt>
                <c:pt idx="11">
                  <c:v>Ferrous Metals</c:v>
                </c:pt>
                <c:pt idx="12">
                  <c:v>Retailing</c:v>
                </c:pt>
                <c:pt idx="13">
                  <c:v>Chemicals &amp; Petrochemicals</c:v>
                </c:pt>
                <c:pt idx="14">
                  <c:v>Healthcare Services</c:v>
                </c:pt>
                <c:pt idx="15">
                  <c:v>Cement &amp; Cement Products</c:v>
                </c:pt>
                <c:pt idx="16">
                  <c:v>Leisure Services</c:v>
                </c:pt>
                <c:pt idx="17">
                  <c:v>Transport Services</c:v>
                </c:pt>
                <c:pt idx="18">
                  <c:v>Power</c:v>
                </c:pt>
                <c:pt idx="19">
                  <c:v>IT - Services</c:v>
                </c:pt>
                <c:pt idx="20">
                  <c:v>Petroleum Products</c:v>
                </c:pt>
                <c:pt idx="21">
                  <c:v>Diversified</c:v>
                </c:pt>
                <c:pt idx="22">
                  <c:v>Oil</c:v>
                </c:pt>
                <c:pt idx="23">
                  <c:v>Minerals &amp; Mining</c:v>
                </c:pt>
                <c:pt idx="24">
                  <c:v>Beverages</c:v>
                </c:pt>
                <c:pt idx="25">
                  <c:v>IT - Software</c:v>
                </c:pt>
                <c:pt idx="26">
                  <c:v>Aerospace &amp; Defense</c:v>
                </c:pt>
                <c:pt idx="27">
                  <c:v>Industrial Manufacturing</c:v>
                </c:pt>
                <c:pt idx="28">
                  <c:v>Agricultural Food &amp; other Products</c:v>
                </c:pt>
                <c:pt idx="29">
                  <c:v>Non - Ferrous Metals</c:v>
                </c:pt>
                <c:pt idx="30">
                  <c:v>Food Products</c:v>
                </c:pt>
                <c:pt idx="31">
                  <c:v>Gas</c:v>
                </c:pt>
                <c:pt idx="32">
                  <c:v>IT - Hardware</c:v>
                </c:pt>
                <c:pt idx="33">
                  <c:v>Paper, Forest &amp; Jute Products</c:v>
                </c:pt>
                <c:pt idx="34">
                  <c:v>Transport Infrastructure</c:v>
                </c:pt>
                <c:pt idx="35">
                  <c:v>Household Products</c:v>
                </c:pt>
                <c:pt idx="36">
                  <c:v>Construction</c:v>
                </c:pt>
                <c:pt idx="37">
                  <c:v>Personal Products</c:v>
                </c:pt>
                <c:pt idx="38">
                  <c:v>Cigarettes &amp; Tobacco Products</c:v>
                </c:pt>
                <c:pt idx="39">
                  <c:v>Agricultural, Commercial &amp; Construction Vehicles</c:v>
                </c:pt>
                <c:pt idx="40">
                  <c:v>Automobiles</c:v>
                </c:pt>
                <c:pt idx="41">
                  <c:v>Insurance</c:v>
                </c:pt>
                <c:pt idx="42">
                  <c:v>Consumable Fuels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(29th February 2024)</c:v>
                </c:pt>
              </c:strCache>
            </c:strRef>
          </c:tx>
          <c:invertIfNegative val="0"/>
          <c:cat>
            <c:strRef>
              <c:f>'BANDHAN EBF'!$W$8:$W$50</c:f>
              <c:strCache>
                <c:ptCount val="43"/>
                <c:pt idx="0">
                  <c:v>Finance</c:v>
                </c:pt>
                <c:pt idx="1">
                  <c:v>Industrial Products</c:v>
                </c:pt>
                <c:pt idx="2">
                  <c:v>Capital Markets</c:v>
                </c:pt>
                <c:pt idx="3">
                  <c:v>Auto Components</c:v>
                </c:pt>
                <c:pt idx="4">
                  <c:v>Pharmaceuticals &amp; Biotechnology</c:v>
                </c:pt>
                <c:pt idx="5">
                  <c:v>Consumer Durables</c:v>
                </c:pt>
                <c:pt idx="6">
                  <c:v>Textiles &amp; Apparels</c:v>
                </c:pt>
                <c:pt idx="7">
                  <c:v>Realty</c:v>
                </c:pt>
                <c:pt idx="8">
                  <c:v>Electrical Equipment</c:v>
                </c:pt>
                <c:pt idx="9">
                  <c:v>Commercial Services &amp; Supplies</c:v>
                </c:pt>
                <c:pt idx="10">
                  <c:v>Banks</c:v>
                </c:pt>
                <c:pt idx="11">
                  <c:v>Ferrous Metals</c:v>
                </c:pt>
                <c:pt idx="12">
                  <c:v>Retailing</c:v>
                </c:pt>
                <c:pt idx="13">
                  <c:v>Chemicals &amp; Petrochemicals</c:v>
                </c:pt>
                <c:pt idx="14">
                  <c:v>Healthcare Services</c:v>
                </c:pt>
                <c:pt idx="15">
                  <c:v>Cement &amp; Cement Products</c:v>
                </c:pt>
                <c:pt idx="16">
                  <c:v>Leisure Services</c:v>
                </c:pt>
                <c:pt idx="17">
                  <c:v>Transport Services</c:v>
                </c:pt>
                <c:pt idx="18">
                  <c:v>Power</c:v>
                </c:pt>
                <c:pt idx="19">
                  <c:v>IT - Services</c:v>
                </c:pt>
                <c:pt idx="20">
                  <c:v>Petroleum Products</c:v>
                </c:pt>
                <c:pt idx="21">
                  <c:v>Diversified</c:v>
                </c:pt>
                <c:pt idx="22">
                  <c:v>Oil</c:v>
                </c:pt>
                <c:pt idx="23">
                  <c:v>Minerals &amp; Mining</c:v>
                </c:pt>
                <c:pt idx="24">
                  <c:v>Beverages</c:v>
                </c:pt>
                <c:pt idx="25">
                  <c:v>IT - Software</c:v>
                </c:pt>
                <c:pt idx="26">
                  <c:v>Aerospace &amp; Defense</c:v>
                </c:pt>
                <c:pt idx="27">
                  <c:v>Industrial Manufacturing</c:v>
                </c:pt>
                <c:pt idx="28">
                  <c:v>Agricultural Food &amp; other Products</c:v>
                </c:pt>
                <c:pt idx="29">
                  <c:v>Non - Ferrous Metals</c:v>
                </c:pt>
                <c:pt idx="30">
                  <c:v>Food Products</c:v>
                </c:pt>
                <c:pt idx="31">
                  <c:v>Gas</c:v>
                </c:pt>
                <c:pt idx="32">
                  <c:v>IT - Hardware</c:v>
                </c:pt>
                <c:pt idx="33">
                  <c:v>Paper, Forest &amp; Jute Products</c:v>
                </c:pt>
                <c:pt idx="34">
                  <c:v>Transport Infrastructure</c:v>
                </c:pt>
                <c:pt idx="35">
                  <c:v>Household Products</c:v>
                </c:pt>
                <c:pt idx="36">
                  <c:v>Construction</c:v>
                </c:pt>
                <c:pt idx="37">
                  <c:v>Personal Products</c:v>
                </c:pt>
                <c:pt idx="38">
                  <c:v>Cigarettes &amp; Tobacco Products</c:v>
                </c:pt>
                <c:pt idx="39">
                  <c:v>Agricultural, Commercial &amp; Construction Vehicles</c:v>
                </c:pt>
                <c:pt idx="40">
                  <c:v>Automobiles</c:v>
                </c:pt>
                <c:pt idx="41">
                  <c:v>Insurance</c:v>
                </c:pt>
                <c:pt idx="42">
                  <c:v>Consumable Fuels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(29th February 2024)</c:v>
                </c:pt>
              </c:strCache>
            </c:strRef>
          </c:tx>
          <c:invertIfNegative val="0"/>
          <c:cat>
            <c:strRef>
              <c:f>'BANDHAN EBF'!$W$8:$W$50</c:f>
              <c:strCache>
                <c:ptCount val="43"/>
                <c:pt idx="0">
                  <c:v>Finance</c:v>
                </c:pt>
                <c:pt idx="1">
                  <c:v>Industrial Products</c:v>
                </c:pt>
                <c:pt idx="2">
                  <c:v>Capital Markets</c:v>
                </c:pt>
                <c:pt idx="3">
                  <c:v>Auto Components</c:v>
                </c:pt>
                <c:pt idx="4">
                  <c:v>Pharmaceuticals &amp; Biotechnology</c:v>
                </c:pt>
                <c:pt idx="5">
                  <c:v>Consumer Durables</c:v>
                </c:pt>
                <c:pt idx="6">
                  <c:v>Textiles &amp; Apparels</c:v>
                </c:pt>
                <c:pt idx="7">
                  <c:v>Realty</c:v>
                </c:pt>
                <c:pt idx="8">
                  <c:v>Electrical Equipment</c:v>
                </c:pt>
                <c:pt idx="9">
                  <c:v>Commercial Services &amp; Supplies</c:v>
                </c:pt>
                <c:pt idx="10">
                  <c:v>Banks</c:v>
                </c:pt>
                <c:pt idx="11">
                  <c:v>Ferrous Metals</c:v>
                </c:pt>
                <c:pt idx="12">
                  <c:v>Retailing</c:v>
                </c:pt>
                <c:pt idx="13">
                  <c:v>Chemicals &amp; Petrochemicals</c:v>
                </c:pt>
                <c:pt idx="14">
                  <c:v>Healthcare Services</c:v>
                </c:pt>
                <c:pt idx="15">
                  <c:v>Cement &amp; Cement Products</c:v>
                </c:pt>
                <c:pt idx="16">
                  <c:v>Leisure Services</c:v>
                </c:pt>
                <c:pt idx="17">
                  <c:v>Transport Services</c:v>
                </c:pt>
                <c:pt idx="18">
                  <c:v>Power</c:v>
                </c:pt>
                <c:pt idx="19">
                  <c:v>IT - Services</c:v>
                </c:pt>
                <c:pt idx="20">
                  <c:v>Petroleum Products</c:v>
                </c:pt>
                <c:pt idx="21">
                  <c:v>Diversified</c:v>
                </c:pt>
                <c:pt idx="22">
                  <c:v>Oil</c:v>
                </c:pt>
                <c:pt idx="23">
                  <c:v>Minerals &amp; Mining</c:v>
                </c:pt>
                <c:pt idx="24">
                  <c:v>Beverages</c:v>
                </c:pt>
                <c:pt idx="25">
                  <c:v>IT - Software</c:v>
                </c:pt>
                <c:pt idx="26">
                  <c:v>Aerospace &amp; Defense</c:v>
                </c:pt>
                <c:pt idx="27">
                  <c:v>Industrial Manufacturing</c:v>
                </c:pt>
                <c:pt idx="28">
                  <c:v>Agricultural Food &amp; other Products</c:v>
                </c:pt>
                <c:pt idx="29">
                  <c:v>Non - Ferrous Metals</c:v>
                </c:pt>
                <c:pt idx="30">
                  <c:v>Food Products</c:v>
                </c:pt>
                <c:pt idx="31">
                  <c:v>Gas</c:v>
                </c:pt>
                <c:pt idx="32">
                  <c:v>IT - Hardware</c:v>
                </c:pt>
                <c:pt idx="33">
                  <c:v>Paper, Forest &amp; Jute Products</c:v>
                </c:pt>
                <c:pt idx="34">
                  <c:v>Transport Infrastructure</c:v>
                </c:pt>
                <c:pt idx="35">
                  <c:v>Household Products</c:v>
                </c:pt>
                <c:pt idx="36">
                  <c:v>Construction</c:v>
                </c:pt>
                <c:pt idx="37">
                  <c:v>Personal Products</c:v>
                </c:pt>
                <c:pt idx="38">
                  <c:v>Cigarettes &amp; Tobacco Products</c:v>
                </c:pt>
                <c:pt idx="39">
                  <c:v>Agricultural, Commercial &amp; Construction Vehicles</c:v>
                </c:pt>
                <c:pt idx="40">
                  <c:v>Automobiles</c:v>
                </c:pt>
                <c:pt idx="41">
                  <c:v>Insurance</c:v>
                </c:pt>
                <c:pt idx="42">
                  <c:v>Consumable Fuels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IF'!$W$8:$W$27</c:f>
              <c:strCache>
                <c:ptCount val="20"/>
                <c:pt idx="0">
                  <c:v>Construction</c:v>
                </c:pt>
                <c:pt idx="1">
                  <c:v>Cement &amp; Cement Products</c:v>
                </c:pt>
                <c:pt idx="2">
                  <c:v>Industrial Products</c:v>
                </c:pt>
                <c:pt idx="3">
                  <c:v>Power</c:v>
                </c:pt>
                <c:pt idx="4">
                  <c:v>Electrical Equipment</c:v>
                </c:pt>
                <c:pt idx="5">
                  <c:v>Transport Services</c:v>
                </c:pt>
                <c:pt idx="6">
                  <c:v>Aerospace &amp; Defense</c:v>
                </c:pt>
                <c:pt idx="7">
                  <c:v>Telecom - Services</c:v>
                </c:pt>
                <c:pt idx="8">
                  <c:v>Gas</c:v>
                </c:pt>
                <c:pt idx="9">
                  <c:v>Ferrous Metals</c:v>
                </c:pt>
                <c:pt idx="10">
                  <c:v>Industrial Manufacturing</c:v>
                </c:pt>
                <c:pt idx="11">
                  <c:v>Realty</c:v>
                </c:pt>
                <c:pt idx="12">
                  <c:v>Healthcare Services</c:v>
                </c:pt>
                <c:pt idx="13">
                  <c:v>Auto Components</c:v>
                </c:pt>
                <c:pt idx="14">
                  <c:v>Leisure Services</c:v>
                </c:pt>
                <c:pt idx="15">
                  <c:v>Transport Infrastructure</c:v>
                </c:pt>
                <c:pt idx="16">
                  <c:v>Finance</c:v>
                </c:pt>
                <c:pt idx="17">
                  <c:v>Non - Ferrous Metals</c:v>
                </c:pt>
                <c:pt idx="18">
                  <c:v>Chemicals &amp; Petrochemicals</c:v>
                </c:pt>
                <c:pt idx="19">
                  <c:v>Diversified</c:v>
                </c:pt>
              </c:strCache>
            </c:strRef>
          </c:cat>
          <c:val>
            <c:numRef>
              <c:f>'BANDHAN IF'!$X$8:$X$27</c:f>
              <c:numCache>
                <c:formatCode>0.00%</c:formatCode>
                <c:ptCount val="20"/>
                <c:pt idx="0">
                  <c:v>0.26540000000000002</c:v>
                </c:pt>
                <c:pt idx="1">
                  <c:v>0.10183400000000001</c:v>
                </c:pt>
                <c:pt idx="2">
                  <c:v>7.8295000000000003E-2</c:v>
                </c:pt>
                <c:pt idx="3">
                  <c:v>7.3424000000000003E-2</c:v>
                </c:pt>
                <c:pt idx="4">
                  <c:v>6.9395000000000012E-2</c:v>
                </c:pt>
                <c:pt idx="5">
                  <c:v>6.7232000000000014E-2</c:v>
                </c:pt>
                <c:pt idx="6">
                  <c:v>5.074E-2</c:v>
                </c:pt>
                <c:pt idx="7">
                  <c:v>3.5549999999999998E-2</c:v>
                </c:pt>
                <c:pt idx="8">
                  <c:v>3.4666999999999996E-2</c:v>
                </c:pt>
                <c:pt idx="9">
                  <c:v>3.0627999999999999E-2</c:v>
                </c:pt>
                <c:pt idx="10">
                  <c:v>2.0326E-2</c:v>
                </c:pt>
                <c:pt idx="11">
                  <c:v>1.8973E-2</c:v>
                </c:pt>
                <c:pt idx="12">
                  <c:v>1.8484E-2</c:v>
                </c:pt>
                <c:pt idx="13">
                  <c:v>1.8377999999999999E-2</c:v>
                </c:pt>
                <c:pt idx="14">
                  <c:v>1.7486000000000002E-2</c:v>
                </c:pt>
                <c:pt idx="15">
                  <c:v>1.601E-2</c:v>
                </c:pt>
                <c:pt idx="16">
                  <c:v>1.1011E-2</c:v>
                </c:pt>
                <c:pt idx="17">
                  <c:v>8.3230000000000005E-3</c:v>
                </c:pt>
                <c:pt idx="18">
                  <c:v>4.4970000000000001E-3</c:v>
                </c:pt>
                <c:pt idx="19">
                  <c:v>4.3090000000000003E-3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TLF'!$W$8:$W$14</c:f>
              <c:strCache>
                <c:ptCount val="7"/>
                <c:pt idx="0">
                  <c:v>Automobiles</c:v>
                </c:pt>
                <c:pt idx="1">
                  <c:v>Auto Components</c:v>
                </c:pt>
                <c:pt idx="2">
                  <c:v>Transport Services</c:v>
                </c:pt>
                <c:pt idx="3">
                  <c:v>Leisure Services</c:v>
                </c:pt>
                <c:pt idx="4">
                  <c:v>Industrial Products</c:v>
                </c:pt>
                <c:pt idx="5">
                  <c:v>Agricultural, Commercial &amp; Construction Vehicles</c:v>
                </c:pt>
                <c:pt idx="6">
                  <c:v>Finance</c:v>
                </c:pt>
              </c:strCache>
            </c:strRef>
          </c:cat>
          <c:val>
            <c:numRef>
              <c:f>'BANDHAN TLF'!$X$8:$X$14</c:f>
              <c:numCache>
                <c:formatCode>0.00%</c:formatCode>
                <c:ptCount val="7"/>
                <c:pt idx="0">
                  <c:v>0.40256000000000003</c:v>
                </c:pt>
                <c:pt idx="1">
                  <c:v>0.30380600000000002</c:v>
                </c:pt>
                <c:pt idx="2">
                  <c:v>0.13739999999999999</c:v>
                </c:pt>
                <c:pt idx="3">
                  <c:v>3.3229999999999996E-2</c:v>
                </c:pt>
                <c:pt idx="4">
                  <c:v>2.8815E-2</c:v>
                </c:pt>
                <c:pt idx="5">
                  <c:v>2.0233000000000001E-2</c:v>
                </c:pt>
                <c:pt idx="6">
                  <c:v>1.423E-2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0.42136699999999999</c:v>
                </c:pt>
                <c:pt idx="1">
                  <c:v>0.33983999999999992</c:v>
                </c:pt>
                <c:pt idx="2">
                  <c:v>0.129493</c:v>
                </c:pt>
                <c:pt idx="3">
                  <c:v>8.097E-2</c:v>
                </c:pt>
                <c:pt idx="4">
                  <c:v>1.9098E-2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'BANDHAN-TAF'!$W$8:$W$35</c:f>
              <c:strCache>
                <c:ptCount val="28"/>
                <c:pt idx="0">
                  <c:v>Banks</c:v>
                </c:pt>
                <c:pt idx="1">
                  <c:v>IT - Software</c:v>
                </c:pt>
                <c:pt idx="2">
                  <c:v>Pharmaceuticals &amp; Biotechnology</c:v>
                </c:pt>
                <c:pt idx="3">
                  <c:v>Petroleum Products</c:v>
                </c:pt>
                <c:pt idx="4">
                  <c:v>Automobiles</c:v>
                </c:pt>
                <c:pt idx="5">
                  <c:v>Leisure Services</c:v>
                </c:pt>
                <c:pt idx="6">
                  <c:v>Electrical Equipment</c:v>
                </c:pt>
                <c:pt idx="7">
                  <c:v>Insurance</c:v>
                </c:pt>
                <c:pt idx="8">
                  <c:v>Auto Components</c:v>
                </c:pt>
                <c:pt idx="9">
                  <c:v>Finance</c:v>
                </c:pt>
                <c:pt idx="10">
                  <c:v>Ferrous Metals</c:v>
                </c:pt>
                <c:pt idx="11">
                  <c:v>Power</c:v>
                </c:pt>
                <c:pt idx="12">
                  <c:v>Construction</c:v>
                </c:pt>
                <c:pt idx="13">
                  <c:v>Beverages</c:v>
                </c:pt>
                <c:pt idx="14">
                  <c:v>Telecom - Services</c:v>
                </c:pt>
                <c:pt idx="15">
                  <c:v>Cement &amp; Cement Products</c:v>
                </c:pt>
                <c:pt idx="16">
                  <c:v>Retailing</c:v>
                </c:pt>
                <c:pt idx="17">
                  <c:v>Consumer Durables</c:v>
                </c:pt>
                <c:pt idx="18">
                  <c:v>Industrial Products</c:v>
                </c:pt>
                <c:pt idx="19">
                  <c:v>Diversified FMCG</c:v>
                </c:pt>
                <c:pt idx="20">
                  <c:v>Agricultural Food &amp; other Products</c:v>
                </c:pt>
                <c:pt idx="21">
                  <c:v>Transport Services</c:v>
                </c:pt>
                <c:pt idx="22">
                  <c:v>Non - Ferrous Metals</c:v>
                </c:pt>
                <c:pt idx="23">
                  <c:v>Personal Products</c:v>
                </c:pt>
                <c:pt idx="24">
                  <c:v>Realty</c:v>
                </c:pt>
                <c:pt idx="25">
                  <c:v>Food Products</c:v>
                </c:pt>
                <c:pt idx="26">
                  <c:v>Chemicals &amp; Petrochemicals</c:v>
                </c:pt>
                <c:pt idx="27">
                  <c:v>Consumable Fuels</c:v>
                </c:pt>
              </c:strCache>
            </c:strRef>
          </c:cat>
          <c:val>
            <c:numRef>
              <c:f>'BANDHAN-TAF'!$X$8:$X$35</c:f>
              <c:numCache>
                <c:formatCode>0.00%</c:formatCode>
                <c:ptCount val="28"/>
                <c:pt idx="0">
                  <c:v>0.194884</c:v>
                </c:pt>
                <c:pt idx="1">
                  <c:v>9.1056999999999999E-2</c:v>
                </c:pt>
                <c:pt idx="2">
                  <c:v>8.3303999999999989E-2</c:v>
                </c:pt>
                <c:pt idx="3">
                  <c:v>5.9084999999999999E-2</c:v>
                </c:pt>
                <c:pt idx="4">
                  <c:v>5.4577000000000001E-2</c:v>
                </c:pt>
                <c:pt idx="5">
                  <c:v>3.6560999999999996E-2</c:v>
                </c:pt>
                <c:pt idx="6">
                  <c:v>3.5836E-2</c:v>
                </c:pt>
                <c:pt idx="7">
                  <c:v>3.5688999999999999E-2</c:v>
                </c:pt>
                <c:pt idx="8">
                  <c:v>3.5574000000000001E-2</c:v>
                </c:pt>
                <c:pt idx="9">
                  <c:v>3.3727E-2</c:v>
                </c:pt>
                <c:pt idx="10">
                  <c:v>2.9551000000000001E-2</c:v>
                </c:pt>
                <c:pt idx="11">
                  <c:v>2.8774000000000001E-2</c:v>
                </c:pt>
                <c:pt idx="12">
                  <c:v>2.6918000000000001E-2</c:v>
                </c:pt>
                <c:pt idx="13">
                  <c:v>2.5399999999999999E-2</c:v>
                </c:pt>
                <c:pt idx="14">
                  <c:v>2.3328000000000002E-2</c:v>
                </c:pt>
                <c:pt idx="15">
                  <c:v>2.2596999999999999E-2</c:v>
                </c:pt>
                <c:pt idx="16">
                  <c:v>2.0048E-2</c:v>
                </c:pt>
                <c:pt idx="17">
                  <c:v>1.8246999999999999E-2</c:v>
                </c:pt>
                <c:pt idx="18">
                  <c:v>1.7114000000000001E-2</c:v>
                </c:pt>
                <c:pt idx="19">
                  <c:v>1.3235E-2</c:v>
                </c:pt>
                <c:pt idx="20">
                  <c:v>1.163E-2</c:v>
                </c:pt>
                <c:pt idx="21">
                  <c:v>1.1487000000000001E-2</c:v>
                </c:pt>
                <c:pt idx="22">
                  <c:v>1.1079E-2</c:v>
                </c:pt>
                <c:pt idx="23">
                  <c:v>9.6419999999999995E-3</c:v>
                </c:pt>
                <c:pt idx="24">
                  <c:v>7.339E-3</c:v>
                </c:pt>
                <c:pt idx="25">
                  <c:v>7.221E-3</c:v>
                </c:pt>
                <c:pt idx="26">
                  <c:v>7.208E-3</c:v>
                </c:pt>
                <c:pt idx="27">
                  <c:v>7.1130000000000004E-3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0.66574900000000004</c:v>
                </c:pt>
                <c:pt idx="1">
                  <c:v>0.33425099999999996</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Petroleum Products</c:v>
                </c:pt>
                <c:pt idx="2">
                  <c:v>Finance</c:v>
                </c:pt>
                <c:pt idx="3">
                  <c:v>Retailing</c:v>
                </c:pt>
                <c:pt idx="4">
                  <c:v>Automobiles</c:v>
                </c:pt>
                <c:pt idx="5">
                  <c:v>IT - Software</c:v>
                </c:pt>
                <c:pt idx="6">
                  <c:v>Auto Components</c:v>
                </c:pt>
                <c:pt idx="7">
                  <c:v>Construction</c:v>
                </c:pt>
                <c:pt idx="8">
                  <c:v>Power</c:v>
                </c:pt>
                <c:pt idx="9">
                  <c:v>Pharmaceuticals &amp; Biotechnology</c:v>
                </c:pt>
                <c:pt idx="10">
                  <c:v>Electrical Equipment</c:v>
                </c:pt>
                <c:pt idx="11">
                  <c:v>Realty</c:v>
                </c:pt>
                <c:pt idx="12">
                  <c:v>Cement &amp; Cement Products</c:v>
                </c:pt>
                <c:pt idx="13">
                  <c:v>Gas</c:v>
                </c:pt>
                <c:pt idx="14">
                  <c:v>Ferrous Metals</c:v>
                </c:pt>
                <c:pt idx="15">
                  <c:v>Diversified FMCG</c:v>
                </c:pt>
              </c:strCache>
            </c:strRef>
          </c:cat>
          <c:val>
            <c:numRef>
              <c:f>'BANDHAN BAF'!$X$8:$X$23</c:f>
              <c:numCache>
                <c:formatCode>0.00%</c:formatCode>
                <c:ptCount val="16"/>
                <c:pt idx="0">
                  <c:v>5.561900000000003E-2</c:v>
                </c:pt>
                <c:pt idx="1">
                  <c:v>3.8476999999999997E-2</c:v>
                </c:pt>
                <c:pt idx="2">
                  <c:v>3.1064999999999988E-2</c:v>
                </c:pt>
                <c:pt idx="3">
                  <c:v>2.9589000000000001E-2</c:v>
                </c:pt>
                <c:pt idx="4">
                  <c:v>2.7017000000000006E-2</c:v>
                </c:pt>
                <c:pt idx="5">
                  <c:v>2.2850999999999996E-2</c:v>
                </c:pt>
                <c:pt idx="6">
                  <c:v>1.6067000000000001E-2</c:v>
                </c:pt>
                <c:pt idx="7">
                  <c:v>1.5171000000000002E-2</c:v>
                </c:pt>
                <c:pt idx="8">
                  <c:v>1.4662000000000001E-2</c:v>
                </c:pt>
                <c:pt idx="9">
                  <c:v>1.4419E-2</c:v>
                </c:pt>
                <c:pt idx="10">
                  <c:v>1.2608000000000001E-2</c:v>
                </c:pt>
                <c:pt idx="11">
                  <c:v>1.0825E-2</c:v>
                </c:pt>
                <c:pt idx="12">
                  <c:v>9.1070000000000005E-3</c:v>
                </c:pt>
                <c:pt idx="13">
                  <c:v>9.0290000000000006E-3</c:v>
                </c:pt>
                <c:pt idx="14">
                  <c:v>8.9579999999999989E-3</c:v>
                </c:pt>
                <c:pt idx="15">
                  <c:v>8.7479999999999988E-3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BAF'!$W$8:$W$38</c:f>
              <c:strCache>
                <c:ptCount val="31"/>
                <c:pt idx="0">
                  <c:v>Banks</c:v>
                </c:pt>
                <c:pt idx="1">
                  <c:v>Petroleum Products</c:v>
                </c:pt>
                <c:pt idx="2">
                  <c:v>Finance</c:v>
                </c:pt>
                <c:pt idx="3">
                  <c:v>Retailing</c:v>
                </c:pt>
                <c:pt idx="4">
                  <c:v>Automobiles</c:v>
                </c:pt>
                <c:pt idx="5">
                  <c:v>IT - Software</c:v>
                </c:pt>
                <c:pt idx="6">
                  <c:v>Auto Components</c:v>
                </c:pt>
                <c:pt idx="7">
                  <c:v>Construction</c:v>
                </c:pt>
                <c:pt idx="8">
                  <c:v>Power</c:v>
                </c:pt>
                <c:pt idx="9">
                  <c:v>Pharmaceuticals &amp; Biotechnology</c:v>
                </c:pt>
                <c:pt idx="10">
                  <c:v>Electrical Equipment</c:v>
                </c:pt>
                <c:pt idx="11">
                  <c:v>Realty</c:v>
                </c:pt>
                <c:pt idx="12">
                  <c:v>Cement &amp; Cement Products</c:v>
                </c:pt>
                <c:pt idx="13">
                  <c:v>Gas</c:v>
                </c:pt>
                <c:pt idx="14">
                  <c:v>Ferrous Metals</c:v>
                </c:pt>
                <c:pt idx="15">
                  <c:v>Diversified FMCG</c:v>
                </c:pt>
                <c:pt idx="16">
                  <c:v>Beverages</c:v>
                </c:pt>
                <c:pt idx="17">
                  <c:v>Non - Ferrous Metals</c:v>
                </c:pt>
                <c:pt idx="18">
                  <c:v>Telecom - Services</c:v>
                </c:pt>
                <c:pt idx="19">
                  <c:v>Healthcare Services</c:v>
                </c:pt>
                <c:pt idx="20">
                  <c:v>Oil</c:v>
                </c:pt>
                <c:pt idx="21">
                  <c:v>Transport Services</c:v>
                </c:pt>
                <c:pt idx="22">
                  <c:v>Aerospace &amp; Defense</c:v>
                </c:pt>
                <c:pt idx="23">
                  <c:v>Minerals &amp; Mining</c:v>
                </c:pt>
                <c:pt idx="24">
                  <c:v>Insurance</c:v>
                </c:pt>
                <c:pt idx="25">
                  <c:v>Food Products</c:v>
                </c:pt>
                <c:pt idx="26">
                  <c:v>Industrial Manufacturing</c:v>
                </c:pt>
                <c:pt idx="27">
                  <c:v>Personal Products</c:v>
                </c:pt>
                <c:pt idx="28">
                  <c:v>Consumer Durables</c:v>
                </c:pt>
                <c:pt idx="29">
                  <c:v>Chemicals &amp; Petrochemicals</c:v>
                </c:pt>
                <c:pt idx="30">
                  <c:v>Fertilizers &amp; Agrochemicals</c:v>
                </c:pt>
              </c:strCache>
            </c:strRef>
          </c:cat>
          <c:val>
            <c:numRef>
              <c:f>'BANDHAN BAF'!$X$8:$X$38</c:f>
              <c:numCache>
                <c:formatCode>0.00%</c:formatCode>
                <c:ptCount val="31"/>
                <c:pt idx="0">
                  <c:v>5.561900000000003E-2</c:v>
                </c:pt>
                <c:pt idx="1">
                  <c:v>3.8476999999999997E-2</c:v>
                </c:pt>
                <c:pt idx="2">
                  <c:v>3.1064999999999988E-2</c:v>
                </c:pt>
                <c:pt idx="3">
                  <c:v>2.9589000000000001E-2</c:v>
                </c:pt>
                <c:pt idx="4">
                  <c:v>2.7017000000000006E-2</c:v>
                </c:pt>
                <c:pt idx="5">
                  <c:v>2.2850999999999996E-2</c:v>
                </c:pt>
                <c:pt idx="6">
                  <c:v>1.6067000000000001E-2</c:v>
                </c:pt>
                <c:pt idx="7">
                  <c:v>1.5171000000000002E-2</c:v>
                </c:pt>
                <c:pt idx="8">
                  <c:v>1.4662000000000001E-2</c:v>
                </c:pt>
                <c:pt idx="9">
                  <c:v>1.4419E-2</c:v>
                </c:pt>
                <c:pt idx="10">
                  <c:v>1.2608000000000001E-2</c:v>
                </c:pt>
                <c:pt idx="11">
                  <c:v>1.0825E-2</c:v>
                </c:pt>
                <c:pt idx="12">
                  <c:v>9.1070000000000005E-3</c:v>
                </c:pt>
                <c:pt idx="13">
                  <c:v>9.0290000000000006E-3</c:v>
                </c:pt>
                <c:pt idx="14">
                  <c:v>8.9579999999999989E-3</c:v>
                </c:pt>
                <c:pt idx="15">
                  <c:v>8.7479999999999988E-3</c:v>
                </c:pt>
                <c:pt idx="16">
                  <c:v>8.012E-3</c:v>
                </c:pt>
                <c:pt idx="17">
                  <c:v>6.3540000000000003E-3</c:v>
                </c:pt>
                <c:pt idx="18">
                  <c:v>6.3239999999999998E-3</c:v>
                </c:pt>
                <c:pt idx="19">
                  <c:v>5.8859999999999997E-3</c:v>
                </c:pt>
                <c:pt idx="20">
                  <c:v>5.5160000000000001E-3</c:v>
                </c:pt>
                <c:pt idx="21">
                  <c:v>5.2820000000000002E-3</c:v>
                </c:pt>
                <c:pt idx="22">
                  <c:v>5.2389999999999997E-3</c:v>
                </c:pt>
                <c:pt idx="23">
                  <c:v>4.1879999999999999E-3</c:v>
                </c:pt>
                <c:pt idx="24">
                  <c:v>3.8329999999999979E-3</c:v>
                </c:pt>
                <c:pt idx="25">
                  <c:v>3.052E-3</c:v>
                </c:pt>
                <c:pt idx="26">
                  <c:v>2.5479999999999999E-3</c:v>
                </c:pt>
                <c:pt idx="27">
                  <c:v>3.0799999999999925E-4</c:v>
                </c:pt>
                <c:pt idx="28">
                  <c:v>-1.2999999999999991E-5</c:v>
                </c:pt>
                <c:pt idx="29">
                  <c:v>-1.5000000000000256E-5</c:v>
                </c:pt>
                <c:pt idx="30">
                  <c:v>-1.6000000000000389E-5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3207696564072555"/>
                  <c:y val="5.63322284760923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23249068922943306"/>
                  <c:y val="2.05542289459033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12129949003274768"/>
                  <c:y val="-0.143879602621323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0.21210300000000001</c:v>
                </c:pt>
                <c:pt idx="1">
                  <c:v>5.073200000000002E-2</c:v>
                </c:pt>
                <c:pt idx="3">
                  <c:v>0.14609100000000003</c:v>
                </c:pt>
                <c:pt idx="5">
                  <c:v>8.8827000000000003E-2</c:v>
                </c:pt>
                <c:pt idx="6">
                  <c:v>1.1863E-2</c:v>
                </c:pt>
                <c:pt idx="7">
                  <c:v>0.49038399999999999</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5">
                  <c:v>Corporate Debt Market Development Fund</c:v>
                </c:pt>
              </c:strCache>
            </c:strRef>
          </c:cat>
          <c:val>
            <c:numRef>
              <c:f>'BANDHAN-RSF'!$K$9:$K$14</c:f>
              <c:numCache>
                <c:formatCode>0.00%</c:formatCode>
                <c:ptCount val="6"/>
                <c:pt idx="0">
                  <c:v>0.417433</c:v>
                </c:pt>
                <c:pt idx="1">
                  <c:v>0.22753000000000004</c:v>
                </c:pt>
                <c:pt idx="2">
                  <c:v>2.0917000000000002E-2</c:v>
                </c:pt>
                <c:pt idx="3">
                  <c:v>0.33106199999999997</c:v>
                </c:pt>
                <c:pt idx="5">
                  <c:v>3.058E-3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70838941592525484"/>
                  <c:y val="0.116113044009033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0.23572199999999999</c:v>
                </c:pt>
                <c:pt idx="1">
                  <c:v>0.72525500000000009</c:v>
                </c:pt>
                <c:pt idx="3">
                  <c:v>2.0063999999999999E-2</c:v>
                </c:pt>
                <c:pt idx="4">
                  <c:v>1.8959E-2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RF'!$P$7:$P$33</c:f>
              <c:strCache>
                <c:ptCount val="27"/>
                <c:pt idx="0">
                  <c:v>Banks</c:v>
                </c:pt>
                <c:pt idx="1">
                  <c:v>Pharmaceuticals &amp; Biotechnology</c:v>
                </c:pt>
                <c:pt idx="2">
                  <c:v>Petroleum Products</c:v>
                </c:pt>
                <c:pt idx="3">
                  <c:v>IT - Software</c:v>
                </c:pt>
                <c:pt idx="4">
                  <c:v>Finance</c:v>
                </c:pt>
                <c:pt idx="5">
                  <c:v>Automobiles</c:v>
                </c:pt>
                <c:pt idx="6">
                  <c:v>Retailing</c:v>
                </c:pt>
                <c:pt idx="7">
                  <c:v>Ferrous Metals</c:v>
                </c:pt>
                <c:pt idx="8">
                  <c:v>Diversified FMCG</c:v>
                </c:pt>
                <c:pt idx="9">
                  <c:v>Electrical Equipment</c:v>
                </c:pt>
                <c:pt idx="10">
                  <c:v>Telecom - Services</c:v>
                </c:pt>
                <c:pt idx="11">
                  <c:v>Construction</c:v>
                </c:pt>
                <c:pt idx="12">
                  <c:v>Power</c:v>
                </c:pt>
                <c:pt idx="13">
                  <c:v>Consumable Fuels</c:v>
                </c:pt>
                <c:pt idx="14">
                  <c:v>Transport Services</c:v>
                </c:pt>
                <c:pt idx="15">
                  <c:v>Auto Components</c:v>
                </c:pt>
                <c:pt idx="16">
                  <c:v>Insurance</c:v>
                </c:pt>
                <c:pt idx="17">
                  <c:v>Consumer Durables</c:v>
                </c:pt>
                <c:pt idx="18">
                  <c:v>Realty</c:v>
                </c:pt>
                <c:pt idx="19">
                  <c:v>Non - Ferrous Metals</c:v>
                </c:pt>
                <c:pt idx="20">
                  <c:v>Beverages</c:v>
                </c:pt>
                <c:pt idx="21">
                  <c:v>Fertilizers &amp; Agrochemicals</c:v>
                </c:pt>
                <c:pt idx="22">
                  <c:v>Leisure Services</c:v>
                </c:pt>
                <c:pt idx="23">
                  <c:v>Chemicals &amp; Petrochemicals</c:v>
                </c:pt>
                <c:pt idx="24">
                  <c:v>Entertainment</c:v>
                </c:pt>
                <c:pt idx="25">
                  <c:v>Gas</c:v>
                </c:pt>
                <c:pt idx="26">
                  <c:v>Healthcare Services</c:v>
                </c:pt>
              </c:strCache>
            </c:strRef>
          </c:cat>
          <c:val>
            <c:numRef>
              <c:f>'BANDHAN RF'!$Q$7:$Q$33</c:f>
              <c:numCache>
                <c:formatCode>0.0%</c:formatCode>
                <c:ptCount val="27"/>
                <c:pt idx="0">
                  <c:v>8.1710999999999992E-2</c:v>
                </c:pt>
                <c:pt idx="1">
                  <c:v>4.3450000000000003E-2</c:v>
                </c:pt>
                <c:pt idx="2">
                  <c:v>3.8639999999999994E-2</c:v>
                </c:pt>
                <c:pt idx="3">
                  <c:v>3.5734000000000002E-2</c:v>
                </c:pt>
                <c:pt idx="4">
                  <c:v>2.8948000000000002E-2</c:v>
                </c:pt>
                <c:pt idx="5">
                  <c:v>2.8420000000000001E-2</c:v>
                </c:pt>
                <c:pt idx="6">
                  <c:v>2.8123000000000002E-2</c:v>
                </c:pt>
                <c:pt idx="7">
                  <c:v>2.1412E-2</c:v>
                </c:pt>
                <c:pt idx="8">
                  <c:v>1.9911000000000002E-2</c:v>
                </c:pt>
                <c:pt idx="9">
                  <c:v>1.6475E-2</c:v>
                </c:pt>
                <c:pt idx="10">
                  <c:v>1.5537999999999996E-2</c:v>
                </c:pt>
                <c:pt idx="11">
                  <c:v>1.4883E-2</c:v>
                </c:pt>
                <c:pt idx="12">
                  <c:v>1.4852000000000001E-2</c:v>
                </c:pt>
                <c:pt idx="13">
                  <c:v>1.2281E-2</c:v>
                </c:pt>
                <c:pt idx="14">
                  <c:v>1.1006E-2</c:v>
                </c:pt>
                <c:pt idx="15">
                  <c:v>9.8980000000000005E-3</c:v>
                </c:pt>
                <c:pt idx="16">
                  <c:v>9.5860000000000008E-3</c:v>
                </c:pt>
                <c:pt idx="17">
                  <c:v>9.5699999999999986E-3</c:v>
                </c:pt>
                <c:pt idx="18">
                  <c:v>9.385000000000001E-3</c:v>
                </c:pt>
                <c:pt idx="19">
                  <c:v>9.2599999999999991E-3</c:v>
                </c:pt>
                <c:pt idx="20">
                  <c:v>6.7330000000000003E-3</c:v>
                </c:pt>
                <c:pt idx="21">
                  <c:v>4.9290000000000002E-3</c:v>
                </c:pt>
                <c:pt idx="22">
                  <c:v>3.9779999999999998E-3</c:v>
                </c:pt>
                <c:pt idx="23">
                  <c:v>3.9110000000000004E-3</c:v>
                </c:pt>
                <c:pt idx="24">
                  <c:v>2.722E-3</c:v>
                </c:pt>
                <c:pt idx="25">
                  <c:v>1.029E-3</c:v>
                </c:pt>
                <c:pt idx="26">
                  <c:v>8.5300000000000003E-4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Finance</c:v>
                </c:pt>
                <c:pt idx="2">
                  <c:v>Pharmaceuticals &amp; Biotechnology</c:v>
                </c:pt>
                <c:pt idx="3">
                  <c:v>IT - Software</c:v>
                </c:pt>
                <c:pt idx="4">
                  <c:v>Consumer Durables</c:v>
                </c:pt>
                <c:pt idx="5">
                  <c:v>Automobiles</c:v>
                </c:pt>
                <c:pt idx="6">
                  <c:v>Electrical Equipment</c:v>
                </c:pt>
                <c:pt idx="7">
                  <c:v>Retailing</c:v>
                </c:pt>
                <c:pt idx="8">
                  <c:v>Petroleum Products</c:v>
                </c:pt>
                <c:pt idx="9">
                  <c:v>Auto Components</c:v>
                </c:pt>
                <c:pt idx="10">
                  <c:v>Leisure Services</c:v>
                </c:pt>
                <c:pt idx="11">
                  <c:v>Ferrous Metals</c:v>
                </c:pt>
                <c:pt idx="12">
                  <c:v>Construction</c:v>
                </c:pt>
                <c:pt idx="13">
                  <c:v>Cement &amp; Cement Products</c:v>
                </c:pt>
                <c:pt idx="14">
                  <c:v>Realty</c:v>
                </c:pt>
                <c:pt idx="15">
                  <c:v>Commercial Services &amp; Supplies</c:v>
                </c:pt>
                <c:pt idx="16">
                  <c:v>Industrial Products</c:v>
                </c:pt>
                <c:pt idx="17">
                  <c:v>Power</c:v>
                </c:pt>
                <c:pt idx="18">
                  <c:v>Insurance</c:v>
                </c:pt>
                <c:pt idx="19">
                  <c:v>Beverages</c:v>
                </c:pt>
                <c:pt idx="20">
                  <c:v>IT - Services</c:v>
                </c:pt>
                <c:pt idx="21">
                  <c:v>Gas</c:v>
                </c:pt>
                <c:pt idx="22">
                  <c:v>Oil</c:v>
                </c:pt>
                <c:pt idx="23">
                  <c:v>Fertilizers &amp; Agrochemicals</c:v>
                </c:pt>
                <c:pt idx="24">
                  <c:v>Healthcare Services</c:v>
                </c:pt>
                <c:pt idx="25">
                  <c:v>Telecom - Services</c:v>
                </c:pt>
                <c:pt idx="26">
                  <c:v>Financial Technology (Fintech)</c:v>
                </c:pt>
                <c:pt idx="27">
                  <c:v>Non - Ferrous Metals</c:v>
                </c:pt>
                <c:pt idx="28">
                  <c:v>Capital Markets</c:v>
                </c:pt>
                <c:pt idx="29">
                  <c:v>Diversified FMCG</c:v>
                </c:pt>
                <c:pt idx="30">
                  <c:v>Consumable Fuels</c:v>
                </c:pt>
                <c:pt idx="31">
                  <c:v>Textiles &amp; Apparels</c:v>
                </c:pt>
                <c:pt idx="32">
                  <c:v>Personal Products</c:v>
                </c:pt>
                <c:pt idx="33">
                  <c:v>Transport Services</c:v>
                </c:pt>
                <c:pt idx="34">
                  <c:v>Minerals &amp; Mining</c:v>
                </c:pt>
                <c:pt idx="35">
                  <c:v>Aerospace &amp; Defense</c:v>
                </c:pt>
                <c:pt idx="36">
                  <c:v>Diversified</c:v>
                </c:pt>
              </c:strCache>
            </c:strRef>
          </c:cat>
          <c:val>
            <c:numRef>
              <c:f>'BANDHAN MAF'!$Q$7:$Q$43</c:f>
              <c:numCache>
                <c:formatCode>0.00%</c:formatCode>
                <c:ptCount val="37"/>
                <c:pt idx="0">
                  <c:v>6.877999999999998E-2</c:v>
                </c:pt>
                <c:pt idx="1">
                  <c:v>3.2301000000000003E-2</c:v>
                </c:pt>
                <c:pt idx="2">
                  <c:v>3.1400999999999998E-2</c:v>
                </c:pt>
                <c:pt idx="3">
                  <c:v>2.9121999999999999E-2</c:v>
                </c:pt>
                <c:pt idx="4">
                  <c:v>2.7543000000000002E-2</c:v>
                </c:pt>
                <c:pt idx="5">
                  <c:v>2.1125000000000001E-2</c:v>
                </c:pt>
                <c:pt idx="6">
                  <c:v>2.1047E-2</c:v>
                </c:pt>
                <c:pt idx="7">
                  <c:v>1.9328999999999999E-2</c:v>
                </c:pt>
                <c:pt idx="8">
                  <c:v>1.7055000000000004E-2</c:v>
                </c:pt>
                <c:pt idx="9">
                  <c:v>1.6975000000000001E-2</c:v>
                </c:pt>
                <c:pt idx="10">
                  <c:v>1.4995E-2</c:v>
                </c:pt>
                <c:pt idx="11">
                  <c:v>1.4495000000000003E-2</c:v>
                </c:pt>
                <c:pt idx="12">
                  <c:v>1.4475E-2</c:v>
                </c:pt>
                <c:pt idx="13">
                  <c:v>1.3737000000000001E-2</c:v>
                </c:pt>
                <c:pt idx="14">
                  <c:v>1.0321E-2</c:v>
                </c:pt>
                <c:pt idx="15">
                  <c:v>1.0019E-2</c:v>
                </c:pt>
                <c:pt idx="16">
                  <c:v>9.7470000000000005E-3</c:v>
                </c:pt>
                <c:pt idx="17">
                  <c:v>9.7130000000000011E-3</c:v>
                </c:pt>
                <c:pt idx="18">
                  <c:v>9.5960000000000004E-3</c:v>
                </c:pt>
                <c:pt idx="19">
                  <c:v>9.3400000000000011E-3</c:v>
                </c:pt>
                <c:pt idx="20">
                  <c:v>8.941000000000001E-3</c:v>
                </c:pt>
                <c:pt idx="21">
                  <c:v>8.5000000000000006E-3</c:v>
                </c:pt>
                <c:pt idx="22">
                  <c:v>7.7780000000000002E-3</c:v>
                </c:pt>
                <c:pt idx="23">
                  <c:v>7.4920000000000004E-3</c:v>
                </c:pt>
                <c:pt idx="24">
                  <c:v>7.2600000000000008E-3</c:v>
                </c:pt>
                <c:pt idx="25">
                  <c:v>6.1640000000000002E-3</c:v>
                </c:pt>
                <c:pt idx="26">
                  <c:v>5.6849999999999999E-3</c:v>
                </c:pt>
                <c:pt idx="27">
                  <c:v>5.6170000000000005E-3</c:v>
                </c:pt>
                <c:pt idx="28">
                  <c:v>5.5300000000000002E-3</c:v>
                </c:pt>
                <c:pt idx="29">
                  <c:v>4.9789999999999991E-3</c:v>
                </c:pt>
                <c:pt idx="30">
                  <c:v>4.8050000000000002E-3</c:v>
                </c:pt>
                <c:pt idx="31">
                  <c:v>4.803E-3</c:v>
                </c:pt>
                <c:pt idx="32">
                  <c:v>4.4720000000000003E-3</c:v>
                </c:pt>
                <c:pt idx="33">
                  <c:v>3.9300000000000003E-3</c:v>
                </c:pt>
                <c:pt idx="34">
                  <c:v>3.7399999999999998E-3</c:v>
                </c:pt>
                <c:pt idx="35">
                  <c:v>2.4299999999999999E-3</c:v>
                </c:pt>
                <c:pt idx="36" formatCode="0.0%">
                  <c:v>2.2720000000000001E-3</c:v>
                </c:pt>
              </c:numCache>
            </c:numRef>
          </c:val>
          <c:extLst>
            <c:ext xmlns:c16="http://schemas.microsoft.com/office/drawing/2014/chart" uri="{C3380CC4-5D6E-409C-BE32-E72D297353CC}">
              <c16:uniqueId val="{00000000-D0A0-469D-A34D-7A1C3922BF1B}"/>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9445500237553432E-2"/>
                  <c:y val="9.3563118043080443E-2"/>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0.31975500000000001</c:v>
                </c:pt>
                <c:pt idx="1">
                  <c:v>0.65575600000000001</c:v>
                </c:pt>
                <c:pt idx="2">
                  <c:v>2.4489E-2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0.50612400000000002</c:v>
                </c:pt>
                <c:pt idx="1">
                  <c:v>0.47261799999999998</c:v>
                </c:pt>
                <c:pt idx="2">
                  <c:v>2.1257999999999999E-2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0.76534800000000003</c:v>
                </c:pt>
                <c:pt idx="1">
                  <c:v>0.20688200000000001</c:v>
                </c:pt>
                <c:pt idx="2">
                  <c:v>2.777E-2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Automobiles</c:v>
                </c:pt>
                <c:pt idx="4">
                  <c:v>Diversified FMCG</c:v>
                </c:pt>
                <c:pt idx="5">
                  <c:v>Construction</c:v>
                </c:pt>
                <c:pt idx="6">
                  <c:v>Pharmaceuticals &amp; Biotechnology</c:v>
                </c:pt>
                <c:pt idx="7">
                  <c:v>Power</c:v>
                </c:pt>
                <c:pt idx="8">
                  <c:v>Telecom - Services</c:v>
                </c:pt>
                <c:pt idx="9">
                  <c:v>Consumer Durables</c:v>
                </c:pt>
                <c:pt idx="10">
                  <c:v>Finance</c:v>
                </c:pt>
                <c:pt idx="11">
                  <c:v>Cement &amp; Cement Products</c:v>
                </c:pt>
                <c:pt idx="12">
                  <c:v>Ferrous Metals</c:v>
                </c:pt>
                <c:pt idx="13">
                  <c:v>Food Products</c:v>
                </c:pt>
                <c:pt idx="14">
                  <c:v>Insurance</c:v>
                </c:pt>
                <c:pt idx="15">
                  <c:v>Oil</c:v>
                </c:pt>
                <c:pt idx="16">
                  <c:v>Consumable Fuels</c:v>
                </c:pt>
                <c:pt idx="17">
                  <c:v>Transport Infrastructure</c:v>
                </c:pt>
                <c:pt idx="18">
                  <c:v>Metals &amp; Minerals Trading</c:v>
                </c:pt>
                <c:pt idx="19">
                  <c:v>Agricultural Food &amp; other Products</c:v>
                </c:pt>
                <c:pt idx="20">
                  <c:v>Non - Ferrous Metals</c:v>
                </c:pt>
                <c:pt idx="21">
                  <c:v>Healthcare Services</c:v>
                </c:pt>
                <c:pt idx="22">
                  <c:v>Fertilizers &amp; Agrochemicals</c:v>
                </c:pt>
              </c:strCache>
            </c:strRef>
          </c:cat>
          <c:val>
            <c:numRef>
              <c:f>'BANDHAN-NIFTY 50 Index'!$X$8:$X$30</c:f>
              <c:numCache>
                <c:formatCode>0.00%</c:formatCode>
                <c:ptCount val="23"/>
                <c:pt idx="0">
                  <c:v>0.28314800000000001</c:v>
                </c:pt>
                <c:pt idx="1">
                  <c:v>0.14444799999999999</c:v>
                </c:pt>
                <c:pt idx="2">
                  <c:v>0.10872799999999999</c:v>
                </c:pt>
                <c:pt idx="3">
                  <c:v>7.1556000000000008E-2</c:v>
                </c:pt>
                <c:pt idx="4">
                  <c:v>5.9791999999999998E-2</c:v>
                </c:pt>
                <c:pt idx="5">
                  <c:v>4.2729000000000003E-2</c:v>
                </c:pt>
                <c:pt idx="6">
                  <c:v>3.8535E-2</c:v>
                </c:pt>
                <c:pt idx="7">
                  <c:v>2.9975999999999999E-2</c:v>
                </c:pt>
                <c:pt idx="8">
                  <c:v>2.9537000000000001E-2</c:v>
                </c:pt>
                <c:pt idx="9">
                  <c:v>2.8944000000000001E-2</c:v>
                </c:pt>
                <c:pt idx="10">
                  <c:v>2.7763999999999997E-2</c:v>
                </c:pt>
                <c:pt idx="11">
                  <c:v>2.0272999999999999E-2</c:v>
                </c:pt>
                <c:pt idx="12">
                  <c:v>1.9994999999999999E-2</c:v>
                </c:pt>
                <c:pt idx="13">
                  <c:v>1.5717999999999999E-2</c:v>
                </c:pt>
                <c:pt idx="14">
                  <c:v>1.3645999999999998E-2</c:v>
                </c:pt>
                <c:pt idx="15">
                  <c:v>1.0725999999999999E-2</c:v>
                </c:pt>
                <c:pt idx="16">
                  <c:v>1.0351000000000001E-2</c:v>
                </c:pt>
                <c:pt idx="17">
                  <c:v>1.0081E-2</c:v>
                </c:pt>
                <c:pt idx="18">
                  <c:v>8.9549999999999994E-3</c:v>
                </c:pt>
                <c:pt idx="19">
                  <c:v>7.7790000000000003E-3</c:v>
                </c:pt>
                <c:pt idx="20">
                  <c:v>7.6499999999999997E-3</c:v>
                </c:pt>
                <c:pt idx="21">
                  <c:v>6.3850000000000001E-3</c:v>
                </c:pt>
                <c:pt idx="22">
                  <c:v>2.4550000000000002E-3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Power</c:v>
                </c:pt>
                <c:pt idx="7">
                  <c:v>Telecom - Services</c:v>
                </c:pt>
                <c:pt idx="8">
                  <c:v>Consumer Durables</c:v>
                </c:pt>
                <c:pt idx="9">
                  <c:v>Finance</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0.32941000000000004</c:v>
                </c:pt>
                <c:pt idx="1">
                  <c:v>0.16216799999999998</c:v>
                </c:pt>
                <c:pt idx="2">
                  <c:v>0.121485</c:v>
                </c:pt>
                <c:pt idx="3">
                  <c:v>6.9292999999999993E-2</c:v>
                </c:pt>
                <c:pt idx="4">
                  <c:v>6.0351000000000002E-2</c:v>
                </c:pt>
                <c:pt idx="5">
                  <c:v>5.0550999999999999E-2</c:v>
                </c:pt>
                <c:pt idx="6">
                  <c:v>3.4706000000000001E-2</c:v>
                </c:pt>
                <c:pt idx="7">
                  <c:v>3.4155999999999999E-2</c:v>
                </c:pt>
                <c:pt idx="8">
                  <c:v>3.3662999999999998E-2</c:v>
                </c:pt>
                <c:pt idx="9">
                  <c:v>3.1891000000000003E-2</c:v>
                </c:pt>
                <c:pt idx="10">
                  <c:v>2.2877000000000002E-2</c:v>
                </c:pt>
                <c:pt idx="11">
                  <c:v>2.0423E-2</c:v>
                </c:pt>
                <c:pt idx="12">
                  <c:v>1.3649E-2</c:v>
                </c:pt>
                <c:pt idx="13">
                  <c:v>1.1224E-2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Automobiles</c:v>
                </c:pt>
                <c:pt idx="4">
                  <c:v>Diversified FMCG</c:v>
                </c:pt>
                <c:pt idx="5">
                  <c:v>Construction</c:v>
                </c:pt>
                <c:pt idx="6">
                  <c:v>Pharmaceuticals &amp; Biotechnology</c:v>
                </c:pt>
                <c:pt idx="7">
                  <c:v>Power</c:v>
                </c:pt>
                <c:pt idx="8">
                  <c:v>Telecom - Services</c:v>
                </c:pt>
                <c:pt idx="9">
                  <c:v>Consumer Durables</c:v>
                </c:pt>
                <c:pt idx="10">
                  <c:v>Finance</c:v>
                </c:pt>
                <c:pt idx="11">
                  <c:v>Cement &amp; Cement Products</c:v>
                </c:pt>
                <c:pt idx="12">
                  <c:v>Ferrous Metals</c:v>
                </c:pt>
                <c:pt idx="13">
                  <c:v>Food Products</c:v>
                </c:pt>
                <c:pt idx="14">
                  <c:v>Insurance</c:v>
                </c:pt>
                <c:pt idx="15">
                  <c:v>Oil</c:v>
                </c:pt>
                <c:pt idx="16">
                  <c:v>Consumable Fuels</c:v>
                </c:pt>
                <c:pt idx="17">
                  <c:v>Transport Infrastructure</c:v>
                </c:pt>
                <c:pt idx="18">
                  <c:v>Metals &amp; Minerals Trading</c:v>
                </c:pt>
                <c:pt idx="19">
                  <c:v>Agricultural Food &amp; other Products</c:v>
                </c:pt>
                <c:pt idx="20">
                  <c:v>Non - Ferrous Metals</c:v>
                </c:pt>
                <c:pt idx="21">
                  <c:v>Healthcare Services</c:v>
                </c:pt>
                <c:pt idx="22">
                  <c:v>Fertilizers &amp; Agrochemicals</c:v>
                </c:pt>
              </c:strCache>
            </c:strRef>
          </c:cat>
          <c:val>
            <c:numRef>
              <c:f>'BANDHAN- Nifty 50 ETF'!$X$8:$X$30</c:f>
              <c:numCache>
                <c:formatCode>0.00%</c:formatCode>
                <c:ptCount val="23"/>
                <c:pt idx="0">
                  <c:v>0.28328599999999998</c:v>
                </c:pt>
                <c:pt idx="1">
                  <c:v>0.14452300000000001</c:v>
                </c:pt>
                <c:pt idx="2">
                  <c:v>0.108778</c:v>
                </c:pt>
                <c:pt idx="3">
                  <c:v>7.158500000000001E-2</c:v>
                </c:pt>
                <c:pt idx="4">
                  <c:v>5.9823000000000001E-2</c:v>
                </c:pt>
                <c:pt idx="5">
                  <c:v>4.2748000000000001E-2</c:v>
                </c:pt>
                <c:pt idx="6">
                  <c:v>3.8555000000000006E-2</c:v>
                </c:pt>
                <c:pt idx="7">
                  <c:v>2.9988000000000001E-2</c:v>
                </c:pt>
                <c:pt idx="8">
                  <c:v>2.9554E-2</c:v>
                </c:pt>
                <c:pt idx="9">
                  <c:v>2.8961999999999998E-2</c:v>
                </c:pt>
                <c:pt idx="10">
                  <c:v>2.7775000000000001E-2</c:v>
                </c:pt>
                <c:pt idx="11">
                  <c:v>2.026E-2</c:v>
                </c:pt>
                <c:pt idx="12">
                  <c:v>2.0004000000000001E-2</c:v>
                </c:pt>
                <c:pt idx="13">
                  <c:v>1.5713999999999999E-2</c:v>
                </c:pt>
                <c:pt idx="14">
                  <c:v>1.3655E-2</c:v>
                </c:pt>
                <c:pt idx="15">
                  <c:v>1.0732E-2</c:v>
                </c:pt>
                <c:pt idx="16">
                  <c:v>1.0356000000000001E-2</c:v>
                </c:pt>
                <c:pt idx="17">
                  <c:v>1.0083999999999999E-2</c:v>
                </c:pt>
                <c:pt idx="18">
                  <c:v>8.9529999999999992E-3</c:v>
                </c:pt>
                <c:pt idx="19">
                  <c:v>7.7850000000000003E-3</c:v>
                </c:pt>
                <c:pt idx="20">
                  <c:v>7.6530000000000001E-3</c:v>
                </c:pt>
                <c:pt idx="21">
                  <c:v>6.3829999999999998E-3</c:v>
                </c:pt>
                <c:pt idx="22">
                  <c:v>2.457E-3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Index'!$W$8:$W$42</c:f>
              <c:strCache>
                <c:ptCount val="35"/>
                <c:pt idx="0">
                  <c:v>Banks</c:v>
                </c:pt>
                <c:pt idx="1">
                  <c:v>IT - Software</c:v>
                </c:pt>
                <c:pt idx="2">
                  <c:v>Petroleum Products</c:v>
                </c:pt>
                <c:pt idx="3">
                  <c:v>Automobiles</c:v>
                </c:pt>
                <c:pt idx="4">
                  <c:v>Diversified FMCG</c:v>
                </c:pt>
                <c:pt idx="5">
                  <c:v>Finance</c:v>
                </c:pt>
                <c:pt idx="6">
                  <c:v>Power</c:v>
                </c:pt>
                <c:pt idx="7">
                  <c:v>Pharmaceuticals &amp; Biotechnology</c:v>
                </c:pt>
                <c:pt idx="8">
                  <c:v>Construction</c:v>
                </c:pt>
                <c:pt idx="9">
                  <c:v>Consumer Durables</c:v>
                </c:pt>
                <c:pt idx="10">
                  <c:v>Telecom - Services</c:v>
                </c:pt>
                <c:pt idx="11">
                  <c:v>Cement &amp; Cement Products</c:v>
                </c:pt>
                <c:pt idx="12">
                  <c:v>Retailing</c:v>
                </c:pt>
                <c:pt idx="13">
                  <c:v>Insurance</c:v>
                </c:pt>
                <c:pt idx="14">
                  <c:v>Ferrous Metals</c:v>
                </c:pt>
                <c:pt idx="15">
                  <c:v>Food Products</c:v>
                </c:pt>
                <c:pt idx="16">
                  <c:v>Aerospace &amp; Defense</c:v>
                </c:pt>
                <c:pt idx="17">
                  <c:v>Personal Products</c:v>
                </c:pt>
                <c:pt idx="18">
                  <c:v>Agricultural Food &amp; other Products</c:v>
                </c:pt>
                <c:pt idx="19">
                  <c:v>Oil</c:v>
                </c:pt>
                <c:pt idx="20">
                  <c:v>Beverages</c:v>
                </c:pt>
                <c:pt idx="21">
                  <c:v>Consumable Fuels</c:v>
                </c:pt>
                <c:pt idx="22">
                  <c:v>Transport Infrastructure</c:v>
                </c:pt>
                <c:pt idx="23">
                  <c:v>Metals &amp; Minerals Trading</c:v>
                </c:pt>
                <c:pt idx="24">
                  <c:v>Gas</c:v>
                </c:pt>
                <c:pt idx="25">
                  <c:v>Chemicals &amp; Petrochemicals</c:v>
                </c:pt>
                <c:pt idx="26">
                  <c:v>Non - Ferrous Metals</c:v>
                </c:pt>
                <c:pt idx="27">
                  <c:v>Electrical Equipment</c:v>
                </c:pt>
                <c:pt idx="28">
                  <c:v>Healthcare Services</c:v>
                </c:pt>
                <c:pt idx="29">
                  <c:v>Realty</c:v>
                </c:pt>
                <c:pt idx="30">
                  <c:v>Fertilizers &amp; Agrochemicals</c:v>
                </c:pt>
                <c:pt idx="31">
                  <c:v>Auto Components</c:v>
                </c:pt>
                <c:pt idx="32">
                  <c:v>Transport Services</c:v>
                </c:pt>
                <c:pt idx="33">
                  <c:v>Diversified Metals</c:v>
                </c:pt>
                <c:pt idx="34">
                  <c:v>Leisure Services</c:v>
                </c:pt>
              </c:strCache>
            </c:strRef>
          </c:cat>
          <c:val>
            <c:numRef>
              <c:f>'BANDHAN-Nifty 100 Index'!$X$8:$X$42</c:f>
              <c:numCache>
                <c:formatCode>0.00%</c:formatCode>
                <c:ptCount val="35"/>
                <c:pt idx="0">
                  <c:v>0.24382699999999996</c:v>
                </c:pt>
                <c:pt idx="1">
                  <c:v>0.11899000000000001</c:v>
                </c:pt>
                <c:pt idx="2">
                  <c:v>9.4772999999999996E-2</c:v>
                </c:pt>
                <c:pt idx="3">
                  <c:v>6.5742999999999996E-2</c:v>
                </c:pt>
                <c:pt idx="4">
                  <c:v>4.9255E-2</c:v>
                </c:pt>
                <c:pt idx="5">
                  <c:v>3.8859000000000005E-2</c:v>
                </c:pt>
                <c:pt idx="6">
                  <c:v>3.8744000000000001E-2</c:v>
                </c:pt>
                <c:pt idx="7">
                  <c:v>3.5872999999999995E-2</c:v>
                </c:pt>
                <c:pt idx="8">
                  <c:v>3.5196999999999999E-2</c:v>
                </c:pt>
                <c:pt idx="9">
                  <c:v>2.8581999999999996E-2</c:v>
                </c:pt>
                <c:pt idx="10">
                  <c:v>2.4330999999999998E-2</c:v>
                </c:pt>
                <c:pt idx="11">
                  <c:v>2.3425000000000001E-2</c:v>
                </c:pt>
                <c:pt idx="12">
                  <c:v>2.3377999999999999E-2</c:v>
                </c:pt>
                <c:pt idx="13">
                  <c:v>1.898E-2</c:v>
                </c:pt>
                <c:pt idx="14">
                  <c:v>1.8912999999999999E-2</c:v>
                </c:pt>
                <c:pt idx="15">
                  <c:v>1.2945999999999999E-2</c:v>
                </c:pt>
                <c:pt idx="16">
                  <c:v>1.1233999999999999E-2</c:v>
                </c:pt>
                <c:pt idx="17">
                  <c:v>1.0927000000000001E-2</c:v>
                </c:pt>
                <c:pt idx="18">
                  <c:v>9.2339999999999992E-3</c:v>
                </c:pt>
                <c:pt idx="19">
                  <c:v>8.8360000000000001E-3</c:v>
                </c:pt>
                <c:pt idx="20">
                  <c:v>8.7030000000000007E-3</c:v>
                </c:pt>
                <c:pt idx="21">
                  <c:v>8.5260000000000006E-3</c:v>
                </c:pt>
                <c:pt idx="22">
                  <c:v>8.3040000000000006E-3</c:v>
                </c:pt>
                <c:pt idx="23">
                  <c:v>7.378E-3</c:v>
                </c:pt>
                <c:pt idx="24">
                  <c:v>6.6219999999999994E-3</c:v>
                </c:pt>
                <c:pt idx="25">
                  <c:v>6.5450000000000005E-3</c:v>
                </c:pt>
                <c:pt idx="26">
                  <c:v>6.3020000000000003E-3</c:v>
                </c:pt>
                <c:pt idx="27">
                  <c:v>6.0350000000000004E-3</c:v>
                </c:pt>
                <c:pt idx="28">
                  <c:v>5.2589999999999998E-3</c:v>
                </c:pt>
                <c:pt idx="29">
                  <c:v>4.9670000000000001E-3</c:v>
                </c:pt>
                <c:pt idx="30">
                  <c:v>4.5509999999999995E-3</c:v>
                </c:pt>
                <c:pt idx="31">
                  <c:v>4.5039999999999993E-3</c:v>
                </c:pt>
                <c:pt idx="32">
                  <c:v>3.8579999999999999E-3</c:v>
                </c:pt>
                <c:pt idx="33">
                  <c:v>3.0709999999999999E-3</c:v>
                </c:pt>
                <c:pt idx="34">
                  <c:v>2.415E-3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Index'!$W$8:$W$24</c:f>
              <c:strCache>
                <c:ptCount val="17"/>
                <c:pt idx="0">
                  <c:v>Automobiles</c:v>
                </c:pt>
                <c:pt idx="1">
                  <c:v>Pharmaceuticals &amp; Biotechnology</c:v>
                </c:pt>
                <c:pt idx="2">
                  <c:v>Finance</c:v>
                </c:pt>
                <c:pt idx="3">
                  <c:v>Aerospace &amp; Defense</c:v>
                </c:pt>
                <c:pt idx="4">
                  <c:v>Retailing</c:v>
                </c:pt>
                <c:pt idx="5">
                  <c:v>Consumable Fuels</c:v>
                </c:pt>
                <c:pt idx="6">
                  <c:v>Realty</c:v>
                </c:pt>
                <c:pt idx="7">
                  <c:v>Power</c:v>
                </c:pt>
                <c:pt idx="8">
                  <c:v>Construction</c:v>
                </c:pt>
                <c:pt idx="9">
                  <c:v>Industrial Products</c:v>
                </c:pt>
                <c:pt idx="10">
                  <c:v>Electrical Equipment</c:v>
                </c:pt>
                <c:pt idx="11">
                  <c:v>Personal Products</c:v>
                </c:pt>
                <c:pt idx="12">
                  <c:v>Minerals &amp; Mining</c:v>
                </c:pt>
                <c:pt idx="13">
                  <c:v>Banks</c:v>
                </c:pt>
                <c:pt idx="14">
                  <c:v>Agricultural, Commercial &amp; Construction Vehicles</c:v>
                </c:pt>
                <c:pt idx="15">
                  <c:v>Cement &amp; Cement Products</c:v>
                </c:pt>
                <c:pt idx="16">
                  <c:v>Entertainment</c:v>
                </c:pt>
              </c:strCache>
            </c:strRef>
          </c:cat>
          <c:val>
            <c:numRef>
              <c:f>'BANDHAN-Nifty200 Mom30 Index'!$X$8:$X$24</c:f>
              <c:numCache>
                <c:formatCode>0.00%</c:formatCode>
                <c:ptCount val="17"/>
                <c:pt idx="0">
                  <c:v>0.202843</c:v>
                </c:pt>
                <c:pt idx="1">
                  <c:v>0.18577099999999999</c:v>
                </c:pt>
                <c:pt idx="2">
                  <c:v>0.10384599999999999</c:v>
                </c:pt>
                <c:pt idx="3">
                  <c:v>9.0462000000000001E-2</c:v>
                </c:pt>
                <c:pt idx="4">
                  <c:v>5.8913E-2</c:v>
                </c:pt>
                <c:pt idx="5">
                  <c:v>5.3761000000000003E-2</c:v>
                </c:pt>
                <c:pt idx="6">
                  <c:v>5.2373999999999997E-2</c:v>
                </c:pt>
                <c:pt idx="7">
                  <c:v>4.8846000000000001E-2</c:v>
                </c:pt>
                <c:pt idx="8">
                  <c:v>4.4901000000000003E-2</c:v>
                </c:pt>
                <c:pt idx="9">
                  <c:v>4.4893000000000002E-2</c:v>
                </c:pt>
                <c:pt idx="10">
                  <c:v>3.1872999999999999E-2</c:v>
                </c:pt>
                <c:pt idx="11">
                  <c:v>2.8444000000000001E-2</c:v>
                </c:pt>
                <c:pt idx="12">
                  <c:v>2.4053999999999999E-2</c:v>
                </c:pt>
                <c:pt idx="13">
                  <c:v>2.2877999999999999E-2</c:v>
                </c:pt>
                <c:pt idx="14">
                  <c:v>6.4949999999999999E-3</c:v>
                </c:pt>
                <c:pt idx="15">
                  <c:v>5.5030000000000001E-3</c:v>
                </c:pt>
                <c:pt idx="16">
                  <c:v>4.1159999999999999E-3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IT - Software</c:v>
                </c:pt>
                <c:pt idx="2">
                  <c:v>Banks</c:v>
                </c:pt>
                <c:pt idx="3">
                  <c:v>Petroleum Products</c:v>
                </c:pt>
                <c:pt idx="4">
                  <c:v>Food Products</c:v>
                </c:pt>
                <c:pt idx="5">
                  <c:v>Power</c:v>
                </c:pt>
                <c:pt idx="6">
                  <c:v>Diversified FMCG</c:v>
                </c:pt>
                <c:pt idx="7">
                  <c:v>Automobiles</c:v>
                </c:pt>
                <c:pt idx="8">
                  <c:v>Personal Products</c:v>
                </c:pt>
                <c:pt idx="9">
                  <c:v>Consumer Durables</c:v>
                </c:pt>
                <c:pt idx="10">
                  <c:v>Auto Components</c:v>
                </c:pt>
                <c:pt idx="11">
                  <c:v>Cement &amp; Cement Products</c:v>
                </c:pt>
                <c:pt idx="12">
                  <c:v>Construction</c:v>
                </c:pt>
                <c:pt idx="13">
                  <c:v>Insurance</c:v>
                </c:pt>
                <c:pt idx="14">
                  <c:v>Chemicals &amp; Petrochemicals</c:v>
                </c:pt>
                <c:pt idx="15">
                  <c:v>Agricultural Food &amp; other Products</c:v>
                </c:pt>
              </c:strCache>
            </c:strRef>
          </c:cat>
          <c:val>
            <c:numRef>
              <c:f>'BANDHAN NIF100LV30'!$X$8:$X$23</c:f>
              <c:numCache>
                <c:formatCode>0.00%</c:formatCode>
                <c:ptCount val="16"/>
                <c:pt idx="0">
                  <c:v>0.14920800000000001</c:v>
                </c:pt>
                <c:pt idx="1">
                  <c:v>0.10610799999999999</c:v>
                </c:pt>
                <c:pt idx="2">
                  <c:v>0.10320399999999999</c:v>
                </c:pt>
                <c:pt idx="3">
                  <c:v>7.3206999999999994E-2</c:v>
                </c:pt>
                <c:pt idx="4">
                  <c:v>7.1779000000000009E-2</c:v>
                </c:pt>
                <c:pt idx="5">
                  <c:v>6.6928000000000001E-2</c:v>
                </c:pt>
                <c:pt idx="6">
                  <c:v>6.6410999999999998E-2</c:v>
                </c:pt>
                <c:pt idx="7">
                  <c:v>6.2897999999999996E-2</c:v>
                </c:pt>
                <c:pt idx="8">
                  <c:v>5.7951000000000003E-2</c:v>
                </c:pt>
                <c:pt idx="9">
                  <c:v>5.6207E-2</c:v>
                </c:pt>
                <c:pt idx="10">
                  <c:v>3.7020999999999998E-2</c:v>
                </c:pt>
                <c:pt idx="11">
                  <c:v>3.2471E-2</c:v>
                </c:pt>
                <c:pt idx="12">
                  <c:v>3.1516000000000002E-2</c:v>
                </c:pt>
                <c:pt idx="13">
                  <c:v>3.0498000000000001E-2</c:v>
                </c:pt>
                <c:pt idx="14">
                  <c:v>2.9087999999999999E-2</c:v>
                </c:pt>
                <c:pt idx="15">
                  <c:v>2.7999E-2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0.98216999999999999</c:v>
                </c:pt>
                <c:pt idx="1">
                  <c:v>1.6435999999999999E-2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Index'!$W$8:$W$27</c:f>
              <c:strCache>
                <c:ptCount val="20"/>
                <c:pt idx="0">
                  <c:v>Electrical Equipment</c:v>
                </c:pt>
                <c:pt idx="1">
                  <c:v>Finance</c:v>
                </c:pt>
                <c:pt idx="2">
                  <c:v>Capital Markets</c:v>
                </c:pt>
                <c:pt idx="3">
                  <c:v>Industrial Products</c:v>
                </c:pt>
                <c:pt idx="4">
                  <c:v>Construction</c:v>
                </c:pt>
                <c:pt idx="5">
                  <c:v>Banks</c:v>
                </c:pt>
                <c:pt idx="6">
                  <c:v>Pharmaceuticals &amp; Biotechnology</c:v>
                </c:pt>
                <c:pt idx="7">
                  <c:v>Retailing</c:v>
                </c:pt>
                <c:pt idx="8">
                  <c:v>IT - Software</c:v>
                </c:pt>
                <c:pt idx="9">
                  <c:v>Financial Technology (Fintech)</c:v>
                </c:pt>
                <c:pt idx="10">
                  <c:v>Aerospace &amp; Defense</c:v>
                </c:pt>
                <c:pt idx="11">
                  <c:v>Realty</c:v>
                </c:pt>
                <c:pt idx="12">
                  <c:v>IT - Services</c:v>
                </c:pt>
                <c:pt idx="13">
                  <c:v>Beverages</c:v>
                </c:pt>
                <c:pt idx="14">
                  <c:v>Automobiles</c:v>
                </c:pt>
                <c:pt idx="15">
                  <c:v>Auto Components</c:v>
                </c:pt>
                <c:pt idx="16">
                  <c:v>Leisure Services</c:v>
                </c:pt>
                <c:pt idx="17">
                  <c:v>Power</c:v>
                </c:pt>
                <c:pt idx="18">
                  <c:v>Agricultural, Commercial &amp; Construction Vehicles</c:v>
                </c:pt>
                <c:pt idx="19">
                  <c:v>Diversified FMCG</c:v>
                </c:pt>
              </c:strCache>
            </c:strRef>
          </c:cat>
          <c:val>
            <c:numRef>
              <c:f>'Bandhan Nifty Alpha 50 Index'!$X$8:$X$27</c:f>
              <c:numCache>
                <c:formatCode>0.00%</c:formatCode>
                <c:ptCount val="20"/>
                <c:pt idx="0">
                  <c:v>0.17193600000000001</c:v>
                </c:pt>
                <c:pt idx="1">
                  <c:v>0.16681099999999999</c:v>
                </c:pt>
                <c:pt idx="2">
                  <c:v>9.3687000000000006E-2</c:v>
                </c:pt>
                <c:pt idx="3">
                  <c:v>8.0756000000000008E-2</c:v>
                </c:pt>
                <c:pt idx="4">
                  <c:v>6.6831000000000002E-2</c:v>
                </c:pt>
                <c:pt idx="5">
                  <c:v>6.6419000000000006E-2</c:v>
                </c:pt>
                <c:pt idx="6">
                  <c:v>6.3963999999999993E-2</c:v>
                </c:pt>
                <c:pt idx="7">
                  <c:v>4.9742999999999996E-2</c:v>
                </c:pt>
                <c:pt idx="8">
                  <c:v>4.8046000000000005E-2</c:v>
                </c:pt>
                <c:pt idx="9">
                  <c:v>3.9717000000000002E-2</c:v>
                </c:pt>
                <c:pt idx="10">
                  <c:v>2.8128E-2</c:v>
                </c:pt>
                <c:pt idx="11">
                  <c:v>2.4944000000000001E-2</c:v>
                </c:pt>
                <c:pt idx="12">
                  <c:v>2.3229E-2</c:v>
                </c:pt>
                <c:pt idx="13">
                  <c:v>1.9997999999999998E-2</c:v>
                </c:pt>
                <c:pt idx="14">
                  <c:v>1.9209E-2</c:v>
                </c:pt>
                <c:pt idx="15">
                  <c:v>9.8219999999999991E-3</c:v>
                </c:pt>
                <c:pt idx="16">
                  <c:v>9.4350000000000007E-3</c:v>
                </c:pt>
                <c:pt idx="17">
                  <c:v>9.2399999999999999E-3</c:v>
                </c:pt>
                <c:pt idx="18">
                  <c:v>8.5330000000000007E-3</c:v>
                </c:pt>
                <c:pt idx="19">
                  <c:v>5.7260000000000002E-3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Industrial Products</c:v>
                </c:pt>
                <c:pt idx="3">
                  <c:v>Pharmaceuticals &amp; Biotechnology</c:v>
                </c:pt>
                <c:pt idx="4">
                  <c:v>Electrical Equipment</c:v>
                </c:pt>
                <c:pt idx="5">
                  <c:v>Construction</c:v>
                </c:pt>
                <c:pt idx="6">
                  <c:v>Banks</c:v>
                </c:pt>
                <c:pt idx="7">
                  <c:v>Consumer Durables</c:v>
                </c:pt>
                <c:pt idx="8">
                  <c:v>IT - Software</c:v>
                </c:pt>
                <c:pt idx="9">
                  <c:v>Auto Components</c:v>
                </c:pt>
                <c:pt idx="10">
                  <c:v>Chemicals &amp; Petrochemicals</c:v>
                </c:pt>
                <c:pt idx="11">
                  <c:v>Healthcare Services</c:v>
                </c:pt>
                <c:pt idx="12">
                  <c:v>Leisure Services</c:v>
                </c:pt>
                <c:pt idx="13">
                  <c:v>Industrial Manufacturing</c:v>
                </c:pt>
                <c:pt idx="14">
                  <c:v>Commercial Services &amp; Supplies</c:v>
                </c:pt>
                <c:pt idx="15">
                  <c:v>Realty</c:v>
                </c:pt>
                <c:pt idx="16">
                  <c:v>IT - Services</c:v>
                </c:pt>
                <c:pt idx="17">
                  <c:v>Gas</c:v>
                </c:pt>
                <c:pt idx="18">
                  <c:v>Non - Ferrous Metals</c:v>
                </c:pt>
                <c:pt idx="19">
                  <c:v>Entertainment</c:v>
                </c:pt>
                <c:pt idx="20">
                  <c:v>Fertilizers &amp; Agrochemicals</c:v>
                </c:pt>
                <c:pt idx="21">
                  <c:v>Power</c:v>
                </c:pt>
                <c:pt idx="22">
                  <c:v>Retailing</c:v>
                </c:pt>
                <c:pt idx="23">
                  <c:v>Telecom - Services</c:v>
                </c:pt>
                <c:pt idx="24">
                  <c:v>Agricultural Food &amp; other Products</c:v>
                </c:pt>
                <c:pt idx="25">
                  <c:v>Textiles &amp; Apparels</c:v>
                </c:pt>
                <c:pt idx="26">
                  <c:v>Cement &amp; Cement Products</c:v>
                </c:pt>
                <c:pt idx="27">
                  <c:v>Petroleum Products</c:v>
                </c:pt>
                <c:pt idx="28">
                  <c:v>Transport Services</c:v>
                </c:pt>
                <c:pt idx="29">
                  <c:v>Beverages</c:v>
                </c:pt>
                <c:pt idx="30">
                  <c:v>Ferrous Metals</c:v>
                </c:pt>
                <c:pt idx="31">
                  <c:v>Food Products</c:v>
                </c:pt>
                <c:pt idx="32">
                  <c:v>Paper, Forest &amp; Jute Products</c:v>
                </c:pt>
                <c:pt idx="33">
                  <c:v>Aerospace &amp; Defense</c:v>
                </c:pt>
                <c:pt idx="34">
                  <c:v>Telecom -  Equipment &amp; Accessories</c:v>
                </c:pt>
                <c:pt idx="35">
                  <c:v>Automobiles</c:v>
                </c:pt>
                <c:pt idx="36">
                  <c:v>Healthcare Equipment &amp; Supplies</c:v>
                </c:pt>
                <c:pt idx="37">
                  <c:v>Household Products</c:v>
                </c:pt>
                <c:pt idx="38">
                  <c:v>Agricultural, Commercial &amp; Construction Vehicles</c:v>
                </c:pt>
                <c:pt idx="39">
                  <c:v>Transport Infrastructure</c:v>
                </c:pt>
                <c:pt idx="40">
                  <c:v>Financial Technology (FINTECH)</c:v>
                </c:pt>
                <c:pt idx="41">
                  <c:v>Personal Products</c:v>
                </c:pt>
                <c:pt idx="42">
                  <c:v>Diversified</c:v>
                </c:pt>
                <c:pt idx="43">
                  <c:v>Cigarettes &amp; Tobacco Products</c:v>
                </c:pt>
              </c:strCache>
            </c:strRef>
          </c:cat>
          <c:val>
            <c:numRef>
              <c:f>'Bandhan Nifty Smallcap 250 '!$X$8:$X$51</c:f>
              <c:numCache>
                <c:formatCode>0.00%</c:formatCode>
                <c:ptCount val="44"/>
                <c:pt idx="0">
                  <c:v>8.9765999999999999E-2</c:v>
                </c:pt>
                <c:pt idx="1">
                  <c:v>8.4259000000000001E-2</c:v>
                </c:pt>
                <c:pt idx="2">
                  <c:v>6.5672000000000008E-2</c:v>
                </c:pt>
                <c:pt idx="3">
                  <c:v>6.0090000000000011E-2</c:v>
                </c:pt>
                <c:pt idx="4">
                  <c:v>5.1208999999999998E-2</c:v>
                </c:pt>
                <c:pt idx="5">
                  <c:v>4.972E-2</c:v>
                </c:pt>
                <c:pt idx="6">
                  <c:v>4.8041999999999994E-2</c:v>
                </c:pt>
                <c:pt idx="7">
                  <c:v>4.6454000000000009E-2</c:v>
                </c:pt>
                <c:pt idx="8">
                  <c:v>4.4738E-2</c:v>
                </c:pt>
                <c:pt idx="9">
                  <c:v>3.9885000000000004E-2</c:v>
                </c:pt>
                <c:pt idx="10">
                  <c:v>3.4643000000000007E-2</c:v>
                </c:pt>
                <c:pt idx="11">
                  <c:v>3.3857999999999999E-2</c:v>
                </c:pt>
                <c:pt idx="12">
                  <c:v>3.0654999999999998E-2</c:v>
                </c:pt>
                <c:pt idx="13">
                  <c:v>2.4809000000000005E-2</c:v>
                </c:pt>
                <c:pt idx="14">
                  <c:v>2.2997E-2</c:v>
                </c:pt>
                <c:pt idx="15">
                  <c:v>1.9740000000000001E-2</c:v>
                </c:pt>
                <c:pt idx="16">
                  <c:v>1.7544000000000004E-2</c:v>
                </c:pt>
                <c:pt idx="17">
                  <c:v>1.6159E-2</c:v>
                </c:pt>
                <c:pt idx="18">
                  <c:v>1.5080999999999999E-2</c:v>
                </c:pt>
                <c:pt idx="19">
                  <c:v>1.4274999999999999E-2</c:v>
                </c:pt>
                <c:pt idx="20">
                  <c:v>1.4115000000000001E-2</c:v>
                </c:pt>
                <c:pt idx="21">
                  <c:v>1.4100999999999999E-2</c:v>
                </c:pt>
                <c:pt idx="22">
                  <c:v>1.3881000000000001E-2</c:v>
                </c:pt>
                <c:pt idx="23">
                  <c:v>1.3567000000000001E-2</c:v>
                </c:pt>
                <c:pt idx="24">
                  <c:v>1.3252999999999999E-2</c:v>
                </c:pt>
                <c:pt idx="25">
                  <c:v>1.2613999999999998E-2</c:v>
                </c:pt>
                <c:pt idx="26">
                  <c:v>1.2297000000000001E-2</c:v>
                </c:pt>
                <c:pt idx="27">
                  <c:v>9.2820000000000003E-3</c:v>
                </c:pt>
                <c:pt idx="28">
                  <c:v>8.1780000000000012E-3</c:v>
                </c:pt>
                <c:pt idx="29">
                  <c:v>8.0180000000000008E-3</c:v>
                </c:pt>
                <c:pt idx="30">
                  <c:v>7.607E-3</c:v>
                </c:pt>
                <c:pt idx="31">
                  <c:v>6.7769999999999992E-3</c:v>
                </c:pt>
                <c:pt idx="32">
                  <c:v>6.7510000000000001E-3</c:v>
                </c:pt>
                <c:pt idx="33">
                  <c:v>6.3049999999999998E-3</c:v>
                </c:pt>
                <c:pt idx="34">
                  <c:v>5.4850000000000003E-3</c:v>
                </c:pt>
                <c:pt idx="35">
                  <c:v>5.3179999999999998E-3</c:v>
                </c:pt>
                <c:pt idx="36">
                  <c:v>4.64E-3</c:v>
                </c:pt>
                <c:pt idx="37">
                  <c:v>4.1349999999999998E-3</c:v>
                </c:pt>
                <c:pt idx="38">
                  <c:v>3.9370000000000004E-3</c:v>
                </c:pt>
                <c:pt idx="39">
                  <c:v>3.7299999999999998E-3</c:v>
                </c:pt>
                <c:pt idx="40">
                  <c:v>3.4949999999999998E-3</c:v>
                </c:pt>
                <c:pt idx="41">
                  <c:v>3.4940000000000001E-3</c:v>
                </c:pt>
                <c:pt idx="42">
                  <c:v>3.1380000000000002E-3</c:v>
                </c:pt>
                <c:pt idx="43">
                  <c:v>2.7369999999999998E-3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19426</xdr:colOff>
      <xdr:row>7</xdr:row>
      <xdr:rowOff>54349</xdr:rowOff>
    </xdr:from>
    <xdr:to>
      <xdr:col>13</xdr:col>
      <xdr:colOff>708401</xdr:colOff>
      <xdr:row>18</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607214</xdr:colOff>
      <xdr:row>7</xdr:row>
      <xdr:rowOff>23814</xdr:rowOff>
    </xdr:from>
    <xdr:to>
      <xdr:col>13</xdr:col>
      <xdr:colOff>693453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47" t="s">
        <v>168</v>
      </c>
      <c r="D3" s="247"/>
      <c r="E3" s="247"/>
      <c r="F3" s="247"/>
      <c r="G3" s="247"/>
      <c r="H3" s="247"/>
      <c r="I3" s="247"/>
      <c r="J3" s="247"/>
      <c r="K3" s="247"/>
      <c r="L3" s="247"/>
      <c r="M3" s="248"/>
    </row>
    <row r="4" spans="2:24" ht="15.75" x14ac:dyDescent="0.25">
      <c r="B4" s="98"/>
      <c r="C4" s="72" t="s">
        <v>354</v>
      </c>
      <c r="D4" s="29"/>
      <c r="E4" s="29"/>
      <c r="F4" s="5"/>
      <c r="G4" s="5"/>
      <c r="H4" s="5"/>
      <c r="I4" s="5"/>
      <c r="J4" s="5"/>
      <c r="K4" s="5"/>
      <c r="L4" s="5"/>
      <c r="M4" s="20"/>
    </row>
    <row r="5" spans="2:24" ht="20.25" customHeight="1" x14ac:dyDescent="0.25">
      <c r="B5" s="98"/>
      <c r="C5" s="235" t="s">
        <v>355</v>
      </c>
      <c r="D5" s="99" t="s">
        <v>322</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5" t="s">
        <v>43</v>
      </c>
      <c r="D7" s="100" t="s">
        <v>45</v>
      </c>
      <c r="E7" s="5"/>
      <c r="F7" s="249" t="s">
        <v>50</v>
      </c>
      <c r="G7" s="249"/>
      <c r="H7" s="249"/>
      <c r="I7" s="249"/>
      <c r="J7" s="249"/>
      <c r="K7" s="249"/>
      <c r="L7" s="249"/>
      <c r="M7" s="250"/>
    </row>
    <row r="8" spans="2:24" ht="30" x14ac:dyDescent="0.2">
      <c r="B8" s="98"/>
      <c r="C8" s="64" t="s">
        <v>97</v>
      </c>
      <c r="D8" s="191">
        <v>0.99046500000000004</v>
      </c>
      <c r="E8" s="5"/>
      <c r="F8" s="5"/>
      <c r="G8" s="31"/>
      <c r="H8" s="5"/>
      <c r="I8" s="5" t="s">
        <v>98</v>
      </c>
      <c r="J8" s="52">
        <f>D9</f>
        <v>0.99046500000000004</v>
      </c>
      <c r="K8" s="5"/>
      <c r="L8" s="5"/>
      <c r="M8" s="20"/>
      <c r="S8" s="54"/>
      <c r="W8" s="3" t="s">
        <v>3</v>
      </c>
      <c r="X8" s="3">
        <v>0.25058799999999998</v>
      </c>
    </row>
    <row r="9" spans="2:24" ht="15.75" x14ac:dyDescent="0.25">
      <c r="B9" s="98"/>
      <c r="C9" s="65" t="s">
        <v>98</v>
      </c>
      <c r="D9" s="192">
        <v>0.99046500000000004</v>
      </c>
      <c r="E9" s="5"/>
      <c r="F9" s="5"/>
      <c r="G9" s="5"/>
      <c r="H9" s="5"/>
      <c r="I9" s="5" t="s">
        <v>20</v>
      </c>
      <c r="J9" s="52">
        <f>D13</f>
        <v>-5.6080000000000001E-3</v>
      </c>
      <c r="K9" s="5"/>
      <c r="L9" s="5"/>
      <c r="M9" s="20"/>
      <c r="S9" s="54"/>
      <c r="W9" s="3" t="s">
        <v>9</v>
      </c>
      <c r="X9" s="3">
        <v>6.1296999999999997E-2</v>
      </c>
    </row>
    <row r="10" spans="2:24" x14ac:dyDescent="0.2">
      <c r="B10" s="98"/>
      <c r="C10" s="176" t="s">
        <v>108</v>
      </c>
      <c r="D10" s="193">
        <v>1.5143E-2</v>
      </c>
      <c r="E10" s="5"/>
      <c r="F10" s="5"/>
      <c r="G10" s="5"/>
      <c r="I10" s="3" t="s">
        <v>109</v>
      </c>
      <c r="J10" s="52">
        <f>D11</f>
        <v>1.5143E-2</v>
      </c>
      <c r="K10" s="5"/>
      <c r="L10" s="5"/>
      <c r="M10" s="20"/>
      <c r="S10" s="54"/>
      <c r="W10" s="3" t="s">
        <v>10</v>
      </c>
      <c r="X10" s="3">
        <v>3.0130999999999998E-2</v>
      </c>
    </row>
    <row r="11" spans="2:24" ht="15.75" x14ac:dyDescent="0.2">
      <c r="B11" s="98"/>
      <c r="C11" s="177" t="s">
        <v>109</v>
      </c>
      <c r="D11" s="194">
        <v>1.5143E-2</v>
      </c>
      <c r="E11" s="5"/>
      <c r="F11" s="5"/>
      <c r="G11" s="5"/>
      <c r="J11" s="5"/>
      <c r="K11" s="5"/>
      <c r="L11" s="5"/>
      <c r="M11" s="20"/>
      <c r="S11" s="54"/>
      <c r="W11" s="3" t="s">
        <v>7</v>
      </c>
      <c r="X11" s="3">
        <v>2.7299E-2</v>
      </c>
    </row>
    <row r="12" spans="2:24" x14ac:dyDescent="0.2">
      <c r="B12" s="98"/>
      <c r="C12" s="176"/>
      <c r="D12" s="88"/>
      <c r="E12" s="5"/>
      <c r="F12" s="5"/>
      <c r="G12" s="5"/>
      <c r="J12" s="5"/>
      <c r="K12" s="5"/>
      <c r="L12" s="5"/>
      <c r="M12" s="20"/>
      <c r="S12" s="54"/>
      <c r="W12" s="3" t="s">
        <v>26</v>
      </c>
      <c r="X12" s="3">
        <v>2.5925E-2</v>
      </c>
    </row>
    <row r="13" spans="2:24" ht="15.75" x14ac:dyDescent="0.2">
      <c r="B13" s="98"/>
      <c r="C13" s="177" t="s">
        <v>20</v>
      </c>
      <c r="D13" s="194">
        <v>-5.6080000000000001E-3</v>
      </c>
      <c r="E13" s="5"/>
      <c r="F13" s="5"/>
      <c r="G13" s="5"/>
      <c r="J13" s="5"/>
      <c r="K13" s="5"/>
      <c r="L13" s="5"/>
      <c r="M13" s="20"/>
      <c r="S13" s="54"/>
      <c r="W13" s="3" t="s">
        <v>8</v>
      </c>
      <c r="X13" s="3">
        <v>2.3822000000000003E-2</v>
      </c>
    </row>
    <row r="14" spans="2:24" x14ac:dyDescent="0.2">
      <c r="B14" s="98"/>
      <c r="C14" s="176"/>
      <c r="D14" s="88"/>
      <c r="E14" s="5"/>
      <c r="F14" s="5"/>
      <c r="G14" s="5"/>
      <c r="H14" s="5"/>
      <c r="I14" s="5"/>
      <c r="J14" s="5"/>
      <c r="K14" s="5"/>
      <c r="L14" s="5"/>
      <c r="M14" s="20"/>
      <c r="S14" s="54"/>
      <c r="W14" s="3" t="s">
        <v>25</v>
      </c>
      <c r="X14" s="3">
        <v>2.3753E-2</v>
      </c>
    </row>
    <row r="15" spans="2:24" ht="15.75" x14ac:dyDescent="0.2">
      <c r="B15" s="98"/>
      <c r="C15" s="178"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51"/>
      <c r="D22" s="251"/>
      <c r="E22" s="251"/>
      <c r="F22" s="251"/>
      <c r="G22" s="251"/>
      <c r="H22" s="251"/>
      <c r="I22" s="251"/>
      <c r="J22" s="251"/>
      <c r="K22" s="251"/>
      <c r="L22" s="251"/>
      <c r="M22" s="252"/>
      <c r="S22" s="54"/>
    </row>
    <row r="23" spans="2:24" ht="15.75" thickBot="1" x14ac:dyDescent="0.25">
      <c r="S23" s="54"/>
    </row>
    <row r="24" spans="2:24" ht="15" customHeight="1" x14ac:dyDescent="0.2">
      <c r="B24" s="253" t="s">
        <v>202</v>
      </c>
      <c r="C24" s="254"/>
      <c r="D24" s="254"/>
      <c r="E24" s="254"/>
      <c r="F24" s="254"/>
      <c r="G24" s="254"/>
      <c r="H24" s="254"/>
      <c r="I24" s="254"/>
      <c r="J24" s="254"/>
      <c r="K24" s="254"/>
      <c r="L24" s="254"/>
      <c r="M24" s="254"/>
      <c r="N24" s="255"/>
      <c r="S24" s="54"/>
    </row>
    <row r="25" spans="2:24" ht="15.75" customHeight="1" x14ac:dyDescent="0.2">
      <c r="B25" s="256"/>
      <c r="C25" s="257"/>
      <c r="D25" s="257"/>
      <c r="E25" s="257"/>
      <c r="F25" s="257"/>
      <c r="G25" s="257"/>
      <c r="H25" s="257"/>
      <c r="I25" s="257"/>
      <c r="J25" s="257"/>
      <c r="K25" s="257"/>
      <c r="L25" s="257"/>
      <c r="M25" s="257"/>
      <c r="N25" s="258"/>
      <c r="S25" s="54"/>
    </row>
    <row r="26" spans="2:24" ht="15.75" customHeight="1" x14ac:dyDescent="0.2">
      <c r="B26" s="256"/>
      <c r="C26" s="257"/>
      <c r="D26" s="257"/>
      <c r="E26" s="257"/>
      <c r="F26" s="257"/>
      <c r="G26" s="257"/>
      <c r="H26" s="257"/>
      <c r="I26" s="257"/>
      <c r="J26" s="257"/>
      <c r="K26" s="257"/>
      <c r="L26" s="257"/>
      <c r="M26" s="257"/>
      <c r="N26" s="258"/>
      <c r="S26" s="54"/>
    </row>
    <row r="27" spans="2:24" ht="15.75" customHeight="1" x14ac:dyDescent="0.2">
      <c r="B27" s="256"/>
      <c r="C27" s="257"/>
      <c r="D27" s="257"/>
      <c r="E27" s="257"/>
      <c r="F27" s="257"/>
      <c r="G27" s="257"/>
      <c r="H27" s="257"/>
      <c r="I27" s="257"/>
      <c r="J27" s="257"/>
      <c r="K27" s="257"/>
      <c r="L27" s="257"/>
      <c r="M27" s="257"/>
      <c r="N27" s="258"/>
      <c r="S27" s="54"/>
    </row>
    <row r="28" spans="2:24" ht="15.75" customHeight="1" x14ac:dyDescent="0.2">
      <c r="B28" s="256"/>
      <c r="C28" s="257"/>
      <c r="D28" s="257"/>
      <c r="E28" s="257"/>
      <c r="F28" s="257"/>
      <c r="G28" s="257"/>
      <c r="H28" s="257"/>
      <c r="I28" s="257"/>
      <c r="J28" s="257"/>
      <c r="K28" s="257"/>
      <c r="L28" s="257"/>
      <c r="M28" s="257"/>
      <c r="N28" s="258"/>
      <c r="S28" s="54"/>
    </row>
    <row r="29" spans="2:24" ht="15.75" customHeight="1" x14ac:dyDescent="0.2">
      <c r="B29" s="256"/>
      <c r="C29" s="257"/>
      <c r="D29" s="257"/>
      <c r="E29" s="257"/>
      <c r="F29" s="257"/>
      <c r="G29" s="257"/>
      <c r="H29" s="257"/>
      <c r="I29" s="257"/>
      <c r="J29" s="257"/>
      <c r="K29" s="257"/>
      <c r="L29" s="257"/>
      <c r="M29" s="257"/>
      <c r="N29" s="258"/>
      <c r="S29" s="54"/>
    </row>
    <row r="30" spans="2:24" ht="28.5" customHeight="1" thickBot="1" x14ac:dyDescent="0.25">
      <c r="B30" s="259"/>
      <c r="C30" s="260"/>
      <c r="D30" s="260"/>
      <c r="E30" s="260"/>
      <c r="F30" s="260"/>
      <c r="G30" s="260"/>
      <c r="H30" s="260"/>
      <c r="I30" s="260"/>
      <c r="J30" s="260"/>
      <c r="K30" s="260"/>
      <c r="L30" s="260"/>
      <c r="M30" s="260"/>
      <c r="N30" s="261"/>
      <c r="S30" s="54"/>
    </row>
    <row r="31" spans="2:24" ht="15.75" thickBot="1" x14ac:dyDescent="0.25">
      <c r="S31" s="54"/>
    </row>
    <row r="32" spans="2:24" x14ac:dyDescent="0.2">
      <c r="B32" s="253" t="s">
        <v>99</v>
      </c>
      <c r="C32" s="254"/>
      <c r="D32" s="254"/>
      <c r="E32" s="254"/>
      <c r="F32" s="254"/>
      <c r="G32" s="254"/>
      <c r="H32" s="254"/>
      <c r="I32" s="254"/>
      <c r="J32" s="254"/>
      <c r="K32" s="254"/>
      <c r="L32" s="254"/>
      <c r="M32" s="254"/>
      <c r="N32" s="255"/>
      <c r="S32" s="54"/>
    </row>
    <row r="33" spans="2:19" x14ac:dyDescent="0.2">
      <c r="B33" s="256"/>
      <c r="C33" s="257"/>
      <c r="D33" s="257"/>
      <c r="E33" s="257"/>
      <c r="F33" s="257"/>
      <c r="G33" s="257"/>
      <c r="H33" s="257"/>
      <c r="I33" s="257"/>
      <c r="J33" s="257"/>
      <c r="K33" s="257"/>
      <c r="L33" s="257"/>
      <c r="M33" s="257"/>
      <c r="N33" s="258"/>
      <c r="S33" s="54"/>
    </row>
    <row r="34" spans="2:19" x14ac:dyDescent="0.2">
      <c r="B34" s="256"/>
      <c r="C34" s="257"/>
      <c r="D34" s="257"/>
      <c r="E34" s="257"/>
      <c r="F34" s="257"/>
      <c r="G34" s="257"/>
      <c r="H34" s="257"/>
      <c r="I34" s="257"/>
      <c r="J34" s="257"/>
      <c r="K34" s="257"/>
      <c r="L34" s="257"/>
      <c r="M34" s="257"/>
      <c r="N34" s="258"/>
      <c r="S34" s="54"/>
    </row>
    <row r="35" spans="2:19" x14ac:dyDescent="0.2">
      <c r="B35" s="256"/>
      <c r="C35" s="257"/>
      <c r="D35" s="257"/>
      <c r="E35" s="257"/>
      <c r="F35" s="257"/>
      <c r="G35" s="257"/>
      <c r="H35" s="257"/>
      <c r="I35" s="257"/>
      <c r="J35" s="257"/>
      <c r="K35" s="257"/>
      <c r="L35" s="257"/>
      <c r="M35" s="257"/>
      <c r="N35" s="258"/>
      <c r="S35" s="54"/>
    </row>
    <row r="36" spans="2:19" x14ac:dyDescent="0.2">
      <c r="B36" s="256"/>
      <c r="C36" s="257"/>
      <c r="D36" s="257"/>
      <c r="E36" s="257"/>
      <c r="F36" s="257"/>
      <c r="G36" s="257"/>
      <c r="H36" s="257"/>
      <c r="I36" s="257"/>
      <c r="J36" s="257"/>
      <c r="K36" s="257"/>
      <c r="L36" s="257"/>
      <c r="M36" s="257"/>
      <c r="N36" s="258"/>
      <c r="S36" s="54"/>
    </row>
    <row r="37" spans="2:19" x14ac:dyDescent="0.2">
      <c r="B37" s="256"/>
      <c r="C37" s="257"/>
      <c r="D37" s="257"/>
      <c r="E37" s="257"/>
      <c r="F37" s="257"/>
      <c r="G37" s="257"/>
      <c r="H37" s="257"/>
      <c r="I37" s="257"/>
      <c r="J37" s="257"/>
      <c r="K37" s="257"/>
      <c r="L37" s="257"/>
      <c r="M37" s="257"/>
      <c r="N37" s="258"/>
      <c r="S37" s="54"/>
    </row>
    <row r="38" spans="2:19" ht="15.75" thickBot="1" x14ac:dyDescent="0.25">
      <c r="B38" s="259"/>
      <c r="C38" s="260"/>
      <c r="D38" s="260"/>
      <c r="E38" s="260"/>
      <c r="F38" s="260"/>
      <c r="G38" s="260"/>
      <c r="H38" s="260"/>
      <c r="I38" s="260"/>
      <c r="J38" s="260"/>
      <c r="K38" s="260"/>
      <c r="L38" s="260"/>
      <c r="M38" s="260"/>
      <c r="N38" s="261"/>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2" t="s">
        <v>191</v>
      </c>
      <c r="D3" s="263"/>
      <c r="E3" s="263"/>
      <c r="F3" s="263"/>
      <c r="G3" s="263"/>
      <c r="H3" s="263"/>
      <c r="I3" s="263"/>
      <c r="J3" s="263"/>
      <c r="K3" s="263"/>
      <c r="L3" s="263"/>
      <c r="M3" s="263"/>
      <c r="N3" s="263"/>
      <c r="O3" s="263"/>
      <c r="P3" s="263"/>
      <c r="Q3" s="263"/>
      <c r="R3" s="263"/>
      <c r="S3" s="263"/>
      <c r="T3" s="25"/>
    </row>
    <row r="4" spans="1:24" ht="15.75" customHeight="1" x14ac:dyDescent="0.25">
      <c r="B4" s="69"/>
      <c r="C4" s="72" t="s">
        <v>354</v>
      </c>
      <c r="D4" s="158"/>
      <c r="E4" s="171"/>
      <c r="F4" s="171"/>
      <c r="G4" s="171"/>
      <c r="H4" s="171"/>
      <c r="I4" s="171"/>
      <c r="J4" s="171"/>
      <c r="K4" s="29"/>
      <c r="L4" s="29"/>
      <c r="M4" s="29"/>
      <c r="N4" s="29"/>
      <c r="O4" s="29"/>
      <c r="P4" s="29"/>
      <c r="Q4" s="29"/>
      <c r="R4" s="29"/>
      <c r="S4" s="29"/>
      <c r="T4" s="25"/>
    </row>
    <row r="5" spans="1:24" ht="18" customHeight="1" x14ac:dyDescent="0.25">
      <c r="B5" s="69"/>
      <c r="C5" s="235" t="s">
        <v>355</v>
      </c>
      <c r="D5" s="264" t="s">
        <v>323</v>
      </c>
      <c r="E5" s="264"/>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59" t="s">
        <v>0</v>
      </c>
      <c r="D7" s="160" t="s">
        <v>1</v>
      </c>
      <c r="E7" s="159" t="s">
        <v>2</v>
      </c>
      <c r="F7" s="29"/>
      <c r="G7" s="29"/>
      <c r="H7" s="29"/>
      <c r="I7" s="29"/>
      <c r="J7" s="29"/>
      <c r="K7" s="29"/>
      <c r="L7" s="29"/>
      <c r="M7" s="29"/>
      <c r="N7" s="29"/>
      <c r="O7" s="29"/>
      <c r="P7" s="29"/>
      <c r="Q7" s="29"/>
      <c r="R7" s="29"/>
      <c r="S7" s="29"/>
      <c r="T7" s="25"/>
      <c r="W7" s="40" t="s">
        <v>22</v>
      </c>
      <c r="X7" s="40" t="s">
        <v>2</v>
      </c>
    </row>
    <row r="8" spans="1:24" ht="15" customHeight="1" x14ac:dyDescent="0.25">
      <c r="B8" s="69"/>
      <c r="C8" s="205" t="s">
        <v>31</v>
      </c>
      <c r="D8" s="206" t="s">
        <v>6</v>
      </c>
      <c r="E8" s="207">
        <v>3.4004E-2</v>
      </c>
      <c r="F8" s="141"/>
      <c r="G8" s="29"/>
      <c r="H8" s="29"/>
      <c r="I8" s="29"/>
      <c r="J8" s="29"/>
      <c r="K8" s="29"/>
      <c r="L8" s="29"/>
      <c r="M8" s="29"/>
      <c r="N8" s="29"/>
      <c r="O8" s="29"/>
      <c r="P8" s="29"/>
      <c r="Q8" s="29"/>
      <c r="R8" s="29"/>
      <c r="S8" s="29"/>
      <c r="T8" s="25"/>
      <c r="W8" s="181" t="s">
        <v>3</v>
      </c>
      <c r="X8" s="182">
        <v>0.11633200000000002</v>
      </c>
    </row>
    <row r="9" spans="1:24" ht="15.75" customHeight="1" x14ac:dyDescent="0.25">
      <c r="B9" s="69"/>
      <c r="C9" s="197" t="s">
        <v>29</v>
      </c>
      <c r="D9" s="208" t="s">
        <v>3</v>
      </c>
      <c r="E9" s="209">
        <v>2.7501999999999999E-2</v>
      </c>
      <c r="F9" s="141"/>
      <c r="G9" s="29"/>
      <c r="H9" s="29"/>
      <c r="I9" s="29"/>
      <c r="J9" s="29"/>
      <c r="K9" s="29"/>
      <c r="L9" s="29"/>
      <c r="M9" s="29"/>
      <c r="N9" s="29"/>
      <c r="O9" s="29"/>
      <c r="P9" s="29"/>
      <c r="Q9" s="29"/>
      <c r="R9" s="29"/>
      <c r="S9" s="29"/>
      <c r="T9" s="25"/>
      <c r="W9" s="181" t="s">
        <v>4</v>
      </c>
      <c r="X9" s="182">
        <v>7.6121999999999995E-2</v>
      </c>
    </row>
    <row r="10" spans="1:24" ht="15" customHeight="1" x14ac:dyDescent="0.25">
      <c r="B10" s="69"/>
      <c r="C10" s="197" t="s">
        <v>32</v>
      </c>
      <c r="D10" s="208" t="s">
        <v>3</v>
      </c>
      <c r="E10" s="209">
        <v>2.665E-2</v>
      </c>
      <c r="F10" s="141"/>
      <c r="G10" s="29"/>
      <c r="H10" s="29"/>
      <c r="I10" s="29"/>
      <c r="J10" s="29"/>
      <c r="K10" s="29"/>
      <c r="L10" s="29"/>
      <c r="M10" s="29"/>
      <c r="N10" s="29"/>
      <c r="O10" s="29"/>
      <c r="P10" s="29"/>
      <c r="Q10" s="29"/>
      <c r="R10" s="29"/>
      <c r="S10" s="29"/>
      <c r="T10" s="25"/>
      <c r="W10" s="181" t="s">
        <v>121</v>
      </c>
      <c r="X10" s="182">
        <v>6.0298999999999998E-2</v>
      </c>
    </row>
    <row r="11" spans="1:24" ht="15" customHeight="1" x14ac:dyDescent="0.25">
      <c r="B11" s="69"/>
      <c r="C11" s="197" t="s">
        <v>28</v>
      </c>
      <c r="D11" s="208" t="s">
        <v>117</v>
      </c>
      <c r="E11" s="209">
        <v>2.6318000000000001E-2</v>
      </c>
      <c r="F11" s="141"/>
      <c r="G11" s="29"/>
      <c r="H11" s="29"/>
      <c r="I11" s="29"/>
      <c r="J11" s="29"/>
      <c r="K11" s="29"/>
      <c r="L11" s="29"/>
      <c r="M11" s="29"/>
      <c r="N11" s="29"/>
      <c r="O11" s="29"/>
      <c r="P11" s="29"/>
      <c r="Q11" s="29"/>
      <c r="R11" s="29"/>
      <c r="S11" s="29"/>
      <c r="T11" s="25"/>
      <c r="W11" s="181" t="s">
        <v>120</v>
      </c>
      <c r="X11" s="182">
        <v>5.1637000000000002E-2</v>
      </c>
    </row>
    <row r="12" spans="1:24" ht="15" customHeight="1" x14ac:dyDescent="0.25">
      <c r="B12" s="69"/>
      <c r="C12" s="197" t="s">
        <v>34</v>
      </c>
      <c r="D12" s="208" t="s">
        <v>23</v>
      </c>
      <c r="E12" s="209">
        <v>2.0596E-2</v>
      </c>
      <c r="F12" s="141"/>
      <c r="G12" s="29"/>
      <c r="H12" s="29"/>
      <c r="I12" s="29"/>
      <c r="J12" s="29"/>
      <c r="K12" s="29"/>
      <c r="L12" s="29"/>
      <c r="M12" s="29"/>
      <c r="N12" s="29"/>
      <c r="O12" s="29"/>
      <c r="P12" s="29"/>
      <c r="Q12" s="29"/>
      <c r="R12" s="29"/>
      <c r="S12" s="29"/>
      <c r="T12" s="25"/>
      <c r="W12" s="181" t="s">
        <v>26</v>
      </c>
      <c r="X12" s="182">
        <v>5.0523999999999999E-2</v>
      </c>
    </row>
    <row r="13" spans="1:24" ht="15" customHeight="1" x14ac:dyDescent="0.25">
      <c r="B13" s="69"/>
      <c r="C13" s="197" t="s">
        <v>308</v>
      </c>
      <c r="D13" s="208" t="s">
        <v>123</v>
      </c>
      <c r="E13" s="209">
        <v>1.8383E-2</v>
      </c>
      <c r="F13" s="141"/>
      <c r="G13" s="29"/>
      <c r="H13" s="29"/>
      <c r="I13" s="29"/>
      <c r="J13" s="29"/>
      <c r="K13" s="29"/>
      <c r="L13" s="29"/>
      <c r="M13" s="29"/>
      <c r="N13" s="29"/>
      <c r="O13" s="29"/>
      <c r="P13" s="29"/>
      <c r="Q13" s="29"/>
      <c r="R13" s="29"/>
      <c r="S13" s="29"/>
      <c r="T13" s="25"/>
      <c r="W13" s="181" t="s">
        <v>117</v>
      </c>
      <c r="X13" s="182">
        <v>4.8420000000000005E-2</v>
      </c>
    </row>
    <row r="14" spans="1:24" ht="15" customHeight="1" x14ac:dyDescent="0.25">
      <c r="B14" s="69"/>
      <c r="C14" s="197" t="s">
        <v>284</v>
      </c>
      <c r="D14" s="208" t="s">
        <v>26</v>
      </c>
      <c r="E14" s="209">
        <v>1.7701999999999999E-2</v>
      </c>
      <c r="F14" s="141"/>
      <c r="G14" s="29"/>
      <c r="H14" s="29"/>
      <c r="I14" s="29"/>
      <c r="J14" s="29"/>
      <c r="K14" s="29"/>
      <c r="L14" s="29"/>
      <c r="M14" s="29"/>
      <c r="N14" s="29"/>
      <c r="O14" s="29"/>
      <c r="P14" s="29"/>
      <c r="Q14" s="29"/>
      <c r="R14" s="29"/>
      <c r="S14" s="29"/>
      <c r="T14" s="25"/>
      <c r="W14" s="181" t="s">
        <v>6</v>
      </c>
      <c r="X14" s="182">
        <v>4.7022000000000001E-2</v>
      </c>
    </row>
    <row r="15" spans="1:24" ht="15.75" x14ac:dyDescent="0.25">
      <c r="B15" s="69"/>
      <c r="C15" s="197" t="s">
        <v>84</v>
      </c>
      <c r="D15" s="208" t="s">
        <v>3</v>
      </c>
      <c r="E15" s="209">
        <v>1.753E-2</v>
      </c>
      <c r="F15" s="141"/>
      <c r="G15" s="29"/>
      <c r="H15" s="29"/>
      <c r="I15" s="29"/>
      <c r="J15" s="29"/>
      <c r="K15" s="29"/>
      <c r="L15" s="29"/>
      <c r="M15" s="29"/>
      <c r="N15" s="29"/>
      <c r="O15" s="29"/>
      <c r="P15" s="29"/>
      <c r="Q15" s="29"/>
      <c r="R15" s="29"/>
      <c r="S15" s="29"/>
      <c r="T15" s="25"/>
      <c r="W15" s="181" t="s">
        <v>122</v>
      </c>
      <c r="X15" s="182">
        <v>4.1423000000000001E-2</v>
      </c>
    </row>
    <row r="16" spans="1:24" ht="15" customHeight="1" x14ac:dyDescent="0.25">
      <c r="B16" s="69"/>
      <c r="C16" s="197" t="s">
        <v>309</v>
      </c>
      <c r="D16" s="208" t="s">
        <v>26</v>
      </c>
      <c r="E16" s="209">
        <v>1.5869999999999999E-2</v>
      </c>
      <c r="F16" s="141"/>
      <c r="G16" s="29"/>
      <c r="H16" s="29"/>
      <c r="I16" s="29"/>
      <c r="J16" s="29"/>
      <c r="K16" s="29"/>
      <c r="L16" s="29"/>
      <c r="M16" s="29"/>
      <c r="N16" s="29"/>
      <c r="O16" s="29"/>
      <c r="P16" s="29"/>
      <c r="Q16" s="29"/>
      <c r="R16" s="29"/>
      <c r="S16" s="29"/>
      <c r="T16" s="25"/>
      <c r="W16" s="181" t="s">
        <v>129</v>
      </c>
      <c r="X16" s="182">
        <v>4.1024999999999999E-2</v>
      </c>
    </row>
    <row r="17" spans="2:24" ht="15.75" x14ac:dyDescent="0.25">
      <c r="B17" s="69"/>
      <c r="C17" s="197" t="s">
        <v>251</v>
      </c>
      <c r="D17" s="208" t="s">
        <v>134</v>
      </c>
      <c r="E17" s="209">
        <v>1.4975E-2</v>
      </c>
      <c r="F17" s="141"/>
      <c r="G17" s="29"/>
      <c r="H17" s="29"/>
      <c r="I17" s="29"/>
      <c r="J17" s="29"/>
      <c r="K17" s="29"/>
      <c r="L17" s="29"/>
      <c r="M17" s="29"/>
      <c r="N17" s="29"/>
      <c r="O17" s="29"/>
      <c r="P17" s="29"/>
      <c r="Q17" s="29"/>
      <c r="R17" s="29"/>
      <c r="S17" s="29"/>
      <c r="T17" s="25"/>
      <c r="W17" s="181" t="s">
        <v>123</v>
      </c>
      <c r="X17" s="182">
        <v>3.9886999999999999E-2</v>
      </c>
    </row>
    <row r="18" spans="2:24" ht="15.75" x14ac:dyDescent="0.25">
      <c r="B18" s="69"/>
      <c r="C18" s="197" t="s">
        <v>30</v>
      </c>
      <c r="D18" s="208" t="s">
        <v>127</v>
      </c>
      <c r="E18" s="209">
        <v>1.4827E-2</v>
      </c>
      <c r="F18" s="141"/>
      <c r="G18" s="29"/>
      <c r="H18" s="29"/>
      <c r="I18" s="29"/>
      <c r="J18" s="29"/>
      <c r="K18" s="29"/>
      <c r="L18" s="29"/>
      <c r="M18" s="29"/>
      <c r="N18" s="29"/>
      <c r="O18" s="29"/>
      <c r="P18" s="29"/>
      <c r="Q18" s="29"/>
      <c r="R18" s="29"/>
      <c r="S18" s="29"/>
      <c r="T18" s="25"/>
      <c r="W18" s="181" t="s">
        <v>134</v>
      </c>
      <c r="X18" s="182">
        <v>3.2753000000000004E-2</v>
      </c>
    </row>
    <row r="19" spans="2:24" ht="15.75" x14ac:dyDescent="0.25">
      <c r="B19" s="69"/>
      <c r="C19" s="197" t="s">
        <v>285</v>
      </c>
      <c r="D19" s="208" t="s">
        <v>123</v>
      </c>
      <c r="E19" s="209">
        <v>1.4788000000000001E-2</v>
      </c>
      <c r="F19" s="141"/>
      <c r="G19" s="29"/>
      <c r="H19" s="29"/>
      <c r="I19" s="29"/>
      <c r="J19" s="29"/>
      <c r="K19" s="29"/>
      <c r="L19" s="29"/>
      <c r="M19" s="29"/>
      <c r="N19" s="29"/>
      <c r="O19" s="29"/>
      <c r="P19" s="29"/>
      <c r="Q19" s="29"/>
      <c r="R19" s="29"/>
      <c r="S19" s="29"/>
      <c r="T19" s="25"/>
      <c r="W19" s="181" t="s">
        <v>11</v>
      </c>
      <c r="X19" s="182">
        <v>3.2538999999999998E-2</v>
      </c>
    </row>
    <row r="20" spans="2:24" ht="15" customHeight="1" x14ac:dyDescent="0.25">
      <c r="B20" s="69"/>
      <c r="C20" s="197" t="s">
        <v>71</v>
      </c>
      <c r="D20" s="208" t="s">
        <v>4</v>
      </c>
      <c r="E20" s="209">
        <v>1.4227999999999999E-2</v>
      </c>
      <c r="F20" s="141"/>
      <c r="G20" s="29"/>
      <c r="H20" s="29"/>
      <c r="I20" s="29"/>
      <c r="J20" s="29"/>
      <c r="K20" s="29"/>
      <c r="L20" s="29"/>
      <c r="M20" s="29"/>
      <c r="N20" s="29"/>
      <c r="O20" s="29"/>
      <c r="P20" s="29"/>
      <c r="Q20" s="29"/>
      <c r="R20" s="29"/>
      <c r="S20" s="29"/>
      <c r="T20" s="25"/>
      <c r="W20" s="181" t="s">
        <v>23</v>
      </c>
      <c r="X20" s="182">
        <v>3.2159E-2</v>
      </c>
    </row>
    <row r="21" spans="2:24" ht="17.25" customHeight="1" x14ac:dyDescent="0.25">
      <c r="B21" s="69"/>
      <c r="C21" s="197" t="s">
        <v>62</v>
      </c>
      <c r="D21" s="208" t="s">
        <v>10</v>
      </c>
      <c r="E21" s="209">
        <v>1.3827000000000001E-2</v>
      </c>
      <c r="F21" s="141"/>
      <c r="G21" s="29"/>
      <c r="H21" s="29"/>
      <c r="I21" s="29"/>
      <c r="J21" s="29"/>
      <c r="K21" s="29"/>
      <c r="L21" s="29"/>
      <c r="M21" s="29"/>
      <c r="N21" s="29"/>
      <c r="O21" s="29"/>
      <c r="P21" s="29"/>
      <c r="Q21" s="29"/>
      <c r="R21" s="29"/>
      <c r="S21" s="29"/>
      <c r="T21" s="25"/>
      <c r="W21" s="181" t="s">
        <v>91</v>
      </c>
      <c r="X21" s="182">
        <v>2.9241E-2</v>
      </c>
    </row>
    <row r="22" spans="2:24" ht="15" customHeight="1" x14ac:dyDescent="0.25">
      <c r="B22" s="69"/>
      <c r="C22" s="197" t="s">
        <v>102</v>
      </c>
      <c r="D22" s="208" t="s">
        <v>122</v>
      </c>
      <c r="E22" s="209">
        <v>1.3662000000000001E-2</v>
      </c>
      <c r="F22" s="141"/>
      <c r="G22" s="29"/>
      <c r="H22" s="29"/>
      <c r="I22" s="29"/>
      <c r="J22" s="29"/>
      <c r="K22" s="29"/>
      <c r="L22" s="29"/>
      <c r="M22" s="29"/>
      <c r="N22" s="29"/>
      <c r="O22" s="29"/>
      <c r="P22" s="29"/>
      <c r="Q22" s="29"/>
      <c r="R22" s="29"/>
      <c r="S22" s="29"/>
      <c r="T22" s="25"/>
      <c r="W22" s="181" t="s">
        <v>10</v>
      </c>
      <c r="X22" s="182">
        <v>2.7300999999999999E-2</v>
      </c>
    </row>
    <row r="23" spans="2:24" ht="15" customHeight="1" x14ac:dyDescent="0.25">
      <c r="B23" s="69"/>
      <c r="C23" s="87"/>
      <c r="D23" s="87"/>
      <c r="E23" s="88"/>
      <c r="F23" s="141"/>
      <c r="G23" s="29"/>
      <c r="H23" s="29"/>
      <c r="I23" s="29"/>
      <c r="J23" s="29"/>
      <c r="K23" s="29"/>
      <c r="L23" s="29"/>
      <c r="M23" s="29"/>
      <c r="N23" s="29"/>
      <c r="O23" s="29"/>
      <c r="P23" s="29"/>
      <c r="Q23" s="29"/>
      <c r="R23" s="29"/>
      <c r="S23" s="29"/>
      <c r="T23" s="25"/>
      <c r="W23" s="181" t="s">
        <v>24</v>
      </c>
      <c r="X23" s="182">
        <v>2.6375000000000003E-2</v>
      </c>
    </row>
    <row r="24" spans="2:24" ht="15" customHeight="1" x14ac:dyDescent="0.25">
      <c r="B24" s="69"/>
      <c r="C24" s="172" t="s">
        <v>55</v>
      </c>
      <c r="D24" s="173"/>
      <c r="E24" s="174">
        <f>SUM(E8:E22)</f>
        <v>0.29086199999999995</v>
      </c>
      <c r="F24" s="29"/>
      <c r="G24" s="29"/>
      <c r="H24" s="29"/>
      <c r="I24" s="29"/>
      <c r="J24" s="29"/>
      <c r="K24" s="29"/>
      <c r="L24" s="29"/>
      <c r="M24" s="29"/>
      <c r="N24" s="29"/>
      <c r="O24" s="29"/>
      <c r="P24" s="29"/>
      <c r="Q24" s="29"/>
      <c r="R24" s="29"/>
      <c r="S24" s="29"/>
      <c r="T24" s="25"/>
      <c r="W24" s="181" t="s">
        <v>16</v>
      </c>
      <c r="X24" s="182">
        <v>2.3542E-2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1" t="s">
        <v>90</v>
      </c>
      <c r="X25" s="182">
        <v>1.7693E-2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1" t="s">
        <v>127</v>
      </c>
      <c r="X26" s="182">
        <v>1.4827E-2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1" t="s">
        <v>88</v>
      </c>
      <c r="X27" s="182">
        <v>1.4389000000000001E-2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1" t="s">
        <v>13</v>
      </c>
      <c r="X28" s="182">
        <v>1.3948E-2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1" t="s">
        <v>126</v>
      </c>
      <c r="X29" s="182">
        <v>1.2731000000000001E-2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1" t="s">
        <v>25</v>
      </c>
      <c r="X30" s="182">
        <v>1.1265000000000001E-2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1" t="s">
        <v>12</v>
      </c>
      <c r="X31" s="182">
        <v>1.0741000000000001E-2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1" t="s">
        <v>136</v>
      </c>
      <c r="X32" s="182">
        <v>1.0186000000000001E-2</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1" t="s">
        <v>82</v>
      </c>
      <c r="X33" s="182">
        <v>9.0900000000000009E-3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1" t="s">
        <v>209</v>
      </c>
      <c r="X34" s="182">
        <v>9.018E-3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1" t="s">
        <v>124</v>
      </c>
      <c r="X35" s="182">
        <v>8.9680000000000003E-3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1" t="s">
        <v>133</v>
      </c>
      <c r="X36" s="182">
        <v>8.5579999999999996E-3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1" t="s">
        <v>161</v>
      </c>
      <c r="X37" s="182">
        <v>7.1939999999999999E-3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1" t="s">
        <v>116</v>
      </c>
      <c r="X38" s="182">
        <v>5.078E-3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1" t="s">
        <v>89</v>
      </c>
      <c r="X39" s="182">
        <v>4.7460000000000002E-3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40" t="s">
        <v>92</v>
      </c>
      <c r="X40" s="182">
        <v>4.6470000000000001E-3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X41" s="163"/>
    </row>
    <row r="42" spans="2:24" ht="15" customHeight="1" x14ac:dyDescent="0.25">
      <c r="B42" s="253" t="s">
        <v>202</v>
      </c>
      <c r="C42" s="254"/>
      <c r="D42" s="254"/>
      <c r="E42" s="254"/>
      <c r="F42" s="254"/>
      <c r="G42" s="254"/>
      <c r="H42" s="254"/>
      <c r="I42" s="254"/>
      <c r="J42" s="254"/>
      <c r="K42" s="254"/>
      <c r="L42" s="254"/>
      <c r="M42" s="254"/>
      <c r="N42" s="254"/>
      <c r="O42" s="254"/>
      <c r="P42" s="254"/>
      <c r="Q42" s="254"/>
      <c r="R42" s="255"/>
      <c r="T42" s="29"/>
      <c r="X42" s="163"/>
    </row>
    <row r="43" spans="2:24" ht="15" customHeight="1" x14ac:dyDescent="0.25">
      <c r="B43" s="256"/>
      <c r="C43" s="257"/>
      <c r="D43" s="257"/>
      <c r="E43" s="257"/>
      <c r="F43" s="257"/>
      <c r="G43" s="257"/>
      <c r="H43" s="257"/>
      <c r="I43" s="257"/>
      <c r="J43" s="257"/>
      <c r="K43" s="257"/>
      <c r="L43" s="257"/>
      <c r="M43" s="257"/>
      <c r="N43" s="257"/>
      <c r="O43" s="257"/>
      <c r="P43" s="257"/>
      <c r="Q43" s="257"/>
      <c r="R43" s="258"/>
      <c r="T43" s="29"/>
    </row>
    <row r="44" spans="2:24" ht="15" customHeight="1" x14ac:dyDescent="0.25">
      <c r="B44" s="256"/>
      <c r="C44" s="257"/>
      <c r="D44" s="257"/>
      <c r="E44" s="257"/>
      <c r="F44" s="257"/>
      <c r="G44" s="257"/>
      <c r="H44" s="257"/>
      <c r="I44" s="257"/>
      <c r="J44" s="257"/>
      <c r="K44" s="257"/>
      <c r="L44" s="257"/>
      <c r="M44" s="257"/>
      <c r="N44" s="257"/>
      <c r="O44" s="257"/>
      <c r="P44" s="257"/>
      <c r="Q44" s="257"/>
      <c r="R44" s="258"/>
      <c r="T44" s="29"/>
    </row>
    <row r="45" spans="2:24" ht="15" customHeight="1" x14ac:dyDescent="0.25">
      <c r="B45" s="256"/>
      <c r="C45" s="257"/>
      <c r="D45" s="257"/>
      <c r="E45" s="257"/>
      <c r="F45" s="257"/>
      <c r="G45" s="257"/>
      <c r="H45" s="257"/>
      <c r="I45" s="257"/>
      <c r="J45" s="257"/>
      <c r="K45" s="257"/>
      <c r="L45" s="257"/>
      <c r="M45" s="257"/>
      <c r="N45" s="257"/>
      <c r="O45" s="257"/>
      <c r="P45" s="257"/>
      <c r="Q45" s="257"/>
      <c r="R45" s="258"/>
      <c r="T45" s="29"/>
    </row>
    <row r="46" spans="2:24" ht="15" customHeight="1" x14ac:dyDescent="0.25">
      <c r="B46" s="256"/>
      <c r="C46" s="257"/>
      <c r="D46" s="257"/>
      <c r="E46" s="257"/>
      <c r="F46" s="257"/>
      <c r="G46" s="257"/>
      <c r="H46" s="257"/>
      <c r="I46" s="257"/>
      <c r="J46" s="257"/>
      <c r="K46" s="257"/>
      <c r="L46" s="257"/>
      <c r="M46" s="257"/>
      <c r="N46" s="257"/>
      <c r="O46" s="257"/>
      <c r="P46" s="257"/>
      <c r="Q46" s="257"/>
      <c r="R46" s="258"/>
      <c r="T46" s="29"/>
    </row>
    <row r="47" spans="2:24" ht="15" customHeight="1" x14ac:dyDescent="0.25">
      <c r="B47" s="256"/>
      <c r="C47" s="257"/>
      <c r="D47" s="257"/>
      <c r="E47" s="257"/>
      <c r="F47" s="257"/>
      <c r="G47" s="257"/>
      <c r="H47" s="257"/>
      <c r="I47" s="257"/>
      <c r="J47" s="257"/>
      <c r="K47" s="257"/>
      <c r="L47" s="257"/>
      <c r="M47" s="257"/>
      <c r="N47" s="257"/>
      <c r="O47" s="257"/>
      <c r="P47" s="257"/>
      <c r="Q47" s="257"/>
      <c r="R47" s="258"/>
      <c r="T47" s="29"/>
    </row>
    <row r="48" spans="2:24" ht="15" customHeight="1" thickBot="1" x14ac:dyDescent="0.3">
      <c r="B48" s="259"/>
      <c r="C48" s="260"/>
      <c r="D48" s="260"/>
      <c r="E48" s="260"/>
      <c r="F48" s="260"/>
      <c r="G48" s="260"/>
      <c r="H48" s="260"/>
      <c r="I48" s="260"/>
      <c r="J48" s="260"/>
      <c r="K48" s="260"/>
      <c r="L48" s="260"/>
      <c r="M48" s="260"/>
      <c r="N48" s="260"/>
      <c r="O48" s="260"/>
      <c r="P48" s="260"/>
      <c r="Q48" s="260"/>
      <c r="R48" s="261"/>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2" t="s">
        <v>190</v>
      </c>
      <c r="D3" s="263"/>
      <c r="E3" s="263"/>
      <c r="F3" s="263"/>
      <c r="G3" s="263"/>
      <c r="H3" s="263"/>
      <c r="I3" s="263"/>
      <c r="J3" s="263"/>
      <c r="K3" s="263"/>
      <c r="L3" s="263"/>
      <c r="M3" s="263"/>
      <c r="N3" s="263"/>
      <c r="O3" s="263"/>
      <c r="P3" s="263"/>
      <c r="Q3" s="263"/>
      <c r="R3" s="263"/>
      <c r="S3" s="263"/>
      <c r="T3" s="25"/>
    </row>
    <row r="4" spans="1:24" ht="15.75" customHeight="1" x14ac:dyDescent="0.25">
      <c r="B4" s="69"/>
      <c r="C4" s="72" t="s">
        <v>354</v>
      </c>
      <c r="D4" s="158"/>
      <c r="E4" s="29"/>
      <c r="F4" s="29"/>
      <c r="G4" s="29"/>
      <c r="H4" s="29"/>
      <c r="I4" s="29"/>
      <c r="J4" s="29"/>
      <c r="K4" s="29"/>
      <c r="L4" s="29"/>
      <c r="M4" s="29"/>
      <c r="N4" s="29"/>
      <c r="O4" s="29"/>
      <c r="P4" s="29"/>
      <c r="Q4" s="29"/>
      <c r="R4" s="29"/>
      <c r="S4" s="29"/>
      <c r="T4" s="25"/>
    </row>
    <row r="5" spans="1:24" ht="18" customHeight="1" x14ac:dyDescent="0.25">
      <c r="B5" s="69"/>
      <c r="C5" s="235" t="s">
        <v>355</v>
      </c>
      <c r="D5" s="264" t="s">
        <v>324</v>
      </c>
      <c r="E5" s="264"/>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13" t="s">
        <v>32</v>
      </c>
      <c r="D8" s="206" t="s">
        <v>3</v>
      </c>
      <c r="E8" s="207">
        <v>9.0194999999999997E-2</v>
      </c>
      <c r="F8" s="29"/>
      <c r="G8" s="29"/>
      <c r="H8" s="29"/>
      <c r="I8" s="29"/>
      <c r="J8" s="29"/>
      <c r="K8" s="29"/>
      <c r="L8" s="29"/>
      <c r="M8" s="29"/>
      <c r="N8" s="29"/>
      <c r="O8" s="29"/>
      <c r="P8" s="29"/>
      <c r="Q8" s="29"/>
      <c r="R8" s="29"/>
      <c r="S8" s="29"/>
      <c r="T8" s="25"/>
      <c r="W8" s="181" t="s">
        <v>3</v>
      </c>
      <c r="X8" s="182">
        <v>0.22850299999999998</v>
      </c>
    </row>
    <row r="9" spans="1:24" ht="15.75" customHeight="1" x14ac:dyDescent="0.25">
      <c r="B9" s="69"/>
      <c r="C9" s="214" t="s">
        <v>31</v>
      </c>
      <c r="D9" s="208" t="s">
        <v>6</v>
      </c>
      <c r="E9" s="209">
        <v>8.8383000000000003E-2</v>
      </c>
      <c r="F9" s="29"/>
      <c r="G9" s="29"/>
      <c r="H9" s="29"/>
      <c r="I9" s="29"/>
      <c r="J9" s="29"/>
      <c r="K9" s="29"/>
      <c r="L9" s="29"/>
      <c r="M9" s="29"/>
      <c r="N9" s="29"/>
      <c r="O9" s="29"/>
      <c r="P9" s="29"/>
      <c r="Q9" s="29"/>
      <c r="R9" s="29"/>
      <c r="S9" s="29"/>
      <c r="T9" s="25"/>
      <c r="W9" s="181" t="s">
        <v>117</v>
      </c>
      <c r="X9" s="182">
        <v>0.10847400000000001</v>
      </c>
    </row>
    <row r="10" spans="1:24" ht="15" customHeight="1" x14ac:dyDescent="0.25">
      <c r="B10" s="69"/>
      <c r="C10" s="214" t="s">
        <v>29</v>
      </c>
      <c r="D10" s="208" t="s">
        <v>3</v>
      </c>
      <c r="E10" s="209">
        <v>6.9034999999999999E-2</v>
      </c>
      <c r="F10" s="29"/>
      <c r="G10" s="29"/>
      <c r="H10" s="29"/>
      <c r="I10" s="29"/>
      <c r="J10" s="29"/>
      <c r="K10" s="29"/>
      <c r="L10" s="29"/>
      <c r="M10" s="29"/>
      <c r="N10" s="29"/>
      <c r="O10" s="29"/>
      <c r="P10" s="29"/>
      <c r="Q10" s="29"/>
      <c r="R10" s="29"/>
      <c r="S10" s="29"/>
      <c r="T10" s="25"/>
      <c r="W10" s="181" t="s">
        <v>122</v>
      </c>
      <c r="X10" s="182">
        <v>0.10629400000000001</v>
      </c>
    </row>
    <row r="11" spans="1:24" ht="15" customHeight="1" x14ac:dyDescent="0.25">
      <c r="B11" s="69"/>
      <c r="C11" s="214" t="s">
        <v>28</v>
      </c>
      <c r="D11" s="208" t="s">
        <v>117</v>
      </c>
      <c r="E11" s="209">
        <v>5.9367000000000003E-2</v>
      </c>
      <c r="F11" s="29"/>
      <c r="G11" s="29"/>
      <c r="H11" s="29"/>
      <c r="I11" s="29"/>
      <c r="J11" s="29"/>
      <c r="K11" s="29"/>
      <c r="L11" s="29"/>
      <c r="M11" s="29"/>
      <c r="N11" s="29"/>
      <c r="O11" s="29"/>
      <c r="P11" s="29"/>
      <c r="Q11" s="29"/>
      <c r="R11" s="29"/>
      <c r="S11" s="29"/>
      <c r="T11" s="25"/>
      <c r="W11" s="181" t="s">
        <v>6</v>
      </c>
      <c r="X11" s="182">
        <v>8.8383000000000003E-2</v>
      </c>
    </row>
    <row r="12" spans="1:24" ht="15" customHeight="1" x14ac:dyDescent="0.25">
      <c r="B12" s="69"/>
      <c r="C12" s="214" t="s">
        <v>34</v>
      </c>
      <c r="D12" s="208" t="s">
        <v>23</v>
      </c>
      <c r="E12" s="209">
        <v>3.9333E-2</v>
      </c>
      <c r="F12" s="29"/>
      <c r="G12" s="29"/>
      <c r="H12" s="29"/>
      <c r="I12" s="29"/>
      <c r="J12" s="29"/>
      <c r="K12" s="29"/>
      <c r="L12" s="29"/>
      <c r="M12" s="29"/>
      <c r="N12" s="29"/>
      <c r="O12" s="29"/>
      <c r="P12" s="29"/>
      <c r="Q12" s="29"/>
      <c r="R12" s="29"/>
      <c r="S12" s="29"/>
      <c r="T12" s="25"/>
      <c r="W12" s="181" t="s">
        <v>4</v>
      </c>
      <c r="X12" s="182">
        <v>5.9028000000000004E-2</v>
      </c>
    </row>
    <row r="13" spans="1:24" ht="15" customHeight="1" x14ac:dyDescent="0.25">
      <c r="B13" s="69"/>
      <c r="C13" s="214" t="s">
        <v>33</v>
      </c>
      <c r="D13" s="208" t="s">
        <v>117</v>
      </c>
      <c r="E13" s="209">
        <v>3.9167E-2</v>
      </c>
      <c r="F13" s="29"/>
      <c r="G13" s="29"/>
      <c r="H13" s="29"/>
      <c r="I13" s="29"/>
      <c r="J13" s="29"/>
      <c r="K13" s="29"/>
      <c r="L13" s="29"/>
      <c r="M13" s="29"/>
      <c r="N13" s="29"/>
      <c r="O13" s="29"/>
      <c r="P13" s="29"/>
      <c r="Q13" s="29"/>
      <c r="R13" s="29"/>
      <c r="S13" s="29"/>
      <c r="T13" s="25"/>
      <c r="W13" s="181" t="s">
        <v>121</v>
      </c>
      <c r="X13" s="182">
        <v>5.4646E-2</v>
      </c>
    </row>
    <row r="14" spans="1:24" ht="15" customHeight="1" x14ac:dyDescent="0.25">
      <c r="B14" s="69"/>
      <c r="C14" s="214" t="s">
        <v>85</v>
      </c>
      <c r="D14" s="208" t="s">
        <v>122</v>
      </c>
      <c r="E14" s="209">
        <v>3.0796E-2</v>
      </c>
      <c r="F14" s="29"/>
      <c r="G14" s="29"/>
      <c r="H14" s="29"/>
      <c r="I14" s="29"/>
      <c r="J14" s="29"/>
      <c r="K14" s="29"/>
      <c r="L14" s="29"/>
      <c r="M14" s="29"/>
      <c r="N14" s="29"/>
      <c r="O14" s="29"/>
      <c r="P14" s="29"/>
      <c r="Q14" s="29"/>
      <c r="R14" s="29"/>
      <c r="S14" s="29"/>
      <c r="T14" s="25"/>
      <c r="W14" s="181" t="s">
        <v>23</v>
      </c>
      <c r="X14" s="182">
        <v>3.9333E-2</v>
      </c>
    </row>
    <row r="15" spans="1:24" ht="15" customHeight="1" x14ac:dyDescent="0.25">
      <c r="B15" s="69"/>
      <c r="C15" s="214" t="s">
        <v>77</v>
      </c>
      <c r="D15" s="208" t="s">
        <v>121</v>
      </c>
      <c r="E15" s="209">
        <v>3.0779999999999998E-2</v>
      </c>
      <c r="F15" s="29"/>
      <c r="G15" s="29"/>
      <c r="H15" s="29"/>
      <c r="I15" s="29"/>
      <c r="J15" s="29"/>
      <c r="K15" s="29"/>
      <c r="L15" s="29"/>
      <c r="M15" s="29"/>
      <c r="N15" s="29"/>
      <c r="O15" s="29"/>
      <c r="P15" s="29"/>
      <c r="Q15" s="29"/>
      <c r="R15" s="29"/>
      <c r="S15" s="29"/>
      <c r="T15" s="25"/>
      <c r="W15" s="181" t="s">
        <v>91</v>
      </c>
      <c r="X15" s="182">
        <v>3.0786000000000001E-2</v>
      </c>
    </row>
    <row r="16" spans="1:24" ht="15" customHeight="1" x14ac:dyDescent="0.25">
      <c r="B16" s="69"/>
      <c r="C16" s="214" t="s">
        <v>225</v>
      </c>
      <c r="D16" s="208" t="s">
        <v>116</v>
      </c>
      <c r="E16" s="209">
        <v>3.0488000000000001E-2</v>
      </c>
      <c r="F16" s="29"/>
      <c r="G16" s="29"/>
      <c r="H16" s="29"/>
      <c r="I16" s="29"/>
      <c r="J16" s="29"/>
      <c r="K16" s="29"/>
      <c r="L16" s="29"/>
      <c r="M16" s="29"/>
      <c r="N16" s="29"/>
      <c r="O16" s="29"/>
      <c r="P16" s="29"/>
      <c r="Q16" s="29"/>
      <c r="R16" s="29"/>
      <c r="S16" s="29"/>
      <c r="T16" s="25"/>
      <c r="W16" s="181" t="s">
        <v>116</v>
      </c>
      <c r="X16" s="182">
        <v>3.0488000000000001E-2</v>
      </c>
    </row>
    <row r="17" spans="2:24" ht="15" customHeight="1" x14ac:dyDescent="0.25">
      <c r="B17" s="69"/>
      <c r="C17" s="214" t="s">
        <v>155</v>
      </c>
      <c r="D17" s="208" t="s">
        <v>122</v>
      </c>
      <c r="E17" s="209">
        <v>3.0227E-2</v>
      </c>
      <c r="F17" s="29"/>
      <c r="G17" s="29"/>
      <c r="H17" s="29"/>
      <c r="I17" s="29"/>
      <c r="J17" s="29"/>
      <c r="K17" s="29"/>
      <c r="L17" s="29"/>
      <c r="M17" s="29"/>
      <c r="N17" s="29"/>
      <c r="O17" s="29"/>
      <c r="P17" s="29"/>
      <c r="Q17" s="29"/>
      <c r="R17" s="29"/>
      <c r="S17" s="29"/>
      <c r="T17" s="25"/>
      <c r="W17" s="181" t="s">
        <v>127</v>
      </c>
      <c r="X17" s="182">
        <v>2.8892999999999999E-2</v>
      </c>
    </row>
    <row r="18" spans="2:24" ht="15" customHeight="1" x14ac:dyDescent="0.25">
      <c r="B18" s="69"/>
      <c r="C18" s="214" t="s">
        <v>36</v>
      </c>
      <c r="D18" s="208" t="s">
        <v>3</v>
      </c>
      <c r="E18" s="209">
        <v>2.9367000000000001E-2</v>
      </c>
      <c r="F18" s="29"/>
      <c r="G18" s="29"/>
      <c r="H18" s="29"/>
      <c r="I18" s="29"/>
      <c r="J18" s="29"/>
      <c r="K18" s="29"/>
      <c r="L18" s="29"/>
      <c r="M18" s="29"/>
      <c r="N18" s="29"/>
      <c r="O18" s="29"/>
      <c r="P18" s="29"/>
      <c r="Q18" s="29"/>
      <c r="R18" s="29"/>
      <c r="S18" s="29"/>
      <c r="T18" s="25"/>
      <c r="W18" s="181" t="s">
        <v>123</v>
      </c>
      <c r="X18" s="182">
        <v>2.3630999999999999E-2</v>
      </c>
    </row>
    <row r="19" spans="2:24" ht="15" customHeight="1" x14ac:dyDescent="0.25">
      <c r="B19" s="69"/>
      <c r="C19" s="214" t="s">
        <v>30</v>
      </c>
      <c r="D19" s="208" t="s">
        <v>127</v>
      </c>
      <c r="E19" s="209">
        <v>2.8892999999999999E-2</v>
      </c>
      <c r="F19" s="29"/>
      <c r="G19" s="29"/>
      <c r="H19" s="29"/>
      <c r="I19" s="29"/>
      <c r="J19" s="29"/>
      <c r="K19" s="29"/>
      <c r="L19" s="29"/>
      <c r="M19" s="29"/>
      <c r="N19" s="29"/>
      <c r="O19" s="29"/>
      <c r="P19" s="29"/>
      <c r="Q19" s="29"/>
      <c r="R19" s="29"/>
      <c r="S19" s="29"/>
      <c r="T19" s="25"/>
      <c r="W19" s="181" t="s">
        <v>16</v>
      </c>
      <c r="X19" s="182">
        <v>2.3088999999999998E-2</v>
      </c>
    </row>
    <row r="20" spans="2:24" ht="15" customHeight="1" x14ac:dyDescent="0.25">
      <c r="B20" s="69"/>
      <c r="C20" s="214" t="s">
        <v>252</v>
      </c>
      <c r="D20" s="208" t="s">
        <v>121</v>
      </c>
      <c r="E20" s="209">
        <v>2.3865999999999998E-2</v>
      </c>
      <c r="F20" s="29"/>
      <c r="G20" s="29"/>
      <c r="H20" s="29"/>
      <c r="I20" s="29"/>
      <c r="J20" s="29"/>
      <c r="K20" s="29"/>
      <c r="L20" s="29"/>
      <c r="M20" s="29"/>
      <c r="N20" s="29"/>
      <c r="O20" s="29"/>
      <c r="P20" s="29"/>
      <c r="Q20" s="29"/>
      <c r="R20" s="29"/>
      <c r="S20" s="29"/>
      <c r="T20" s="25"/>
      <c r="W20" s="181" t="s">
        <v>26</v>
      </c>
      <c r="X20" s="182">
        <v>2.0708000000000001E-2</v>
      </c>
    </row>
    <row r="21" spans="2:24" ht="15" customHeight="1" x14ac:dyDescent="0.25">
      <c r="B21" s="69"/>
      <c r="C21" s="214" t="s">
        <v>148</v>
      </c>
      <c r="D21" s="208" t="s">
        <v>16</v>
      </c>
      <c r="E21" s="209">
        <v>2.3088999999999998E-2</v>
      </c>
      <c r="F21" s="29"/>
      <c r="G21" s="29"/>
      <c r="H21" s="29"/>
      <c r="I21" s="29"/>
      <c r="J21" s="29"/>
      <c r="K21" s="29"/>
      <c r="L21" s="29"/>
      <c r="M21" s="29"/>
      <c r="N21" s="29"/>
      <c r="O21" s="29"/>
      <c r="P21" s="29"/>
      <c r="Q21" s="29"/>
      <c r="R21" s="29"/>
      <c r="S21" s="29"/>
      <c r="T21" s="25"/>
      <c r="W21" s="181" t="s">
        <v>10</v>
      </c>
      <c r="X21" s="182">
        <v>2.0544E-2</v>
      </c>
    </row>
    <row r="22" spans="2:24" ht="15" customHeight="1" x14ac:dyDescent="0.25">
      <c r="B22" s="69"/>
      <c r="C22" s="214" t="s">
        <v>242</v>
      </c>
      <c r="D22" s="208" t="s">
        <v>4</v>
      </c>
      <c r="E22" s="209">
        <v>2.0834999999999999E-2</v>
      </c>
      <c r="F22" s="29"/>
      <c r="G22" s="29"/>
      <c r="H22" s="29"/>
      <c r="I22" s="29"/>
      <c r="J22" s="29"/>
      <c r="K22" s="29"/>
      <c r="L22" s="29"/>
      <c r="M22" s="29"/>
      <c r="N22" s="29"/>
      <c r="O22" s="29"/>
      <c r="P22" s="29"/>
      <c r="Q22" s="29"/>
      <c r="R22" s="29"/>
      <c r="S22" s="29"/>
      <c r="T22" s="25"/>
      <c r="W22" s="181" t="s">
        <v>141</v>
      </c>
      <c r="X22" s="182">
        <v>2.0226000000000001E-2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1" t="s">
        <v>88</v>
      </c>
      <c r="X23" s="182">
        <v>2.0154000000000002E-2</v>
      </c>
    </row>
    <row r="24" spans="2:24" ht="15" customHeight="1" x14ac:dyDescent="0.25">
      <c r="B24" s="69"/>
      <c r="C24" s="78" t="s">
        <v>55</v>
      </c>
      <c r="D24" s="79"/>
      <c r="E24" s="80">
        <f>SUM(E8:E23)</f>
        <v>0.63382099999999997</v>
      </c>
      <c r="F24" s="29"/>
      <c r="G24" s="29"/>
      <c r="H24" s="29"/>
      <c r="I24" s="29"/>
      <c r="J24" s="29"/>
      <c r="K24" s="29"/>
      <c r="L24" s="29"/>
      <c r="M24" s="29"/>
      <c r="N24" s="29"/>
      <c r="O24" s="29"/>
      <c r="P24" s="29"/>
      <c r="Q24" s="29"/>
      <c r="R24" s="29"/>
      <c r="S24" s="29"/>
      <c r="T24" s="25"/>
      <c r="W24" s="181" t="s">
        <v>137</v>
      </c>
      <c r="X24" s="182">
        <v>2.0028000000000001E-2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1" t="s">
        <v>129</v>
      </c>
      <c r="X25" s="182">
        <v>1.2061000000000001E-2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1" t="s">
        <v>89</v>
      </c>
      <c r="X26" s="182">
        <v>1.1048000000000001E-2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1" t="s">
        <v>92</v>
      </c>
      <c r="X27" s="182">
        <v>1.0088E-2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1" t="s">
        <v>124</v>
      </c>
      <c r="X28" s="182">
        <v>9.9220000000000003E-3</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1"/>
      <c r="X29" s="182"/>
    </row>
    <row r="30" spans="2:24" ht="15" customHeight="1" x14ac:dyDescent="0.25">
      <c r="B30" s="69"/>
      <c r="C30" s="29"/>
      <c r="D30" s="29"/>
      <c r="E30" s="29"/>
      <c r="F30" s="29"/>
      <c r="G30" s="29"/>
      <c r="H30" s="29"/>
      <c r="I30" s="29"/>
      <c r="J30" s="29"/>
      <c r="K30" s="29"/>
      <c r="L30" s="29"/>
      <c r="M30" s="29"/>
      <c r="N30" s="29"/>
      <c r="O30" s="29"/>
      <c r="P30" s="29"/>
      <c r="Q30" s="29"/>
      <c r="R30" s="29"/>
      <c r="S30" s="29"/>
      <c r="T30" s="25"/>
      <c r="W30" s="181"/>
      <c r="X30" s="182"/>
    </row>
    <row r="31" spans="2:24" ht="15" customHeight="1" x14ac:dyDescent="0.25">
      <c r="B31" s="69"/>
      <c r="C31" s="29"/>
      <c r="D31" s="29"/>
      <c r="E31" s="29"/>
      <c r="F31" s="29"/>
      <c r="G31" s="29"/>
      <c r="H31" s="29"/>
      <c r="I31" s="29"/>
      <c r="J31" s="29"/>
      <c r="K31" s="29"/>
      <c r="L31" s="29"/>
      <c r="M31" s="29"/>
      <c r="N31" s="29"/>
      <c r="O31" s="29"/>
      <c r="P31" s="29"/>
      <c r="Q31" s="29"/>
      <c r="R31" s="29"/>
      <c r="S31" s="29"/>
      <c r="T31" s="25"/>
      <c r="W31" s="61"/>
      <c r="X31" s="62"/>
    </row>
    <row r="32" spans="2:24" ht="15" customHeight="1" x14ac:dyDescent="0.25">
      <c r="B32" s="69"/>
      <c r="C32" s="29"/>
      <c r="D32" s="29"/>
      <c r="E32" s="29"/>
      <c r="F32" s="29"/>
      <c r="G32" s="29"/>
      <c r="H32" s="29"/>
      <c r="I32" s="29"/>
      <c r="J32" s="29"/>
      <c r="K32" s="29"/>
      <c r="L32" s="29"/>
      <c r="M32" s="29"/>
      <c r="N32" s="29"/>
      <c r="O32" s="29"/>
      <c r="P32" s="29"/>
      <c r="Q32" s="29"/>
      <c r="R32" s="29"/>
      <c r="S32" s="29"/>
      <c r="T32" s="25"/>
      <c r="W32" s="61"/>
      <c r="X32" s="62"/>
    </row>
    <row r="33" spans="2:24" ht="15" customHeight="1" x14ac:dyDescent="0.25">
      <c r="B33" s="69"/>
      <c r="C33" s="29"/>
      <c r="D33" s="29"/>
      <c r="E33" s="29"/>
      <c r="F33" s="29"/>
      <c r="G33" s="29"/>
      <c r="H33" s="29"/>
      <c r="I33" s="29"/>
      <c r="J33" s="29"/>
      <c r="K33" s="29"/>
      <c r="L33" s="29"/>
      <c r="M33" s="29"/>
      <c r="N33" s="29"/>
      <c r="O33" s="29"/>
      <c r="P33" s="29"/>
      <c r="Q33" s="29"/>
      <c r="R33" s="29"/>
      <c r="S33" s="29"/>
      <c r="T33" s="25"/>
      <c r="W33" s="40"/>
      <c r="X33" s="62"/>
    </row>
    <row r="34" spans="2:24" ht="15" customHeight="1" x14ac:dyDescent="0.25">
      <c r="B34" s="69"/>
      <c r="C34" s="29"/>
      <c r="D34" s="29"/>
      <c r="E34" s="29"/>
      <c r="F34" s="29"/>
      <c r="G34" s="29"/>
      <c r="H34" s="29"/>
      <c r="I34" s="29"/>
      <c r="J34" s="29"/>
      <c r="K34" s="29"/>
      <c r="L34" s="29"/>
      <c r="M34" s="29"/>
      <c r="N34" s="29"/>
      <c r="O34" s="29"/>
      <c r="P34" s="29"/>
      <c r="Q34" s="29"/>
      <c r="R34" s="29"/>
      <c r="S34" s="29"/>
      <c r="T34" s="25"/>
      <c r="W34" s="40"/>
      <c r="X34" s="40"/>
    </row>
    <row r="35" spans="2:24" ht="15" customHeight="1" x14ac:dyDescent="0.25">
      <c r="B35" s="69"/>
      <c r="C35" s="29"/>
      <c r="D35" s="29"/>
      <c r="E35" s="29"/>
      <c r="F35" s="29"/>
      <c r="G35" s="29"/>
      <c r="H35" s="29"/>
      <c r="I35" s="29"/>
      <c r="J35" s="29"/>
      <c r="K35" s="29"/>
      <c r="L35" s="29"/>
      <c r="M35" s="29"/>
      <c r="N35" s="29"/>
      <c r="O35" s="29"/>
      <c r="P35" s="29"/>
      <c r="Q35" s="29"/>
      <c r="R35" s="29"/>
      <c r="S35" s="29"/>
      <c r="T35" s="25"/>
      <c r="W35" s="40"/>
      <c r="X35" s="40"/>
    </row>
    <row r="36" spans="2:24" ht="15" customHeight="1" x14ac:dyDescent="0.25">
      <c r="B36" s="69"/>
      <c r="C36" s="29"/>
      <c r="D36" s="29"/>
      <c r="E36" s="29"/>
      <c r="F36" s="29"/>
      <c r="G36" s="29"/>
      <c r="H36" s="29"/>
      <c r="I36" s="29"/>
      <c r="J36" s="29"/>
      <c r="K36" s="29"/>
      <c r="L36" s="29"/>
      <c r="M36" s="29"/>
      <c r="N36" s="29"/>
      <c r="O36" s="29"/>
      <c r="P36" s="29"/>
      <c r="Q36" s="29"/>
      <c r="R36" s="29"/>
      <c r="S36" s="29"/>
      <c r="T36" s="25"/>
      <c r="W36" s="40"/>
      <c r="X36" s="40"/>
    </row>
    <row r="37" spans="2:24" ht="15" customHeight="1" x14ac:dyDescent="0.25">
      <c r="B37" s="69"/>
      <c r="C37" s="29"/>
      <c r="D37" s="29"/>
      <c r="E37" s="29"/>
      <c r="F37" s="29"/>
      <c r="G37" s="29"/>
      <c r="H37" s="29"/>
      <c r="I37" s="29"/>
      <c r="J37" s="29"/>
      <c r="K37" s="29"/>
      <c r="L37" s="29"/>
      <c r="M37" s="29"/>
      <c r="N37" s="29"/>
      <c r="O37" s="29"/>
      <c r="P37" s="29"/>
      <c r="Q37" s="29"/>
      <c r="R37" s="29"/>
      <c r="S37" s="29"/>
      <c r="T37" s="25"/>
      <c r="W37" s="40"/>
      <c r="X37" s="40"/>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53" t="s">
        <v>202</v>
      </c>
      <c r="C49" s="254"/>
      <c r="D49" s="254"/>
      <c r="E49" s="254"/>
      <c r="F49" s="254"/>
      <c r="G49" s="254"/>
      <c r="H49" s="254"/>
      <c r="I49" s="254"/>
      <c r="J49" s="254"/>
      <c r="K49" s="254"/>
      <c r="L49" s="254"/>
      <c r="M49" s="254"/>
      <c r="N49" s="254"/>
      <c r="O49" s="254"/>
      <c r="P49" s="254"/>
      <c r="Q49" s="254"/>
      <c r="R49" s="255"/>
    </row>
    <row r="50" spans="2:18" ht="15" customHeight="1" x14ac:dyDescent="0.25">
      <c r="B50" s="256"/>
      <c r="C50" s="257"/>
      <c r="D50" s="257"/>
      <c r="E50" s="257"/>
      <c r="F50" s="257"/>
      <c r="G50" s="257"/>
      <c r="H50" s="257"/>
      <c r="I50" s="257"/>
      <c r="J50" s="257"/>
      <c r="K50" s="257"/>
      <c r="L50" s="257"/>
      <c r="M50" s="257"/>
      <c r="N50" s="257"/>
      <c r="O50" s="257"/>
      <c r="P50" s="257"/>
      <c r="Q50" s="257"/>
      <c r="R50" s="258"/>
    </row>
    <row r="51" spans="2:18" ht="15" customHeight="1" x14ac:dyDescent="0.25">
      <c r="B51" s="256"/>
      <c r="C51" s="257"/>
      <c r="D51" s="257"/>
      <c r="E51" s="257"/>
      <c r="F51" s="257"/>
      <c r="G51" s="257"/>
      <c r="H51" s="257"/>
      <c r="I51" s="257"/>
      <c r="J51" s="257"/>
      <c r="K51" s="257"/>
      <c r="L51" s="257"/>
      <c r="M51" s="257"/>
      <c r="N51" s="257"/>
      <c r="O51" s="257"/>
      <c r="P51" s="257"/>
      <c r="Q51" s="257"/>
      <c r="R51" s="258"/>
    </row>
    <row r="52" spans="2:18" ht="15" customHeight="1" x14ac:dyDescent="0.25">
      <c r="B52" s="256"/>
      <c r="C52" s="257"/>
      <c r="D52" s="257"/>
      <c r="E52" s="257"/>
      <c r="F52" s="257"/>
      <c r="G52" s="257"/>
      <c r="H52" s="257"/>
      <c r="I52" s="257"/>
      <c r="J52" s="257"/>
      <c r="K52" s="257"/>
      <c r="L52" s="257"/>
      <c r="M52" s="257"/>
      <c r="N52" s="257"/>
      <c r="O52" s="257"/>
      <c r="P52" s="257"/>
      <c r="Q52" s="257"/>
      <c r="R52" s="258"/>
    </row>
    <row r="53" spans="2:18" ht="15" customHeight="1" x14ac:dyDescent="0.25">
      <c r="B53" s="256"/>
      <c r="C53" s="257"/>
      <c r="D53" s="257"/>
      <c r="E53" s="257"/>
      <c r="F53" s="257"/>
      <c r="G53" s="257"/>
      <c r="H53" s="257"/>
      <c r="I53" s="257"/>
      <c r="J53" s="257"/>
      <c r="K53" s="257"/>
      <c r="L53" s="257"/>
      <c r="M53" s="257"/>
      <c r="N53" s="257"/>
      <c r="O53" s="257"/>
      <c r="P53" s="257"/>
      <c r="Q53" s="257"/>
      <c r="R53" s="258"/>
    </row>
    <row r="54" spans="2:18" ht="15" customHeight="1" x14ac:dyDescent="0.25">
      <c r="B54" s="256"/>
      <c r="C54" s="257"/>
      <c r="D54" s="257"/>
      <c r="E54" s="257"/>
      <c r="F54" s="257"/>
      <c r="G54" s="257"/>
      <c r="H54" s="257"/>
      <c r="I54" s="257"/>
      <c r="J54" s="257"/>
      <c r="K54" s="257"/>
      <c r="L54" s="257"/>
      <c r="M54" s="257"/>
      <c r="N54" s="257"/>
      <c r="O54" s="257"/>
      <c r="P54" s="257"/>
      <c r="Q54" s="257"/>
      <c r="R54" s="258"/>
    </row>
    <row r="55" spans="2:18" ht="15" customHeight="1" thickBot="1" x14ac:dyDescent="0.3">
      <c r="B55" s="259"/>
      <c r="C55" s="260"/>
      <c r="D55" s="260"/>
      <c r="E55" s="260"/>
      <c r="F55" s="260"/>
      <c r="G55" s="260"/>
      <c r="H55" s="260"/>
      <c r="I55" s="260"/>
      <c r="J55" s="260"/>
      <c r="K55" s="260"/>
      <c r="L55" s="260"/>
      <c r="M55" s="260"/>
      <c r="N55" s="260"/>
      <c r="O55" s="260"/>
      <c r="P55" s="260"/>
      <c r="Q55" s="260"/>
      <c r="R55" s="261"/>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189</v>
      </c>
      <c r="D3" s="263"/>
      <c r="E3" s="263"/>
      <c r="F3" s="263"/>
      <c r="G3" s="263"/>
      <c r="H3" s="263"/>
      <c r="I3" s="263"/>
      <c r="J3" s="263"/>
      <c r="K3" s="263"/>
      <c r="L3" s="263"/>
      <c r="M3" s="263"/>
      <c r="N3" s="263"/>
      <c r="O3" s="263"/>
      <c r="P3" s="263"/>
      <c r="Q3" s="263"/>
      <c r="R3" s="263"/>
      <c r="S3" s="263"/>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4" t="s">
        <v>325</v>
      </c>
      <c r="E5" s="264"/>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5" t="s">
        <v>32</v>
      </c>
      <c r="D8" s="206" t="s">
        <v>3</v>
      </c>
      <c r="E8" s="207">
        <v>8.9803999999999995E-2</v>
      </c>
      <c r="F8" s="29"/>
      <c r="G8" s="29"/>
      <c r="H8" s="29"/>
      <c r="I8" s="29"/>
      <c r="J8" s="29"/>
      <c r="K8" s="29"/>
      <c r="L8" s="29"/>
      <c r="M8" s="29"/>
      <c r="N8" s="29"/>
      <c r="O8" s="29"/>
      <c r="P8" s="29"/>
      <c r="Q8" s="29"/>
      <c r="R8" s="29"/>
      <c r="S8" s="29"/>
      <c r="T8" s="22"/>
      <c r="W8" s="181" t="s">
        <v>3</v>
      </c>
      <c r="X8" s="182">
        <v>0.20727999999999999</v>
      </c>
    </row>
    <row r="9" spans="1:24" ht="15.75" customHeight="1" x14ac:dyDescent="0.25">
      <c r="B9" s="84"/>
      <c r="C9" s="197" t="s">
        <v>29</v>
      </c>
      <c r="D9" s="208" t="s">
        <v>3</v>
      </c>
      <c r="E9" s="209">
        <v>6.7695000000000005E-2</v>
      </c>
      <c r="F9" s="29"/>
      <c r="G9" s="29"/>
      <c r="H9" s="29"/>
      <c r="I9" s="29"/>
      <c r="J9" s="29"/>
      <c r="K9" s="29"/>
      <c r="L9" s="29"/>
      <c r="M9" s="29"/>
      <c r="N9" s="29"/>
      <c r="O9" s="29"/>
      <c r="P9" s="29"/>
      <c r="Q9" s="29"/>
      <c r="R9" s="29"/>
      <c r="S9" s="29"/>
      <c r="T9" s="22"/>
      <c r="W9" s="181" t="s">
        <v>122</v>
      </c>
      <c r="X9" s="182">
        <v>0.10516400000000001</v>
      </c>
    </row>
    <row r="10" spans="1:24" ht="15" customHeight="1" x14ac:dyDescent="0.25">
      <c r="B10" s="84"/>
      <c r="C10" s="197" t="s">
        <v>31</v>
      </c>
      <c r="D10" s="208" t="s">
        <v>6</v>
      </c>
      <c r="E10" s="209">
        <v>6.4716999999999997E-2</v>
      </c>
      <c r="F10" s="29"/>
      <c r="G10" s="29"/>
      <c r="H10" s="29"/>
      <c r="I10" s="29"/>
      <c r="J10" s="29"/>
      <c r="K10" s="29"/>
      <c r="L10" s="29"/>
      <c r="M10" s="29"/>
      <c r="N10" s="29"/>
      <c r="O10" s="29"/>
      <c r="P10" s="29"/>
      <c r="Q10" s="29"/>
      <c r="R10" s="29"/>
      <c r="S10" s="29"/>
      <c r="T10" s="22"/>
      <c r="W10" s="181" t="s">
        <v>129</v>
      </c>
      <c r="X10" s="182">
        <v>7.0065000000000002E-2</v>
      </c>
    </row>
    <row r="11" spans="1:24" ht="15" customHeight="1" x14ac:dyDescent="0.25">
      <c r="B11" s="84"/>
      <c r="C11" s="197" t="s">
        <v>28</v>
      </c>
      <c r="D11" s="208" t="s">
        <v>117</v>
      </c>
      <c r="E11" s="209">
        <v>6.2528E-2</v>
      </c>
      <c r="F11" s="29"/>
      <c r="G11" s="29"/>
      <c r="H11" s="29"/>
      <c r="I11" s="29"/>
      <c r="J11" s="29"/>
      <c r="K11" s="29"/>
      <c r="L11" s="29"/>
      <c r="M11" s="29"/>
      <c r="N11" s="29"/>
      <c r="O11" s="29"/>
      <c r="P11" s="29"/>
      <c r="Q11" s="29"/>
      <c r="R11" s="29"/>
      <c r="S11" s="29"/>
      <c r="T11" s="22"/>
      <c r="W11" s="181" t="s">
        <v>6</v>
      </c>
      <c r="X11" s="182">
        <v>6.4716999999999997E-2</v>
      </c>
    </row>
    <row r="12" spans="1:24" ht="15" customHeight="1" x14ac:dyDescent="0.25">
      <c r="B12" s="84"/>
      <c r="C12" s="197" t="s">
        <v>85</v>
      </c>
      <c r="D12" s="208" t="s">
        <v>122</v>
      </c>
      <c r="E12" s="209">
        <v>5.4586000000000003E-2</v>
      </c>
      <c r="F12" s="29"/>
      <c r="G12" s="29"/>
      <c r="H12" s="29"/>
      <c r="I12" s="29"/>
      <c r="J12" s="29"/>
      <c r="K12" s="29"/>
      <c r="L12" s="29"/>
      <c r="M12" s="29"/>
      <c r="N12" s="29"/>
      <c r="O12" s="29"/>
      <c r="P12" s="29"/>
      <c r="Q12" s="29"/>
      <c r="R12" s="29"/>
      <c r="S12" s="29"/>
      <c r="T12" s="22"/>
      <c r="W12" s="181" t="s">
        <v>4</v>
      </c>
      <c r="X12" s="182">
        <v>6.4632999999999996E-2</v>
      </c>
    </row>
    <row r="13" spans="1:24" ht="15" customHeight="1" x14ac:dyDescent="0.25">
      <c r="B13" s="84"/>
      <c r="C13" s="197" t="s">
        <v>149</v>
      </c>
      <c r="D13" s="208" t="s">
        <v>26</v>
      </c>
      <c r="E13" s="209">
        <v>4.9699E-2</v>
      </c>
      <c r="F13" s="29"/>
      <c r="G13" s="29"/>
      <c r="H13" s="29"/>
      <c r="I13" s="29"/>
      <c r="J13" s="29"/>
      <c r="K13" s="29"/>
      <c r="L13" s="29"/>
      <c r="M13" s="29"/>
      <c r="N13" s="29"/>
      <c r="O13" s="29"/>
      <c r="P13" s="29"/>
      <c r="Q13" s="29"/>
      <c r="R13" s="29"/>
      <c r="S13" s="29"/>
      <c r="T13" s="22"/>
      <c r="W13" s="181" t="s">
        <v>117</v>
      </c>
      <c r="X13" s="182">
        <v>6.2528E-2</v>
      </c>
    </row>
    <row r="14" spans="1:24" ht="15" customHeight="1" x14ac:dyDescent="0.25">
      <c r="B14" s="84"/>
      <c r="C14" s="197" t="s">
        <v>226</v>
      </c>
      <c r="D14" s="208" t="s">
        <v>129</v>
      </c>
      <c r="E14" s="209">
        <v>4.5347999999999999E-2</v>
      </c>
      <c r="F14" s="29"/>
      <c r="G14" s="29"/>
      <c r="H14" s="29"/>
      <c r="I14" s="29"/>
      <c r="J14" s="29"/>
      <c r="K14" s="29"/>
      <c r="L14" s="29"/>
      <c r="M14" s="29"/>
      <c r="N14" s="29"/>
      <c r="O14" s="29"/>
      <c r="P14" s="29"/>
      <c r="Q14" s="29"/>
      <c r="R14" s="29"/>
      <c r="S14" s="29"/>
      <c r="T14" s="22"/>
      <c r="W14" s="181" t="s">
        <v>26</v>
      </c>
      <c r="X14" s="182">
        <v>4.9699E-2</v>
      </c>
    </row>
    <row r="15" spans="1:24" ht="15" customHeight="1" x14ac:dyDescent="0.25">
      <c r="B15" s="84"/>
      <c r="C15" s="197" t="s">
        <v>115</v>
      </c>
      <c r="D15" s="208" t="s">
        <v>4</v>
      </c>
      <c r="E15" s="209">
        <v>4.5069999999999999E-2</v>
      </c>
      <c r="F15" s="29"/>
      <c r="G15" s="29"/>
      <c r="H15" s="29"/>
      <c r="I15" s="29"/>
      <c r="J15" s="29"/>
      <c r="K15" s="29"/>
      <c r="L15" s="29"/>
      <c r="M15" s="29"/>
      <c r="N15" s="29"/>
      <c r="O15" s="29"/>
      <c r="P15" s="29"/>
      <c r="Q15" s="29"/>
      <c r="R15" s="29"/>
      <c r="S15" s="29"/>
      <c r="T15" s="22"/>
      <c r="W15" s="181" t="s">
        <v>123</v>
      </c>
      <c r="X15" s="182">
        <v>4.1154999999999997E-2</v>
      </c>
    </row>
    <row r="16" spans="1:24" ht="15" customHeight="1" x14ac:dyDescent="0.25">
      <c r="B16" s="84"/>
      <c r="C16" s="197" t="s">
        <v>211</v>
      </c>
      <c r="D16" s="208" t="s">
        <v>123</v>
      </c>
      <c r="E16" s="209">
        <v>4.1154999999999997E-2</v>
      </c>
      <c r="F16" s="29"/>
      <c r="G16" s="29"/>
      <c r="H16" s="29"/>
      <c r="I16" s="29"/>
      <c r="J16" s="29"/>
      <c r="K16" s="29"/>
      <c r="L16" s="29"/>
      <c r="M16" s="29"/>
      <c r="N16" s="29"/>
      <c r="O16" s="29"/>
      <c r="P16" s="29"/>
      <c r="Q16" s="29"/>
      <c r="R16" s="29"/>
      <c r="S16" s="29"/>
      <c r="T16" s="22"/>
      <c r="W16" s="181" t="s">
        <v>121</v>
      </c>
      <c r="X16" s="182">
        <v>3.7969000000000003E-2</v>
      </c>
    </row>
    <row r="17" spans="2:24" ht="15" customHeight="1" x14ac:dyDescent="0.25">
      <c r="B17" s="84"/>
      <c r="C17" s="197" t="s">
        <v>252</v>
      </c>
      <c r="D17" s="208" t="s">
        <v>121</v>
      </c>
      <c r="E17" s="209">
        <v>3.7969000000000003E-2</v>
      </c>
      <c r="F17" s="29"/>
      <c r="G17" s="29"/>
      <c r="H17" s="29"/>
      <c r="I17" s="29"/>
      <c r="J17" s="29"/>
      <c r="K17" s="29"/>
      <c r="L17" s="29"/>
      <c r="M17" s="29"/>
      <c r="N17" s="29"/>
      <c r="O17" s="29"/>
      <c r="P17" s="29"/>
      <c r="Q17" s="29"/>
      <c r="R17" s="29"/>
      <c r="S17" s="29"/>
      <c r="T17" s="22"/>
      <c r="W17" s="181" t="s">
        <v>137</v>
      </c>
      <c r="X17" s="182">
        <v>3.2368000000000001E-2</v>
      </c>
    </row>
    <row r="18" spans="2:24" ht="15" customHeight="1" x14ac:dyDescent="0.25">
      <c r="B18" s="84"/>
      <c r="C18" s="197" t="s">
        <v>144</v>
      </c>
      <c r="D18" s="208" t="s">
        <v>122</v>
      </c>
      <c r="E18" s="209">
        <v>3.2369000000000002E-2</v>
      </c>
      <c r="F18" s="29"/>
      <c r="G18" s="29"/>
      <c r="H18" s="29"/>
      <c r="I18" s="29"/>
      <c r="J18" s="29"/>
      <c r="K18" s="29"/>
      <c r="L18" s="29"/>
      <c r="M18" s="29"/>
      <c r="N18" s="29"/>
      <c r="O18" s="29"/>
      <c r="P18" s="29"/>
      <c r="Q18" s="29"/>
      <c r="R18" s="29"/>
      <c r="S18" s="29"/>
      <c r="T18" s="22"/>
      <c r="W18" s="181" t="s">
        <v>89</v>
      </c>
      <c r="X18" s="182">
        <v>3.0192E-2</v>
      </c>
    </row>
    <row r="19" spans="2:24" ht="15" customHeight="1" x14ac:dyDescent="0.25">
      <c r="B19" s="84"/>
      <c r="C19" s="197" t="s">
        <v>310</v>
      </c>
      <c r="D19" s="208" t="s">
        <v>137</v>
      </c>
      <c r="E19" s="209">
        <v>3.2368000000000001E-2</v>
      </c>
      <c r="F19" s="29"/>
      <c r="G19" s="29"/>
      <c r="H19" s="29"/>
      <c r="I19" s="29"/>
      <c r="J19" s="29"/>
      <c r="K19" s="29"/>
      <c r="L19" s="29"/>
      <c r="M19" s="29"/>
      <c r="N19" s="29"/>
      <c r="O19" s="29"/>
      <c r="P19" s="29"/>
      <c r="Q19" s="29"/>
      <c r="R19" s="29"/>
      <c r="S19" s="29"/>
      <c r="T19" s="22"/>
      <c r="W19" s="181" t="s">
        <v>118</v>
      </c>
      <c r="X19" s="182">
        <v>2.9374999999999998E-2</v>
      </c>
    </row>
    <row r="20" spans="2:24" ht="15" customHeight="1" x14ac:dyDescent="0.25">
      <c r="B20" s="84"/>
      <c r="C20" s="197" t="s">
        <v>100</v>
      </c>
      <c r="D20" s="208" t="s">
        <v>89</v>
      </c>
      <c r="E20" s="209">
        <v>3.0192E-2</v>
      </c>
      <c r="F20" s="29"/>
      <c r="G20" s="29"/>
      <c r="H20" s="29"/>
      <c r="I20" s="29"/>
      <c r="J20" s="29"/>
      <c r="K20" s="29"/>
      <c r="L20" s="29"/>
      <c r="M20" s="29"/>
      <c r="N20" s="29"/>
      <c r="O20" s="29"/>
      <c r="P20" s="29"/>
      <c r="Q20" s="29"/>
      <c r="R20" s="29"/>
      <c r="S20" s="29"/>
      <c r="T20" s="22"/>
      <c r="W20" s="181" t="s">
        <v>92</v>
      </c>
      <c r="X20" s="182">
        <v>2.5937000000000002E-2</v>
      </c>
    </row>
    <row r="21" spans="2:24" ht="15" customHeight="1" x14ac:dyDescent="0.25">
      <c r="B21" s="84"/>
      <c r="C21" s="197" t="s">
        <v>145</v>
      </c>
      <c r="D21" s="208" t="s">
        <v>3</v>
      </c>
      <c r="E21" s="209">
        <v>3.0072000000000002E-2</v>
      </c>
      <c r="F21" s="29"/>
      <c r="G21" s="29"/>
      <c r="H21" s="29"/>
      <c r="I21" s="29"/>
      <c r="J21" s="29"/>
      <c r="K21" s="29"/>
      <c r="L21" s="29"/>
      <c r="M21" s="29"/>
      <c r="N21" s="29"/>
      <c r="O21" s="29"/>
      <c r="P21" s="29"/>
      <c r="Q21" s="29"/>
      <c r="R21" s="29"/>
      <c r="S21" s="29"/>
      <c r="T21" s="22"/>
      <c r="W21" s="181" t="s">
        <v>209</v>
      </c>
      <c r="X21" s="182">
        <v>2.2855E-2</v>
      </c>
    </row>
    <row r="22" spans="2:24" ht="15" customHeight="1" x14ac:dyDescent="0.25">
      <c r="B22" s="84"/>
      <c r="C22" s="197" t="s">
        <v>152</v>
      </c>
      <c r="D22" s="208" t="s">
        <v>118</v>
      </c>
      <c r="E22" s="209">
        <v>2.9374999999999998E-2</v>
      </c>
      <c r="F22" s="29"/>
      <c r="G22" s="29"/>
      <c r="H22" s="29"/>
      <c r="I22" s="29"/>
      <c r="J22" s="29"/>
      <c r="K22" s="29"/>
      <c r="L22" s="29"/>
      <c r="M22" s="29"/>
      <c r="N22" s="29"/>
      <c r="O22" s="29"/>
      <c r="P22" s="29"/>
      <c r="Q22" s="29"/>
      <c r="R22" s="29"/>
      <c r="S22" s="29"/>
      <c r="T22" s="22"/>
      <c r="W22" s="181" t="s">
        <v>23</v>
      </c>
      <c r="X22" s="182">
        <v>2.1233999999999999E-2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82</v>
      </c>
      <c r="X23" s="182">
        <v>2.0889999999999999E-2</v>
      </c>
    </row>
    <row r="24" spans="2:24" ht="15" customHeight="1" x14ac:dyDescent="0.25">
      <c r="B24" s="84"/>
      <c r="C24" s="78" t="s">
        <v>55</v>
      </c>
      <c r="D24" s="79"/>
      <c r="E24" s="80">
        <f>SUM(E8:E22)</f>
        <v>0.712947</v>
      </c>
      <c r="F24" s="29"/>
      <c r="G24" s="29"/>
      <c r="H24" s="29"/>
      <c r="I24" s="29"/>
      <c r="J24" s="29"/>
      <c r="K24" s="29"/>
      <c r="L24" s="29"/>
      <c r="M24" s="29"/>
      <c r="N24" s="29"/>
      <c r="O24" s="29"/>
      <c r="P24" s="29"/>
      <c r="Q24" s="29"/>
      <c r="R24" s="29"/>
      <c r="S24" s="29"/>
      <c r="T24" s="22"/>
      <c r="W24" s="181" t="s">
        <v>16</v>
      </c>
      <c r="X24" s="182">
        <v>1.9762999999999999E-2</v>
      </c>
    </row>
    <row r="25" spans="2:24" ht="15" customHeight="1" x14ac:dyDescent="0.25">
      <c r="B25" s="84"/>
      <c r="F25" s="29"/>
      <c r="G25" s="29"/>
      <c r="H25" s="29"/>
      <c r="I25" s="29"/>
      <c r="J25" s="29"/>
      <c r="K25" s="29"/>
      <c r="L25" s="29"/>
      <c r="M25" s="29"/>
      <c r="N25" s="29"/>
      <c r="O25" s="29"/>
      <c r="P25" s="29"/>
      <c r="Q25" s="29"/>
      <c r="R25" s="29"/>
      <c r="S25" s="29"/>
      <c r="T25" s="22"/>
      <c r="W25" s="181" t="s">
        <v>311</v>
      </c>
      <c r="X25" s="182">
        <v>1.9431E-2</v>
      </c>
    </row>
    <row r="26" spans="2:24" ht="15" customHeight="1" x14ac:dyDescent="0.25">
      <c r="B26" s="84"/>
      <c r="F26" s="29"/>
      <c r="G26" s="29"/>
      <c r="H26" s="29"/>
      <c r="I26" s="29"/>
      <c r="J26" s="29"/>
      <c r="K26" s="29"/>
      <c r="L26" s="29"/>
      <c r="M26" s="29"/>
      <c r="N26" s="29"/>
      <c r="O26" s="29"/>
      <c r="P26" s="29"/>
      <c r="Q26" s="29"/>
      <c r="R26" s="29"/>
      <c r="S26" s="29"/>
      <c r="T26" s="22"/>
      <c r="W26" s="181" t="s">
        <v>127</v>
      </c>
      <c r="X26" s="182">
        <v>1.9248000000000001E-2</v>
      </c>
    </row>
    <row r="27" spans="2:24" ht="15" customHeight="1" x14ac:dyDescent="0.25">
      <c r="B27" s="84"/>
      <c r="F27" s="29"/>
      <c r="G27" s="29"/>
      <c r="H27" s="29"/>
      <c r="I27" s="29"/>
      <c r="J27" s="29"/>
      <c r="K27" s="29"/>
      <c r="L27" s="29"/>
      <c r="M27" s="29"/>
      <c r="N27" s="29"/>
      <c r="O27" s="29"/>
      <c r="P27" s="29"/>
      <c r="Q27" s="29"/>
      <c r="R27" s="29"/>
      <c r="S27" s="29"/>
      <c r="T27" s="22"/>
      <c r="W27" s="181" t="s">
        <v>124</v>
      </c>
      <c r="X27" s="182">
        <v>1.9127000000000002E-2</v>
      </c>
    </row>
    <row r="28" spans="2:24" ht="15" customHeight="1" x14ac:dyDescent="0.25">
      <c r="B28" s="84"/>
      <c r="F28" s="29"/>
      <c r="G28" s="29"/>
      <c r="H28" s="29"/>
      <c r="I28" s="29"/>
      <c r="J28" s="29"/>
      <c r="K28" s="29"/>
      <c r="L28" s="29"/>
      <c r="M28" s="29"/>
      <c r="N28" s="29"/>
      <c r="O28" s="29"/>
      <c r="P28" s="29"/>
      <c r="Q28" s="29"/>
      <c r="R28" s="29"/>
      <c r="S28" s="29"/>
      <c r="T28" s="22"/>
      <c r="W28" s="181" t="s">
        <v>147</v>
      </c>
      <c r="X28" s="182">
        <v>1.9054999999999999E-2</v>
      </c>
    </row>
    <row r="29" spans="2:24" ht="15" customHeight="1" x14ac:dyDescent="0.25">
      <c r="B29" s="84"/>
      <c r="F29" s="29"/>
      <c r="G29" s="29"/>
      <c r="H29" s="29"/>
      <c r="I29" s="29"/>
      <c r="J29" s="29"/>
      <c r="K29" s="29"/>
      <c r="L29" s="29"/>
      <c r="M29" s="29"/>
      <c r="N29" s="29"/>
      <c r="O29" s="29"/>
      <c r="P29" s="29"/>
      <c r="Q29" s="29"/>
      <c r="R29" s="29"/>
      <c r="S29" s="29"/>
      <c r="T29" s="22"/>
      <c r="W29" s="181"/>
      <c r="X29" s="18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53" t="s">
        <v>202</v>
      </c>
      <c r="C38" s="254"/>
      <c r="D38" s="254"/>
      <c r="E38" s="254"/>
      <c r="F38" s="254"/>
      <c r="G38" s="254"/>
      <c r="H38" s="254"/>
      <c r="I38" s="254"/>
      <c r="J38" s="254"/>
      <c r="K38" s="254"/>
      <c r="L38" s="254"/>
      <c r="M38" s="254"/>
      <c r="N38" s="254"/>
      <c r="O38" s="254"/>
      <c r="P38" s="254"/>
      <c r="Q38" s="254"/>
      <c r="R38" s="255"/>
    </row>
    <row r="39" spans="2:20" ht="15" customHeight="1" x14ac:dyDescent="0.25">
      <c r="B39" s="256"/>
      <c r="C39" s="257"/>
      <c r="D39" s="257"/>
      <c r="E39" s="257"/>
      <c r="F39" s="257"/>
      <c r="G39" s="257"/>
      <c r="H39" s="257"/>
      <c r="I39" s="257"/>
      <c r="J39" s="257"/>
      <c r="K39" s="257"/>
      <c r="L39" s="257"/>
      <c r="M39" s="257"/>
      <c r="N39" s="257"/>
      <c r="O39" s="257"/>
      <c r="P39" s="257"/>
      <c r="Q39" s="257"/>
      <c r="R39" s="258"/>
    </row>
    <row r="40" spans="2:20" ht="15" customHeight="1" x14ac:dyDescent="0.25">
      <c r="B40" s="256"/>
      <c r="C40" s="257"/>
      <c r="D40" s="257"/>
      <c r="E40" s="257"/>
      <c r="F40" s="257"/>
      <c r="G40" s="257"/>
      <c r="H40" s="257"/>
      <c r="I40" s="257"/>
      <c r="J40" s="257"/>
      <c r="K40" s="257"/>
      <c r="L40" s="257"/>
      <c r="M40" s="257"/>
      <c r="N40" s="257"/>
      <c r="O40" s="257"/>
      <c r="P40" s="257"/>
      <c r="Q40" s="257"/>
      <c r="R40" s="258"/>
    </row>
    <row r="41" spans="2:20" ht="15" customHeight="1" x14ac:dyDescent="0.25">
      <c r="B41" s="256"/>
      <c r="C41" s="257"/>
      <c r="D41" s="257"/>
      <c r="E41" s="257"/>
      <c r="F41" s="257"/>
      <c r="G41" s="257"/>
      <c r="H41" s="257"/>
      <c r="I41" s="257"/>
      <c r="J41" s="257"/>
      <c r="K41" s="257"/>
      <c r="L41" s="257"/>
      <c r="M41" s="257"/>
      <c r="N41" s="257"/>
      <c r="O41" s="257"/>
      <c r="P41" s="257"/>
      <c r="Q41" s="257"/>
      <c r="R41" s="258"/>
    </row>
    <row r="42" spans="2:20" ht="15" customHeight="1" x14ac:dyDescent="0.25">
      <c r="B42" s="256"/>
      <c r="C42" s="257"/>
      <c r="D42" s="257"/>
      <c r="E42" s="257"/>
      <c r="F42" s="257"/>
      <c r="G42" s="257"/>
      <c r="H42" s="257"/>
      <c r="I42" s="257"/>
      <c r="J42" s="257"/>
      <c r="K42" s="257"/>
      <c r="L42" s="257"/>
      <c r="M42" s="257"/>
      <c r="N42" s="257"/>
      <c r="O42" s="257"/>
      <c r="P42" s="257"/>
      <c r="Q42" s="257"/>
      <c r="R42" s="258"/>
    </row>
    <row r="43" spans="2:20" ht="15" customHeight="1" x14ac:dyDescent="0.25">
      <c r="B43" s="256"/>
      <c r="C43" s="257"/>
      <c r="D43" s="257"/>
      <c r="E43" s="257"/>
      <c r="F43" s="257"/>
      <c r="G43" s="257"/>
      <c r="H43" s="257"/>
      <c r="I43" s="257"/>
      <c r="J43" s="257"/>
      <c r="K43" s="257"/>
      <c r="L43" s="257"/>
      <c r="M43" s="257"/>
      <c r="N43" s="257"/>
      <c r="O43" s="257"/>
      <c r="P43" s="257"/>
      <c r="Q43" s="257"/>
      <c r="R43" s="258"/>
    </row>
    <row r="44" spans="2:20" ht="15" customHeight="1" thickBot="1" x14ac:dyDescent="0.3">
      <c r="B44" s="259"/>
      <c r="C44" s="260"/>
      <c r="D44" s="260"/>
      <c r="E44" s="260"/>
      <c r="F44" s="260"/>
      <c r="G44" s="260"/>
      <c r="H44" s="260"/>
      <c r="I44" s="260"/>
      <c r="J44" s="260"/>
      <c r="K44" s="260"/>
      <c r="L44" s="260"/>
      <c r="M44" s="260"/>
      <c r="N44" s="260"/>
      <c r="O44" s="260"/>
      <c r="P44" s="260"/>
      <c r="Q44" s="260"/>
      <c r="R44" s="261"/>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62" t="s">
        <v>188</v>
      </c>
      <c r="D3" s="263"/>
      <c r="E3" s="263"/>
      <c r="F3" s="263"/>
      <c r="G3" s="263"/>
      <c r="H3" s="263"/>
      <c r="I3" s="263"/>
      <c r="J3" s="263"/>
      <c r="K3" s="263"/>
      <c r="L3" s="263"/>
      <c r="M3" s="263"/>
      <c r="N3" s="263"/>
      <c r="O3" s="263"/>
      <c r="P3" s="263"/>
      <c r="Q3" s="263"/>
      <c r="R3" s="263"/>
      <c r="S3" s="263"/>
      <c r="T3" s="22"/>
    </row>
    <row r="4" spans="1:37" ht="15.75" customHeight="1" x14ac:dyDescent="0.25">
      <c r="B4" s="84"/>
      <c r="C4" s="72" t="s">
        <v>354</v>
      </c>
      <c r="D4" s="29"/>
      <c r="E4" s="29"/>
      <c r="F4" s="29"/>
      <c r="G4" s="29"/>
      <c r="H4" s="29"/>
      <c r="I4" s="29"/>
      <c r="J4" s="29"/>
      <c r="K4" s="29"/>
      <c r="L4" s="29"/>
      <c r="M4" s="29"/>
      <c r="N4" s="29"/>
      <c r="O4" s="29"/>
      <c r="P4" s="29"/>
      <c r="Q4" s="29"/>
      <c r="R4" s="29"/>
      <c r="S4" s="29"/>
      <c r="T4" s="22"/>
    </row>
    <row r="5" spans="1:37" ht="18" customHeight="1" x14ac:dyDescent="0.25">
      <c r="B5" s="84"/>
      <c r="C5" s="235" t="s">
        <v>355</v>
      </c>
      <c r="D5" s="265" t="s">
        <v>326</v>
      </c>
      <c r="E5" s="266"/>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5" t="s">
        <v>31</v>
      </c>
      <c r="D8" s="206" t="s">
        <v>6</v>
      </c>
      <c r="E8" s="207">
        <v>4.4089999999999997E-2</v>
      </c>
      <c r="F8" s="29"/>
      <c r="G8" s="29"/>
      <c r="H8" s="29"/>
      <c r="I8" s="29"/>
      <c r="J8" s="29"/>
      <c r="K8" s="29"/>
      <c r="L8" s="29"/>
      <c r="M8" s="29"/>
      <c r="N8" s="29"/>
      <c r="O8" s="29"/>
      <c r="P8" s="29"/>
      <c r="Q8" s="29"/>
      <c r="R8" s="29"/>
      <c r="S8" s="29"/>
      <c r="T8" s="22"/>
      <c r="W8" s="66" t="s">
        <v>3</v>
      </c>
      <c r="X8" s="67">
        <v>0.17804300000000001</v>
      </c>
    </row>
    <row r="9" spans="1:37" ht="15.75" customHeight="1" x14ac:dyDescent="0.25">
      <c r="B9" s="84"/>
      <c r="C9" s="197" t="s">
        <v>29</v>
      </c>
      <c r="D9" s="208" t="s">
        <v>3</v>
      </c>
      <c r="E9" s="209">
        <v>4.3187999999999997E-2</v>
      </c>
      <c r="F9" s="29"/>
      <c r="G9" s="29"/>
      <c r="H9" s="29"/>
      <c r="I9" s="29"/>
      <c r="J9" s="29"/>
      <c r="K9" s="29"/>
      <c r="L9" s="29"/>
      <c r="M9" s="29"/>
      <c r="N9" s="29"/>
      <c r="O9" s="29"/>
      <c r="P9" s="29"/>
      <c r="Q9" s="29"/>
      <c r="R9" s="29"/>
      <c r="S9" s="29"/>
      <c r="T9" s="22"/>
      <c r="W9" s="66" t="s">
        <v>121</v>
      </c>
      <c r="X9" s="67">
        <v>8.1951999999999997E-2</v>
      </c>
    </row>
    <row r="10" spans="1:37" ht="15" customHeight="1" x14ac:dyDescent="0.25">
      <c r="B10" s="84"/>
      <c r="C10" s="197" t="s">
        <v>36</v>
      </c>
      <c r="D10" s="208" t="s">
        <v>3</v>
      </c>
      <c r="E10" s="209">
        <v>4.1992000000000002E-2</v>
      </c>
      <c r="F10" s="29"/>
      <c r="G10" s="29"/>
      <c r="H10" s="29"/>
      <c r="I10" s="29"/>
      <c r="J10" s="29"/>
      <c r="K10" s="29"/>
      <c r="L10" s="29"/>
      <c r="M10" s="29"/>
      <c r="N10" s="29"/>
      <c r="O10" s="29"/>
      <c r="P10" s="29"/>
      <c r="Q10" s="29"/>
      <c r="R10" s="29"/>
      <c r="S10" s="29"/>
      <c r="T10" s="22"/>
      <c r="W10" s="66" t="s">
        <v>117</v>
      </c>
      <c r="X10" s="67">
        <v>7.6103000000000004E-2</v>
      </c>
    </row>
    <row r="11" spans="1:37" ht="15" customHeight="1" x14ac:dyDescent="0.25">
      <c r="B11" s="84"/>
      <c r="C11" s="197" t="s">
        <v>32</v>
      </c>
      <c r="D11" s="208" t="s">
        <v>3</v>
      </c>
      <c r="E11" s="209">
        <v>3.7360999999999998E-2</v>
      </c>
      <c r="F11" s="29"/>
      <c r="G11" s="29"/>
      <c r="H11" s="29"/>
      <c r="I11" s="29"/>
      <c r="J11" s="29"/>
      <c r="K11" s="29"/>
      <c r="L11" s="29"/>
      <c r="M11" s="29"/>
      <c r="N11" s="29"/>
      <c r="O11" s="29"/>
      <c r="P11" s="29"/>
      <c r="Q11" s="29"/>
      <c r="R11" s="29"/>
      <c r="S11" s="29"/>
      <c r="T11" s="22"/>
      <c r="W11" s="66" t="s">
        <v>122</v>
      </c>
      <c r="X11" s="67">
        <v>5.4823999999999998E-2</v>
      </c>
    </row>
    <row r="12" spans="1:37" ht="15" customHeight="1" x14ac:dyDescent="0.25">
      <c r="B12" s="84"/>
      <c r="C12" s="197" t="s">
        <v>33</v>
      </c>
      <c r="D12" s="208" t="s">
        <v>117</v>
      </c>
      <c r="E12" s="209">
        <v>2.5201999999999999E-2</v>
      </c>
      <c r="F12" s="29"/>
      <c r="G12" s="29"/>
      <c r="H12" s="29"/>
      <c r="I12" s="29"/>
      <c r="J12" s="29"/>
      <c r="K12" s="29"/>
      <c r="L12" s="29"/>
      <c r="M12" s="29"/>
      <c r="N12" s="29"/>
      <c r="O12" s="29"/>
      <c r="P12" s="29"/>
      <c r="Q12" s="29"/>
      <c r="R12" s="29"/>
      <c r="S12" s="29"/>
      <c r="T12" s="22"/>
      <c r="W12" s="66" t="s">
        <v>4</v>
      </c>
      <c r="X12" s="67">
        <v>4.8569999999999995E-2</v>
      </c>
    </row>
    <row r="13" spans="1:37" ht="15.75" customHeight="1" x14ac:dyDescent="0.25">
      <c r="B13" s="84"/>
      <c r="C13" s="197" t="s">
        <v>84</v>
      </c>
      <c r="D13" s="208" t="s">
        <v>3</v>
      </c>
      <c r="E13" s="209">
        <v>2.3907000000000001E-2</v>
      </c>
      <c r="F13" s="29"/>
      <c r="G13" s="29"/>
      <c r="H13" s="29"/>
      <c r="I13" s="29"/>
      <c r="J13" s="29"/>
      <c r="K13" s="29"/>
      <c r="L13" s="29"/>
      <c r="M13" s="29"/>
      <c r="N13" s="29"/>
      <c r="O13" s="29"/>
      <c r="P13" s="29"/>
      <c r="Q13" s="29"/>
      <c r="R13" s="29"/>
      <c r="S13" s="29"/>
      <c r="T13" s="22"/>
      <c r="W13" s="66" t="s">
        <v>6</v>
      </c>
      <c r="X13" s="67">
        <v>4.4089999999999997E-2</v>
      </c>
    </row>
    <row r="14" spans="1:37" ht="15" customHeight="1" x14ac:dyDescent="0.25">
      <c r="B14" s="84"/>
      <c r="C14" s="197" t="s">
        <v>80</v>
      </c>
      <c r="D14" s="208" t="s">
        <v>11</v>
      </c>
      <c r="E14" s="209">
        <v>2.2969E-2</v>
      </c>
      <c r="F14" s="29"/>
      <c r="G14" s="29"/>
      <c r="H14" s="29"/>
      <c r="I14" s="29"/>
      <c r="J14" s="29"/>
      <c r="K14" s="29"/>
      <c r="L14" s="29"/>
      <c r="M14" s="29"/>
      <c r="N14" s="29"/>
      <c r="O14" s="29"/>
      <c r="P14" s="29"/>
      <c r="Q14" s="29"/>
      <c r="R14" s="29"/>
      <c r="S14" s="29"/>
      <c r="T14" s="22"/>
      <c r="W14" s="66" t="s">
        <v>129</v>
      </c>
      <c r="X14" s="67">
        <v>4.0931000000000002E-2</v>
      </c>
    </row>
    <row r="15" spans="1:37" ht="15" customHeight="1" x14ac:dyDescent="0.25">
      <c r="B15" s="84"/>
      <c r="C15" s="197" t="s">
        <v>62</v>
      </c>
      <c r="D15" s="208" t="s">
        <v>10</v>
      </c>
      <c r="E15" s="209">
        <v>2.1846999999999998E-2</v>
      </c>
      <c r="F15" s="29"/>
      <c r="G15" s="29"/>
      <c r="H15" s="29"/>
      <c r="I15" s="29"/>
      <c r="J15" s="29"/>
      <c r="K15" s="29"/>
      <c r="L15" s="29"/>
      <c r="M15" s="29"/>
      <c r="N15" s="29"/>
      <c r="O15" s="29"/>
      <c r="P15" s="29"/>
      <c r="Q15" s="29"/>
      <c r="R15" s="29"/>
      <c r="S15" s="29"/>
      <c r="T15" s="22"/>
      <c r="W15" s="66" t="s">
        <v>91</v>
      </c>
      <c r="X15" s="67">
        <v>3.7822000000000001E-2</v>
      </c>
    </row>
    <row r="16" spans="1:37" ht="15" customHeight="1" x14ac:dyDescent="0.25">
      <c r="B16" s="84"/>
      <c r="C16" s="197" t="s">
        <v>119</v>
      </c>
      <c r="D16" s="208" t="s">
        <v>120</v>
      </c>
      <c r="E16" s="209">
        <v>2.0812000000000001E-2</v>
      </c>
      <c r="F16" s="29"/>
      <c r="G16" s="29"/>
      <c r="H16" s="29"/>
      <c r="I16" s="29"/>
      <c r="J16" s="29"/>
      <c r="K16" s="29"/>
      <c r="L16" s="29"/>
      <c r="M16" s="29"/>
      <c r="N16" s="29"/>
      <c r="O16" s="29"/>
      <c r="P16" s="29"/>
      <c r="Q16" s="29"/>
      <c r="R16" s="29"/>
      <c r="S16" s="29"/>
      <c r="T16" s="22"/>
      <c r="W16" s="66" t="s">
        <v>10</v>
      </c>
      <c r="X16" s="67">
        <v>3.5237999999999998E-2</v>
      </c>
    </row>
    <row r="17" spans="2:24" ht="15" customHeight="1" x14ac:dyDescent="0.25">
      <c r="B17" s="84"/>
      <c r="C17" s="197" t="s">
        <v>104</v>
      </c>
      <c r="D17" s="208" t="s">
        <v>129</v>
      </c>
      <c r="E17" s="209">
        <v>2.0461E-2</v>
      </c>
      <c r="F17" s="29"/>
      <c r="G17" s="29"/>
      <c r="H17" s="29"/>
      <c r="I17" s="29"/>
      <c r="J17" s="29"/>
      <c r="K17" s="29"/>
      <c r="L17" s="29"/>
      <c r="M17" s="29"/>
      <c r="N17" s="29"/>
      <c r="O17" s="29"/>
      <c r="P17" s="29"/>
      <c r="Q17" s="29"/>
      <c r="R17" s="29"/>
      <c r="S17" s="29"/>
      <c r="T17" s="22"/>
      <c r="W17" s="66" t="s">
        <v>120</v>
      </c>
      <c r="X17" s="67">
        <v>3.5006999999999996E-2</v>
      </c>
    </row>
    <row r="18" spans="2:24" ht="15" customHeight="1" x14ac:dyDescent="0.25">
      <c r="B18" s="84"/>
      <c r="C18" s="197" t="s">
        <v>30</v>
      </c>
      <c r="D18" s="208" t="s">
        <v>127</v>
      </c>
      <c r="E18" s="209">
        <v>2.0198000000000001E-2</v>
      </c>
      <c r="F18" s="29"/>
      <c r="G18" s="29"/>
      <c r="H18" s="29"/>
      <c r="I18" s="29"/>
      <c r="J18" s="29"/>
      <c r="K18" s="29"/>
      <c r="L18" s="29"/>
      <c r="M18" s="29"/>
      <c r="N18" s="29"/>
      <c r="O18" s="29"/>
      <c r="P18" s="29"/>
      <c r="Q18" s="29"/>
      <c r="R18" s="29"/>
      <c r="S18" s="29"/>
      <c r="T18" s="22"/>
      <c r="W18" s="66" t="s">
        <v>11</v>
      </c>
      <c r="X18" s="67">
        <v>3.3016000000000004E-2</v>
      </c>
    </row>
    <row r="19" spans="2:24" ht="15" customHeight="1" x14ac:dyDescent="0.25">
      <c r="B19" s="84"/>
      <c r="C19" s="197" t="s">
        <v>114</v>
      </c>
      <c r="D19" s="208" t="s">
        <v>121</v>
      </c>
      <c r="E19" s="209">
        <v>2.0150000000000001E-2</v>
      </c>
      <c r="F19" s="29"/>
      <c r="G19" s="29"/>
      <c r="H19" s="29"/>
      <c r="I19" s="29"/>
      <c r="J19" s="29"/>
      <c r="K19" s="29"/>
      <c r="L19" s="29"/>
      <c r="M19" s="29"/>
      <c r="N19" s="29"/>
      <c r="O19" s="29"/>
      <c r="P19" s="29"/>
      <c r="Q19" s="29"/>
      <c r="R19" s="29"/>
      <c r="S19" s="29"/>
      <c r="T19" s="22"/>
      <c r="W19" s="66" t="s">
        <v>89</v>
      </c>
      <c r="X19" s="67">
        <v>3.0702E-2</v>
      </c>
    </row>
    <row r="20" spans="2:24" ht="15" customHeight="1" x14ac:dyDescent="0.25">
      <c r="B20" s="84"/>
      <c r="C20" s="197" t="s">
        <v>159</v>
      </c>
      <c r="D20" s="208" t="s">
        <v>122</v>
      </c>
      <c r="E20" s="209">
        <v>1.9909E-2</v>
      </c>
      <c r="F20" s="29"/>
      <c r="G20" s="29"/>
      <c r="H20" s="29"/>
      <c r="I20" s="29"/>
      <c r="J20" s="29"/>
      <c r="K20" s="29"/>
      <c r="L20" s="29"/>
      <c r="M20" s="29"/>
      <c r="N20" s="29"/>
      <c r="O20" s="29"/>
      <c r="P20" s="29"/>
      <c r="Q20" s="29"/>
      <c r="R20" s="29"/>
      <c r="S20" s="29"/>
      <c r="T20" s="22"/>
      <c r="W20" s="66" t="s">
        <v>23</v>
      </c>
      <c r="X20" s="67">
        <v>2.6476E-2</v>
      </c>
    </row>
    <row r="21" spans="2:24" ht="15" customHeight="1" x14ac:dyDescent="0.25">
      <c r="B21" s="84"/>
      <c r="C21" s="197" t="s">
        <v>221</v>
      </c>
      <c r="D21" s="208" t="s">
        <v>117</v>
      </c>
      <c r="E21" s="209">
        <v>1.9692999999999999E-2</v>
      </c>
      <c r="F21" s="29"/>
      <c r="G21" s="29"/>
      <c r="H21" s="29"/>
      <c r="I21" s="29"/>
      <c r="J21" s="29"/>
      <c r="K21" s="29"/>
      <c r="L21" s="29"/>
      <c r="M21" s="29"/>
      <c r="N21" s="29"/>
      <c r="O21" s="29"/>
      <c r="P21" s="29"/>
      <c r="Q21" s="29"/>
      <c r="R21" s="29"/>
      <c r="S21" s="29"/>
      <c r="T21" s="22"/>
      <c r="W21" s="66" t="s">
        <v>16</v>
      </c>
      <c r="X21" s="67">
        <v>2.3789000000000001E-2</v>
      </c>
    </row>
    <row r="22" spans="2:24" ht="15" customHeight="1" x14ac:dyDescent="0.25">
      <c r="B22" s="84"/>
      <c r="C22" s="197" t="s">
        <v>312</v>
      </c>
      <c r="D22" s="208" t="s">
        <v>91</v>
      </c>
      <c r="E22" s="209">
        <v>1.9449999999999999E-2</v>
      </c>
      <c r="F22" s="29"/>
      <c r="G22" s="29"/>
      <c r="H22" s="29"/>
      <c r="I22" s="29"/>
      <c r="J22" s="29"/>
      <c r="K22" s="29"/>
      <c r="L22" s="29"/>
      <c r="M22" s="29"/>
      <c r="N22" s="29"/>
      <c r="O22" s="29"/>
      <c r="P22" s="29"/>
      <c r="Q22" s="29"/>
      <c r="R22" s="29"/>
      <c r="S22" s="29"/>
      <c r="T22" s="22"/>
      <c r="W22" s="66" t="s">
        <v>127</v>
      </c>
      <c r="X22" s="67">
        <v>2.0198000000000001E-2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116</v>
      </c>
      <c r="X23" s="67">
        <v>2.0105999999999999E-2</v>
      </c>
    </row>
    <row r="24" spans="2:24" ht="15" customHeight="1" x14ac:dyDescent="0.25">
      <c r="B24" s="84"/>
      <c r="C24" s="78" t="s">
        <v>55</v>
      </c>
      <c r="D24" s="79"/>
      <c r="E24" s="89">
        <f>SUM(E8:E22)</f>
        <v>0.40122900000000006</v>
      </c>
      <c r="F24" s="29"/>
      <c r="G24" s="29"/>
      <c r="H24" s="29"/>
      <c r="I24" s="29"/>
      <c r="J24" s="29"/>
      <c r="K24" s="29"/>
      <c r="L24" s="29"/>
      <c r="M24" s="29"/>
      <c r="N24" s="29"/>
      <c r="O24" s="29"/>
      <c r="P24" s="29"/>
      <c r="Q24" s="29"/>
      <c r="R24" s="29"/>
      <c r="S24" s="29"/>
      <c r="T24" s="22"/>
      <c r="W24" s="66" t="s">
        <v>118</v>
      </c>
      <c r="X24" s="67">
        <v>1.5591000000000001E-2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131</v>
      </c>
      <c r="X25" s="67">
        <v>1.4886E-2</v>
      </c>
    </row>
    <row r="26" spans="2:24" ht="15" customHeight="1" x14ac:dyDescent="0.25">
      <c r="B26" s="84"/>
      <c r="C26" s="90"/>
      <c r="D26" s="93"/>
      <c r="E26" s="169"/>
      <c r="F26" s="29"/>
      <c r="G26" s="29"/>
      <c r="H26" s="29"/>
      <c r="I26" s="29"/>
      <c r="J26" s="29"/>
      <c r="K26" s="29"/>
      <c r="L26" s="29"/>
      <c r="M26" s="29"/>
      <c r="N26" s="29"/>
      <c r="O26" s="29"/>
      <c r="P26" s="29"/>
      <c r="Q26" s="29"/>
      <c r="R26" s="29"/>
      <c r="S26" s="29"/>
      <c r="T26" s="22"/>
      <c r="W26" s="66" t="s">
        <v>25</v>
      </c>
      <c r="X26" s="67">
        <v>1.456E-2</v>
      </c>
    </row>
    <row r="27" spans="2:24" ht="15" customHeight="1" x14ac:dyDescent="0.25">
      <c r="B27" s="84"/>
      <c r="F27" s="29"/>
      <c r="G27" s="29"/>
      <c r="H27" s="29"/>
      <c r="I27" s="29"/>
      <c r="J27" s="29"/>
      <c r="K27" s="29"/>
      <c r="L27" s="29"/>
      <c r="M27" s="29"/>
      <c r="N27" s="29"/>
      <c r="O27" s="29"/>
      <c r="P27" s="29"/>
      <c r="Q27" s="29"/>
      <c r="R27" s="29"/>
      <c r="S27" s="29"/>
      <c r="T27" s="22"/>
      <c r="W27" s="66" t="s">
        <v>141</v>
      </c>
      <c r="X27" s="67">
        <v>1.3956E-2</v>
      </c>
    </row>
    <row r="28" spans="2:24" ht="15" customHeight="1" x14ac:dyDescent="0.25">
      <c r="B28" s="84"/>
      <c r="F28" s="29"/>
      <c r="G28" s="29"/>
      <c r="H28" s="29"/>
      <c r="I28" s="29"/>
      <c r="J28" s="29"/>
      <c r="K28" s="29"/>
      <c r="L28" s="29"/>
      <c r="M28" s="29"/>
      <c r="N28" s="29"/>
      <c r="O28" s="29"/>
      <c r="P28" s="29"/>
      <c r="Q28" s="29"/>
      <c r="R28" s="29"/>
      <c r="S28" s="29"/>
      <c r="T28" s="22"/>
      <c r="W28" s="66" t="s">
        <v>134</v>
      </c>
      <c r="X28" s="67">
        <v>1.3113E-2</v>
      </c>
    </row>
    <row r="29" spans="2:24" ht="15" customHeight="1" x14ac:dyDescent="0.25">
      <c r="B29" s="84"/>
      <c r="F29" s="29"/>
      <c r="G29" s="29"/>
      <c r="H29" s="29"/>
      <c r="I29" s="29"/>
      <c r="J29" s="29"/>
      <c r="K29" s="29"/>
      <c r="L29" s="29"/>
      <c r="M29" s="29"/>
      <c r="N29" s="29"/>
      <c r="O29" s="29"/>
      <c r="P29" s="29"/>
      <c r="Q29" s="29"/>
      <c r="R29" s="29"/>
      <c r="S29" s="29"/>
      <c r="T29" s="22"/>
      <c r="W29" s="66" t="s">
        <v>88</v>
      </c>
      <c r="X29" s="67">
        <v>1.3038000000000001E-2</v>
      </c>
    </row>
    <row r="30" spans="2:24" ht="15" customHeight="1" x14ac:dyDescent="0.25">
      <c r="B30" s="84"/>
      <c r="F30" s="29"/>
      <c r="G30" s="29"/>
      <c r="H30" s="29"/>
      <c r="I30" s="29"/>
      <c r="J30" s="29"/>
      <c r="K30" s="29"/>
      <c r="L30" s="29"/>
      <c r="M30" s="29"/>
      <c r="N30" s="29"/>
      <c r="O30" s="29"/>
      <c r="P30" s="29"/>
      <c r="Q30" s="29"/>
      <c r="R30" s="29"/>
      <c r="S30" s="29"/>
      <c r="T30" s="22"/>
      <c r="W30" s="66" t="s">
        <v>136</v>
      </c>
      <c r="X30" s="67">
        <v>1.1869000000000001E-2</v>
      </c>
    </row>
    <row r="31" spans="2:24" ht="15" customHeight="1" x14ac:dyDescent="0.25">
      <c r="B31" s="84"/>
      <c r="F31" s="29"/>
      <c r="G31" s="29"/>
      <c r="H31" s="29"/>
      <c r="I31" s="29"/>
      <c r="J31" s="29"/>
      <c r="K31" s="29"/>
      <c r="L31" s="29"/>
      <c r="M31" s="29"/>
      <c r="N31" s="29"/>
      <c r="O31" s="29"/>
      <c r="P31" s="29"/>
      <c r="Q31" s="29"/>
      <c r="R31" s="29"/>
      <c r="S31" s="29"/>
      <c r="T31" s="22"/>
      <c r="W31" s="66" t="s">
        <v>15</v>
      </c>
      <c r="X31" s="67">
        <v>1.1032999999999999E-2</v>
      </c>
    </row>
    <row r="32" spans="2:24" ht="15" customHeight="1" x14ac:dyDescent="0.25">
      <c r="B32" s="84"/>
      <c r="F32" s="29"/>
      <c r="G32" s="29"/>
      <c r="H32" s="29"/>
      <c r="I32" s="29"/>
      <c r="J32" s="29"/>
      <c r="K32" s="29"/>
      <c r="L32" s="29"/>
      <c r="M32" s="29"/>
      <c r="N32" s="29"/>
      <c r="O32" s="29"/>
      <c r="P32" s="29"/>
      <c r="Q32" s="29"/>
      <c r="R32" s="29"/>
      <c r="S32" s="29"/>
      <c r="T32" s="22"/>
      <c r="W32" s="66" t="s">
        <v>24</v>
      </c>
      <c r="X32" s="67">
        <v>1.0985999999999999E-2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13</v>
      </c>
      <c r="X33" s="67">
        <v>1.0961E-2</v>
      </c>
    </row>
    <row r="34" spans="2:24" ht="15" customHeight="1" thickBot="1" x14ac:dyDescent="0.3">
      <c r="W34" s="40" t="s">
        <v>12</v>
      </c>
      <c r="X34" s="67">
        <v>9.3069999999999993E-3</v>
      </c>
    </row>
    <row r="35" spans="2:24" ht="15" customHeight="1" x14ac:dyDescent="0.25">
      <c r="B35" s="253" t="s">
        <v>202</v>
      </c>
      <c r="C35" s="254"/>
      <c r="D35" s="254"/>
      <c r="E35" s="254"/>
      <c r="F35" s="254"/>
      <c r="G35" s="254"/>
      <c r="H35" s="254"/>
      <c r="I35" s="254"/>
      <c r="J35" s="254"/>
      <c r="K35" s="254"/>
      <c r="L35" s="254"/>
      <c r="M35" s="254"/>
      <c r="N35" s="254"/>
      <c r="O35" s="254"/>
      <c r="P35" s="254"/>
      <c r="Q35" s="254"/>
      <c r="R35" s="255"/>
      <c r="W35" s="40" t="s">
        <v>26</v>
      </c>
      <c r="X35" s="67">
        <v>9.2800000000000001E-3</v>
      </c>
    </row>
    <row r="36" spans="2:24" ht="15" customHeight="1" x14ac:dyDescent="0.25">
      <c r="B36" s="256"/>
      <c r="C36" s="257"/>
      <c r="D36" s="257"/>
      <c r="E36" s="257"/>
      <c r="F36" s="257"/>
      <c r="G36" s="257"/>
      <c r="H36" s="257"/>
      <c r="I36" s="257"/>
      <c r="J36" s="257"/>
      <c r="K36" s="257"/>
      <c r="L36" s="257"/>
      <c r="M36" s="257"/>
      <c r="N36" s="257"/>
      <c r="O36" s="257"/>
      <c r="P36" s="257"/>
      <c r="Q36" s="257"/>
      <c r="R36" s="258"/>
      <c r="W36" s="40" t="s">
        <v>123</v>
      </c>
      <c r="X36" s="67">
        <v>9.2630000000000004E-3</v>
      </c>
    </row>
    <row r="37" spans="2:24" ht="15" customHeight="1" x14ac:dyDescent="0.25">
      <c r="B37" s="256"/>
      <c r="C37" s="257"/>
      <c r="D37" s="257"/>
      <c r="E37" s="257"/>
      <c r="F37" s="257"/>
      <c r="G37" s="257"/>
      <c r="H37" s="257"/>
      <c r="I37" s="257"/>
      <c r="J37" s="257"/>
      <c r="K37" s="257"/>
      <c r="L37" s="257"/>
      <c r="M37" s="257"/>
      <c r="N37" s="257"/>
      <c r="O37" s="257"/>
      <c r="P37" s="257"/>
      <c r="Q37" s="257"/>
      <c r="R37" s="258"/>
      <c r="W37" s="40" t="s">
        <v>126</v>
      </c>
      <c r="X37" s="67">
        <v>7.8569999999999994E-3</v>
      </c>
    </row>
    <row r="38" spans="2:24" ht="15" customHeight="1" x14ac:dyDescent="0.25">
      <c r="B38" s="256"/>
      <c r="C38" s="257"/>
      <c r="D38" s="257"/>
      <c r="E38" s="257"/>
      <c r="F38" s="257"/>
      <c r="G38" s="257"/>
      <c r="H38" s="257"/>
      <c r="I38" s="257"/>
      <c r="J38" s="257"/>
      <c r="K38" s="257"/>
      <c r="L38" s="257"/>
      <c r="M38" s="257"/>
      <c r="N38" s="257"/>
      <c r="O38" s="257"/>
      <c r="P38" s="257"/>
      <c r="Q38" s="257"/>
      <c r="R38" s="258"/>
      <c r="X38" s="67"/>
    </row>
    <row r="39" spans="2:24" ht="15" customHeight="1" x14ac:dyDescent="0.25">
      <c r="B39" s="256"/>
      <c r="C39" s="257"/>
      <c r="D39" s="257"/>
      <c r="E39" s="257"/>
      <c r="F39" s="257"/>
      <c r="G39" s="257"/>
      <c r="H39" s="257"/>
      <c r="I39" s="257"/>
      <c r="J39" s="257"/>
      <c r="K39" s="257"/>
      <c r="L39" s="257"/>
      <c r="M39" s="257"/>
      <c r="N39" s="257"/>
      <c r="O39" s="257"/>
      <c r="P39" s="257"/>
      <c r="Q39" s="257"/>
      <c r="R39" s="258"/>
    </row>
    <row r="40" spans="2:24" ht="15" customHeight="1" x14ac:dyDescent="0.25">
      <c r="B40" s="256"/>
      <c r="C40" s="257"/>
      <c r="D40" s="257"/>
      <c r="E40" s="257"/>
      <c r="F40" s="257"/>
      <c r="G40" s="257"/>
      <c r="H40" s="257"/>
      <c r="I40" s="257"/>
      <c r="J40" s="257"/>
      <c r="K40" s="257"/>
      <c r="L40" s="257"/>
      <c r="M40" s="257"/>
      <c r="N40" s="257"/>
      <c r="O40" s="257"/>
      <c r="P40" s="257"/>
      <c r="Q40" s="257"/>
      <c r="R40" s="258"/>
    </row>
    <row r="41" spans="2:24" ht="15" customHeight="1" thickBot="1" x14ac:dyDescent="0.3">
      <c r="B41" s="259"/>
      <c r="C41" s="260"/>
      <c r="D41" s="260"/>
      <c r="E41" s="260"/>
      <c r="F41" s="260"/>
      <c r="G41" s="260"/>
      <c r="H41" s="260"/>
      <c r="I41" s="260"/>
      <c r="J41" s="260"/>
      <c r="K41" s="260"/>
      <c r="L41" s="260"/>
      <c r="M41" s="260"/>
      <c r="N41" s="260"/>
      <c r="O41" s="260"/>
      <c r="P41" s="260"/>
      <c r="Q41" s="260"/>
      <c r="R41" s="261"/>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2" t="s">
        <v>187</v>
      </c>
      <c r="D3" s="263"/>
      <c r="E3" s="263"/>
      <c r="F3" s="263"/>
      <c r="G3" s="263"/>
      <c r="H3" s="263"/>
      <c r="I3" s="263"/>
      <c r="J3" s="263"/>
      <c r="K3" s="263"/>
      <c r="L3" s="263"/>
      <c r="M3" s="263"/>
      <c r="N3" s="263"/>
      <c r="O3" s="263"/>
      <c r="P3" s="263"/>
      <c r="Q3" s="263"/>
      <c r="R3" s="263"/>
      <c r="S3" s="263"/>
      <c r="T3" s="22"/>
      <c r="V3" s="41"/>
      <c r="W3" s="41"/>
      <c r="X3" s="41"/>
      <c r="Y3" s="41"/>
      <c r="Z3" s="41"/>
      <c r="AA3" s="41"/>
    </row>
    <row r="4" spans="1:27" ht="15.75" customHeight="1" x14ac:dyDescent="0.25">
      <c r="B4" s="84"/>
      <c r="C4" s="72" t="s">
        <v>354</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355</v>
      </c>
      <c r="D5" s="264" t="s">
        <v>327</v>
      </c>
      <c r="E5" s="264"/>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149</v>
      </c>
      <c r="D8" s="206" t="s">
        <v>26</v>
      </c>
      <c r="E8" s="215">
        <v>3.9148000000000002E-2</v>
      </c>
      <c r="F8" s="29"/>
      <c r="G8" s="29"/>
      <c r="H8" s="29"/>
      <c r="I8" s="29"/>
      <c r="J8" s="29"/>
      <c r="K8" s="29"/>
      <c r="L8" s="29"/>
      <c r="M8" s="29"/>
      <c r="N8" s="29"/>
      <c r="O8" s="29"/>
      <c r="P8" s="29"/>
      <c r="Q8" s="29"/>
      <c r="R8" s="29"/>
      <c r="S8" s="29"/>
      <c r="T8" s="22"/>
      <c r="V8" s="166"/>
      <c r="W8" s="188" t="s">
        <v>24</v>
      </c>
      <c r="X8" s="187">
        <v>0.14430800000000002</v>
      </c>
      <c r="Y8" s="166"/>
      <c r="Z8" s="41"/>
      <c r="AA8" s="41"/>
    </row>
    <row r="9" spans="1:27" ht="15.75" customHeight="1" x14ac:dyDescent="0.25">
      <c r="B9" s="84"/>
      <c r="C9" s="197" t="s">
        <v>150</v>
      </c>
      <c r="D9" s="208" t="s">
        <v>24</v>
      </c>
      <c r="E9" s="216">
        <v>3.6707999999999998E-2</v>
      </c>
      <c r="F9" s="29"/>
      <c r="G9" s="29"/>
      <c r="H9" s="29"/>
      <c r="I9" s="29"/>
      <c r="J9" s="29"/>
      <c r="K9" s="29"/>
      <c r="L9" s="29"/>
      <c r="M9" s="29"/>
      <c r="N9" s="29"/>
      <c r="O9" s="29"/>
      <c r="P9" s="29"/>
      <c r="Q9" s="29"/>
      <c r="R9" s="29"/>
      <c r="S9" s="29"/>
      <c r="T9" s="22"/>
      <c r="V9" s="166"/>
      <c r="W9" s="188" t="s">
        <v>120</v>
      </c>
      <c r="X9" s="187">
        <v>8.3796999999999996E-2</v>
      </c>
      <c r="Y9" s="166"/>
      <c r="Z9" s="41"/>
      <c r="AA9" s="41"/>
    </row>
    <row r="10" spans="1:27" ht="15" customHeight="1" x14ac:dyDescent="0.25">
      <c r="B10" s="84"/>
      <c r="C10" s="197" t="s">
        <v>100</v>
      </c>
      <c r="D10" s="208" t="s">
        <v>89</v>
      </c>
      <c r="E10" s="216">
        <v>2.8962000000000002E-2</v>
      </c>
      <c r="F10" s="29"/>
      <c r="G10" s="29"/>
      <c r="H10" s="29"/>
      <c r="I10" s="29"/>
      <c r="J10" s="29"/>
      <c r="K10" s="29"/>
      <c r="L10" s="29"/>
      <c r="M10" s="29"/>
      <c r="N10" s="29"/>
      <c r="O10" s="29"/>
      <c r="P10" s="29"/>
      <c r="Q10" s="29"/>
      <c r="R10" s="29"/>
      <c r="S10" s="29"/>
      <c r="T10" s="22"/>
      <c r="V10" s="166"/>
      <c r="W10" s="188" t="s">
        <v>129</v>
      </c>
      <c r="X10" s="187">
        <v>6.8467E-2</v>
      </c>
      <c r="Y10" s="166"/>
      <c r="Z10" s="41"/>
      <c r="AA10" s="41"/>
    </row>
    <row r="11" spans="1:27" ht="15" customHeight="1" x14ac:dyDescent="0.25">
      <c r="B11" s="84"/>
      <c r="C11" s="197" t="s">
        <v>215</v>
      </c>
      <c r="D11" s="208" t="s">
        <v>117</v>
      </c>
      <c r="E11" s="216">
        <v>2.8812000000000001E-2</v>
      </c>
      <c r="F11" s="29"/>
      <c r="G11" s="29"/>
      <c r="H11" s="29"/>
      <c r="I11" s="29"/>
      <c r="J11" s="29"/>
      <c r="K11" s="29"/>
      <c r="L11" s="29"/>
      <c r="M11" s="29"/>
      <c r="N11" s="29"/>
      <c r="O11" s="29"/>
      <c r="P11" s="29"/>
      <c r="Q11" s="29"/>
      <c r="R11" s="29"/>
      <c r="S11" s="29"/>
      <c r="T11" s="22"/>
      <c r="V11" s="166"/>
      <c r="W11" s="188" t="s">
        <v>117</v>
      </c>
      <c r="X11" s="187">
        <v>6.5801999999999999E-2</v>
      </c>
      <c r="Y11" s="166"/>
      <c r="Z11" s="41"/>
      <c r="AA11" s="41"/>
    </row>
    <row r="12" spans="1:27" ht="15" customHeight="1" x14ac:dyDescent="0.25">
      <c r="B12" s="84"/>
      <c r="C12" s="197" t="s">
        <v>205</v>
      </c>
      <c r="D12" s="208" t="s">
        <v>24</v>
      </c>
      <c r="E12" s="216">
        <v>2.5588E-2</v>
      </c>
      <c r="F12" s="29"/>
      <c r="G12" s="29"/>
      <c r="H12" s="29"/>
      <c r="I12" s="29"/>
      <c r="J12" s="29"/>
      <c r="K12" s="29"/>
      <c r="L12" s="29"/>
      <c r="M12" s="29"/>
      <c r="N12" s="29"/>
      <c r="O12" s="29"/>
      <c r="P12" s="29"/>
      <c r="Q12" s="29"/>
      <c r="R12" s="29"/>
      <c r="S12" s="29"/>
      <c r="T12" s="22"/>
      <c r="V12" s="166"/>
      <c r="W12" s="188" t="s">
        <v>26</v>
      </c>
      <c r="X12" s="187">
        <v>6.3312999999999994E-2</v>
      </c>
      <c r="Y12" s="166"/>
      <c r="Z12" s="41"/>
      <c r="AA12" s="41"/>
    </row>
    <row r="13" spans="1:27" ht="15" customHeight="1" x14ac:dyDescent="0.25">
      <c r="B13" s="84"/>
      <c r="C13" s="197" t="s">
        <v>356</v>
      </c>
      <c r="D13" s="208" t="s">
        <v>124</v>
      </c>
      <c r="E13" s="216">
        <v>2.5440000000000001E-2</v>
      </c>
      <c r="F13" s="29"/>
      <c r="G13" s="29"/>
      <c r="H13" s="29"/>
      <c r="I13" s="29"/>
      <c r="J13" s="29"/>
      <c r="K13" s="29"/>
      <c r="L13" s="29"/>
      <c r="M13" s="29"/>
      <c r="N13" s="29"/>
      <c r="O13" s="29"/>
      <c r="P13" s="29"/>
      <c r="Q13" s="29"/>
      <c r="R13" s="29"/>
      <c r="S13" s="29"/>
      <c r="T13" s="22"/>
      <c r="V13" s="166"/>
      <c r="W13" s="188" t="s">
        <v>16</v>
      </c>
      <c r="X13" s="187">
        <v>5.2421999999999996E-2</v>
      </c>
      <c r="Y13" s="166"/>
      <c r="Z13" s="41"/>
      <c r="AA13" s="41"/>
    </row>
    <row r="14" spans="1:27" ht="15" customHeight="1" x14ac:dyDescent="0.25">
      <c r="B14" s="84"/>
      <c r="C14" s="197" t="s">
        <v>144</v>
      </c>
      <c r="D14" s="208" t="s">
        <v>122</v>
      </c>
      <c r="E14" s="216">
        <v>2.5340999999999999E-2</v>
      </c>
      <c r="F14" s="29"/>
      <c r="G14" s="29"/>
      <c r="H14" s="29"/>
      <c r="I14" s="29"/>
      <c r="J14" s="29"/>
      <c r="K14" s="29"/>
      <c r="L14" s="29"/>
      <c r="M14" s="29"/>
      <c r="N14" s="29"/>
      <c r="O14" s="29"/>
      <c r="P14" s="29"/>
      <c r="Q14" s="29"/>
      <c r="R14" s="29"/>
      <c r="S14" s="29"/>
      <c r="T14" s="22"/>
      <c r="V14" s="166"/>
      <c r="W14" s="188" t="s">
        <v>4</v>
      </c>
      <c r="X14" s="187">
        <v>4.3748000000000002E-2</v>
      </c>
      <c r="Y14" s="166"/>
      <c r="Z14" s="41"/>
      <c r="AA14" s="41"/>
    </row>
    <row r="15" spans="1:27" ht="15.75" customHeight="1" x14ac:dyDescent="0.25">
      <c r="B15" s="84"/>
      <c r="C15" s="197" t="s">
        <v>104</v>
      </c>
      <c r="D15" s="208" t="s">
        <v>129</v>
      </c>
      <c r="E15" s="216">
        <v>2.4636999999999999E-2</v>
      </c>
      <c r="F15" s="29"/>
      <c r="G15" s="29"/>
      <c r="H15" s="29"/>
      <c r="I15" s="29"/>
      <c r="J15" s="29"/>
      <c r="K15" s="29"/>
      <c r="L15" s="29"/>
      <c r="M15" s="29"/>
      <c r="N15" s="29"/>
      <c r="O15" s="29"/>
      <c r="P15" s="29"/>
      <c r="Q15" s="29"/>
      <c r="R15" s="29"/>
      <c r="S15" s="29"/>
      <c r="T15" s="22"/>
      <c r="V15" s="166"/>
      <c r="W15" s="188" t="s">
        <v>3</v>
      </c>
      <c r="X15" s="187">
        <v>4.0475999999999998E-2</v>
      </c>
      <c r="Y15" s="166"/>
      <c r="Z15" s="41"/>
      <c r="AA15" s="41"/>
    </row>
    <row r="16" spans="1:27" ht="15" customHeight="1" x14ac:dyDescent="0.25">
      <c r="B16" s="84"/>
      <c r="C16" s="197" t="s">
        <v>146</v>
      </c>
      <c r="D16" s="208" t="s">
        <v>120</v>
      </c>
      <c r="E16" s="216">
        <v>2.1583999999999999E-2</v>
      </c>
      <c r="F16" s="29"/>
      <c r="G16" s="29"/>
      <c r="H16" s="29"/>
      <c r="I16" s="29"/>
      <c r="J16" s="29"/>
      <c r="K16" s="29"/>
      <c r="L16" s="29"/>
      <c r="M16" s="29"/>
      <c r="N16" s="29"/>
      <c r="O16" s="29"/>
      <c r="P16" s="29"/>
      <c r="Q16" s="29"/>
      <c r="R16" s="29"/>
      <c r="S16" s="29"/>
      <c r="T16" s="22"/>
      <c r="V16" s="166"/>
      <c r="W16" s="188" t="s">
        <v>126</v>
      </c>
      <c r="X16" s="187">
        <v>3.6878000000000001E-2</v>
      </c>
      <c r="Y16" s="166"/>
      <c r="Z16" s="41"/>
      <c r="AA16" s="41"/>
    </row>
    <row r="17" spans="2:27" ht="15.75" customHeight="1" x14ac:dyDescent="0.25">
      <c r="B17" s="84"/>
      <c r="C17" s="197" t="s">
        <v>357</v>
      </c>
      <c r="D17" s="208" t="s">
        <v>3</v>
      </c>
      <c r="E17" s="216">
        <v>2.0972000000000001E-2</v>
      </c>
      <c r="F17" s="29"/>
      <c r="G17" s="29"/>
      <c r="H17" s="29"/>
      <c r="I17" s="29"/>
      <c r="J17" s="29"/>
      <c r="K17" s="29"/>
      <c r="L17" s="29"/>
      <c r="M17" s="29"/>
      <c r="N17" s="29"/>
      <c r="O17" s="29"/>
      <c r="P17" s="29"/>
      <c r="Q17" s="29"/>
      <c r="R17" s="29"/>
      <c r="S17" s="29"/>
      <c r="T17" s="22"/>
      <c r="V17" s="166"/>
      <c r="W17" s="188" t="s">
        <v>89</v>
      </c>
      <c r="X17" s="187">
        <v>3.5640999999999999E-2</v>
      </c>
      <c r="Y17" s="166"/>
      <c r="Z17" s="41"/>
      <c r="AA17" s="41"/>
    </row>
    <row r="18" spans="2:27" ht="15.75" x14ac:dyDescent="0.25">
      <c r="B18" s="84"/>
      <c r="C18" s="197" t="s">
        <v>358</v>
      </c>
      <c r="D18" s="208" t="s">
        <v>120</v>
      </c>
      <c r="E18" s="216">
        <v>2.0496E-2</v>
      </c>
      <c r="F18" s="29"/>
      <c r="G18" s="29"/>
      <c r="H18" s="29"/>
      <c r="I18" s="29"/>
      <c r="J18" s="29"/>
      <c r="K18" s="29"/>
      <c r="L18" s="29"/>
      <c r="M18" s="29"/>
      <c r="N18" s="29"/>
      <c r="O18" s="29"/>
      <c r="P18" s="29"/>
      <c r="Q18" s="29"/>
      <c r="R18" s="29"/>
      <c r="S18" s="29"/>
      <c r="T18" s="22"/>
      <c r="V18" s="166"/>
      <c r="W18" s="188" t="s">
        <v>122</v>
      </c>
      <c r="X18" s="187">
        <v>3.5247000000000001E-2</v>
      </c>
      <c r="Y18" s="166"/>
      <c r="Z18" s="41"/>
      <c r="AA18" s="41"/>
    </row>
    <row r="19" spans="2:27" ht="15.75" customHeight="1" x14ac:dyDescent="0.25">
      <c r="B19" s="84"/>
      <c r="C19" s="197" t="s">
        <v>262</v>
      </c>
      <c r="D19" s="208" t="s">
        <v>123</v>
      </c>
      <c r="E19" s="216">
        <v>1.8529E-2</v>
      </c>
      <c r="F19" s="29"/>
      <c r="G19" s="29"/>
      <c r="H19" s="29"/>
      <c r="I19" s="29"/>
      <c r="J19" s="29"/>
      <c r="K19" s="29"/>
      <c r="L19" s="29"/>
      <c r="M19" s="29"/>
      <c r="N19" s="29"/>
      <c r="O19" s="29"/>
      <c r="P19" s="29"/>
      <c r="Q19" s="29"/>
      <c r="R19" s="29"/>
      <c r="S19" s="29"/>
      <c r="T19" s="22"/>
      <c r="V19" s="166"/>
      <c r="W19" s="188" t="s">
        <v>121</v>
      </c>
      <c r="X19" s="187">
        <v>2.9432E-2</v>
      </c>
      <c r="Y19" s="166"/>
      <c r="Z19" s="41"/>
      <c r="AA19" s="41"/>
    </row>
    <row r="20" spans="2:27" ht="15" customHeight="1" x14ac:dyDescent="0.25">
      <c r="B20" s="84"/>
      <c r="C20" s="197" t="s">
        <v>208</v>
      </c>
      <c r="D20" s="208" t="s">
        <v>24</v>
      </c>
      <c r="E20" s="216">
        <v>1.8467999999999998E-2</v>
      </c>
      <c r="F20" s="29"/>
      <c r="G20" s="29"/>
      <c r="H20" s="29"/>
      <c r="I20" s="29"/>
      <c r="J20" s="29"/>
      <c r="K20" s="29"/>
      <c r="L20" s="29"/>
      <c r="M20" s="29"/>
      <c r="N20" s="29"/>
      <c r="O20" s="29"/>
      <c r="P20" s="29"/>
      <c r="Q20" s="29"/>
      <c r="R20" s="29"/>
      <c r="S20" s="29"/>
      <c r="T20" s="22"/>
      <c r="V20" s="166"/>
      <c r="W20" s="188" t="s">
        <v>116</v>
      </c>
      <c r="X20" s="187">
        <v>2.7063999999999998E-2</v>
      </c>
      <c r="Y20" s="166"/>
      <c r="Z20" s="41"/>
      <c r="AA20" s="41"/>
    </row>
    <row r="21" spans="2:27" ht="15" customHeight="1" x14ac:dyDescent="0.25">
      <c r="B21" s="84"/>
      <c r="C21" s="197" t="s">
        <v>75</v>
      </c>
      <c r="D21" s="208" t="s">
        <v>10</v>
      </c>
      <c r="E21" s="216">
        <v>1.7507999999999999E-2</v>
      </c>
      <c r="F21" s="29"/>
      <c r="G21" s="29"/>
      <c r="H21" s="29"/>
      <c r="I21" s="29"/>
      <c r="J21" s="29"/>
      <c r="K21" s="29"/>
      <c r="L21" s="29"/>
      <c r="M21" s="29"/>
      <c r="N21" s="29"/>
      <c r="O21" s="29"/>
      <c r="P21" s="29"/>
      <c r="Q21" s="29"/>
      <c r="R21" s="29"/>
      <c r="S21" s="29"/>
      <c r="T21" s="22"/>
      <c r="V21" s="166"/>
      <c r="W21" s="188" t="s">
        <v>82</v>
      </c>
      <c r="X21" s="187">
        <v>2.5549000000000002E-2</v>
      </c>
      <c r="Y21" s="166"/>
      <c r="Z21" s="41"/>
      <c r="AA21" s="41"/>
    </row>
    <row r="22" spans="2:27" ht="15" customHeight="1" x14ac:dyDescent="0.25">
      <c r="B22" s="84"/>
      <c r="C22" s="197" t="s">
        <v>359</v>
      </c>
      <c r="D22" s="208" t="s">
        <v>16</v>
      </c>
      <c r="E22" s="216">
        <v>1.7236000000000001E-2</v>
      </c>
      <c r="F22" s="29"/>
      <c r="G22" s="29"/>
      <c r="H22" s="29"/>
      <c r="I22" s="29"/>
      <c r="J22" s="29"/>
      <c r="K22" s="29"/>
      <c r="L22" s="29"/>
      <c r="M22" s="29"/>
      <c r="N22" s="29"/>
      <c r="O22" s="29"/>
      <c r="P22" s="29"/>
      <c r="Q22" s="29"/>
      <c r="R22" s="29"/>
      <c r="S22" s="29"/>
      <c r="T22" s="22"/>
      <c r="V22" s="166"/>
      <c r="W22" s="188" t="s">
        <v>124</v>
      </c>
      <c r="X22" s="187">
        <v>2.5440000000000001E-2</v>
      </c>
      <c r="Y22" s="166"/>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6"/>
      <c r="W23" s="188" t="s">
        <v>123</v>
      </c>
      <c r="X23" s="187">
        <v>2.0537E-2</v>
      </c>
      <c r="Y23" s="166"/>
      <c r="Z23" s="41"/>
      <c r="AA23" s="41"/>
    </row>
    <row r="24" spans="2:27" ht="15" customHeight="1" x14ac:dyDescent="0.25">
      <c r="B24" s="84"/>
      <c r="C24" s="78" t="s">
        <v>55</v>
      </c>
      <c r="D24" s="79"/>
      <c r="E24" s="80">
        <f>SUM(E8:E23)</f>
        <v>0.36942900000000001</v>
      </c>
      <c r="F24" s="29"/>
      <c r="G24" s="29"/>
      <c r="H24" s="29"/>
      <c r="I24" s="29"/>
      <c r="J24" s="29"/>
      <c r="K24" s="29"/>
      <c r="L24" s="29"/>
      <c r="M24" s="29"/>
      <c r="N24" s="29"/>
      <c r="O24" s="29"/>
      <c r="P24" s="29"/>
      <c r="Q24" s="29"/>
      <c r="R24" s="29"/>
      <c r="S24" s="29"/>
      <c r="T24" s="22"/>
      <c r="V24" s="166"/>
      <c r="W24" s="188" t="s">
        <v>92</v>
      </c>
      <c r="X24" s="187">
        <v>1.8321999999999998E-2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147</v>
      </c>
      <c r="X25" s="187">
        <v>1.7663999999999999E-2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10</v>
      </c>
      <c r="X26" s="187">
        <v>1.7507999999999999E-2</v>
      </c>
      <c r="Y26" s="166"/>
      <c r="Z26" s="41"/>
      <c r="AA26" s="41"/>
    </row>
    <row r="27" spans="2:27" ht="15" customHeight="1" x14ac:dyDescent="0.25">
      <c r="B27" s="84"/>
      <c r="F27" s="29"/>
      <c r="G27" s="29"/>
      <c r="H27" s="29"/>
      <c r="I27" s="29"/>
      <c r="J27" s="29"/>
      <c r="K27" s="29"/>
      <c r="L27" s="29"/>
      <c r="M27" s="29"/>
      <c r="N27" s="29"/>
      <c r="O27" s="29"/>
      <c r="P27" s="29"/>
      <c r="Q27" s="29"/>
      <c r="R27" s="29"/>
      <c r="S27" s="29"/>
      <c r="T27" s="22"/>
      <c r="V27" s="166"/>
      <c r="W27" s="188" t="s">
        <v>12</v>
      </c>
      <c r="X27" s="187">
        <v>1.5737999999999999E-2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209</v>
      </c>
      <c r="X28" s="187">
        <v>1.5153E-2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88</v>
      </c>
      <c r="X29" s="187">
        <v>1.2083999999999999E-2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128</v>
      </c>
      <c r="X30" s="187">
        <v>1.1801000000000001E-2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132</v>
      </c>
      <c r="X31" s="187">
        <v>1.0544E-2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8" t="s">
        <v>133</v>
      </c>
      <c r="X32" s="187">
        <v>9.5219999999999992E-3</v>
      </c>
    </row>
    <row r="33" spans="2:24" ht="15" customHeight="1" thickBot="1" x14ac:dyDescent="0.3">
      <c r="W33" s="188" t="s">
        <v>161</v>
      </c>
      <c r="X33" s="187">
        <v>8.2509999999999997E-3</v>
      </c>
    </row>
    <row r="34" spans="2:24" ht="15" customHeight="1" x14ac:dyDescent="0.25">
      <c r="B34" s="253" t="s">
        <v>202</v>
      </c>
      <c r="C34" s="254"/>
      <c r="D34" s="254"/>
      <c r="E34" s="254"/>
      <c r="F34" s="254"/>
      <c r="G34" s="254"/>
      <c r="H34" s="254"/>
      <c r="I34" s="254"/>
      <c r="J34" s="254"/>
      <c r="K34" s="254"/>
      <c r="L34" s="254"/>
      <c r="M34" s="254"/>
      <c r="N34" s="254"/>
      <c r="O34" s="254"/>
      <c r="P34" s="254"/>
      <c r="Q34" s="254"/>
      <c r="R34" s="255"/>
      <c r="W34" s="188" t="s">
        <v>13</v>
      </c>
      <c r="X34" s="187">
        <v>6.332E-3</v>
      </c>
    </row>
    <row r="35" spans="2:24" ht="15" customHeight="1" x14ac:dyDescent="0.25">
      <c r="B35" s="256"/>
      <c r="C35" s="257"/>
      <c r="D35" s="257"/>
      <c r="E35" s="257"/>
      <c r="F35" s="257"/>
      <c r="G35" s="257"/>
      <c r="H35" s="257"/>
      <c r="I35" s="257"/>
      <c r="J35" s="257"/>
      <c r="K35" s="257"/>
      <c r="L35" s="257"/>
      <c r="M35" s="257"/>
      <c r="N35" s="257"/>
      <c r="O35" s="257"/>
      <c r="P35" s="257"/>
      <c r="Q35" s="257"/>
      <c r="R35" s="258"/>
      <c r="W35" s="188" t="s">
        <v>134</v>
      </c>
      <c r="X35" s="187">
        <v>5.3610000000000003E-3</v>
      </c>
    </row>
    <row r="36" spans="2:24" ht="15" customHeight="1" x14ac:dyDescent="0.25">
      <c r="B36" s="256"/>
      <c r="C36" s="257"/>
      <c r="D36" s="257"/>
      <c r="E36" s="257"/>
      <c r="F36" s="257"/>
      <c r="G36" s="257"/>
      <c r="H36" s="257"/>
      <c r="I36" s="257"/>
      <c r="J36" s="257"/>
      <c r="K36" s="257"/>
      <c r="L36" s="257"/>
      <c r="M36" s="257"/>
      <c r="N36" s="257"/>
      <c r="O36" s="257"/>
      <c r="P36" s="257"/>
      <c r="Q36" s="257"/>
      <c r="R36" s="258"/>
      <c r="W36" s="188" t="s">
        <v>11</v>
      </c>
      <c r="X36" s="187">
        <v>5.0530000000000002E-3</v>
      </c>
    </row>
    <row r="37" spans="2:24" ht="15" customHeight="1" x14ac:dyDescent="0.25">
      <c r="B37" s="256"/>
      <c r="C37" s="257"/>
      <c r="D37" s="257"/>
      <c r="E37" s="257"/>
      <c r="F37" s="257"/>
      <c r="G37" s="257"/>
      <c r="H37" s="257"/>
      <c r="I37" s="257"/>
      <c r="J37" s="257"/>
      <c r="K37" s="257"/>
      <c r="L37" s="257"/>
      <c r="M37" s="257"/>
      <c r="N37" s="257"/>
      <c r="O37" s="257"/>
      <c r="P37" s="257"/>
      <c r="Q37" s="257"/>
      <c r="R37" s="258"/>
      <c r="W37" s="19" t="s">
        <v>90</v>
      </c>
      <c r="X37" s="187">
        <v>5.0390000000000001E-3</v>
      </c>
    </row>
    <row r="38" spans="2:24" ht="15" customHeight="1" x14ac:dyDescent="0.25">
      <c r="B38" s="256"/>
      <c r="C38" s="257"/>
      <c r="D38" s="257"/>
      <c r="E38" s="257"/>
      <c r="F38" s="257"/>
      <c r="G38" s="257"/>
      <c r="H38" s="257"/>
      <c r="I38" s="257"/>
      <c r="J38" s="257"/>
      <c r="K38" s="257"/>
      <c r="L38" s="257"/>
      <c r="M38" s="257"/>
      <c r="N38" s="257"/>
      <c r="O38" s="257"/>
      <c r="P38" s="257"/>
      <c r="Q38" s="257"/>
      <c r="R38" s="258"/>
      <c r="W38" s="19" t="s">
        <v>311</v>
      </c>
      <c r="X38" s="187">
        <v>4.1729999999999996E-3</v>
      </c>
    </row>
    <row r="39" spans="2:24" ht="15" customHeight="1" x14ac:dyDescent="0.25">
      <c r="B39" s="256"/>
      <c r="C39" s="257"/>
      <c r="D39" s="257"/>
      <c r="E39" s="257"/>
      <c r="F39" s="257"/>
      <c r="G39" s="257"/>
      <c r="H39" s="257"/>
      <c r="I39" s="257"/>
      <c r="J39" s="257"/>
      <c r="K39" s="257"/>
      <c r="L39" s="257"/>
      <c r="M39" s="257"/>
      <c r="N39" s="257"/>
      <c r="O39" s="257"/>
      <c r="P39" s="257"/>
      <c r="Q39" s="257"/>
      <c r="R39" s="258"/>
      <c r="W39" s="19" t="s">
        <v>118</v>
      </c>
      <c r="X39" s="187">
        <v>1.3780000000000001E-3</v>
      </c>
    </row>
    <row r="40" spans="2:24" ht="21.75" customHeight="1" thickBot="1" x14ac:dyDescent="0.3">
      <c r="B40" s="259"/>
      <c r="C40" s="260"/>
      <c r="D40" s="260"/>
      <c r="E40" s="260"/>
      <c r="F40" s="260"/>
      <c r="G40" s="260"/>
      <c r="H40" s="260"/>
      <c r="I40" s="260"/>
      <c r="J40" s="260"/>
      <c r="K40" s="260"/>
      <c r="L40" s="260"/>
      <c r="M40" s="260"/>
      <c r="N40" s="260"/>
      <c r="O40" s="260"/>
      <c r="P40" s="260"/>
      <c r="Q40" s="260"/>
      <c r="R40" s="261"/>
      <c r="W40" s="19" t="s">
        <v>210</v>
      </c>
      <c r="X40" s="187">
        <v>1.0510000000000001E-3</v>
      </c>
    </row>
    <row r="41" spans="2:24" ht="15" customHeight="1" x14ac:dyDescent="0.25">
      <c r="X41" s="18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2" t="s">
        <v>186</v>
      </c>
      <c r="D3" s="263"/>
      <c r="E3" s="263"/>
      <c r="F3" s="263"/>
      <c r="G3" s="263"/>
      <c r="H3" s="263"/>
      <c r="I3" s="263"/>
      <c r="J3" s="263"/>
      <c r="K3" s="263"/>
      <c r="L3" s="263"/>
      <c r="M3" s="263"/>
      <c r="N3" s="263"/>
      <c r="O3" s="263"/>
      <c r="P3" s="263"/>
      <c r="Q3" s="263"/>
      <c r="R3" s="263"/>
      <c r="S3" s="263"/>
      <c r="T3" s="22"/>
      <c r="V3" s="41"/>
      <c r="W3" s="41"/>
      <c r="X3" s="41"/>
      <c r="Y3" s="41"/>
      <c r="Z3" s="41"/>
      <c r="AA3" s="41"/>
    </row>
    <row r="4" spans="1:27" ht="15.75" customHeight="1" x14ac:dyDescent="0.25">
      <c r="B4" s="84"/>
      <c r="C4" s="72" t="s">
        <v>354</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355</v>
      </c>
      <c r="D5" s="264" t="s">
        <v>328</v>
      </c>
      <c r="E5" s="264"/>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29</v>
      </c>
      <c r="D8" s="206" t="s">
        <v>3</v>
      </c>
      <c r="E8" s="215">
        <v>4.1625000000000002E-2</v>
      </c>
      <c r="F8" s="29"/>
      <c r="G8" s="29"/>
      <c r="H8" s="29"/>
      <c r="I8" s="29"/>
      <c r="J8" s="29"/>
      <c r="K8" s="29"/>
      <c r="L8" s="29"/>
      <c r="M8" s="29"/>
      <c r="N8" s="29"/>
      <c r="O8" s="29"/>
      <c r="P8" s="29"/>
      <c r="Q8" s="29"/>
      <c r="R8" s="29"/>
      <c r="S8" s="29"/>
      <c r="T8" s="22"/>
      <c r="V8" s="166"/>
      <c r="W8" s="188" t="s">
        <v>3</v>
      </c>
      <c r="X8" s="187">
        <v>0.15222500000000003</v>
      </c>
      <c r="Y8" s="166"/>
      <c r="Z8" s="41"/>
      <c r="AA8" s="41"/>
    </row>
    <row r="9" spans="1:27" ht="15.75" customHeight="1" x14ac:dyDescent="0.25">
      <c r="B9" s="84"/>
      <c r="C9" s="197" t="s">
        <v>31</v>
      </c>
      <c r="D9" s="208" t="s">
        <v>6</v>
      </c>
      <c r="E9" s="216">
        <v>3.6169E-2</v>
      </c>
      <c r="F9" s="29"/>
      <c r="G9" s="29"/>
      <c r="H9" s="29"/>
      <c r="I9" s="29"/>
      <c r="J9" s="29"/>
      <c r="K9" s="29"/>
      <c r="L9" s="29"/>
      <c r="M9" s="29"/>
      <c r="N9" s="29"/>
      <c r="O9" s="29"/>
      <c r="P9" s="29"/>
      <c r="Q9" s="29"/>
      <c r="R9" s="29"/>
      <c r="S9" s="29"/>
      <c r="T9" s="22"/>
      <c r="V9" s="166"/>
      <c r="W9" s="188" t="s">
        <v>121</v>
      </c>
      <c r="X9" s="187">
        <v>7.7336000000000002E-2</v>
      </c>
      <c r="Y9" s="166"/>
      <c r="Z9" s="41"/>
      <c r="AA9" s="41"/>
    </row>
    <row r="10" spans="1:27" ht="15" customHeight="1" x14ac:dyDescent="0.25">
      <c r="B10" s="84"/>
      <c r="C10" s="197" t="s">
        <v>32</v>
      </c>
      <c r="D10" s="208" t="s">
        <v>3</v>
      </c>
      <c r="E10" s="216">
        <v>2.5780999999999998E-2</v>
      </c>
      <c r="F10" s="29"/>
      <c r="G10" s="29"/>
      <c r="H10" s="29"/>
      <c r="I10" s="29"/>
      <c r="J10" s="29"/>
      <c r="K10" s="29"/>
      <c r="L10" s="29"/>
      <c r="M10" s="29"/>
      <c r="N10" s="29"/>
      <c r="O10" s="29"/>
      <c r="P10" s="29"/>
      <c r="Q10" s="29"/>
      <c r="R10" s="29"/>
      <c r="S10" s="29"/>
      <c r="T10" s="22"/>
      <c r="V10" s="166"/>
      <c r="W10" s="188" t="s">
        <v>117</v>
      </c>
      <c r="X10" s="187">
        <v>6.2343000000000003E-2</v>
      </c>
      <c r="Y10" s="166"/>
      <c r="Z10" s="41"/>
      <c r="AA10" s="41"/>
    </row>
    <row r="11" spans="1:27" ht="15" customHeight="1" x14ac:dyDescent="0.25">
      <c r="B11" s="84"/>
      <c r="C11" s="197" t="s">
        <v>119</v>
      </c>
      <c r="D11" s="208" t="s">
        <v>120</v>
      </c>
      <c r="E11" s="216">
        <v>2.2121999999999999E-2</v>
      </c>
      <c r="F11" s="29"/>
      <c r="G11" s="29"/>
      <c r="H11" s="29"/>
      <c r="I11" s="29"/>
      <c r="J11" s="29"/>
      <c r="K11" s="29"/>
      <c r="L11" s="29"/>
      <c r="M11" s="29"/>
      <c r="N11" s="29"/>
      <c r="O11" s="29"/>
      <c r="P11" s="29"/>
      <c r="Q11" s="29"/>
      <c r="R11" s="29"/>
      <c r="S11" s="29"/>
      <c r="T11" s="22"/>
      <c r="V11" s="166"/>
      <c r="W11" s="188" t="s">
        <v>16</v>
      </c>
      <c r="X11" s="187">
        <v>4.4857000000000001E-2</v>
      </c>
      <c r="Y11" s="166"/>
      <c r="Z11" s="41"/>
      <c r="AA11" s="41"/>
    </row>
    <row r="12" spans="1:27" ht="15" customHeight="1" x14ac:dyDescent="0.25">
      <c r="B12" s="84"/>
      <c r="C12" s="197" t="s">
        <v>28</v>
      </c>
      <c r="D12" s="208" t="s">
        <v>117</v>
      </c>
      <c r="E12" s="216">
        <v>2.1586000000000001E-2</v>
      </c>
      <c r="F12" s="29"/>
      <c r="G12" s="29"/>
      <c r="H12" s="29"/>
      <c r="I12" s="29"/>
      <c r="J12" s="29"/>
      <c r="K12" s="29"/>
      <c r="L12" s="29"/>
      <c r="M12" s="29"/>
      <c r="N12" s="29"/>
      <c r="O12" s="29"/>
      <c r="P12" s="29"/>
      <c r="Q12" s="29"/>
      <c r="R12" s="29"/>
      <c r="S12" s="29"/>
      <c r="T12" s="22"/>
      <c r="V12" s="166"/>
      <c r="W12" s="188" t="s">
        <v>120</v>
      </c>
      <c r="X12" s="187">
        <v>4.2912999999999993E-2</v>
      </c>
      <c r="Y12" s="166"/>
      <c r="Z12" s="41"/>
      <c r="AA12" s="41"/>
    </row>
    <row r="13" spans="1:27" ht="15" customHeight="1" x14ac:dyDescent="0.25">
      <c r="B13" s="84"/>
      <c r="C13" s="197" t="s">
        <v>36</v>
      </c>
      <c r="D13" s="208" t="s">
        <v>3</v>
      </c>
      <c r="E13" s="216">
        <v>1.941E-2</v>
      </c>
      <c r="F13" s="29"/>
      <c r="G13" s="29"/>
      <c r="H13" s="29"/>
      <c r="I13" s="29"/>
      <c r="J13" s="29"/>
      <c r="K13" s="29"/>
      <c r="L13" s="29"/>
      <c r="M13" s="29"/>
      <c r="N13" s="29"/>
      <c r="O13" s="29"/>
      <c r="P13" s="29"/>
      <c r="Q13" s="29"/>
      <c r="R13" s="29"/>
      <c r="S13" s="29"/>
      <c r="T13" s="22"/>
      <c r="V13" s="166"/>
      <c r="W13" s="188" t="s">
        <v>4</v>
      </c>
      <c r="X13" s="187">
        <v>4.1388999999999995E-2</v>
      </c>
      <c r="Y13" s="166"/>
      <c r="Z13" s="41"/>
      <c r="AA13" s="41"/>
    </row>
    <row r="14" spans="1:27" ht="15" customHeight="1" x14ac:dyDescent="0.25">
      <c r="B14" s="84"/>
      <c r="C14" s="197" t="s">
        <v>34</v>
      </c>
      <c r="D14" s="208" t="s">
        <v>23</v>
      </c>
      <c r="E14" s="216">
        <v>1.8835000000000001E-2</v>
      </c>
      <c r="F14" s="29"/>
      <c r="G14" s="29"/>
      <c r="H14" s="29"/>
      <c r="I14" s="29"/>
      <c r="J14" s="29"/>
      <c r="K14" s="29"/>
      <c r="L14" s="29"/>
      <c r="M14" s="29"/>
      <c r="N14" s="29"/>
      <c r="O14" s="29"/>
      <c r="P14" s="29"/>
      <c r="Q14" s="29"/>
      <c r="R14" s="29"/>
      <c r="S14" s="29"/>
      <c r="T14" s="22"/>
      <c r="V14" s="166"/>
      <c r="W14" s="188" t="s">
        <v>6</v>
      </c>
      <c r="X14" s="187">
        <v>4.0866E-2</v>
      </c>
      <c r="Y14" s="166"/>
      <c r="Z14" s="41"/>
      <c r="AA14" s="41"/>
    </row>
    <row r="15" spans="1:27" ht="15.75" customHeight="1" x14ac:dyDescent="0.25">
      <c r="B15" s="84"/>
      <c r="C15" s="197" t="s">
        <v>33</v>
      </c>
      <c r="D15" s="208" t="s">
        <v>117</v>
      </c>
      <c r="E15" s="216">
        <v>1.8828000000000001E-2</v>
      </c>
      <c r="F15" s="29"/>
      <c r="G15" s="29"/>
      <c r="H15" s="29"/>
      <c r="I15" s="29"/>
      <c r="J15" s="29"/>
      <c r="K15" s="29"/>
      <c r="L15" s="29"/>
      <c r="M15" s="29"/>
      <c r="N15" s="29"/>
      <c r="O15" s="29"/>
      <c r="P15" s="29"/>
      <c r="Q15" s="29"/>
      <c r="R15" s="29"/>
      <c r="S15" s="29"/>
      <c r="T15" s="22"/>
      <c r="V15" s="166"/>
      <c r="W15" s="188" t="s">
        <v>23</v>
      </c>
      <c r="X15" s="187">
        <v>4.0649000000000005E-2</v>
      </c>
      <c r="Y15" s="166"/>
      <c r="Z15" s="41"/>
      <c r="AA15" s="41"/>
    </row>
    <row r="16" spans="1:27" ht="15" customHeight="1" x14ac:dyDescent="0.25">
      <c r="B16" s="84"/>
      <c r="C16" s="197" t="s">
        <v>77</v>
      </c>
      <c r="D16" s="208" t="s">
        <v>121</v>
      </c>
      <c r="E16" s="216">
        <v>1.7093000000000001E-2</v>
      </c>
      <c r="F16" s="29"/>
      <c r="G16" s="29"/>
      <c r="H16" s="29"/>
      <c r="I16" s="29"/>
      <c r="J16" s="29"/>
      <c r="K16" s="29"/>
      <c r="L16" s="29"/>
      <c r="M16" s="29"/>
      <c r="N16" s="29"/>
      <c r="O16" s="29"/>
      <c r="P16" s="29"/>
      <c r="Q16" s="29"/>
      <c r="R16" s="29"/>
      <c r="S16" s="29"/>
      <c r="T16" s="22"/>
      <c r="V16" s="166"/>
      <c r="W16" s="188" t="s">
        <v>91</v>
      </c>
      <c r="X16" s="187">
        <v>3.6700000000000003E-2</v>
      </c>
      <c r="Y16" s="166"/>
      <c r="Z16" s="41"/>
      <c r="AA16" s="41"/>
    </row>
    <row r="17" spans="2:27" ht="15.75" customHeight="1" x14ac:dyDescent="0.25">
      <c r="B17" s="84"/>
      <c r="C17" s="197" t="s">
        <v>238</v>
      </c>
      <c r="D17" s="208" t="s">
        <v>16</v>
      </c>
      <c r="E17" s="216">
        <v>1.6272999999999999E-2</v>
      </c>
      <c r="F17" s="29"/>
      <c r="G17" s="29"/>
      <c r="H17" s="29"/>
      <c r="I17" s="29"/>
      <c r="J17" s="29"/>
      <c r="K17" s="29"/>
      <c r="L17" s="29"/>
      <c r="M17" s="29"/>
      <c r="N17" s="29"/>
      <c r="O17" s="29"/>
      <c r="P17" s="29"/>
      <c r="Q17" s="29"/>
      <c r="R17" s="29"/>
      <c r="S17" s="29"/>
      <c r="T17" s="22"/>
      <c r="V17" s="166"/>
      <c r="W17" s="188" t="s">
        <v>89</v>
      </c>
      <c r="X17" s="187">
        <v>3.5004E-2</v>
      </c>
      <c r="Y17" s="166"/>
      <c r="Z17" s="41"/>
      <c r="AA17" s="41"/>
    </row>
    <row r="18" spans="2:27" ht="15.75" x14ac:dyDescent="0.25">
      <c r="B18" s="84"/>
      <c r="C18" s="197" t="s">
        <v>313</v>
      </c>
      <c r="D18" s="208" t="s">
        <v>89</v>
      </c>
      <c r="E18" s="216">
        <v>1.6088999999999999E-2</v>
      </c>
      <c r="F18" s="29"/>
      <c r="G18" s="29"/>
      <c r="H18" s="29"/>
      <c r="I18" s="29"/>
      <c r="J18" s="29"/>
      <c r="K18" s="29"/>
      <c r="L18" s="29"/>
      <c r="M18" s="29"/>
      <c r="N18" s="29"/>
      <c r="O18" s="29"/>
      <c r="P18" s="29"/>
      <c r="Q18" s="29"/>
      <c r="R18" s="29"/>
      <c r="S18" s="29"/>
      <c r="T18" s="22"/>
      <c r="V18" s="166"/>
      <c r="W18" s="188" t="s">
        <v>122</v>
      </c>
      <c r="X18" s="187">
        <v>3.4882999999999997E-2</v>
      </c>
      <c r="Y18" s="166"/>
      <c r="Z18" s="41"/>
      <c r="AA18" s="41"/>
    </row>
    <row r="19" spans="2:27" ht="15.75" customHeight="1" x14ac:dyDescent="0.25">
      <c r="B19" s="84"/>
      <c r="C19" s="197" t="s">
        <v>286</v>
      </c>
      <c r="D19" s="208" t="s">
        <v>118</v>
      </c>
      <c r="E19" s="216">
        <v>1.5679999999999999E-2</v>
      </c>
      <c r="F19" s="29"/>
      <c r="G19" s="29"/>
      <c r="H19" s="29"/>
      <c r="I19" s="29"/>
      <c r="J19" s="29"/>
      <c r="K19" s="29"/>
      <c r="L19" s="29"/>
      <c r="M19" s="29"/>
      <c r="N19" s="29"/>
      <c r="O19" s="29"/>
      <c r="P19" s="29"/>
      <c r="Q19" s="29"/>
      <c r="R19" s="29"/>
      <c r="S19" s="29"/>
      <c r="T19" s="22"/>
      <c r="V19" s="166"/>
      <c r="W19" s="188" t="s">
        <v>26</v>
      </c>
      <c r="X19" s="187">
        <v>3.0361999999999997E-2</v>
      </c>
      <c r="Y19" s="166"/>
      <c r="Z19" s="41"/>
      <c r="AA19" s="41"/>
    </row>
    <row r="20" spans="2:27" ht="15" customHeight="1" x14ac:dyDescent="0.25">
      <c r="B20" s="84"/>
      <c r="C20" s="197" t="s">
        <v>314</v>
      </c>
      <c r="D20" s="208" t="s">
        <v>23</v>
      </c>
      <c r="E20" s="216">
        <v>1.5584000000000001E-2</v>
      </c>
      <c r="F20" s="29"/>
      <c r="G20" s="29"/>
      <c r="H20" s="29"/>
      <c r="I20" s="29"/>
      <c r="J20" s="29"/>
      <c r="K20" s="29"/>
      <c r="L20" s="29"/>
      <c r="M20" s="29"/>
      <c r="N20" s="29"/>
      <c r="O20" s="29"/>
      <c r="P20" s="29"/>
      <c r="Q20" s="29"/>
      <c r="R20" s="29"/>
      <c r="S20" s="29"/>
      <c r="T20" s="22"/>
      <c r="V20" s="166"/>
      <c r="W20" s="188" t="s">
        <v>123</v>
      </c>
      <c r="X20" s="187">
        <v>2.9150999999999996E-2</v>
      </c>
      <c r="Y20" s="166"/>
      <c r="Z20" s="41"/>
      <c r="AA20" s="41"/>
    </row>
    <row r="21" spans="2:27" ht="15" customHeight="1" x14ac:dyDescent="0.25">
      <c r="B21" s="84"/>
      <c r="C21" s="197" t="s">
        <v>227</v>
      </c>
      <c r="D21" s="208" t="s">
        <v>116</v>
      </c>
      <c r="E21" s="216">
        <v>1.4883E-2</v>
      </c>
      <c r="F21" s="29"/>
      <c r="G21" s="29"/>
      <c r="H21" s="29"/>
      <c r="I21" s="29"/>
      <c r="J21" s="29"/>
      <c r="K21" s="29"/>
      <c r="L21" s="29"/>
      <c r="M21" s="29"/>
      <c r="N21" s="29"/>
      <c r="O21" s="29"/>
      <c r="P21" s="29"/>
      <c r="Q21" s="29"/>
      <c r="R21" s="29"/>
      <c r="S21" s="29"/>
      <c r="T21" s="22"/>
      <c r="V21" s="166"/>
      <c r="W21" s="188" t="s">
        <v>24</v>
      </c>
      <c r="X21" s="187">
        <v>2.4125000000000001E-2</v>
      </c>
      <c r="Y21" s="166"/>
      <c r="Z21" s="41"/>
      <c r="AA21" s="41"/>
    </row>
    <row r="22" spans="2:27" ht="15" customHeight="1" x14ac:dyDescent="0.25">
      <c r="B22" s="84"/>
      <c r="C22" s="197" t="s">
        <v>35</v>
      </c>
      <c r="D22" s="208" t="s">
        <v>3</v>
      </c>
      <c r="E22" s="216">
        <v>1.4815E-2</v>
      </c>
      <c r="F22" s="29"/>
      <c r="G22" s="29"/>
      <c r="H22" s="29"/>
      <c r="I22" s="29"/>
      <c r="J22" s="29"/>
      <c r="K22" s="29"/>
      <c r="L22" s="29"/>
      <c r="M22" s="29"/>
      <c r="N22" s="29"/>
      <c r="O22" s="29"/>
      <c r="P22" s="29"/>
      <c r="Q22" s="29"/>
      <c r="R22" s="29"/>
      <c r="S22" s="29"/>
      <c r="T22" s="22"/>
      <c r="V22" s="166"/>
      <c r="W22" s="188" t="s">
        <v>129</v>
      </c>
      <c r="X22" s="187">
        <v>2.3560000000000001E-2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188" t="s">
        <v>88</v>
      </c>
      <c r="X23" s="187">
        <v>2.3389999999999998E-2</v>
      </c>
      <c r="Y23" s="166"/>
      <c r="Z23" s="41"/>
      <c r="AA23" s="41"/>
    </row>
    <row r="24" spans="2:27" ht="15" customHeight="1" x14ac:dyDescent="0.25">
      <c r="B24" s="84"/>
      <c r="C24" s="78" t="s">
        <v>55</v>
      </c>
      <c r="D24" s="79"/>
      <c r="E24" s="80">
        <f>SUM(E8:E22)</f>
        <v>0.31477300000000003</v>
      </c>
      <c r="F24" s="29"/>
      <c r="G24" s="29"/>
      <c r="H24" s="29"/>
      <c r="I24" s="29"/>
      <c r="J24" s="29"/>
      <c r="K24" s="29"/>
      <c r="L24" s="29"/>
      <c r="M24" s="29"/>
      <c r="N24" s="29"/>
      <c r="O24" s="29"/>
      <c r="P24" s="29"/>
      <c r="Q24" s="29"/>
      <c r="R24" s="29"/>
      <c r="S24" s="29"/>
      <c r="T24" s="22"/>
      <c r="V24" s="166"/>
      <c r="W24" s="188" t="s">
        <v>116</v>
      </c>
      <c r="X24" s="187">
        <v>2.215E-2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136</v>
      </c>
      <c r="X25" s="187">
        <v>1.9279999999999999E-2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11</v>
      </c>
      <c r="X26" s="187">
        <v>1.5969000000000001E-2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188" t="s">
        <v>118</v>
      </c>
      <c r="X27" s="187">
        <v>1.5679999999999999E-2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12</v>
      </c>
      <c r="X28" s="187">
        <v>1.3573E-2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134</v>
      </c>
      <c r="X29" s="187">
        <v>1.3464E-2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128</v>
      </c>
      <c r="X30" s="187">
        <v>1.3452E-2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124</v>
      </c>
      <c r="X31" s="187">
        <v>1.3058999999999999E-2</v>
      </c>
      <c r="Y31" s="166"/>
      <c r="Z31" s="41"/>
      <c r="AA31" s="41"/>
    </row>
    <row r="32" spans="2:27" ht="15" customHeight="1" x14ac:dyDescent="0.25">
      <c r="B32" s="84"/>
      <c r="F32" s="29"/>
      <c r="G32" s="29"/>
      <c r="H32" s="29"/>
      <c r="I32" s="29"/>
      <c r="J32" s="29"/>
      <c r="K32" s="29"/>
      <c r="L32" s="29"/>
      <c r="M32" s="29"/>
      <c r="N32" s="29"/>
      <c r="O32" s="29"/>
      <c r="P32" s="29"/>
      <c r="Q32" s="29"/>
      <c r="R32" s="29"/>
      <c r="S32" s="29"/>
      <c r="T32" s="22"/>
      <c r="V32" s="166"/>
      <c r="W32" s="188" t="s">
        <v>125</v>
      </c>
      <c r="X32" s="187">
        <v>1.2277E-2</v>
      </c>
      <c r="Y32" s="166"/>
      <c r="Z32" s="41"/>
      <c r="AA32" s="41"/>
    </row>
    <row r="33" spans="2:27" ht="15" customHeight="1" x14ac:dyDescent="0.25">
      <c r="B33" s="84"/>
      <c r="F33" s="29"/>
      <c r="G33" s="29"/>
      <c r="H33" s="29"/>
      <c r="I33" s="29"/>
      <c r="J33" s="29"/>
      <c r="K33" s="29"/>
      <c r="L33" s="29"/>
      <c r="M33" s="29"/>
      <c r="N33" s="29"/>
      <c r="O33" s="29"/>
      <c r="P33" s="29"/>
      <c r="Q33" s="29"/>
      <c r="R33" s="29"/>
      <c r="S33" s="29"/>
      <c r="T33" s="22"/>
      <c r="V33" s="166"/>
      <c r="W33" s="188" t="s">
        <v>127</v>
      </c>
      <c r="X33" s="187">
        <v>1.1527000000000001E-2</v>
      </c>
      <c r="Y33" s="166"/>
      <c r="Z33" s="41"/>
      <c r="AA33" s="41"/>
    </row>
    <row r="34" spans="2:27" ht="15" customHeight="1" x14ac:dyDescent="0.25">
      <c r="B34" s="84"/>
      <c r="F34" s="29"/>
      <c r="G34" s="29"/>
      <c r="H34" s="29"/>
      <c r="I34" s="29"/>
      <c r="J34" s="29"/>
      <c r="K34" s="29"/>
      <c r="L34" s="29"/>
      <c r="M34" s="29"/>
      <c r="N34" s="29"/>
      <c r="O34" s="29"/>
      <c r="P34" s="29"/>
      <c r="Q34" s="29"/>
      <c r="R34" s="29"/>
      <c r="S34" s="29"/>
      <c r="T34" s="22"/>
      <c r="V34" s="166"/>
      <c r="W34" s="188" t="s">
        <v>147</v>
      </c>
      <c r="X34" s="187">
        <v>1.0142999999999999E-2</v>
      </c>
      <c r="Y34" s="166"/>
      <c r="Z34" s="41"/>
      <c r="AA34" s="41"/>
    </row>
    <row r="35" spans="2:27" ht="15" customHeight="1" x14ac:dyDescent="0.25">
      <c r="B35" s="84"/>
      <c r="F35" s="29"/>
      <c r="G35" s="29"/>
      <c r="H35" s="29"/>
      <c r="I35" s="29"/>
      <c r="J35" s="29"/>
      <c r="K35" s="29"/>
      <c r="L35" s="29"/>
      <c r="M35" s="29"/>
      <c r="N35" s="29"/>
      <c r="O35" s="29"/>
      <c r="P35" s="29"/>
      <c r="Q35" s="29"/>
      <c r="R35" s="29"/>
      <c r="S35" s="29"/>
      <c r="T35" s="22"/>
      <c r="V35" s="166"/>
      <c r="W35" s="188" t="s">
        <v>13</v>
      </c>
      <c r="X35" s="187">
        <v>8.4580000000000002E-3</v>
      </c>
      <c r="Y35" s="166"/>
      <c r="Z35" s="41"/>
      <c r="AA35" s="41"/>
    </row>
    <row r="36" spans="2:27" ht="15" customHeight="1" x14ac:dyDescent="0.25">
      <c r="B36" s="84"/>
      <c r="F36" s="29"/>
      <c r="G36" s="29"/>
      <c r="H36" s="29"/>
      <c r="I36" s="29"/>
      <c r="J36" s="29"/>
      <c r="K36" s="29"/>
      <c r="L36" s="29"/>
      <c r="M36" s="29"/>
      <c r="N36" s="29"/>
      <c r="O36" s="29"/>
      <c r="P36" s="29"/>
      <c r="Q36" s="29"/>
      <c r="R36" s="29"/>
      <c r="S36" s="29"/>
      <c r="T36" s="22"/>
      <c r="V36" s="166"/>
      <c r="W36" s="188" t="s">
        <v>10</v>
      </c>
      <c r="X36" s="187">
        <v>8.0780000000000001E-3</v>
      </c>
      <c r="Y36" s="166"/>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8" t="s">
        <v>15</v>
      </c>
      <c r="X37" s="187">
        <v>7.6110000000000006E-3</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8" t="s">
        <v>161</v>
      </c>
      <c r="X38" s="187">
        <v>5.8259999999999996E-3</v>
      </c>
    </row>
    <row r="39" spans="2:27" ht="15" customHeight="1" thickBot="1" x14ac:dyDescent="0.3">
      <c r="W39" s="19" t="s">
        <v>82</v>
      </c>
      <c r="X39" s="62">
        <v>5.8219999999999999E-3</v>
      </c>
    </row>
    <row r="40" spans="2:27" ht="15" customHeight="1" x14ac:dyDescent="0.25">
      <c r="B40" s="253" t="s">
        <v>202</v>
      </c>
      <c r="C40" s="254"/>
      <c r="D40" s="254"/>
      <c r="E40" s="254"/>
      <c r="F40" s="254"/>
      <c r="G40" s="254"/>
      <c r="H40" s="254"/>
      <c r="I40" s="254"/>
      <c r="J40" s="254"/>
      <c r="K40" s="254"/>
      <c r="L40" s="254"/>
      <c r="M40" s="254"/>
      <c r="N40" s="254"/>
      <c r="O40" s="254"/>
      <c r="P40" s="254"/>
      <c r="Q40" s="254"/>
      <c r="R40" s="255"/>
      <c r="W40" s="19" t="s">
        <v>101</v>
      </c>
      <c r="X40" s="62">
        <v>5.8120000000000003E-3</v>
      </c>
    </row>
    <row r="41" spans="2:27" ht="15" customHeight="1" x14ac:dyDescent="0.25">
      <c r="B41" s="256"/>
      <c r="C41" s="257"/>
      <c r="D41" s="257"/>
      <c r="E41" s="257"/>
      <c r="F41" s="257"/>
      <c r="G41" s="257"/>
      <c r="H41" s="257"/>
      <c r="I41" s="257"/>
      <c r="J41" s="257"/>
      <c r="K41" s="257"/>
      <c r="L41" s="257"/>
      <c r="M41" s="257"/>
      <c r="N41" s="257"/>
      <c r="O41" s="257"/>
      <c r="P41" s="257"/>
      <c r="Q41" s="257"/>
      <c r="R41" s="258"/>
      <c r="W41" s="19" t="s">
        <v>209</v>
      </c>
      <c r="X41" s="62">
        <v>4.215E-3</v>
      </c>
    </row>
    <row r="42" spans="2:27" ht="15" customHeight="1" x14ac:dyDescent="0.25">
      <c r="B42" s="256"/>
      <c r="C42" s="257"/>
      <c r="D42" s="257"/>
      <c r="E42" s="257"/>
      <c r="F42" s="257"/>
      <c r="G42" s="257"/>
      <c r="H42" s="257"/>
      <c r="I42" s="257"/>
      <c r="J42" s="257"/>
      <c r="K42" s="257"/>
      <c r="L42" s="257"/>
      <c r="M42" s="257"/>
      <c r="N42" s="257"/>
      <c r="O42" s="257"/>
      <c r="P42" s="257"/>
      <c r="Q42" s="257"/>
      <c r="R42" s="258"/>
      <c r="X42" s="62"/>
    </row>
    <row r="43" spans="2:27" ht="15" customHeight="1" x14ac:dyDescent="0.25">
      <c r="B43" s="256"/>
      <c r="C43" s="257"/>
      <c r="D43" s="257"/>
      <c r="E43" s="257"/>
      <c r="F43" s="257"/>
      <c r="G43" s="257"/>
      <c r="H43" s="257"/>
      <c r="I43" s="257"/>
      <c r="J43" s="257"/>
      <c r="K43" s="257"/>
      <c r="L43" s="257"/>
      <c r="M43" s="257"/>
      <c r="N43" s="257"/>
      <c r="O43" s="257"/>
      <c r="P43" s="257"/>
      <c r="Q43" s="257"/>
      <c r="R43" s="258"/>
    </row>
    <row r="44" spans="2:27" ht="15" customHeight="1" x14ac:dyDescent="0.25">
      <c r="B44" s="256"/>
      <c r="C44" s="257"/>
      <c r="D44" s="257"/>
      <c r="E44" s="257"/>
      <c r="F44" s="257"/>
      <c r="G44" s="257"/>
      <c r="H44" s="257"/>
      <c r="I44" s="257"/>
      <c r="J44" s="257"/>
      <c r="K44" s="257"/>
      <c r="L44" s="257"/>
      <c r="M44" s="257"/>
      <c r="N44" s="257"/>
      <c r="O44" s="257"/>
      <c r="P44" s="257"/>
      <c r="Q44" s="257"/>
      <c r="R44" s="258"/>
    </row>
    <row r="45" spans="2:27" ht="15" customHeight="1" x14ac:dyDescent="0.25">
      <c r="B45" s="256"/>
      <c r="C45" s="257"/>
      <c r="D45" s="257"/>
      <c r="E45" s="257"/>
      <c r="F45" s="257"/>
      <c r="G45" s="257"/>
      <c r="H45" s="257"/>
      <c r="I45" s="257"/>
      <c r="J45" s="257"/>
      <c r="K45" s="257"/>
      <c r="L45" s="257"/>
      <c r="M45" s="257"/>
      <c r="N45" s="257"/>
      <c r="O45" s="257"/>
      <c r="P45" s="257"/>
      <c r="Q45" s="257"/>
      <c r="R45" s="258"/>
    </row>
    <row r="46" spans="2:27" ht="21.75" customHeight="1" thickBot="1" x14ac:dyDescent="0.3">
      <c r="B46" s="259"/>
      <c r="C46" s="260"/>
      <c r="D46" s="260"/>
      <c r="E46" s="260"/>
      <c r="F46" s="260"/>
      <c r="G46" s="260"/>
      <c r="H46" s="260"/>
      <c r="I46" s="260"/>
      <c r="J46" s="260"/>
      <c r="K46" s="260"/>
      <c r="L46" s="260"/>
      <c r="M46" s="260"/>
      <c r="N46" s="260"/>
      <c r="O46" s="260"/>
      <c r="P46" s="260"/>
      <c r="Q46" s="260"/>
      <c r="R46" s="261"/>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2" t="s">
        <v>185</v>
      </c>
      <c r="D3" s="262"/>
      <c r="E3" s="262"/>
      <c r="F3" s="262"/>
      <c r="G3" s="262"/>
      <c r="H3" s="262"/>
      <c r="I3" s="262"/>
      <c r="J3" s="262"/>
      <c r="K3" s="262"/>
      <c r="L3" s="262"/>
      <c r="M3" s="262"/>
      <c r="N3" s="262"/>
      <c r="O3" s="262"/>
      <c r="P3" s="262"/>
      <c r="Q3" s="262"/>
      <c r="R3" s="262"/>
      <c r="S3" s="262"/>
      <c r="T3" s="22"/>
      <c r="V3" s="41"/>
      <c r="W3" s="41"/>
      <c r="X3" s="41"/>
      <c r="Y3" s="41"/>
      <c r="Z3" s="41"/>
      <c r="AA3" s="41"/>
    </row>
    <row r="4" spans="1:27" ht="15.75" customHeight="1" x14ac:dyDescent="0.25">
      <c r="B4" s="84"/>
      <c r="C4" s="72" t="s">
        <v>354</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355</v>
      </c>
      <c r="D5" s="264" t="s">
        <v>329</v>
      </c>
      <c r="E5" s="264"/>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32</v>
      </c>
      <c r="D8" s="206" t="s">
        <v>3</v>
      </c>
      <c r="E8" s="215">
        <v>6.7681000000000005E-2</v>
      </c>
      <c r="F8" s="29"/>
      <c r="G8" s="29"/>
      <c r="H8" s="29"/>
      <c r="I8" s="29"/>
      <c r="J8" s="29"/>
      <c r="K8" s="29"/>
      <c r="L8" s="29"/>
      <c r="M8" s="29"/>
      <c r="N8" s="29"/>
      <c r="O8" s="29"/>
      <c r="P8" s="29"/>
      <c r="Q8" s="29"/>
      <c r="R8" s="29"/>
      <c r="S8" s="29"/>
      <c r="T8" s="22"/>
      <c r="V8" s="166"/>
      <c r="W8" s="66" t="s">
        <v>3</v>
      </c>
      <c r="X8" s="223">
        <v>0.18051200000000003</v>
      </c>
      <c r="Y8" s="166"/>
      <c r="Z8" s="41"/>
      <c r="AA8" s="41"/>
    </row>
    <row r="9" spans="1:27" ht="15.75" customHeight="1" x14ac:dyDescent="0.25">
      <c r="B9" s="84"/>
      <c r="C9" s="197" t="s">
        <v>28</v>
      </c>
      <c r="D9" s="208" t="s">
        <v>117</v>
      </c>
      <c r="E9" s="216">
        <v>5.0458000000000003E-2</v>
      </c>
      <c r="F9" s="29"/>
      <c r="G9" s="29"/>
      <c r="H9" s="29"/>
      <c r="I9" s="29"/>
      <c r="J9" s="29"/>
      <c r="K9" s="29"/>
      <c r="L9" s="29"/>
      <c r="M9" s="29"/>
      <c r="N9" s="29"/>
      <c r="O9" s="29"/>
      <c r="P9" s="29"/>
      <c r="Q9" s="29"/>
      <c r="R9" s="29"/>
      <c r="S9" s="29"/>
      <c r="T9" s="22"/>
      <c r="V9" s="166"/>
      <c r="W9" s="66" t="s">
        <v>117</v>
      </c>
      <c r="X9" s="223">
        <v>8.7583999999999995E-2</v>
      </c>
      <c r="Y9" s="166"/>
      <c r="Z9" s="41"/>
      <c r="AA9" s="41"/>
    </row>
    <row r="10" spans="1:27" ht="15" customHeight="1" x14ac:dyDescent="0.25">
      <c r="B10" s="84"/>
      <c r="C10" s="197" t="s">
        <v>29</v>
      </c>
      <c r="D10" s="208" t="s">
        <v>3</v>
      </c>
      <c r="E10" s="216">
        <v>4.7449999999999999E-2</v>
      </c>
      <c r="F10" s="29"/>
      <c r="G10" s="29"/>
      <c r="H10" s="29"/>
      <c r="I10" s="29"/>
      <c r="J10" s="29"/>
      <c r="K10" s="29"/>
      <c r="L10" s="29"/>
      <c r="M10" s="29"/>
      <c r="N10" s="29"/>
      <c r="O10" s="29"/>
      <c r="P10" s="29"/>
      <c r="Q10" s="29"/>
      <c r="R10" s="29"/>
      <c r="S10" s="29"/>
      <c r="T10" s="22"/>
      <c r="V10" s="166"/>
      <c r="W10" s="66" t="s">
        <v>122</v>
      </c>
      <c r="X10" s="223">
        <v>5.9785000000000005E-2</v>
      </c>
      <c r="Y10" s="166"/>
      <c r="Z10" s="41"/>
      <c r="AA10" s="41"/>
    </row>
    <row r="11" spans="1:27" ht="15" customHeight="1" x14ac:dyDescent="0.25">
      <c r="B11" s="84"/>
      <c r="C11" s="197" t="s">
        <v>31</v>
      </c>
      <c r="D11" s="208" t="s">
        <v>6</v>
      </c>
      <c r="E11" s="216">
        <v>3.9854000000000001E-2</v>
      </c>
      <c r="F11" s="29"/>
      <c r="G11" s="29"/>
      <c r="H11" s="29"/>
      <c r="I11" s="29"/>
      <c r="J11" s="29"/>
      <c r="K11" s="29"/>
      <c r="L11" s="29"/>
      <c r="M11" s="29"/>
      <c r="N11" s="29"/>
      <c r="O11" s="29"/>
      <c r="P11" s="29"/>
      <c r="Q11" s="29"/>
      <c r="R11" s="29"/>
      <c r="S11" s="29"/>
      <c r="T11" s="22"/>
      <c r="V11" s="166"/>
      <c r="W11" s="66" t="s">
        <v>4</v>
      </c>
      <c r="X11" s="223">
        <v>5.1355999999999999E-2</v>
      </c>
      <c r="Y11" s="166"/>
      <c r="Z11" s="41"/>
      <c r="AA11" s="41"/>
    </row>
    <row r="12" spans="1:27" ht="15" customHeight="1" x14ac:dyDescent="0.25">
      <c r="B12" s="84"/>
      <c r="C12" s="197" t="s">
        <v>34</v>
      </c>
      <c r="D12" s="208" t="s">
        <v>23</v>
      </c>
      <c r="E12" s="216">
        <v>3.3087999999999999E-2</v>
      </c>
      <c r="F12" s="29"/>
      <c r="G12" s="29"/>
      <c r="H12" s="29"/>
      <c r="I12" s="29"/>
      <c r="J12" s="29"/>
      <c r="K12" s="29"/>
      <c r="L12" s="29"/>
      <c r="M12" s="29"/>
      <c r="N12" s="29"/>
      <c r="O12" s="29"/>
      <c r="P12" s="29"/>
      <c r="Q12" s="29"/>
      <c r="R12" s="29"/>
      <c r="S12" s="29"/>
      <c r="T12" s="22"/>
      <c r="V12" s="166"/>
      <c r="W12" s="66" t="s">
        <v>129</v>
      </c>
      <c r="X12" s="223">
        <v>4.9205999999999993E-2</v>
      </c>
      <c r="Y12" s="166"/>
      <c r="Z12" s="41"/>
      <c r="AA12" s="41"/>
    </row>
    <row r="13" spans="1:27" ht="15" customHeight="1" x14ac:dyDescent="0.25">
      <c r="B13" s="84"/>
      <c r="C13" s="197" t="s">
        <v>73</v>
      </c>
      <c r="D13" s="208" t="s">
        <v>12</v>
      </c>
      <c r="E13" s="216">
        <v>2.1190000000000001E-2</v>
      </c>
      <c r="F13" s="29"/>
      <c r="G13" s="29"/>
      <c r="H13" s="29"/>
      <c r="I13" s="29"/>
      <c r="J13" s="29"/>
      <c r="K13" s="29"/>
      <c r="L13" s="29"/>
      <c r="M13" s="29"/>
      <c r="N13" s="29"/>
      <c r="O13" s="29"/>
      <c r="P13" s="29"/>
      <c r="Q13" s="29"/>
      <c r="R13" s="29"/>
      <c r="S13" s="29"/>
      <c r="T13" s="22"/>
      <c r="V13" s="166"/>
      <c r="W13" s="66" t="s">
        <v>6</v>
      </c>
      <c r="X13" s="223">
        <v>4.8433000000000004E-2</v>
      </c>
      <c r="Y13" s="166"/>
      <c r="Z13" s="41"/>
      <c r="AA13" s="41"/>
    </row>
    <row r="14" spans="1:27" ht="15" customHeight="1" x14ac:dyDescent="0.25">
      <c r="B14" s="84"/>
      <c r="C14" s="197" t="s">
        <v>102</v>
      </c>
      <c r="D14" s="208" t="s">
        <v>122</v>
      </c>
      <c r="E14" s="216">
        <v>2.0891E-2</v>
      </c>
      <c r="F14" s="29"/>
      <c r="G14" s="29"/>
      <c r="H14" s="29"/>
      <c r="I14" s="29"/>
      <c r="J14" s="29"/>
      <c r="K14" s="29"/>
      <c r="L14" s="29"/>
      <c r="M14" s="29"/>
      <c r="N14" s="29"/>
      <c r="O14" s="29"/>
      <c r="P14" s="29"/>
      <c r="Q14" s="29"/>
      <c r="R14" s="29"/>
      <c r="S14" s="29"/>
      <c r="T14" s="22"/>
      <c r="V14" s="166"/>
      <c r="W14" s="66" t="s">
        <v>121</v>
      </c>
      <c r="X14" s="223">
        <v>4.6755000000000005E-2</v>
      </c>
      <c r="Y14" s="166"/>
      <c r="Z14" s="41"/>
      <c r="AA14" s="41"/>
    </row>
    <row r="15" spans="1:27" ht="15.75" customHeight="1" x14ac:dyDescent="0.25">
      <c r="B15" s="84"/>
      <c r="C15" s="197" t="s">
        <v>33</v>
      </c>
      <c r="D15" s="208" t="s">
        <v>117</v>
      </c>
      <c r="E15" s="216">
        <v>2.0504999999999999E-2</v>
      </c>
      <c r="F15" s="29"/>
      <c r="G15" s="29"/>
      <c r="H15" s="29"/>
      <c r="I15" s="29"/>
      <c r="J15" s="29"/>
      <c r="K15" s="29"/>
      <c r="L15" s="29"/>
      <c r="M15" s="29"/>
      <c r="N15" s="29"/>
      <c r="O15" s="29"/>
      <c r="P15" s="29"/>
      <c r="Q15" s="29"/>
      <c r="R15" s="29"/>
      <c r="S15" s="29"/>
      <c r="T15" s="22"/>
      <c r="V15" s="166"/>
      <c r="W15" s="66" t="s">
        <v>26</v>
      </c>
      <c r="X15" s="223">
        <v>4.4733000000000009E-2</v>
      </c>
      <c r="Y15" s="166"/>
      <c r="Z15" s="41"/>
      <c r="AA15" s="41"/>
    </row>
    <row r="16" spans="1:27" ht="15" customHeight="1" x14ac:dyDescent="0.25">
      <c r="B16" s="84"/>
      <c r="C16" s="197" t="s">
        <v>94</v>
      </c>
      <c r="D16" s="208" t="s">
        <v>26</v>
      </c>
      <c r="E16" s="216">
        <v>1.9498000000000001E-2</v>
      </c>
      <c r="F16" s="29"/>
      <c r="G16" s="29"/>
      <c r="H16" s="29"/>
      <c r="I16" s="29"/>
      <c r="J16" s="29"/>
      <c r="K16" s="29"/>
      <c r="L16" s="29"/>
      <c r="M16" s="29"/>
      <c r="N16" s="29"/>
      <c r="O16" s="29"/>
      <c r="P16" s="29"/>
      <c r="Q16" s="29"/>
      <c r="R16" s="29"/>
      <c r="S16" s="29"/>
      <c r="T16" s="22"/>
      <c r="V16" s="166"/>
      <c r="W16" s="66" t="s">
        <v>23</v>
      </c>
      <c r="X16" s="223">
        <v>3.8260999999999996E-2</v>
      </c>
      <c r="Y16" s="166"/>
      <c r="Z16" s="41"/>
      <c r="AA16" s="41"/>
    </row>
    <row r="17" spans="2:27" ht="15.75" customHeight="1" x14ac:dyDescent="0.25">
      <c r="B17" s="84"/>
      <c r="C17" s="197" t="s">
        <v>86</v>
      </c>
      <c r="D17" s="208" t="s">
        <v>4</v>
      </c>
      <c r="E17" s="216">
        <v>1.9338999999999999E-2</v>
      </c>
      <c r="F17" s="29"/>
      <c r="G17" s="29"/>
      <c r="H17" s="29"/>
      <c r="I17" s="29"/>
      <c r="J17" s="29"/>
      <c r="K17" s="29"/>
      <c r="L17" s="29"/>
      <c r="M17" s="29"/>
      <c r="N17" s="29"/>
      <c r="O17" s="29"/>
      <c r="P17" s="29"/>
      <c r="Q17" s="29"/>
      <c r="R17" s="29"/>
      <c r="S17" s="29"/>
      <c r="T17" s="22"/>
      <c r="V17" s="166"/>
      <c r="W17" s="66" t="s">
        <v>24</v>
      </c>
      <c r="X17" s="223">
        <v>2.8337000000000001E-2</v>
      </c>
      <c r="Y17" s="166"/>
      <c r="Z17" s="41"/>
      <c r="AA17" s="41"/>
    </row>
    <row r="18" spans="2:27" ht="15.75" x14ac:dyDescent="0.25">
      <c r="B18" s="84"/>
      <c r="C18" s="197" t="s">
        <v>148</v>
      </c>
      <c r="D18" s="208" t="s">
        <v>16</v>
      </c>
      <c r="E18" s="216">
        <v>1.5597E-2</v>
      </c>
      <c r="F18" s="29"/>
      <c r="G18" s="29"/>
      <c r="H18" s="29"/>
      <c r="I18" s="29"/>
      <c r="J18" s="29"/>
      <c r="K18" s="29"/>
      <c r="L18" s="29"/>
      <c r="M18" s="29"/>
      <c r="N18" s="29"/>
      <c r="O18" s="29"/>
      <c r="P18" s="29"/>
      <c r="Q18" s="29"/>
      <c r="R18" s="29"/>
      <c r="S18" s="29"/>
      <c r="T18" s="22"/>
      <c r="V18" s="166"/>
      <c r="W18" s="66" t="s">
        <v>120</v>
      </c>
      <c r="X18" s="223">
        <v>2.6995000000000002E-2</v>
      </c>
      <c r="Y18" s="166"/>
      <c r="Z18" s="41"/>
      <c r="AA18" s="41"/>
    </row>
    <row r="19" spans="2:27" ht="15.75" customHeight="1" x14ac:dyDescent="0.25">
      <c r="B19" s="84"/>
      <c r="C19" s="197" t="s">
        <v>62</v>
      </c>
      <c r="D19" s="208" t="s">
        <v>10</v>
      </c>
      <c r="E19" s="216">
        <v>1.5105E-2</v>
      </c>
      <c r="F19" s="29"/>
      <c r="G19" s="29"/>
      <c r="H19" s="29"/>
      <c r="I19" s="29"/>
      <c r="J19" s="29"/>
      <c r="K19" s="29"/>
      <c r="L19" s="29"/>
      <c r="M19" s="29"/>
      <c r="N19" s="29"/>
      <c r="O19" s="29"/>
      <c r="P19" s="29"/>
      <c r="Q19" s="29"/>
      <c r="R19" s="29"/>
      <c r="S19" s="29"/>
      <c r="T19" s="22"/>
      <c r="V19" s="166"/>
      <c r="W19" s="66" t="s">
        <v>10</v>
      </c>
      <c r="X19" s="223">
        <v>2.5495E-2</v>
      </c>
      <c r="Y19" s="166"/>
      <c r="Z19" s="41"/>
      <c r="AA19" s="41"/>
    </row>
    <row r="20" spans="2:27" ht="15" customHeight="1" x14ac:dyDescent="0.25">
      <c r="B20" s="84"/>
      <c r="C20" s="197" t="s">
        <v>145</v>
      </c>
      <c r="D20" s="208" t="s">
        <v>3</v>
      </c>
      <c r="E20" s="216">
        <v>1.4522E-2</v>
      </c>
      <c r="F20" s="29"/>
      <c r="G20" s="29"/>
      <c r="H20" s="29"/>
      <c r="I20" s="29"/>
      <c r="J20" s="29"/>
      <c r="K20" s="29"/>
      <c r="L20" s="29"/>
      <c r="M20" s="29"/>
      <c r="N20" s="29"/>
      <c r="O20" s="29"/>
      <c r="P20" s="29"/>
      <c r="Q20" s="29"/>
      <c r="R20" s="29"/>
      <c r="S20" s="29"/>
      <c r="T20" s="22"/>
      <c r="V20" s="166"/>
      <c r="W20" s="66" t="s">
        <v>12</v>
      </c>
      <c r="X20" s="223">
        <v>2.1190000000000001E-2</v>
      </c>
      <c r="Y20" s="166"/>
      <c r="Z20" s="41"/>
      <c r="AA20" s="41"/>
    </row>
    <row r="21" spans="2:27" ht="15" customHeight="1" x14ac:dyDescent="0.25">
      <c r="B21" s="84"/>
      <c r="C21" s="197" t="s">
        <v>308</v>
      </c>
      <c r="D21" s="208" t="s">
        <v>123</v>
      </c>
      <c r="E21" s="216">
        <v>1.4274999999999999E-2</v>
      </c>
      <c r="F21" s="29"/>
      <c r="G21" s="29"/>
      <c r="H21" s="29"/>
      <c r="I21" s="29"/>
      <c r="J21" s="29"/>
      <c r="K21" s="29"/>
      <c r="L21" s="29"/>
      <c r="M21" s="29"/>
      <c r="N21" s="29"/>
      <c r="O21" s="29"/>
      <c r="P21" s="29"/>
      <c r="Q21" s="29"/>
      <c r="R21" s="29"/>
      <c r="S21" s="29"/>
      <c r="T21" s="22"/>
      <c r="V21" s="166"/>
      <c r="W21" s="66" t="s">
        <v>116</v>
      </c>
      <c r="X21" s="223">
        <v>2.0984000000000003E-2</v>
      </c>
      <c r="Y21" s="166"/>
      <c r="Z21" s="41"/>
      <c r="AA21" s="41"/>
    </row>
    <row r="22" spans="2:27" ht="15" customHeight="1" x14ac:dyDescent="0.25">
      <c r="B22" s="84"/>
      <c r="C22" s="197" t="s">
        <v>35</v>
      </c>
      <c r="D22" s="208" t="s">
        <v>3</v>
      </c>
      <c r="E22" s="216">
        <v>1.3757E-2</v>
      </c>
      <c r="F22" s="29"/>
      <c r="G22" s="29"/>
      <c r="H22" s="29"/>
      <c r="I22" s="29"/>
      <c r="J22" s="29"/>
      <c r="K22" s="29"/>
      <c r="L22" s="29"/>
      <c r="M22" s="29"/>
      <c r="N22" s="29"/>
      <c r="O22" s="29"/>
      <c r="P22" s="29"/>
      <c r="Q22" s="29"/>
      <c r="R22" s="29"/>
      <c r="S22" s="29"/>
      <c r="T22" s="22"/>
      <c r="V22" s="166"/>
      <c r="W22" s="66" t="s">
        <v>91</v>
      </c>
      <c r="X22" s="223">
        <v>2.0385E-2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66" t="s">
        <v>11</v>
      </c>
      <c r="X23" s="223">
        <v>1.9577999999999998E-2</v>
      </c>
      <c r="Y23" s="166"/>
      <c r="Z23" s="41"/>
      <c r="AA23" s="41"/>
    </row>
    <row r="24" spans="2:27" ht="15" customHeight="1" x14ac:dyDescent="0.25">
      <c r="B24" s="84"/>
      <c r="C24" s="78" t="s">
        <v>55</v>
      </c>
      <c r="D24" s="79"/>
      <c r="E24" s="80">
        <f>SUM(E8:E22)</f>
        <v>0.41321000000000002</v>
      </c>
      <c r="F24" s="29"/>
      <c r="G24" s="29"/>
      <c r="H24" s="29"/>
      <c r="I24" s="29"/>
      <c r="J24" s="29"/>
      <c r="K24" s="29"/>
      <c r="L24" s="29"/>
      <c r="M24" s="29"/>
      <c r="N24" s="29"/>
      <c r="O24" s="29"/>
      <c r="P24" s="29"/>
      <c r="Q24" s="29"/>
      <c r="R24" s="29"/>
      <c r="S24" s="29"/>
      <c r="T24" s="22"/>
      <c r="V24" s="166"/>
      <c r="W24" s="66" t="s">
        <v>88</v>
      </c>
      <c r="X24" s="223">
        <v>1.9473999999999998E-2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66" t="s">
        <v>16</v>
      </c>
      <c r="X25" s="223">
        <v>1.7829000000000001E-2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66" t="s">
        <v>123</v>
      </c>
      <c r="X26" s="223">
        <v>1.5434E-2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66" t="s">
        <v>134</v>
      </c>
      <c r="X27" s="223">
        <v>1.3499000000000001E-2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66" t="s">
        <v>82</v>
      </c>
      <c r="X28" s="223">
        <v>1.3052000000000001E-2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66" t="s">
        <v>126</v>
      </c>
      <c r="X29" s="223">
        <v>1.0661E-2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61" t="s">
        <v>127</v>
      </c>
      <c r="X30" s="223">
        <v>1.0172E-2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61" t="s">
        <v>25</v>
      </c>
      <c r="X31" s="223">
        <v>1.0119E-2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13</v>
      </c>
      <c r="X32" s="223">
        <v>9.9550000000000003E-3</v>
      </c>
    </row>
    <row r="33" spans="2:24" ht="15" customHeight="1" thickBot="1" x14ac:dyDescent="0.3">
      <c r="W33" s="19" t="s">
        <v>118</v>
      </c>
      <c r="X33" s="223">
        <v>9.7549999999999998E-3</v>
      </c>
    </row>
    <row r="34" spans="2:24" ht="15" customHeight="1" x14ac:dyDescent="0.25">
      <c r="B34" s="253" t="s">
        <v>202</v>
      </c>
      <c r="C34" s="254"/>
      <c r="D34" s="254"/>
      <c r="E34" s="254"/>
      <c r="F34" s="254"/>
      <c r="G34" s="254"/>
      <c r="H34" s="254"/>
      <c r="I34" s="254"/>
      <c r="J34" s="254"/>
      <c r="K34" s="254"/>
      <c r="L34" s="254"/>
      <c r="M34" s="254"/>
      <c r="N34" s="254"/>
      <c r="O34" s="254"/>
      <c r="P34" s="254"/>
      <c r="Q34" s="254"/>
      <c r="R34" s="255"/>
      <c r="W34" s="19" t="s">
        <v>141</v>
      </c>
      <c r="X34" s="223">
        <v>9.698E-3</v>
      </c>
    </row>
    <row r="35" spans="2:24" ht="15" customHeight="1" x14ac:dyDescent="0.25">
      <c r="B35" s="256"/>
      <c r="C35" s="257"/>
      <c r="D35" s="257"/>
      <c r="E35" s="257"/>
      <c r="F35" s="257"/>
      <c r="G35" s="257"/>
      <c r="H35" s="257"/>
      <c r="I35" s="257"/>
      <c r="J35" s="257"/>
      <c r="K35" s="257"/>
      <c r="L35" s="257"/>
      <c r="M35" s="257"/>
      <c r="N35" s="257"/>
      <c r="O35" s="257"/>
      <c r="P35" s="257"/>
      <c r="Q35" s="257"/>
      <c r="R35" s="258"/>
      <c r="W35" s="19" t="s">
        <v>131</v>
      </c>
      <c r="X35" s="223">
        <v>9.6010000000000002E-3</v>
      </c>
    </row>
    <row r="36" spans="2:24" ht="15" customHeight="1" x14ac:dyDescent="0.25">
      <c r="B36" s="256"/>
      <c r="C36" s="257"/>
      <c r="D36" s="257"/>
      <c r="E36" s="257"/>
      <c r="F36" s="257"/>
      <c r="G36" s="257"/>
      <c r="H36" s="257"/>
      <c r="I36" s="257"/>
      <c r="J36" s="257"/>
      <c r="K36" s="257"/>
      <c r="L36" s="257"/>
      <c r="M36" s="257"/>
      <c r="N36" s="257"/>
      <c r="O36" s="257"/>
      <c r="P36" s="257"/>
      <c r="Q36" s="257"/>
      <c r="R36" s="258"/>
      <c r="W36" s="19" t="s">
        <v>209</v>
      </c>
      <c r="X36" s="223">
        <v>8.6420000000000004E-3</v>
      </c>
    </row>
    <row r="37" spans="2:24" ht="15" customHeight="1" x14ac:dyDescent="0.25">
      <c r="B37" s="256"/>
      <c r="C37" s="257"/>
      <c r="D37" s="257"/>
      <c r="E37" s="257"/>
      <c r="F37" s="257"/>
      <c r="G37" s="257"/>
      <c r="H37" s="257"/>
      <c r="I37" s="257"/>
      <c r="J37" s="257"/>
      <c r="K37" s="257"/>
      <c r="L37" s="257"/>
      <c r="M37" s="257"/>
      <c r="N37" s="257"/>
      <c r="O37" s="257"/>
      <c r="P37" s="257"/>
      <c r="Q37" s="257"/>
      <c r="R37" s="258"/>
      <c r="W37" s="19" t="s">
        <v>133</v>
      </c>
      <c r="X37" s="223">
        <v>5.836E-3</v>
      </c>
    </row>
    <row r="38" spans="2:24" ht="15" customHeight="1" x14ac:dyDescent="0.25">
      <c r="B38" s="256"/>
      <c r="C38" s="257"/>
      <c r="D38" s="257"/>
      <c r="E38" s="257"/>
      <c r="F38" s="257"/>
      <c r="G38" s="257"/>
      <c r="H38" s="257"/>
      <c r="I38" s="257"/>
      <c r="J38" s="257"/>
      <c r="K38" s="257"/>
      <c r="L38" s="257"/>
      <c r="M38" s="257"/>
      <c r="N38" s="257"/>
      <c r="O38" s="257"/>
      <c r="P38" s="257"/>
      <c r="Q38" s="257"/>
      <c r="R38" s="258"/>
      <c r="W38" s="19" t="s">
        <v>147</v>
      </c>
      <c r="X38" s="223">
        <v>4.7889999999999999E-3</v>
      </c>
    </row>
    <row r="39" spans="2:24" ht="15" customHeight="1" x14ac:dyDescent="0.25">
      <c r="B39" s="256"/>
      <c r="C39" s="257"/>
      <c r="D39" s="257"/>
      <c r="E39" s="257"/>
      <c r="F39" s="257"/>
      <c r="G39" s="257"/>
      <c r="H39" s="257"/>
      <c r="I39" s="257"/>
      <c r="J39" s="257"/>
      <c r="K39" s="257"/>
      <c r="L39" s="257"/>
      <c r="M39" s="257"/>
      <c r="N39" s="257"/>
      <c r="O39" s="257"/>
      <c r="P39" s="257"/>
      <c r="Q39" s="257"/>
      <c r="R39" s="258"/>
      <c r="W39" s="19" t="s">
        <v>15</v>
      </c>
      <c r="X39" s="223">
        <v>4.5659999999999997E-3</v>
      </c>
    </row>
    <row r="40" spans="2:24" ht="21.75" customHeight="1" thickBot="1" x14ac:dyDescent="0.3">
      <c r="B40" s="259"/>
      <c r="C40" s="260"/>
      <c r="D40" s="260"/>
      <c r="E40" s="260"/>
      <c r="F40" s="260"/>
      <c r="G40" s="260"/>
      <c r="H40" s="260"/>
      <c r="I40" s="260"/>
      <c r="J40" s="260"/>
      <c r="K40" s="260"/>
      <c r="L40" s="260"/>
      <c r="M40" s="260"/>
      <c r="N40" s="260"/>
      <c r="O40" s="260"/>
      <c r="P40" s="260"/>
      <c r="Q40" s="260"/>
      <c r="R40" s="261"/>
      <c r="W40" s="19" t="s">
        <v>89</v>
      </c>
      <c r="X40" s="223">
        <v>4.2560000000000002E-3</v>
      </c>
    </row>
    <row r="41" spans="2:24" ht="15" customHeight="1" x14ac:dyDescent="0.25">
      <c r="W41" s="19" t="s">
        <v>90</v>
      </c>
      <c r="X41" s="223">
        <v>2.3909999999999999E-3</v>
      </c>
    </row>
    <row r="42" spans="2:24" ht="15" customHeight="1" x14ac:dyDescent="0.25">
      <c r="W42" s="19" t="s">
        <v>136</v>
      </c>
      <c r="X42" s="223">
        <v>1.5219999999999999E-3</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249</v>
      </c>
      <c r="D3" s="263"/>
      <c r="E3" s="263"/>
      <c r="F3" s="263"/>
      <c r="G3" s="263"/>
      <c r="H3" s="263"/>
      <c r="I3" s="263"/>
      <c r="J3" s="263"/>
      <c r="K3" s="263"/>
      <c r="L3" s="263"/>
      <c r="M3" s="263"/>
      <c r="N3" s="263"/>
      <c r="O3" s="263"/>
      <c r="P3" s="263"/>
      <c r="Q3" s="263"/>
      <c r="R3" s="263"/>
      <c r="S3" s="263"/>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4" t="s">
        <v>330</v>
      </c>
      <c r="E5" s="264"/>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5" t="s">
        <v>71</v>
      </c>
      <c r="D8" s="206" t="s">
        <v>4</v>
      </c>
      <c r="E8" s="207">
        <v>2.1439E-2</v>
      </c>
      <c r="F8" s="29"/>
      <c r="G8" s="29"/>
      <c r="H8" s="29"/>
      <c r="I8" s="29"/>
      <c r="J8" s="29"/>
      <c r="K8" s="29"/>
      <c r="L8" s="29"/>
      <c r="M8" s="29"/>
      <c r="N8" s="29"/>
      <c r="O8" s="29"/>
      <c r="P8" s="29"/>
      <c r="Q8" s="29"/>
      <c r="R8" s="29"/>
      <c r="S8" s="29"/>
      <c r="T8" s="22"/>
      <c r="W8" s="66" t="s">
        <v>4</v>
      </c>
      <c r="X8" s="67">
        <v>0.13470299999999999</v>
      </c>
    </row>
    <row r="9" spans="1:24" ht="15.75" customHeight="1" x14ac:dyDescent="0.25">
      <c r="B9" s="84"/>
      <c r="C9" s="197" t="s">
        <v>228</v>
      </c>
      <c r="D9" s="208" t="s">
        <v>132</v>
      </c>
      <c r="E9" s="209">
        <v>2.1065E-2</v>
      </c>
      <c r="F9" s="29"/>
      <c r="G9" s="29"/>
      <c r="H9" s="29"/>
      <c r="I9" s="29"/>
      <c r="J9" s="29"/>
      <c r="K9" s="29"/>
      <c r="L9" s="29"/>
      <c r="M9" s="29"/>
      <c r="N9" s="29"/>
      <c r="O9" s="29"/>
      <c r="P9" s="29"/>
      <c r="Q9" s="29"/>
      <c r="R9" s="29"/>
      <c r="S9" s="29"/>
      <c r="T9" s="22"/>
      <c r="W9" s="66" t="s">
        <v>24</v>
      </c>
      <c r="X9" s="67">
        <v>5.4713999999999999E-2</v>
      </c>
    </row>
    <row r="10" spans="1:24" ht="15" customHeight="1" x14ac:dyDescent="0.25">
      <c r="B10" s="84"/>
      <c r="C10" s="197" t="s">
        <v>226</v>
      </c>
      <c r="D10" s="208" t="s">
        <v>129</v>
      </c>
      <c r="E10" s="209">
        <v>2.0652E-2</v>
      </c>
      <c r="F10" s="29"/>
      <c r="G10" s="29"/>
      <c r="H10" s="29"/>
      <c r="I10" s="29"/>
      <c r="J10" s="29"/>
      <c r="K10" s="29"/>
      <c r="L10" s="29"/>
      <c r="M10" s="29"/>
      <c r="N10" s="29"/>
      <c r="O10" s="29"/>
      <c r="P10" s="29"/>
      <c r="Q10" s="29"/>
      <c r="R10" s="29"/>
      <c r="S10" s="29"/>
      <c r="T10" s="22"/>
      <c r="W10" s="66" t="s">
        <v>90</v>
      </c>
      <c r="X10" s="67">
        <v>5.2533999999999997E-2</v>
      </c>
    </row>
    <row r="11" spans="1:24" ht="15" customHeight="1" x14ac:dyDescent="0.25">
      <c r="B11" s="84"/>
      <c r="C11" s="197" t="s">
        <v>216</v>
      </c>
      <c r="D11" s="208" t="s">
        <v>4</v>
      </c>
      <c r="E11" s="209">
        <v>2.0518999999999999E-2</v>
      </c>
      <c r="F11" s="29"/>
      <c r="G11" s="29"/>
      <c r="H11" s="29"/>
      <c r="I11" s="29"/>
      <c r="J11" s="29"/>
      <c r="K11" s="29"/>
      <c r="L11" s="29"/>
      <c r="M11" s="29"/>
      <c r="N11" s="29"/>
      <c r="O11" s="29"/>
      <c r="P11" s="29"/>
      <c r="Q11" s="29"/>
      <c r="R11" s="29"/>
      <c r="S11" s="29"/>
      <c r="T11" s="22"/>
      <c r="W11" s="66" t="s">
        <v>120</v>
      </c>
      <c r="X11" s="67">
        <v>4.9763000000000002E-2</v>
      </c>
    </row>
    <row r="12" spans="1:24" ht="15" customHeight="1" x14ac:dyDescent="0.25">
      <c r="B12" s="84"/>
      <c r="C12" s="197" t="s">
        <v>83</v>
      </c>
      <c r="D12" s="208" t="s">
        <v>24</v>
      </c>
      <c r="E12" s="209">
        <v>1.8915999999999999E-2</v>
      </c>
      <c r="F12" s="29"/>
      <c r="G12" s="29"/>
      <c r="H12" s="29"/>
      <c r="I12" s="29"/>
      <c r="J12" s="29"/>
      <c r="K12" s="29"/>
      <c r="L12" s="29"/>
      <c r="M12" s="29"/>
      <c r="N12" s="29"/>
      <c r="O12" s="29"/>
      <c r="P12" s="29"/>
      <c r="Q12" s="29"/>
      <c r="R12" s="29"/>
      <c r="S12" s="29"/>
      <c r="T12" s="22"/>
      <c r="W12" s="66" t="s">
        <v>121</v>
      </c>
      <c r="X12" s="67">
        <v>4.7728999999999994E-2</v>
      </c>
    </row>
    <row r="13" spans="1:24" ht="15" customHeight="1" x14ac:dyDescent="0.25">
      <c r="B13" s="84"/>
      <c r="C13" s="197" t="s">
        <v>81</v>
      </c>
      <c r="D13" s="208" t="s">
        <v>4</v>
      </c>
      <c r="E13" s="209">
        <v>1.7063999999999999E-2</v>
      </c>
      <c r="F13" s="29"/>
      <c r="G13" s="29"/>
      <c r="H13" s="29"/>
      <c r="I13" s="29"/>
      <c r="J13" s="29"/>
      <c r="K13" s="29"/>
      <c r="L13" s="29"/>
      <c r="M13" s="29"/>
      <c r="N13" s="29"/>
      <c r="O13" s="29"/>
      <c r="P13" s="29"/>
      <c r="Q13" s="29"/>
      <c r="R13" s="29"/>
      <c r="S13" s="29"/>
      <c r="T13" s="22"/>
      <c r="W13" s="66" t="s">
        <v>16</v>
      </c>
      <c r="X13" s="67">
        <v>4.6729E-2</v>
      </c>
    </row>
    <row r="14" spans="1:24" ht="15" customHeight="1" x14ac:dyDescent="0.25">
      <c r="B14" s="84"/>
      <c r="C14" s="197" t="s">
        <v>234</v>
      </c>
      <c r="D14" s="208" t="s">
        <v>120</v>
      </c>
      <c r="E14" s="209">
        <v>1.5941E-2</v>
      </c>
      <c r="F14" s="29"/>
      <c r="G14" s="29"/>
      <c r="H14" s="29"/>
      <c r="I14" s="29"/>
      <c r="J14" s="29"/>
      <c r="K14" s="29"/>
      <c r="L14" s="29"/>
      <c r="M14" s="29"/>
      <c r="N14" s="29"/>
      <c r="O14" s="29"/>
      <c r="P14" s="29"/>
      <c r="Q14" s="29"/>
      <c r="R14" s="29"/>
      <c r="S14" s="29"/>
      <c r="T14" s="22"/>
      <c r="W14" s="66" t="s">
        <v>132</v>
      </c>
      <c r="X14" s="67">
        <v>4.5086000000000001E-2</v>
      </c>
    </row>
    <row r="15" spans="1:24" ht="15" customHeight="1" x14ac:dyDescent="0.25">
      <c r="B15" s="84"/>
      <c r="C15" s="197" t="s">
        <v>239</v>
      </c>
      <c r="D15" s="208" t="s">
        <v>4</v>
      </c>
      <c r="E15" s="209">
        <v>1.5807999999999999E-2</v>
      </c>
      <c r="F15" s="29"/>
      <c r="G15" s="29"/>
      <c r="H15" s="29"/>
      <c r="I15" s="29"/>
      <c r="J15" s="29"/>
      <c r="K15" s="29"/>
      <c r="L15" s="29"/>
      <c r="M15" s="29"/>
      <c r="N15" s="29"/>
      <c r="O15" s="29"/>
      <c r="P15" s="29"/>
      <c r="Q15" s="29"/>
      <c r="R15" s="29"/>
      <c r="S15" s="29"/>
      <c r="T15" s="22"/>
      <c r="W15" s="66" t="s">
        <v>123</v>
      </c>
      <c r="X15" s="67">
        <v>4.4006000000000003E-2</v>
      </c>
    </row>
    <row r="16" spans="1:24" ht="15" customHeight="1" x14ac:dyDescent="0.25">
      <c r="B16" s="84"/>
      <c r="C16" s="197" t="s">
        <v>255</v>
      </c>
      <c r="D16" s="208" t="s">
        <v>90</v>
      </c>
      <c r="E16" s="209">
        <v>1.4499E-2</v>
      </c>
      <c r="F16" s="29"/>
      <c r="G16" s="29"/>
      <c r="H16" s="29"/>
      <c r="I16" s="29"/>
      <c r="J16" s="29"/>
      <c r="K16" s="29"/>
      <c r="L16" s="29"/>
      <c r="M16" s="29"/>
      <c r="N16" s="29"/>
      <c r="O16" s="29"/>
      <c r="P16" s="29"/>
      <c r="Q16" s="29"/>
      <c r="R16" s="29"/>
      <c r="S16" s="29"/>
      <c r="T16" s="22"/>
      <c r="W16" s="66" t="s">
        <v>129</v>
      </c>
      <c r="X16" s="67">
        <v>3.2660999999999996E-2</v>
      </c>
    </row>
    <row r="17" spans="2:24" ht="15" customHeight="1" x14ac:dyDescent="0.25">
      <c r="B17" s="84"/>
      <c r="C17" s="197" t="s">
        <v>217</v>
      </c>
      <c r="D17" s="208" t="s">
        <v>132</v>
      </c>
      <c r="E17" s="209">
        <v>1.4352999999999999E-2</v>
      </c>
      <c r="F17" s="29"/>
      <c r="G17" s="29"/>
      <c r="H17" s="29"/>
      <c r="I17" s="29"/>
      <c r="J17" s="29"/>
      <c r="K17" s="29"/>
      <c r="L17" s="29"/>
      <c r="M17" s="29"/>
      <c r="N17" s="29"/>
      <c r="O17" s="29"/>
      <c r="P17" s="29"/>
      <c r="Q17" s="29"/>
      <c r="R17" s="29"/>
      <c r="S17" s="29"/>
      <c r="T17" s="22"/>
      <c r="W17" s="66" t="s">
        <v>136</v>
      </c>
      <c r="X17" s="67">
        <v>3.1214000000000002E-2</v>
      </c>
    </row>
    <row r="18" spans="2:24" ht="15" customHeight="1" x14ac:dyDescent="0.25">
      <c r="B18" s="84"/>
      <c r="C18" s="197" t="s">
        <v>206</v>
      </c>
      <c r="D18" s="208" t="s">
        <v>136</v>
      </c>
      <c r="E18" s="209">
        <v>1.3622E-2</v>
      </c>
      <c r="F18" s="29"/>
      <c r="G18" s="29"/>
      <c r="H18" s="29"/>
      <c r="I18" s="29"/>
      <c r="J18" s="29"/>
      <c r="K18" s="29"/>
      <c r="L18" s="29"/>
      <c r="M18" s="29"/>
      <c r="N18" s="29"/>
      <c r="O18" s="29"/>
      <c r="P18" s="29"/>
      <c r="Q18" s="29"/>
      <c r="R18" s="29"/>
      <c r="S18" s="29"/>
      <c r="T18" s="22"/>
      <c r="W18" s="66" t="s">
        <v>3</v>
      </c>
      <c r="X18" s="67">
        <v>3.0345000000000004E-2</v>
      </c>
    </row>
    <row r="19" spans="2:24" ht="15" customHeight="1" x14ac:dyDescent="0.25">
      <c r="B19" s="84"/>
      <c r="C19" s="197" t="s">
        <v>253</v>
      </c>
      <c r="D19" s="208" t="s">
        <v>11</v>
      </c>
      <c r="E19" s="209">
        <v>1.3306E-2</v>
      </c>
      <c r="F19" s="29"/>
      <c r="G19" s="29"/>
      <c r="H19" s="29"/>
      <c r="I19" s="29"/>
      <c r="J19" s="29"/>
      <c r="K19" s="29"/>
      <c r="L19" s="29"/>
      <c r="M19" s="29"/>
      <c r="N19" s="29"/>
      <c r="O19" s="29"/>
      <c r="P19" s="29"/>
      <c r="Q19" s="29"/>
      <c r="R19" s="29"/>
      <c r="S19" s="29"/>
      <c r="T19" s="22"/>
      <c r="W19" s="66" t="s">
        <v>11</v>
      </c>
      <c r="X19" s="67">
        <v>2.6970000000000001E-2</v>
      </c>
    </row>
    <row r="20" spans="2:24" ht="15" customHeight="1" x14ac:dyDescent="0.25">
      <c r="B20" s="84"/>
      <c r="C20" s="197" t="s">
        <v>254</v>
      </c>
      <c r="D20" s="208" t="s">
        <v>90</v>
      </c>
      <c r="E20" s="209">
        <v>1.1898000000000001E-2</v>
      </c>
      <c r="F20" s="29"/>
      <c r="G20" s="29"/>
      <c r="H20" s="29"/>
      <c r="I20" s="29"/>
      <c r="J20" s="29"/>
      <c r="K20" s="29"/>
      <c r="L20" s="29"/>
      <c r="M20" s="29"/>
      <c r="N20" s="29"/>
      <c r="O20" s="29"/>
      <c r="P20" s="29"/>
      <c r="Q20" s="29"/>
      <c r="R20" s="29"/>
      <c r="S20" s="29"/>
      <c r="T20" s="22"/>
      <c r="W20" s="66" t="s">
        <v>26</v>
      </c>
      <c r="X20" s="67">
        <v>2.4523999999999997E-2</v>
      </c>
    </row>
    <row r="21" spans="2:24" ht="15" customHeight="1" x14ac:dyDescent="0.25">
      <c r="B21" s="84"/>
      <c r="C21" s="197" t="s">
        <v>284</v>
      </c>
      <c r="D21" s="208" t="s">
        <v>26</v>
      </c>
      <c r="E21" s="209">
        <v>1.1176E-2</v>
      </c>
      <c r="F21" s="29"/>
      <c r="G21" s="29"/>
      <c r="H21" s="29"/>
      <c r="I21" s="29"/>
      <c r="J21" s="29"/>
      <c r="K21" s="29"/>
      <c r="L21" s="29"/>
      <c r="M21" s="29"/>
      <c r="N21" s="29"/>
      <c r="O21" s="29"/>
      <c r="P21" s="29"/>
      <c r="Q21" s="29"/>
      <c r="R21" s="29"/>
      <c r="S21" s="29"/>
      <c r="T21" s="22"/>
      <c r="W21" s="66" t="s">
        <v>126</v>
      </c>
      <c r="X21" s="67">
        <v>2.3803999999999999E-2</v>
      </c>
    </row>
    <row r="22" spans="2:24" ht="15" customHeight="1" x14ac:dyDescent="0.25">
      <c r="B22" s="84"/>
      <c r="C22" s="197" t="s">
        <v>315</v>
      </c>
      <c r="D22" s="208" t="s">
        <v>13</v>
      </c>
      <c r="E22" s="209">
        <v>1.0807000000000001E-2</v>
      </c>
      <c r="F22" s="29"/>
      <c r="G22" s="29"/>
      <c r="H22" s="29"/>
      <c r="I22" s="29"/>
      <c r="J22" s="29"/>
      <c r="K22" s="29"/>
      <c r="L22" s="29"/>
      <c r="M22" s="29"/>
      <c r="N22" s="29"/>
      <c r="O22" s="29"/>
      <c r="P22" s="29"/>
      <c r="Q22" s="29"/>
      <c r="R22" s="29"/>
      <c r="S22" s="29"/>
      <c r="T22" s="22"/>
      <c r="W22" s="66" t="s">
        <v>82</v>
      </c>
      <c r="X22" s="67">
        <v>2.3116000000000001E-2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66" t="s">
        <v>88</v>
      </c>
      <c r="X23" s="67">
        <v>2.2217000000000001E-2</v>
      </c>
    </row>
    <row r="24" spans="2:24" ht="15" customHeight="1" x14ac:dyDescent="0.25">
      <c r="B24" s="84"/>
      <c r="C24" s="78" t="s">
        <v>55</v>
      </c>
      <c r="D24" s="79"/>
      <c r="E24" s="80">
        <f>SUM(E8:E22)</f>
        <v>0.241065</v>
      </c>
      <c r="F24" s="29"/>
      <c r="G24" s="29"/>
      <c r="H24" s="29"/>
      <c r="I24" s="29"/>
      <c r="J24" s="29"/>
      <c r="K24" s="29"/>
      <c r="L24" s="29"/>
      <c r="M24" s="29"/>
      <c r="N24" s="29"/>
      <c r="O24" s="29"/>
      <c r="P24" s="29"/>
      <c r="Q24" s="29"/>
      <c r="R24" s="29"/>
      <c r="S24" s="29"/>
      <c r="T24" s="22"/>
      <c r="W24" s="66" t="s">
        <v>89</v>
      </c>
      <c r="X24" s="67">
        <v>1.9739E-2</v>
      </c>
    </row>
    <row r="25" spans="2:24" ht="15" customHeight="1" x14ac:dyDescent="0.25">
      <c r="B25" s="84"/>
      <c r="F25" s="29"/>
      <c r="G25" s="29"/>
      <c r="H25" s="29"/>
      <c r="I25" s="29"/>
      <c r="J25" s="29"/>
      <c r="K25" s="29"/>
      <c r="L25" s="29"/>
      <c r="M25" s="29"/>
      <c r="N25" s="29"/>
      <c r="O25" s="29"/>
      <c r="P25" s="29"/>
      <c r="Q25" s="29"/>
      <c r="R25" s="29"/>
      <c r="S25" s="29"/>
      <c r="T25" s="22"/>
      <c r="W25" s="66" t="s">
        <v>134</v>
      </c>
      <c r="X25" s="67">
        <v>1.4223E-2</v>
      </c>
    </row>
    <row r="26" spans="2:24" ht="15" customHeight="1" x14ac:dyDescent="0.25">
      <c r="B26" s="84"/>
      <c r="F26" s="29"/>
      <c r="G26" s="29"/>
      <c r="H26" s="29"/>
      <c r="I26" s="29"/>
      <c r="J26" s="29"/>
      <c r="K26" s="29"/>
      <c r="L26" s="29"/>
      <c r="M26" s="29"/>
      <c r="N26" s="29"/>
      <c r="O26" s="29"/>
      <c r="P26" s="29"/>
      <c r="Q26" s="29"/>
      <c r="R26" s="29"/>
      <c r="S26" s="29"/>
      <c r="T26" s="22"/>
      <c r="W26" s="66" t="s">
        <v>10</v>
      </c>
      <c r="X26" s="67">
        <v>1.3103999999999999E-2</v>
      </c>
    </row>
    <row r="27" spans="2:24" ht="15" customHeight="1" x14ac:dyDescent="0.25">
      <c r="B27" s="84"/>
      <c r="F27" s="29"/>
      <c r="G27" s="29"/>
      <c r="H27" s="29"/>
      <c r="I27" s="29"/>
      <c r="J27" s="29"/>
      <c r="K27" s="29"/>
      <c r="L27" s="29"/>
      <c r="M27" s="29"/>
      <c r="N27" s="29"/>
      <c r="O27" s="29"/>
      <c r="P27" s="29"/>
      <c r="Q27" s="29"/>
      <c r="R27" s="29"/>
      <c r="S27" s="29"/>
      <c r="T27" s="22"/>
      <c r="W27" s="66" t="s">
        <v>124</v>
      </c>
      <c r="X27" s="67">
        <v>1.2936E-2</v>
      </c>
    </row>
    <row r="28" spans="2:24" ht="15" customHeight="1" x14ac:dyDescent="0.25">
      <c r="B28" s="84"/>
      <c r="F28" s="29"/>
      <c r="G28" s="29"/>
      <c r="H28" s="29"/>
      <c r="I28" s="29"/>
      <c r="J28" s="29"/>
      <c r="K28" s="29"/>
      <c r="L28" s="29"/>
      <c r="M28" s="29"/>
      <c r="N28" s="29"/>
      <c r="O28" s="29"/>
      <c r="P28" s="29"/>
      <c r="Q28" s="29"/>
      <c r="R28" s="29"/>
      <c r="S28" s="29"/>
      <c r="T28" s="22"/>
      <c r="W28" s="66" t="s">
        <v>6</v>
      </c>
      <c r="X28" s="67">
        <v>1.2737999999999999E-2</v>
      </c>
    </row>
    <row r="29" spans="2:24" ht="15" customHeight="1" x14ac:dyDescent="0.25">
      <c r="B29" s="84"/>
      <c r="F29" s="29"/>
      <c r="G29" s="29"/>
      <c r="H29" s="29"/>
      <c r="I29" s="29"/>
      <c r="J29" s="29"/>
      <c r="K29" s="29"/>
      <c r="L29" s="29"/>
      <c r="M29" s="29"/>
      <c r="N29" s="29"/>
      <c r="O29" s="29"/>
      <c r="P29" s="29"/>
      <c r="Q29" s="29"/>
      <c r="R29" s="29"/>
      <c r="S29" s="29"/>
      <c r="T29" s="22"/>
      <c r="W29" s="66" t="s">
        <v>133</v>
      </c>
      <c r="X29" s="67">
        <v>1.1318E-2</v>
      </c>
    </row>
    <row r="30" spans="2:24" ht="15" customHeight="1" x14ac:dyDescent="0.25">
      <c r="B30" s="84"/>
      <c r="F30" s="29"/>
      <c r="G30" s="29"/>
      <c r="H30" s="29"/>
      <c r="I30" s="29"/>
      <c r="J30" s="29"/>
      <c r="K30" s="29"/>
      <c r="L30" s="29"/>
      <c r="M30" s="29"/>
      <c r="N30" s="29"/>
      <c r="O30" s="29"/>
      <c r="P30" s="29"/>
      <c r="Q30" s="29"/>
      <c r="R30" s="29"/>
      <c r="S30" s="29"/>
      <c r="T30" s="22"/>
      <c r="W30" s="66" t="s">
        <v>13</v>
      </c>
      <c r="X30" s="67">
        <v>1.0807000000000001E-2</v>
      </c>
    </row>
    <row r="31" spans="2:24" ht="15" customHeight="1" x14ac:dyDescent="0.25">
      <c r="B31" s="84"/>
      <c r="F31" s="29"/>
      <c r="G31" s="29"/>
      <c r="H31" s="29"/>
      <c r="I31" s="29"/>
      <c r="J31" s="29"/>
      <c r="K31" s="29"/>
      <c r="L31" s="29"/>
      <c r="M31" s="29"/>
      <c r="N31" s="29"/>
      <c r="O31" s="29"/>
      <c r="P31" s="29"/>
      <c r="Q31" s="29"/>
      <c r="R31" s="29"/>
      <c r="S31" s="29"/>
      <c r="T31" s="22"/>
      <c r="W31" s="66" t="s">
        <v>161</v>
      </c>
      <c r="X31" s="67">
        <v>1.0721999999999999E-2</v>
      </c>
    </row>
    <row r="32" spans="2:24" ht="15" customHeight="1" x14ac:dyDescent="0.25">
      <c r="B32" s="84"/>
      <c r="F32" s="29"/>
      <c r="G32" s="29"/>
      <c r="H32" s="29"/>
      <c r="I32" s="29"/>
      <c r="J32" s="29"/>
      <c r="K32" s="29"/>
      <c r="L32" s="29"/>
      <c r="M32" s="29"/>
      <c r="N32" s="29"/>
      <c r="O32" s="29"/>
      <c r="P32" s="29"/>
      <c r="Q32" s="29"/>
      <c r="R32" s="29"/>
      <c r="S32" s="29"/>
      <c r="T32" s="22"/>
      <c r="W32" s="66" t="s">
        <v>116</v>
      </c>
      <c r="X32" s="67">
        <v>1.0305999999999999E-2</v>
      </c>
    </row>
    <row r="33" spans="2:24" ht="15.75" customHeight="1" x14ac:dyDescent="0.25">
      <c r="B33" s="84"/>
      <c r="F33" s="29"/>
      <c r="G33" s="29"/>
      <c r="H33" s="29"/>
      <c r="I33" s="29"/>
      <c r="J33" s="29"/>
      <c r="K33" s="29"/>
      <c r="L33" s="29"/>
      <c r="M33" s="29"/>
      <c r="N33" s="29"/>
      <c r="O33" s="29"/>
      <c r="P33" s="29"/>
      <c r="Q33" s="29"/>
      <c r="R33" s="29"/>
      <c r="S33" s="29"/>
      <c r="T33" s="22"/>
      <c r="W33" s="66" t="s">
        <v>117</v>
      </c>
      <c r="X33" s="67">
        <v>1.0137999999999999E-2</v>
      </c>
    </row>
    <row r="34" spans="2:24" ht="15.75" customHeight="1" x14ac:dyDescent="0.25">
      <c r="B34" s="84"/>
      <c r="F34" s="29"/>
      <c r="G34" s="29"/>
      <c r="H34" s="29"/>
      <c r="I34" s="29"/>
      <c r="J34" s="29"/>
      <c r="K34" s="29"/>
      <c r="L34" s="29"/>
      <c r="M34" s="29"/>
      <c r="N34" s="29"/>
      <c r="O34" s="29"/>
      <c r="P34" s="29"/>
      <c r="Q34" s="29"/>
      <c r="R34" s="29"/>
      <c r="S34" s="29"/>
      <c r="T34" s="22"/>
      <c r="W34" s="66" t="s">
        <v>92</v>
      </c>
      <c r="X34" s="67">
        <v>9.4649999999999995E-3</v>
      </c>
    </row>
    <row r="35" spans="2:24" ht="15.75" customHeight="1" x14ac:dyDescent="0.25">
      <c r="B35" s="84"/>
      <c r="F35" s="29"/>
      <c r="G35" s="29"/>
      <c r="H35" s="29"/>
      <c r="I35" s="29"/>
      <c r="J35" s="29"/>
      <c r="K35" s="29"/>
      <c r="L35" s="29"/>
      <c r="M35" s="29"/>
      <c r="N35" s="29"/>
      <c r="O35" s="29"/>
      <c r="P35" s="29"/>
      <c r="Q35" s="29"/>
      <c r="R35" s="29"/>
      <c r="S35" s="29"/>
      <c r="T35" s="22"/>
      <c r="W35" s="66" t="s">
        <v>147</v>
      </c>
      <c r="X35" s="67">
        <v>8.653000000000001E-3</v>
      </c>
    </row>
    <row r="36" spans="2:24" ht="15.75" customHeight="1" x14ac:dyDescent="0.25">
      <c r="B36" s="84"/>
      <c r="F36" s="29"/>
      <c r="G36" s="29"/>
      <c r="H36" s="29"/>
      <c r="I36" s="29"/>
      <c r="J36" s="29"/>
      <c r="K36" s="29"/>
      <c r="L36" s="29"/>
      <c r="M36" s="29"/>
      <c r="N36" s="29"/>
      <c r="O36" s="29"/>
      <c r="P36" s="29"/>
      <c r="Q36" s="29"/>
      <c r="R36" s="29"/>
      <c r="S36" s="29"/>
      <c r="T36" s="22"/>
      <c r="W36" s="66" t="s">
        <v>125</v>
      </c>
      <c r="X36" s="67">
        <v>8.2550000000000002E-3</v>
      </c>
    </row>
    <row r="37" spans="2:24" ht="15.75" customHeight="1" x14ac:dyDescent="0.25">
      <c r="B37" s="84"/>
      <c r="F37" s="29"/>
      <c r="G37" s="29"/>
      <c r="H37" s="29"/>
      <c r="I37" s="29"/>
      <c r="J37" s="29"/>
      <c r="K37" s="29"/>
      <c r="L37" s="29"/>
      <c r="M37" s="29"/>
      <c r="N37" s="29"/>
      <c r="O37" s="29"/>
      <c r="P37" s="29"/>
      <c r="Q37" s="29"/>
      <c r="R37" s="29"/>
      <c r="S37" s="29"/>
      <c r="T37" s="22"/>
      <c r="W37" s="66" t="s">
        <v>15</v>
      </c>
      <c r="X37" s="67">
        <v>6.3239999999999998E-3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40" t="s">
        <v>118</v>
      </c>
      <c r="X38" s="67">
        <v>6.2310000000000004E-3</v>
      </c>
    </row>
    <row r="39" spans="2:24" ht="15" customHeight="1" thickBot="1" x14ac:dyDescent="0.3">
      <c r="W39" s="40" t="s">
        <v>25</v>
      </c>
      <c r="X39" s="163">
        <v>5.9890000000000004E-3</v>
      </c>
    </row>
    <row r="40" spans="2:24" ht="15" customHeight="1" x14ac:dyDescent="0.25">
      <c r="B40" s="253" t="s">
        <v>202</v>
      </c>
      <c r="C40" s="254"/>
      <c r="D40" s="254"/>
      <c r="E40" s="254"/>
      <c r="F40" s="254"/>
      <c r="G40" s="254"/>
      <c r="H40" s="254"/>
      <c r="I40" s="254"/>
      <c r="J40" s="254"/>
      <c r="K40" s="254"/>
      <c r="L40" s="254"/>
      <c r="M40" s="254"/>
      <c r="N40" s="254"/>
      <c r="O40" s="254"/>
      <c r="P40" s="254"/>
      <c r="Q40" s="254"/>
      <c r="R40" s="255"/>
      <c r="W40" s="40" t="s">
        <v>316</v>
      </c>
      <c r="X40" s="163">
        <v>5.2639999999999996E-3</v>
      </c>
    </row>
    <row r="41" spans="2:24" ht="15" customHeight="1" x14ac:dyDescent="0.25">
      <c r="B41" s="256"/>
      <c r="C41" s="257"/>
      <c r="D41" s="257"/>
      <c r="E41" s="257"/>
      <c r="F41" s="257"/>
      <c r="G41" s="257"/>
      <c r="H41" s="257"/>
      <c r="I41" s="257"/>
      <c r="J41" s="257"/>
      <c r="K41" s="257"/>
      <c r="L41" s="257"/>
      <c r="M41" s="257"/>
      <c r="N41" s="257"/>
      <c r="O41" s="257"/>
      <c r="P41" s="257"/>
      <c r="Q41" s="257"/>
      <c r="R41" s="258"/>
      <c r="W41" s="40" t="s">
        <v>135</v>
      </c>
      <c r="X41" s="163">
        <v>5.1110000000000001E-3</v>
      </c>
    </row>
    <row r="42" spans="2:24" ht="15" customHeight="1" x14ac:dyDescent="0.25">
      <c r="B42" s="256"/>
      <c r="C42" s="257"/>
      <c r="D42" s="257"/>
      <c r="E42" s="257"/>
      <c r="F42" s="257"/>
      <c r="G42" s="257"/>
      <c r="H42" s="257"/>
      <c r="I42" s="257"/>
      <c r="J42" s="257"/>
      <c r="K42" s="257"/>
      <c r="L42" s="257"/>
      <c r="M42" s="257"/>
      <c r="N42" s="257"/>
      <c r="O42" s="257"/>
      <c r="P42" s="257"/>
      <c r="Q42" s="257"/>
      <c r="R42" s="258"/>
      <c r="W42" s="40" t="s">
        <v>140</v>
      </c>
      <c r="X42" s="163">
        <v>4.8809999999999999E-3</v>
      </c>
    </row>
    <row r="43" spans="2:24" ht="15" customHeight="1" x14ac:dyDescent="0.25">
      <c r="B43" s="256"/>
      <c r="C43" s="257"/>
      <c r="D43" s="257"/>
      <c r="E43" s="257"/>
      <c r="F43" s="257"/>
      <c r="G43" s="257"/>
      <c r="H43" s="257"/>
      <c r="I43" s="257"/>
      <c r="J43" s="257"/>
      <c r="K43" s="257"/>
      <c r="L43" s="257"/>
      <c r="M43" s="257"/>
      <c r="N43" s="257"/>
      <c r="O43" s="257"/>
      <c r="P43" s="257"/>
      <c r="Q43" s="257"/>
      <c r="R43" s="258"/>
      <c r="W43" s="40" t="s">
        <v>210</v>
      </c>
      <c r="X43" s="163">
        <v>4.5880000000000001E-3</v>
      </c>
    </row>
    <row r="44" spans="2:24" ht="15" customHeight="1" x14ac:dyDescent="0.25">
      <c r="B44" s="256"/>
      <c r="C44" s="257"/>
      <c r="D44" s="257"/>
      <c r="E44" s="257"/>
      <c r="F44" s="257"/>
      <c r="G44" s="257"/>
      <c r="H44" s="257"/>
      <c r="I44" s="257"/>
      <c r="J44" s="257"/>
      <c r="K44" s="257"/>
      <c r="L44" s="257"/>
      <c r="M44" s="257"/>
      <c r="N44" s="257"/>
      <c r="O44" s="257"/>
      <c r="P44" s="257"/>
      <c r="Q44" s="257"/>
      <c r="R44" s="258"/>
      <c r="W44" s="40" t="s">
        <v>23</v>
      </c>
      <c r="X44" s="163">
        <v>4.2220000000000001E-3</v>
      </c>
    </row>
    <row r="45" spans="2:24" ht="15" customHeight="1" x14ac:dyDescent="0.25">
      <c r="B45" s="256"/>
      <c r="C45" s="257"/>
      <c r="D45" s="257"/>
      <c r="E45" s="257"/>
      <c r="F45" s="257"/>
      <c r="G45" s="257"/>
      <c r="H45" s="257"/>
      <c r="I45" s="257"/>
      <c r="J45" s="257"/>
      <c r="K45" s="257"/>
      <c r="L45" s="257"/>
      <c r="M45" s="257"/>
      <c r="N45" s="257"/>
      <c r="O45" s="257"/>
      <c r="P45" s="257"/>
      <c r="Q45" s="257"/>
      <c r="R45" s="258"/>
      <c r="W45" s="40" t="s">
        <v>131</v>
      </c>
      <c r="X45" s="163">
        <v>3.7299999999999998E-3</v>
      </c>
    </row>
    <row r="46" spans="2:24" ht="15" customHeight="1" thickBot="1" x14ac:dyDescent="0.3">
      <c r="B46" s="259"/>
      <c r="C46" s="260"/>
      <c r="D46" s="260"/>
      <c r="E46" s="260"/>
      <c r="F46" s="260"/>
      <c r="G46" s="260"/>
      <c r="H46" s="260"/>
      <c r="I46" s="260"/>
      <c r="J46" s="260"/>
      <c r="K46" s="260"/>
      <c r="L46" s="260"/>
      <c r="M46" s="260"/>
      <c r="N46" s="260"/>
      <c r="O46" s="260"/>
      <c r="P46" s="260"/>
      <c r="Q46" s="260"/>
      <c r="R46" s="261"/>
      <c r="W46" s="40" t="s">
        <v>138</v>
      </c>
      <c r="X46" s="163">
        <v>2.7100000000000002E-3</v>
      </c>
    </row>
    <row r="47" spans="2:24" ht="15" customHeight="1" x14ac:dyDescent="0.25">
      <c r="W47" s="40" t="s">
        <v>137</v>
      </c>
      <c r="X47" s="163">
        <v>2.1250000000000002E-3</v>
      </c>
    </row>
    <row r="48" spans="2:24" ht="15" customHeight="1" x14ac:dyDescent="0.25">
      <c r="W48" s="40" t="s">
        <v>122</v>
      </c>
      <c r="X48" s="163">
        <v>2.0709999999999999E-3</v>
      </c>
    </row>
    <row r="49" spans="23:24" ht="15" customHeight="1" x14ac:dyDescent="0.25">
      <c r="W49" s="40" t="s">
        <v>91</v>
      </c>
      <c r="X49" s="163">
        <v>1.727E-3</v>
      </c>
    </row>
    <row r="50" spans="23:24" ht="15" customHeight="1" x14ac:dyDescent="0.25">
      <c r="W50" s="40" t="s">
        <v>141</v>
      </c>
      <c r="X50" s="163">
        <v>9.8999999999999994E-5</v>
      </c>
    </row>
    <row r="51" spans="23:24" ht="15" customHeight="1" x14ac:dyDescent="0.25"/>
    <row r="52" spans="23:24" ht="15" customHeight="1" x14ac:dyDescent="0.25"/>
    <row r="53" spans="23:24" ht="15" customHeight="1" x14ac:dyDescent="0.25"/>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184</v>
      </c>
      <c r="D3" s="263"/>
      <c r="E3" s="263"/>
      <c r="F3" s="263"/>
      <c r="G3" s="263"/>
      <c r="H3" s="263"/>
      <c r="I3" s="263"/>
      <c r="J3" s="263"/>
      <c r="K3" s="263"/>
      <c r="L3" s="263"/>
      <c r="M3" s="263"/>
      <c r="N3" s="263"/>
      <c r="O3" s="263"/>
      <c r="P3" s="263"/>
      <c r="Q3" s="263"/>
      <c r="R3" s="263"/>
      <c r="S3" s="263"/>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4" t="s">
        <v>331</v>
      </c>
      <c r="E5" s="264"/>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7" t="s">
        <v>34</v>
      </c>
      <c r="D8" s="208" t="s">
        <v>23</v>
      </c>
      <c r="E8" s="216">
        <v>5.6499000000000001E-2</v>
      </c>
      <c r="F8" s="29"/>
      <c r="G8" s="29"/>
      <c r="H8" s="29"/>
      <c r="I8" s="29"/>
      <c r="J8" s="29"/>
      <c r="K8" s="29"/>
      <c r="L8" s="29"/>
      <c r="M8" s="29"/>
      <c r="N8" s="29"/>
      <c r="O8" s="29"/>
      <c r="P8" s="29"/>
      <c r="Q8" s="29"/>
      <c r="R8" s="29"/>
      <c r="S8" s="29"/>
      <c r="T8" s="22"/>
      <c r="W8" s="66" t="s">
        <v>23</v>
      </c>
      <c r="X8" s="67">
        <v>0.26540000000000002</v>
      </c>
    </row>
    <row r="9" spans="1:24" ht="15.75" customHeight="1" x14ac:dyDescent="0.25">
      <c r="B9" s="84"/>
      <c r="C9" s="197" t="s">
        <v>162</v>
      </c>
      <c r="D9" s="208" t="s">
        <v>23</v>
      </c>
      <c r="E9" s="216">
        <v>5.0785999999999998E-2</v>
      </c>
      <c r="F9" s="29"/>
      <c r="G9" s="29"/>
      <c r="H9" s="29"/>
      <c r="I9" s="29"/>
      <c r="J9" s="29"/>
      <c r="K9" s="29"/>
      <c r="L9" s="29"/>
      <c r="M9" s="29"/>
      <c r="N9" s="29"/>
      <c r="O9" s="29"/>
      <c r="P9" s="29"/>
      <c r="Q9" s="29"/>
      <c r="R9" s="29"/>
      <c r="S9" s="29"/>
      <c r="T9" s="22"/>
      <c r="W9" s="66" t="s">
        <v>88</v>
      </c>
      <c r="X9" s="67">
        <v>0.10183400000000001</v>
      </c>
    </row>
    <row r="10" spans="1:24" ht="15" customHeight="1" x14ac:dyDescent="0.25">
      <c r="B10" s="84"/>
      <c r="C10" s="197" t="s">
        <v>75</v>
      </c>
      <c r="D10" s="208" t="s">
        <v>10</v>
      </c>
      <c r="E10" s="216">
        <v>4.7298E-2</v>
      </c>
      <c r="F10" s="29"/>
      <c r="G10" s="29"/>
      <c r="H10" s="29"/>
      <c r="I10" s="29"/>
      <c r="J10" s="29"/>
      <c r="K10" s="29"/>
      <c r="L10" s="29"/>
      <c r="M10" s="29"/>
      <c r="N10" s="29"/>
      <c r="O10" s="29"/>
      <c r="P10" s="29"/>
      <c r="Q10" s="29"/>
      <c r="R10" s="29"/>
      <c r="S10" s="29"/>
      <c r="T10" s="22"/>
      <c r="W10" s="66" t="s">
        <v>24</v>
      </c>
      <c r="X10" s="67">
        <v>7.8295000000000003E-2</v>
      </c>
    </row>
    <row r="11" spans="1:24" ht="15" customHeight="1" x14ac:dyDescent="0.25">
      <c r="B11" s="84"/>
      <c r="C11" s="197" t="s">
        <v>65</v>
      </c>
      <c r="D11" s="208" t="s">
        <v>88</v>
      </c>
      <c r="E11" s="216">
        <v>4.3644000000000002E-2</v>
      </c>
      <c r="F11" s="29"/>
      <c r="G11" s="29"/>
      <c r="H11" s="29"/>
      <c r="I11" s="29"/>
      <c r="J11" s="29"/>
      <c r="K11" s="29"/>
      <c r="L11" s="29"/>
      <c r="M11" s="29"/>
      <c r="N11" s="29"/>
      <c r="O11" s="29"/>
      <c r="P11" s="29"/>
      <c r="Q11" s="29"/>
      <c r="R11" s="29"/>
      <c r="S11" s="29"/>
      <c r="T11" s="22"/>
      <c r="W11" s="66" t="s">
        <v>10</v>
      </c>
      <c r="X11" s="67">
        <v>7.3424000000000003E-2</v>
      </c>
    </row>
    <row r="12" spans="1:24" ht="15" customHeight="1" x14ac:dyDescent="0.25">
      <c r="B12" s="84"/>
      <c r="C12" s="197" t="s">
        <v>200</v>
      </c>
      <c r="D12" s="208" t="s">
        <v>24</v>
      </c>
      <c r="E12" s="216">
        <v>4.2477000000000001E-2</v>
      </c>
      <c r="F12" s="29"/>
      <c r="G12" s="29"/>
      <c r="H12" s="29"/>
      <c r="I12" s="29"/>
      <c r="J12" s="29"/>
      <c r="K12" s="29"/>
      <c r="L12" s="29"/>
      <c r="M12" s="29"/>
      <c r="N12" s="29"/>
      <c r="O12" s="29"/>
      <c r="P12" s="29"/>
      <c r="Q12" s="29"/>
      <c r="R12" s="29"/>
      <c r="S12" s="29"/>
      <c r="T12" s="22"/>
      <c r="W12" s="66" t="s">
        <v>129</v>
      </c>
      <c r="X12" s="67">
        <v>6.9395000000000012E-2</v>
      </c>
    </row>
    <row r="13" spans="1:24" ht="15" customHeight="1" x14ac:dyDescent="0.25">
      <c r="B13" s="84"/>
      <c r="C13" s="197" t="s">
        <v>139</v>
      </c>
      <c r="D13" s="208" t="s">
        <v>92</v>
      </c>
      <c r="E13" s="216">
        <v>4.1228000000000001E-2</v>
      </c>
      <c r="F13" s="29"/>
      <c r="G13" s="29"/>
      <c r="H13" s="29"/>
      <c r="I13" s="29"/>
      <c r="J13" s="29"/>
      <c r="K13" s="29"/>
      <c r="L13" s="29"/>
      <c r="M13" s="29"/>
      <c r="N13" s="29"/>
      <c r="O13" s="29"/>
      <c r="P13" s="29"/>
      <c r="Q13" s="29"/>
      <c r="R13" s="29"/>
      <c r="S13" s="29"/>
      <c r="T13" s="22"/>
      <c r="W13" s="66" t="s">
        <v>134</v>
      </c>
      <c r="X13" s="67">
        <v>6.7232000000000014E-2</v>
      </c>
    </row>
    <row r="14" spans="1:24" ht="15" customHeight="1" x14ac:dyDescent="0.25">
      <c r="B14" s="84"/>
      <c r="C14" s="197" t="s">
        <v>72</v>
      </c>
      <c r="D14" s="208" t="s">
        <v>88</v>
      </c>
      <c r="E14" s="216">
        <v>4.0887E-2</v>
      </c>
      <c r="F14" s="29"/>
      <c r="G14" s="29"/>
      <c r="H14" s="29"/>
      <c r="I14" s="29"/>
      <c r="J14" s="29"/>
      <c r="K14" s="29"/>
      <c r="L14" s="29"/>
      <c r="M14" s="29"/>
      <c r="N14" s="29"/>
      <c r="O14" s="29"/>
      <c r="P14" s="29"/>
      <c r="Q14" s="29"/>
      <c r="R14" s="29"/>
      <c r="S14" s="29"/>
      <c r="T14" s="22"/>
      <c r="W14" s="66" t="s">
        <v>92</v>
      </c>
      <c r="X14" s="67">
        <v>5.074E-2</v>
      </c>
    </row>
    <row r="15" spans="1:24" ht="15" customHeight="1" x14ac:dyDescent="0.25">
      <c r="B15" s="84"/>
      <c r="C15" s="197" t="s">
        <v>256</v>
      </c>
      <c r="D15" s="208" t="s">
        <v>23</v>
      </c>
      <c r="E15" s="216">
        <v>3.0054000000000001E-2</v>
      </c>
      <c r="F15" s="29"/>
      <c r="G15" s="29"/>
      <c r="H15" s="29"/>
      <c r="I15" s="29"/>
      <c r="J15" s="29"/>
      <c r="K15" s="29"/>
      <c r="L15" s="29"/>
      <c r="M15" s="29"/>
      <c r="N15" s="29"/>
      <c r="O15" s="29"/>
      <c r="P15" s="29"/>
      <c r="Q15" s="29"/>
      <c r="R15" s="29"/>
      <c r="S15" s="29"/>
      <c r="T15" s="22"/>
      <c r="W15" s="66" t="s">
        <v>12</v>
      </c>
      <c r="X15" s="67">
        <v>3.5549999999999998E-2</v>
      </c>
    </row>
    <row r="16" spans="1:24" ht="15" customHeight="1" x14ac:dyDescent="0.25">
      <c r="B16" s="84"/>
      <c r="C16" s="197" t="s">
        <v>80</v>
      </c>
      <c r="D16" s="208" t="s">
        <v>11</v>
      </c>
      <c r="E16" s="216">
        <v>2.8199999999999999E-2</v>
      </c>
      <c r="F16" s="29"/>
      <c r="G16" s="29"/>
      <c r="H16" s="29"/>
      <c r="I16" s="29"/>
      <c r="J16" s="29"/>
      <c r="K16" s="29"/>
      <c r="L16" s="29"/>
      <c r="M16" s="29"/>
      <c r="N16" s="29"/>
      <c r="O16" s="29"/>
      <c r="P16" s="29"/>
      <c r="Q16" s="29"/>
      <c r="R16" s="29"/>
      <c r="S16" s="29"/>
      <c r="T16" s="22"/>
      <c r="W16" s="66" t="s">
        <v>25</v>
      </c>
      <c r="X16" s="67">
        <v>3.4666999999999996E-2</v>
      </c>
    </row>
    <row r="17" spans="2:24" ht="15" customHeight="1" x14ac:dyDescent="0.25">
      <c r="B17" s="84"/>
      <c r="C17" s="197" t="s">
        <v>218</v>
      </c>
      <c r="D17" s="208" t="s">
        <v>23</v>
      </c>
      <c r="E17" s="216">
        <v>2.7595000000000001E-2</v>
      </c>
      <c r="F17" s="29"/>
      <c r="G17" s="29"/>
      <c r="H17" s="29"/>
      <c r="I17" s="29"/>
      <c r="J17" s="29"/>
      <c r="K17" s="29"/>
      <c r="L17" s="29"/>
      <c r="M17" s="29"/>
      <c r="N17" s="29"/>
      <c r="O17" s="29"/>
      <c r="P17" s="29"/>
      <c r="Q17" s="29"/>
      <c r="R17" s="29"/>
      <c r="S17" s="29"/>
      <c r="T17" s="22"/>
      <c r="W17" s="66" t="s">
        <v>11</v>
      </c>
      <c r="X17" s="67">
        <v>3.0627999999999999E-2</v>
      </c>
    </row>
    <row r="18" spans="2:24" ht="15" customHeight="1" x14ac:dyDescent="0.25">
      <c r="B18" s="84"/>
      <c r="C18" s="197" t="s">
        <v>105</v>
      </c>
      <c r="D18" s="208" t="s">
        <v>129</v>
      </c>
      <c r="E18" s="216">
        <v>2.4525999999999999E-2</v>
      </c>
      <c r="F18" s="29"/>
      <c r="G18" s="29"/>
      <c r="H18" s="29"/>
      <c r="I18" s="29"/>
      <c r="J18" s="29"/>
      <c r="K18" s="29"/>
      <c r="L18" s="29"/>
      <c r="M18" s="29"/>
      <c r="N18" s="29"/>
      <c r="O18" s="29"/>
      <c r="P18" s="29"/>
      <c r="Q18" s="29"/>
      <c r="R18" s="29"/>
      <c r="S18" s="29"/>
      <c r="T18" s="22"/>
      <c r="W18" s="66" t="s">
        <v>147</v>
      </c>
      <c r="X18" s="67">
        <v>2.0326E-2</v>
      </c>
    </row>
    <row r="19" spans="2:24" ht="15" customHeight="1" x14ac:dyDescent="0.25">
      <c r="B19" s="84"/>
      <c r="C19" s="197" t="s">
        <v>64</v>
      </c>
      <c r="D19" s="208" t="s">
        <v>23</v>
      </c>
      <c r="E19" s="216">
        <v>2.4385E-2</v>
      </c>
      <c r="F19" s="29"/>
      <c r="G19" s="29"/>
      <c r="H19" s="29"/>
      <c r="I19" s="29"/>
      <c r="J19" s="29"/>
      <c r="K19" s="29"/>
      <c r="L19" s="29"/>
      <c r="M19" s="29"/>
      <c r="N19" s="29"/>
      <c r="O19" s="29"/>
      <c r="P19" s="29"/>
      <c r="Q19" s="29"/>
      <c r="R19" s="29"/>
      <c r="S19" s="29"/>
      <c r="T19" s="22"/>
      <c r="W19" s="66" t="s">
        <v>123</v>
      </c>
      <c r="X19" s="67">
        <v>1.8973E-2</v>
      </c>
    </row>
    <row r="20" spans="2:24" ht="15" customHeight="1" x14ac:dyDescent="0.25">
      <c r="B20" s="84"/>
      <c r="C20" s="197" t="s">
        <v>251</v>
      </c>
      <c r="D20" s="208" t="s">
        <v>134</v>
      </c>
      <c r="E20" s="216">
        <v>2.3112000000000001E-2</v>
      </c>
      <c r="F20" s="29"/>
      <c r="G20" s="29"/>
      <c r="H20" s="29"/>
      <c r="I20" s="29"/>
      <c r="J20" s="29"/>
      <c r="K20" s="29"/>
      <c r="L20" s="29"/>
      <c r="M20" s="29"/>
      <c r="N20" s="29"/>
      <c r="O20" s="29"/>
      <c r="P20" s="29"/>
      <c r="Q20" s="29"/>
      <c r="R20" s="29"/>
      <c r="S20" s="29"/>
      <c r="T20" s="22"/>
      <c r="W20" s="66" t="s">
        <v>82</v>
      </c>
      <c r="X20" s="67">
        <v>1.8484E-2</v>
      </c>
    </row>
    <row r="21" spans="2:24" ht="15" customHeight="1" x14ac:dyDescent="0.25">
      <c r="B21" s="84"/>
      <c r="C21" s="197" t="s">
        <v>73</v>
      </c>
      <c r="D21" s="208" t="s">
        <v>12</v>
      </c>
      <c r="E21" s="216">
        <v>2.2545999999999997E-2</v>
      </c>
      <c r="F21" s="29"/>
      <c r="G21" s="29"/>
      <c r="H21" s="29"/>
      <c r="I21" s="29"/>
      <c r="J21" s="29"/>
      <c r="K21" s="29"/>
      <c r="L21" s="29"/>
      <c r="M21" s="29"/>
      <c r="N21" s="29"/>
      <c r="O21" s="29"/>
      <c r="P21" s="29"/>
      <c r="Q21" s="29"/>
      <c r="R21" s="29"/>
      <c r="S21" s="29"/>
      <c r="T21" s="22"/>
      <c r="W21" s="66" t="s">
        <v>120</v>
      </c>
      <c r="X21" s="67">
        <v>1.8377999999999999E-2</v>
      </c>
    </row>
    <row r="22" spans="2:24" ht="15" customHeight="1" x14ac:dyDescent="0.25">
      <c r="B22" s="84"/>
      <c r="C22" s="197" t="s">
        <v>158</v>
      </c>
      <c r="D22" s="208" t="s">
        <v>23</v>
      </c>
      <c r="E22" s="216">
        <v>2.0753000000000001E-2</v>
      </c>
      <c r="F22" s="29"/>
      <c r="G22" s="29"/>
      <c r="H22" s="29"/>
      <c r="I22" s="29"/>
      <c r="J22" s="29"/>
      <c r="K22" s="29"/>
      <c r="L22" s="29"/>
      <c r="M22" s="29"/>
      <c r="N22" s="29"/>
      <c r="O22" s="29"/>
      <c r="P22" s="29"/>
      <c r="Q22" s="29"/>
      <c r="R22" s="29"/>
      <c r="S22" s="29"/>
      <c r="T22" s="22"/>
      <c r="W22" s="61" t="s">
        <v>89</v>
      </c>
      <c r="X22" s="62">
        <v>1.7486000000000002E-2</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61" t="s">
        <v>140</v>
      </c>
      <c r="X23" s="62">
        <v>1.601E-2</v>
      </c>
    </row>
    <row r="24" spans="2:24" ht="15" customHeight="1" x14ac:dyDescent="0.25">
      <c r="B24" s="84"/>
      <c r="C24" s="78" t="s">
        <v>55</v>
      </c>
      <c r="D24" s="79"/>
      <c r="E24" s="80">
        <f>SUM(E8:E22)</f>
        <v>0.52398999999999996</v>
      </c>
      <c r="F24" s="29"/>
      <c r="G24" s="29"/>
      <c r="H24" s="29"/>
      <c r="I24" s="29"/>
      <c r="J24" s="29"/>
      <c r="K24" s="29"/>
      <c r="L24" s="29"/>
      <c r="M24" s="29"/>
      <c r="N24" s="29"/>
      <c r="O24" s="29"/>
      <c r="P24" s="29"/>
      <c r="Q24" s="29"/>
      <c r="R24" s="29"/>
      <c r="S24" s="29"/>
      <c r="T24" s="22"/>
      <c r="W24" s="61" t="s">
        <v>4</v>
      </c>
      <c r="X24" s="62">
        <v>1.1011E-2</v>
      </c>
    </row>
    <row r="25" spans="2:24" ht="15" customHeight="1" x14ac:dyDescent="0.25">
      <c r="B25" s="84"/>
      <c r="F25" s="29"/>
      <c r="G25" s="29"/>
      <c r="H25" s="29"/>
      <c r="I25" s="29"/>
      <c r="J25" s="29"/>
      <c r="K25" s="29"/>
      <c r="L25" s="29"/>
      <c r="M25" s="29"/>
      <c r="N25" s="29"/>
      <c r="O25" s="29"/>
      <c r="P25" s="29"/>
      <c r="Q25" s="29"/>
      <c r="R25" s="29"/>
      <c r="S25" s="29"/>
      <c r="T25" s="22"/>
      <c r="W25" s="61" t="s">
        <v>15</v>
      </c>
      <c r="X25" s="62">
        <v>8.3230000000000005E-3</v>
      </c>
    </row>
    <row r="26" spans="2:24" ht="15" customHeight="1" x14ac:dyDescent="0.25">
      <c r="B26" s="84"/>
      <c r="F26" s="29"/>
      <c r="G26" s="29"/>
      <c r="H26" s="29"/>
      <c r="I26" s="29"/>
      <c r="J26" s="29"/>
      <c r="K26" s="29"/>
      <c r="L26" s="29"/>
      <c r="M26" s="29"/>
      <c r="N26" s="29"/>
      <c r="O26" s="29"/>
      <c r="P26" s="29"/>
      <c r="Q26" s="29"/>
      <c r="R26" s="29"/>
      <c r="S26" s="29"/>
      <c r="T26" s="22"/>
      <c r="W26" s="61" t="s">
        <v>126</v>
      </c>
      <c r="X26" s="62">
        <v>4.4970000000000001E-3</v>
      </c>
    </row>
    <row r="27" spans="2:24" ht="15" customHeight="1" x14ac:dyDescent="0.25">
      <c r="B27" s="84"/>
      <c r="F27" s="29"/>
      <c r="G27" s="29"/>
      <c r="H27" s="29"/>
      <c r="I27" s="29"/>
      <c r="J27" s="29"/>
      <c r="K27" s="29"/>
      <c r="L27" s="29"/>
      <c r="M27" s="29"/>
      <c r="N27" s="29"/>
      <c r="O27" s="29"/>
      <c r="P27" s="29"/>
      <c r="Q27" s="29"/>
      <c r="R27" s="29"/>
      <c r="S27" s="29"/>
      <c r="T27" s="22"/>
      <c r="W27" s="162" t="s">
        <v>133</v>
      </c>
      <c r="X27" s="163">
        <v>4.3090000000000003E-3</v>
      </c>
    </row>
    <row r="28" spans="2:24" ht="15" customHeight="1" x14ac:dyDescent="0.25">
      <c r="B28" s="84"/>
      <c r="F28" s="29"/>
      <c r="G28" s="29"/>
      <c r="H28" s="29"/>
      <c r="I28" s="29"/>
      <c r="J28" s="29"/>
      <c r="K28" s="29"/>
      <c r="L28" s="29"/>
      <c r="M28" s="29"/>
      <c r="N28" s="29"/>
      <c r="O28" s="29"/>
      <c r="P28" s="29"/>
      <c r="Q28" s="29"/>
      <c r="R28" s="29"/>
      <c r="S28" s="29"/>
      <c r="T28" s="22"/>
      <c r="W28" s="162"/>
      <c r="X28" s="163"/>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53" t="s">
        <v>202</v>
      </c>
      <c r="C36" s="254"/>
      <c r="D36" s="254"/>
      <c r="E36" s="254"/>
      <c r="F36" s="254"/>
      <c r="G36" s="254"/>
      <c r="H36" s="254"/>
      <c r="I36" s="254"/>
      <c r="J36" s="254"/>
      <c r="K36" s="254"/>
      <c r="L36" s="254"/>
      <c r="M36" s="254"/>
      <c r="N36" s="254"/>
      <c r="O36" s="254"/>
      <c r="P36" s="254"/>
      <c r="Q36" s="254"/>
      <c r="R36" s="255"/>
    </row>
    <row r="37" spans="2:20" ht="15" customHeight="1" x14ac:dyDescent="0.25">
      <c r="B37" s="256"/>
      <c r="C37" s="257"/>
      <c r="D37" s="257"/>
      <c r="E37" s="257"/>
      <c r="F37" s="257"/>
      <c r="G37" s="257"/>
      <c r="H37" s="257"/>
      <c r="I37" s="257"/>
      <c r="J37" s="257"/>
      <c r="K37" s="257"/>
      <c r="L37" s="257"/>
      <c r="M37" s="257"/>
      <c r="N37" s="257"/>
      <c r="O37" s="257"/>
      <c r="P37" s="257"/>
      <c r="Q37" s="257"/>
      <c r="R37" s="258"/>
    </row>
    <row r="38" spans="2:20" ht="15" customHeight="1" x14ac:dyDescent="0.25">
      <c r="B38" s="256"/>
      <c r="C38" s="257"/>
      <c r="D38" s="257"/>
      <c r="E38" s="257"/>
      <c r="F38" s="257"/>
      <c r="G38" s="257"/>
      <c r="H38" s="257"/>
      <c r="I38" s="257"/>
      <c r="J38" s="257"/>
      <c r="K38" s="257"/>
      <c r="L38" s="257"/>
      <c r="M38" s="257"/>
      <c r="N38" s="257"/>
      <c r="O38" s="257"/>
      <c r="P38" s="257"/>
      <c r="Q38" s="257"/>
      <c r="R38" s="258"/>
    </row>
    <row r="39" spans="2:20" ht="15" customHeight="1" x14ac:dyDescent="0.25">
      <c r="B39" s="256"/>
      <c r="C39" s="257"/>
      <c r="D39" s="257"/>
      <c r="E39" s="257"/>
      <c r="F39" s="257"/>
      <c r="G39" s="257"/>
      <c r="H39" s="257"/>
      <c r="I39" s="257"/>
      <c r="J39" s="257"/>
      <c r="K39" s="257"/>
      <c r="L39" s="257"/>
      <c r="M39" s="257"/>
      <c r="N39" s="257"/>
      <c r="O39" s="257"/>
      <c r="P39" s="257"/>
      <c r="Q39" s="257"/>
      <c r="R39" s="258"/>
    </row>
    <row r="40" spans="2:20" ht="15" customHeight="1" x14ac:dyDescent="0.25">
      <c r="B40" s="256"/>
      <c r="C40" s="257"/>
      <c r="D40" s="257"/>
      <c r="E40" s="257"/>
      <c r="F40" s="257"/>
      <c r="G40" s="257"/>
      <c r="H40" s="257"/>
      <c r="I40" s="257"/>
      <c r="J40" s="257"/>
      <c r="K40" s="257"/>
      <c r="L40" s="257"/>
      <c r="M40" s="257"/>
      <c r="N40" s="257"/>
      <c r="O40" s="257"/>
      <c r="P40" s="257"/>
      <c r="Q40" s="257"/>
      <c r="R40" s="258"/>
    </row>
    <row r="41" spans="2:20" ht="15" customHeight="1" x14ac:dyDescent="0.25">
      <c r="B41" s="256"/>
      <c r="C41" s="257"/>
      <c r="D41" s="257"/>
      <c r="E41" s="257"/>
      <c r="F41" s="257"/>
      <c r="G41" s="257"/>
      <c r="H41" s="257"/>
      <c r="I41" s="257"/>
      <c r="J41" s="257"/>
      <c r="K41" s="257"/>
      <c r="L41" s="257"/>
      <c r="M41" s="257"/>
      <c r="N41" s="257"/>
      <c r="O41" s="257"/>
      <c r="P41" s="257"/>
      <c r="Q41" s="257"/>
      <c r="R41" s="258"/>
    </row>
    <row r="42" spans="2:20" ht="15" customHeight="1" thickBot="1" x14ac:dyDescent="0.3">
      <c r="B42" s="259"/>
      <c r="C42" s="260"/>
      <c r="D42" s="260"/>
      <c r="E42" s="260"/>
      <c r="F42" s="260"/>
      <c r="G42" s="260"/>
      <c r="H42" s="260"/>
      <c r="I42" s="260"/>
      <c r="J42" s="260"/>
      <c r="K42" s="260"/>
      <c r="L42" s="260"/>
      <c r="M42" s="260"/>
      <c r="N42" s="260"/>
      <c r="O42" s="260"/>
      <c r="P42" s="260"/>
      <c r="Q42" s="260"/>
      <c r="R42" s="261"/>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2" t="s">
        <v>183</v>
      </c>
      <c r="D3" s="263"/>
      <c r="E3" s="263"/>
      <c r="F3" s="263"/>
      <c r="G3" s="263"/>
      <c r="H3" s="263"/>
      <c r="I3" s="263"/>
      <c r="J3" s="263"/>
      <c r="K3" s="263"/>
      <c r="L3" s="263"/>
      <c r="M3" s="263"/>
      <c r="N3" s="263"/>
      <c r="O3" s="263"/>
      <c r="P3" s="263"/>
      <c r="Q3" s="263"/>
      <c r="R3" s="263"/>
      <c r="S3" s="263"/>
      <c r="T3" s="70"/>
      <c r="U3" s="71"/>
    </row>
    <row r="4" spans="1:24" ht="15.75" customHeight="1" x14ac:dyDescent="0.25">
      <c r="B4" s="69"/>
      <c r="C4" s="72" t="s">
        <v>354</v>
      </c>
      <c r="D4" s="29"/>
      <c r="E4" s="29"/>
      <c r="F4" s="29"/>
      <c r="G4" s="29"/>
      <c r="H4" s="29"/>
      <c r="I4" s="29"/>
      <c r="J4" s="29"/>
      <c r="K4" s="29"/>
      <c r="L4" s="29"/>
      <c r="M4" s="29"/>
      <c r="N4" s="29"/>
      <c r="O4" s="29"/>
      <c r="P4" s="29"/>
      <c r="Q4" s="29"/>
      <c r="R4" s="29"/>
      <c r="S4" s="29"/>
      <c r="T4" s="29"/>
      <c r="U4" s="25"/>
    </row>
    <row r="5" spans="1:24" ht="18" customHeight="1" x14ac:dyDescent="0.25">
      <c r="B5" s="69"/>
      <c r="C5" s="235" t="s">
        <v>355</v>
      </c>
      <c r="D5" s="266" t="s">
        <v>332</v>
      </c>
      <c r="E5" s="266"/>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5" t="s">
        <v>85</v>
      </c>
      <c r="D8" s="206" t="s">
        <v>122</v>
      </c>
      <c r="E8" s="207">
        <v>9.5348000000000002E-2</v>
      </c>
      <c r="F8" s="29"/>
      <c r="G8" s="29"/>
      <c r="H8" s="29"/>
      <c r="I8" s="29"/>
      <c r="J8" s="29"/>
      <c r="K8" s="29"/>
      <c r="L8" s="29"/>
      <c r="M8" s="29"/>
      <c r="N8" s="29"/>
      <c r="O8" s="29"/>
      <c r="P8" s="29"/>
      <c r="Q8" s="29"/>
      <c r="R8" s="29"/>
      <c r="S8" s="29"/>
      <c r="T8" s="29"/>
      <c r="U8" s="25"/>
      <c r="W8" s="188" t="s">
        <v>122</v>
      </c>
      <c r="X8" s="187">
        <v>0.40256000000000003</v>
      </c>
    </row>
    <row r="9" spans="1:24" ht="15.75" customHeight="1" x14ac:dyDescent="0.25">
      <c r="B9" s="69"/>
      <c r="C9" s="197" t="s">
        <v>130</v>
      </c>
      <c r="D9" s="208" t="s">
        <v>122</v>
      </c>
      <c r="E9" s="209">
        <v>9.1249999999999998E-2</v>
      </c>
      <c r="F9" s="29"/>
      <c r="G9" s="29"/>
      <c r="H9" s="29"/>
      <c r="I9" s="29"/>
      <c r="J9" s="29"/>
      <c r="K9" s="29"/>
      <c r="L9" s="29"/>
      <c r="M9" s="29"/>
      <c r="N9" s="29"/>
      <c r="O9" s="29"/>
      <c r="P9" s="29"/>
      <c r="Q9" s="29"/>
      <c r="R9" s="29"/>
      <c r="S9" s="29"/>
      <c r="T9" s="29"/>
      <c r="U9" s="25"/>
      <c r="W9" s="188" t="s">
        <v>120</v>
      </c>
      <c r="X9" s="187">
        <v>0.30380600000000002</v>
      </c>
    </row>
    <row r="10" spans="1:24" ht="15.75" x14ac:dyDescent="0.25">
      <c r="B10" s="69"/>
      <c r="C10" s="197" t="s">
        <v>102</v>
      </c>
      <c r="D10" s="208" t="s">
        <v>122</v>
      </c>
      <c r="E10" s="209">
        <v>9.0618000000000004E-2</v>
      </c>
      <c r="F10" s="29"/>
      <c r="G10" s="29"/>
      <c r="H10" s="29"/>
      <c r="I10" s="29"/>
      <c r="J10" s="29"/>
      <c r="K10" s="29"/>
      <c r="L10" s="29"/>
      <c r="M10" s="29"/>
      <c r="N10" s="29"/>
      <c r="O10" s="29"/>
      <c r="P10" s="29"/>
      <c r="Q10" s="29"/>
      <c r="R10" s="29"/>
      <c r="S10" s="29"/>
      <c r="T10" s="29"/>
      <c r="U10" s="25"/>
      <c r="W10" s="188" t="s">
        <v>134</v>
      </c>
      <c r="X10" s="187">
        <v>0.13739999999999999</v>
      </c>
    </row>
    <row r="11" spans="1:24" ht="15.75" customHeight="1" x14ac:dyDescent="0.25">
      <c r="B11" s="69"/>
      <c r="C11" s="197" t="s">
        <v>119</v>
      </c>
      <c r="D11" s="208" t="s">
        <v>120</v>
      </c>
      <c r="E11" s="209">
        <v>6.0754000000000002E-2</v>
      </c>
      <c r="F11" s="29"/>
      <c r="G11" s="29"/>
      <c r="H11" s="29"/>
      <c r="I11" s="29"/>
      <c r="J11" s="29"/>
      <c r="K11" s="29"/>
      <c r="L11" s="29"/>
      <c r="M11" s="29"/>
      <c r="N11" s="29"/>
      <c r="O11" s="29"/>
      <c r="P11" s="29"/>
      <c r="Q11" s="29"/>
      <c r="R11" s="29"/>
      <c r="S11" s="29"/>
      <c r="T11" s="29"/>
      <c r="U11" s="25"/>
      <c r="W11" s="188" t="s">
        <v>89</v>
      </c>
      <c r="X11" s="187">
        <v>3.3229999999999996E-2</v>
      </c>
    </row>
    <row r="12" spans="1:24" ht="15" customHeight="1" x14ac:dyDescent="0.25">
      <c r="B12" s="69"/>
      <c r="C12" s="197" t="s">
        <v>159</v>
      </c>
      <c r="D12" s="208" t="s">
        <v>122</v>
      </c>
      <c r="E12" s="209">
        <v>5.2255999999999997E-2</v>
      </c>
      <c r="F12" s="29"/>
      <c r="G12" s="29"/>
      <c r="H12" s="29"/>
      <c r="I12" s="29"/>
      <c r="J12" s="29"/>
      <c r="K12" s="29"/>
      <c r="L12" s="29"/>
      <c r="M12" s="29"/>
      <c r="N12" s="29"/>
      <c r="O12" s="29"/>
      <c r="P12" s="29"/>
      <c r="Q12" s="29"/>
      <c r="R12" s="29"/>
      <c r="S12" s="29"/>
      <c r="T12" s="29"/>
      <c r="U12" s="25"/>
      <c r="W12" s="188" t="s">
        <v>24</v>
      </c>
      <c r="X12" s="187">
        <v>2.8815E-2</v>
      </c>
    </row>
    <row r="13" spans="1:24" ht="15" customHeight="1" x14ac:dyDescent="0.25">
      <c r="B13" s="69"/>
      <c r="C13" s="197" t="s">
        <v>288</v>
      </c>
      <c r="D13" s="208" t="s">
        <v>122</v>
      </c>
      <c r="E13" s="209">
        <v>3.7607000000000002E-2</v>
      </c>
      <c r="F13" s="29"/>
      <c r="G13" s="29"/>
      <c r="H13" s="29"/>
      <c r="I13" s="29"/>
      <c r="J13" s="29"/>
      <c r="K13" s="29"/>
      <c r="L13" s="29"/>
      <c r="M13" s="29"/>
      <c r="N13" s="29"/>
      <c r="O13" s="29"/>
      <c r="P13" s="29"/>
      <c r="Q13" s="29"/>
      <c r="R13" s="29"/>
      <c r="S13" s="29"/>
      <c r="T13" s="29"/>
      <c r="U13" s="25"/>
      <c r="W13" s="66" t="s">
        <v>137</v>
      </c>
      <c r="X13" s="67">
        <v>2.0233000000000001E-2</v>
      </c>
    </row>
    <row r="14" spans="1:24" ht="15" customHeight="1" x14ac:dyDescent="0.25">
      <c r="B14" s="69"/>
      <c r="C14" s="197" t="s">
        <v>155</v>
      </c>
      <c r="D14" s="208" t="s">
        <v>122</v>
      </c>
      <c r="E14" s="209">
        <v>3.5480999999999999E-2</v>
      </c>
      <c r="F14" s="29"/>
      <c r="G14" s="29"/>
      <c r="H14" s="29"/>
      <c r="I14" s="29"/>
      <c r="J14" s="29"/>
      <c r="K14" s="29"/>
      <c r="L14" s="29"/>
      <c r="M14" s="29"/>
      <c r="N14" s="29"/>
      <c r="O14" s="29"/>
      <c r="P14" s="29"/>
      <c r="Q14" s="29"/>
      <c r="R14" s="29"/>
      <c r="S14" s="29"/>
      <c r="T14" s="29"/>
      <c r="U14" s="25"/>
      <c r="W14" s="66" t="s">
        <v>4</v>
      </c>
      <c r="X14" s="67">
        <v>1.423E-2</v>
      </c>
    </row>
    <row r="15" spans="1:24" ht="15" customHeight="1" x14ac:dyDescent="0.25">
      <c r="B15" s="69"/>
      <c r="C15" s="197" t="s">
        <v>160</v>
      </c>
      <c r="D15" s="208" t="s">
        <v>134</v>
      </c>
      <c r="E15" s="209">
        <v>2.98E-2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7" t="s">
        <v>241</v>
      </c>
      <c r="D16" s="208" t="s">
        <v>120</v>
      </c>
      <c r="E16" s="209">
        <v>2.4795999999999999E-2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7" t="s">
        <v>280</v>
      </c>
      <c r="D17" s="208" t="s">
        <v>120</v>
      </c>
      <c r="E17" s="209">
        <v>2.4143000000000001E-2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7" t="s">
        <v>251</v>
      </c>
      <c r="D18" s="208" t="s">
        <v>134</v>
      </c>
      <c r="E18" s="209">
        <v>2.3077E-2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7" t="s">
        <v>235</v>
      </c>
      <c r="D19" s="208" t="s">
        <v>120</v>
      </c>
      <c r="E19" s="209">
        <v>2.2686999999999999E-2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7" t="s">
        <v>281</v>
      </c>
      <c r="D20" s="208" t="s">
        <v>120</v>
      </c>
      <c r="E20" s="209">
        <v>2.0743000000000001E-2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7" t="s">
        <v>240</v>
      </c>
      <c r="D21" s="208" t="s">
        <v>134</v>
      </c>
      <c r="E21" s="209">
        <v>2.061E-2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7" t="s">
        <v>156</v>
      </c>
      <c r="D22" s="208" t="s">
        <v>137</v>
      </c>
      <c r="E22" s="209">
        <v>2.0233000000000001E-2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0.64940299999999995</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ht="15" customHeight="1" x14ac:dyDescent="0.25">
      <c r="B40" s="256"/>
      <c r="C40" s="257"/>
      <c r="D40" s="257"/>
      <c r="E40" s="257"/>
      <c r="F40" s="257"/>
      <c r="G40" s="257"/>
      <c r="H40" s="257"/>
      <c r="I40" s="257"/>
      <c r="J40" s="257"/>
      <c r="K40" s="257"/>
      <c r="L40" s="257"/>
      <c r="M40" s="257"/>
      <c r="N40" s="257"/>
      <c r="O40" s="257"/>
      <c r="P40" s="257"/>
      <c r="Q40" s="257"/>
      <c r="R40" s="258"/>
      <c r="W40" s="66"/>
      <c r="X40" s="67"/>
    </row>
    <row r="41" spans="2:24" ht="15" customHeight="1" x14ac:dyDescent="0.25">
      <c r="B41" s="256"/>
      <c r="C41" s="257"/>
      <c r="D41" s="257"/>
      <c r="E41" s="257"/>
      <c r="F41" s="257"/>
      <c r="G41" s="257"/>
      <c r="H41" s="257"/>
      <c r="I41" s="257"/>
      <c r="J41" s="257"/>
      <c r="K41" s="257"/>
      <c r="L41" s="257"/>
      <c r="M41" s="257"/>
      <c r="N41" s="257"/>
      <c r="O41" s="257"/>
      <c r="P41" s="257"/>
      <c r="Q41" s="257"/>
      <c r="R41" s="258"/>
      <c r="W41" s="66"/>
      <c r="X41" s="67"/>
    </row>
    <row r="42" spans="2:24" ht="15" customHeight="1" x14ac:dyDescent="0.25">
      <c r="B42" s="256"/>
      <c r="C42" s="257"/>
      <c r="D42" s="257"/>
      <c r="E42" s="257"/>
      <c r="F42" s="257"/>
      <c r="G42" s="257"/>
      <c r="H42" s="257"/>
      <c r="I42" s="257"/>
      <c r="J42" s="257"/>
      <c r="K42" s="257"/>
      <c r="L42" s="257"/>
      <c r="M42" s="257"/>
      <c r="N42" s="257"/>
      <c r="O42" s="257"/>
      <c r="P42" s="257"/>
      <c r="Q42" s="257"/>
      <c r="R42" s="258"/>
      <c r="W42" s="66"/>
      <c r="X42" s="67"/>
    </row>
    <row r="43" spans="2:24" ht="15" customHeight="1" x14ac:dyDescent="0.25">
      <c r="B43" s="256"/>
      <c r="C43" s="257"/>
      <c r="D43" s="257"/>
      <c r="E43" s="257"/>
      <c r="F43" s="257"/>
      <c r="G43" s="257"/>
      <c r="H43" s="257"/>
      <c r="I43" s="257"/>
      <c r="J43" s="257"/>
      <c r="K43" s="257"/>
      <c r="L43" s="257"/>
      <c r="M43" s="257"/>
      <c r="N43" s="257"/>
      <c r="O43" s="257"/>
      <c r="P43" s="257"/>
      <c r="Q43" s="257"/>
      <c r="R43" s="258"/>
    </row>
    <row r="44" spans="2:24" ht="15" customHeight="1" x14ac:dyDescent="0.25">
      <c r="B44" s="256"/>
      <c r="C44" s="257"/>
      <c r="D44" s="257"/>
      <c r="E44" s="257"/>
      <c r="F44" s="257"/>
      <c r="G44" s="257"/>
      <c r="H44" s="257"/>
      <c r="I44" s="257"/>
      <c r="J44" s="257"/>
      <c r="K44" s="257"/>
      <c r="L44" s="257"/>
      <c r="M44" s="257"/>
      <c r="N44" s="257"/>
      <c r="O44" s="257"/>
      <c r="P44" s="257"/>
      <c r="Q44" s="257"/>
      <c r="R44" s="258"/>
    </row>
    <row r="45" spans="2:24" ht="27.75" customHeight="1" thickBot="1" x14ac:dyDescent="0.3">
      <c r="B45" s="259"/>
      <c r="C45" s="260"/>
      <c r="D45" s="260"/>
      <c r="E45" s="260"/>
      <c r="F45" s="260"/>
      <c r="G45" s="260"/>
      <c r="H45" s="260"/>
      <c r="I45" s="260"/>
      <c r="J45" s="260"/>
      <c r="K45" s="260"/>
      <c r="L45" s="260"/>
      <c r="M45" s="260"/>
      <c r="N45" s="260"/>
      <c r="O45" s="260"/>
      <c r="P45" s="260"/>
      <c r="Q45" s="260"/>
      <c r="R45" s="26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2" t="s">
        <v>207</v>
      </c>
      <c r="D3" s="263"/>
      <c r="E3" s="263"/>
      <c r="F3" s="263"/>
      <c r="G3" s="263"/>
      <c r="H3" s="263"/>
      <c r="I3" s="263"/>
      <c r="J3" s="263"/>
      <c r="K3" s="263"/>
      <c r="L3" s="263"/>
      <c r="M3" s="263"/>
      <c r="N3" s="263"/>
      <c r="O3" s="263"/>
      <c r="P3" s="263"/>
      <c r="Q3" s="263"/>
      <c r="R3" s="263"/>
      <c r="S3" s="263"/>
      <c r="T3" s="70"/>
      <c r="U3" s="71"/>
    </row>
    <row r="4" spans="1:24" ht="15.75" customHeight="1" x14ac:dyDescent="0.25">
      <c r="B4" s="69"/>
      <c r="C4" s="72" t="s">
        <v>354</v>
      </c>
      <c r="D4" s="29"/>
      <c r="E4" s="29"/>
      <c r="F4" s="29"/>
      <c r="G4" s="29"/>
      <c r="H4" s="29"/>
      <c r="I4" s="29"/>
      <c r="J4" s="29"/>
      <c r="K4" s="29"/>
      <c r="L4" s="29"/>
      <c r="M4" s="29"/>
      <c r="N4" s="29"/>
      <c r="O4" s="29"/>
      <c r="P4" s="29"/>
      <c r="Q4" s="29"/>
      <c r="R4" s="29"/>
      <c r="S4" s="29"/>
      <c r="T4" s="29"/>
      <c r="U4" s="25"/>
    </row>
    <row r="5" spans="1:24" ht="18" customHeight="1" x14ac:dyDescent="0.25">
      <c r="B5" s="69"/>
      <c r="C5" s="235" t="s">
        <v>355</v>
      </c>
      <c r="D5" s="266" t="s">
        <v>333</v>
      </c>
      <c r="E5" s="266"/>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5" t="s">
        <v>32</v>
      </c>
      <c r="D8" s="206" t="s">
        <v>3</v>
      </c>
      <c r="E8" s="207">
        <v>0.146673</v>
      </c>
      <c r="F8" s="29"/>
      <c r="G8" s="29"/>
      <c r="H8" s="29"/>
      <c r="I8" s="29"/>
      <c r="J8" s="29"/>
      <c r="K8" s="29"/>
      <c r="L8" s="29"/>
      <c r="M8" s="29"/>
      <c r="N8" s="29"/>
      <c r="O8" s="29"/>
      <c r="P8" s="29"/>
      <c r="Q8" s="29"/>
      <c r="R8" s="29"/>
      <c r="S8" s="29"/>
      <c r="T8" s="29"/>
      <c r="U8" s="25"/>
      <c r="W8" s="188" t="s">
        <v>3</v>
      </c>
      <c r="X8" s="187">
        <v>0.42136699999999999</v>
      </c>
    </row>
    <row r="9" spans="1:24" ht="15.75" customHeight="1" x14ac:dyDescent="0.25">
      <c r="B9" s="69"/>
      <c r="C9" s="197" t="s">
        <v>29</v>
      </c>
      <c r="D9" s="208" t="s">
        <v>3</v>
      </c>
      <c r="E9" s="209">
        <v>9.0406E-2</v>
      </c>
      <c r="F9" s="29"/>
      <c r="G9" s="29"/>
      <c r="H9" s="29"/>
      <c r="I9" s="29"/>
      <c r="J9" s="29"/>
      <c r="K9" s="29"/>
      <c r="L9" s="29"/>
      <c r="M9" s="29"/>
      <c r="N9" s="29"/>
      <c r="O9" s="29"/>
      <c r="P9" s="29"/>
      <c r="Q9" s="29"/>
      <c r="R9" s="29"/>
      <c r="S9" s="29"/>
      <c r="T9" s="29"/>
      <c r="U9" s="25"/>
      <c r="W9" s="188" t="s">
        <v>4</v>
      </c>
      <c r="X9" s="187">
        <v>0.33983999999999992</v>
      </c>
    </row>
    <row r="10" spans="1:24" ht="15.75" x14ac:dyDescent="0.25">
      <c r="B10" s="69"/>
      <c r="C10" s="197" t="s">
        <v>84</v>
      </c>
      <c r="D10" s="208" t="s">
        <v>3</v>
      </c>
      <c r="E10" s="209">
        <v>5.4797999999999999E-2</v>
      </c>
      <c r="F10" s="29"/>
      <c r="G10" s="29"/>
      <c r="H10" s="29"/>
      <c r="I10" s="29"/>
      <c r="J10" s="29"/>
      <c r="K10" s="29"/>
      <c r="L10" s="29"/>
      <c r="M10" s="29"/>
      <c r="N10" s="29"/>
      <c r="O10" s="29"/>
      <c r="P10" s="29"/>
      <c r="Q10" s="29"/>
      <c r="R10" s="29"/>
      <c r="S10" s="29"/>
      <c r="T10" s="29"/>
      <c r="U10" s="25"/>
      <c r="W10" s="188" t="s">
        <v>90</v>
      </c>
      <c r="X10" s="187">
        <v>0.129493</v>
      </c>
    </row>
    <row r="11" spans="1:24" ht="15.75" customHeight="1" x14ac:dyDescent="0.25">
      <c r="B11" s="69"/>
      <c r="C11" s="197" t="s">
        <v>35</v>
      </c>
      <c r="D11" s="208" t="s">
        <v>3</v>
      </c>
      <c r="E11" s="209">
        <v>5.0405999999999999E-2</v>
      </c>
      <c r="F11" s="29"/>
      <c r="G11" s="29"/>
      <c r="H11" s="29"/>
      <c r="I11" s="29"/>
      <c r="J11" s="29"/>
      <c r="K11" s="29"/>
      <c r="L11" s="29"/>
      <c r="M11" s="29"/>
      <c r="N11" s="29"/>
      <c r="O11" s="29"/>
      <c r="P11" s="29"/>
      <c r="Q11" s="29"/>
      <c r="R11" s="29"/>
      <c r="S11" s="29"/>
      <c r="T11" s="29"/>
      <c r="U11" s="25"/>
      <c r="W11" s="188" t="s">
        <v>91</v>
      </c>
      <c r="X11" s="187">
        <v>8.097E-2</v>
      </c>
    </row>
    <row r="12" spans="1:24" ht="15" customHeight="1" x14ac:dyDescent="0.25">
      <c r="B12" s="69"/>
      <c r="C12" s="197" t="s">
        <v>242</v>
      </c>
      <c r="D12" s="208" t="s">
        <v>4</v>
      </c>
      <c r="E12" s="209">
        <v>3.9695000000000001E-2</v>
      </c>
      <c r="F12" s="29"/>
      <c r="G12" s="29"/>
      <c r="H12" s="29"/>
      <c r="I12" s="29"/>
      <c r="J12" s="29"/>
      <c r="K12" s="29"/>
      <c r="L12" s="29"/>
      <c r="M12" s="29"/>
      <c r="N12" s="29"/>
      <c r="O12" s="29"/>
      <c r="P12" s="29"/>
      <c r="Q12" s="29"/>
      <c r="R12" s="29"/>
      <c r="S12" s="29"/>
      <c r="T12" s="29"/>
      <c r="U12" s="25"/>
      <c r="W12" s="188" t="s">
        <v>209</v>
      </c>
      <c r="X12" s="187">
        <v>1.9098E-2</v>
      </c>
    </row>
    <row r="13" spans="1:24" ht="15" customHeight="1" x14ac:dyDescent="0.25">
      <c r="B13" s="69"/>
      <c r="C13" s="197" t="s">
        <v>71</v>
      </c>
      <c r="D13" s="208" t="s">
        <v>4</v>
      </c>
      <c r="E13" s="209">
        <v>3.7967000000000001E-2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7" t="s">
        <v>81</v>
      </c>
      <c r="D14" s="208" t="s">
        <v>4</v>
      </c>
      <c r="E14" s="209">
        <v>3.7608000000000003E-2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7" t="s">
        <v>36</v>
      </c>
      <c r="D15" s="208" t="s">
        <v>3</v>
      </c>
      <c r="E15" s="209">
        <v>3.1891999999999997E-2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7" t="s">
        <v>145</v>
      </c>
      <c r="D16" s="208" t="s">
        <v>3</v>
      </c>
      <c r="E16" s="209">
        <v>3.0245999999999999E-2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7" t="s">
        <v>317</v>
      </c>
      <c r="D17" s="208" t="s">
        <v>4</v>
      </c>
      <c r="E17" s="209">
        <v>2.8184000000000001E-2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7" t="s">
        <v>236</v>
      </c>
      <c r="D18" s="208" t="s">
        <v>91</v>
      </c>
      <c r="E18" s="209">
        <v>2.7356999999999999E-2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7" t="s">
        <v>290</v>
      </c>
      <c r="D19" s="208" t="s">
        <v>90</v>
      </c>
      <c r="E19" s="209">
        <v>2.4993999999999999E-2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7" t="s">
        <v>257</v>
      </c>
      <c r="D20" s="208" t="s">
        <v>90</v>
      </c>
      <c r="E20" s="209">
        <v>2.4587999999999999E-2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7" t="s">
        <v>239</v>
      </c>
      <c r="D21" s="208" t="s">
        <v>4</v>
      </c>
      <c r="E21" s="209">
        <v>2.4577999999999999E-2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7" t="s">
        <v>289</v>
      </c>
      <c r="D22" s="208" t="s">
        <v>4</v>
      </c>
      <c r="E22" s="209">
        <v>2.3692000000000001E-2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0.67308400000000002</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ht="15" customHeight="1" x14ac:dyDescent="0.25">
      <c r="B40" s="256"/>
      <c r="C40" s="257"/>
      <c r="D40" s="257"/>
      <c r="E40" s="257"/>
      <c r="F40" s="257"/>
      <c r="G40" s="257"/>
      <c r="H40" s="257"/>
      <c r="I40" s="257"/>
      <c r="J40" s="257"/>
      <c r="K40" s="257"/>
      <c r="L40" s="257"/>
      <c r="M40" s="257"/>
      <c r="N40" s="257"/>
      <c r="O40" s="257"/>
      <c r="P40" s="257"/>
      <c r="Q40" s="257"/>
      <c r="R40" s="258"/>
      <c r="W40" s="66"/>
      <c r="X40" s="67"/>
    </row>
    <row r="41" spans="2:24" ht="15" customHeight="1" x14ac:dyDescent="0.25">
      <c r="B41" s="256"/>
      <c r="C41" s="257"/>
      <c r="D41" s="257"/>
      <c r="E41" s="257"/>
      <c r="F41" s="257"/>
      <c r="G41" s="257"/>
      <c r="H41" s="257"/>
      <c r="I41" s="257"/>
      <c r="J41" s="257"/>
      <c r="K41" s="257"/>
      <c r="L41" s="257"/>
      <c r="M41" s="257"/>
      <c r="N41" s="257"/>
      <c r="O41" s="257"/>
      <c r="P41" s="257"/>
      <c r="Q41" s="257"/>
      <c r="R41" s="258"/>
      <c r="W41" s="66"/>
      <c r="X41" s="67"/>
    </row>
    <row r="42" spans="2:24" ht="15" customHeight="1" x14ac:dyDescent="0.25">
      <c r="B42" s="256"/>
      <c r="C42" s="257"/>
      <c r="D42" s="257"/>
      <c r="E42" s="257"/>
      <c r="F42" s="257"/>
      <c r="G42" s="257"/>
      <c r="H42" s="257"/>
      <c r="I42" s="257"/>
      <c r="J42" s="257"/>
      <c r="K42" s="257"/>
      <c r="L42" s="257"/>
      <c r="M42" s="257"/>
      <c r="N42" s="257"/>
      <c r="O42" s="257"/>
      <c r="P42" s="257"/>
      <c r="Q42" s="257"/>
      <c r="R42" s="258"/>
      <c r="W42" s="66"/>
      <c r="X42" s="67"/>
    </row>
    <row r="43" spans="2:24" ht="15" customHeight="1" x14ac:dyDescent="0.25">
      <c r="B43" s="256"/>
      <c r="C43" s="257"/>
      <c r="D43" s="257"/>
      <c r="E43" s="257"/>
      <c r="F43" s="257"/>
      <c r="G43" s="257"/>
      <c r="H43" s="257"/>
      <c r="I43" s="257"/>
      <c r="J43" s="257"/>
      <c r="K43" s="257"/>
      <c r="L43" s="257"/>
      <c r="M43" s="257"/>
      <c r="N43" s="257"/>
      <c r="O43" s="257"/>
      <c r="P43" s="257"/>
      <c r="Q43" s="257"/>
      <c r="R43" s="258"/>
    </row>
    <row r="44" spans="2:24" ht="15" customHeight="1" x14ac:dyDescent="0.25">
      <c r="B44" s="256"/>
      <c r="C44" s="257"/>
      <c r="D44" s="257"/>
      <c r="E44" s="257"/>
      <c r="F44" s="257"/>
      <c r="G44" s="257"/>
      <c r="H44" s="257"/>
      <c r="I44" s="257"/>
      <c r="J44" s="257"/>
      <c r="K44" s="257"/>
      <c r="L44" s="257"/>
      <c r="M44" s="257"/>
      <c r="N44" s="257"/>
      <c r="O44" s="257"/>
      <c r="P44" s="257"/>
      <c r="Q44" s="257"/>
      <c r="R44" s="258"/>
    </row>
    <row r="45" spans="2:24" ht="27.75" customHeight="1" thickBot="1" x14ac:dyDescent="0.3">
      <c r="B45" s="259"/>
      <c r="C45" s="260"/>
      <c r="D45" s="260"/>
      <c r="E45" s="260"/>
      <c r="F45" s="260"/>
      <c r="G45" s="260"/>
      <c r="H45" s="260"/>
      <c r="I45" s="260"/>
      <c r="J45" s="260"/>
      <c r="K45" s="260"/>
      <c r="L45" s="260"/>
      <c r="M45" s="260"/>
      <c r="N45" s="260"/>
      <c r="O45" s="260"/>
      <c r="P45" s="260"/>
      <c r="Q45" s="260"/>
      <c r="R45" s="26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62" t="s">
        <v>250</v>
      </c>
      <c r="D3" s="263"/>
      <c r="E3" s="263"/>
      <c r="F3" s="263"/>
      <c r="G3" s="263"/>
      <c r="H3" s="263"/>
      <c r="I3" s="263"/>
      <c r="J3" s="263"/>
      <c r="K3" s="263"/>
      <c r="L3" s="263"/>
      <c r="M3" s="263"/>
      <c r="N3" s="263"/>
      <c r="O3" s="263"/>
      <c r="P3" s="263"/>
      <c r="Q3" s="263"/>
      <c r="R3" s="263"/>
      <c r="S3" s="263"/>
      <c r="T3" s="22"/>
    </row>
    <row r="4" spans="1:25" ht="15.75" customHeight="1" x14ac:dyDescent="0.25">
      <c r="B4" s="84"/>
      <c r="C4" s="72" t="s">
        <v>354</v>
      </c>
      <c r="D4" s="29"/>
      <c r="E4" s="29"/>
      <c r="F4" s="29"/>
      <c r="G4" s="29"/>
      <c r="H4" s="29"/>
      <c r="I4" s="29"/>
      <c r="J4" s="29"/>
      <c r="K4" s="29"/>
      <c r="L4" s="29"/>
      <c r="M4" s="29"/>
      <c r="N4" s="29"/>
      <c r="O4" s="29"/>
      <c r="P4" s="29"/>
      <c r="Q4" s="29"/>
      <c r="R4" s="29"/>
      <c r="S4" s="29"/>
      <c r="T4" s="22"/>
    </row>
    <row r="5" spans="1:25" ht="18" customHeight="1" x14ac:dyDescent="0.25">
      <c r="B5" s="84"/>
      <c r="C5" s="235" t="s">
        <v>355</v>
      </c>
      <c r="D5" s="264" t="s">
        <v>334</v>
      </c>
      <c r="E5" s="264"/>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5" t="s">
        <v>32</v>
      </c>
      <c r="D8" s="206" t="s">
        <v>3</v>
      </c>
      <c r="E8" s="207">
        <v>5.8268E-2</v>
      </c>
      <c r="F8" s="29"/>
      <c r="G8" s="29"/>
      <c r="H8" s="29"/>
      <c r="I8" s="29"/>
      <c r="J8" s="29"/>
      <c r="K8" s="29"/>
      <c r="L8" s="29"/>
      <c r="M8" s="29"/>
      <c r="N8" s="29"/>
      <c r="O8" s="29"/>
      <c r="P8" s="29"/>
      <c r="Q8" s="29"/>
      <c r="R8" s="29"/>
      <c r="S8" s="29"/>
      <c r="T8" s="22"/>
      <c r="W8" s="66" t="s">
        <v>3</v>
      </c>
      <c r="X8" s="67">
        <v>0.194884</v>
      </c>
      <c r="Y8" s="157"/>
    </row>
    <row r="9" spans="1:25" ht="15.75" customHeight="1" x14ac:dyDescent="0.25">
      <c r="B9" s="84"/>
      <c r="C9" s="197" t="s">
        <v>29</v>
      </c>
      <c r="D9" s="208" t="s">
        <v>3</v>
      </c>
      <c r="E9" s="209">
        <v>5.3716E-2</v>
      </c>
      <c r="F9" s="29"/>
      <c r="G9" s="29"/>
      <c r="H9" s="29"/>
      <c r="I9" s="29"/>
      <c r="J9" s="29"/>
      <c r="K9" s="29"/>
      <c r="L9" s="29"/>
      <c r="M9" s="29"/>
      <c r="N9" s="29"/>
      <c r="O9" s="29"/>
      <c r="P9" s="29"/>
      <c r="Q9" s="29"/>
      <c r="R9" s="29"/>
      <c r="S9" s="29"/>
      <c r="T9" s="22"/>
      <c r="W9" s="66" t="s">
        <v>117</v>
      </c>
      <c r="X9" s="67">
        <v>9.1056999999999999E-2</v>
      </c>
      <c r="Y9" s="157"/>
    </row>
    <row r="10" spans="1:25" ht="15" customHeight="1" x14ac:dyDescent="0.25">
      <c r="B10" s="84"/>
      <c r="C10" s="197" t="s">
        <v>31</v>
      </c>
      <c r="D10" s="208" t="s">
        <v>6</v>
      </c>
      <c r="E10" s="209">
        <v>5.2344000000000002E-2</v>
      </c>
      <c r="F10" s="29"/>
      <c r="G10" s="29"/>
      <c r="H10" s="29"/>
      <c r="I10" s="29"/>
      <c r="J10" s="29"/>
      <c r="K10" s="29"/>
      <c r="L10" s="29"/>
      <c r="M10" s="29"/>
      <c r="N10" s="29"/>
      <c r="O10" s="29"/>
      <c r="P10" s="29"/>
      <c r="Q10" s="29"/>
      <c r="R10" s="29"/>
      <c r="S10" s="29"/>
      <c r="T10" s="22"/>
      <c r="W10" s="66" t="s">
        <v>121</v>
      </c>
      <c r="X10" s="67">
        <v>8.3303999999999989E-2</v>
      </c>
      <c r="Y10" s="157"/>
    </row>
    <row r="11" spans="1:25" ht="15" customHeight="1" x14ac:dyDescent="0.25">
      <c r="B11" s="84"/>
      <c r="C11" s="197" t="s">
        <v>36</v>
      </c>
      <c r="D11" s="208" t="s">
        <v>3</v>
      </c>
      <c r="E11" s="209">
        <v>3.8523000000000002E-2</v>
      </c>
      <c r="F11" s="29"/>
      <c r="G11" s="29"/>
      <c r="H11" s="29"/>
      <c r="I11" s="29"/>
      <c r="J11" s="29"/>
      <c r="K11" s="29"/>
      <c r="L11" s="29"/>
      <c r="M11" s="29"/>
      <c r="N11" s="29"/>
      <c r="O11" s="29"/>
      <c r="P11" s="29"/>
      <c r="Q11" s="29"/>
      <c r="R11" s="29"/>
      <c r="S11" s="29"/>
      <c r="T11" s="22"/>
      <c r="W11" s="66" t="s">
        <v>6</v>
      </c>
      <c r="X11" s="67">
        <v>5.9084999999999999E-2</v>
      </c>
      <c r="Y11" s="157"/>
    </row>
    <row r="12" spans="1:25" ht="15" customHeight="1" x14ac:dyDescent="0.25">
      <c r="B12" s="84"/>
      <c r="C12" s="197" t="s">
        <v>28</v>
      </c>
      <c r="D12" s="208" t="s">
        <v>117</v>
      </c>
      <c r="E12" s="209">
        <v>3.8169000000000002E-2</v>
      </c>
      <c r="F12" s="29"/>
      <c r="G12" s="29"/>
      <c r="H12" s="29"/>
      <c r="I12" s="29"/>
      <c r="J12" s="29"/>
      <c r="K12" s="29"/>
      <c r="L12" s="29"/>
      <c r="M12" s="29"/>
      <c r="N12" s="29"/>
      <c r="O12" s="29"/>
      <c r="P12" s="29"/>
      <c r="Q12" s="29"/>
      <c r="R12" s="29"/>
      <c r="S12" s="29"/>
      <c r="T12" s="22"/>
      <c r="W12" s="66" t="s">
        <v>122</v>
      </c>
      <c r="X12" s="67">
        <v>5.4577000000000001E-2</v>
      </c>
      <c r="Y12" s="157"/>
    </row>
    <row r="13" spans="1:25" ht="15" customHeight="1" x14ac:dyDescent="0.25">
      <c r="B13" s="84"/>
      <c r="C13" s="197" t="s">
        <v>84</v>
      </c>
      <c r="D13" s="208" t="s">
        <v>3</v>
      </c>
      <c r="E13" s="209">
        <v>2.9243000000000002E-2</v>
      </c>
      <c r="F13" s="29"/>
      <c r="G13" s="29"/>
      <c r="H13" s="29"/>
      <c r="I13" s="29"/>
      <c r="J13" s="29"/>
      <c r="K13" s="29"/>
      <c r="L13" s="29"/>
      <c r="M13" s="29"/>
      <c r="N13" s="29"/>
      <c r="O13" s="29"/>
      <c r="P13" s="29"/>
      <c r="Q13" s="29"/>
      <c r="R13" s="29"/>
      <c r="S13" s="29"/>
      <c r="T13" s="22"/>
      <c r="W13" s="66" t="s">
        <v>89</v>
      </c>
      <c r="X13" s="67">
        <v>3.6560999999999996E-2</v>
      </c>
      <c r="Y13" s="157"/>
    </row>
    <row r="14" spans="1:25" ht="15" customHeight="1" x14ac:dyDescent="0.25">
      <c r="B14" s="84"/>
      <c r="C14" s="197" t="s">
        <v>73</v>
      </c>
      <c r="D14" s="208" t="s">
        <v>12</v>
      </c>
      <c r="E14" s="209">
        <v>2.3328000000000002E-2</v>
      </c>
      <c r="F14" s="29"/>
      <c r="G14" s="29"/>
      <c r="H14" s="29"/>
      <c r="I14" s="29"/>
      <c r="J14" s="29"/>
      <c r="K14" s="29"/>
      <c r="L14" s="29"/>
      <c r="M14" s="29"/>
      <c r="N14" s="29"/>
      <c r="O14" s="29"/>
      <c r="P14" s="29"/>
      <c r="Q14" s="29"/>
      <c r="R14" s="29"/>
      <c r="S14" s="29"/>
      <c r="T14" s="22"/>
      <c r="W14" s="66" t="s">
        <v>129</v>
      </c>
      <c r="X14" s="67">
        <v>3.5836E-2</v>
      </c>
      <c r="Y14" s="157"/>
    </row>
    <row r="15" spans="1:25" ht="15" customHeight="1" x14ac:dyDescent="0.25">
      <c r="B15" s="84"/>
      <c r="C15" s="197" t="s">
        <v>85</v>
      </c>
      <c r="D15" s="208" t="s">
        <v>122</v>
      </c>
      <c r="E15" s="209">
        <v>2.3213999999999999E-2</v>
      </c>
      <c r="F15" s="29"/>
      <c r="G15" s="29"/>
      <c r="H15" s="29"/>
      <c r="I15" s="29"/>
      <c r="J15" s="29"/>
      <c r="K15" s="29"/>
      <c r="L15" s="29"/>
      <c r="M15" s="29"/>
      <c r="N15" s="29"/>
      <c r="O15" s="29"/>
      <c r="P15" s="29"/>
      <c r="Q15" s="29"/>
      <c r="R15" s="29"/>
      <c r="S15" s="29"/>
      <c r="T15" s="22"/>
      <c r="W15" s="66" t="s">
        <v>91</v>
      </c>
      <c r="X15" s="67">
        <v>3.5688999999999999E-2</v>
      </c>
      <c r="Y15" s="157"/>
    </row>
    <row r="16" spans="1:25" ht="15" customHeight="1" x14ac:dyDescent="0.25">
      <c r="B16" s="84"/>
      <c r="C16" s="197" t="s">
        <v>62</v>
      </c>
      <c r="D16" s="208" t="s">
        <v>10</v>
      </c>
      <c r="E16" s="209">
        <v>2.1864000000000001E-2</v>
      </c>
      <c r="F16" s="29"/>
      <c r="G16" s="29"/>
      <c r="H16" s="29"/>
      <c r="I16" s="29"/>
      <c r="J16" s="29"/>
      <c r="K16" s="29"/>
      <c r="L16" s="29"/>
      <c r="M16" s="29"/>
      <c r="N16" s="29"/>
      <c r="O16" s="29"/>
      <c r="P16" s="29"/>
      <c r="Q16" s="29"/>
      <c r="R16" s="29"/>
      <c r="S16" s="29"/>
      <c r="T16" s="22"/>
      <c r="W16" s="66" t="s">
        <v>120</v>
      </c>
      <c r="X16" s="67">
        <v>3.5574000000000001E-2</v>
      </c>
      <c r="Y16" s="157"/>
    </row>
    <row r="17" spans="2:25" ht="15" customHeight="1" x14ac:dyDescent="0.25">
      <c r="B17" s="84"/>
      <c r="C17" s="197" t="s">
        <v>33</v>
      </c>
      <c r="D17" s="208" t="s">
        <v>117</v>
      </c>
      <c r="E17" s="209">
        <v>2.1468999999999999E-2</v>
      </c>
      <c r="F17" s="29"/>
      <c r="G17" s="29"/>
      <c r="H17" s="29"/>
      <c r="I17" s="29"/>
      <c r="J17" s="29"/>
      <c r="K17" s="29"/>
      <c r="L17" s="29"/>
      <c r="M17" s="29"/>
      <c r="N17" s="29"/>
      <c r="O17" s="29"/>
      <c r="P17" s="29"/>
      <c r="Q17" s="29"/>
      <c r="R17" s="29"/>
      <c r="S17" s="29"/>
      <c r="T17" s="22"/>
      <c r="W17" s="66" t="s">
        <v>4</v>
      </c>
      <c r="X17" s="67">
        <v>3.3727E-2</v>
      </c>
      <c r="Y17" s="157"/>
    </row>
    <row r="18" spans="2:25" ht="15" customHeight="1" x14ac:dyDescent="0.25">
      <c r="B18" s="84"/>
      <c r="C18" s="197" t="s">
        <v>114</v>
      </c>
      <c r="D18" s="208" t="s">
        <v>121</v>
      </c>
      <c r="E18" s="209">
        <v>2.0493999999999998E-2</v>
      </c>
      <c r="F18" s="29"/>
      <c r="G18" s="29"/>
      <c r="H18" s="29"/>
      <c r="I18" s="29"/>
      <c r="J18" s="29"/>
      <c r="K18" s="29"/>
      <c r="L18" s="29"/>
      <c r="M18" s="29"/>
      <c r="N18" s="29"/>
      <c r="O18" s="29"/>
      <c r="P18" s="29"/>
      <c r="Q18" s="29"/>
      <c r="R18" s="29"/>
      <c r="S18" s="29"/>
      <c r="T18" s="22"/>
      <c r="W18" s="66" t="s">
        <v>11</v>
      </c>
      <c r="X18" s="67">
        <v>2.9551000000000001E-2</v>
      </c>
      <c r="Y18" s="157"/>
    </row>
    <row r="19" spans="2:25" ht="15" customHeight="1" x14ac:dyDescent="0.25">
      <c r="B19" s="84"/>
      <c r="C19" s="197" t="s">
        <v>221</v>
      </c>
      <c r="D19" s="208" t="s">
        <v>117</v>
      </c>
      <c r="E19" s="209">
        <v>1.8970000000000001E-2</v>
      </c>
      <c r="F19" s="29"/>
      <c r="G19" s="29"/>
      <c r="H19" s="29"/>
      <c r="I19" s="29"/>
      <c r="J19" s="29"/>
      <c r="K19" s="29"/>
      <c r="L19" s="29"/>
      <c r="M19" s="29"/>
      <c r="N19" s="29"/>
      <c r="O19" s="29"/>
      <c r="P19" s="29"/>
      <c r="Q19" s="29"/>
      <c r="R19" s="29"/>
      <c r="S19" s="29"/>
      <c r="T19" s="22"/>
      <c r="W19" s="66" t="s">
        <v>10</v>
      </c>
      <c r="X19" s="67">
        <v>2.8774000000000001E-2</v>
      </c>
      <c r="Y19" s="157"/>
    </row>
    <row r="20" spans="2:25" ht="15" customHeight="1" x14ac:dyDescent="0.25">
      <c r="B20" s="84"/>
      <c r="C20" s="197" t="s">
        <v>80</v>
      </c>
      <c r="D20" s="208" t="s">
        <v>11</v>
      </c>
      <c r="E20" s="209">
        <v>1.8964999999999999E-2</v>
      </c>
      <c r="F20" s="29"/>
      <c r="G20" s="29"/>
      <c r="H20" s="29"/>
      <c r="I20" s="29"/>
      <c r="J20" s="29"/>
      <c r="K20" s="29"/>
      <c r="L20" s="29"/>
      <c r="M20" s="29"/>
      <c r="N20" s="29"/>
      <c r="O20" s="29"/>
      <c r="P20" s="29"/>
      <c r="Q20" s="29"/>
      <c r="R20" s="29"/>
      <c r="S20" s="29"/>
      <c r="T20" s="22"/>
      <c r="W20" s="66" t="s">
        <v>23</v>
      </c>
      <c r="X20" s="67">
        <v>2.6918000000000001E-2</v>
      </c>
      <c r="Y20" s="157"/>
    </row>
    <row r="21" spans="2:25" ht="15" customHeight="1" x14ac:dyDescent="0.25">
      <c r="B21" s="84"/>
      <c r="C21" s="197" t="s">
        <v>102</v>
      </c>
      <c r="D21" s="208" t="s">
        <v>122</v>
      </c>
      <c r="E21" s="209">
        <v>1.8386E-2</v>
      </c>
      <c r="F21" s="29"/>
      <c r="G21" s="29"/>
      <c r="H21" s="29"/>
      <c r="I21" s="29"/>
      <c r="J21" s="29"/>
      <c r="K21" s="29"/>
      <c r="L21" s="29"/>
      <c r="M21" s="29"/>
      <c r="N21" s="29"/>
      <c r="O21" s="29"/>
      <c r="P21" s="29"/>
      <c r="Q21" s="29"/>
      <c r="R21" s="29"/>
      <c r="S21" s="29"/>
      <c r="T21" s="22"/>
      <c r="W21" s="66" t="s">
        <v>116</v>
      </c>
      <c r="X21" s="67">
        <v>2.5399999999999999E-2</v>
      </c>
      <c r="Y21" s="157"/>
    </row>
    <row r="22" spans="2:25" ht="15" customHeight="1" x14ac:dyDescent="0.25">
      <c r="B22" s="84"/>
      <c r="C22" s="197" t="s">
        <v>77</v>
      </c>
      <c r="D22" s="208" t="s">
        <v>121</v>
      </c>
      <c r="E22" s="209">
        <v>1.7989999999999999E-2</v>
      </c>
      <c r="F22" s="29"/>
      <c r="G22" s="29"/>
      <c r="H22" s="29"/>
      <c r="I22" s="29"/>
      <c r="J22" s="29"/>
      <c r="K22" s="29"/>
      <c r="L22" s="29"/>
      <c r="M22" s="29"/>
      <c r="N22" s="29"/>
      <c r="O22" s="29"/>
      <c r="P22" s="29"/>
      <c r="Q22" s="29"/>
      <c r="R22" s="29"/>
      <c r="S22" s="29"/>
      <c r="T22" s="22"/>
      <c r="W22" s="66" t="s">
        <v>12</v>
      </c>
      <c r="X22" s="67">
        <v>2.3328000000000002E-2</v>
      </c>
      <c r="Y22" s="157"/>
    </row>
    <row r="23" spans="2:25" ht="15" customHeight="1" x14ac:dyDescent="0.25">
      <c r="B23" s="84"/>
      <c r="C23" s="76"/>
      <c r="D23" s="76"/>
      <c r="E23" s="77"/>
      <c r="F23" s="29"/>
      <c r="G23" s="29"/>
      <c r="H23" s="29"/>
      <c r="I23" s="29"/>
      <c r="J23" s="29"/>
      <c r="K23" s="29"/>
      <c r="L23" s="29"/>
      <c r="M23" s="29"/>
      <c r="N23" s="29"/>
      <c r="O23" s="29"/>
      <c r="P23" s="29"/>
      <c r="Q23" s="29"/>
      <c r="R23" s="29"/>
      <c r="S23" s="29"/>
      <c r="T23" s="22"/>
      <c r="W23" s="66" t="s">
        <v>88</v>
      </c>
      <c r="X23" s="67">
        <v>2.2596999999999999E-2</v>
      </c>
      <c r="Y23" s="157"/>
    </row>
    <row r="24" spans="2:25" ht="15" customHeight="1" x14ac:dyDescent="0.25">
      <c r="B24" s="84"/>
      <c r="C24" s="78" t="s">
        <v>55</v>
      </c>
      <c r="D24" s="79"/>
      <c r="E24" s="80">
        <f>SUM(E8:E22)</f>
        <v>0.4549430000000001</v>
      </c>
      <c r="F24" s="29"/>
      <c r="G24" s="29"/>
      <c r="H24" s="29"/>
      <c r="I24" s="29"/>
      <c r="J24" s="29"/>
      <c r="K24" s="29"/>
      <c r="L24" s="29"/>
      <c r="M24" s="29"/>
      <c r="N24" s="29"/>
      <c r="O24" s="29"/>
      <c r="P24" s="29"/>
      <c r="Q24" s="29"/>
      <c r="R24" s="29"/>
      <c r="S24" s="29"/>
      <c r="T24" s="22"/>
      <c r="W24" s="66" t="s">
        <v>26</v>
      </c>
      <c r="X24" s="67">
        <v>2.0048E-2</v>
      </c>
      <c r="Y24" s="157"/>
    </row>
    <row r="25" spans="2:25" ht="15" customHeight="1" x14ac:dyDescent="0.25">
      <c r="B25" s="84"/>
      <c r="F25" s="29"/>
      <c r="G25" s="29"/>
      <c r="H25" s="29"/>
      <c r="I25" s="29"/>
      <c r="J25" s="29"/>
      <c r="K25" s="29"/>
      <c r="L25" s="29"/>
      <c r="M25" s="29"/>
      <c r="N25" s="29"/>
      <c r="O25" s="29"/>
      <c r="P25" s="29"/>
      <c r="Q25" s="29"/>
      <c r="R25" s="29"/>
      <c r="S25" s="29"/>
      <c r="T25" s="22"/>
      <c r="W25" s="66" t="s">
        <v>16</v>
      </c>
      <c r="X25" s="67">
        <v>1.8246999999999999E-2</v>
      </c>
      <c r="Y25" s="157"/>
    </row>
    <row r="26" spans="2:25" ht="15" customHeight="1" x14ac:dyDescent="0.25">
      <c r="B26" s="84"/>
      <c r="F26" s="29"/>
      <c r="G26" s="29"/>
      <c r="H26" s="29"/>
      <c r="I26" s="29"/>
      <c r="J26" s="29"/>
      <c r="K26" s="29"/>
      <c r="L26" s="29"/>
      <c r="M26" s="29"/>
      <c r="N26" s="29"/>
      <c r="O26" s="29"/>
      <c r="P26" s="29"/>
      <c r="Q26" s="29"/>
      <c r="R26" s="29"/>
      <c r="S26" s="29"/>
      <c r="T26" s="22"/>
      <c r="W26" s="66" t="s">
        <v>24</v>
      </c>
      <c r="X26" s="67">
        <v>1.7114000000000001E-2</v>
      </c>
      <c r="Y26" s="157"/>
    </row>
    <row r="27" spans="2:25" ht="15" customHeight="1" x14ac:dyDescent="0.25">
      <c r="B27" s="84"/>
      <c r="F27" s="29"/>
      <c r="G27" s="29"/>
      <c r="H27" s="29"/>
      <c r="I27" s="29"/>
      <c r="J27" s="29"/>
      <c r="K27" s="29"/>
      <c r="L27" s="29"/>
      <c r="M27" s="29"/>
      <c r="N27" s="29"/>
      <c r="O27" s="29"/>
      <c r="P27" s="29"/>
      <c r="Q27" s="29"/>
      <c r="R27" s="29"/>
      <c r="S27" s="29"/>
      <c r="T27" s="22"/>
      <c r="W27" s="66" t="s">
        <v>127</v>
      </c>
      <c r="X27" s="67">
        <v>1.3235E-2</v>
      </c>
      <c r="Y27" s="157"/>
    </row>
    <row r="28" spans="2:25" ht="15" customHeight="1" x14ac:dyDescent="0.25">
      <c r="B28" s="84"/>
      <c r="F28" s="29"/>
      <c r="G28" s="29"/>
      <c r="H28" s="29"/>
      <c r="I28" s="29"/>
      <c r="J28" s="29"/>
      <c r="K28" s="29"/>
      <c r="L28" s="29"/>
      <c r="M28" s="29"/>
      <c r="N28" s="29"/>
      <c r="O28" s="29"/>
      <c r="P28" s="29"/>
      <c r="Q28" s="29"/>
      <c r="R28" s="29"/>
      <c r="S28" s="29"/>
      <c r="T28" s="22"/>
      <c r="W28" s="61" t="s">
        <v>125</v>
      </c>
      <c r="X28" s="62">
        <v>1.163E-2</v>
      </c>
      <c r="Y28" s="157"/>
    </row>
    <row r="29" spans="2:25" ht="15" customHeight="1" x14ac:dyDescent="0.25">
      <c r="B29" s="84"/>
      <c r="F29" s="29"/>
      <c r="G29" s="29"/>
      <c r="H29" s="29"/>
      <c r="I29" s="29"/>
      <c r="J29" s="29"/>
      <c r="K29" s="29"/>
      <c r="L29" s="29"/>
      <c r="M29" s="29"/>
      <c r="N29" s="29"/>
      <c r="O29" s="29"/>
      <c r="P29" s="29"/>
      <c r="Q29" s="29"/>
      <c r="R29" s="29"/>
      <c r="S29" s="29"/>
      <c r="T29" s="22"/>
      <c r="W29" s="61" t="s">
        <v>134</v>
      </c>
      <c r="X29" s="62">
        <v>1.1487000000000001E-2</v>
      </c>
      <c r="Y29" s="157"/>
    </row>
    <row r="30" spans="2:25" ht="15" customHeight="1" x14ac:dyDescent="0.25">
      <c r="B30" s="84"/>
      <c r="F30" s="29"/>
      <c r="G30" s="29"/>
      <c r="H30" s="29"/>
      <c r="I30" s="29"/>
      <c r="J30" s="29"/>
      <c r="K30" s="29"/>
      <c r="L30" s="29"/>
      <c r="M30" s="29"/>
      <c r="N30" s="29"/>
      <c r="O30" s="29"/>
      <c r="P30" s="29"/>
      <c r="Q30" s="29"/>
      <c r="R30" s="29"/>
      <c r="S30" s="29"/>
      <c r="T30" s="22"/>
      <c r="W30" s="61" t="s">
        <v>15</v>
      </c>
      <c r="X30" s="62">
        <v>1.1079E-2</v>
      </c>
    </row>
    <row r="31" spans="2:25" ht="15" customHeight="1" x14ac:dyDescent="0.25">
      <c r="B31" s="84"/>
      <c r="F31" s="29"/>
      <c r="G31" s="29"/>
      <c r="H31" s="29"/>
      <c r="I31" s="29"/>
      <c r="J31" s="29"/>
      <c r="K31" s="29"/>
      <c r="L31" s="29"/>
      <c r="M31" s="29"/>
      <c r="N31" s="29"/>
      <c r="O31" s="29"/>
      <c r="P31" s="29"/>
      <c r="Q31" s="29"/>
      <c r="R31" s="29"/>
      <c r="S31" s="29"/>
      <c r="T31" s="22"/>
      <c r="W31" s="61" t="s">
        <v>131</v>
      </c>
      <c r="X31" s="62">
        <v>9.6419999999999995E-3</v>
      </c>
    </row>
    <row r="32" spans="2:25" ht="15" customHeight="1" x14ac:dyDescent="0.25">
      <c r="B32" s="84"/>
      <c r="F32" s="29"/>
      <c r="G32" s="29"/>
      <c r="H32" s="29"/>
      <c r="I32" s="29"/>
      <c r="J32" s="29"/>
      <c r="K32" s="29"/>
      <c r="L32" s="29"/>
      <c r="M32" s="29"/>
      <c r="N32" s="29"/>
      <c r="O32" s="29"/>
      <c r="P32" s="29"/>
      <c r="Q32" s="29"/>
      <c r="R32" s="29"/>
      <c r="S32" s="29"/>
      <c r="T32" s="22"/>
      <c r="W32" s="61" t="s">
        <v>123</v>
      </c>
      <c r="X32" s="62">
        <v>7.339E-3</v>
      </c>
    </row>
    <row r="33" spans="2:24" ht="15" customHeight="1" x14ac:dyDescent="0.25">
      <c r="B33" s="84"/>
      <c r="F33" s="29"/>
      <c r="G33" s="29"/>
      <c r="H33" s="29"/>
      <c r="I33" s="29"/>
      <c r="J33" s="29"/>
      <c r="K33" s="29"/>
      <c r="L33" s="29"/>
      <c r="M33" s="29"/>
      <c r="N33" s="29"/>
      <c r="O33" s="29"/>
      <c r="P33" s="29"/>
      <c r="Q33" s="29"/>
      <c r="R33" s="29"/>
      <c r="S33" s="29"/>
      <c r="T33" s="22"/>
      <c r="W33" s="61" t="s">
        <v>118</v>
      </c>
      <c r="X33" s="62">
        <v>7.221E-3</v>
      </c>
    </row>
    <row r="34" spans="2:24" ht="15" customHeight="1" x14ac:dyDescent="0.25">
      <c r="B34" s="84"/>
      <c r="F34" s="29"/>
      <c r="G34" s="29"/>
      <c r="H34" s="29"/>
      <c r="I34" s="29"/>
      <c r="J34" s="29"/>
      <c r="K34" s="29"/>
      <c r="L34" s="29"/>
      <c r="M34" s="29"/>
      <c r="N34" s="29"/>
      <c r="O34" s="29"/>
      <c r="P34" s="29"/>
      <c r="Q34" s="29"/>
      <c r="R34" s="29"/>
      <c r="S34" s="29"/>
      <c r="T34" s="22"/>
      <c r="W34" s="19" t="s">
        <v>126</v>
      </c>
      <c r="X34" s="62">
        <v>7.208E-3</v>
      </c>
    </row>
    <row r="35" spans="2:24" ht="15" customHeight="1" x14ac:dyDescent="0.25">
      <c r="B35" s="84"/>
      <c r="F35" s="29"/>
      <c r="G35" s="29"/>
      <c r="H35" s="29"/>
      <c r="I35" s="29"/>
      <c r="J35" s="29"/>
      <c r="K35" s="29"/>
      <c r="L35" s="29"/>
      <c r="M35" s="29"/>
      <c r="N35" s="29"/>
      <c r="O35" s="29"/>
      <c r="P35" s="29"/>
      <c r="Q35" s="29"/>
      <c r="R35" s="29"/>
      <c r="S35" s="29"/>
      <c r="T35" s="22"/>
      <c r="W35" s="19" t="s">
        <v>141</v>
      </c>
      <c r="X35" s="62">
        <v>7.1130000000000004E-3</v>
      </c>
    </row>
    <row r="36" spans="2:24" ht="15" customHeight="1" x14ac:dyDescent="0.25">
      <c r="B36" s="84"/>
      <c r="F36" s="29"/>
      <c r="G36" s="29"/>
      <c r="H36" s="29"/>
      <c r="I36" s="29"/>
      <c r="J36" s="29"/>
      <c r="K36" s="29"/>
      <c r="L36" s="29"/>
      <c r="M36" s="29"/>
      <c r="N36" s="29"/>
      <c r="O36" s="29"/>
      <c r="P36" s="29"/>
      <c r="Q36" s="29"/>
      <c r="R36" s="29"/>
      <c r="S36" s="29"/>
      <c r="T36" s="22"/>
      <c r="X36" s="62"/>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53" t="s">
        <v>202</v>
      </c>
      <c r="C40" s="254"/>
      <c r="D40" s="254"/>
      <c r="E40" s="254"/>
      <c r="F40" s="254"/>
      <c r="G40" s="254"/>
      <c r="H40" s="254"/>
      <c r="I40" s="254"/>
      <c r="J40" s="254"/>
      <c r="K40" s="254"/>
      <c r="L40" s="254"/>
      <c r="M40" s="254"/>
      <c r="N40" s="254"/>
      <c r="O40" s="254"/>
      <c r="P40" s="254"/>
      <c r="Q40" s="254"/>
      <c r="R40" s="255"/>
    </row>
    <row r="41" spans="2:24" ht="15" customHeight="1" x14ac:dyDescent="0.25">
      <c r="B41" s="256"/>
      <c r="C41" s="257"/>
      <c r="D41" s="257"/>
      <c r="E41" s="257"/>
      <c r="F41" s="257"/>
      <c r="G41" s="257"/>
      <c r="H41" s="257"/>
      <c r="I41" s="257"/>
      <c r="J41" s="257"/>
      <c r="K41" s="257"/>
      <c r="L41" s="257"/>
      <c r="M41" s="257"/>
      <c r="N41" s="257"/>
      <c r="O41" s="257"/>
      <c r="P41" s="257"/>
      <c r="Q41" s="257"/>
      <c r="R41" s="258"/>
    </row>
    <row r="42" spans="2:24" ht="15" customHeight="1" x14ac:dyDescent="0.25">
      <c r="B42" s="256"/>
      <c r="C42" s="257"/>
      <c r="D42" s="257"/>
      <c r="E42" s="257"/>
      <c r="F42" s="257"/>
      <c r="G42" s="257"/>
      <c r="H42" s="257"/>
      <c r="I42" s="257"/>
      <c r="J42" s="257"/>
      <c r="K42" s="257"/>
      <c r="L42" s="257"/>
      <c r="M42" s="257"/>
      <c r="N42" s="257"/>
      <c r="O42" s="257"/>
      <c r="P42" s="257"/>
      <c r="Q42" s="257"/>
      <c r="R42" s="258"/>
    </row>
    <row r="43" spans="2:24" ht="15" customHeight="1" x14ac:dyDescent="0.25">
      <c r="B43" s="256"/>
      <c r="C43" s="257"/>
      <c r="D43" s="257"/>
      <c r="E43" s="257"/>
      <c r="F43" s="257"/>
      <c r="G43" s="257"/>
      <c r="H43" s="257"/>
      <c r="I43" s="257"/>
      <c r="J43" s="257"/>
      <c r="K43" s="257"/>
      <c r="L43" s="257"/>
      <c r="M43" s="257"/>
      <c r="N43" s="257"/>
      <c r="O43" s="257"/>
      <c r="P43" s="257"/>
      <c r="Q43" s="257"/>
      <c r="R43" s="258"/>
    </row>
    <row r="44" spans="2:24" ht="15" customHeight="1" x14ac:dyDescent="0.25">
      <c r="B44" s="256"/>
      <c r="C44" s="257"/>
      <c r="D44" s="257"/>
      <c r="E44" s="257"/>
      <c r="F44" s="257"/>
      <c r="G44" s="257"/>
      <c r="H44" s="257"/>
      <c r="I44" s="257"/>
      <c r="J44" s="257"/>
      <c r="K44" s="257"/>
      <c r="L44" s="257"/>
      <c r="M44" s="257"/>
      <c r="N44" s="257"/>
      <c r="O44" s="257"/>
      <c r="P44" s="257"/>
      <c r="Q44" s="257"/>
      <c r="R44" s="258"/>
    </row>
    <row r="45" spans="2:24" ht="15" customHeight="1" x14ac:dyDescent="0.25">
      <c r="B45" s="256"/>
      <c r="C45" s="257"/>
      <c r="D45" s="257"/>
      <c r="E45" s="257"/>
      <c r="F45" s="257"/>
      <c r="G45" s="257"/>
      <c r="H45" s="257"/>
      <c r="I45" s="257"/>
      <c r="J45" s="257"/>
      <c r="K45" s="257"/>
      <c r="L45" s="257"/>
      <c r="M45" s="257"/>
      <c r="N45" s="257"/>
      <c r="O45" s="257"/>
      <c r="P45" s="257"/>
      <c r="Q45" s="257"/>
      <c r="R45" s="258"/>
    </row>
    <row r="46" spans="2:24" ht="15" customHeight="1" thickBot="1" x14ac:dyDescent="0.3">
      <c r="B46" s="259"/>
      <c r="C46" s="260"/>
      <c r="D46" s="260"/>
      <c r="E46" s="260"/>
      <c r="F46" s="260"/>
      <c r="G46" s="260"/>
      <c r="H46" s="260"/>
      <c r="I46" s="260"/>
      <c r="J46" s="260"/>
      <c r="K46" s="260"/>
      <c r="L46" s="260"/>
      <c r="M46" s="260"/>
      <c r="N46" s="260"/>
      <c r="O46" s="260"/>
      <c r="P46" s="260"/>
      <c r="Q46" s="260"/>
      <c r="R46" s="261"/>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47" t="s">
        <v>181</v>
      </c>
      <c r="D3" s="247"/>
      <c r="E3" s="247"/>
      <c r="F3" s="247"/>
      <c r="G3" s="247"/>
      <c r="H3" s="247"/>
      <c r="I3" s="247"/>
      <c r="J3" s="247"/>
      <c r="K3" s="247"/>
      <c r="L3" s="247"/>
      <c r="M3" s="247"/>
      <c r="N3" s="247"/>
      <c r="O3" s="247"/>
      <c r="P3" s="247"/>
      <c r="Q3" s="20"/>
    </row>
    <row r="4" spans="2:27" ht="15.75" x14ac:dyDescent="0.25">
      <c r="B4" s="98"/>
      <c r="C4" s="72" t="s">
        <v>354</v>
      </c>
      <c r="D4" s="5"/>
      <c r="E4" s="5"/>
      <c r="F4" s="5"/>
      <c r="G4" s="5"/>
      <c r="H4" s="5"/>
      <c r="I4" s="5"/>
      <c r="J4" s="5"/>
      <c r="K4" s="5"/>
      <c r="L4" s="5"/>
      <c r="M4" s="5"/>
      <c r="N4" s="5"/>
      <c r="O4" s="5"/>
      <c r="P4" s="5"/>
      <c r="Q4" s="20"/>
    </row>
    <row r="5" spans="2:27" ht="20.25" x14ac:dyDescent="0.2">
      <c r="B5" s="98"/>
      <c r="C5" s="235" t="s">
        <v>355</v>
      </c>
      <c r="D5" s="264" t="s">
        <v>335</v>
      </c>
      <c r="E5" s="264"/>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5" t="s">
        <v>0</v>
      </c>
      <c r="D7" s="100" t="s">
        <v>1</v>
      </c>
      <c r="E7" s="125" t="s">
        <v>2</v>
      </c>
      <c r="F7" s="5"/>
      <c r="G7" s="5"/>
      <c r="H7" s="5"/>
      <c r="I7" s="5"/>
      <c r="J7" s="5"/>
      <c r="K7" s="5"/>
      <c r="L7" s="5"/>
      <c r="M7" s="5"/>
      <c r="N7" s="5"/>
      <c r="O7" s="5"/>
      <c r="P7" s="5"/>
      <c r="Q7" s="20"/>
      <c r="R7" s="12" t="s">
        <v>38</v>
      </c>
      <c r="S7" s="12" t="s">
        <v>182</v>
      </c>
      <c r="T7" s="179"/>
    </row>
    <row r="8" spans="2:27" ht="15.75" x14ac:dyDescent="0.25">
      <c r="B8" s="98"/>
      <c r="C8" s="107"/>
      <c r="D8" s="38"/>
      <c r="E8" s="230"/>
      <c r="F8" s="5"/>
      <c r="G8" s="5"/>
      <c r="H8" s="5"/>
      <c r="I8" s="5"/>
      <c r="J8" s="5"/>
      <c r="K8" s="5"/>
      <c r="L8" s="5"/>
      <c r="M8" s="5"/>
      <c r="N8" s="5"/>
      <c r="O8" s="5"/>
      <c r="P8" s="5"/>
      <c r="Q8" s="20"/>
      <c r="R8" s="12" t="s">
        <v>39</v>
      </c>
      <c r="S8" s="13">
        <f>E9</f>
        <v>0.66574900000000004</v>
      </c>
      <c r="T8" s="179"/>
      <c r="V8" s="61"/>
      <c r="W8" s="62"/>
      <c r="Z8" s="47"/>
      <c r="AA8" s="47"/>
    </row>
    <row r="9" spans="2:27" ht="15.75" x14ac:dyDescent="0.25">
      <c r="B9" s="98"/>
      <c r="C9" s="134" t="s">
        <v>39</v>
      </c>
      <c r="D9" s="131"/>
      <c r="E9" s="200">
        <v>0.66574900000000004</v>
      </c>
      <c r="F9" s="52"/>
      <c r="G9" s="5"/>
      <c r="H9" s="5"/>
      <c r="I9" s="5"/>
      <c r="J9" s="5"/>
      <c r="K9" s="5"/>
      <c r="L9" s="5"/>
      <c r="M9" s="5"/>
      <c r="N9" s="5"/>
      <c r="O9" s="5"/>
      <c r="P9" s="5"/>
      <c r="Q9" s="20"/>
      <c r="R9" s="12" t="s">
        <v>40</v>
      </c>
      <c r="S9" s="13">
        <f>100%-S8</f>
        <v>0.33425099999999996</v>
      </c>
      <c r="T9" s="179"/>
      <c r="V9" s="61"/>
      <c r="W9" s="62"/>
      <c r="Z9" s="47"/>
      <c r="AA9" s="47"/>
    </row>
    <row r="10" spans="2:27" ht="15.75" x14ac:dyDescent="0.25">
      <c r="B10" s="98"/>
      <c r="C10" s="107"/>
      <c r="D10" s="38"/>
      <c r="E10" s="229"/>
      <c r="F10" s="52"/>
      <c r="G10" s="5"/>
      <c r="H10" s="5"/>
      <c r="I10" s="5"/>
      <c r="J10" s="5"/>
      <c r="K10" s="5"/>
      <c r="L10" s="5"/>
      <c r="M10" s="5"/>
      <c r="N10" s="5"/>
      <c r="O10" s="5"/>
      <c r="P10" s="5"/>
      <c r="Q10" s="20"/>
      <c r="R10" s="180"/>
      <c r="S10" s="179"/>
      <c r="T10" s="179"/>
      <c r="V10" s="61"/>
      <c r="W10" s="62"/>
      <c r="Z10" s="47"/>
      <c r="AA10" s="47"/>
    </row>
    <row r="11" spans="2:27" ht="15.75" x14ac:dyDescent="0.25">
      <c r="B11" s="98"/>
      <c r="C11" s="134" t="s">
        <v>41</v>
      </c>
      <c r="D11" s="131"/>
      <c r="E11" s="200">
        <v>0.10972899999999999</v>
      </c>
      <c r="F11" s="52"/>
      <c r="G11" s="5"/>
      <c r="H11" s="5"/>
      <c r="I11" s="5"/>
      <c r="J11" s="5"/>
      <c r="K11" s="5"/>
      <c r="L11" s="5"/>
      <c r="M11" s="5"/>
      <c r="N11" s="5"/>
      <c r="O11" s="5"/>
      <c r="P11" s="5"/>
      <c r="Q11" s="20"/>
      <c r="R11" s="14"/>
      <c r="S11" s="1"/>
      <c r="T11" s="1"/>
      <c r="V11" s="61"/>
      <c r="W11" s="62"/>
    </row>
    <row r="12" spans="2:27" ht="15.75" x14ac:dyDescent="0.25">
      <c r="B12" s="98"/>
      <c r="C12" s="236"/>
      <c r="D12" s="239"/>
      <c r="E12" s="237"/>
      <c r="F12" s="52"/>
      <c r="G12" s="5"/>
      <c r="H12" s="5"/>
      <c r="I12" s="5"/>
      <c r="J12" s="5"/>
      <c r="K12" s="5"/>
      <c r="L12" s="5"/>
      <c r="M12" s="5"/>
      <c r="N12" s="5"/>
      <c r="O12" s="5"/>
      <c r="P12" s="5"/>
      <c r="Q12" s="20"/>
      <c r="R12" s="14"/>
      <c r="S12" s="1"/>
      <c r="T12" s="1"/>
      <c r="V12" s="61"/>
      <c r="W12" s="62"/>
    </row>
    <row r="13" spans="2:27" ht="15.75" x14ac:dyDescent="0.25">
      <c r="B13" s="98"/>
      <c r="C13" s="134" t="s">
        <v>42</v>
      </c>
      <c r="D13" s="131"/>
      <c r="E13" s="200">
        <v>8.4800000000000001E-4</v>
      </c>
      <c r="F13" s="52"/>
      <c r="G13" s="5"/>
      <c r="H13" s="5"/>
      <c r="I13" s="5"/>
      <c r="J13" s="5"/>
      <c r="K13" s="5"/>
      <c r="L13" s="5"/>
      <c r="M13" s="5"/>
      <c r="N13" s="5"/>
      <c r="O13" s="5"/>
      <c r="P13" s="5"/>
      <c r="Q13" s="20"/>
      <c r="R13" s="54"/>
      <c r="V13" s="61"/>
      <c r="W13" s="62"/>
    </row>
    <row r="14" spans="2:27" ht="15.75" x14ac:dyDescent="0.25">
      <c r="B14" s="98"/>
      <c r="C14" s="107"/>
      <c r="D14" s="38"/>
      <c r="E14" s="229"/>
      <c r="F14" s="52"/>
      <c r="G14" s="5"/>
      <c r="H14" s="5"/>
      <c r="I14" s="5"/>
      <c r="J14" s="5"/>
      <c r="K14" s="5"/>
      <c r="L14" s="5"/>
      <c r="M14" s="5"/>
      <c r="N14" s="5"/>
      <c r="O14" s="5"/>
      <c r="P14" s="5"/>
      <c r="Q14" s="20"/>
      <c r="R14" s="54"/>
      <c r="V14" s="61"/>
      <c r="W14" s="62"/>
    </row>
    <row r="15" spans="2:27" ht="15.75" x14ac:dyDescent="0.25">
      <c r="B15" s="98"/>
      <c r="C15" s="107" t="s">
        <v>274</v>
      </c>
      <c r="D15" s="38"/>
      <c r="E15" s="238">
        <v>0.120198</v>
      </c>
      <c r="F15" s="52"/>
      <c r="G15" s="5"/>
      <c r="H15" s="5"/>
      <c r="I15" s="5"/>
      <c r="J15" s="5"/>
      <c r="K15" s="5"/>
      <c r="L15" s="5"/>
      <c r="M15" s="5"/>
      <c r="N15" s="5"/>
      <c r="O15" s="5"/>
      <c r="P15" s="5"/>
      <c r="Q15" s="20"/>
      <c r="R15" s="54"/>
      <c r="V15" s="61"/>
      <c r="W15" s="62"/>
    </row>
    <row r="16" spans="2:27" ht="15.75" x14ac:dyDescent="0.25">
      <c r="B16" s="98"/>
      <c r="C16" s="107" t="s">
        <v>282</v>
      </c>
      <c r="D16" s="38"/>
      <c r="E16" s="238">
        <v>3.0751000000000001E-2</v>
      </c>
      <c r="F16" s="52"/>
      <c r="G16" s="5"/>
      <c r="H16" s="5"/>
      <c r="I16" s="5"/>
      <c r="J16" s="5"/>
      <c r="K16" s="5"/>
      <c r="L16" s="5"/>
      <c r="M16" s="5"/>
      <c r="N16" s="5"/>
      <c r="O16" s="5"/>
      <c r="P16" s="5"/>
      <c r="Q16" s="20"/>
      <c r="R16" s="54"/>
      <c r="V16" s="61"/>
      <c r="W16" s="62"/>
    </row>
    <row r="17" spans="1:27" ht="15.75" x14ac:dyDescent="0.25">
      <c r="B17" s="98"/>
      <c r="C17" s="134" t="s">
        <v>273</v>
      </c>
      <c r="D17" s="131"/>
      <c r="E17" s="200">
        <v>0.150949</v>
      </c>
      <c r="F17" s="52"/>
      <c r="G17" s="29"/>
      <c r="H17" s="29"/>
      <c r="I17" s="29"/>
      <c r="J17" s="29"/>
      <c r="K17" s="29"/>
      <c r="L17" s="29"/>
      <c r="M17" s="29"/>
      <c r="N17" s="29"/>
      <c r="O17" s="29"/>
      <c r="P17" s="29"/>
      <c r="Q17" s="20"/>
      <c r="R17" s="54"/>
    </row>
    <row r="18" spans="1:27" ht="15.75" x14ac:dyDescent="0.25">
      <c r="B18" s="98"/>
      <c r="C18" s="107"/>
      <c r="D18" s="38"/>
      <c r="E18" s="229"/>
      <c r="F18" s="5"/>
      <c r="G18" s="29"/>
      <c r="H18" s="29"/>
      <c r="I18" s="29"/>
      <c r="J18" s="29"/>
      <c r="K18" s="29"/>
      <c r="L18" s="29"/>
      <c r="M18" s="29"/>
      <c r="N18" s="29"/>
      <c r="O18" s="29"/>
      <c r="P18" s="29"/>
      <c r="Q18" s="20"/>
      <c r="R18" s="54"/>
    </row>
    <row r="19" spans="1:27" ht="15.75" x14ac:dyDescent="0.2">
      <c r="B19" s="98"/>
      <c r="C19" s="134" t="s">
        <v>276</v>
      </c>
      <c r="D19" s="131"/>
      <c r="E19" s="200">
        <v>2.6749999999999999E-3</v>
      </c>
      <c r="F19" s="155"/>
      <c r="G19" s="5"/>
      <c r="H19" s="5"/>
      <c r="I19" s="5"/>
      <c r="J19" s="5"/>
      <c r="K19" s="5"/>
      <c r="L19" s="5"/>
      <c r="M19" s="5"/>
      <c r="N19" s="5"/>
      <c r="O19" s="5"/>
      <c r="P19" s="5"/>
      <c r="Q19" s="20"/>
      <c r="R19" s="54"/>
    </row>
    <row r="20" spans="1:27" x14ac:dyDescent="0.2">
      <c r="B20" s="98"/>
      <c r="C20" s="107"/>
      <c r="D20" s="38"/>
      <c r="E20" s="229"/>
      <c r="F20" s="5"/>
      <c r="G20" s="5"/>
      <c r="H20" s="5"/>
      <c r="I20" s="5"/>
      <c r="J20" s="5"/>
      <c r="K20" s="5"/>
      <c r="L20" s="5"/>
      <c r="M20" s="5"/>
      <c r="N20" s="5"/>
      <c r="O20" s="5"/>
      <c r="P20" s="5"/>
      <c r="Q20" s="20"/>
      <c r="R20" s="54"/>
    </row>
    <row r="21" spans="1:27" ht="15.75" x14ac:dyDescent="0.2">
      <c r="B21" s="98"/>
      <c r="C21" s="134" t="s">
        <v>20</v>
      </c>
      <c r="D21" s="131"/>
      <c r="E21" s="200">
        <v>7.0050000000000015E-2</v>
      </c>
      <c r="F21" s="155"/>
      <c r="G21" s="5"/>
      <c r="H21" s="5"/>
      <c r="I21" s="5"/>
      <c r="J21" s="5"/>
      <c r="K21" s="5"/>
      <c r="L21" s="5"/>
      <c r="M21" s="5"/>
      <c r="N21" s="5"/>
      <c r="O21" s="5"/>
      <c r="P21" s="5"/>
      <c r="Q21" s="20"/>
      <c r="R21" s="54"/>
    </row>
    <row r="22" spans="1:27" x14ac:dyDescent="0.2">
      <c r="B22" s="98"/>
      <c r="C22" s="107"/>
      <c r="D22" s="38"/>
      <c r="E22" s="229"/>
      <c r="F22" s="5"/>
      <c r="G22" s="5"/>
      <c r="H22" s="5"/>
      <c r="I22" s="5"/>
      <c r="J22" s="5"/>
      <c r="K22" s="5"/>
      <c r="L22" s="5"/>
      <c r="M22" s="5"/>
      <c r="N22" s="5"/>
      <c r="O22" s="5"/>
      <c r="P22" s="5"/>
      <c r="Q22" s="20"/>
      <c r="R22" s="54"/>
    </row>
    <row r="23" spans="1:27" ht="15.75" x14ac:dyDescent="0.2">
      <c r="B23" s="98"/>
      <c r="C23" s="226" t="s">
        <v>21</v>
      </c>
      <c r="D23" s="240"/>
      <c r="E23" s="231">
        <f>E21+E19+E17+E13+E11+E9</f>
        <v>1</v>
      </c>
      <c r="F23" s="31"/>
      <c r="G23" s="5"/>
      <c r="H23" s="5"/>
      <c r="I23" s="5"/>
      <c r="J23" s="5"/>
      <c r="K23" s="5"/>
      <c r="L23" s="5"/>
      <c r="M23" s="5"/>
      <c r="N23" s="5"/>
      <c r="O23" s="5"/>
      <c r="P23" s="5"/>
      <c r="Q23" s="20"/>
      <c r="R23" s="54"/>
    </row>
    <row r="24" spans="1:27" x14ac:dyDescent="0.2">
      <c r="B24" s="98"/>
      <c r="F24" s="5"/>
      <c r="G24" s="5"/>
      <c r="H24" s="5"/>
      <c r="I24" s="5"/>
      <c r="J24" s="5"/>
      <c r="K24" s="5"/>
      <c r="L24" s="5"/>
      <c r="M24" s="5"/>
      <c r="N24" s="5"/>
      <c r="O24" s="5"/>
      <c r="P24" s="5"/>
      <c r="Q24" s="20"/>
      <c r="R24" s="54"/>
    </row>
    <row r="25" spans="1:27" ht="15.75" x14ac:dyDescent="0.25">
      <c r="B25" s="98"/>
      <c r="C25" s="246" t="s">
        <v>277</v>
      </c>
      <c r="F25" s="31"/>
      <c r="G25" s="5"/>
      <c r="H25" s="156"/>
      <c r="I25" s="5"/>
      <c r="J25" s="5"/>
      <c r="K25" s="5"/>
      <c r="L25" s="5"/>
      <c r="M25" s="5"/>
      <c r="N25" s="5"/>
      <c r="O25" s="5"/>
      <c r="P25" s="5"/>
      <c r="Q25" s="20"/>
      <c r="R25" s="54"/>
    </row>
    <row r="26" spans="1:27" x14ac:dyDescent="0.2">
      <c r="B26" s="98"/>
      <c r="F26" s="5"/>
      <c r="G26" s="5"/>
      <c r="H26" s="5"/>
      <c r="I26" s="5"/>
      <c r="J26" s="5"/>
      <c r="K26" s="5"/>
      <c r="L26" s="5"/>
      <c r="M26" s="5"/>
      <c r="N26" s="5"/>
      <c r="O26" s="5"/>
      <c r="P26" s="5"/>
      <c r="Q26" s="20"/>
      <c r="R26" s="54"/>
    </row>
    <row r="27" spans="1:27" x14ac:dyDescent="0.2">
      <c r="B27" s="98"/>
      <c r="F27" s="5"/>
      <c r="G27" s="5"/>
      <c r="H27" s="5"/>
      <c r="I27" s="5"/>
      <c r="J27" s="5"/>
      <c r="K27" s="5"/>
      <c r="L27" s="5"/>
      <c r="M27" s="5"/>
      <c r="N27" s="5"/>
      <c r="O27" s="5"/>
      <c r="P27" s="5"/>
      <c r="Q27" s="20"/>
      <c r="R27" s="54"/>
    </row>
    <row r="28" spans="1:27" x14ac:dyDescent="0.2">
      <c r="B28" s="98"/>
      <c r="F28" s="5"/>
      <c r="G28" s="5"/>
      <c r="H28" s="5"/>
      <c r="I28" s="5"/>
      <c r="J28" s="5"/>
      <c r="K28" s="5"/>
      <c r="L28" s="5"/>
      <c r="M28" s="5"/>
      <c r="N28" s="5"/>
      <c r="O28" s="5"/>
      <c r="P28" s="5"/>
      <c r="Q28" s="20"/>
      <c r="R28" s="54"/>
    </row>
    <row r="29" spans="1:27" x14ac:dyDescent="0.2">
      <c r="B29" s="98"/>
      <c r="F29" s="5"/>
      <c r="G29" s="5"/>
      <c r="H29" s="5"/>
      <c r="I29" s="5"/>
      <c r="J29" s="5"/>
      <c r="K29" s="5"/>
      <c r="L29" s="5"/>
      <c r="M29" s="5"/>
      <c r="N29" s="5"/>
      <c r="O29" s="5"/>
      <c r="P29" s="5"/>
      <c r="Q29" s="20"/>
      <c r="R29" s="54"/>
    </row>
    <row r="30" spans="1:27" x14ac:dyDescent="0.2">
      <c r="B30" s="98"/>
      <c r="F30" s="5"/>
      <c r="G30" s="5"/>
      <c r="H30" s="5"/>
      <c r="I30" s="5"/>
      <c r="J30" s="5"/>
      <c r="K30" s="5"/>
      <c r="L30" s="5"/>
      <c r="M30" s="5"/>
      <c r="N30" s="5"/>
      <c r="O30" s="5"/>
      <c r="P30" s="5"/>
      <c r="Q30" s="20"/>
      <c r="R30" s="54"/>
    </row>
    <row r="31" spans="1:27" ht="15.75" thickBot="1" x14ac:dyDescent="0.25">
      <c r="A31" s="5"/>
      <c r="B31" s="101"/>
      <c r="C31" s="49"/>
      <c r="D31" s="49"/>
      <c r="E31" s="49"/>
      <c r="F31" s="49"/>
      <c r="G31" s="49"/>
      <c r="H31" s="49"/>
      <c r="I31" s="49"/>
      <c r="J31" s="49"/>
      <c r="K31" s="49"/>
      <c r="L31" s="49"/>
      <c r="M31" s="49"/>
      <c r="N31" s="49"/>
      <c r="O31" s="49"/>
      <c r="P31" s="49"/>
      <c r="Q31" s="124"/>
      <c r="R31" s="55"/>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5"/>
      <c r="S32" s="5"/>
      <c r="T32" s="5"/>
      <c r="U32" s="5"/>
      <c r="V32" s="5"/>
      <c r="W32" s="5"/>
      <c r="X32" s="5"/>
      <c r="Y32" s="5"/>
      <c r="Z32" s="5"/>
      <c r="AA32" s="5"/>
    </row>
    <row r="33" spans="1:27" ht="15" customHeight="1" x14ac:dyDescent="0.2">
      <c r="A33" s="5"/>
      <c r="B33" s="253" t="s">
        <v>202</v>
      </c>
      <c r="C33" s="254"/>
      <c r="D33" s="254"/>
      <c r="E33" s="254"/>
      <c r="F33" s="254"/>
      <c r="G33" s="254"/>
      <c r="H33" s="254"/>
      <c r="I33" s="254"/>
      <c r="J33" s="254"/>
      <c r="K33" s="254"/>
      <c r="L33" s="254"/>
      <c r="M33" s="254"/>
      <c r="N33" s="254"/>
      <c r="O33" s="254"/>
      <c r="P33" s="254"/>
      <c r="Q33" s="254"/>
      <c r="R33" s="255"/>
      <c r="S33" s="5"/>
      <c r="T33" s="5"/>
      <c r="U33" s="5"/>
      <c r="V33" s="5"/>
      <c r="W33" s="5"/>
      <c r="X33" s="5"/>
      <c r="Y33" s="5"/>
      <c r="Z33" s="5"/>
      <c r="AA33" s="5"/>
    </row>
    <row r="34" spans="1:27" x14ac:dyDescent="0.2">
      <c r="A34" s="5"/>
      <c r="B34" s="256"/>
      <c r="C34" s="257"/>
      <c r="D34" s="257"/>
      <c r="E34" s="257"/>
      <c r="F34" s="257"/>
      <c r="G34" s="257"/>
      <c r="H34" s="257"/>
      <c r="I34" s="257"/>
      <c r="J34" s="257"/>
      <c r="K34" s="257"/>
      <c r="L34" s="257"/>
      <c r="M34" s="257"/>
      <c r="N34" s="257"/>
      <c r="O34" s="257"/>
      <c r="P34" s="257"/>
      <c r="Q34" s="257"/>
      <c r="R34" s="258"/>
      <c r="S34" s="5"/>
      <c r="T34" s="5"/>
      <c r="U34" s="5"/>
      <c r="V34" s="5"/>
      <c r="W34" s="5"/>
      <c r="X34" s="5"/>
      <c r="Y34" s="5"/>
      <c r="Z34" s="5"/>
      <c r="AA34" s="5"/>
    </row>
    <row r="35" spans="1:27" x14ac:dyDescent="0.2">
      <c r="A35" s="5"/>
      <c r="B35" s="256"/>
      <c r="C35" s="257"/>
      <c r="D35" s="257"/>
      <c r="E35" s="257"/>
      <c r="F35" s="257"/>
      <c r="G35" s="257"/>
      <c r="H35" s="257"/>
      <c r="I35" s="257"/>
      <c r="J35" s="257"/>
      <c r="K35" s="257"/>
      <c r="L35" s="257"/>
      <c r="M35" s="257"/>
      <c r="N35" s="257"/>
      <c r="O35" s="257"/>
      <c r="P35" s="257"/>
      <c r="Q35" s="257"/>
      <c r="R35" s="258"/>
      <c r="S35" s="5"/>
      <c r="T35" s="5"/>
      <c r="U35" s="5"/>
      <c r="V35" s="5"/>
      <c r="W35" s="5"/>
      <c r="X35" s="5"/>
      <c r="Y35" s="5"/>
      <c r="Z35" s="5"/>
      <c r="AA35" s="5"/>
    </row>
    <row r="36" spans="1:27" x14ac:dyDescent="0.2">
      <c r="A36" s="5"/>
      <c r="B36" s="256"/>
      <c r="C36" s="257"/>
      <c r="D36" s="257"/>
      <c r="E36" s="257"/>
      <c r="F36" s="257"/>
      <c r="G36" s="257"/>
      <c r="H36" s="257"/>
      <c r="I36" s="257"/>
      <c r="J36" s="257"/>
      <c r="K36" s="257"/>
      <c r="L36" s="257"/>
      <c r="M36" s="257"/>
      <c r="N36" s="257"/>
      <c r="O36" s="257"/>
      <c r="P36" s="257"/>
      <c r="Q36" s="257"/>
      <c r="R36" s="258"/>
      <c r="S36" s="5"/>
      <c r="T36" s="5"/>
      <c r="U36" s="5"/>
      <c r="V36" s="5"/>
      <c r="W36" s="5"/>
      <c r="X36" s="5"/>
      <c r="Y36" s="5"/>
      <c r="Z36" s="5"/>
      <c r="AA36" s="5"/>
    </row>
    <row r="37" spans="1:27" x14ac:dyDescent="0.2">
      <c r="A37" s="5"/>
      <c r="B37" s="256"/>
      <c r="C37" s="257"/>
      <c r="D37" s="257"/>
      <c r="E37" s="257"/>
      <c r="F37" s="257"/>
      <c r="G37" s="257"/>
      <c r="H37" s="257"/>
      <c r="I37" s="257"/>
      <c r="J37" s="257"/>
      <c r="K37" s="257"/>
      <c r="L37" s="257"/>
      <c r="M37" s="257"/>
      <c r="N37" s="257"/>
      <c r="O37" s="257"/>
      <c r="P37" s="257"/>
      <c r="Q37" s="257"/>
      <c r="R37" s="258"/>
      <c r="S37" s="5"/>
      <c r="T37" s="5"/>
      <c r="U37" s="5"/>
      <c r="V37" s="5"/>
      <c r="W37" s="5"/>
      <c r="X37" s="5"/>
      <c r="Y37" s="5"/>
      <c r="Z37" s="5"/>
      <c r="AA37" s="5"/>
    </row>
    <row r="38" spans="1:27" x14ac:dyDescent="0.2">
      <c r="A38" s="5"/>
      <c r="B38" s="256"/>
      <c r="C38" s="257"/>
      <c r="D38" s="257"/>
      <c r="E38" s="257"/>
      <c r="F38" s="257"/>
      <c r="G38" s="257"/>
      <c r="H38" s="257"/>
      <c r="I38" s="257"/>
      <c r="J38" s="257"/>
      <c r="K38" s="257"/>
      <c r="L38" s="257"/>
      <c r="M38" s="257"/>
      <c r="N38" s="257"/>
      <c r="O38" s="257"/>
      <c r="P38" s="257"/>
      <c r="Q38" s="257"/>
      <c r="R38" s="258"/>
      <c r="S38" s="5"/>
      <c r="T38" s="5"/>
      <c r="U38" s="5"/>
      <c r="V38" s="5"/>
      <c r="W38" s="5"/>
      <c r="X38" s="5"/>
      <c r="Y38" s="5"/>
      <c r="Z38" s="5"/>
      <c r="AA38" s="5"/>
    </row>
    <row r="39" spans="1:27" ht="15.75" thickBot="1" x14ac:dyDescent="0.25">
      <c r="A39" s="5"/>
      <c r="B39" s="259"/>
      <c r="C39" s="260"/>
      <c r="D39" s="260"/>
      <c r="E39" s="260"/>
      <c r="F39" s="260"/>
      <c r="G39" s="260"/>
      <c r="H39" s="260"/>
      <c r="I39" s="260"/>
      <c r="J39" s="260"/>
      <c r="K39" s="260"/>
      <c r="L39" s="260"/>
      <c r="M39" s="260"/>
      <c r="N39" s="260"/>
      <c r="O39" s="260"/>
      <c r="P39" s="260"/>
      <c r="Q39" s="260"/>
      <c r="R39" s="261"/>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5"/>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4"/>
    </row>
    <row r="103" spans="1:27" x14ac:dyDescent="0.2">
      <c r="B103" s="5"/>
      <c r="C103" s="5"/>
      <c r="D103" s="5"/>
      <c r="E103" s="5"/>
      <c r="F103" s="5"/>
      <c r="G103" s="5"/>
      <c r="H103" s="5"/>
      <c r="I103" s="5"/>
      <c r="J103" s="5"/>
      <c r="K103" s="5"/>
      <c r="L103" s="5"/>
      <c r="M103" s="5"/>
      <c r="N103" s="5"/>
      <c r="O103" s="5"/>
      <c r="P103" s="5"/>
      <c r="Q103" s="5"/>
      <c r="R103" s="54"/>
    </row>
    <row r="104" spans="1:27" x14ac:dyDescent="0.2">
      <c r="B104" s="5"/>
      <c r="C104" s="5"/>
      <c r="D104" s="5"/>
      <c r="E104" s="5"/>
      <c r="F104" s="5"/>
      <c r="G104" s="5"/>
      <c r="H104" s="5"/>
      <c r="I104" s="5"/>
      <c r="J104" s="5"/>
      <c r="K104" s="5"/>
      <c r="L104" s="5"/>
      <c r="M104" s="5"/>
      <c r="N104" s="5"/>
      <c r="O104" s="5"/>
      <c r="P104" s="5"/>
      <c r="Q104" s="5"/>
      <c r="R104" s="54"/>
    </row>
    <row r="105" spans="1:27" x14ac:dyDescent="0.2">
      <c r="B105" s="5"/>
      <c r="C105" s="5"/>
      <c r="D105" s="5"/>
      <c r="E105" s="5"/>
      <c r="F105" s="5"/>
      <c r="G105" s="5"/>
      <c r="H105" s="5"/>
      <c r="I105" s="5"/>
      <c r="J105" s="5"/>
      <c r="K105" s="5"/>
      <c r="L105" s="5"/>
      <c r="M105" s="5"/>
      <c r="N105" s="5"/>
      <c r="O105" s="5"/>
      <c r="P105" s="5"/>
      <c r="Q105" s="5"/>
      <c r="R105" s="54"/>
    </row>
    <row r="106" spans="1:27" x14ac:dyDescent="0.2">
      <c r="R106" s="54"/>
    </row>
    <row r="107" spans="1:27" x14ac:dyDescent="0.2">
      <c r="R107" s="54"/>
    </row>
    <row r="108" spans="1:27" x14ac:dyDescent="0.2">
      <c r="R108" s="54"/>
    </row>
    <row r="109" spans="1:27" x14ac:dyDescent="0.2">
      <c r="R109" s="54"/>
    </row>
    <row r="110" spans="1:27" x14ac:dyDescent="0.2">
      <c r="R110" s="54"/>
    </row>
    <row r="111" spans="1:27" x14ac:dyDescent="0.2">
      <c r="R111" s="54"/>
    </row>
    <row r="112" spans="1:27"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row r="1486" spans="18:18" x14ac:dyDescent="0.2">
      <c r="R1486" s="54"/>
    </row>
    <row r="1487" spans="18:18" x14ac:dyDescent="0.2">
      <c r="R1487" s="54"/>
    </row>
    <row r="1488" spans="18:18" x14ac:dyDescent="0.2">
      <c r="R1488" s="54"/>
    </row>
    <row r="1489" spans="18:18" x14ac:dyDescent="0.2">
      <c r="R1489" s="54"/>
    </row>
    <row r="1490" spans="18:18" x14ac:dyDescent="0.2">
      <c r="R1490" s="54"/>
    </row>
    <row r="1491" spans="18:18" x14ac:dyDescent="0.2">
      <c r="R1491" s="54"/>
    </row>
    <row r="1492" spans="18:18" x14ac:dyDescent="0.2">
      <c r="R1492" s="54"/>
    </row>
    <row r="1493" spans="18:18" x14ac:dyDescent="0.2">
      <c r="R1493" s="54"/>
    </row>
  </sheetData>
  <sortState ref="C15:E17">
    <sortCondition descending="1" ref="E15"/>
  </sortState>
  <mergeCells count="3">
    <mergeCell ref="C3:P3"/>
    <mergeCell ref="D5:E5"/>
    <mergeCell ref="B33:R39"/>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62" t="s">
        <v>180</v>
      </c>
      <c r="D3" s="263"/>
      <c r="E3" s="263"/>
      <c r="F3" s="263"/>
      <c r="G3" s="263"/>
      <c r="H3" s="263"/>
      <c r="I3" s="263"/>
      <c r="J3" s="263"/>
      <c r="K3" s="263"/>
      <c r="L3" s="263"/>
      <c r="M3" s="263"/>
      <c r="N3" s="263"/>
      <c r="O3" s="263"/>
      <c r="P3" s="263"/>
      <c r="Q3" s="263"/>
      <c r="R3" s="263"/>
      <c r="S3" s="263"/>
      <c r="T3" s="25"/>
    </row>
    <row r="4" spans="1:25" ht="15.75" customHeight="1" x14ac:dyDescent="0.25">
      <c r="B4" s="69"/>
      <c r="C4" s="72" t="s">
        <v>354</v>
      </c>
      <c r="D4" s="29"/>
      <c r="E4" s="29"/>
      <c r="F4" s="29"/>
      <c r="G4" s="29"/>
      <c r="H4" s="29"/>
      <c r="I4" s="29"/>
      <c r="J4" s="29"/>
      <c r="K4" s="29"/>
      <c r="L4" s="29"/>
      <c r="M4" s="29"/>
      <c r="N4" s="29"/>
      <c r="O4" s="29"/>
      <c r="P4" s="29"/>
      <c r="Q4" s="29"/>
      <c r="R4" s="29"/>
      <c r="S4" s="29"/>
      <c r="T4" s="25"/>
    </row>
    <row r="5" spans="1:25" ht="18" customHeight="1" x14ac:dyDescent="0.25">
      <c r="B5" s="69"/>
      <c r="C5" s="235" t="s">
        <v>355</v>
      </c>
      <c r="D5" s="264" t="s">
        <v>336</v>
      </c>
      <c r="E5" s="264"/>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6" t="s">
        <v>31</v>
      </c>
      <c r="D8" s="197" t="s">
        <v>6</v>
      </c>
      <c r="E8" s="198">
        <v>2.3998999999999999E-2</v>
      </c>
      <c r="F8" s="29"/>
      <c r="G8" s="29"/>
      <c r="H8" s="29"/>
      <c r="I8" s="29"/>
      <c r="J8" s="29"/>
      <c r="K8" s="29"/>
      <c r="L8" s="29"/>
      <c r="M8" s="29"/>
      <c r="N8" s="29"/>
      <c r="O8" s="29"/>
      <c r="P8" s="29"/>
      <c r="Q8" s="29"/>
      <c r="R8" s="29"/>
      <c r="S8" s="29"/>
      <c r="T8" s="25"/>
      <c r="W8" s="188" t="s">
        <v>3</v>
      </c>
      <c r="X8" s="187">
        <v>5.561900000000003E-2</v>
      </c>
      <c r="Y8" s="40"/>
    </row>
    <row r="9" spans="1:25" ht="15.75" customHeight="1" x14ac:dyDescent="0.25">
      <c r="B9" s="69"/>
      <c r="C9" s="196" t="s">
        <v>32</v>
      </c>
      <c r="D9" s="197" t="s">
        <v>3</v>
      </c>
      <c r="E9" s="198">
        <v>2.0235000000000003E-2</v>
      </c>
      <c r="F9" s="29"/>
      <c r="G9" s="29"/>
      <c r="H9" s="29"/>
      <c r="I9" s="29"/>
      <c r="J9" s="29"/>
      <c r="K9" s="29"/>
      <c r="L9" s="29"/>
      <c r="M9" s="29"/>
      <c r="N9" s="29"/>
      <c r="O9" s="29"/>
      <c r="P9" s="29"/>
      <c r="Q9" s="29"/>
      <c r="R9" s="29"/>
      <c r="S9" s="29"/>
      <c r="T9" s="25"/>
      <c r="W9" s="188" t="s">
        <v>6</v>
      </c>
      <c r="X9" s="187">
        <v>3.8476999999999997E-2</v>
      </c>
      <c r="Y9" s="40"/>
    </row>
    <row r="10" spans="1:25" ht="15" customHeight="1" x14ac:dyDescent="0.25">
      <c r="B10" s="69"/>
      <c r="C10" s="196" t="s">
        <v>283</v>
      </c>
      <c r="D10" s="197" t="s">
        <v>6</v>
      </c>
      <c r="E10" s="198">
        <v>1.4478E-2</v>
      </c>
      <c r="F10" s="29"/>
      <c r="G10" s="29"/>
      <c r="H10" s="29"/>
      <c r="I10" s="29"/>
      <c r="J10" s="29"/>
      <c r="K10" s="29"/>
      <c r="L10" s="29"/>
      <c r="M10" s="29"/>
      <c r="N10" s="29"/>
      <c r="O10" s="29"/>
      <c r="P10" s="29"/>
      <c r="Q10" s="29"/>
      <c r="R10" s="29"/>
      <c r="S10" s="29"/>
      <c r="T10" s="25"/>
      <c r="W10" s="188" t="s">
        <v>4</v>
      </c>
      <c r="X10" s="187">
        <v>3.1064999999999988E-2</v>
      </c>
      <c r="Y10" s="40"/>
    </row>
    <row r="11" spans="1:25" ht="15" customHeight="1" x14ac:dyDescent="0.25">
      <c r="B11" s="69"/>
      <c r="C11" s="196" t="s">
        <v>34</v>
      </c>
      <c r="D11" s="197" t="s">
        <v>23</v>
      </c>
      <c r="E11" s="198">
        <v>1.2228000000000001E-2</v>
      </c>
      <c r="F11" s="29"/>
      <c r="G11" s="29"/>
      <c r="H11" s="29"/>
      <c r="I11" s="29"/>
      <c r="J11" s="29"/>
      <c r="K11" s="29"/>
      <c r="L11" s="29"/>
      <c r="M11" s="29"/>
      <c r="N11" s="29"/>
      <c r="O11" s="29"/>
      <c r="P11" s="29"/>
      <c r="Q11" s="29"/>
      <c r="R11" s="29"/>
      <c r="S11" s="29"/>
      <c r="T11" s="25"/>
      <c r="W11" s="188" t="s">
        <v>26</v>
      </c>
      <c r="X11" s="187">
        <v>2.9589000000000001E-2</v>
      </c>
      <c r="Y11" s="40"/>
    </row>
    <row r="12" spans="1:25" ht="15" customHeight="1" x14ac:dyDescent="0.25">
      <c r="B12" s="69"/>
      <c r="C12" s="196" t="s">
        <v>28</v>
      </c>
      <c r="D12" s="197" t="s">
        <v>117</v>
      </c>
      <c r="E12" s="198">
        <v>1.1737999999999998E-2</v>
      </c>
      <c r="F12" s="29"/>
      <c r="G12" s="29"/>
      <c r="H12" s="29"/>
      <c r="I12" s="29"/>
      <c r="J12" s="29"/>
      <c r="K12" s="29"/>
      <c r="L12" s="29"/>
      <c r="M12" s="29"/>
      <c r="N12" s="29"/>
      <c r="O12" s="29"/>
      <c r="P12" s="29"/>
      <c r="Q12" s="29"/>
      <c r="R12" s="29"/>
      <c r="S12" s="29"/>
      <c r="T12" s="25"/>
      <c r="W12" s="188" t="s">
        <v>122</v>
      </c>
      <c r="X12" s="187">
        <v>2.7017000000000006E-2</v>
      </c>
      <c r="Y12" s="40"/>
    </row>
    <row r="13" spans="1:25" ht="15" customHeight="1" x14ac:dyDescent="0.25">
      <c r="B13" s="69"/>
      <c r="C13" s="196" t="s">
        <v>144</v>
      </c>
      <c r="D13" s="197" t="s">
        <v>122</v>
      </c>
      <c r="E13" s="198">
        <v>1.0517E-2</v>
      </c>
      <c r="F13" s="29"/>
      <c r="G13" s="29"/>
      <c r="H13" s="29"/>
      <c r="I13" s="29"/>
      <c r="J13" s="29"/>
      <c r="K13" s="29"/>
      <c r="L13" s="29"/>
      <c r="M13" s="29"/>
      <c r="N13" s="29"/>
      <c r="O13" s="29"/>
      <c r="P13" s="29"/>
      <c r="Q13" s="29"/>
      <c r="R13" s="29"/>
      <c r="S13" s="29"/>
      <c r="T13" s="25"/>
      <c r="W13" s="188" t="s">
        <v>117</v>
      </c>
      <c r="X13" s="187">
        <v>2.2850999999999996E-2</v>
      </c>
      <c r="Y13" s="40"/>
    </row>
    <row r="14" spans="1:25" ht="15.75" customHeight="1" x14ac:dyDescent="0.25">
      <c r="B14" s="69"/>
      <c r="C14" s="196" t="s">
        <v>284</v>
      </c>
      <c r="D14" s="197" t="s">
        <v>26</v>
      </c>
      <c r="E14" s="198">
        <v>1.0432E-2</v>
      </c>
      <c r="F14" s="29"/>
      <c r="G14" s="29"/>
      <c r="H14" s="29"/>
      <c r="I14" s="29"/>
      <c r="J14" s="29"/>
      <c r="K14" s="29"/>
      <c r="L14" s="29"/>
      <c r="M14" s="29"/>
      <c r="N14" s="29"/>
      <c r="O14" s="29"/>
      <c r="P14" s="29"/>
      <c r="Q14" s="29"/>
      <c r="R14" s="29"/>
      <c r="S14" s="29"/>
      <c r="T14" s="25"/>
      <c r="W14" s="188" t="s">
        <v>120</v>
      </c>
      <c r="X14" s="187">
        <v>1.6067000000000001E-2</v>
      </c>
      <c r="Y14" s="40"/>
    </row>
    <row r="15" spans="1:25" ht="15.75" x14ac:dyDescent="0.25">
      <c r="B15" s="69"/>
      <c r="C15" s="196" t="s">
        <v>84</v>
      </c>
      <c r="D15" s="197" t="s">
        <v>3</v>
      </c>
      <c r="E15" s="198">
        <v>1.0062999999999999E-2</v>
      </c>
      <c r="F15" s="29"/>
      <c r="G15" s="29"/>
      <c r="H15" s="29"/>
      <c r="I15" s="29"/>
      <c r="J15" s="29"/>
      <c r="K15" s="29"/>
      <c r="L15" s="29"/>
      <c r="M15" s="29"/>
      <c r="N15" s="29"/>
      <c r="O15" s="29"/>
      <c r="P15" s="29"/>
      <c r="Q15" s="29"/>
      <c r="R15" s="29"/>
      <c r="S15" s="29"/>
      <c r="T15" s="25"/>
      <c r="W15" s="188" t="s">
        <v>23</v>
      </c>
      <c r="X15" s="187">
        <v>1.5171000000000002E-2</v>
      </c>
      <c r="Y15" s="40"/>
    </row>
    <row r="16" spans="1:25" ht="15.75" customHeight="1" x14ac:dyDescent="0.25">
      <c r="B16" s="69"/>
      <c r="C16" s="196" t="s">
        <v>102</v>
      </c>
      <c r="D16" s="197" t="s">
        <v>122</v>
      </c>
      <c r="E16" s="198">
        <v>9.6600000000000002E-3</v>
      </c>
      <c r="F16" s="29"/>
      <c r="G16" s="29"/>
      <c r="H16" s="29"/>
      <c r="I16" s="29"/>
      <c r="J16" s="29"/>
      <c r="K16" s="29"/>
      <c r="L16" s="29"/>
      <c r="M16" s="29"/>
      <c r="N16" s="29"/>
      <c r="O16" s="29"/>
      <c r="P16" s="29"/>
      <c r="Q16" s="29"/>
      <c r="R16" s="29"/>
      <c r="S16" s="29"/>
      <c r="T16" s="25"/>
      <c r="W16" s="188" t="s">
        <v>10</v>
      </c>
      <c r="X16" s="187">
        <v>1.4662000000000001E-2</v>
      </c>
      <c r="Y16" s="40"/>
    </row>
    <row r="17" spans="2:25" ht="15" customHeight="1" x14ac:dyDescent="0.25">
      <c r="B17" s="69"/>
      <c r="C17" s="196" t="s">
        <v>302</v>
      </c>
      <c r="D17" s="197" t="s">
        <v>25</v>
      </c>
      <c r="E17" s="198">
        <v>9.0290000000000006E-3</v>
      </c>
      <c r="F17" s="29"/>
      <c r="G17" s="29"/>
      <c r="H17" s="29"/>
      <c r="I17" s="29"/>
      <c r="J17" s="29"/>
      <c r="K17" s="29"/>
      <c r="L17" s="29"/>
      <c r="M17" s="29"/>
      <c r="N17" s="29"/>
      <c r="O17" s="29"/>
      <c r="P17" s="29"/>
      <c r="Q17" s="29"/>
      <c r="R17" s="29"/>
      <c r="S17" s="29"/>
      <c r="T17" s="25"/>
      <c r="W17" s="188" t="s">
        <v>121</v>
      </c>
      <c r="X17" s="187">
        <v>1.4419E-2</v>
      </c>
      <c r="Y17" s="40"/>
    </row>
    <row r="18" spans="2:25" ht="15" customHeight="1" x14ac:dyDescent="0.25">
      <c r="B18" s="69"/>
      <c r="C18" s="196" t="s">
        <v>303</v>
      </c>
      <c r="D18" s="197" t="s">
        <v>88</v>
      </c>
      <c r="E18" s="198">
        <v>8.8690000000000001E-3</v>
      </c>
      <c r="F18" s="29"/>
      <c r="G18" s="29"/>
      <c r="H18" s="29"/>
      <c r="I18" s="29"/>
      <c r="J18" s="29"/>
      <c r="K18" s="29"/>
      <c r="L18" s="29"/>
      <c r="M18" s="29"/>
      <c r="N18" s="29"/>
      <c r="O18" s="29"/>
      <c r="P18" s="29"/>
      <c r="Q18" s="29"/>
      <c r="R18" s="29"/>
      <c r="S18" s="29"/>
      <c r="T18" s="25"/>
      <c r="W18" s="188" t="s">
        <v>129</v>
      </c>
      <c r="X18" s="187">
        <v>1.2608000000000001E-2</v>
      </c>
      <c r="Y18" s="40"/>
    </row>
    <row r="19" spans="2:25" ht="15" customHeight="1" x14ac:dyDescent="0.25">
      <c r="B19" s="69"/>
      <c r="C19" s="196" t="s">
        <v>163</v>
      </c>
      <c r="D19" s="197" t="s">
        <v>117</v>
      </c>
      <c r="E19" s="198">
        <v>8.711E-3</v>
      </c>
      <c r="F19" s="29"/>
      <c r="G19" s="29"/>
      <c r="H19" s="29"/>
      <c r="I19" s="29"/>
      <c r="J19" s="29"/>
      <c r="K19" s="29"/>
      <c r="L19" s="29"/>
      <c r="M19" s="29"/>
      <c r="N19" s="29"/>
      <c r="O19" s="29"/>
      <c r="P19" s="29"/>
      <c r="Q19" s="29"/>
      <c r="R19" s="29"/>
      <c r="S19" s="29"/>
      <c r="T19" s="25"/>
      <c r="W19" s="188" t="s">
        <v>123</v>
      </c>
      <c r="X19" s="187">
        <v>1.0825E-2</v>
      </c>
      <c r="Y19" s="40"/>
    </row>
    <row r="20" spans="2:25" ht="15" customHeight="1" x14ac:dyDescent="0.25">
      <c r="B20" s="69"/>
      <c r="C20" s="196" t="s">
        <v>36</v>
      </c>
      <c r="D20" s="197" t="s">
        <v>3</v>
      </c>
      <c r="E20" s="198">
        <v>8.6180000000000007E-3</v>
      </c>
      <c r="F20" s="29"/>
      <c r="G20" s="29"/>
      <c r="H20" s="29"/>
      <c r="I20" s="29"/>
      <c r="J20" s="29"/>
      <c r="K20" s="29"/>
      <c r="L20" s="29"/>
      <c r="M20" s="29"/>
      <c r="N20" s="29"/>
      <c r="O20" s="29"/>
      <c r="P20" s="29"/>
      <c r="Q20" s="29"/>
      <c r="R20" s="29"/>
      <c r="S20" s="29"/>
      <c r="T20" s="25"/>
      <c r="W20" s="188" t="s">
        <v>88</v>
      </c>
      <c r="X20" s="187">
        <v>9.1070000000000005E-3</v>
      </c>
      <c r="Y20" s="40"/>
    </row>
    <row r="21" spans="2:25" ht="15" customHeight="1" x14ac:dyDescent="0.25">
      <c r="B21" s="69"/>
      <c r="C21" s="196" t="s">
        <v>304</v>
      </c>
      <c r="D21" s="197" t="s">
        <v>10</v>
      </c>
      <c r="E21" s="198">
        <v>8.6160000000000004E-3</v>
      </c>
      <c r="F21" s="29"/>
      <c r="G21" s="29"/>
      <c r="H21" s="29"/>
      <c r="I21" s="29"/>
      <c r="J21" s="29"/>
      <c r="K21" s="29"/>
      <c r="L21" s="29"/>
      <c r="M21" s="29"/>
      <c r="N21" s="29"/>
      <c r="O21" s="29"/>
      <c r="P21" s="29"/>
      <c r="Q21" s="29"/>
      <c r="R21" s="29"/>
      <c r="S21" s="29"/>
      <c r="T21" s="25"/>
      <c r="W21" s="188" t="s">
        <v>25</v>
      </c>
      <c r="X21" s="187">
        <v>9.0290000000000006E-3</v>
      </c>
      <c r="Y21" s="40"/>
    </row>
    <row r="22" spans="2:25" ht="15" customHeight="1" x14ac:dyDescent="0.25">
      <c r="B22" s="69"/>
      <c r="C22" s="196" t="s">
        <v>225</v>
      </c>
      <c r="D22" s="197" t="s">
        <v>116</v>
      </c>
      <c r="E22" s="198">
        <v>8.0759999999999998E-3</v>
      </c>
      <c r="F22" s="29"/>
      <c r="G22" s="29"/>
      <c r="H22" s="29"/>
      <c r="I22" s="29"/>
      <c r="J22" s="29"/>
      <c r="K22" s="29"/>
      <c r="L22" s="29"/>
      <c r="M22" s="29"/>
      <c r="N22" s="29"/>
      <c r="O22" s="29"/>
      <c r="P22" s="29"/>
      <c r="Q22" s="29"/>
      <c r="R22" s="29"/>
      <c r="S22" s="29"/>
      <c r="T22" s="25"/>
      <c r="W22" s="188" t="s">
        <v>11</v>
      </c>
      <c r="X22" s="187">
        <v>8.9579999999999989E-3</v>
      </c>
      <c r="Y22" s="40"/>
    </row>
    <row r="23" spans="2:25" ht="16.5" customHeight="1" x14ac:dyDescent="0.25">
      <c r="B23" s="69"/>
      <c r="C23" s="134" t="s">
        <v>66</v>
      </c>
      <c r="D23" s="135"/>
      <c r="E23" s="136">
        <f>SUM(E8:E22)</f>
        <v>0.17526899999999998</v>
      </c>
      <c r="F23" s="29"/>
      <c r="G23" s="29"/>
      <c r="H23" s="29"/>
      <c r="I23" s="29"/>
      <c r="J23" s="29"/>
      <c r="K23" s="29"/>
      <c r="L23" s="29"/>
      <c r="M23" s="29"/>
      <c r="N23" s="29"/>
      <c r="O23" s="29"/>
      <c r="P23" s="29"/>
      <c r="Q23" s="29"/>
      <c r="R23" s="29"/>
      <c r="S23" s="29"/>
      <c r="T23" s="25"/>
      <c r="W23" s="188" t="s">
        <v>127</v>
      </c>
      <c r="X23" s="187">
        <v>8.7479999999999988E-3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188" t="s">
        <v>116</v>
      </c>
      <c r="X24" s="187">
        <v>8.012E-3</v>
      </c>
      <c r="Y24" s="40"/>
    </row>
    <row r="25" spans="2:25" ht="15" customHeight="1" x14ac:dyDescent="0.25">
      <c r="B25" s="69"/>
      <c r="C25" s="134" t="s">
        <v>59</v>
      </c>
      <c r="D25" s="135"/>
      <c r="E25" s="199">
        <v>0.20544100000000001</v>
      </c>
      <c r="F25" s="29"/>
      <c r="G25" s="29"/>
      <c r="H25" s="29"/>
      <c r="I25" s="29"/>
      <c r="J25" s="29"/>
      <c r="K25" s="29"/>
      <c r="L25" s="29"/>
      <c r="M25" s="29"/>
      <c r="N25" s="29"/>
      <c r="O25" s="29"/>
      <c r="P25" s="29"/>
      <c r="Q25" s="29"/>
      <c r="R25" s="29"/>
      <c r="S25" s="29"/>
      <c r="T25" s="25"/>
      <c r="W25" s="188" t="s">
        <v>15</v>
      </c>
      <c r="X25" s="187">
        <v>6.3540000000000003E-3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188" t="s">
        <v>12</v>
      </c>
      <c r="X26" s="187">
        <v>6.3239999999999998E-3</v>
      </c>
      <c r="Y26" s="40"/>
    </row>
    <row r="27" spans="2:25" ht="18" customHeight="1" x14ac:dyDescent="0.25">
      <c r="B27" s="69"/>
      <c r="C27" s="134" t="s">
        <v>58</v>
      </c>
      <c r="D27" s="114"/>
      <c r="E27" s="200">
        <v>0.36745</v>
      </c>
      <c r="F27" s="29"/>
      <c r="G27" s="29"/>
      <c r="H27" s="29"/>
      <c r="I27" s="29"/>
      <c r="J27" s="29"/>
      <c r="K27" s="29"/>
      <c r="L27" s="29"/>
      <c r="M27" s="29"/>
      <c r="N27" s="29"/>
      <c r="O27" s="29"/>
      <c r="P27" s="29"/>
      <c r="Q27" s="29"/>
      <c r="R27" s="29"/>
      <c r="S27" s="29"/>
      <c r="T27" s="25"/>
      <c r="W27" s="188" t="s">
        <v>82</v>
      </c>
      <c r="X27" s="187">
        <v>5.8859999999999997E-3</v>
      </c>
    </row>
    <row r="28" spans="2:25" ht="18" customHeight="1" x14ac:dyDescent="0.25">
      <c r="B28" s="69"/>
      <c r="C28" s="137"/>
      <c r="D28" s="15"/>
      <c r="E28" s="133"/>
      <c r="F28" s="29"/>
      <c r="G28" s="29"/>
      <c r="H28" s="29"/>
      <c r="I28" s="29"/>
      <c r="J28" s="29"/>
      <c r="K28" s="29"/>
      <c r="L28" s="29"/>
      <c r="M28" s="29"/>
      <c r="N28" s="29"/>
      <c r="O28" s="29"/>
      <c r="P28" s="29"/>
      <c r="Q28" s="29"/>
      <c r="R28" s="29"/>
      <c r="S28" s="29"/>
      <c r="T28" s="25"/>
      <c r="W28" s="188" t="s">
        <v>13</v>
      </c>
      <c r="X28" s="187">
        <v>5.5160000000000001E-3</v>
      </c>
    </row>
    <row r="29" spans="2:25" ht="15" customHeight="1" x14ac:dyDescent="0.25">
      <c r="B29" s="69"/>
      <c r="C29" s="137" t="s">
        <v>86</v>
      </c>
      <c r="D29" s="15" t="s">
        <v>63</v>
      </c>
      <c r="E29" s="133">
        <v>3.3600999999999999E-2</v>
      </c>
      <c r="F29" s="29"/>
      <c r="G29" s="29"/>
      <c r="H29" s="29"/>
      <c r="I29" s="29"/>
      <c r="J29" s="29"/>
      <c r="K29" s="29"/>
      <c r="L29" s="29"/>
      <c r="M29" s="29"/>
      <c r="N29" s="29"/>
      <c r="O29" s="29"/>
      <c r="P29" s="29"/>
      <c r="Q29" s="29"/>
      <c r="R29" s="29"/>
      <c r="S29" s="29"/>
      <c r="T29" s="25"/>
      <c r="W29" s="188" t="s">
        <v>134</v>
      </c>
      <c r="X29" s="187">
        <v>5.2820000000000002E-3</v>
      </c>
    </row>
    <row r="30" spans="2:25" ht="15" customHeight="1" x14ac:dyDescent="0.25">
      <c r="B30" s="69"/>
      <c r="C30" s="196" t="s">
        <v>29</v>
      </c>
      <c r="D30" s="15" t="s">
        <v>63</v>
      </c>
      <c r="E30" s="201">
        <v>2.2450000000000001E-2</v>
      </c>
      <c r="F30" s="29"/>
      <c r="G30" s="138"/>
      <c r="H30" s="29"/>
      <c r="I30" s="29"/>
      <c r="J30" s="29"/>
      <c r="K30" s="29"/>
      <c r="L30" s="29"/>
      <c r="M30" s="29"/>
      <c r="N30" s="29"/>
      <c r="O30" s="29"/>
      <c r="P30" s="29"/>
      <c r="Q30" s="29"/>
      <c r="R30" s="29"/>
      <c r="S30" s="29"/>
      <c r="T30" s="25"/>
      <c r="W30" s="188" t="s">
        <v>92</v>
      </c>
      <c r="X30" s="187">
        <v>5.2389999999999997E-3</v>
      </c>
    </row>
    <row r="31" spans="2:25" ht="15" customHeight="1" x14ac:dyDescent="0.25">
      <c r="B31" s="69"/>
      <c r="C31" s="196" t="s">
        <v>203</v>
      </c>
      <c r="D31" s="15" t="s">
        <v>63</v>
      </c>
      <c r="E31" s="201">
        <v>2.2439000000000001E-2</v>
      </c>
      <c r="F31" s="29"/>
      <c r="G31" s="138"/>
      <c r="H31" s="29"/>
      <c r="I31" s="29"/>
      <c r="J31" s="29"/>
      <c r="K31" s="29"/>
      <c r="L31" s="29"/>
      <c r="M31" s="29"/>
      <c r="N31" s="29"/>
      <c r="O31" s="29"/>
      <c r="P31" s="29"/>
      <c r="Q31" s="29"/>
      <c r="R31" s="29"/>
      <c r="S31" s="29"/>
      <c r="T31" s="25"/>
      <c r="W31" s="188" t="s">
        <v>161</v>
      </c>
      <c r="X31" s="187">
        <v>4.1879999999999999E-3</v>
      </c>
    </row>
    <row r="32" spans="2:25" ht="15" customHeight="1" x14ac:dyDescent="0.25">
      <c r="B32" s="69"/>
      <c r="C32" s="196" t="s">
        <v>79</v>
      </c>
      <c r="D32" s="15" t="s">
        <v>63</v>
      </c>
      <c r="E32" s="201">
        <v>1.1002E-2</v>
      </c>
      <c r="F32" s="29"/>
      <c r="G32" s="138"/>
      <c r="H32" s="29"/>
      <c r="I32" s="29"/>
      <c r="J32" s="29"/>
      <c r="K32" s="29"/>
      <c r="L32" s="29"/>
      <c r="M32" s="29"/>
      <c r="N32" s="29"/>
      <c r="O32" s="29"/>
      <c r="P32" s="29"/>
      <c r="Q32" s="29"/>
      <c r="R32" s="29"/>
      <c r="S32" s="29"/>
      <c r="T32" s="25"/>
      <c r="W32" s="188" t="s">
        <v>91</v>
      </c>
      <c r="X32" s="187">
        <v>3.8329999999999979E-3</v>
      </c>
    </row>
    <row r="33" spans="2:24" ht="15" customHeight="1" x14ac:dyDescent="0.25">
      <c r="B33" s="69"/>
      <c r="C33" s="196" t="s">
        <v>62</v>
      </c>
      <c r="D33" s="15" t="s">
        <v>63</v>
      </c>
      <c r="E33" s="201">
        <v>9.1000000000000003E-5</v>
      </c>
      <c r="F33" s="29"/>
      <c r="G33" s="138"/>
      <c r="H33" s="29"/>
      <c r="I33" s="29"/>
      <c r="J33" s="29"/>
      <c r="K33" s="29"/>
      <c r="L33" s="29"/>
      <c r="M33" s="29"/>
      <c r="N33" s="29"/>
      <c r="O33" s="29"/>
      <c r="P33" s="29"/>
      <c r="Q33" s="29"/>
      <c r="R33" s="29"/>
      <c r="S33" s="29"/>
      <c r="T33" s="25"/>
      <c r="W33" s="188" t="s">
        <v>118</v>
      </c>
      <c r="X33" s="187">
        <v>3.052E-3</v>
      </c>
    </row>
    <row r="34" spans="2:24" ht="15" customHeight="1" x14ac:dyDescent="0.25">
      <c r="B34" s="69"/>
      <c r="C34" s="139" t="s">
        <v>5</v>
      </c>
      <c r="D34" s="135"/>
      <c r="E34" s="136">
        <v>8.9582999999999996E-2</v>
      </c>
      <c r="F34" s="29"/>
      <c r="G34" s="140"/>
      <c r="H34" s="29"/>
      <c r="I34" s="29"/>
      <c r="J34" s="29"/>
      <c r="K34" s="29"/>
      <c r="L34" s="29"/>
      <c r="M34" s="29"/>
      <c r="N34" s="29"/>
      <c r="O34" s="29"/>
      <c r="P34" s="29"/>
      <c r="Q34" s="29"/>
      <c r="R34" s="29"/>
      <c r="S34" s="29"/>
      <c r="T34" s="25"/>
      <c r="W34" s="188" t="s">
        <v>147</v>
      </c>
      <c r="X34" s="187">
        <v>2.5479999999999999E-3</v>
      </c>
    </row>
    <row r="35" spans="2:24" ht="15" customHeight="1" x14ac:dyDescent="0.25">
      <c r="B35" s="69"/>
      <c r="C35" s="137"/>
      <c r="D35" s="87"/>
      <c r="E35" s="201"/>
      <c r="F35" s="29"/>
      <c r="G35" s="29"/>
      <c r="H35" s="29"/>
      <c r="I35" s="141"/>
      <c r="J35" s="29"/>
      <c r="K35" s="29"/>
      <c r="L35" s="29"/>
      <c r="M35" s="29"/>
      <c r="N35" s="29"/>
      <c r="O35" s="29"/>
      <c r="P35" s="29"/>
      <c r="Q35" s="29"/>
      <c r="R35" s="29"/>
      <c r="S35" s="29"/>
      <c r="T35" s="25"/>
      <c r="W35" s="188" t="s">
        <v>131</v>
      </c>
      <c r="X35" s="187">
        <v>3.0799999999999925E-4</v>
      </c>
    </row>
    <row r="36" spans="2:24" ht="15" customHeight="1" x14ac:dyDescent="0.25">
      <c r="B36" s="69"/>
      <c r="C36" s="137" t="s">
        <v>79</v>
      </c>
      <c r="D36" s="87" t="s">
        <v>110</v>
      </c>
      <c r="E36" s="201">
        <v>1.12E-2</v>
      </c>
      <c r="F36" s="29"/>
      <c r="G36" s="29"/>
      <c r="H36" s="29"/>
      <c r="I36" s="141"/>
      <c r="J36" s="29"/>
      <c r="K36" s="29"/>
      <c r="L36" s="29"/>
      <c r="M36" s="29"/>
      <c r="N36" s="29"/>
      <c r="O36" s="29"/>
      <c r="P36" s="29"/>
      <c r="Q36" s="29"/>
      <c r="R36" s="29"/>
      <c r="S36" s="29"/>
      <c r="T36" s="25"/>
      <c r="W36" s="188" t="s">
        <v>16</v>
      </c>
      <c r="X36" s="187">
        <v>-1.2999999999999991E-5</v>
      </c>
    </row>
    <row r="37" spans="2:24" ht="15" customHeight="1" x14ac:dyDescent="0.25">
      <c r="B37" s="69"/>
      <c r="C37" s="139" t="s">
        <v>67</v>
      </c>
      <c r="D37" s="135"/>
      <c r="E37" s="136">
        <v>1.12E-2</v>
      </c>
      <c r="F37" s="29"/>
      <c r="G37" s="29"/>
      <c r="H37" s="29"/>
      <c r="I37" s="141"/>
      <c r="J37" s="29"/>
      <c r="K37" s="29"/>
      <c r="L37" s="29"/>
      <c r="M37" s="29"/>
      <c r="N37" s="29"/>
      <c r="O37" s="29"/>
      <c r="P37" s="29"/>
      <c r="Q37" s="29"/>
      <c r="R37" s="29"/>
      <c r="S37" s="29"/>
      <c r="T37" s="25"/>
      <c r="W37" s="19" t="s">
        <v>126</v>
      </c>
      <c r="X37" s="187">
        <v>-1.5000000000000256E-5</v>
      </c>
    </row>
    <row r="38" spans="2:24" ht="15" customHeight="1" x14ac:dyDescent="0.25">
      <c r="B38" s="69"/>
      <c r="C38" s="137"/>
      <c r="D38" s="87"/>
      <c r="E38" s="201"/>
      <c r="F38" s="29"/>
      <c r="G38" s="29"/>
      <c r="H38" s="29"/>
      <c r="I38" s="141"/>
      <c r="J38" s="29"/>
      <c r="K38" s="29"/>
      <c r="L38" s="29"/>
      <c r="M38" s="29"/>
      <c r="N38" s="29"/>
      <c r="O38" s="29"/>
      <c r="P38" s="29"/>
      <c r="Q38" s="29"/>
      <c r="R38" s="29"/>
      <c r="S38" s="29"/>
      <c r="T38" s="25"/>
      <c r="W38" s="19" t="s">
        <v>128</v>
      </c>
      <c r="X38" s="187">
        <v>-1.6000000000000389E-5</v>
      </c>
    </row>
    <row r="39" spans="2:24" ht="15" customHeight="1" x14ac:dyDescent="0.25">
      <c r="B39" s="69"/>
      <c r="C39" s="137" t="s">
        <v>305</v>
      </c>
      <c r="D39" s="87" t="s">
        <v>110</v>
      </c>
      <c r="E39" s="201">
        <v>1.1247999999999999E-2</v>
      </c>
      <c r="F39" s="29"/>
      <c r="G39" s="29"/>
      <c r="H39" s="29"/>
      <c r="I39" s="141"/>
      <c r="J39" s="29"/>
      <c r="K39" s="29"/>
      <c r="L39" s="29"/>
      <c r="M39" s="29"/>
      <c r="N39" s="29"/>
      <c r="O39" s="29"/>
      <c r="P39" s="29"/>
      <c r="Q39" s="29"/>
      <c r="R39" s="29"/>
      <c r="S39" s="29"/>
      <c r="T39" s="25"/>
    </row>
    <row r="40" spans="2:24" ht="15" customHeight="1" x14ac:dyDescent="0.25">
      <c r="B40" s="69"/>
      <c r="C40" s="139" t="s">
        <v>194</v>
      </c>
      <c r="D40" s="135"/>
      <c r="E40" s="136">
        <v>1.1247999999999999E-2</v>
      </c>
      <c r="F40" s="29"/>
      <c r="G40" s="29"/>
      <c r="H40" s="29"/>
      <c r="I40" s="141"/>
      <c r="J40" s="29"/>
      <c r="K40" s="29"/>
      <c r="L40" s="29"/>
      <c r="M40" s="29"/>
      <c r="N40" s="29"/>
      <c r="O40" s="29"/>
      <c r="P40" s="29"/>
      <c r="Q40" s="29"/>
      <c r="R40" s="29"/>
      <c r="S40" s="29"/>
      <c r="T40" s="25"/>
    </row>
    <row r="41" spans="2:24" ht="15" customHeight="1" x14ac:dyDescent="0.25">
      <c r="B41" s="69"/>
      <c r="C41" s="137"/>
      <c r="D41" s="87"/>
      <c r="E41" s="201"/>
      <c r="F41" s="29"/>
      <c r="G41" s="29"/>
      <c r="H41" s="29"/>
      <c r="I41" s="141"/>
      <c r="J41" s="29"/>
      <c r="K41" s="29"/>
      <c r="L41" s="29"/>
      <c r="M41" s="29"/>
      <c r="N41" s="29"/>
      <c r="O41" s="29"/>
      <c r="P41" s="29"/>
      <c r="Q41" s="29"/>
      <c r="R41" s="29"/>
      <c r="S41" s="29"/>
      <c r="T41" s="25"/>
    </row>
    <row r="42" spans="2:24" s="58" customFormat="1" ht="15" customHeight="1" x14ac:dyDescent="0.25">
      <c r="B42" s="143"/>
      <c r="C42" s="148" t="s">
        <v>229</v>
      </c>
      <c r="D42" s="149" t="s">
        <v>61</v>
      </c>
      <c r="E42" s="202">
        <v>4.0533E-2</v>
      </c>
      <c r="F42" s="56"/>
      <c r="G42" s="56"/>
      <c r="H42" s="56"/>
      <c r="I42" s="147"/>
      <c r="J42" s="56"/>
      <c r="K42" s="56"/>
      <c r="L42" s="56"/>
      <c r="M42" s="56"/>
      <c r="N42" s="56"/>
      <c r="O42" s="56"/>
      <c r="P42" s="56"/>
      <c r="Q42" s="56"/>
      <c r="R42" s="56"/>
      <c r="S42" s="56"/>
      <c r="T42" s="57"/>
    </row>
    <row r="43" spans="2:24" s="58" customFormat="1" ht="15" customHeight="1" x14ac:dyDescent="0.25">
      <c r="B43" s="143"/>
      <c r="C43" s="148" t="s">
        <v>230</v>
      </c>
      <c r="D43" s="149" t="s">
        <v>61</v>
      </c>
      <c r="E43" s="202">
        <v>1.1306E-2</v>
      </c>
      <c r="F43" s="56"/>
      <c r="G43" s="56"/>
      <c r="H43" s="56"/>
      <c r="I43" s="147"/>
      <c r="J43" s="56"/>
      <c r="K43" s="56"/>
      <c r="L43" s="56"/>
      <c r="M43" s="56"/>
      <c r="N43" s="56"/>
      <c r="O43" s="56"/>
      <c r="P43" s="56"/>
      <c r="Q43" s="56"/>
      <c r="R43" s="56"/>
      <c r="S43" s="56"/>
      <c r="T43" s="57"/>
    </row>
    <row r="44" spans="2:24" s="58" customFormat="1" ht="15" customHeight="1" x14ac:dyDescent="0.25">
      <c r="B44" s="143"/>
      <c r="C44" s="148" t="s">
        <v>224</v>
      </c>
      <c r="D44" s="149" t="s">
        <v>61</v>
      </c>
      <c r="E44" s="202">
        <v>5.2150000000000002E-2</v>
      </c>
      <c r="F44" s="56"/>
      <c r="G44" s="56"/>
      <c r="H44" s="56"/>
      <c r="I44" s="147"/>
      <c r="J44" s="56"/>
      <c r="K44" s="56"/>
      <c r="L44" s="56"/>
      <c r="M44" s="56"/>
      <c r="N44" s="56"/>
      <c r="O44" s="56"/>
      <c r="P44" s="56"/>
      <c r="Q44" s="56"/>
      <c r="R44" s="56"/>
      <c r="S44" s="56"/>
      <c r="T44" s="57"/>
    </row>
    <row r="45" spans="2:24" s="58" customFormat="1" ht="15" customHeight="1" x14ac:dyDescent="0.25">
      <c r="B45" s="143"/>
      <c r="C45" s="134" t="s">
        <v>42</v>
      </c>
      <c r="D45" s="114"/>
      <c r="E45" s="136">
        <f>SUM(E42:E44)</f>
        <v>0.103989</v>
      </c>
      <c r="F45" s="56"/>
      <c r="G45" s="56"/>
      <c r="H45" s="56"/>
      <c r="I45" s="147"/>
      <c r="J45" s="56"/>
      <c r="K45" s="56"/>
      <c r="L45" s="56"/>
      <c r="M45" s="56"/>
      <c r="N45" s="56"/>
      <c r="O45" s="56"/>
      <c r="P45" s="56"/>
      <c r="Q45" s="56"/>
      <c r="R45" s="56"/>
      <c r="S45" s="56"/>
      <c r="T45" s="57"/>
    </row>
    <row r="46" spans="2:24" ht="15" customHeight="1" x14ac:dyDescent="0.25">
      <c r="B46" s="69"/>
      <c r="C46" s="144"/>
      <c r="D46" s="145"/>
      <c r="E46" s="146"/>
      <c r="F46" s="29"/>
      <c r="G46" s="29"/>
      <c r="H46" s="29"/>
      <c r="I46" s="141"/>
      <c r="J46" s="29"/>
      <c r="K46" s="29"/>
      <c r="L46" s="29"/>
      <c r="M46" s="29"/>
      <c r="N46" s="29"/>
      <c r="O46" s="29"/>
      <c r="P46" s="29"/>
      <c r="Q46" s="29"/>
      <c r="R46" s="29"/>
      <c r="S46" s="29"/>
      <c r="T46" s="25"/>
    </row>
    <row r="47" spans="2:24" ht="15" customHeight="1" x14ac:dyDescent="0.25">
      <c r="B47" s="69"/>
      <c r="C47" s="150" t="s">
        <v>70</v>
      </c>
      <c r="D47" s="151"/>
      <c r="E47" s="199">
        <v>3.5819999999999984E-2</v>
      </c>
      <c r="F47" s="29"/>
      <c r="G47" s="29"/>
      <c r="H47" s="29"/>
      <c r="I47" s="141"/>
      <c r="J47" s="29"/>
      <c r="K47" s="29"/>
      <c r="L47" s="29"/>
      <c r="M47" s="29"/>
      <c r="N47" s="29"/>
      <c r="O47" s="29"/>
      <c r="P47" s="29"/>
      <c r="Q47" s="29"/>
      <c r="R47" s="29"/>
      <c r="S47" s="29"/>
      <c r="T47" s="25"/>
    </row>
    <row r="48" spans="2:24" ht="15" customHeight="1" x14ac:dyDescent="0.25">
      <c r="B48" s="69"/>
      <c r="C48" s="152"/>
      <c r="D48" s="119"/>
      <c r="E48" s="153"/>
      <c r="F48" s="29"/>
      <c r="G48" s="29"/>
      <c r="H48" s="29"/>
      <c r="I48" s="29"/>
      <c r="J48" s="29"/>
      <c r="K48" s="29"/>
      <c r="L48" s="29"/>
      <c r="M48" s="29"/>
      <c r="N48" s="29"/>
      <c r="O48" s="29"/>
      <c r="P48" s="29"/>
      <c r="Q48" s="29"/>
      <c r="R48" s="29"/>
      <c r="S48" s="29"/>
      <c r="T48" s="25"/>
    </row>
    <row r="49" spans="2:20" ht="15" customHeight="1" x14ac:dyDescent="0.25">
      <c r="B49" s="69"/>
      <c r="C49" s="154" t="s">
        <v>21</v>
      </c>
      <c r="D49" s="79"/>
      <c r="E49" s="80">
        <f>E47+E45+E40+E37+E34+E27+E25+E23</f>
        <v>0.99999999999999989</v>
      </c>
      <c r="F49" s="29"/>
      <c r="G49" s="142"/>
      <c r="H49" s="29"/>
      <c r="I49" s="29"/>
      <c r="J49" s="29"/>
      <c r="K49" s="29"/>
      <c r="L49" s="29"/>
      <c r="M49" s="29"/>
      <c r="N49" s="29"/>
      <c r="O49" s="29"/>
      <c r="P49" s="29"/>
      <c r="Q49" s="29"/>
      <c r="R49" s="29"/>
      <c r="S49" s="29"/>
      <c r="T49" s="25"/>
    </row>
    <row r="50" spans="2:20" ht="15" customHeight="1" x14ac:dyDescent="0.25">
      <c r="B50" s="69"/>
      <c r="F50" s="29"/>
      <c r="G50" s="29"/>
      <c r="H50" s="29"/>
      <c r="I50" s="29"/>
      <c r="J50" s="29"/>
      <c r="K50" s="29"/>
      <c r="L50" s="29"/>
      <c r="M50" s="29"/>
      <c r="N50" s="29"/>
      <c r="O50" s="29"/>
      <c r="P50" s="29"/>
      <c r="Q50" s="29"/>
      <c r="R50" s="29"/>
      <c r="S50" s="29"/>
      <c r="T50" s="25"/>
    </row>
    <row r="51" spans="2:20" ht="15" customHeight="1" x14ac:dyDescent="0.25">
      <c r="B51" s="69"/>
      <c r="F51" s="29"/>
      <c r="G51" s="29"/>
      <c r="H51" s="29"/>
      <c r="I51" s="29"/>
      <c r="J51" s="29"/>
      <c r="K51" s="29"/>
      <c r="L51" s="29"/>
      <c r="M51" s="29"/>
      <c r="N51" s="29"/>
      <c r="O51" s="29"/>
      <c r="P51" s="29"/>
      <c r="Q51" s="29"/>
      <c r="R51" s="29"/>
      <c r="S51" s="29"/>
      <c r="T51" s="25"/>
    </row>
    <row r="52" spans="2:20" ht="15" customHeight="1" x14ac:dyDescent="0.25">
      <c r="B52" s="69"/>
      <c r="F52" s="29"/>
      <c r="G52" s="29"/>
      <c r="H52" s="29"/>
      <c r="I52" s="29"/>
      <c r="J52" s="29"/>
      <c r="K52" s="29"/>
      <c r="L52" s="29"/>
      <c r="M52" s="29"/>
      <c r="N52" s="29"/>
      <c r="O52" s="29"/>
      <c r="P52" s="29"/>
      <c r="Q52" s="29"/>
      <c r="R52" s="29"/>
      <c r="S52" s="29"/>
      <c r="T52" s="25"/>
    </row>
    <row r="53" spans="2:20" ht="15" customHeight="1" x14ac:dyDescent="0.25">
      <c r="B53" s="69"/>
      <c r="F53" s="29"/>
      <c r="G53" s="29"/>
      <c r="H53" s="29"/>
      <c r="I53" s="29"/>
      <c r="J53" s="29"/>
      <c r="K53" s="29"/>
      <c r="L53" s="29"/>
      <c r="M53" s="29"/>
      <c r="N53" s="29"/>
      <c r="O53" s="29"/>
      <c r="P53" s="29"/>
      <c r="Q53" s="29"/>
      <c r="R53" s="29"/>
      <c r="S53" s="29"/>
      <c r="T53" s="25"/>
    </row>
    <row r="54" spans="2:20" ht="15" customHeight="1" thickBot="1" x14ac:dyDescent="0.3">
      <c r="B54" s="81"/>
      <c r="C54" s="30"/>
      <c r="D54" s="30"/>
      <c r="E54" s="30"/>
      <c r="F54" s="30"/>
      <c r="G54" s="30"/>
      <c r="H54" s="30"/>
      <c r="I54" s="30"/>
      <c r="J54" s="30"/>
      <c r="K54" s="30"/>
      <c r="L54" s="30"/>
      <c r="M54" s="30"/>
      <c r="N54" s="30"/>
      <c r="O54" s="30"/>
      <c r="P54" s="30"/>
      <c r="Q54" s="30"/>
      <c r="R54" s="30"/>
      <c r="S54" s="30"/>
      <c r="T54" s="26"/>
    </row>
    <row r="55" spans="2:20" ht="15" customHeight="1" thickBot="1" x14ac:dyDescent="0.3"/>
    <row r="56" spans="2:20" ht="15" customHeight="1" x14ac:dyDescent="0.25">
      <c r="B56" s="253" t="s">
        <v>202</v>
      </c>
      <c r="C56" s="254"/>
      <c r="D56" s="254"/>
      <c r="E56" s="254"/>
      <c r="F56" s="254"/>
      <c r="G56" s="254"/>
      <c r="H56" s="254"/>
      <c r="I56" s="254"/>
      <c r="J56" s="254"/>
      <c r="K56" s="254"/>
      <c r="L56" s="254"/>
      <c r="M56" s="254"/>
      <c r="N56" s="254"/>
      <c r="O56" s="254"/>
      <c r="P56" s="254"/>
      <c r="Q56" s="254"/>
      <c r="R56" s="255"/>
    </row>
    <row r="57" spans="2:20" ht="15" customHeight="1" x14ac:dyDescent="0.25">
      <c r="B57" s="256"/>
      <c r="C57" s="257"/>
      <c r="D57" s="257"/>
      <c r="E57" s="257"/>
      <c r="F57" s="257"/>
      <c r="G57" s="257"/>
      <c r="H57" s="257"/>
      <c r="I57" s="257"/>
      <c r="J57" s="257"/>
      <c r="K57" s="257"/>
      <c r="L57" s="257"/>
      <c r="M57" s="257"/>
      <c r="N57" s="257"/>
      <c r="O57" s="257"/>
      <c r="P57" s="257"/>
      <c r="Q57" s="257"/>
      <c r="R57" s="258"/>
    </row>
    <row r="58" spans="2:20" ht="15" customHeight="1" x14ac:dyDescent="0.25">
      <c r="B58" s="256"/>
      <c r="C58" s="257"/>
      <c r="D58" s="257"/>
      <c r="E58" s="257"/>
      <c r="F58" s="257"/>
      <c r="G58" s="257"/>
      <c r="H58" s="257"/>
      <c r="I58" s="257"/>
      <c r="J58" s="257"/>
      <c r="K58" s="257"/>
      <c r="L58" s="257"/>
      <c r="M58" s="257"/>
      <c r="N58" s="257"/>
      <c r="O58" s="257"/>
      <c r="P58" s="257"/>
      <c r="Q58" s="257"/>
      <c r="R58" s="258"/>
    </row>
    <row r="59" spans="2:20" ht="15" customHeight="1" x14ac:dyDescent="0.25">
      <c r="B59" s="256"/>
      <c r="C59" s="257"/>
      <c r="D59" s="257"/>
      <c r="E59" s="257"/>
      <c r="F59" s="257"/>
      <c r="G59" s="257"/>
      <c r="H59" s="257"/>
      <c r="I59" s="257"/>
      <c r="J59" s="257"/>
      <c r="K59" s="257"/>
      <c r="L59" s="257"/>
      <c r="M59" s="257"/>
      <c r="N59" s="257"/>
      <c r="O59" s="257"/>
      <c r="P59" s="257"/>
      <c r="Q59" s="257"/>
      <c r="R59" s="258"/>
    </row>
    <row r="60" spans="2:20" ht="15" customHeight="1" x14ac:dyDescent="0.25">
      <c r="B60" s="256"/>
      <c r="C60" s="257"/>
      <c r="D60" s="257"/>
      <c r="E60" s="257"/>
      <c r="F60" s="257"/>
      <c r="G60" s="257"/>
      <c r="H60" s="257"/>
      <c r="I60" s="257"/>
      <c r="J60" s="257"/>
      <c r="K60" s="257"/>
      <c r="L60" s="257"/>
      <c r="M60" s="257"/>
      <c r="N60" s="257"/>
      <c r="O60" s="257"/>
      <c r="P60" s="257"/>
      <c r="Q60" s="257"/>
      <c r="R60" s="258"/>
    </row>
    <row r="61" spans="2:20" ht="15" customHeight="1" x14ac:dyDescent="0.25">
      <c r="B61" s="256"/>
      <c r="C61" s="257"/>
      <c r="D61" s="257"/>
      <c r="E61" s="257"/>
      <c r="F61" s="257"/>
      <c r="G61" s="257"/>
      <c r="H61" s="257"/>
      <c r="I61" s="257"/>
      <c r="J61" s="257"/>
      <c r="K61" s="257"/>
      <c r="L61" s="257"/>
      <c r="M61" s="257"/>
      <c r="N61" s="257"/>
      <c r="O61" s="257"/>
      <c r="P61" s="257"/>
      <c r="Q61" s="257"/>
      <c r="R61" s="258"/>
    </row>
    <row r="62" spans="2:20" ht="24.75" customHeight="1" thickBot="1" x14ac:dyDescent="0.3">
      <c r="B62" s="259"/>
      <c r="C62" s="260"/>
      <c r="D62" s="260"/>
      <c r="E62" s="260"/>
      <c r="F62" s="260"/>
      <c r="G62" s="260"/>
      <c r="H62" s="260"/>
      <c r="I62" s="260"/>
      <c r="J62" s="260"/>
      <c r="K62" s="260"/>
      <c r="L62" s="260"/>
      <c r="M62" s="260"/>
      <c r="N62" s="260"/>
      <c r="O62" s="260"/>
      <c r="P62" s="260"/>
      <c r="Q62" s="260"/>
      <c r="R62" s="261"/>
    </row>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30:E33">
    <sortCondition descending="1" ref="E29"/>
  </sortState>
  <mergeCells count="3">
    <mergeCell ref="C3:S3"/>
    <mergeCell ref="D5:E5"/>
    <mergeCell ref="B56:R62"/>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47" t="s">
        <v>179</v>
      </c>
      <c r="D3" s="247"/>
      <c r="E3" s="247"/>
      <c r="F3" s="247"/>
      <c r="G3" s="247"/>
      <c r="H3" s="247"/>
      <c r="I3" s="247"/>
      <c r="J3" s="247"/>
      <c r="K3" s="247"/>
      <c r="L3" s="247"/>
      <c r="M3" s="247"/>
      <c r="N3" s="248"/>
    </row>
    <row r="4" spans="2:19" ht="15.75" x14ac:dyDescent="0.25">
      <c r="B4" s="98"/>
      <c r="C4" s="72" t="s">
        <v>354</v>
      </c>
      <c r="D4" s="29"/>
      <c r="E4" s="29"/>
      <c r="F4" s="5"/>
      <c r="G4" s="5"/>
      <c r="H4" s="5"/>
      <c r="I4" s="5"/>
      <c r="J4" s="5"/>
      <c r="K4" s="5"/>
      <c r="L4" s="5"/>
      <c r="M4" s="5"/>
      <c r="N4" s="20"/>
    </row>
    <row r="5" spans="2:19" ht="20.25" customHeight="1" x14ac:dyDescent="0.2">
      <c r="B5" s="98"/>
      <c r="C5" s="235" t="s">
        <v>355</v>
      </c>
      <c r="D5" s="264" t="s">
        <v>337</v>
      </c>
      <c r="E5" s="264"/>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125" t="s">
        <v>45</v>
      </c>
      <c r="F7" s="5"/>
      <c r="G7" s="249" t="s">
        <v>46</v>
      </c>
      <c r="H7" s="249"/>
      <c r="I7" s="249"/>
      <c r="J7" s="249"/>
      <c r="K7" s="249"/>
      <c r="L7" s="249"/>
      <c r="M7" s="249"/>
      <c r="N7" s="250"/>
    </row>
    <row r="8" spans="2:19" x14ac:dyDescent="0.2">
      <c r="B8" s="98"/>
      <c r="C8" s="126" t="s">
        <v>29</v>
      </c>
      <c r="D8" s="127" t="s">
        <v>3</v>
      </c>
      <c r="E8" s="110">
        <v>2.3254999999999998E-2</v>
      </c>
      <c r="F8" s="5"/>
      <c r="G8" s="5" t="s">
        <v>47</v>
      </c>
      <c r="H8" s="31">
        <v>1</v>
      </c>
      <c r="I8" s="50">
        <f>H8/SUM($H$8:$H$10)</f>
        <v>1</v>
      </c>
      <c r="J8" s="5"/>
      <c r="K8" s="31"/>
      <c r="L8" s="5"/>
      <c r="M8" s="5"/>
      <c r="N8" s="20"/>
      <c r="S8" s="54"/>
    </row>
    <row r="9" spans="2:19" ht="15.75" customHeight="1" x14ac:dyDescent="0.2">
      <c r="B9" s="98"/>
      <c r="C9" s="128" t="s">
        <v>31</v>
      </c>
      <c r="D9" s="38" t="s">
        <v>6</v>
      </c>
      <c r="E9" s="39">
        <v>2.1854999999999999E-2</v>
      </c>
      <c r="F9" s="5"/>
      <c r="G9" s="5" t="s">
        <v>57</v>
      </c>
      <c r="H9" s="6">
        <v>0</v>
      </c>
      <c r="I9" s="50">
        <f>H9/SUM($H$8:$H$10)</f>
        <v>0</v>
      </c>
      <c r="J9" s="5" t="s">
        <v>106</v>
      </c>
      <c r="K9" s="31">
        <f>E23+E25</f>
        <v>0.21210300000000001</v>
      </c>
      <c r="L9" s="5"/>
      <c r="M9" s="5"/>
      <c r="N9" s="20"/>
      <c r="S9" s="54"/>
    </row>
    <row r="10" spans="2:19" x14ac:dyDescent="0.2">
      <c r="B10" s="98"/>
      <c r="C10" s="128" t="s">
        <v>32</v>
      </c>
      <c r="D10" s="38" t="s">
        <v>3</v>
      </c>
      <c r="E10" s="39">
        <v>1.6541E-2</v>
      </c>
      <c r="F10" s="31"/>
      <c r="G10" s="5" t="s">
        <v>48</v>
      </c>
      <c r="H10" s="6">
        <v>0</v>
      </c>
      <c r="I10" s="50">
        <f>H10/SUM($H$8:$H$10)</f>
        <v>0</v>
      </c>
      <c r="J10" s="5" t="s">
        <v>20</v>
      </c>
      <c r="K10" s="31">
        <f>E40</f>
        <v>5.073200000000002E-2</v>
      </c>
      <c r="L10" s="5"/>
      <c r="M10" s="5"/>
      <c r="N10" s="20"/>
      <c r="S10" s="54"/>
    </row>
    <row r="11" spans="2:19" x14ac:dyDescent="0.2">
      <c r="B11" s="98"/>
      <c r="C11" s="128" t="s">
        <v>28</v>
      </c>
      <c r="D11" s="38" t="s">
        <v>117</v>
      </c>
      <c r="E11" s="39">
        <v>1.3011999999999999E-2</v>
      </c>
      <c r="F11" s="5"/>
      <c r="G11" s="5"/>
      <c r="H11" s="5"/>
      <c r="I11" s="5"/>
      <c r="J11" s="5"/>
      <c r="K11" s="31"/>
      <c r="L11" s="5"/>
      <c r="M11" s="5"/>
      <c r="N11" s="20"/>
      <c r="S11" s="54"/>
    </row>
    <row r="12" spans="2:19" ht="15.75" customHeight="1" x14ac:dyDescent="0.2">
      <c r="B12" s="98"/>
      <c r="C12" s="128" t="s">
        <v>34</v>
      </c>
      <c r="D12" s="38" t="s">
        <v>23</v>
      </c>
      <c r="E12" s="39">
        <v>9.2829999999999996E-3</v>
      </c>
      <c r="F12" s="31"/>
      <c r="G12" s="5"/>
      <c r="H12" s="31"/>
      <c r="I12" s="5"/>
      <c r="J12" s="5" t="s">
        <v>41</v>
      </c>
      <c r="K12" s="31">
        <f>E35</f>
        <v>0.14609100000000003</v>
      </c>
      <c r="L12" s="5"/>
      <c r="M12" s="5"/>
      <c r="N12" s="20"/>
      <c r="S12" s="54"/>
    </row>
    <row r="13" spans="2:19" x14ac:dyDescent="0.2">
      <c r="B13" s="98"/>
      <c r="C13" s="128" t="s">
        <v>33</v>
      </c>
      <c r="D13" s="38" t="s">
        <v>117</v>
      </c>
      <c r="E13" s="39">
        <v>8.8710000000000039E-3</v>
      </c>
      <c r="F13" s="31"/>
      <c r="G13" s="5"/>
      <c r="H13" s="5"/>
      <c r="I13" s="5"/>
      <c r="J13" s="5"/>
      <c r="K13" s="31"/>
      <c r="L13" s="5"/>
      <c r="M13" s="5"/>
      <c r="N13" s="20"/>
      <c r="S13" s="54"/>
    </row>
    <row r="14" spans="2:19" x14ac:dyDescent="0.2">
      <c r="B14" s="98"/>
      <c r="C14" s="128" t="s">
        <v>30</v>
      </c>
      <c r="D14" s="38" t="s">
        <v>127</v>
      </c>
      <c r="E14" s="39">
        <v>7.9900000000000006E-3</v>
      </c>
      <c r="F14" s="31"/>
      <c r="G14" s="5"/>
      <c r="H14" s="5"/>
      <c r="I14" s="5"/>
      <c r="J14" s="5" t="s">
        <v>279</v>
      </c>
      <c r="K14" s="31">
        <f>E27</f>
        <v>8.8827000000000003E-2</v>
      </c>
      <c r="L14" s="5"/>
      <c r="M14" s="5"/>
      <c r="N14" s="20"/>
      <c r="S14" s="54"/>
    </row>
    <row r="15" spans="2:19" x14ac:dyDescent="0.2">
      <c r="B15" s="98"/>
      <c r="C15" s="128" t="s">
        <v>36</v>
      </c>
      <c r="D15" s="38" t="s">
        <v>3</v>
      </c>
      <c r="E15" s="39">
        <v>6.692E-3</v>
      </c>
      <c r="F15" s="5"/>
      <c r="G15" s="5"/>
      <c r="H15" s="5"/>
      <c r="I15" s="5"/>
      <c r="J15" s="5" t="s">
        <v>42</v>
      </c>
      <c r="K15" s="31">
        <f>E38</f>
        <v>1.1863E-2</v>
      </c>
      <c r="L15" s="5"/>
      <c r="M15" s="5"/>
      <c r="N15" s="20"/>
      <c r="S15" s="54"/>
    </row>
    <row r="16" spans="2:19" x14ac:dyDescent="0.2">
      <c r="B16" s="98"/>
      <c r="C16" s="128" t="s">
        <v>84</v>
      </c>
      <c r="D16" s="38" t="s">
        <v>3</v>
      </c>
      <c r="E16" s="39">
        <v>6.4689999999999999E-3</v>
      </c>
      <c r="F16" s="5"/>
      <c r="G16" s="5"/>
      <c r="H16" s="5"/>
      <c r="I16" s="5"/>
      <c r="J16" s="5" t="s">
        <v>60</v>
      </c>
      <c r="K16" s="31">
        <f>E29</f>
        <v>0.49038399999999999</v>
      </c>
      <c r="L16" s="5"/>
      <c r="M16" s="5"/>
      <c r="N16" s="20"/>
      <c r="S16" s="54"/>
    </row>
    <row r="17" spans="2:19" x14ac:dyDescent="0.2">
      <c r="B17" s="98"/>
      <c r="C17" s="129" t="s">
        <v>73</v>
      </c>
      <c r="D17" s="111" t="s">
        <v>12</v>
      </c>
      <c r="E17" s="39">
        <v>6.4140000000000004E-3</v>
      </c>
      <c r="F17" s="5"/>
      <c r="G17" s="5"/>
      <c r="H17" s="5"/>
      <c r="I17" s="5"/>
      <c r="J17" s="5"/>
      <c r="K17" s="5"/>
      <c r="L17" s="5"/>
      <c r="M17" s="5"/>
      <c r="N17" s="20"/>
      <c r="S17" s="54"/>
    </row>
    <row r="18" spans="2:19" x14ac:dyDescent="0.2">
      <c r="B18" s="98"/>
      <c r="C18" s="128" t="s">
        <v>35</v>
      </c>
      <c r="D18" s="38" t="s">
        <v>3</v>
      </c>
      <c r="E18" s="39">
        <v>5.568E-3</v>
      </c>
      <c r="F18" s="5"/>
      <c r="G18" s="5"/>
      <c r="H18" s="5"/>
      <c r="I18" s="5"/>
      <c r="J18" s="5"/>
      <c r="K18" s="5"/>
      <c r="L18" s="5"/>
      <c r="M18" s="5"/>
      <c r="N18" s="20"/>
      <c r="S18" s="54"/>
    </row>
    <row r="19" spans="2:19" x14ac:dyDescent="0.2">
      <c r="B19" s="98"/>
      <c r="C19" s="128" t="s">
        <v>37</v>
      </c>
      <c r="D19" s="38" t="s">
        <v>127</v>
      </c>
      <c r="E19" s="39">
        <v>4.7980000000000002E-3</v>
      </c>
      <c r="F19" s="5"/>
      <c r="G19" s="5"/>
      <c r="H19" s="5"/>
      <c r="I19" s="5"/>
      <c r="J19" s="5"/>
      <c r="K19" s="5"/>
      <c r="L19" s="5"/>
      <c r="M19" s="5"/>
      <c r="N19" s="20"/>
      <c r="S19" s="54"/>
    </row>
    <row r="20" spans="2:19" ht="15.75" customHeight="1" x14ac:dyDescent="0.25">
      <c r="B20" s="98"/>
      <c r="C20" s="128" t="s">
        <v>86</v>
      </c>
      <c r="D20" s="38" t="s">
        <v>4</v>
      </c>
      <c r="E20" s="39">
        <v>3.9229999999999959E-3</v>
      </c>
      <c r="F20" s="5"/>
      <c r="G20" s="267" t="s">
        <v>113</v>
      </c>
      <c r="H20" s="268"/>
      <c r="I20" s="268"/>
      <c r="J20" s="268"/>
      <c r="K20" s="268"/>
      <c r="L20" s="190">
        <v>418</v>
      </c>
      <c r="M20" s="130"/>
      <c r="N20" s="113"/>
      <c r="P20" s="19"/>
      <c r="S20" s="54"/>
    </row>
    <row r="21" spans="2:19" ht="15.75" x14ac:dyDescent="0.25">
      <c r="B21" s="98"/>
      <c r="C21" s="128" t="s">
        <v>77</v>
      </c>
      <c r="D21" s="38" t="s">
        <v>121</v>
      </c>
      <c r="E21" s="39">
        <v>3.826E-3</v>
      </c>
      <c r="F21" s="5"/>
      <c r="G21" s="5"/>
      <c r="H21" s="5"/>
      <c r="I21" s="5"/>
      <c r="J21" s="5"/>
      <c r="K21" s="5"/>
      <c r="L21" s="5"/>
      <c r="M21" s="5"/>
      <c r="N21" s="20"/>
      <c r="P21" s="19"/>
      <c r="S21" s="54"/>
    </row>
    <row r="22" spans="2:19" ht="15.75" x14ac:dyDescent="0.25">
      <c r="B22" s="98"/>
      <c r="C22" s="128" t="s">
        <v>221</v>
      </c>
      <c r="D22" s="38" t="s">
        <v>117</v>
      </c>
      <c r="E22" s="39">
        <v>3.7529999999999994E-3</v>
      </c>
      <c r="F22" s="5"/>
      <c r="G22" s="31"/>
      <c r="H22" s="31"/>
      <c r="I22" s="31"/>
      <c r="J22" s="5"/>
      <c r="K22" s="31"/>
      <c r="L22" s="5"/>
      <c r="M22" s="5"/>
      <c r="N22" s="20"/>
      <c r="P22" s="19"/>
      <c r="S22" s="54"/>
    </row>
    <row r="23" spans="2:19" ht="15.75" customHeight="1" x14ac:dyDescent="0.25">
      <c r="B23" s="98"/>
      <c r="C23" s="114" t="s">
        <v>95</v>
      </c>
      <c r="D23" s="114"/>
      <c r="E23" s="115">
        <f>SUM(E8:E22)</f>
        <v>0.14224999999999999</v>
      </c>
      <c r="F23" s="5"/>
      <c r="G23" s="249" t="s">
        <v>50</v>
      </c>
      <c r="H23" s="249"/>
      <c r="I23" s="249"/>
      <c r="J23" s="249"/>
      <c r="K23" s="249"/>
      <c r="L23" s="249"/>
      <c r="M23" s="249"/>
      <c r="N23" s="250"/>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96</v>
      </c>
      <c r="D25" s="114"/>
      <c r="E25" s="115">
        <v>6.9853000000000026E-2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278</v>
      </c>
      <c r="D27" s="131"/>
      <c r="E27" s="195">
        <v>8.8827000000000003E-2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58</v>
      </c>
      <c r="D29" s="114"/>
      <c r="E29" s="195">
        <v>0.49038399999999999</v>
      </c>
      <c r="F29" s="5"/>
      <c r="G29" s="5"/>
      <c r="H29" s="5"/>
      <c r="I29" s="5"/>
      <c r="J29" s="5"/>
      <c r="K29" s="5"/>
      <c r="L29" s="5"/>
      <c r="M29" s="5"/>
      <c r="N29" s="20"/>
      <c r="P29" s="19"/>
      <c r="S29" s="54"/>
    </row>
    <row r="30" spans="2:19" ht="15.75" x14ac:dyDescent="0.25">
      <c r="B30" s="98"/>
      <c r="C30" s="222"/>
      <c r="D30" s="222"/>
      <c r="E30" s="204"/>
      <c r="F30" s="5"/>
      <c r="G30" s="5"/>
      <c r="H30" s="5"/>
      <c r="I30" s="5"/>
      <c r="J30" s="5"/>
      <c r="K30" s="5"/>
      <c r="L30" s="5"/>
      <c r="M30" s="5"/>
      <c r="N30" s="20"/>
      <c r="P30" s="19"/>
      <c r="S30" s="54"/>
    </row>
    <row r="31" spans="2:19" ht="15.75" x14ac:dyDescent="0.25">
      <c r="B31" s="98"/>
      <c r="C31" s="222" t="s">
        <v>81</v>
      </c>
      <c r="D31" s="222" t="s">
        <v>63</v>
      </c>
      <c r="E31" s="203">
        <v>4.8890000000000003E-2</v>
      </c>
      <c r="F31" s="5"/>
      <c r="G31" s="5"/>
      <c r="H31" s="5"/>
      <c r="I31" s="5"/>
      <c r="J31" s="5"/>
      <c r="K31" s="5"/>
      <c r="L31" s="5"/>
      <c r="M31" s="5"/>
      <c r="N31" s="20"/>
      <c r="P31" s="19"/>
      <c r="S31" s="54"/>
    </row>
    <row r="32" spans="2:19" ht="15.75" x14ac:dyDescent="0.25">
      <c r="B32" s="98"/>
      <c r="C32" s="222" t="s">
        <v>79</v>
      </c>
      <c r="D32" s="222" t="s">
        <v>63</v>
      </c>
      <c r="E32" s="203">
        <v>4.8755E-2</v>
      </c>
      <c r="F32" s="5"/>
      <c r="G32" s="5"/>
      <c r="H32" s="5"/>
      <c r="I32" s="5"/>
      <c r="J32" s="5"/>
      <c r="K32" s="5"/>
      <c r="L32" s="5"/>
      <c r="M32" s="5"/>
      <c r="N32" s="20"/>
      <c r="P32" s="19"/>
      <c r="S32" s="54"/>
    </row>
    <row r="33" spans="2:19" ht="15" customHeight="1" x14ac:dyDescent="0.25">
      <c r="B33" s="98"/>
      <c r="C33" s="222" t="s">
        <v>201</v>
      </c>
      <c r="D33" s="222" t="s">
        <v>63</v>
      </c>
      <c r="E33" s="203">
        <v>4.8444000000000001E-2</v>
      </c>
      <c r="F33" s="5"/>
      <c r="G33" s="5"/>
      <c r="H33" s="5"/>
      <c r="I33" s="5"/>
      <c r="J33" s="5"/>
      <c r="K33" s="5"/>
      <c r="L33" s="5"/>
      <c r="M33" s="5"/>
      <c r="N33" s="20"/>
      <c r="P33" s="19"/>
      <c r="S33" s="54"/>
    </row>
    <row r="34" spans="2:19" ht="15" customHeight="1" x14ac:dyDescent="0.25">
      <c r="B34" s="98"/>
      <c r="C34" s="222" t="s">
        <v>93</v>
      </c>
      <c r="D34" s="222" t="s">
        <v>63</v>
      </c>
      <c r="E34" s="204">
        <v>1.9999999999999999E-6</v>
      </c>
      <c r="F34" s="5"/>
      <c r="G34" s="5"/>
      <c r="H34" s="5"/>
      <c r="I34" s="5"/>
      <c r="J34" s="5"/>
      <c r="K34" s="5"/>
      <c r="L34" s="5"/>
      <c r="M34" s="5"/>
      <c r="N34" s="20"/>
      <c r="P34" s="19"/>
      <c r="S34" s="54"/>
    </row>
    <row r="35" spans="2:19" s="53" customFormat="1" ht="15.75" x14ac:dyDescent="0.25">
      <c r="B35" s="116"/>
      <c r="C35" s="114" t="s">
        <v>49</v>
      </c>
      <c r="D35" s="114"/>
      <c r="E35" s="195">
        <f>SUM(E31:E34)</f>
        <v>0.14609100000000003</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151</v>
      </c>
      <c r="D37" s="27" t="s">
        <v>61</v>
      </c>
      <c r="E37" s="203">
        <v>1.1863E-2</v>
      </c>
      <c r="F37" s="5"/>
      <c r="G37" s="5"/>
      <c r="H37" s="5"/>
      <c r="I37" s="5"/>
      <c r="J37" s="5"/>
      <c r="K37" s="5"/>
      <c r="L37" s="5"/>
      <c r="M37" s="5"/>
      <c r="N37" s="20"/>
      <c r="P37" s="19"/>
      <c r="S37" s="54"/>
    </row>
    <row r="38" spans="2:19" ht="15.75" x14ac:dyDescent="0.25">
      <c r="B38" s="98"/>
      <c r="C38" s="114" t="s">
        <v>42</v>
      </c>
      <c r="D38" s="114"/>
      <c r="E38" s="195">
        <v>1.1863E-2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5">
        <v>5.073200000000002E-2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f>E40+E38+E35+E29+E27+E25+E23</f>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53" t="s">
        <v>202</v>
      </c>
      <c r="C48" s="254"/>
      <c r="D48" s="254"/>
      <c r="E48" s="254"/>
      <c r="F48" s="254"/>
      <c r="G48" s="254"/>
      <c r="H48" s="254"/>
      <c r="I48" s="254"/>
      <c r="J48" s="254"/>
      <c r="K48" s="254"/>
      <c r="L48" s="254"/>
      <c r="M48" s="254"/>
      <c r="N48" s="254"/>
      <c r="O48" s="254"/>
      <c r="P48" s="254"/>
      <c r="Q48" s="254"/>
      <c r="R48" s="255"/>
      <c r="S48" s="54"/>
    </row>
    <row r="49" spans="2:19" x14ac:dyDescent="0.2">
      <c r="B49" s="256"/>
      <c r="C49" s="257"/>
      <c r="D49" s="257"/>
      <c r="E49" s="257"/>
      <c r="F49" s="257"/>
      <c r="G49" s="257"/>
      <c r="H49" s="257"/>
      <c r="I49" s="257"/>
      <c r="J49" s="257"/>
      <c r="K49" s="257"/>
      <c r="L49" s="257"/>
      <c r="M49" s="257"/>
      <c r="N49" s="257"/>
      <c r="O49" s="257"/>
      <c r="P49" s="257"/>
      <c r="Q49" s="257"/>
      <c r="R49" s="258"/>
      <c r="S49" s="54"/>
    </row>
    <row r="50" spans="2:19" x14ac:dyDescent="0.2">
      <c r="B50" s="256"/>
      <c r="C50" s="257"/>
      <c r="D50" s="257"/>
      <c r="E50" s="257"/>
      <c r="F50" s="257"/>
      <c r="G50" s="257"/>
      <c r="H50" s="257"/>
      <c r="I50" s="257"/>
      <c r="J50" s="257"/>
      <c r="K50" s="257"/>
      <c r="L50" s="257"/>
      <c r="M50" s="257"/>
      <c r="N50" s="257"/>
      <c r="O50" s="257"/>
      <c r="P50" s="257"/>
      <c r="Q50" s="257"/>
      <c r="R50" s="258"/>
      <c r="S50" s="54"/>
    </row>
    <row r="51" spans="2:19" x14ac:dyDescent="0.2">
      <c r="B51" s="256"/>
      <c r="C51" s="257"/>
      <c r="D51" s="257"/>
      <c r="E51" s="257"/>
      <c r="F51" s="257"/>
      <c r="G51" s="257"/>
      <c r="H51" s="257"/>
      <c r="I51" s="257"/>
      <c r="J51" s="257"/>
      <c r="K51" s="257"/>
      <c r="L51" s="257"/>
      <c r="M51" s="257"/>
      <c r="N51" s="257"/>
      <c r="O51" s="257"/>
      <c r="P51" s="257"/>
      <c r="Q51" s="257"/>
      <c r="R51" s="258"/>
      <c r="S51" s="54"/>
    </row>
    <row r="52" spans="2:19" x14ac:dyDescent="0.2">
      <c r="B52" s="256"/>
      <c r="C52" s="257"/>
      <c r="D52" s="257"/>
      <c r="E52" s="257"/>
      <c r="F52" s="257"/>
      <c r="G52" s="257"/>
      <c r="H52" s="257"/>
      <c r="I52" s="257"/>
      <c r="J52" s="257"/>
      <c r="K52" s="257"/>
      <c r="L52" s="257"/>
      <c r="M52" s="257"/>
      <c r="N52" s="257"/>
      <c r="O52" s="257"/>
      <c r="P52" s="257"/>
      <c r="Q52" s="257"/>
      <c r="R52" s="258"/>
      <c r="S52" s="54"/>
    </row>
    <row r="53" spans="2:19" x14ac:dyDescent="0.2">
      <c r="B53" s="256"/>
      <c r="C53" s="257"/>
      <c r="D53" s="257"/>
      <c r="E53" s="257"/>
      <c r="F53" s="257"/>
      <c r="G53" s="257"/>
      <c r="H53" s="257"/>
      <c r="I53" s="257"/>
      <c r="J53" s="257"/>
      <c r="K53" s="257"/>
      <c r="L53" s="257"/>
      <c r="M53" s="257"/>
      <c r="N53" s="257"/>
      <c r="O53" s="257"/>
      <c r="P53" s="257"/>
      <c r="Q53" s="257"/>
      <c r="R53" s="258"/>
      <c r="S53" s="54"/>
    </row>
    <row r="54" spans="2:19" ht="15.75" thickBot="1" x14ac:dyDescent="0.25">
      <c r="B54" s="259"/>
      <c r="C54" s="260"/>
      <c r="D54" s="260"/>
      <c r="E54" s="260"/>
      <c r="F54" s="260"/>
      <c r="G54" s="260"/>
      <c r="H54" s="260"/>
      <c r="I54" s="260"/>
      <c r="J54" s="260"/>
      <c r="K54" s="260"/>
      <c r="L54" s="260"/>
      <c r="M54" s="260"/>
      <c r="N54" s="260"/>
      <c r="O54" s="260"/>
      <c r="P54" s="260"/>
      <c r="Q54" s="260"/>
      <c r="R54" s="261"/>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1:E34">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3"/>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7" t="s">
        <v>178</v>
      </c>
      <c r="D3" s="247"/>
      <c r="E3" s="247"/>
      <c r="F3" s="247"/>
      <c r="G3" s="247"/>
      <c r="H3" s="247"/>
      <c r="I3" s="247"/>
      <c r="J3" s="247"/>
      <c r="K3" s="247"/>
      <c r="L3" s="247"/>
      <c r="M3" s="247"/>
      <c r="N3" s="248"/>
    </row>
    <row r="4" spans="2:18" ht="15.75" x14ac:dyDescent="0.25">
      <c r="B4" s="98"/>
      <c r="C4" s="72" t="s">
        <v>354</v>
      </c>
      <c r="D4" s="29"/>
      <c r="E4" s="29"/>
      <c r="F4" s="5"/>
      <c r="G4" s="5"/>
      <c r="H4" s="5"/>
      <c r="I4" s="5"/>
      <c r="J4" s="5"/>
      <c r="K4" s="5"/>
      <c r="L4" s="5"/>
      <c r="M4" s="5"/>
      <c r="N4" s="20"/>
    </row>
    <row r="5" spans="2:18" ht="20.25" customHeight="1" x14ac:dyDescent="0.2">
      <c r="B5" s="98"/>
      <c r="C5" s="235" t="s">
        <v>355</v>
      </c>
      <c r="D5" s="264" t="s">
        <v>338</v>
      </c>
      <c r="E5" s="264"/>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5" t="s">
        <v>43</v>
      </c>
      <c r="D7" s="245" t="s">
        <v>44</v>
      </c>
      <c r="E7" s="125" t="s">
        <v>45</v>
      </c>
      <c r="F7" s="5"/>
      <c r="G7" s="249" t="s">
        <v>46</v>
      </c>
      <c r="H7" s="249"/>
      <c r="I7" s="249"/>
      <c r="J7" s="249"/>
      <c r="K7" s="249"/>
      <c r="L7" s="249"/>
      <c r="M7" s="249"/>
      <c r="N7" s="250"/>
    </row>
    <row r="8" spans="2:18" x14ac:dyDescent="0.2">
      <c r="B8" s="98"/>
      <c r="C8" s="242" t="s">
        <v>149</v>
      </c>
      <c r="D8" s="208" t="s">
        <v>26</v>
      </c>
      <c r="E8" s="215">
        <v>1.6728E-2</v>
      </c>
      <c r="F8" s="5"/>
      <c r="G8" s="5" t="s">
        <v>47</v>
      </c>
      <c r="H8" s="31">
        <v>1</v>
      </c>
      <c r="I8" s="50">
        <f>H8/SUM($H$8:$H$10)</f>
        <v>1</v>
      </c>
      <c r="J8" s="5"/>
      <c r="K8" s="31"/>
      <c r="L8" s="5"/>
      <c r="M8" s="5"/>
      <c r="N8" s="20"/>
      <c r="R8" s="54"/>
    </row>
    <row r="9" spans="2:18" ht="15.75" customHeight="1" x14ac:dyDescent="0.2">
      <c r="B9" s="98"/>
      <c r="C9" s="196" t="s">
        <v>144</v>
      </c>
      <c r="D9" s="208" t="s">
        <v>122</v>
      </c>
      <c r="E9" s="216">
        <v>1.2369E-2</v>
      </c>
      <c r="F9" s="5"/>
      <c r="G9" s="5" t="s">
        <v>57</v>
      </c>
      <c r="H9" s="51">
        <v>0</v>
      </c>
      <c r="I9" s="50">
        <f t="shared" ref="I9:I10" si="0">H9/SUM($H$8:$H$10)</f>
        <v>0</v>
      </c>
      <c r="J9" s="5" t="s">
        <v>41</v>
      </c>
      <c r="K9" s="31">
        <f>E40</f>
        <v>0.417433</v>
      </c>
      <c r="L9" s="5"/>
      <c r="M9" s="5"/>
      <c r="N9" s="20"/>
      <c r="R9" s="54"/>
    </row>
    <row r="10" spans="2:18" x14ac:dyDescent="0.2">
      <c r="B10" s="98"/>
      <c r="C10" s="196" t="s">
        <v>166</v>
      </c>
      <c r="D10" s="208" t="s">
        <v>131</v>
      </c>
      <c r="E10" s="216">
        <v>8.2430000000000003E-3</v>
      </c>
      <c r="F10" s="31"/>
      <c r="G10" s="5" t="s">
        <v>48</v>
      </c>
      <c r="H10" s="51">
        <v>0</v>
      </c>
      <c r="I10" s="50">
        <f t="shared" si="0"/>
        <v>0</v>
      </c>
      <c r="J10" s="5" t="s">
        <v>103</v>
      </c>
      <c r="K10" s="31">
        <f>E24+E27+E29</f>
        <v>0.22753000000000004</v>
      </c>
      <c r="L10" s="5"/>
      <c r="M10" s="5"/>
      <c r="N10" s="20"/>
      <c r="R10" s="54"/>
    </row>
    <row r="11" spans="2:18" x14ac:dyDescent="0.2">
      <c r="B11" s="98"/>
      <c r="C11" s="196" t="s">
        <v>33</v>
      </c>
      <c r="D11" s="208" t="s">
        <v>117</v>
      </c>
      <c r="E11" s="216">
        <v>8.0979999999999993E-3</v>
      </c>
      <c r="F11" s="5"/>
      <c r="G11" s="5"/>
      <c r="H11" s="5"/>
      <c r="I11" s="5"/>
      <c r="J11" s="5" t="s">
        <v>20</v>
      </c>
      <c r="K11" s="31">
        <f>E50</f>
        <v>2.0917000000000002E-2</v>
      </c>
      <c r="L11" s="5"/>
      <c r="M11" s="5"/>
      <c r="N11" s="20"/>
      <c r="R11" s="54"/>
    </row>
    <row r="12" spans="2:18" ht="15.75" customHeight="1" x14ac:dyDescent="0.2">
      <c r="B12" s="98"/>
      <c r="C12" s="196" t="s">
        <v>204</v>
      </c>
      <c r="D12" s="208" t="s">
        <v>120</v>
      </c>
      <c r="E12" s="216">
        <v>7.8359999999999992E-3</v>
      </c>
      <c r="F12" s="31"/>
      <c r="G12" s="5"/>
      <c r="H12" s="31"/>
      <c r="I12" s="5"/>
      <c r="J12" s="5" t="s">
        <v>42</v>
      </c>
      <c r="K12" s="31">
        <f>E48</f>
        <v>0.33106199999999997</v>
      </c>
      <c r="L12" s="5"/>
      <c r="M12" s="5"/>
      <c r="N12" s="20"/>
      <c r="R12" s="54"/>
    </row>
    <row r="13" spans="2:18" x14ac:dyDescent="0.2">
      <c r="B13" s="98"/>
      <c r="C13" s="196" t="s">
        <v>164</v>
      </c>
      <c r="D13" s="208" t="s">
        <v>117</v>
      </c>
      <c r="E13" s="216">
        <v>7.1219999999999999E-3</v>
      </c>
      <c r="F13" s="31"/>
      <c r="G13" s="5"/>
      <c r="H13" s="5"/>
      <c r="I13" s="5"/>
      <c r="J13" s="5"/>
      <c r="K13" s="31"/>
      <c r="L13" s="5"/>
      <c r="M13" s="5"/>
      <c r="N13" s="20"/>
      <c r="R13" s="54"/>
    </row>
    <row r="14" spans="2:18" x14ac:dyDescent="0.2">
      <c r="B14" s="98"/>
      <c r="C14" s="196" t="s">
        <v>146</v>
      </c>
      <c r="D14" s="208" t="s">
        <v>120</v>
      </c>
      <c r="E14" s="216">
        <v>6.8459999999999997E-3</v>
      </c>
      <c r="F14" s="31"/>
      <c r="G14" s="5"/>
      <c r="H14" s="5"/>
      <c r="I14" s="5"/>
      <c r="J14" s="3" t="s">
        <v>231</v>
      </c>
      <c r="K14" s="232">
        <f>E32</f>
        <v>3.058E-3</v>
      </c>
      <c r="L14" s="5"/>
      <c r="M14" s="5"/>
      <c r="N14" s="20"/>
      <c r="R14" s="54"/>
    </row>
    <row r="15" spans="2:18" x14ac:dyDescent="0.2">
      <c r="B15" s="98"/>
      <c r="C15" s="196" t="s">
        <v>115</v>
      </c>
      <c r="D15" s="208" t="s">
        <v>4</v>
      </c>
      <c r="E15" s="216">
        <v>6.5370000000000003E-3</v>
      </c>
      <c r="F15" s="5"/>
      <c r="G15" s="5"/>
      <c r="H15" s="5"/>
      <c r="I15" s="5"/>
      <c r="L15" s="5"/>
      <c r="M15" s="5"/>
      <c r="N15" s="20"/>
      <c r="R15" s="54"/>
    </row>
    <row r="16" spans="2:18" x14ac:dyDescent="0.2">
      <c r="B16" s="98"/>
      <c r="C16" s="196" t="s">
        <v>29</v>
      </c>
      <c r="D16" s="208" t="s">
        <v>3</v>
      </c>
      <c r="E16" s="216">
        <v>5.6249999999999998E-3</v>
      </c>
      <c r="F16" s="5"/>
      <c r="G16" s="5"/>
      <c r="H16" s="5"/>
      <c r="I16" s="5"/>
      <c r="J16" s="5"/>
      <c r="K16" s="5"/>
      <c r="L16" s="5"/>
      <c r="M16" s="5"/>
      <c r="N16" s="20"/>
      <c r="R16" s="54"/>
    </row>
    <row r="17" spans="2:22" x14ac:dyDescent="0.2">
      <c r="B17" s="98"/>
      <c r="C17" s="196" t="s">
        <v>32</v>
      </c>
      <c r="D17" s="208" t="s">
        <v>3</v>
      </c>
      <c r="E17" s="216">
        <v>4.8209999999999998E-3</v>
      </c>
      <c r="F17" s="5"/>
      <c r="G17" s="5"/>
      <c r="H17" s="5"/>
      <c r="I17" s="5"/>
      <c r="J17" s="5"/>
      <c r="K17" s="5"/>
      <c r="L17" s="5"/>
      <c r="M17" s="5"/>
      <c r="N17" s="20"/>
      <c r="R17" s="54"/>
    </row>
    <row r="18" spans="2:22" x14ac:dyDescent="0.2">
      <c r="B18" s="98"/>
      <c r="C18" s="196" t="s">
        <v>145</v>
      </c>
      <c r="D18" s="208" t="s">
        <v>3</v>
      </c>
      <c r="E18" s="216">
        <v>2.7100000000000002E-3</v>
      </c>
      <c r="F18" s="5"/>
      <c r="G18" s="5"/>
      <c r="H18" s="5"/>
      <c r="I18" s="5"/>
      <c r="J18" s="5"/>
      <c r="K18" s="5"/>
      <c r="L18" s="5"/>
      <c r="M18" s="5"/>
      <c r="N18" s="20"/>
      <c r="R18" s="54"/>
    </row>
    <row r="19" spans="2:22" x14ac:dyDescent="0.2">
      <c r="B19" s="98"/>
      <c r="C19" s="196" t="s">
        <v>36</v>
      </c>
      <c r="D19" s="208" t="s">
        <v>3</v>
      </c>
      <c r="E19" s="216">
        <v>2.5660000000000001E-3</v>
      </c>
      <c r="F19" s="5"/>
      <c r="G19" s="5"/>
      <c r="H19" s="5"/>
      <c r="I19" s="5"/>
      <c r="J19" s="5"/>
      <c r="K19" s="5"/>
      <c r="L19" s="5"/>
      <c r="M19" s="5"/>
      <c r="N19" s="20"/>
      <c r="R19" s="54"/>
    </row>
    <row r="20" spans="2:22" ht="15.75" customHeight="1" x14ac:dyDescent="0.25">
      <c r="B20" s="98"/>
      <c r="C20" s="196"/>
      <c r="D20" s="208"/>
      <c r="E20" s="216"/>
      <c r="F20" s="5"/>
      <c r="G20" s="267" t="s">
        <v>107</v>
      </c>
      <c r="H20" s="268"/>
      <c r="I20" s="268"/>
      <c r="J20" s="268"/>
      <c r="K20" s="268"/>
      <c r="L20" s="189">
        <v>3.24</v>
      </c>
      <c r="M20" s="112"/>
      <c r="N20" s="113"/>
      <c r="R20" s="54"/>
    </row>
    <row r="21" spans="2:22" x14ac:dyDescent="0.2">
      <c r="B21" s="98"/>
      <c r="C21" s="196"/>
      <c r="D21" s="208"/>
      <c r="E21" s="216"/>
      <c r="F21" s="5"/>
      <c r="G21" s="5"/>
      <c r="H21" s="5"/>
      <c r="I21" s="5"/>
      <c r="J21" s="5"/>
      <c r="K21" s="5"/>
      <c r="L21" s="5"/>
      <c r="M21" s="5"/>
      <c r="N21" s="20"/>
      <c r="R21" s="54"/>
    </row>
    <row r="22" spans="2:22" x14ac:dyDescent="0.2">
      <c r="B22" s="98"/>
      <c r="C22" s="196"/>
      <c r="D22" s="208"/>
      <c r="E22" s="216"/>
      <c r="F22" s="5"/>
      <c r="G22" s="31"/>
      <c r="H22" s="31"/>
      <c r="I22" s="31"/>
      <c r="J22" s="5"/>
      <c r="K22" s="31"/>
      <c r="L22" s="5"/>
      <c r="M22" s="5"/>
      <c r="N22" s="20"/>
      <c r="R22" s="54"/>
    </row>
    <row r="23" spans="2:22" ht="15.75" customHeight="1" x14ac:dyDescent="0.2">
      <c r="B23" s="98"/>
      <c r="C23" s="225"/>
      <c r="D23" s="4"/>
      <c r="E23" s="51"/>
      <c r="F23" s="5"/>
      <c r="G23" s="249" t="s">
        <v>50</v>
      </c>
      <c r="H23" s="249"/>
      <c r="I23" s="249"/>
      <c r="J23" s="249"/>
      <c r="K23" s="249"/>
      <c r="L23" s="249"/>
      <c r="M23" s="249"/>
      <c r="N23" s="250"/>
      <c r="R23" s="54"/>
    </row>
    <row r="24" spans="2:22" ht="15.75" x14ac:dyDescent="0.2">
      <c r="B24" s="98"/>
      <c r="C24" s="243" t="s">
        <v>56</v>
      </c>
      <c r="D24" s="123"/>
      <c r="E24" s="244">
        <f>SUM(E8:E22)</f>
        <v>8.9501000000000025E-2</v>
      </c>
      <c r="F24" s="5"/>
      <c r="G24" s="5"/>
      <c r="H24" s="5"/>
      <c r="I24" s="5"/>
      <c r="J24" s="5"/>
      <c r="K24" s="5"/>
      <c r="L24" s="5"/>
      <c r="M24" s="5"/>
      <c r="N24" s="20"/>
      <c r="R24" s="54"/>
    </row>
    <row r="25" spans="2:22" x14ac:dyDescent="0.2">
      <c r="B25" s="98"/>
      <c r="C25" s="225"/>
      <c r="D25" s="4"/>
      <c r="E25" s="51"/>
      <c r="F25" s="5"/>
      <c r="G25" s="5"/>
      <c r="H25" s="5"/>
      <c r="I25" s="5"/>
      <c r="J25" s="5"/>
      <c r="K25" s="5"/>
      <c r="L25" s="5"/>
      <c r="M25" s="5"/>
      <c r="N25" s="20"/>
      <c r="R25" s="54"/>
    </row>
    <row r="26" spans="2:22" x14ac:dyDescent="0.2">
      <c r="B26" s="98"/>
      <c r="C26" s="225" t="s">
        <v>192</v>
      </c>
      <c r="D26" s="4"/>
      <c r="E26" s="227">
        <v>0.13802900000000001</v>
      </c>
      <c r="F26" s="5"/>
      <c r="G26" s="5"/>
      <c r="H26" s="5"/>
      <c r="I26" s="5"/>
      <c r="J26" s="5"/>
      <c r="K26" s="5"/>
      <c r="L26" s="5"/>
      <c r="M26" s="5"/>
      <c r="N26" s="20"/>
      <c r="R26" s="54"/>
    </row>
    <row r="27" spans="2:22" ht="15.75" x14ac:dyDescent="0.2">
      <c r="B27" s="98"/>
      <c r="C27" s="134" t="s">
        <v>87</v>
      </c>
      <c r="D27" s="114"/>
      <c r="E27" s="200">
        <v>0.13802900000000001</v>
      </c>
      <c r="F27" s="5"/>
      <c r="G27" s="5"/>
      <c r="H27" s="5"/>
      <c r="I27" s="5"/>
      <c r="J27" s="5"/>
      <c r="K27" s="5"/>
      <c r="L27" s="5"/>
      <c r="M27" s="5"/>
      <c r="N27" s="20"/>
      <c r="R27" s="54"/>
    </row>
    <row r="28" spans="2:22" s="53" customFormat="1" ht="15.75" x14ac:dyDescent="0.2">
      <c r="B28" s="116"/>
      <c r="C28" s="236"/>
      <c r="D28" s="119"/>
      <c r="E28" s="237"/>
      <c r="F28" s="42"/>
      <c r="G28" s="42"/>
      <c r="H28" s="42"/>
      <c r="I28" s="42"/>
      <c r="J28" s="42"/>
      <c r="K28" s="42"/>
      <c r="L28" s="42"/>
      <c r="M28" s="42"/>
      <c r="N28" s="117"/>
      <c r="R28" s="118"/>
    </row>
    <row r="29" spans="2:22" ht="15.75" x14ac:dyDescent="0.2">
      <c r="B29" s="98"/>
      <c r="C29" s="134" t="s">
        <v>68</v>
      </c>
      <c r="D29" s="114"/>
      <c r="E29" s="228">
        <v>0</v>
      </c>
      <c r="F29" s="5"/>
      <c r="G29" s="5"/>
      <c r="H29" s="5"/>
      <c r="I29" s="5"/>
      <c r="J29" s="5"/>
      <c r="K29" s="5"/>
      <c r="L29" s="5"/>
      <c r="M29" s="5"/>
      <c r="N29" s="20"/>
      <c r="R29" s="54"/>
      <c r="U29" s="3" t="s">
        <v>11</v>
      </c>
      <c r="V29" s="3">
        <v>1.1159000000000001E-2</v>
      </c>
    </row>
    <row r="30" spans="2:22" x14ac:dyDescent="0.2">
      <c r="B30" s="98"/>
      <c r="C30" s="107"/>
      <c r="D30" s="38"/>
      <c r="E30" s="241"/>
      <c r="F30" s="5"/>
      <c r="G30" s="5"/>
      <c r="H30" s="5"/>
      <c r="I30" s="5"/>
      <c r="J30" s="5"/>
      <c r="K30" s="5"/>
      <c r="L30" s="5"/>
      <c r="M30" s="5"/>
      <c r="N30" s="20"/>
      <c r="R30" s="54"/>
      <c r="U30" s="3" t="s">
        <v>18</v>
      </c>
      <c r="V30" s="3">
        <v>1.0543E-2</v>
      </c>
    </row>
    <row r="31" spans="2:22" x14ac:dyDescent="0.2">
      <c r="B31" s="98"/>
      <c r="C31" s="107" t="s">
        <v>231</v>
      </c>
      <c r="D31" s="38"/>
      <c r="E31" s="227">
        <v>3.058E-3</v>
      </c>
      <c r="F31" s="5"/>
      <c r="G31" s="5"/>
      <c r="H31" s="5"/>
      <c r="I31" s="5"/>
      <c r="J31" s="5"/>
      <c r="K31" s="5"/>
      <c r="L31" s="5"/>
      <c r="M31" s="5"/>
      <c r="N31" s="20"/>
      <c r="R31" s="54"/>
    </row>
    <row r="32" spans="2:22" ht="15.75" x14ac:dyDescent="0.2">
      <c r="B32" s="98"/>
      <c r="C32" s="134" t="s">
        <v>231</v>
      </c>
      <c r="D32" s="114"/>
      <c r="E32" s="200">
        <v>3.058E-3</v>
      </c>
      <c r="F32" s="5"/>
      <c r="G32" s="5"/>
      <c r="H32" s="5"/>
      <c r="I32" s="5"/>
      <c r="J32" s="5"/>
      <c r="K32" s="5"/>
      <c r="L32" s="5"/>
      <c r="M32" s="5"/>
      <c r="N32" s="20"/>
      <c r="R32" s="54"/>
    </row>
    <row r="33" spans="1:18" x14ac:dyDescent="0.2">
      <c r="B33" s="98"/>
      <c r="C33" s="224" t="s">
        <v>86</v>
      </c>
      <c r="D33" s="212" t="s">
        <v>63</v>
      </c>
      <c r="E33" s="51">
        <v>8.2755999999999996E-2</v>
      </c>
      <c r="F33" s="5"/>
      <c r="G33" s="5"/>
      <c r="H33" s="5"/>
      <c r="I33" s="5"/>
      <c r="J33" s="5"/>
      <c r="K33" s="5"/>
      <c r="L33" s="5"/>
      <c r="M33" s="5"/>
      <c r="N33" s="20"/>
      <c r="R33" s="54"/>
    </row>
    <row r="34" spans="1:18" x14ac:dyDescent="0.2">
      <c r="B34" s="98"/>
      <c r="C34" s="107" t="s">
        <v>203</v>
      </c>
      <c r="D34" s="212" t="s">
        <v>63</v>
      </c>
      <c r="E34" s="51">
        <v>8.3341999999999999E-2</v>
      </c>
      <c r="F34" s="5"/>
      <c r="G34" s="5"/>
      <c r="H34" s="5"/>
      <c r="I34" s="5"/>
      <c r="J34" s="5"/>
      <c r="K34" s="5"/>
      <c r="L34" s="5"/>
      <c r="M34" s="5"/>
      <c r="N34" s="20"/>
      <c r="R34" s="54"/>
    </row>
    <row r="35" spans="1:18" x14ac:dyDescent="0.2">
      <c r="B35" s="98"/>
      <c r="C35" s="107" t="s">
        <v>81</v>
      </c>
      <c r="D35" s="212" t="s">
        <v>63</v>
      </c>
      <c r="E35" s="238">
        <v>8.3154000000000006E-2</v>
      </c>
      <c r="F35" s="5"/>
      <c r="G35" s="5"/>
      <c r="H35" s="5"/>
      <c r="I35" s="5"/>
      <c r="J35" s="5"/>
      <c r="K35" s="5"/>
      <c r="L35" s="5"/>
      <c r="M35" s="5"/>
      <c r="N35" s="20"/>
      <c r="R35" s="54"/>
    </row>
    <row r="36" spans="1:18" x14ac:dyDescent="0.2">
      <c r="B36" s="98"/>
      <c r="C36" s="224" t="s">
        <v>29</v>
      </c>
      <c r="D36" s="212" t="s">
        <v>63</v>
      </c>
      <c r="E36" s="51">
        <v>8.2877000000000006E-2</v>
      </c>
      <c r="F36" s="5"/>
      <c r="G36" s="5"/>
      <c r="H36" s="5"/>
      <c r="I36" s="5"/>
      <c r="J36" s="5"/>
      <c r="K36" s="5"/>
      <c r="L36" s="5"/>
      <c r="M36" s="5"/>
      <c r="N36" s="20"/>
      <c r="R36" s="54"/>
    </row>
    <row r="37" spans="1:18" x14ac:dyDescent="0.2">
      <c r="B37" s="98"/>
      <c r="C37" s="224" t="s">
        <v>79</v>
      </c>
      <c r="D37" s="212" t="s">
        <v>63</v>
      </c>
      <c r="E37" s="51">
        <v>8.2798999999999998E-2</v>
      </c>
      <c r="F37" s="5"/>
      <c r="G37" s="5"/>
      <c r="H37" s="5"/>
      <c r="I37" s="5"/>
      <c r="J37" s="5"/>
      <c r="K37" s="5"/>
      <c r="L37" s="5"/>
      <c r="M37" s="5"/>
      <c r="N37" s="20"/>
      <c r="R37" s="54"/>
    </row>
    <row r="38" spans="1:18" x14ac:dyDescent="0.2">
      <c r="B38" s="98"/>
      <c r="C38" s="224" t="s">
        <v>74</v>
      </c>
      <c r="D38" s="212" t="s">
        <v>63</v>
      </c>
      <c r="E38" s="51">
        <v>2.49E-3</v>
      </c>
      <c r="F38" s="5"/>
      <c r="G38" s="5"/>
      <c r="H38" s="5"/>
      <c r="I38" s="5"/>
      <c r="J38" s="5"/>
      <c r="K38" s="5"/>
      <c r="L38" s="5"/>
      <c r="M38" s="5"/>
      <c r="N38" s="20"/>
      <c r="R38" s="54"/>
    </row>
    <row r="39" spans="1:18" x14ac:dyDescent="0.2">
      <c r="B39" s="98"/>
      <c r="C39" s="224" t="s">
        <v>93</v>
      </c>
      <c r="D39" s="212" t="s">
        <v>63</v>
      </c>
      <c r="E39" s="241">
        <v>1.5E-5</v>
      </c>
      <c r="F39" s="5"/>
      <c r="G39" s="5"/>
      <c r="H39" s="5"/>
      <c r="I39" s="5"/>
      <c r="J39" s="5"/>
      <c r="K39" s="5"/>
      <c r="L39" s="5"/>
      <c r="M39" s="5"/>
      <c r="N39" s="20"/>
      <c r="R39" s="54"/>
    </row>
    <row r="40" spans="1:18" ht="15.75" x14ac:dyDescent="0.2">
      <c r="B40" s="98"/>
      <c r="C40" s="134" t="s">
        <v>49</v>
      </c>
      <c r="D40" s="114"/>
      <c r="E40" s="228">
        <v>0.417433</v>
      </c>
      <c r="F40" s="5"/>
      <c r="G40" s="5"/>
      <c r="H40" s="5"/>
      <c r="I40" s="5"/>
      <c r="J40" s="5"/>
      <c r="K40" s="5"/>
      <c r="L40" s="5"/>
      <c r="M40" s="5"/>
      <c r="N40" s="20"/>
      <c r="R40" s="54"/>
    </row>
    <row r="41" spans="1:18" x14ac:dyDescent="0.2">
      <c r="B41" s="98"/>
      <c r="C41" s="107" t="s">
        <v>167</v>
      </c>
      <c r="D41" s="38" t="s">
        <v>61</v>
      </c>
      <c r="E41" s="227">
        <v>0.12485</v>
      </c>
      <c r="F41" s="5"/>
      <c r="G41" s="5"/>
      <c r="H41" s="5"/>
      <c r="I41" s="5"/>
      <c r="J41" s="5"/>
      <c r="K41" s="5"/>
      <c r="L41" s="5"/>
      <c r="M41" s="5"/>
      <c r="N41" s="20"/>
      <c r="R41" s="54"/>
    </row>
    <row r="42" spans="1:18" x14ac:dyDescent="0.2">
      <c r="B42" s="98"/>
      <c r="C42" s="107" t="s">
        <v>69</v>
      </c>
      <c r="D42" s="38" t="s">
        <v>61</v>
      </c>
      <c r="E42" s="227">
        <v>4.3203999999999999E-2</v>
      </c>
      <c r="F42" s="5"/>
      <c r="G42" s="5"/>
      <c r="H42" s="5"/>
      <c r="I42" s="5"/>
      <c r="J42" s="5"/>
      <c r="K42" s="5"/>
      <c r="L42" s="5"/>
      <c r="M42" s="5"/>
      <c r="N42" s="20"/>
      <c r="R42" s="54"/>
    </row>
    <row r="43" spans="1:18" x14ac:dyDescent="0.2">
      <c r="B43" s="98"/>
      <c r="C43" s="107" t="s">
        <v>112</v>
      </c>
      <c r="D43" s="38" t="s">
        <v>61</v>
      </c>
      <c r="E43" s="227">
        <v>4.2742000000000002E-2</v>
      </c>
      <c r="F43" s="5"/>
      <c r="G43" s="5"/>
      <c r="H43" s="5"/>
      <c r="I43" s="5"/>
      <c r="J43" s="5"/>
      <c r="K43" s="5"/>
      <c r="L43" s="5"/>
      <c r="M43" s="5"/>
      <c r="N43" s="20"/>
      <c r="R43" s="54"/>
    </row>
    <row r="44" spans="1:18" x14ac:dyDescent="0.2">
      <c r="B44" s="98"/>
      <c r="C44" s="107" t="s">
        <v>151</v>
      </c>
      <c r="D44" s="38" t="s">
        <v>61</v>
      </c>
      <c r="E44" s="227">
        <v>4.1972000000000002E-2</v>
      </c>
      <c r="F44" s="5"/>
      <c r="G44" s="48"/>
      <c r="H44" s="5"/>
      <c r="I44" s="5"/>
      <c r="J44" s="5"/>
      <c r="K44" s="5"/>
      <c r="L44" s="5"/>
      <c r="M44" s="5"/>
      <c r="N44" s="20"/>
      <c r="R44" s="54"/>
    </row>
    <row r="45" spans="1:18" x14ac:dyDescent="0.2">
      <c r="B45" s="98"/>
      <c r="C45" s="107" t="s">
        <v>78</v>
      </c>
      <c r="D45" s="38" t="s">
        <v>61</v>
      </c>
      <c r="E45" s="227">
        <v>2.8060000000000002E-2</v>
      </c>
      <c r="F45" s="5"/>
      <c r="G45" s="5"/>
      <c r="H45" s="5"/>
      <c r="I45" s="5"/>
      <c r="J45" s="5"/>
      <c r="K45" s="5"/>
      <c r="L45" s="5"/>
      <c r="M45" s="5"/>
      <c r="N45" s="20"/>
      <c r="R45" s="54"/>
    </row>
    <row r="46" spans="1:18" x14ac:dyDescent="0.2">
      <c r="A46" s="5"/>
      <c r="B46" s="98"/>
      <c r="C46" s="107" t="s">
        <v>76</v>
      </c>
      <c r="D46" s="38" t="s">
        <v>61</v>
      </c>
      <c r="E46" s="227">
        <v>2.8041E-2</v>
      </c>
      <c r="F46" s="5"/>
      <c r="J46" s="5"/>
      <c r="K46" s="5"/>
      <c r="L46" s="5"/>
      <c r="M46" s="5"/>
      <c r="N46" s="20"/>
      <c r="O46" s="5"/>
      <c r="R46" s="54"/>
    </row>
    <row r="47" spans="1:18" x14ac:dyDescent="0.2">
      <c r="A47" s="5"/>
      <c r="B47" s="98"/>
      <c r="C47" s="107" t="s">
        <v>111</v>
      </c>
      <c r="D47" s="38" t="s">
        <v>61</v>
      </c>
      <c r="E47" s="227">
        <v>2.2193000000000001E-2</v>
      </c>
      <c r="F47" s="5"/>
      <c r="J47" s="5"/>
      <c r="K47" s="5"/>
      <c r="L47" s="5"/>
      <c r="M47" s="5"/>
      <c r="N47" s="20"/>
      <c r="O47" s="5"/>
      <c r="R47" s="54"/>
    </row>
    <row r="48" spans="1:18" ht="15.75" x14ac:dyDescent="0.2">
      <c r="A48" s="5"/>
      <c r="B48" s="98"/>
      <c r="C48" s="134" t="s">
        <v>42</v>
      </c>
      <c r="D48" s="114"/>
      <c r="E48" s="228">
        <v>0.33106199999999997</v>
      </c>
      <c r="F48" s="5"/>
      <c r="G48" s="5"/>
      <c r="H48" s="5"/>
      <c r="I48" s="5"/>
      <c r="J48" s="5"/>
      <c r="K48" s="5"/>
      <c r="L48" s="5"/>
      <c r="M48" s="5"/>
      <c r="N48" s="20"/>
      <c r="O48" s="5"/>
      <c r="R48" s="54"/>
    </row>
    <row r="49" spans="1:18" x14ac:dyDescent="0.2">
      <c r="A49" s="5"/>
      <c r="B49" s="98"/>
      <c r="C49" s="107"/>
      <c r="D49" s="38"/>
      <c r="E49" s="229"/>
      <c r="F49" s="5"/>
      <c r="G49" s="5"/>
      <c r="H49" s="5"/>
      <c r="I49" s="5"/>
      <c r="J49" s="5"/>
      <c r="K49" s="5"/>
      <c r="L49" s="5"/>
      <c r="M49" s="5"/>
      <c r="N49" s="20"/>
      <c r="O49" s="5"/>
      <c r="R49" s="54"/>
    </row>
    <row r="50" spans="1:18" ht="15.75" x14ac:dyDescent="0.2">
      <c r="A50" s="5"/>
      <c r="B50" s="98"/>
      <c r="C50" s="134" t="s">
        <v>20</v>
      </c>
      <c r="D50" s="114"/>
      <c r="E50" s="228">
        <v>2.0917000000000002E-2</v>
      </c>
      <c r="F50" s="5"/>
      <c r="G50" s="5"/>
      <c r="H50" s="5"/>
      <c r="I50" s="5"/>
      <c r="J50" s="5"/>
      <c r="K50" s="5"/>
      <c r="L50" s="5"/>
      <c r="M50" s="5"/>
      <c r="N50" s="20"/>
      <c r="O50" s="5"/>
      <c r="R50" s="54"/>
    </row>
    <row r="51" spans="1:18" x14ac:dyDescent="0.2">
      <c r="A51" s="5"/>
      <c r="B51" s="98"/>
      <c r="C51" s="225"/>
      <c r="D51" s="4"/>
      <c r="E51" s="230"/>
      <c r="F51" s="5"/>
      <c r="G51" s="5"/>
      <c r="H51" s="5"/>
      <c r="I51" s="5"/>
      <c r="J51" s="5"/>
      <c r="K51" s="5"/>
      <c r="L51" s="5"/>
      <c r="M51" s="5"/>
      <c r="N51" s="20"/>
      <c r="O51" s="5"/>
      <c r="R51" s="54"/>
    </row>
    <row r="52" spans="1:18" ht="15.75" x14ac:dyDescent="0.2">
      <c r="A52" s="5"/>
      <c r="B52" s="98"/>
      <c r="C52" s="226" t="s">
        <v>21</v>
      </c>
      <c r="D52" s="121"/>
      <c r="E52" s="231">
        <f>E50+E48+E40+E32+E29+E27+E24</f>
        <v>1</v>
      </c>
      <c r="F52" s="5"/>
      <c r="G52" s="5"/>
      <c r="H52" s="5"/>
      <c r="I52" s="5"/>
      <c r="J52" s="5"/>
      <c r="K52" s="5"/>
      <c r="L52" s="5"/>
      <c r="M52" s="5"/>
      <c r="N52" s="20"/>
      <c r="O52" s="5"/>
      <c r="R52" s="54"/>
    </row>
    <row r="53" spans="1:18" x14ac:dyDescent="0.2">
      <c r="A53" s="5"/>
      <c r="B53" s="98"/>
      <c r="F53" s="5"/>
      <c r="G53" s="5"/>
      <c r="H53" s="5"/>
      <c r="I53" s="5"/>
      <c r="J53" s="5"/>
      <c r="K53" s="5"/>
      <c r="L53" s="5"/>
      <c r="M53" s="5"/>
      <c r="N53" s="20"/>
      <c r="O53" s="5"/>
      <c r="R53" s="54"/>
    </row>
    <row r="54" spans="1:18" ht="15.75" thickBot="1" x14ac:dyDescent="0.25">
      <c r="A54" s="5"/>
      <c r="B54" s="101"/>
      <c r="C54" s="59"/>
      <c r="D54" s="59"/>
      <c r="E54" s="60"/>
      <c r="F54" s="49"/>
      <c r="G54" s="49"/>
      <c r="H54" s="49"/>
      <c r="I54" s="49"/>
      <c r="J54" s="49"/>
      <c r="K54" s="49"/>
      <c r="L54" s="49"/>
      <c r="M54" s="49"/>
      <c r="N54" s="124"/>
      <c r="O54" s="5"/>
      <c r="R54" s="54"/>
    </row>
    <row r="55" spans="1:18" ht="15.75" thickBot="1" x14ac:dyDescent="0.25">
      <c r="R55" s="54"/>
    </row>
    <row r="56" spans="1:18" ht="15" customHeight="1" x14ac:dyDescent="0.2">
      <c r="B56" s="253" t="s">
        <v>202</v>
      </c>
      <c r="C56" s="254"/>
      <c r="D56" s="254"/>
      <c r="E56" s="254"/>
      <c r="F56" s="254"/>
      <c r="G56" s="254"/>
      <c r="H56" s="254"/>
      <c r="I56" s="254"/>
      <c r="J56" s="254"/>
      <c r="K56" s="254"/>
      <c r="L56" s="254"/>
      <c r="M56" s="254"/>
      <c r="N56" s="254"/>
      <c r="O56" s="254"/>
      <c r="P56" s="254"/>
      <c r="Q56" s="254"/>
      <c r="R56" s="255"/>
    </row>
    <row r="57" spans="1:18" x14ac:dyDescent="0.2">
      <c r="B57" s="256"/>
      <c r="C57" s="257"/>
      <c r="D57" s="257"/>
      <c r="E57" s="257"/>
      <c r="F57" s="257"/>
      <c r="G57" s="257"/>
      <c r="H57" s="257"/>
      <c r="I57" s="257"/>
      <c r="J57" s="257"/>
      <c r="K57" s="257"/>
      <c r="L57" s="257"/>
      <c r="M57" s="257"/>
      <c r="N57" s="257"/>
      <c r="O57" s="257"/>
      <c r="P57" s="257"/>
      <c r="Q57" s="257"/>
      <c r="R57" s="258"/>
    </row>
    <row r="58" spans="1:18" x14ac:dyDescent="0.2">
      <c r="B58" s="256"/>
      <c r="C58" s="257"/>
      <c r="D58" s="257"/>
      <c r="E58" s="257"/>
      <c r="F58" s="257"/>
      <c r="G58" s="257"/>
      <c r="H58" s="257"/>
      <c r="I58" s="257"/>
      <c r="J58" s="257"/>
      <c r="K58" s="257"/>
      <c r="L58" s="257"/>
      <c r="M58" s="257"/>
      <c r="N58" s="257"/>
      <c r="O58" s="257"/>
      <c r="P58" s="257"/>
      <c r="Q58" s="257"/>
      <c r="R58" s="258"/>
    </row>
    <row r="59" spans="1:18" x14ac:dyDescent="0.2">
      <c r="B59" s="256"/>
      <c r="C59" s="257"/>
      <c r="D59" s="257"/>
      <c r="E59" s="257"/>
      <c r="F59" s="257"/>
      <c r="G59" s="257"/>
      <c r="H59" s="257"/>
      <c r="I59" s="257"/>
      <c r="J59" s="257"/>
      <c r="K59" s="257"/>
      <c r="L59" s="257"/>
      <c r="M59" s="257"/>
      <c r="N59" s="257"/>
      <c r="O59" s="257"/>
      <c r="P59" s="257"/>
      <c r="Q59" s="257"/>
      <c r="R59" s="258"/>
    </row>
    <row r="60" spans="1:18" x14ac:dyDescent="0.2">
      <c r="B60" s="256"/>
      <c r="C60" s="257"/>
      <c r="D60" s="257"/>
      <c r="E60" s="257"/>
      <c r="F60" s="257"/>
      <c r="G60" s="257"/>
      <c r="H60" s="257"/>
      <c r="I60" s="257"/>
      <c r="J60" s="257"/>
      <c r="K60" s="257"/>
      <c r="L60" s="257"/>
      <c r="M60" s="257"/>
      <c r="N60" s="257"/>
      <c r="O60" s="257"/>
      <c r="P60" s="257"/>
      <c r="Q60" s="257"/>
      <c r="R60" s="258"/>
    </row>
    <row r="61" spans="1:18" x14ac:dyDescent="0.2">
      <c r="B61" s="256"/>
      <c r="C61" s="257"/>
      <c r="D61" s="257"/>
      <c r="E61" s="257"/>
      <c r="F61" s="257"/>
      <c r="G61" s="257"/>
      <c r="H61" s="257"/>
      <c r="I61" s="257"/>
      <c r="J61" s="257"/>
      <c r="K61" s="257"/>
      <c r="L61" s="257"/>
      <c r="M61" s="257"/>
      <c r="N61" s="257"/>
      <c r="O61" s="257"/>
      <c r="P61" s="257"/>
      <c r="Q61" s="257"/>
      <c r="R61" s="258"/>
    </row>
    <row r="62" spans="1:18" ht="15.75" thickBot="1" x14ac:dyDescent="0.25">
      <c r="B62" s="259"/>
      <c r="C62" s="260"/>
      <c r="D62" s="260"/>
      <c r="E62" s="260"/>
      <c r="F62" s="260"/>
      <c r="G62" s="260"/>
      <c r="H62" s="260"/>
      <c r="I62" s="260"/>
      <c r="J62" s="260"/>
      <c r="K62" s="260"/>
      <c r="L62" s="260"/>
      <c r="M62" s="260"/>
      <c r="N62" s="260"/>
      <c r="O62" s="260"/>
      <c r="P62" s="260"/>
      <c r="Q62" s="260"/>
      <c r="R62" s="261"/>
    </row>
    <row r="63" spans="1:18" ht="15.75" thickBot="1" x14ac:dyDescent="0.25">
      <c r="R63" s="54"/>
    </row>
    <row r="64" spans="1:18" x14ac:dyDescent="0.2">
      <c r="B64" s="269" t="s">
        <v>237</v>
      </c>
      <c r="C64" s="270"/>
      <c r="D64" s="270"/>
      <c r="E64" s="270"/>
      <c r="F64" s="270"/>
      <c r="G64" s="270"/>
      <c r="H64" s="270"/>
      <c r="I64" s="270"/>
      <c r="J64" s="270"/>
      <c r="K64" s="270"/>
      <c r="L64" s="270"/>
      <c r="M64" s="270"/>
      <c r="N64" s="271"/>
      <c r="R64" s="54"/>
    </row>
    <row r="65" spans="2:18" x14ac:dyDescent="0.2">
      <c r="B65" s="272"/>
      <c r="C65" s="273"/>
      <c r="D65" s="273"/>
      <c r="E65" s="273"/>
      <c r="F65" s="273"/>
      <c r="G65" s="273"/>
      <c r="H65" s="273"/>
      <c r="I65" s="273"/>
      <c r="J65" s="273"/>
      <c r="K65" s="273"/>
      <c r="L65" s="273"/>
      <c r="M65" s="273"/>
      <c r="N65" s="274"/>
      <c r="R65" s="54"/>
    </row>
    <row r="66" spans="2:18" x14ac:dyDescent="0.2">
      <c r="B66" s="272"/>
      <c r="C66" s="273"/>
      <c r="D66" s="273"/>
      <c r="E66" s="273"/>
      <c r="F66" s="273"/>
      <c r="G66" s="273"/>
      <c r="H66" s="273"/>
      <c r="I66" s="273"/>
      <c r="J66" s="273"/>
      <c r="K66" s="273"/>
      <c r="L66" s="273"/>
      <c r="M66" s="273"/>
      <c r="N66" s="274"/>
      <c r="R66" s="54"/>
    </row>
    <row r="67" spans="2:18" ht="15.75" thickBot="1" x14ac:dyDescent="0.25">
      <c r="B67" s="275"/>
      <c r="C67" s="276"/>
      <c r="D67" s="276"/>
      <c r="E67" s="276"/>
      <c r="F67" s="276"/>
      <c r="G67" s="276"/>
      <c r="H67" s="276"/>
      <c r="I67" s="276"/>
      <c r="J67" s="276"/>
      <c r="K67" s="276"/>
      <c r="L67" s="276"/>
      <c r="M67" s="276"/>
      <c r="N67" s="277"/>
      <c r="R67" s="54"/>
    </row>
    <row r="68" spans="2:18" x14ac:dyDescent="0.2">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sheetData>
  <sortState ref="C41:E47">
    <sortCondition descending="1" ref="E41"/>
  </sortState>
  <mergeCells count="7">
    <mergeCell ref="B64:N67"/>
    <mergeCell ref="B56:R62"/>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7" t="s">
        <v>177</v>
      </c>
      <c r="D3" s="247"/>
      <c r="E3" s="247"/>
      <c r="F3" s="247"/>
      <c r="G3" s="247"/>
      <c r="H3" s="247"/>
      <c r="I3" s="247"/>
      <c r="J3" s="247"/>
      <c r="K3" s="247"/>
      <c r="L3" s="247"/>
      <c r="M3" s="247"/>
      <c r="N3" s="248"/>
    </row>
    <row r="4" spans="2:18" ht="15.75" x14ac:dyDescent="0.25">
      <c r="B4" s="98"/>
      <c r="C4" s="72" t="s">
        <v>354</v>
      </c>
      <c r="D4" s="29"/>
      <c r="E4" s="29"/>
      <c r="F4" s="5"/>
      <c r="G4" s="5"/>
      <c r="H4" s="5"/>
      <c r="I4" s="5"/>
      <c r="J4" s="5"/>
      <c r="K4" s="5"/>
      <c r="L4" s="5"/>
      <c r="M4" s="5"/>
      <c r="N4" s="20"/>
    </row>
    <row r="5" spans="2:18" ht="20.25" customHeight="1" x14ac:dyDescent="0.2">
      <c r="B5" s="98"/>
      <c r="C5" s="235" t="s">
        <v>355</v>
      </c>
      <c r="D5" s="264" t="s">
        <v>339</v>
      </c>
      <c r="E5" s="264"/>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49" t="s">
        <v>46</v>
      </c>
      <c r="H7" s="249"/>
      <c r="I7" s="249"/>
      <c r="J7" s="249"/>
      <c r="K7" s="249"/>
      <c r="L7" s="249"/>
      <c r="M7" s="249"/>
      <c r="N7" s="250"/>
    </row>
    <row r="8" spans="2:18" x14ac:dyDescent="0.2">
      <c r="B8" s="98"/>
      <c r="C8" s="210" t="s">
        <v>28</v>
      </c>
      <c r="D8" s="109" t="s">
        <v>117</v>
      </c>
      <c r="E8" s="110">
        <v>5.0162999999999999E-2</v>
      </c>
      <c r="F8" s="5"/>
      <c r="G8" s="42" t="s">
        <v>47</v>
      </c>
      <c r="H8" s="43">
        <v>1</v>
      </c>
      <c r="I8" s="45">
        <f>H8/SUM($H$8:$H$10)</f>
        <v>1</v>
      </c>
      <c r="J8" s="5"/>
      <c r="K8" s="31"/>
      <c r="L8" s="5"/>
      <c r="M8" s="5"/>
      <c r="N8" s="20"/>
      <c r="R8" s="54"/>
    </row>
    <row r="9" spans="2:18" ht="15.75" customHeight="1" x14ac:dyDescent="0.2">
      <c r="B9" s="98"/>
      <c r="C9" s="128" t="s">
        <v>32</v>
      </c>
      <c r="D9" s="38" t="s">
        <v>3</v>
      </c>
      <c r="E9" s="39">
        <v>4.9766999999999999E-2</v>
      </c>
      <c r="F9" s="5"/>
      <c r="G9" s="42" t="s">
        <v>57</v>
      </c>
      <c r="H9" s="46">
        <v>0</v>
      </c>
      <c r="I9" s="45">
        <f>H9/SUM($H$8:$H$10)</f>
        <v>0</v>
      </c>
      <c r="J9" s="5" t="s">
        <v>41</v>
      </c>
      <c r="K9" s="31">
        <f>E33</f>
        <v>0.23572199999999999</v>
      </c>
      <c r="L9" s="5"/>
      <c r="M9" s="5"/>
      <c r="N9" s="20"/>
      <c r="R9" s="54"/>
    </row>
    <row r="10" spans="2:18" x14ac:dyDescent="0.2">
      <c r="B10" s="98"/>
      <c r="C10" s="128" t="s">
        <v>29</v>
      </c>
      <c r="D10" s="38" t="s">
        <v>3</v>
      </c>
      <c r="E10" s="39">
        <v>4.6676000000000002E-2</v>
      </c>
      <c r="F10" s="31"/>
      <c r="G10" s="42" t="s">
        <v>48</v>
      </c>
      <c r="H10" s="46">
        <v>0</v>
      </c>
      <c r="I10" s="45">
        <f>H10/SUM($H$8:$H$10)</f>
        <v>0</v>
      </c>
      <c r="J10" s="5" t="s">
        <v>153</v>
      </c>
      <c r="K10" s="31">
        <f>E24+E26</f>
        <v>0.72525500000000009</v>
      </c>
      <c r="L10" s="5"/>
      <c r="M10" s="5"/>
      <c r="N10" s="20"/>
      <c r="R10" s="54"/>
    </row>
    <row r="11" spans="2:18" x14ac:dyDescent="0.2">
      <c r="B11" s="98"/>
      <c r="C11" s="128" t="s">
        <v>31</v>
      </c>
      <c r="D11" s="38" t="s">
        <v>6</v>
      </c>
      <c r="E11" s="39">
        <v>3.8023000000000001E-2</v>
      </c>
      <c r="F11" s="5"/>
      <c r="G11" s="5"/>
      <c r="H11" s="5"/>
      <c r="I11" s="5"/>
      <c r="J11" s="5"/>
      <c r="K11" s="31"/>
      <c r="L11" s="5"/>
      <c r="M11" s="5"/>
      <c r="N11" s="20"/>
      <c r="R11" s="54"/>
    </row>
    <row r="12" spans="2:18" ht="15.75" customHeight="1" x14ac:dyDescent="0.2">
      <c r="B12" s="98"/>
      <c r="C12" s="128" t="s">
        <v>36</v>
      </c>
      <c r="D12" s="38" t="s">
        <v>3</v>
      </c>
      <c r="E12" s="39">
        <v>2.7206000000000001E-2</v>
      </c>
      <c r="F12" s="31"/>
      <c r="G12" s="5"/>
      <c r="H12" s="31"/>
      <c r="I12" s="5"/>
      <c r="J12" s="5" t="s">
        <v>20</v>
      </c>
      <c r="K12" s="31">
        <f>E40</f>
        <v>2.0063999999999999E-2</v>
      </c>
      <c r="L12" s="5"/>
      <c r="M12" s="5"/>
      <c r="N12" s="20"/>
      <c r="R12" s="54"/>
    </row>
    <row r="13" spans="2:18" x14ac:dyDescent="0.2">
      <c r="B13" s="98"/>
      <c r="C13" s="128" t="s">
        <v>62</v>
      </c>
      <c r="D13" s="38" t="s">
        <v>10</v>
      </c>
      <c r="E13" s="39">
        <v>2.6690999999999999E-2</v>
      </c>
      <c r="F13" s="31"/>
      <c r="G13" s="5"/>
      <c r="H13" s="5"/>
      <c r="I13" s="5"/>
      <c r="J13" s="5" t="s">
        <v>42</v>
      </c>
      <c r="K13" s="31">
        <f>E38</f>
        <v>1.8959E-2</v>
      </c>
      <c r="L13" s="5"/>
      <c r="M13" s="5"/>
      <c r="N13" s="20"/>
      <c r="R13" s="54"/>
    </row>
    <row r="14" spans="2:18" x14ac:dyDescent="0.2">
      <c r="B14" s="98"/>
      <c r="C14" s="128" t="s">
        <v>34</v>
      </c>
      <c r="D14" s="38" t="s">
        <v>23</v>
      </c>
      <c r="E14" s="39">
        <v>2.4138E-2</v>
      </c>
      <c r="F14" s="31"/>
      <c r="G14" s="5"/>
      <c r="H14" s="5"/>
      <c r="I14" s="5"/>
      <c r="J14" s="5"/>
      <c r="K14" s="31"/>
      <c r="L14" s="5"/>
      <c r="M14" s="5"/>
      <c r="N14" s="20"/>
      <c r="R14" s="54"/>
    </row>
    <row r="15" spans="2:18" x14ac:dyDescent="0.2">
      <c r="B15" s="98"/>
      <c r="C15" s="128" t="s">
        <v>84</v>
      </c>
      <c r="D15" s="38" t="s">
        <v>3</v>
      </c>
      <c r="E15" s="39">
        <v>1.9739E-2</v>
      </c>
      <c r="F15" s="5"/>
      <c r="G15" s="5"/>
      <c r="H15" s="5"/>
      <c r="I15" s="5"/>
      <c r="J15" s="5"/>
      <c r="K15" s="31"/>
      <c r="L15" s="5"/>
      <c r="M15" s="5"/>
      <c r="N15" s="20"/>
      <c r="R15" s="54"/>
    </row>
    <row r="16" spans="2:18" x14ac:dyDescent="0.2">
      <c r="B16" s="98"/>
      <c r="C16" s="128" t="s">
        <v>73</v>
      </c>
      <c r="D16" s="38" t="s">
        <v>12</v>
      </c>
      <c r="E16" s="39">
        <v>1.6244000000000001E-2</v>
      </c>
      <c r="F16" s="5"/>
      <c r="G16" s="5"/>
      <c r="H16" s="5"/>
      <c r="I16" s="5"/>
      <c r="J16" s="5"/>
      <c r="K16" s="5"/>
      <c r="L16" s="5"/>
      <c r="M16" s="5"/>
      <c r="N16" s="20"/>
      <c r="R16" s="54"/>
    </row>
    <row r="17" spans="2:18" x14ac:dyDescent="0.2">
      <c r="B17" s="98"/>
      <c r="C17" s="128" t="s">
        <v>102</v>
      </c>
      <c r="D17" s="111" t="s">
        <v>122</v>
      </c>
      <c r="E17" s="39">
        <v>1.6199000000000002E-2</v>
      </c>
      <c r="F17" s="5"/>
      <c r="G17" s="5"/>
      <c r="H17" s="5"/>
      <c r="I17" s="5"/>
      <c r="J17" s="5"/>
      <c r="K17" s="5"/>
      <c r="L17" s="5"/>
      <c r="M17" s="5"/>
      <c r="N17" s="20"/>
      <c r="R17" s="54"/>
    </row>
    <row r="18" spans="2:18" x14ac:dyDescent="0.2">
      <c r="B18" s="98"/>
      <c r="C18" s="128" t="s">
        <v>77</v>
      </c>
      <c r="D18" s="38" t="s">
        <v>121</v>
      </c>
      <c r="E18" s="39">
        <v>1.5054E-2</v>
      </c>
      <c r="F18" s="5"/>
      <c r="G18" s="5"/>
      <c r="H18" s="5"/>
      <c r="I18" s="5"/>
      <c r="J18" s="5"/>
      <c r="K18" s="5"/>
      <c r="L18" s="5"/>
      <c r="M18" s="5"/>
      <c r="N18" s="20"/>
      <c r="R18" s="54"/>
    </row>
    <row r="19" spans="2:18" x14ac:dyDescent="0.2">
      <c r="B19" s="98"/>
      <c r="C19" s="128" t="s">
        <v>155</v>
      </c>
      <c r="D19" s="38" t="s">
        <v>122</v>
      </c>
      <c r="E19" s="39">
        <v>1.4811E-2</v>
      </c>
      <c r="F19" s="5"/>
      <c r="G19" s="5"/>
      <c r="H19" s="5"/>
      <c r="I19" s="5"/>
      <c r="J19" s="5"/>
      <c r="K19" s="5"/>
      <c r="L19" s="5"/>
      <c r="M19" s="5"/>
      <c r="N19" s="20"/>
      <c r="R19" s="54"/>
    </row>
    <row r="20" spans="2:18" ht="15.75" customHeight="1" x14ac:dyDescent="0.25">
      <c r="B20" s="98"/>
      <c r="C20" s="128" t="s">
        <v>30</v>
      </c>
      <c r="D20" s="38" t="s">
        <v>127</v>
      </c>
      <c r="E20" s="39">
        <v>1.4394000000000001E-2</v>
      </c>
      <c r="F20" s="5"/>
      <c r="G20" s="267" t="s">
        <v>107</v>
      </c>
      <c r="H20" s="268"/>
      <c r="I20" s="268"/>
      <c r="J20" s="268"/>
      <c r="K20" s="268"/>
      <c r="L20" s="189">
        <v>1.89</v>
      </c>
      <c r="M20" s="112"/>
      <c r="N20" s="185"/>
      <c r="R20" s="54"/>
    </row>
    <row r="21" spans="2:18" x14ac:dyDescent="0.2">
      <c r="B21" s="98"/>
      <c r="C21" s="128" t="s">
        <v>94</v>
      </c>
      <c r="D21" s="38" t="s">
        <v>26</v>
      </c>
      <c r="E21" s="39">
        <v>1.4156E-2</v>
      </c>
      <c r="F21" s="5"/>
      <c r="G21" s="5"/>
      <c r="H21" s="5"/>
      <c r="I21" s="5"/>
      <c r="J21" s="5"/>
      <c r="K21" s="5"/>
      <c r="L21" s="5"/>
      <c r="M21" s="5"/>
      <c r="N21" s="20"/>
      <c r="R21" s="54"/>
    </row>
    <row r="22" spans="2:18" x14ac:dyDescent="0.2">
      <c r="B22" s="98"/>
      <c r="C22" s="128" t="s">
        <v>145</v>
      </c>
      <c r="D22" s="38" t="s">
        <v>3</v>
      </c>
      <c r="E22" s="39">
        <v>1.3863E-2</v>
      </c>
      <c r="F22" s="5"/>
      <c r="G22" s="31"/>
      <c r="H22" s="31"/>
      <c r="I22" s="31"/>
      <c r="J22" s="5"/>
      <c r="K22" s="31"/>
      <c r="L22" s="5"/>
      <c r="M22" s="5"/>
      <c r="N22" s="20"/>
      <c r="R22" s="54"/>
    </row>
    <row r="23" spans="2:18" ht="15.75" customHeight="1" x14ac:dyDescent="0.2">
      <c r="B23" s="98"/>
      <c r="C23" s="38"/>
      <c r="D23" s="4"/>
      <c r="E23" s="6"/>
      <c r="F23" s="5"/>
      <c r="G23" s="249" t="s">
        <v>50</v>
      </c>
      <c r="H23" s="249"/>
      <c r="I23" s="249"/>
      <c r="J23" s="249"/>
      <c r="K23" s="249"/>
      <c r="L23" s="249"/>
      <c r="M23" s="249"/>
      <c r="N23" s="250"/>
      <c r="R23" s="54"/>
    </row>
    <row r="24" spans="2:18" ht="15.75" x14ac:dyDescent="0.2">
      <c r="B24" s="98"/>
      <c r="C24" s="114" t="s">
        <v>56</v>
      </c>
      <c r="D24" s="114"/>
      <c r="E24" s="115">
        <f>SUM(E8:E22)</f>
        <v>0.38712400000000008</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68</v>
      </c>
      <c r="D26" s="114"/>
      <c r="E26" s="115">
        <v>0.33813100000000001</v>
      </c>
      <c r="F26" s="31"/>
      <c r="G26" s="5"/>
      <c r="H26" s="5"/>
      <c r="I26" s="5"/>
      <c r="J26" s="5"/>
      <c r="K26" s="5"/>
      <c r="L26" s="5"/>
      <c r="M26" s="5"/>
      <c r="N26" s="20"/>
      <c r="R26" s="54"/>
    </row>
    <row r="27" spans="2:18" x14ac:dyDescent="0.2">
      <c r="B27" s="98"/>
      <c r="C27" s="38" t="s">
        <v>86</v>
      </c>
      <c r="D27" s="63" t="s">
        <v>63</v>
      </c>
      <c r="E27" s="6">
        <v>2.1576999999999999E-2</v>
      </c>
      <c r="F27" s="5"/>
      <c r="G27" s="5"/>
      <c r="H27" s="5"/>
      <c r="I27" s="5"/>
      <c r="J27" s="5"/>
      <c r="K27" s="5"/>
      <c r="L27" s="5"/>
      <c r="M27" s="5"/>
      <c r="N27" s="20"/>
      <c r="R27" s="54"/>
    </row>
    <row r="28" spans="2:18" s="53" customFormat="1" ht="13.5" customHeight="1" x14ac:dyDescent="0.2">
      <c r="B28" s="116"/>
      <c r="C28" s="38" t="s">
        <v>29</v>
      </c>
      <c r="D28" s="63" t="s">
        <v>63</v>
      </c>
      <c r="E28" s="6">
        <v>7.8403E-2</v>
      </c>
      <c r="F28" s="42"/>
      <c r="G28" s="42"/>
      <c r="H28" s="42"/>
      <c r="I28" s="42"/>
      <c r="J28" s="42"/>
      <c r="K28" s="42"/>
      <c r="L28" s="42"/>
      <c r="M28" s="42"/>
      <c r="N28" s="117"/>
      <c r="R28" s="118"/>
    </row>
    <row r="29" spans="2:18" x14ac:dyDescent="0.2">
      <c r="B29" s="98"/>
      <c r="C29" s="27" t="s">
        <v>201</v>
      </c>
      <c r="D29" s="63" t="s">
        <v>63</v>
      </c>
      <c r="E29" s="191">
        <v>3.6060000000000002E-2</v>
      </c>
      <c r="F29" s="5"/>
      <c r="G29" s="5"/>
      <c r="H29" s="5"/>
      <c r="I29" s="5"/>
      <c r="J29" s="5"/>
      <c r="K29" s="5"/>
      <c r="L29" s="5"/>
      <c r="M29" s="5"/>
      <c r="N29" s="20"/>
      <c r="R29" s="54"/>
    </row>
    <row r="30" spans="2:18" x14ac:dyDescent="0.2">
      <c r="B30" s="98"/>
      <c r="C30" s="38" t="s">
        <v>79</v>
      </c>
      <c r="D30" s="63" t="s">
        <v>63</v>
      </c>
      <c r="E30" s="6">
        <v>4.0312000000000001E-2</v>
      </c>
      <c r="F30" s="5"/>
      <c r="G30" s="5"/>
      <c r="H30" s="5"/>
      <c r="I30" s="5"/>
      <c r="J30" s="5"/>
      <c r="K30" s="5"/>
      <c r="L30" s="5"/>
      <c r="M30" s="5"/>
      <c r="N30" s="20"/>
      <c r="R30" s="54"/>
    </row>
    <row r="31" spans="2:18" x14ac:dyDescent="0.2">
      <c r="B31" s="98"/>
      <c r="C31" s="38" t="s">
        <v>81</v>
      </c>
      <c r="D31" s="63" t="s">
        <v>63</v>
      </c>
      <c r="E31" s="6">
        <v>8.7049999999999992E-3</v>
      </c>
      <c r="F31" s="5"/>
      <c r="G31" s="5"/>
      <c r="H31" s="5"/>
      <c r="I31" s="5"/>
      <c r="J31" s="5"/>
      <c r="K31" s="5"/>
      <c r="L31" s="5"/>
      <c r="M31" s="5"/>
      <c r="N31" s="20"/>
      <c r="R31" s="54"/>
    </row>
    <row r="32" spans="2:18" x14ac:dyDescent="0.2">
      <c r="B32" s="98"/>
      <c r="C32" s="27" t="s">
        <v>71</v>
      </c>
      <c r="D32" s="63" t="s">
        <v>63</v>
      </c>
      <c r="E32" s="191">
        <v>5.0665000000000002E-2</v>
      </c>
      <c r="F32" s="5"/>
      <c r="G32" s="5"/>
      <c r="H32" s="5"/>
      <c r="I32" s="5"/>
      <c r="J32" s="5"/>
      <c r="K32" s="5"/>
      <c r="L32" s="5"/>
      <c r="M32" s="5"/>
      <c r="N32" s="20"/>
      <c r="R32" s="54"/>
    </row>
    <row r="33" spans="1:18" ht="15.75" x14ac:dyDescent="0.2">
      <c r="B33" s="98"/>
      <c r="C33" s="114" t="s">
        <v>49</v>
      </c>
      <c r="D33" s="114"/>
      <c r="E33" s="115">
        <v>0.23572199999999999</v>
      </c>
      <c r="F33" s="5"/>
      <c r="G33" s="5"/>
      <c r="H33" s="5"/>
      <c r="I33" s="5"/>
      <c r="J33" s="5"/>
      <c r="K33" s="5"/>
      <c r="L33" s="5"/>
      <c r="M33" s="5"/>
      <c r="N33" s="20"/>
      <c r="R33" s="54"/>
    </row>
    <row r="34" spans="1:18" x14ac:dyDescent="0.2">
      <c r="B34" s="98"/>
      <c r="C34" s="38"/>
      <c r="D34" s="38"/>
      <c r="E34" s="38"/>
      <c r="F34" s="5"/>
      <c r="G34" s="5"/>
      <c r="H34" s="5"/>
      <c r="I34" s="5"/>
      <c r="J34" s="5"/>
      <c r="K34" s="5"/>
      <c r="L34" s="5"/>
      <c r="M34" s="5"/>
      <c r="N34" s="20"/>
      <c r="R34" s="54"/>
    </row>
    <row r="35" spans="1:18" x14ac:dyDescent="0.2">
      <c r="B35" s="98"/>
      <c r="C35" s="38" t="s">
        <v>78</v>
      </c>
      <c r="D35" s="4" t="s">
        <v>61</v>
      </c>
      <c r="E35" s="211">
        <v>8.6070000000000001E-3</v>
      </c>
      <c r="F35" s="5"/>
      <c r="G35" s="5"/>
      <c r="H35" s="5"/>
      <c r="I35" s="5"/>
      <c r="J35" s="5"/>
      <c r="K35" s="5"/>
      <c r="L35" s="5"/>
      <c r="M35" s="5"/>
      <c r="N35" s="20"/>
      <c r="R35" s="54"/>
    </row>
    <row r="36" spans="1:18" x14ac:dyDescent="0.2">
      <c r="B36" s="98"/>
      <c r="C36" s="38" t="s">
        <v>76</v>
      </c>
      <c r="D36" s="4" t="s">
        <v>61</v>
      </c>
      <c r="E36" s="211">
        <v>7.4530000000000004E-3</v>
      </c>
      <c r="F36" s="5"/>
      <c r="G36" s="5"/>
      <c r="H36" s="5"/>
      <c r="I36" s="5"/>
      <c r="J36" s="5"/>
      <c r="K36" s="5"/>
      <c r="L36" s="5"/>
      <c r="M36" s="5"/>
      <c r="N36" s="20"/>
      <c r="R36" s="54"/>
    </row>
    <row r="37" spans="1:18" x14ac:dyDescent="0.2">
      <c r="B37" s="98"/>
      <c r="C37" s="38" t="s">
        <v>69</v>
      </c>
      <c r="D37" s="4" t="s">
        <v>61</v>
      </c>
      <c r="E37" s="211">
        <v>2.8990000000000001E-3</v>
      </c>
      <c r="F37" s="5"/>
      <c r="G37" s="5"/>
      <c r="H37" s="5"/>
      <c r="I37" s="5"/>
      <c r="J37" s="5"/>
      <c r="K37" s="5"/>
      <c r="L37" s="5"/>
      <c r="M37" s="5"/>
      <c r="N37" s="20"/>
      <c r="R37" s="54"/>
    </row>
    <row r="38" spans="1:18" ht="15.75" x14ac:dyDescent="0.2">
      <c r="B38" s="98"/>
      <c r="C38" s="114" t="s">
        <v>42</v>
      </c>
      <c r="D38" s="114"/>
      <c r="E38" s="115">
        <v>1.8959E-2</v>
      </c>
      <c r="F38" s="5"/>
      <c r="G38" s="5"/>
      <c r="H38" s="5"/>
      <c r="I38" s="5"/>
      <c r="J38" s="5"/>
      <c r="K38" s="5"/>
      <c r="L38" s="5"/>
      <c r="M38" s="5"/>
      <c r="N38" s="20"/>
      <c r="R38" s="54"/>
    </row>
    <row r="39" spans="1:18" s="53" customFormat="1" ht="15.75" x14ac:dyDescent="0.2">
      <c r="B39" s="116"/>
      <c r="C39" s="119"/>
      <c r="D39" s="119"/>
      <c r="E39" s="120"/>
      <c r="F39" s="42"/>
      <c r="G39" s="5"/>
      <c r="H39" s="5"/>
      <c r="I39" s="5"/>
      <c r="J39" s="5"/>
      <c r="K39" s="5"/>
      <c r="L39" s="42"/>
      <c r="M39" s="42"/>
      <c r="N39" s="117"/>
      <c r="R39" s="118"/>
    </row>
    <row r="40" spans="1:18" ht="15.75" x14ac:dyDescent="0.2">
      <c r="B40" s="98"/>
      <c r="C40" s="114" t="s">
        <v>20</v>
      </c>
      <c r="D40" s="114"/>
      <c r="E40" s="115">
        <v>2.0063999999999999E-2</v>
      </c>
      <c r="F40" s="5"/>
      <c r="G40" s="5"/>
      <c r="H40" s="5"/>
      <c r="I40" s="5"/>
      <c r="J40" s="5"/>
      <c r="K40" s="5"/>
      <c r="L40" s="5"/>
      <c r="M40" s="5"/>
      <c r="N40" s="20"/>
      <c r="R40" s="54"/>
    </row>
    <row r="41" spans="1:18" x14ac:dyDescent="0.2">
      <c r="A41" s="5"/>
      <c r="B41" s="98"/>
      <c r="C41" s="4"/>
      <c r="D41" s="4"/>
      <c r="E41" s="32"/>
      <c r="F41" s="5"/>
      <c r="G41" s="5"/>
      <c r="H41" s="5"/>
      <c r="I41" s="5"/>
      <c r="J41" s="5"/>
      <c r="K41" s="5"/>
      <c r="L41" s="5"/>
      <c r="M41" s="5"/>
      <c r="N41" s="20"/>
      <c r="O41" s="5"/>
      <c r="R41" s="54"/>
    </row>
    <row r="42" spans="1:18" ht="15.75" x14ac:dyDescent="0.2">
      <c r="A42" s="5"/>
      <c r="B42" s="98"/>
      <c r="C42" s="121" t="s">
        <v>21</v>
      </c>
      <c r="D42" s="121"/>
      <c r="E42" s="122">
        <f>E40+E38+E33+E26+E24</f>
        <v>1</v>
      </c>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53" t="s">
        <v>202</v>
      </c>
      <c r="C50" s="254"/>
      <c r="D50" s="254"/>
      <c r="E50" s="254"/>
      <c r="F50" s="254"/>
      <c r="G50" s="254"/>
      <c r="H50" s="254"/>
      <c r="I50" s="254"/>
      <c r="J50" s="254"/>
      <c r="K50" s="254"/>
      <c r="L50" s="254"/>
      <c r="M50" s="254"/>
      <c r="N50" s="254"/>
      <c r="O50" s="254"/>
      <c r="P50" s="254"/>
      <c r="Q50" s="254"/>
      <c r="R50" s="255"/>
    </row>
    <row r="51" spans="2:18" x14ac:dyDescent="0.2">
      <c r="B51" s="256"/>
      <c r="C51" s="257"/>
      <c r="D51" s="257"/>
      <c r="E51" s="257"/>
      <c r="F51" s="257"/>
      <c r="G51" s="257"/>
      <c r="H51" s="257"/>
      <c r="I51" s="257"/>
      <c r="J51" s="257"/>
      <c r="K51" s="257"/>
      <c r="L51" s="257"/>
      <c r="M51" s="257"/>
      <c r="N51" s="257"/>
      <c r="O51" s="257"/>
      <c r="P51" s="257"/>
      <c r="Q51" s="257"/>
      <c r="R51" s="258"/>
    </row>
    <row r="52" spans="2:18" x14ac:dyDescent="0.2">
      <c r="B52" s="256"/>
      <c r="C52" s="257"/>
      <c r="D52" s="257"/>
      <c r="E52" s="257"/>
      <c r="F52" s="257"/>
      <c r="G52" s="257"/>
      <c r="H52" s="257"/>
      <c r="I52" s="257"/>
      <c r="J52" s="257"/>
      <c r="K52" s="257"/>
      <c r="L52" s="257"/>
      <c r="M52" s="257"/>
      <c r="N52" s="257"/>
      <c r="O52" s="257"/>
      <c r="P52" s="257"/>
      <c r="Q52" s="257"/>
      <c r="R52" s="258"/>
    </row>
    <row r="53" spans="2:18" x14ac:dyDescent="0.2">
      <c r="B53" s="256"/>
      <c r="C53" s="257"/>
      <c r="D53" s="257"/>
      <c r="E53" s="257"/>
      <c r="F53" s="257"/>
      <c r="G53" s="257"/>
      <c r="H53" s="257"/>
      <c r="I53" s="257"/>
      <c r="J53" s="257"/>
      <c r="K53" s="257"/>
      <c r="L53" s="257"/>
      <c r="M53" s="257"/>
      <c r="N53" s="257"/>
      <c r="O53" s="257"/>
      <c r="P53" s="257"/>
      <c r="Q53" s="257"/>
      <c r="R53" s="258"/>
    </row>
    <row r="54" spans="2:18" x14ac:dyDescent="0.2">
      <c r="B54" s="256"/>
      <c r="C54" s="257"/>
      <c r="D54" s="257"/>
      <c r="E54" s="257"/>
      <c r="F54" s="257"/>
      <c r="G54" s="257"/>
      <c r="H54" s="257"/>
      <c r="I54" s="257"/>
      <c r="J54" s="257"/>
      <c r="K54" s="257"/>
      <c r="L54" s="257"/>
      <c r="M54" s="257"/>
      <c r="N54" s="257"/>
      <c r="O54" s="257"/>
      <c r="P54" s="257"/>
      <c r="Q54" s="257"/>
      <c r="R54" s="258"/>
    </row>
    <row r="55" spans="2:18" x14ac:dyDescent="0.2">
      <c r="B55" s="256"/>
      <c r="C55" s="257"/>
      <c r="D55" s="257"/>
      <c r="E55" s="257"/>
      <c r="F55" s="257"/>
      <c r="G55" s="257"/>
      <c r="H55" s="257"/>
      <c r="I55" s="257"/>
      <c r="J55" s="257"/>
      <c r="K55" s="257"/>
      <c r="L55" s="257"/>
      <c r="M55" s="257"/>
      <c r="N55" s="257"/>
      <c r="O55" s="257"/>
      <c r="P55" s="257"/>
      <c r="Q55" s="257"/>
      <c r="R55" s="258"/>
    </row>
    <row r="56" spans="2:18" ht="15.75" thickBot="1" x14ac:dyDescent="0.25">
      <c r="B56" s="259"/>
      <c r="C56" s="260"/>
      <c r="D56" s="260"/>
      <c r="E56" s="260"/>
      <c r="F56" s="260"/>
      <c r="G56" s="260"/>
      <c r="H56" s="260"/>
      <c r="I56" s="260"/>
      <c r="J56" s="260"/>
      <c r="K56" s="260"/>
      <c r="L56" s="260"/>
      <c r="M56" s="260"/>
      <c r="N56" s="260"/>
      <c r="O56" s="260"/>
      <c r="P56" s="260"/>
      <c r="Q56" s="260"/>
      <c r="R56" s="261"/>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35:E37">
    <sortCondition descending="1" ref="E35"/>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4"/>
    </row>
    <row r="3" spans="2:19" ht="20.25" customHeight="1" x14ac:dyDescent="0.2">
      <c r="B3" s="98"/>
      <c r="C3" s="247" t="s">
        <v>232</v>
      </c>
      <c r="D3" s="247"/>
      <c r="E3" s="247"/>
      <c r="F3" s="247"/>
      <c r="G3" s="247"/>
      <c r="H3" s="247"/>
      <c r="I3" s="247"/>
      <c r="J3" s="247"/>
      <c r="K3" s="247"/>
      <c r="L3" s="247"/>
      <c r="M3" s="247"/>
      <c r="N3" s="248"/>
    </row>
    <row r="4" spans="2:19" ht="15.75" x14ac:dyDescent="0.25">
      <c r="B4" s="98"/>
      <c r="C4" s="72" t="s">
        <v>354</v>
      </c>
      <c r="D4" s="29"/>
      <c r="E4" s="29"/>
      <c r="F4" s="5"/>
      <c r="G4" s="5"/>
      <c r="H4" s="5"/>
      <c r="I4" s="5"/>
      <c r="J4" s="5"/>
      <c r="K4" s="5"/>
      <c r="L4" s="5"/>
      <c r="M4" s="5"/>
      <c r="N4" s="20"/>
    </row>
    <row r="5" spans="2:19" ht="20.25" customHeight="1" x14ac:dyDescent="0.2">
      <c r="B5" s="98"/>
      <c r="C5" s="235" t="s">
        <v>355</v>
      </c>
      <c r="D5" s="264" t="s">
        <v>340</v>
      </c>
      <c r="E5" s="264"/>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233">
        <v>8.1710999999999992E-2</v>
      </c>
    </row>
    <row r="8" spans="2:19" ht="15.75" x14ac:dyDescent="0.25">
      <c r="B8" s="98"/>
      <c r="C8" s="210" t="s">
        <v>31</v>
      </c>
      <c r="D8" s="109" t="s">
        <v>6</v>
      </c>
      <c r="E8" s="110">
        <v>3.8639999999999994E-2</v>
      </c>
      <c r="F8" s="5"/>
      <c r="G8" s="5"/>
      <c r="H8" s="5"/>
      <c r="I8" s="5"/>
      <c r="J8" s="5"/>
      <c r="K8" s="5"/>
      <c r="L8" s="5"/>
      <c r="M8" s="5"/>
      <c r="N8" s="20"/>
      <c r="P8" s="188" t="s">
        <v>121</v>
      </c>
      <c r="Q8" s="233">
        <v>4.3450000000000003E-2</v>
      </c>
      <c r="R8" s="54"/>
    </row>
    <row r="9" spans="2:19" ht="15.75" customHeight="1" x14ac:dyDescent="0.25">
      <c r="B9" s="98"/>
      <c r="C9" s="128" t="s">
        <v>29</v>
      </c>
      <c r="D9" s="38" t="s">
        <v>3</v>
      </c>
      <c r="E9" s="39">
        <v>2.8410999999999999E-2</v>
      </c>
      <c r="F9" s="5"/>
      <c r="G9" s="5"/>
      <c r="H9" s="5"/>
      <c r="I9" s="5"/>
      <c r="J9" s="5"/>
      <c r="K9" s="5"/>
      <c r="L9" s="5"/>
      <c r="M9" s="5"/>
      <c r="N9" s="20"/>
      <c r="P9" s="188" t="s">
        <v>6</v>
      </c>
      <c r="Q9" s="233">
        <v>3.8639999999999994E-2</v>
      </c>
      <c r="R9" s="54"/>
    </row>
    <row r="10" spans="2:19" ht="15.75" x14ac:dyDescent="0.25">
      <c r="B10" s="98"/>
      <c r="C10" s="128" t="s">
        <v>36</v>
      </c>
      <c r="D10" s="38" t="s">
        <v>3</v>
      </c>
      <c r="E10" s="39">
        <v>2.3732E-2</v>
      </c>
      <c r="F10" s="31"/>
      <c r="G10" s="5"/>
      <c r="H10" s="5"/>
      <c r="I10" s="5"/>
      <c r="J10" s="5"/>
      <c r="K10" s="5"/>
      <c r="L10" s="5"/>
      <c r="M10" s="5"/>
      <c r="N10" s="20"/>
      <c r="P10" s="188" t="s">
        <v>117</v>
      </c>
      <c r="Q10" s="233">
        <v>3.5734000000000002E-2</v>
      </c>
      <c r="R10" s="54"/>
    </row>
    <row r="11" spans="2:19" ht="15.75" x14ac:dyDescent="0.25">
      <c r="B11" s="98"/>
      <c r="C11" s="128" t="s">
        <v>32</v>
      </c>
      <c r="D11" s="38" t="s">
        <v>3</v>
      </c>
      <c r="E11" s="39">
        <v>2.3401999999999996E-2</v>
      </c>
      <c r="F11" s="5"/>
      <c r="G11" s="5"/>
      <c r="H11" s="5"/>
      <c r="I11" s="5"/>
      <c r="J11" s="5"/>
      <c r="K11" s="5"/>
      <c r="L11" s="5"/>
      <c r="M11" s="5"/>
      <c r="N11" s="20"/>
      <c r="P11" s="188" t="s">
        <v>4</v>
      </c>
      <c r="Q11" s="233">
        <v>2.8948000000000002E-2</v>
      </c>
      <c r="R11" s="54"/>
    </row>
    <row r="12" spans="2:19" ht="15.75" customHeight="1" x14ac:dyDescent="0.25">
      <c r="B12" s="98"/>
      <c r="C12" s="128" t="s">
        <v>28</v>
      </c>
      <c r="D12" s="38" t="s">
        <v>117</v>
      </c>
      <c r="E12" s="39">
        <v>2.3146E-2</v>
      </c>
      <c r="F12" s="31"/>
      <c r="G12" s="5"/>
      <c r="H12" s="5"/>
      <c r="I12" s="5"/>
      <c r="J12" s="5"/>
      <c r="K12" s="5"/>
      <c r="L12" s="5"/>
      <c r="M12" s="5"/>
      <c r="N12" s="20"/>
      <c r="P12" s="188" t="s">
        <v>122</v>
      </c>
      <c r="Q12" s="233">
        <v>2.8420000000000001E-2</v>
      </c>
      <c r="R12" s="54"/>
    </row>
    <row r="13" spans="2:19" ht="15.75" x14ac:dyDescent="0.25">
      <c r="B13" s="98"/>
      <c r="C13" s="128" t="s">
        <v>30</v>
      </c>
      <c r="D13" s="38" t="s">
        <v>127</v>
      </c>
      <c r="E13" s="39">
        <v>1.9911000000000002E-2</v>
      </c>
      <c r="F13" s="31"/>
      <c r="G13" s="5"/>
      <c r="H13" s="5"/>
      <c r="I13" s="5"/>
      <c r="J13" s="5"/>
      <c r="K13" s="5"/>
      <c r="L13" s="5"/>
      <c r="M13" s="5"/>
      <c r="N13" s="20"/>
      <c r="P13" s="188" t="s">
        <v>26</v>
      </c>
      <c r="Q13" s="233">
        <v>2.8123000000000002E-2</v>
      </c>
      <c r="R13" s="54"/>
    </row>
    <row r="14" spans="2:19" ht="15.75" x14ac:dyDescent="0.25">
      <c r="B14" s="98"/>
      <c r="C14" s="128" t="s">
        <v>73</v>
      </c>
      <c r="D14" s="38" t="s">
        <v>12</v>
      </c>
      <c r="E14" s="39">
        <v>1.5537999999999996E-2</v>
      </c>
      <c r="F14" s="31"/>
      <c r="G14" s="5"/>
      <c r="H14" s="5"/>
      <c r="I14" s="5"/>
      <c r="J14" s="5"/>
      <c r="K14" s="5"/>
      <c r="L14" s="5"/>
      <c r="M14" s="5"/>
      <c r="N14" s="20"/>
      <c r="P14" s="188" t="s">
        <v>11</v>
      </c>
      <c r="Q14" s="233">
        <v>2.1412E-2</v>
      </c>
      <c r="R14" s="54"/>
    </row>
    <row r="15" spans="2:19" ht="15.75" x14ac:dyDescent="0.25">
      <c r="B15" s="98"/>
      <c r="C15" s="128" t="s">
        <v>80</v>
      </c>
      <c r="D15" s="38" t="s">
        <v>11</v>
      </c>
      <c r="E15" s="39">
        <v>1.5172E-2</v>
      </c>
      <c r="F15" s="5"/>
      <c r="G15" s="5"/>
      <c r="H15" s="5"/>
      <c r="I15" s="5"/>
      <c r="J15" s="5"/>
      <c r="K15" s="5"/>
      <c r="L15" s="5"/>
      <c r="M15" s="5"/>
      <c r="N15" s="20"/>
      <c r="P15" s="188" t="s">
        <v>127</v>
      </c>
      <c r="Q15" s="233">
        <v>1.9911000000000002E-2</v>
      </c>
      <c r="R15" s="54"/>
    </row>
    <row r="16" spans="2:19" ht="15.75" x14ac:dyDescent="0.25">
      <c r="B16" s="98"/>
      <c r="C16" s="128" t="s">
        <v>34</v>
      </c>
      <c r="D16" s="38" t="s">
        <v>23</v>
      </c>
      <c r="E16" s="39">
        <v>1.4883E-2</v>
      </c>
      <c r="F16" s="5"/>
      <c r="G16" s="5"/>
      <c r="H16" s="5"/>
      <c r="I16" s="5"/>
      <c r="J16" s="5"/>
      <c r="K16" s="5"/>
      <c r="L16" s="5"/>
      <c r="M16" s="5"/>
      <c r="N16" s="20"/>
      <c r="P16" s="188" t="s">
        <v>129</v>
      </c>
      <c r="Q16" s="233">
        <v>1.6475E-2</v>
      </c>
      <c r="R16" s="54"/>
    </row>
    <row r="17" spans="2:18" ht="15.75" x14ac:dyDescent="0.25">
      <c r="B17" s="98"/>
      <c r="C17" s="128" t="s">
        <v>213</v>
      </c>
      <c r="D17" s="111" t="s">
        <v>10</v>
      </c>
      <c r="E17" s="39">
        <v>1.4852000000000001E-2</v>
      </c>
      <c r="F17" s="5"/>
      <c r="G17" s="5"/>
      <c r="H17" s="5"/>
      <c r="I17" s="5"/>
      <c r="J17" s="5"/>
      <c r="K17" s="5"/>
      <c r="L17" s="5"/>
      <c r="M17" s="5"/>
      <c r="N17" s="20"/>
      <c r="P17" s="188" t="s">
        <v>12</v>
      </c>
      <c r="Q17" s="233">
        <v>1.5537999999999996E-2</v>
      </c>
      <c r="R17" s="54"/>
    </row>
    <row r="18" spans="2:18" ht="15.75" x14ac:dyDescent="0.25">
      <c r="B18" s="98"/>
      <c r="C18" s="128" t="s">
        <v>81</v>
      </c>
      <c r="D18" s="38" t="s">
        <v>4</v>
      </c>
      <c r="E18" s="39">
        <v>1.4236E-2</v>
      </c>
      <c r="F18" s="5"/>
      <c r="G18" s="5"/>
      <c r="H18" s="5"/>
      <c r="I18" s="5"/>
      <c r="J18" s="5"/>
      <c r="K18" s="5"/>
      <c r="L18" s="5"/>
      <c r="M18" s="5"/>
      <c r="N18" s="20"/>
      <c r="P18" s="188" t="s">
        <v>23</v>
      </c>
      <c r="Q18" s="233">
        <v>1.4883E-2</v>
      </c>
      <c r="R18" s="54"/>
    </row>
    <row r="19" spans="2:18" ht="15.75" x14ac:dyDescent="0.25">
      <c r="B19" s="98"/>
      <c r="C19" s="128" t="s">
        <v>284</v>
      </c>
      <c r="D19" s="38" t="s">
        <v>26</v>
      </c>
      <c r="E19" s="39">
        <v>1.2924E-2</v>
      </c>
      <c r="F19" s="5"/>
      <c r="G19" s="5"/>
      <c r="H19" s="5"/>
      <c r="I19" s="5"/>
      <c r="J19" s="5"/>
      <c r="K19" s="5"/>
      <c r="L19" s="5"/>
      <c r="M19" s="5"/>
      <c r="N19" s="20"/>
      <c r="P19" s="188" t="s">
        <v>10</v>
      </c>
      <c r="Q19" s="233">
        <v>1.4852000000000001E-2</v>
      </c>
      <c r="R19" s="54"/>
    </row>
    <row r="20" spans="2:18" ht="15.75" customHeight="1" x14ac:dyDescent="0.25">
      <c r="B20" s="98"/>
      <c r="C20" s="128" t="s">
        <v>85</v>
      </c>
      <c r="D20" s="38" t="s">
        <v>122</v>
      </c>
      <c r="E20" s="39">
        <v>1.256E-2</v>
      </c>
      <c r="F20" s="5"/>
      <c r="G20" s="5"/>
      <c r="H20" s="5"/>
      <c r="I20" s="5"/>
      <c r="J20" s="5"/>
      <c r="K20" s="5"/>
      <c r="L20" s="5"/>
      <c r="M20" s="5"/>
      <c r="N20" s="20"/>
      <c r="P20" s="188" t="s">
        <v>141</v>
      </c>
      <c r="Q20" s="233">
        <v>1.2281E-2</v>
      </c>
      <c r="R20" s="54"/>
    </row>
    <row r="21" spans="2:18" ht="15.75" x14ac:dyDescent="0.25">
      <c r="B21" s="98"/>
      <c r="C21" s="128" t="s">
        <v>233</v>
      </c>
      <c r="D21" s="38" t="s">
        <v>141</v>
      </c>
      <c r="E21" s="39">
        <v>1.2281E-2</v>
      </c>
      <c r="F21" s="5"/>
      <c r="G21" s="5"/>
      <c r="H21" s="5"/>
      <c r="I21" s="5"/>
      <c r="J21" s="5"/>
      <c r="K21" s="5"/>
      <c r="L21" s="5"/>
      <c r="M21" s="5"/>
      <c r="N21" s="20"/>
      <c r="P21" s="188" t="s">
        <v>134</v>
      </c>
      <c r="Q21" s="233">
        <v>1.1006E-2</v>
      </c>
      <c r="R21" s="54"/>
    </row>
    <row r="22" spans="2:18" ht="15.75" x14ac:dyDescent="0.25">
      <c r="B22" s="98"/>
      <c r="C22" s="128" t="s">
        <v>159</v>
      </c>
      <c r="D22" s="38" t="s">
        <v>122</v>
      </c>
      <c r="E22" s="39">
        <v>1.2109E-2</v>
      </c>
      <c r="F22" s="5"/>
      <c r="G22" s="31"/>
      <c r="H22" s="31"/>
      <c r="I22" s="31"/>
      <c r="J22" s="5"/>
      <c r="K22" s="31"/>
      <c r="L22" s="5"/>
      <c r="M22" s="5"/>
      <c r="N22" s="20"/>
      <c r="P22" s="188" t="s">
        <v>120</v>
      </c>
      <c r="Q22" s="233">
        <v>9.8980000000000005E-3</v>
      </c>
      <c r="R22" s="54"/>
    </row>
    <row r="23" spans="2:18" ht="15.75" customHeight="1" x14ac:dyDescent="0.25">
      <c r="B23" s="98"/>
      <c r="C23" s="38"/>
      <c r="D23" s="4"/>
      <c r="E23" s="6"/>
      <c r="F23" s="5"/>
      <c r="G23" s="31"/>
      <c r="H23" s="31"/>
      <c r="I23" s="31"/>
      <c r="J23" s="5"/>
      <c r="K23" s="31"/>
      <c r="L23" s="5"/>
      <c r="M23" s="5"/>
      <c r="N23" s="20"/>
      <c r="P23" s="188" t="s">
        <v>91</v>
      </c>
      <c r="Q23" s="233">
        <v>9.5860000000000008E-3</v>
      </c>
      <c r="R23" s="54"/>
    </row>
    <row r="24" spans="2:18" ht="15.75" x14ac:dyDescent="0.25">
      <c r="B24" s="98"/>
      <c r="C24" s="114" t="s">
        <v>56</v>
      </c>
      <c r="D24" s="114"/>
      <c r="E24" s="115">
        <f>SUM(E8:E22)</f>
        <v>0.28179699999999996</v>
      </c>
      <c r="F24" s="5"/>
      <c r="G24" s="5"/>
      <c r="H24" s="5"/>
      <c r="I24" s="5"/>
      <c r="J24" s="5"/>
      <c r="K24" s="5"/>
      <c r="L24" s="5"/>
      <c r="M24" s="5"/>
      <c r="N24" s="20"/>
      <c r="P24" s="188" t="s">
        <v>16</v>
      </c>
      <c r="Q24" s="233">
        <v>9.5699999999999986E-3</v>
      </c>
      <c r="R24" s="54"/>
    </row>
    <row r="25" spans="2:18" ht="15.75" x14ac:dyDescent="0.25">
      <c r="B25" s="98"/>
      <c r="C25" s="4"/>
      <c r="D25" s="4"/>
      <c r="E25" s="6"/>
      <c r="F25" s="5"/>
      <c r="G25" s="5"/>
      <c r="H25" s="5"/>
      <c r="I25" s="5"/>
      <c r="J25" s="5"/>
      <c r="K25" s="5"/>
      <c r="L25" s="5"/>
      <c r="M25" s="5"/>
      <c r="N25" s="20"/>
      <c r="P25" s="188" t="s">
        <v>123</v>
      </c>
      <c r="Q25" s="233">
        <v>9.385000000000001E-3</v>
      </c>
      <c r="R25" s="54"/>
    </row>
    <row r="26" spans="2:18" ht="15.75" x14ac:dyDescent="0.25">
      <c r="B26" s="98"/>
      <c r="C26" s="114" t="s">
        <v>68</v>
      </c>
      <c r="D26" s="114"/>
      <c r="E26" s="115">
        <v>0.20144099999999993</v>
      </c>
      <c r="F26" s="31"/>
      <c r="G26" s="5"/>
      <c r="H26" s="5"/>
      <c r="I26" s="5"/>
      <c r="J26" s="5"/>
      <c r="K26" s="5"/>
      <c r="L26" s="5"/>
      <c r="M26" s="5"/>
      <c r="N26" s="20"/>
      <c r="P26" s="188" t="s">
        <v>15</v>
      </c>
      <c r="Q26" s="233">
        <v>9.2599999999999991E-3</v>
      </c>
      <c r="R26" s="54"/>
    </row>
    <row r="27" spans="2:18" ht="15.75" x14ac:dyDescent="0.25">
      <c r="B27" s="98"/>
      <c r="C27" s="38"/>
      <c r="D27" s="63"/>
      <c r="E27" s="6"/>
      <c r="F27" s="5"/>
      <c r="G27" s="5"/>
      <c r="H27" s="5"/>
      <c r="I27" s="5"/>
      <c r="J27" s="5"/>
      <c r="K27" s="5"/>
      <c r="L27" s="5"/>
      <c r="M27" s="5"/>
      <c r="N27" s="20"/>
      <c r="P27" s="181" t="s">
        <v>116</v>
      </c>
      <c r="Q27" s="233">
        <v>6.7330000000000003E-3</v>
      </c>
      <c r="R27" s="54"/>
    </row>
    <row r="28" spans="2:18" s="53" customFormat="1" ht="13.5" customHeight="1" x14ac:dyDescent="0.25">
      <c r="B28" s="116"/>
      <c r="C28" s="114" t="s">
        <v>58</v>
      </c>
      <c r="D28" s="114"/>
      <c r="E28" s="195">
        <v>0.215222</v>
      </c>
      <c r="F28" s="42"/>
      <c r="G28" s="42"/>
      <c r="H28" s="42"/>
      <c r="I28" s="42"/>
      <c r="J28" s="42"/>
      <c r="K28" s="42"/>
      <c r="L28" s="42"/>
      <c r="M28" s="42"/>
      <c r="N28" s="117"/>
      <c r="P28" s="19" t="s">
        <v>128</v>
      </c>
      <c r="Q28" s="233">
        <v>4.9290000000000002E-3</v>
      </c>
      <c r="R28" s="118"/>
    </row>
    <row r="29" spans="2:18" ht="15.75" x14ac:dyDescent="0.25">
      <c r="B29" s="98"/>
      <c r="C29" s="38"/>
      <c r="D29" s="38"/>
      <c r="E29" s="38"/>
      <c r="F29" s="5"/>
      <c r="G29" s="5"/>
      <c r="H29" s="5"/>
      <c r="I29" s="5"/>
      <c r="J29" s="5"/>
      <c r="K29" s="5"/>
      <c r="L29" s="5"/>
      <c r="M29" s="5"/>
      <c r="N29" s="20"/>
      <c r="P29" s="19" t="s">
        <v>89</v>
      </c>
      <c r="Q29" s="233">
        <v>3.9779999999999998E-3</v>
      </c>
      <c r="R29" s="54"/>
    </row>
    <row r="30" spans="2:18" ht="15.75" x14ac:dyDescent="0.25">
      <c r="B30" s="98"/>
      <c r="C30" s="38" t="s">
        <v>275</v>
      </c>
      <c r="D30" s="4" t="s">
        <v>61</v>
      </c>
      <c r="E30" s="211">
        <v>0.198985</v>
      </c>
      <c r="F30" s="5"/>
      <c r="G30" s="5"/>
      <c r="H30" s="5"/>
      <c r="I30" s="5"/>
      <c r="J30" s="5"/>
      <c r="K30" s="5"/>
      <c r="L30" s="5"/>
      <c r="M30" s="5"/>
      <c r="N30" s="20"/>
      <c r="P30" s="19" t="s">
        <v>126</v>
      </c>
      <c r="Q30" s="233">
        <v>3.9110000000000004E-3</v>
      </c>
      <c r="R30" s="54"/>
    </row>
    <row r="31" spans="2:18" ht="15.75" x14ac:dyDescent="0.25">
      <c r="B31" s="98"/>
      <c r="C31" s="38" t="s">
        <v>230</v>
      </c>
      <c r="D31" s="4" t="s">
        <v>61</v>
      </c>
      <c r="E31" s="211">
        <v>6.5479999999999997E-2</v>
      </c>
      <c r="F31" s="5"/>
      <c r="G31" s="5"/>
      <c r="H31" s="5"/>
      <c r="I31" s="5"/>
      <c r="J31" s="5"/>
      <c r="K31" s="5"/>
      <c r="L31" s="5"/>
      <c r="M31" s="5"/>
      <c r="N31" s="20"/>
      <c r="P31" s="181" t="s">
        <v>101</v>
      </c>
      <c r="Q31" s="233">
        <v>2.722E-3</v>
      </c>
      <c r="R31" s="54"/>
    </row>
    <row r="32" spans="2:18" ht="15.75" x14ac:dyDescent="0.25">
      <c r="B32" s="98"/>
      <c r="C32" s="114" t="s">
        <v>42</v>
      </c>
      <c r="D32" s="114"/>
      <c r="E32" s="115">
        <v>0.26446500000000001</v>
      </c>
      <c r="F32" s="5"/>
      <c r="G32" s="5"/>
      <c r="H32" s="5"/>
      <c r="I32" s="5"/>
      <c r="J32" s="5"/>
      <c r="K32" s="5"/>
      <c r="L32" s="5"/>
      <c r="M32" s="5"/>
      <c r="N32" s="20"/>
      <c r="P32" s="3" t="s">
        <v>25</v>
      </c>
      <c r="Q32" s="233">
        <v>1.029E-3</v>
      </c>
      <c r="R32" s="54"/>
    </row>
    <row r="33" spans="1:18" ht="15.75" x14ac:dyDescent="0.25">
      <c r="B33" s="98"/>
      <c r="C33" s="119"/>
      <c r="D33" s="119"/>
      <c r="E33" s="120"/>
      <c r="F33" s="5"/>
      <c r="G33" s="5"/>
      <c r="H33" s="5"/>
      <c r="I33" s="5"/>
      <c r="J33" s="5"/>
      <c r="K33" s="5"/>
      <c r="L33" s="5"/>
      <c r="M33" s="5"/>
      <c r="N33" s="20"/>
      <c r="P33" s="3" t="s">
        <v>82</v>
      </c>
      <c r="Q33" s="233">
        <v>8.5300000000000003E-4</v>
      </c>
      <c r="R33" s="54"/>
    </row>
    <row r="34" spans="1:18" ht="15.75" x14ac:dyDescent="0.2">
      <c r="B34" s="98"/>
      <c r="C34" s="114" t="s">
        <v>20</v>
      </c>
      <c r="D34" s="114"/>
      <c r="E34" s="115">
        <v>3.7074999999999997E-2</v>
      </c>
      <c r="F34" s="5"/>
      <c r="G34" s="5"/>
      <c r="H34" s="5"/>
      <c r="I34" s="5"/>
      <c r="J34" s="5"/>
      <c r="K34" s="5"/>
      <c r="L34" s="5"/>
      <c r="M34" s="5"/>
      <c r="N34" s="20"/>
      <c r="R34" s="54"/>
    </row>
    <row r="35" spans="1:18" x14ac:dyDescent="0.2">
      <c r="B35" s="98"/>
      <c r="C35" s="4"/>
      <c r="D35" s="4"/>
      <c r="E35" s="32"/>
      <c r="F35" s="5"/>
      <c r="G35" s="5"/>
      <c r="H35" s="5"/>
      <c r="I35" s="5"/>
      <c r="J35" s="5"/>
      <c r="K35" s="5"/>
      <c r="L35" s="5"/>
      <c r="M35" s="5"/>
      <c r="N35" s="20"/>
      <c r="R35" s="54"/>
    </row>
    <row r="36" spans="1:18" ht="15.75" x14ac:dyDescent="0.2">
      <c r="B36" s="98"/>
      <c r="C36" s="121" t="s">
        <v>21</v>
      </c>
      <c r="D36" s="121"/>
      <c r="E36" s="122">
        <f>E34+E32+E28+E26+E24</f>
        <v>0.99999999999999989</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53" t="s">
        <v>202</v>
      </c>
      <c r="C44" s="254"/>
      <c r="D44" s="254"/>
      <c r="E44" s="254"/>
      <c r="F44" s="254"/>
      <c r="G44" s="254"/>
      <c r="H44" s="254"/>
      <c r="I44" s="254"/>
      <c r="J44" s="254"/>
      <c r="K44" s="254"/>
      <c r="L44" s="254"/>
      <c r="M44" s="254"/>
      <c r="N44" s="254"/>
      <c r="O44" s="254"/>
      <c r="P44" s="254"/>
      <c r="Q44" s="254"/>
      <c r="R44" s="255"/>
    </row>
    <row r="45" spans="1:18" x14ac:dyDescent="0.2">
      <c r="B45" s="256"/>
      <c r="C45" s="257"/>
      <c r="D45" s="257"/>
      <c r="E45" s="257"/>
      <c r="F45" s="257"/>
      <c r="G45" s="257"/>
      <c r="H45" s="257"/>
      <c r="I45" s="257"/>
      <c r="J45" s="257"/>
      <c r="K45" s="257"/>
      <c r="L45" s="257"/>
      <c r="M45" s="257"/>
      <c r="N45" s="257"/>
      <c r="O45" s="257"/>
      <c r="P45" s="257"/>
      <c r="Q45" s="257"/>
      <c r="R45" s="258"/>
    </row>
    <row r="46" spans="1:18" x14ac:dyDescent="0.2">
      <c r="B46" s="256"/>
      <c r="C46" s="257"/>
      <c r="D46" s="257"/>
      <c r="E46" s="257"/>
      <c r="F46" s="257"/>
      <c r="G46" s="257"/>
      <c r="H46" s="257"/>
      <c r="I46" s="257"/>
      <c r="J46" s="257"/>
      <c r="K46" s="257"/>
      <c r="L46" s="257"/>
      <c r="M46" s="257"/>
      <c r="N46" s="257"/>
      <c r="O46" s="257"/>
      <c r="P46" s="257"/>
      <c r="Q46" s="257"/>
      <c r="R46" s="258"/>
    </row>
    <row r="47" spans="1:18" x14ac:dyDescent="0.2">
      <c r="B47" s="256"/>
      <c r="C47" s="257"/>
      <c r="D47" s="257"/>
      <c r="E47" s="257"/>
      <c r="F47" s="257"/>
      <c r="G47" s="257"/>
      <c r="H47" s="257"/>
      <c r="I47" s="257"/>
      <c r="J47" s="257"/>
      <c r="K47" s="257"/>
      <c r="L47" s="257"/>
      <c r="M47" s="257"/>
      <c r="N47" s="257"/>
      <c r="O47" s="257"/>
      <c r="P47" s="257"/>
      <c r="Q47" s="257"/>
      <c r="R47" s="258"/>
    </row>
    <row r="48" spans="1:18" x14ac:dyDescent="0.2">
      <c r="B48" s="256"/>
      <c r="C48" s="257"/>
      <c r="D48" s="257"/>
      <c r="E48" s="257"/>
      <c r="F48" s="257"/>
      <c r="G48" s="257"/>
      <c r="H48" s="257"/>
      <c r="I48" s="257"/>
      <c r="J48" s="257"/>
      <c r="K48" s="257"/>
      <c r="L48" s="257"/>
      <c r="M48" s="257"/>
      <c r="N48" s="257"/>
      <c r="O48" s="257"/>
      <c r="P48" s="257"/>
      <c r="Q48" s="257"/>
      <c r="R48" s="258"/>
    </row>
    <row r="49" spans="2:18" x14ac:dyDescent="0.2">
      <c r="B49" s="256"/>
      <c r="C49" s="257"/>
      <c r="D49" s="257"/>
      <c r="E49" s="257"/>
      <c r="F49" s="257"/>
      <c r="G49" s="257"/>
      <c r="H49" s="257"/>
      <c r="I49" s="257"/>
      <c r="J49" s="257"/>
      <c r="K49" s="257"/>
      <c r="L49" s="257"/>
      <c r="M49" s="257"/>
      <c r="N49" s="257"/>
      <c r="O49" s="257"/>
      <c r="P49" s="257"/>
      <c r="Q49" s="257"/>
      <c r="R49" s="258"/>
    </row>
    <row r="50" spans="2:18" ht="15.75" thickBot="1" x14ac:dyDescent="0.25">
      <c r="B50" s="259"/>
      <c r="C50" s="260"/>
      <c r="D50" s="260"/>
      <c r="E50" s="260"/>
      <c r="F50" s="260"/>
      <c r="G50" s="260"/>
      <c r="H50" s="260"/>
      <c r="I50" s="260"/>
      <c r="J50" s="260"/>
      <c r="K50" s="260"/>
      <c r="L50" s="260"/>
      <c r="M50" s="260"/>
      <c r="N50" s="260"/>
      <c r="O50" s="260"/>
      <c r="P50" s="260"/>
      <c r="Q50" s="260"/>
      <c r="R50" s="261"/>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4"/>
    </row>
    <row r="3" spans="2:19" ht="20.25" customHeight="1" x14ac:dyDescent="0.2">
      <c r="B3" s="98"/>
      <c r="C3" s="247" t="s">
        <v>301</v>
      </c>
      <c r="D3" s="247" t="s">
        <v>301</v>
      </c>
      <c r="E3" s="247" t="s">
        <v>301</v>
      </c>
      <c r="F3" s="247" t="s">
        <v>301</v>
      </c>
      <c r="G3" s="247" t="s">
        <v>301</v>
      </c>
      <c r="H3" s="247" t="s">
        <v>301</v>
      </c>
      <c r="I3" s="247" t="s">
        <v>301</v>
      </c>
      <c r="J3" s="247" t="s">
        <v>301</v>
      </c>
      <c r="K3" s="247" t="s">
        <v>301</v>
      </c>
      <c r="L3" s="247" t="s">
        <v>301</v>
      </c>
      <c r="M3" s="247" t="s">
        <v>301</v>
      </c>
      <c r="N3" s="248" t="s">
        <v>301</v>
      </c>
    </row>
    <row r="4" spans="2:19" ht="15.75" x14ac:dyDescent="0.25">
      <c r="B4" s="98"/>
      <c r="C4" s="72" t="s">
        <v>354</v>
      </c>
      <c r="D4" s="29"/>
      <c r="E4" s="29"/>
      <c r="F4" s="5"/>
      <c r="G4" s="5"/>
      <c r="H4" s="5"/>
      <c r="I4" s="5"/>
      <c r="J4" s="5"/>
      <c r="K4" s="5"/>
      <c r="L4" s="5"/>
      <c r="M4" s="5"/>
      <c r="N4" s="20"/>
    </row>
    <row r="5" spans="2:19" ht="20.25" customHeight="1" x14ac:dyDescent="0.2">
      <c r="B5" s="98"/>
      <c r="C5" s="235" t="s">
        <v>355</v>
      </c>
      <c r="D5" s="264" t="s">
        <v>341</v>
      </c>
      <c r="E5" s="264"/>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187">
        <v>6.877999999999998E-2</v>
      </c>
    </row>
    <row r="8" spans="2:19" ht="15.75" x14ac:dyDescent="0.25">
      <c r="B8" s="98"/>
      <c r="C8" s="210" t="s">
        <v>28</v>
      </c>
      <c r="D8" s="109" t="s">
        <v>117</v>
      </c>
      <c r="E8" s="110">
        <v>1.9325999999999999E-2</v>
      </c>
      <c r="F8" s="5"/>
      <c r="G8" s="5"/>
      <c r="H8" s="5"/>
      <c r="I8" s="5"/>
      <c r="J8" s="5"/>
      <c r="K8" s="5"/>
      <c r="L8" s="5"/>
      <c r="M8" s="5"/>
      <c r="N8" s="20"/>
      <c r="P8" s="188" t="s">
        <v>4</v>
      </c>
      <c r="Q8" s="187">
        <v>3.2301000000000003E-2</v>
      </c>
      <c r="R8" s="54"/>
    </row>
    <row r="9" spans="2:19" ht="15.75" customHeight="1" x14ac:dyDescent="0.25">
      <c r="B9" s="98"/>
      <c r="C9" s="128" t="s">
        <v>32</v>
      </c>
      <c r="D9" s="38" t="s">
        <v>3</v>
      </c>
      <c r="E9" s="39">
        <v>1.7509E-2</v>
      </c>
      <c r="F9" s="5"/>
      <c r="G9" s="5"/>
      <c r="H9" s="5"/>
      <c r="I9" s="5"/>
      <c r="J9" s="5"/>
      <c r="K9" s="5"/>
      <c r="L9" s="5"/>
      <c r="M9" s="5"/>
      <c r="N9" s="20"/>
      <c r="P9" s="188" t="s">
        <v>121</v>
      </c>
      <c r="Q9" s="187">
        <v>3.1400999999999998E-2</v>
      </c>
      <c r="R9" s="54"/>
    </row>
    <row r="10" spans="2:19" ht="15.75" x14ac:dyDescent="0.25">
      <c r="B10" s="98"/>
      <c r="C10" s="128" t="s">
        <v>31</v>
      </c>
      <c r="D10" s="38" t="s">
        <v>6</v>
      </c>
      <c r="E10" s="39">
        <v>1.4429000000000001E-2</v>
      </c>
      <c r="F10" s="31"/>
      <c r="G10" s="5"/>
      <c r="H10" s="5"/>
      <c r="I10" s="5"/>
      <c r="J10" s="5"/>
      <c r="K10" s="5"/>
      <c r="L10" s="5"/>
      <c r="M10" s="5"/>
      <c r="N10" s="20"/>
      <c r="P10" s="188" t="s">
        <v>117</v>
      </c>
      <c r="Q10" s="187">
        <v>2.9121999999999999E-2</v>
      </c>
      <c r="R10" s="54"/>
    </row>
    <row r="11" spans="2:19" ht="15.75" x14ac:dyDescent="0.25">
      <c r="B11" s="98"/>
      <c r="C11" s="128" t="s">
        <v>29</v>
      </c>
      <c r="D11" s="38" t="s">
        <v>3</v>
      </c>
      <c r="E11" s="39">
        <v>1.4368000000000002E-2</v>
      </c>
      <c r="F11" s="5"/>
      <c r="G11" s="5"/>
      <c r="H11" s="5"/>
      <c r="I11" s="5"/>
      <c r="J11" s="5"/>
      <c r="K11" s="5"/>
      <c r="L11" s="5"/>
      <c r="M11" s="5"/>
      <c r="N11" s="20"/>
      <c r="P11" s="188" t="s">
        <v>16</v>
      </c>
      <c r="Q11" s="187">
        <v>2.7543000000000002E-2</v>
      </c>
      <c r="R11" s="54"/>
    </row>
    <row r="12" spans="2:19" ht="15.75" customHeight="1" x14ac:dyDescent="0.25">
      <c r="B12" s="98"/>
      <c r="C12" s="128" t="s">
        <v>86</v>
      </c>
      <c r="D12" s="38" t="s">
        <v>4</v>
      </c>
      <c r="E12" s="39">
        <v>9.5709999999999996E-3</v>
      </c>
      <c r="F12" s="31"/>
      <c r="G12" s="5"/>
      <c r="H12" s="5"/>
      <c r="I12" s="5"/>
      <c r="J12" s="5"/>
      <c r="K12" s="5"/>
      <c r="L12" s="5"/>
      <c r="M12" s="5"/>
      <c r="N12" s="20"/>
      <c r="P12" s="188" t="s">
        <v>122</v>
      </c>
      <c r="Q12" s="187">
        <v>2.1125000000000001E-2</v>
      </c>
      <c r="R12" s="54"/>
    </row>
    <row r="13" spans="2:19" ht="15.75" x14ac:dyDescent="0.25">
      <c r="B13" s="98"/>
      <c r="C13" s="128" t="s">
        <v>34</v>
      </c>
      <c r="D13" s="38" t="s">
        <v>23</v>
      </c>
      <c r="E13" s="39">
        <v>8.2909999999999998E-3</v>
      </c>
      <c r="F13" s="31"/>
      <c r="G13" s="5"/>
      <c r="H13" s="5"/>
      <c r="I13" s="5"/>
      <c r="J13" s="5"/>
      <c r="K13" s="5"/>
      <c r="L13" s="5"/>
      <c r="M13" s="5"/>
      <c r="N13" s="20"/>
      <c r="P13" s="188" t="s">
        <v>129</v>
      </c>
      <c r="Q13" s="187">
        <v>2.1047E-2</v>
      </c>
      <c r="R13" s="54"/>
    </row>
    <row r="14" spans="2:19" ht="15.75" x14ac:dyDescent="0.25">
      <c r="B14" s="98"/>
      <c r="C14" s="128" t="s">
        <v>102</v>
      </c>
      <c r="D14" s="38" t="s">
        <v>122</v>
      </c>
      <c r="E14" s="39">
        <v>7.1739999999999998E-3</v>
      </c>
      <c r="F14" s="31"/>
      <c r="G14" s="5"/>
      <c r="H14" s="5"/>
      <c r="I14" s="5"/>
      <c r="J14" s="5"/>
      <c r="K14" s="5"/>
      <c r="L14" s="5"/>
      <c r="M14" s="5"/>
      <c r="N14" s="20"/>
      <c r="P14" s="188" t="s">
        <v>26</v>
      </c>
      <c r="Q14" s="187">
        <v>1.9328999999999999E-2</v>
      </c>
      <c r="R14" s="54"/>
    </row>
    <row r="15" spans="2:19" ht="15.75" x14ac:dyDescent="0.25">
      <c r="B15" s="98"/>
      <c r="C15" s="128" t="s">
        <v>85</v>
      </c>
      <c r="D15" s="38" t="s">
        <v>122</v>
      </c>
      <c r="E15" s="39">
        <v>7.0109999999999999E-3</v>
      </c>
      <c r="F15" s="5"/>
      <c r="G15" s="5"/>
      <c r="H15" s="5"/>
      <c r="I15" s="5"/>
      <c r="J15" s="5"/>
      <c r="K15" s="5"/>
      <c r="L15" s="5"/>
      <c r="M15" s="5"/>
      <c r="N15" s="20"/>
      <c r="P15" s="188" t="s">
        <v>6</v>
      </c>
      <c r="Q15" s="187">
        <v>1.7055000000000004E-2</v>
      </c>
      <c r="R15" s="54"/>
    </row>
    <row r="16" spans="2:19" ht="15.75" x14ac:dyDescent="0.25">
      <c r="B16" s="98"/>
      <c r="C16" s="128" t="s">
        <v>35</v>
      </c>
      <c r="D16" s="38" t="s">
        <v>3</v>
      </c>
      <c r="E16" s="39">
        <v>6.7400000000000003E-3</v>
      </c>
      <c r="F16" s="5"/>
      <c r="G16" s="5"/>
      <c r="H16" s="5"/>
      <c r="I16" s="5"/>
      <c r="J16" s="5"/>
      <c r="K16" s="5"/>
      <c r="L16" s="5"/>
      <c r="M16" s="5"/>
      <c r="N16" s="20"/>
      <c r="P16" s="188" t="s">
        <v>120</v>
      </c>
      <c r="Q16" s="187">
        <v>1.6975000000000001E-2</v>
      </c>
      <c r="R16" s="54"/>
    </row>
    <row r="17" spans="2:18" ht="15.75" x14ac:dyDescent="0.25">
      <c r="B17" s="98"/>
      <c r="C17" s="128" t="s">
        <v>294</v>
      </c>
      <c r="D17" s="111" t="s">
        <v>23</v>
      </c>
      <c r="E17" s="39">
        <v>6.1840000000000003E-3</v>
      </c>
      <c r="F17" s="5"/>
      <c r="G17" s="5"/>
      <c r="H17" s="5"/>
      <c r="I17" s="5"/>
      <c r="J17" s="5"/>
      <c r="K17" s="5"/>
      <c r="L17" s="5"/>
      <c r="M17" s="5"/>
      <c r="N17" s="20"/>
      <c r="P17" s="188" t="s">
        <v>89</v>
      </c>
      <c r="Q17" s="187">
        <v>1.4995E-2</v>
      </c>
      <c r="R17" s="54"/>
    </row>
    <row r="18" spans="2:18" ht="15.75" x14ac:dyDescent="0.25">
      <c r="B18" s="98"/>
      <c r="C18" s="128" t="s">
        <v>73</v>
      </c>
      <c r="D18" s="38" t="s">
        <v>12</v>
      </c>
      <c r="E18" s="39">
        <v>6.1640000000000002E-3</v>
      </c>
      <c r="F18" s="5"/>
      <c r="G18" s="5"/>
      <c r="H18" s="5"/>
      <c r="I18" s="5"/>
      <c r="J18" s="5"/>
      <c r="K18" s="5"/>
      <c r="L18" s="5"/>
      <c r="M18" s="5"/>
      <c r="N18" s="20"/>
      <c r="P18" s="188" t="s">
        <v>11</v>
      </c>
      <c r="Q18" s="187">
        <v>1.4495000000000003E-2</v>
      </c>
      <c r="R18" s="54"/>
    </row>
    <row r="19" spans="2:18" ht="15.75" x14ac:dyDescent="0.25">
      <c r="B19" s="98"/>
      <c r="C19" s="128" t="s">
        <v>145</v>
      </c>
      <c r="D19" s="38" t="s">
        <v>3</v>
      </c>
      <c r="E19" s="39">
        <v>5.9320000000000006E-3</v>
      </c>
      <c r="F19" s="5"/>
      <c r="G19" s="5"/>
      <c r="H19" s="5"/>
      <c r="I19" s="5"/>
      <c r="J19" s="5"/>
      <c r="K19" s="5"/>
      <c r="L19" s="5"/>
      <c r="M19" s="5"/>
      <c r="N19" s="20"/>
      <c r="P19" s="188" t="s">
        <v>23</v>
      </c>
      <c r="Q19" s="187">
        <v>1.4475E-2</v>
      </c>
      <c r="R19" s="54"/>
    </row>
    <row r="20" spans="2:18" ht="15.75" customHeight="1" x14ac:dyDescent="0.25">
      <c r="B20" s="98"/>
      <c r="C20" s="128" t="s">
        <v>291</v>
      </c>
      <c r="D20" s="38" t="s">
        <v>209</v>
      </c>
      <c r="E20" s="39">
        <v>5.6849999999999999E-3</v>
      </c>
      <c r="F20" s="5"/>
      <c r="G20" s="5"/>
      <c r="H20" s="5"/>
      <c r="I20" s="5"/>
      <c r="J20" s="5"/>
      <c r="K20" s="5"/>
      <c r="L20" s="5"/>
      <c r="M20" s="5"/>
      <c r="N20" s="20"/>
      <c r="P20" s="188" t="s">
        <v>88</v>
      </c>
      <c r="Q20" s="187">
        <v>1.3737000000000001E-2</v>
      </c>
      <c r="R20" s="54"/>
    </row>
    <row r="21" spans="2:18" ht="15.75" x14ac:dyDescent="0.25">
      <c r="B21" s="98"/>
      <c r="C21" s="128" t="s">
        <v>306</v>
      </c>
      <c r="D21" s="38" t="s">
        <v>89</v>
      </c>
      <c r="E21" s="39">
        <v>5.3920000000000001E-3</v>
      </c>
      <c r="F21" s="5"/>
      <c r="G21" s="5"/>
      <c r="H21" s="5"/>
      <c r="I21" s="5"/>
      <c r="J21" s="5"/>
      <c r="K21" s="5"/>
      <c r="L21" s="5"/>
      <c r="M21" s="5"/>
      <c r="N21" s="20"/>
      <c r="P21" s="188" t="s">
        <v>123</v>
      </c>
      <c r="Q21" s="187">
        <v>1.0321E-2</v>
      </c>
      <c r="R21" s="54"/>
    </row>
    <row r="22" spans="2:18" ht="15.75" x14ac:dyDescent="0.25">
      <c r="B22" s="98"/>
      <c r="C22" s="128" t="s">
        <v>307</v>
      </c>
      <c r="D22" s="38" t="s">
        <v>121</v>
      </c>
      <c r="E22" s="39">
        <v>5.3709999999999999E-3</v>
      </c>
      <c r="F22" s="5"/>
      <c r="G22" s="31"/>
      <c r="H22" s="31"/>
      <c r="I22" s="31"/>
      <c r="J22" s="5"/>
      <c r="K22" s="31"/>
      <c r="L22" s="5"/>
      <c r="M22" s="5"/>
      <c r="N22" s="20"/>
      <c r="P22" s="188" t="s">
        <v>136</v>
      </c>
      <c r="Q22" s="187">
        <v>1.0019E-2</v>
      </c>
      <c r="R22" s="54"/>
    </row>
    <row r="23" spans="2:18" ht="15.75" customHeight="1" x14ac:dyDescent="0.25">
      <c r="B23" s="98"/>
      <c r="C23" s="38"/>
      <c r="D23" s="4"/>
      <c r="E23" s="6"/>
      <c r="F23" s="5"/>
      <c r="G23" s="31"/>
      <c r="H23" s="31"/>
      <c r="I23" s="31"/>
      <c r="J23" s="5"/>
      <c r="K23" s="31"/>
      <c r="L23" s="5"/>
      <c r="M23" s="5"/>
      <c r="N23" s="20"/>
      <c r="P23" s="188" t="s">
        <v>24</v>
      </c>
      <c r="Q23" s="187">
        <v>9.7470000000000005E-3</v>
      </c>
      <c r="R23" s="54"/>
    </row>
    <row r="24" spans="2:18" ht="15.75" x14ac:dyDescent="0.25">
      <c r="B24" s="98"/>
      <c r="C24" s="114" t="s">
        <v>56</v>
      </c>
      <c r="D24" s="114"/>
      <c r="E24" s="115">
        <f>SUM(E8:E22)</f>
        <v>0.13914700000000002</v>
      </c>
      <c r="F24" s="5"/>
      <c r="G24" s="5"/>
      <c r="H24" s="5"/>
      <c r="I24" s="5"/>
      <c r="J24" s="5"/>
      <c r="K24" s="5"/>
      <c r="L24" s="5"/>
      <c r="M24" s="5"/>
      <c r="N24" s="20"/>
      <c r="P24" s="188" t="s">
        <v>10</v>
      </c>
      <c r="Q24" s="187">
        <v>9.7130000000000011E-3</v>
      </c>
      <c r="R24" s="54"/>
    </row>
    <row r="25" spans="2:18" ht="15.75" x14ac:dyDescent="0.25">
      <c r="B25" s="98"/>
      <c r="C25" s="4"/>
      <c r="D25" s="4"/>
      <c r="E25" s="6"/>
      <c r="F25" s="5"/>
      <c r="G25" s="5"/>
      <c r="H25" s="5"/>
      <c r="I25" s="5"/>
      <c r="J25" s="5"/>
      <c r="K25" s="5"/>
      <c r="L25" s="5"/>
      <c r="M25" s="5"/>
      <c r="N25" s="20"/>
      <c r="P25" s="188" t="s">
        <v>91</v>
      </c>
      <c r="Q25" s="187">
        <v>9.5960000000000004E-3</v>
      </c>
      <c r="R25" s="54"/>
    </row>
    <row r="26" spans="2:18" ht="15.75" x14ac:dyDescent="0.25">
      <c r="B26" s="98"/>
      <c r="C26" s="114" t="s">
        <v>68</v>
      </c>
      <c r="D26" s="114"/>
      <c r="E26" s="115">
        <v>0.35636699999999999</v>
      </c>
      <c r="F26" s="31"/>
      <c r="G26" s="5"/>
      <c r="H26" s="5"/>
      <c r="I26" s="5"/>
      <c r="J26" s="5"/>
      <c r="K26" s="5"/>
      <c r="L26" s="5"/>
      <c r="M26" s="5"/>
      <c r="N26" s="20"/>
      <c r="P26" s="188" t="s">
        <v>116</v>
      </c>
      <c r="Q26" s="187">
        <v>9.3400000000000011E-3</v>
      </c>
      <c r="R26" s="54"/>
    </row>
    <row r="27" spans="2:18" ht="15.75" x14ac:dyDescent="0.25">
      <c r="B27" s="98"/>
      <c r="C27" s="38"/>
      <c r="D27" s="63"/>
      <c r="E27" s="6"/>
      <c r="F27" s="5"/>
      <c r="G27" s="5"/>
      <c r="H27" s="5"/>
      <c r="I27" s="5"/>
      <c r="J27" s="5"/>
      <c r="K27" s="5"/>
      <c r="L27" s="5"/>
      <c r="M27" s="5"/>
      <c r="N27" s="20"/>
      <c r="P27" s="188" t="s">
        <v>124</v>
      </c>
      <c r="Q27" s="187">
        <v>8.941000000000001E-3</v>
      </c>
      <c r="R27" s="54"/>
    </row>
    <row r="28" spans="2:18" s="53" customFormat="1" ht="13.5" customHeight="1" x14ac:dyDescent="0.25">
      <c r="B28" s="116"/>
      <c r="C28" s="114" t="s">
        <v>58</v>
      </c>
      <c r="D28" s="114"/>
      <c r="E28" s="195">
        <v>0.157915</v>
      </c>
      <c r="F28" s="42"/>
      <c r="G28" s="42"/>
      <c r="H28" s="42"/>
      <c r="I28" s="42"/>
      <c r="J28" s="42"/>
      <c r="K28" s="42"/>
      <c r="L28" s="42"/>
      <c r="M28" s="42"/>
      <c r="N28" s="117"/>
      <c r="P28" s="188" t="s">
        <v>25</v>
      </c>
      <c r="Q28" s="187">
        <v>8.5000000000000006E-3</v>
      </c>
      <c r="R28" s="118"/>
    </row>
    <row r="29" spans="2:18" ht="15.75" x14ac:dyDescent="0.25">
      <c r="B29" s="98"/>
      <c r="C29" s="38"/>
      <c r="D29" s="38"/>
      <c r="E29" s="6"/>
      <c r="F29" s="5"/>
      <c r="G29" s="5"/>
      <c r="H29" s="5"/>
      <c r="I29" s="5"/>
      <c r="J29" s="5"/>
      <c r="K29" s="5"/>
      <c r="L29" s="5"/>
      <c r="M29" s="5"/>
      <c r="N29" s="20"/>
      <c r="P29" s="188" t="s">
        <v>13</v>
      </c>
      <c r="Q29" s="187">
        <v>7.7780000000000002E-3</v>
      </c>
      <c r="R29" s="54"/>
    </row>
    <row r="30" spans="2:18" ht="15.75" x14ac:dyDescent="0.25">
      <c r="B30" s="98"/>
      <c r="C30" s="38" t="s">
        <v>299</v>
      </c>
      <c r="D30" s="38" t="s">
        <v>298</v>
      </c>
      <c r="E30" s="6">
        <v>5.5046999999999999E-2</v>
      </c>
      <c r="F30" s="5"/>
      <c r="G30" s="5"/>
      <c r="H30" s="5"/>
      <c r="I30" s="5"/>
      <c r="J30" s="5"/>
      <c r="K30" s="5"/>
      <c r="L30" s="5"/>
      <c r="M30" s="5"/>
      <c r="N30" s="20"/>
      <c r="P30" s="188" t="s">
        <v>128</v>
      </c>
      <c r="Q30" s="187">
        <v>7.4920000000000004E-3</v>
      </c>
      <c r="R30" s="54"/>
    </row>
    <row r="31" spans="2:18" ht="15.75" x14ac:dyDescent="0.25">
      <c r="B31" s="98"/>
      <c r="C31" s="38" t="s">
        <v>300</v>
      </c>
      <c r="D31" s="38" t="s">
        <v>298</v>
      </c>
      <c r="E31" s="6">
        <v>5.4408999999999999E-2</v>
      </c>
      <c r="F31" s="5"/>
      <c r="G31" s="5"/>
      <c r="H31" s="5"/>
      <c r="I31" s="5"/>
      <c r="J31" s="5"/>
      <c r="K31" s="5"/>
      <c r="L31" s="5"/>
      <c r="M31" s="5"/>
      <c r="N31" s="20"/>
      <c r="P31" s="188" t="s">
        <v>82</v>
      </c>
      <c r="Q31" s="187">
        <v>7.2600000000000008E-3</v>
      </c>
      <c r="R31" s="54"/>
    </row>
    <row r="32" spans="2:18" ht="15.75" x14ac:dyDescent="0.25">
      <c r="B32" s="98"/>
      <c r="C32" s="114" t="s">
        <v>297</v>
      </c>
      <c r="D32" s="114"/>
      <c r="E32" s="195">
        <v>0.109456</v>
      </c>
      <c r="F32" s="5"/>
      <c r="G32" s="5"/>
      <c r="H32" s="5"/>
      <c r="I32" s="5"/>
      <c r="J32" s="5"/>
      <c r="K32" s="5"/>
      <c r="L32" s="5"/>
      <c r="M32" s="5"/>
      <c r="N32" s="20"/>
      <c r="P32" s="188" t="s">
        <v>12</v>
      </c>
      <c r="Q32" s="187">
        <v>6.1640000000000002E-3</v>
      </c>
      <c r="R32" s="54"/>
    </row>
    <row r="33" spans="1:18" ht="15.75" x14ac:dyDescent="0.25">
      <c r="B33" s="98"/>
      <c r="C33" s="38" t="s">
        <v>275</v>
      </c>
      <c r="D33" s="4" t="s">
        <v>61</v>
      </c>
      <c r="E33" s="211">
        <v>3.6296000000000002E-2</v>
      </c>
      <c r="F33" s="5"/>
      <c r="G33" s="5"/>
      <c r="H33" s="5"/>
      <c r="I33" s="5"/>
      <c r="J33" s="5"/>
      <c r="K33" s="5"/>
      <c r="L33" s="5"/>
      <c r="M33" s="5"/>
      <c r="N33" s="20"/>
      <c r="P33" s="188" t="s">
        <v>209</v>
      </c>
      <c r="Q33" s="187">
        <v>5.6849999999999999E-3</v>
      </c>
      <c r="R33" s="54"/>
    </row>
    <row r="34" spans="1:18" ht="15.75" x14ac:dyDescent="0.25">
      <c r="B34" s="98"/>
      <c r="C34" s="38" t="s">
        <v>230</v>
      </c>
      <c r="D34" s="4" t="s">
        <v>61</v>
      </c>
      <c r="E34" s="211">
        <v>3.1850000000000003E-2</v>
      </c>
      <c r="F34" s="5"/>
      <c r="G34" s="5"/>
      <c r="H34" s="5"/>
      <c r="I34" s="5"/>
      <c r="J34" s="5"/>
      <c r="K34" s="5"/>
      <c r="L34" s="5"/>
      <c r="M34" s="5"/>
      <c r="N34" s="20"/>
      <c r="P34" s="188" t="s">
        <v>15</v>
      </c>
      <c r="Q34" s="187">
        <v>5.6170000000000005E-3</v>
      </c>
      <c r="R34" s="54"/>
    </row>
    <row r="35" spans="1:18" ht="15.75" x14ac:dyDescent="0.25">
      <c r="B35" s="98"/>
      <c r="C35" s="38" t="s">
        <v>224</v>
      </c>
      <c r="D35" s="4" t="s">
        <v>61</v>
      </c>
      <c r="E35" s="211">
        <v>2.3954E-2</v>
      </c>
      <c r="F35" s="5"/>
      <c r="G35" s="5"/>
      <c r="H35" s="5"/>
      <c r="I35" s="5"/>
      <c r="J35" s="5"/>
      <c r="K35" s="5"/>
      <c r="L35" s="5"/>
      <c r="M35" s="5"/>
      <c r="N35" s="20"/>
      <c r="P35" s="188" t="s">
        <v>90</v>
      </c>
      <c r="Q35" s="187">
        <v>5.5300000000000002E-3</v>
      </c>
      <c r="R35" s="54"/>
    </row>
    <row r="36" spans="1:18" ht="15.75" x14ac:dyDescent="0.25">
      <c r="B36" s="98"/>
      <c r="C36" s="114" t="s">
        <v>42</v>
      </c>
      <c r="D36" s="114"/>
      <c r="E36" s="115">
        <v>9.2100000000000001E-2</v>
      </c>
      <c r="F36" s="5"/>
      <c r="G36" s="5"/>
      <c r="H36" s="5"/>
      <c r="I36" s="5"/>
      <c r="J36" s="5"/>
      <c r="K36" s="5"/>
      <c r="L36" s="5"/>
      <c r="M36" s="5"/>
      <c r="N36" s="20"/>
      <c r="P36" s="188" t="s">
        <v>127</v>
      </c>
      <c r="Q36" s="187">
        <v>4.9789999999999991E-3</v>
      </c>
      <c r="R36" s="54"/>
    </row>
    <row r="37" spans="1:18" ht="15.75" x14ac:dyDescent="0.25">
      <c r="B37" s="98"/>
      <c r="C37" s="119"/>
      <c r="D37" s="119"/>
      <c r="E37" s="120"/>
      <c r="F37" s="5"/>
      <c r="G37" s="5"/>
      <c r="H37" s="5"/>
      <c r="I37" s="5"/>
      <c r="J37" s="5"/>
      <c r="K37" s="5"/>
      <c r="L37" s="5"/>
      <c r="M37" s="5"/>
      <c r="N37" s="20"/>
      <c r="P37" s="188" t="s">
        <v>141</v>
      </c>
      <c r="Q37" s="187">
        <v>4.8050000000000002E-3</v>
      </c>
      <c r="R37" s="54"/>
    </row>
    <row r="38" spans="1:18" ht="15.75" x14ac:dyDescent="0.25">
      <c r="B38" s="98"/>
      <c r="C38" s="38" t="s">
        <v>296</v>
      </c>
      <c r="D38" s="4"/>
      <c r="E38" s="211">
        <v>0.118518</v>
      </c>
      <c r="F38" s="5"/>
      <c r="G38" s="5"/>
      <c r="H38" s="5"/>
      <c r="I38" s="5"/>
      <c r="J38" s="5"/>
      <c r="K38" s="5"/>
      <c r="L38" s="5"/>
      <c r="M38" s="5"/>
      <c r="N38" s="20"/>
      <c r="P38" s="188" t="s">
        <v>132</v>
      </c>
      <c r="Q38" s="187">
        <v>4.803E-3</v>
      </c>
      <c r="R38" s="54"/>
    </row>
    <row r="39" spans="1:18" ht="15.75" x14ac:dyDescent="0.25">
      <c r="B39" s="98"/>
      <c r="C39" s="114" t="s">
        <v>295</v>
      </c>
      <c r="D39" s="114"/>
      <c r="E39" s="115">
        <v>0.118518</v>
      </c>
      <c r="F39" s="5"/>
      <c r="G39" s="5"/>
      <c r="H39" s="5"/>
      <c r="I39" s="5"/>
      <c r="J39" s="5"/>
      <c r="K39" s="5"/>
      <c r="L39" s="5"/>
      <c r="M39" s="5"/>
      <c r="N39" s="20"/>
      <c r="P39" s="188" t="s">
        <v>131</v>
      </c>
      <c r="Q39" s="187">
        <v>4.4720000000000003E-3</v>
      </c>
      <c r="R39" s="54"/>
    </row>
    <row r="40" spans="1:18" ht="15.75" x14ac:dyDescent="0.25">
      <c r="B40" s="98"/>
      <c r="C40" s="119"/>
      <c r="D40" s="119"/>
      <c r="E40" s="120"/>
      <c r="F40" s="5"/>
      <c r="G40" s="5"/>
      <c r="H40" s="5"/>
      <c r="I40" s="5"/>
      <c r="J40" s="5"/>
      <c r="K40" s="5"/>
      <c r="L40" s="5"/>
      <c r="M40" s="5"/>
      <c r="N40" s="20"/>
      <c r="P40" s="188" t="s">
        <v>134</v>
      </c>
      <c r="Q40" s="187">
        <v>3.9300000000000003E-3</v>
      </c>
      <c r="R40" s="54"/>
    </row>
    <row r="41" spans="1:18" ht="15.75" x14ac:dyDescent="0.25">
      <c r="B41" s="98"/>
      <c r="C41" s="114" t="s">
        <v>20</v>
      </c>
      <c r="D41" s="114"/>
      <c r="E41" s="115">
        <v>2.6497E-2</v>
      </c>
      <c r="F41" s="5"/>
      <c r="G41" s="5"/>
      <c r="H41" s="5"/>
      <c r="I41" s="5"/>
      <c r="J41" s="5"/>
      <c r="K41" s="5"/>
      <c r="L41" s="5"/>
      <c r="M41" s="5"/>
      <c r="N41" s="20"/>
      <c r="P41" s="188" t="s">
        <v>161</v>
      </c>
      <c r="Q41" s="187">
        <v>3.7399999999999998E-3</v>
      </c>
      <c r="R41" s="54"/>
    </row>
    <row r="42" spans="1:18" s="53" customFormat="1" ht="15.75" x14ac:dyDescent="0.25">
      <c r="B42" s="116"/>
      <c r="C42" s="4"/>
      <c r="D42" s="4"/>
      <c r="E42" s="32"/>
      <c r="F42" s="42"/>
      <c r="G42" s="5"/>
      <c r="H42" s="5"/>
      <c r="I42" s="5"/>
      <c r="J42" s="5"/>
      <c r="K42" s="5"/>
      <c r="L42" s="42"/>
      <c r="M42" s="42"/>
      <c r="N42" s="117"/>
      <c r="P42" s="188" t="s">
        <v>92</v>
      </c>
      <c r="Q42" s="187">
        <v>2.4299999999999999E-3</v>
      </c>
      <c r="R42" s="118"/>
    </row>
    <row r="43" spans="1:18" ht="15.75" x14ac:dyDescent="0.25">
      <c r="B43" s="98"/>
      <c r="C43" s="121" t="s">
        <v>21</v>
      </c>
      <c r="D43" s="121"/>
      <c r="E43" s="122">
        <f>E41+E39+E36+E32+E28+E26+E24</f>
        <v>1</v>
      </c>
      <c r="F43" s="5"/>
      <c r="G43" s="5"/>
      <c r="H43" s="5"/>
      <c r="I43" s="5"/>
      <c r="J43" s="5"/>
      <c r="K43" s="5"/>
      <c r="L43" s="5"/>
      <c r="M43" s="5"/>
      <c r="N43" s="20"/>
      <c r="P43" s="19" t="s">
        <v>133</v>
      </c>
      <c r="Q43" s="233">
        <v>2.2720000000000001E-3</v>
      </c>
      <c r="R43" s="54"/>
    </row>
    <row r="44" spans="1:18" ht="15.75" x14ac:dyDescent="0.25">
      <c r="A44" s="5"/>
      <c r="B44" s="98"/>
      <c r="F44" s="5"/>
      <c r="G44" s="5"/>
      <c r="H44" s="5"/>
      <c r="I44" s="5"/>
      <c r="J44" s="5"/>
      <c r="K44" s="5"/>
      <c r="L44" s="5"/>
      <c r="M44" s="5"/>
      <c r="N44" s="20"/>
      <c r="O44" s="5"/>
      <c r="P44" s="19"/>
      <c r="Q44" s="233"/>
      <c r="R44" s="54"/>
    </row>
    <row r="45" spans="1:18" ht="16.5" thickBot="1" x14ac:dyDescent="0.3">
      <c r="A45" s="5"/>
      <c r="B45" s="101"/>
      <c r="C45" s="49"/>
      <c r="D45" s="49"/>
      <c r="E45" s="49"/>
      <c r="F45" s="49"/>
      <c r="G45" s="49"/>
      <c r="H45" s="49"/>
      <c r="I45" s="49"/>
      <c r="J45" s="49"/>
      <c r="K45" s="49"/>
      <c r="L45" s="49"/>
      <c r="M45" s="49"/>
      <c r="N45" s="124"/>
      <c r="O45" s="5"/>
      <c r="P45" s="19"/>
      <c r="Q45" s="233"/>
      <c r="R45" s="54"/>
    </row>
    <row r="46" spans="1:18" ht="15.75" thickBot="1" x14ac:dyDescent="0.25">
      <c r="R46" s="54"/>
    </row>
    <row r="47" spans="1:18" ht="15" customHeight="1" x14ac:dyDescent="0.2">
      <c r="B47" s="253" t="s">
        <v>202</v>
      </c>
      <c r="C47" s="254"/>
      <c r="D47" s="254"/>
      <c r="E47" s="254"/>
      <c r="F47" s="254"/>
      <c r="G47" s="254"/>
      <c r="H47" s="254"/>
      <c r="I47" s="254"/>
      <c r="J47" s="254"/>
      <c r="K47" s="254"/>
      <c r="L47" s="254"/>
      <c r="M47" s="254"/>
      <c r="N47" s="254"/>
      <c r="O47" s="254"/>
      <c r="P47" s="254"/>
      <c r="Q47" s="254"/>
      <c r="R47" s="255"/>
    </row>
    <row r="48" spans="1:18" x14ac:dyDescent="0.2">
      <c r="B48" s="256"/>
      <c r="C48" s="257"/>
      <c r="D48" s="257"/>
      <c r="E48" s="257"/>
      <c r="F48" s="257"/>
      <c r="G48" s="257"/>
      <c r="H48" s="257"/>
      <c r="I48" s="257"/>
      <c r="J48" s="257"/>
      <c r="K48" s="257"/>
      <c r="L48" s="257"/>
      <c r="M48" s="257"/>
      <c r="N48" s="257"/>
      <c r="O48" s="257"/>
      <c r="P48" s="257"/>
      <c r="Q48" s="257"/>
      <c r="R48" s="258"/>
    </row>
    <row r="49" spans="2:18" x14ac:dyDescent="0.2">
      <c r="B49" s="256"/>
      <c r="C49" s="257"/>
      <c r="D49" s="257"/>
      <c r="E49" s="257"/>
      <c r="F49" s="257"/>
      <c r="G49" s="257"/>
      <c r="H49" s="257"/>
      <c r="I49" s="257"/>
      <c r="J49" s="257"/>
      <c r="K49" s="257"/>
      <c r="L49" s="257"/>
      <c r="M49" s="257"/>
      <c r="N49" s="257"/>
      <c r="O49" s="257"/>
      <c r="P49" s="257"/>
      <c r="Q49" s="257"/>
      <c r="R49" s="258"/>
    </row>
    <row r="50" spans="2:18" x14ac:dyDescent="0.2">
      <c r="B50" s="256"/>
      <c r="C50" s="257"/>
      <c r="D50" s="257"/>
      <c r="E50" s="257"/>
      <c r="F50" s="257"/>
      <c r="G50" s="257"/>
      <c r="H50" s="257"/>
      <c r="I50" s="257"/>
      <c r="J50" s="257"/>
      <c r="K50" s="257"/>
      <c r="L50" s="257"/>
      <c r="M50" s="257"/>
      <c r="N50" s="257"/>
      <c r="O50" s="257"/>
      <c r="P50" s="257"/>
      <c r="Q50" s="257"/>
      <c r="R50" s="258"/>
    </row>
    <row r="51" spans="2:18" x14ac:dyDescent="0.2">
      <c r="B51" s="256"/>
      <c r="C51" s="257"/>
      <c r="D51" s="257"/>
      <c r="E51" s="257"/>
      <c r="F51" s="257"/>
      <c r="G51" s="257"/>
      <c r="H51" s="257"/>
      <c r="I51" s="257"/>
      <c r="J51" s="257"/>
      <c r="K51" s="257"/>
      <c r="L51" s="257"/>
      <c r="M51" s="257"/>
      <c r="N51" s="257"/>
      <c r="O51" s="257"/>
      <c r="P51" s="257"/>
      <c r="Q51" s="257"/>
      <c r="R51" s="258"/>
    </row>
    <row r="52" spans="2:18" x14ac:dyDescent="0.2">
      <c r="B52" s="256"/>
      <c r="C52" s="257"/>
      <c r="D52" s="257"/>
      <c r="E52" s="257"/>
      <c r="F52" s="257"/>
      <c r="G52" s="257"/>
      <c r="H52" s="257"/>
      <c r="I52" s="257"/>
      <c r="J52" s="257"/>
      <c r="K52" s="257"/>
      <c r="L52" s="257"/>
      <c r="M52" s="257"/>
      <c r="N52" s="257"/>
      <c r="O52" s="257"/>
      <c r="P52" s="257"/>
      <c r="Q52" s="257"/>
      <c r="R52" s="258"/>
    </row>
    <row r="53" spans="2:18" ht="15.75" thickBot="1" x14ac:dyDescent="0.25">
      <c r="B53" s="259"/>
      <c r="C53" s="260"/>
      <c r="D53" s="260"/>
      <c r="E53" s="260"/>
      <c r="F53" s="260"/>
      <c r="G53" s="260"/>
      <c r="H53" s="260"/>
      <c r="I53" s="260"/>
      <c r="J53" s="260"/>
      <c r="K53" s="260"/>
      <c r="L53" s="260"/>
      <c r="M53" s="260"/>
      <c r="N53" s="260"/>
      <c r="O53" s="260"/>
      <c r="P53" s="260"/>
      <c r="Q53" s="260"/>
      <c r="R53" s="261"/>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4:E35">
    <sortCondition descending="1" ref="E34"/>
  </sortState>
  <mergeCells count="3">
    <mergeCell ref="C3:N3"/>
    <mergeCell ref="D5:E5"/>
    <mergeCell ref="B47:R53"/>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47" t="s">
        <v>176</v>
      </c>
      <c r="D3" s="247"/>
      <c r="E3" s="247"/>
      <c r="F3" s="247"/>
      <c r="G3" s="247"/>
      <c r="H3" s="247"/>
      <c r="I3" s="247"/>
      <c r="J3" s="247"/>
      <c r="K3" s="247"/>
      <c r="L3" s="247"/>
      <c r="M3" s="248"/>
    </row>
    <row r="4" spans="2:16" ht="15.75" x14ac:dyDescent="0.25">
      <c r="B4" s="98"/>
      <c r="C4" s="72" t="s">
        <v>354</v>
      </c>
      <c r="D4" s="29"/>
      <c r="E4" s="29"/>
      <c r="F4" s="5"/>
      <c r="G4" s="5"/>
      <c r="H4" s="5"/>
      <c r="I4" s="5"/>
      <c r="J4" s="5"/>
      <c r="K4" s="5"/>
      <c r="L4" s="5"/>
      <c r="M4" s="20"/>
    </row>
    <row r="5" spans="2:16" ht="20.25" customHeight="1" x14ac:dyDescent="0.25">
      <c r="B5" s="98"/>
      <c r="C5" s="235" t="s">
        <v>355</v>
      </c>
      <c r="D5" s="99" t="s">
        <v>342</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49" t="s">
        <v>50</v>
      </c>
      <c r="G7" s="249"/>
      <c r="H7" s="249"/>
      <c r="I7" s="249"/>
      <c r="J7" s="249"/>
      <c r="K7" s="249"/>
      <c r="L7" s="249"/>
      <c r="M7" s="250"/>
    </row>
    <row r="8" spans="2:16" ht="15.75" x14ac:dyDescent="0.25">
      <c r="B8" s="98"/>
      <c r="C8" s="38" t="s">
        <v>195</v>
      </c>
      <c r="D8" s="212">
        <v>0.12506800000000001</v>
      </c>
      <c r="E8" s="29"/>
      <c r="F8" s="5"/>
      <c r="G8" s="31"/>
      <c r="H8" s="5"/>
      <c r="I8" s="5"/>
      <c r="J8" s="52"/>
      <c r="K8" s="5"/>
      <c r="L8" s="5"/>
      <c r="M8" s="20"/>
      <c r="P8" s="54"/>
    </row>
    <row r="9" spans="2:16" x14ac:dyDescent="0.2">
      <c r="B9" s="98"/>
      <c r="C9" s="107" t="s">
        <v>199</v>
      </c>
      <c r="D9" s="191">
        <v>0.101384</v>
      </c>
      <c r="E9" s="5"/>
      <c r="F9" s="5"/>
      <c r="G9" s="5"/>
      <c r="H9" s="5"/>
      <c r="I9" s="5" t="s">
        <v>51</v>
      </c>
      <c r="J9" s="52">
        <f>D11</f>
        <v>0.31975500000000001</v>
      </c>
      <c r="K9" s="5"/>
      <c r="L9" s="5"/>
      <c r="M9" s="20"/>
      <c r="P9" s="54"/>
    </row>
    <row r="10" spans="2:16" x14ac:dyDescent="0.2">
      <c r="B10" s="98"/>
      <c r="C10" s="107" t="s">
        <v>196</v>
      </c>
      <c r="D10" s="191">
        <v>9.3302999999999997E-2</v>
      </c>
      <c r="E10" s="5"/>
      <c r="F10" s="5"/>
      <c r="G10" s="5"/>
      <c r="H10" s="5"/>
      <c r="I10" s="5" t="s">
        <v>53</v>
      </c>
      <c r="J10" s="52">
        <f>D16</f>
        <v>0.65575600000000001</v>
      </c>
      <c r="K10" s="5"/>
      <c r="L10" s="5"/>
      <c r="M10" s="20"/>
      <c r="P10" s="54"/>
    </row>
    <row r="11" spans="2:16" ht="15.75" x14ac:dyDescent="0.25">
      <c r="B11" s="98"/>
      <c r="C11" s="7" t="s">
        <v>52</v>
      </c>
      <c r="D11" s="8">
        <f>SUM(D8:D10)</f>
        <v>0.31975500000000001</v>
      </c>
      <c r="E11" s="5"/>
      <c r="F11" s="5"/>
      <c r="G11" s="5"/>
      <c r="H11" s="5"/>
      <c r="I11" s="5" t="s">
        <v>20</v>
      </c>
      <c r="J11" s="52">
        <f>D18</f>
        <v>2.4489E-2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198</v>
      </c>
      <c r="D13" s="191">
        <v>0.56435900000000006</v>
      </c>
      <c r="E13" s="5"/>
      <c r="F13" s="5"/>
      <c r="G13" s="5"/>
      <c r="H13" s="5"/>
      <c r="I13" s="5"/>
      <c r="J13" s="52"/>
      <c r="K13" s="5"/>
      <c r="L13" s="5"/>
      <c r="M13" s="20"/>
      <c r="P13" s="54"/>
    </row>
    <row r="14" spans="2:16" ht="15.75" customHeight="1" x14ac:dyDescent="0.2">
      <c r="B14" s="98"/>
      <c r="C14" s="4" t="s">
        <v>197</v>
      </c>
      <c r="D14" s="191">
        <v>5.5792000000000001E-2</v>
      </c>
      <c r="E14" s="5"/>
      <c r="F14" s="5"/>
      <c r="G14" s="5"/>
      <c r="H14" s="5"/>
      <c r="I14" s="5"/>
      <c r="J14" s="52"/>
      <c r="K14" s="5"/>
      <c r="L14" s="5"/>
      <c r="M14" s="20"/>
      <c r="P14" s="54"/>
    </row>
    <row r="15" spans="2:16" x14ac:dyDescent="0.2">
      <c r="B15" s="98"/>
      <c r="C15" s="4" t="s">
        <v>248</v>
      </c>
      <c r="D15" s="191">
        <v>3.5604999999999998E-2</v>
      </c>
      <c r="E15" s="5"/>
      <c r="F15" s="5"/>
      <c r="G15" s="5"/>
      <c r="H15" s="5"/>
      <c r="I15" s="5"/>
      <c r="J15" s="108"/>
      <c r="K15" s="5"/>
      <c r="L15" s="5"/>
      <c r="M15" s="20"/>
      <c r="P15" s="54"/>
    </row>
    <row r="16" spans="2:16" ht="15.75" x14ac:dyDescent="0.25">
      <c r="B16" s="98"/>
      <c r="C16" s="7" t="s">
        <v>19</v>
      </c>
      <c r="D16" s="8">
        <f>SUM(D13:D15)</f>
        <v>0.65575600000000001</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21">
        <v>2.4489E-2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1</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78"/>
      <c r="D23" s="278"/>
      <c r="E23" s="278"/>
      <c r="F23" s="278"/>
      <c r="G23" s="278"/>
      <c r="H23" s="5"/>
      <c r="I23" s="5"/>
      <c r="J23" s="5"/>
      <c r="K23" s="5"/>
      <c r="L23" s="5"/>
      <c r="M23" s="11"/>
      <c r="P23" s="54"/>
    </row>
    <row r="24" spans="2:18" ht="16.5" thickBot="1" x14ac:dyDescent="0.3">
      <c r="B24" s="101"/>
      <c r="C24" s="251"/>
      <c r="D24" s="251"/>
      <c r="E24" s="251"/>
      <c r="F24" s="251"/>
      <c r="G24" s="251"/>
      <c r="H24" s="251"/>
      <c r="I24" s="251"/>
      <c r="J24" s="251"/>
      <c r="K24" s="251"/>
      <c r="L24" s="251"/>
      <c r="M24" s="252"/>
      <c r="P24" s="54"/>
    </row>
    <row r="25" spans="2:18" ht="15.75" thickBot="1" x14ac:dyDescent="0.25">
      <c r="P25" s="54"/>
    </row>
    <row r="26" spans="2:18" ht="15" customHeight="1" x14ac:dyDescent="0.2">
      <c r="B26" s="253" t="s">
        <v>202</v>
      </c>
      <c r="C26" s="254"/>
      <c r="D26" s="254"/>
      <c r="E26" s="254"/>
      <c r="F26" s="254"/>
      <c r="G26" s="254"/>
      <c r="H26" s="254"/>
      <c r="I26" s="254"/>
      <c r="J26" s="254"/>
      <c r="K26" s="254"/>
      <c r="L26" s="254"/>
      <c r="M26" s="254"/>
      <c r="N26" s="254"/>
      <c r="O26" s="254"/>
      <c r="P26" s="254"/>
      <c r="Q26" s="254"/>
      <c r="R26" s="255"/>
    </row>
    <row r="27" spans="2:18" x14ac:dyDescent="0.2">
      <c r="B27" s="256"/>
      <c r="C27" s="257"/>
      <c r="D27" s="257"/>
      <c r="E27" s="257"/>
      <c r="F27" s="257"/>
      <c r="G27" s="257"/>
      <c r="H27" s="257"/>
      <c r="I27" s="257"/>
      <c r="J27" s="257"/>
      <c r="K27" s="257"/>
      <c r="L27" s="257"/>
      <c r="M27" s="257"/>
      <c r="N27" s="257"/>
      <c r="O27" s="257"/>
      <c r="P27" s="257"/>
      <c r="Q27" s="257"/>
      <c r="R27" s="258"/>
    </row>
    <row r="28" spans="2:18" x14ac:dyDescent="0.2">
      <c r="B28" s="256"/>
      <c r="C28" s="257"/>
      <c r="D28" s="257"/>
      <c r="E28" s="257"/>
      <c r="F28" s="257"/>
      <c r="G28" s="257"/>
      <c r="H28" s="257"/>
      <c r="I28" s="257"/>
      <c r="J28" s="257"/>
      <c r="K28" s="257"/>
      <c r="L28" s="257"/>
      <c r="M28" s="257"/>
      <c r="N28" s="257"/>
      <c r="O28" s="257"/>
      <c r="P28" s="257"/>
      <c r="Q28" s="257"/>
      <c r="R28" s="258"/>
    </row>
    <row r="29" spans="2:18" x14ac:dyDescent="0.2">
      <c r="B29" s="256"/>
      <c r="C29" s="257"/>
      <c r="D29" s="257"/>
      <c r="E29" s="257"/>
      <c r="F29" s="257"/>
      <c r="G29" s="257"/>
      <c r="H29" s="257"/>
      <c r="I29" s="257"/>
      <c r="J29" s="257"/>
      <c r="K29" s="257"/>
      <c r="L29" s="257"/>
      <c r="M29" s="257"/>
      <c r="N29" s="257"/>
      <c r="O29" s="257"/>
      <c r="P29" s="257"/>
      <c r="Q29" s="257"/>
      <c r="R29" s="258"/>
    </row>
    <row r="30" spans="2:18" x14ac:dyDescent="0.2">
      <c r="B30" s="256"/>
      <c r="C30" s="257"/>
      <c r="D30" s="257"/>
      <c r="E30" s="257"/>
      <c r="F30" s="257"/>
      <c r="G30" s="257"/>
      <c r="H30" s="257"/>
      <c r="I30" s="257"/>
      <c r="J30" s="257"/>
      <c r="K30" s="257"/>
      <c r="L30" s="257"/>
      <c r="M30" s="257"/>
      <c r="N30" s="257"/>
      <c r="O30" s="257"/>
      <c r="P30" s="257"/>
      <c r="Q30" s="257"/>
      <c r="R30" s="258"/>
    </row>
    <row r="31" spans="2:18" x14ac:dyDescent="0.2">
      <c r="B31" s="256"/>
      <c r="C31" s="257"/>
      <c r="D31" s="257"/>
      <c r="E31" s="257"/>
      <c r="F31" s="257"/>
      <c r="G31" s="257"/>
      <c r="H31" s="257"/>
      <c r="I31" s="257"/>
      <c r="J31" s="257"/>
      <c r="K31" s="257"/>
      <c r="L31" s="257"/>
      <c r="M31" s="257"/>
      <c r="N31" s="257"/>
      <c r="O31" s="257"/>
      <c r="P31" s="257"/>
      <c r="Q31" s="257"/>
      <c r="R31" s="258"/>
    </row>
    <row r="32" spans="2:18" ht="15.75" thickBot="1" x14ac:dyDescent="0.25">
      <c r="B32" s="259"/>
      <c r="C32" s="260"/>
      <c r="D32" s="260"/>
      <c r="E32" s="260"/>
      <c r="F32" s="260"/>
      <c r="G32" s="260"/>
      <c r="H32" s="260"/>
      <c r="I32" s="260"/>
      <c r="J32" s="260"/>
      <c r="K32" s="260"/>
      <c r="L32" s="260"/>
      <c r="M32" s="260"/>
      <c r="N32" s="260"/>
      <c r="O32" s="260"/>
      <c r="P32" s="260"/>
      <c r="Q32" s="260"/>
      <c r="R32" s="261"/>
    </row>
    <row r="33" spans="3:16" x14ac:dyDescent="0.2">
      <c r="P33" s="54"/>
    </row>
    <row r="34" spans="3:16" x14ac:dyDescent="0.2">
      <c r="C34" s="183"/>
      <c r="D34" s="184"/>
      <c r="P34" s="54"/>
    </row>
    <row r="35" spans="3:16" x14ac:dyDescent="0.2">
      <c r="C35" s="183"/>
      <c r="D35" s="184"/>
      <c r="P35" s="54"/>
    </row>
    <row r="36" spans="3:16" x14ac:dyDescent="0.2">
      <c r="C36" s="183"/>
      <c r="D36" s="184"/>
      <c r="P36" s="54"/>
    </row>
    <row r="37" spans="3:16" x14ac:dyDescent="0.2">
      <c r="C37" s="183"/>
      <c r="D37" s="184"/>
      <c r="P37" s="54"/>
    </row>
    <row r="38" spans="3:16" x14ac:dyDescent="0.2">
      <c r="C38" s="183"/>
      <c r="D38" s="184"/>
      <c r="P38" s="54"/>
    </row>
    <row r="39" spans="3:16" x14ac:dyDescent="0.2">
      <c r="C39" s="183"/>
      <c r="D39" s="184"/>
      <c r="P39" s="54"/>
    </row>
    <row r="40" spans="3:16" x14ac:dyDescent="0.2">
      <c r="C40" s="183"/>
      <c r="D40" s="184"/>
      <c r="P40" s="54"/>
    </row>
    <row r="41" spans="3:16" x14ac:dyDescent="0.2">
      <c r="C41" s="183"/>
      <c r="D41" s="184"/>
      <c r="P41" s="54"/>
    </row>
    <row r="42" spans="3:16" x14ac:dyDescent="0.2">
      <c r="D42" s="184"/>
      <c r="P42" s="54"/>
    </row>
    <row r="43" spans="3:16" x14ac:dyDescent="0.2">
      <c r="C43" s="183"/>
      <c r="D43" s="184"/>
      <c r="P43" s="54"/>
    </row>
    <row r="44" spans="3:16" x14ac:dyDescent="0.2">
      <c r="C44" s="183"/>
      <c r="D44" s="184"/>
      <c r="P44" s="54"/>
    </row>
    <row r="45" spans="3:16" x14ac:dyDescent="0.2">
      <c r="D45" s="184"/>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38:D40">
    <sortCondition descending="1" ref="D3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7" t="s">
        <v>175</v>
      </c>
      <c r="D3" s="247"/>
      <c r="E3" s="247"/>
      <c r="F3" s="247"/>
      <c r="G3" s="247"/>
      <c r="H3" s="247"/>
      <c r="I3" s="247"/>
      <c r="J3" s="247"/>
      <c r="K3" s="247"/>
      <c r="L3" s="247"/>
      <c r="M3" s="248"/>
    </row>
    <row r="4" spans="2:19" ht="15.75" x14ac:dyDescent="0.25">
      <c r="B4" s="98"/>
      <c r="C4" s="72" t="s">
        <v>354</v>
      </c>
      <c r="D4" s="29"/>
      <c r="E4" s="29"/>
      <c r="F4" s="5"/>
      <c r="G4" s="5"/>
      <c r="H4" s="5"/>
      <c r="I4" s="5"/>
      <c r="J4" s="5"/>
      <c r="K4" s="5"/>
      <c r="L4" s="5"/>
      <c r="M4" s="20"/>
    </row>
    <row r="5" spans="2:19" ht="20.25" customHeight="1" x14ac:dyDescent="0.25">
      <c r="B5" s="98"/>
      <c r="C5" s="235" t="s">
        <v>355</v>
      </c>
      <c r="D5" s="99" t="s">
        <v>343</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49" t="s">
        <v>50</v>
      </c>
      <c r="G7" s="249"/>
      <c r="H7" s="249"/>
      <c r="I7" s="249"/>
      <c r="J7" s="249"/>
      <c r="K7" s="249"/>
      <c r="L7" s="249"/>
      <c r="M7" s="250"/>
    </row>
    <row r="8" spans="2:19" x14ac:dyDescent="0.2">
      <c r="B8" s="98"/>
      <c r="C8" s="38" t="s">
        <v>196</v>
      </c>
      <c r="D8" s="212">
        <v>0.26929500000000001</v>
      </c>
      <c r="E8" s="5"/>
      <c r="F8" s="5"/>
      <c r="G8" s="31"/>
      <c r="H8" s="5"/>
      <c r="I8" s="102" t="s">
        <v>51</v>
      </c>
      <c r="J8" s="103">
        <f>D11</f>
        <v>0.50612400000000002</v>
      </c>
      <c r="K8" s="5"/>
      <c r="L8" s="5"/>
      <c r="M8" s="20"/>
      <c r="S8" s="54"/>
    </row>
    <row r="9" spans="2:19" ht="15.75" customHeight="1" x14ac:dyDescent="0.2">
      <c r="B9" s="98"/>
      <c r="C9" s="4" t="s">
        <v>195</v>
      </c>
      <c r="D9" s="191">
        <v>0.131581</v>
      </c>
      <c r="E9" s="5"/>
      <c r="F9" s="5"/>
      <c r="G9" s="5"/>
      <c r="H9" s="5"/>
      <c r="I9" s="102" t="s">
        <v>53</v>
      </c>
      <c r="J9" s="104">
        <f>D17</f>
        <v>0.47261799999999998</v>
      </c>
      <c r="K9" s="5"/>
      <c r="L9" s="5"/>
      <c r="M9" s="20"/>
      <c r="S9" s="54"/>
    </row>
    <row r="10" spans="2:19" x14ac:dyDescent="0.2">
      <c r="B10" s="98"/>
      <c r="C10" s="4" t="s">
        <v>199</v>
      </c>
      <c r="D10" s="191">
        <v>0.10524799999999999</v>
      </c>
      <c r="E10" s="5"/>
      <c r="F10" s="5"/>
      <c r="G10" s="5"/>
      <c r="H10" s="5"/>
      <c r="I10" s="102" t="s">
        <v>20</v>
      </c>
      <c r="J10" s="104">
        <f>D19</f>
        <v>2.1257999999999999E-2</v>
      </c>
      <c r="K10" s="5"/>
      <c r="L10" s="5"/>
      <c r="M10" s="20"/>
      <c r="S10" s="54"/>
    </row>
    <row r="11" spans="2:19" ht="15.75" customHeight="1" x14ac:dyDescent="0.25">
      <c r="B11" s="98"/>
      <c r="C11" s="7" t="s">
        <v>52</v>
      </c>
      <c r="D11" s="8">
        <f>SUM(D8:D10)</f>
        <v>0.50612400000000002</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198</v>
      </c>
      <c r="D13" s="191">
        <v>0.36846200000000001</v>
      </c>
      <c r="E13" s="5"/>
      <c r="F13" s="5"/>
      <c r="G13" s="5"/>
      <c r="H13" s="5"/>
      <c r="I13" s="102"/>
      <c r="J13" s="102"/>
      <c r="K13" s="5"/>
      <c r="L13" s="5"/>
      <c r="M13" s="20"/>
      <c r="S13" s="54"/>
    </row>
    <row r="14" spans="2:19" x14ac:dyDescent="0.2">
      <c r="B14" s="98"/>
      <c r="C14" s="4" t="s">
        <v>197</v>
      </c>
      <c r="D14" s="191">
        <v>0.104079</v>
      </c>
      <c r="E14" s="5"/>
      <c r="F14" s="5"/>
      <c r="G14" s="5"/>
      <c r="H14" s="5"/>
      <c r="I14" s="5"/>
      <c r="J14" s="5"/>
      <c r="K14" s="5"/>
      <c r="L14" s="5"/>
      <c r="M14" s="20"/>
      <c r="S14" s="54"/>
    </row>
    <row r="15" spans="2:19" x14ac:dyDescent="0.2">
      <c r="B15" s="98"/>
      <c r="C15" s="4" t="s">
        <v>248</v>
      </c>
      <c r="D15" s="191">
        <v>7.7000000000000001E-5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0.47261799999999998</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21">
        <v>2.1257999999999999E-2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1</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53" t="s">
        <v>202</v>
      </c>
      <c r="C28" s="254"/>
      <c r="D28" s="254"/>
      <c r="E28" s="254"/>
      <c r="F28" s="254"/>
      <c r="G28" s="254"/>
      <c r="H28" s="254"/>
      <c r="I28" s="254"/>
      <c r="J28" s="254"/>
      <c r="K28" s="254"/>
      <c r="L28" s="254"/>
      <c r="M28" s="254"/>
      <c r="N28" s="254"/>
      <c r="O28" s="254"/>
      <c r="P28" s="254"/>
      <c r="Q28" s="254"/>
      <c r="R28" s="255"/>
      <c r="S28" s="54"/>
    </row>
    <row r="29" spans="2:19" x14ac:dyDescent="0.2">
      <c r="B29" s="256"/>
      <c r="C29" s="257"/>
      <c r="D29" s="257"/>
      <c r="E29" s="257"/>
      <c r="F29" s="257"/>
      <c r="G29" s="257"/>
      <c r="H29" s="257"/>
      <c r="I29" s="257"/>
      <c r="J29" s="257"/>
      <c r="K29" s="257"/>
      <c r="L29" s="257"/>
      <c r="M29" s="257"/>
      <c r="N29" s="257"/>
      <c r="O29" s="257"/>
      <c r="P29" s="257"/>
      <c r="Q29" s="257"/>
      <c r="R29" s="258"/>
      <c r="S29" s="54"/>
    </row>
    <row r="30" spans="2:19" x14ac:dyDescent="0.2">
      <c r="B30" s="256"/>
      <c r="C30" s="257"/>
      <c r="D30" s="257"/>
      <c r="E30" s="257"/>
      <c r="F30" s="257"/>
      <c r="G30" s="257"/>
      <c r="H30" s="257"/>
      <c r="I30" s="257"/>
      <c r="J30" s="257"/>
      <c r="K30" s="257"/>
      <c r="L30" s="257"/>
      <c r="M30" s="257"/>
      <c r="N30" s="257"/>
      <c r="O30" s="257"/>
      <c r="P30" s="257"/>
      <c r="Q30" s="257"/>
      <c r="R30" s="258"/>
      <c r="S30" s="54"/>
    </row>
    <row r="31" spans="2:19" x14ac:dyDescent="0.2">
      <c r="B31" s="256"/>
      <c r="C31" s="257"/>
      <c r="D31" s="257"/>
      <c r="E31" s="257"/>
      <c r="F31" s="257"/>
      <c r="G31" s="257"/>
      <c r="H31" s="257"/>
      <c r="I31" s="257"/>
      <c r="J31" s="257"/>
      <c r="K31" s="257"/>
      <c r="L31" s="257"/>
      <c r="M31" s="257"/>
      <c r="N31" s="257"/>
      <c r="O31" s="257"/>
      <c r="P31" s="257"/>
      <c r="Q31" s="257"/>
      <c r="R31" s="258"/>
      <c r="S31" s="54"/>
    </row>
    <row r="32" spans="2:19" x14ac:dyDescent="0.2">
      <c r="B32" s="256"/>
      <c r="C32" s="257"/>
      <c r="D32" s="257"/>
      <c r="E32" s="257"/>
      <c r="F32" s="257"/>
      <c r="G32" s="257"/>
      <c r="H32" s="257"/>
      <c r="I32" s="257"/>
      <c r="J32" s="257"/>
      <c r="K32" s="257"/>
      <c r="L32" s="257"/>
      <c r="M32" s="257"/>
      <c r="N32" s="257"/>
      <c r="O32" s="257"/>
      <c r="P32" s="257"/>
      <c r="Q32" s="257"/>
      <c r="R32" s="258"/>
      <c r="S32" s="54"/>
    </row>
    <row r="33" spans="2:19" x14ac:dyDescent="0.2">
      <c r="B33" s="256"/>
      <c r="C33" s="257"/>
      <c r="D33" s="257"/>
      <c r="E33" s="257"/>
      <c r="F33" s="257"/>
      <c r="G33" s="257"/>
      <c r="H33" s="257"/>
      <c r="I33" s="257"/>
      <c r="J33" s="257"/>
      <c r="K33" s="257"/>
      <c r="L33" s="257"/>
      <c r="M33" s="257"/>
      <c r="N33" s="257"/>
      <c r="O33" s="257"/>
      <c r="P33" s="257"/>
      <c r="Q33" s="257"/>
      <c r="R33" s="258"/>
      <c r="S33" s="54"/>
    </row>
    <row r="34" spans="2:19" ht="15.75" thickBot="1" x14ac:dyDescent="0.25">
      <c r="B34" s="259"/>
      <c r="C34" s="260"/>
      <c r="D34" s="260"/>
      <c r="E34" s="260"/>
      <c r="F34" s="260"/>
      <c r="G34" s="260"/>
      <c r="H34" s="260"/>
      <c r="I34" s="260"/>
      <c r="J34" s="260"/>
      <c r="K34" s="260"/>
      <c r="L34" s="260"/>
      <c r="M34" s="260"/>
      <c r="N34" s="260"/>
      <c r="O34" s="260"/>
      <c r="P34" s="260"/>
      <c r="Q34" s="260"/>
      <c r="R34" s="261"/>
      <c r="S34" s="54"/>
    </row>
    <row r="35" spans="2:19" x14ac:dyDescent="0.2">
      <c r="S35" s="54"/>
    </row>
    <row r="36" spans="2:19" x14ac:dyDescent="0.2">
      <c r="C36" s="183"/>
      <c r="D36" s="184"/>
      <c r="S36" s="54"/>
    </row>
    <row r="37" spans="2:19" x14ac:dyDescent="0.2">
      <c r="C37" s="183"/>
      <c r="D37" s="184"/>
      <c r="S37" s="54"/>
    </row>
    <row r="38" spans="2:19" x14ac:dyDescent="0.2">
      <c r="C38" s="183"/>
      <c r="D38" s="184"/>
      <c r="S38" s="54"/>
    </row>
    <row r="39" spans="2:19" x14ac:dyDescent="0.2">
      <c r="C39" s="183"/>
      <c r="D39" s="184"/>
      <c r="S39" s="54"/>
    </row>
    <row r="40" spans="2:19" x14ac:dyDescent="0.2">
      <c r="C40" s="183"/>
      <c r="D40" s="184"/>
      <c r="S40" s="54"/>
    </row>
    <row r="41" spans="2:19" x14ac:dyDescent="0.2">
      <c r="C41" s="183"/>
      <c r="D41" s="184"/>
      <c r="S41" s="54"/>
    </row>
    <row r="42" spans="2:19" x14ac:dyDescent="0.2">
      <c r="C42" s="183"/>
      <c r="D42" s="184"/>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7" t="s">
        <v>193</v>
      </c>
      <c r="D3" s="247"/>
      <c r="E3" s="247"/>
      <c r="F3" s="247"/>
      <c r="G3" s="247"/>
      <c r="H3" s="247"/>
      <c r="I3" s="247"/>
      <c r="J3" s="247"/>
      <c r="K3" s="247"/>
      <c r="L3" s="247"/>
      <c r="M3" s="248"/>
    </row>
    <row r="4" spans="2:19" ht="15.75" x14ac:dyDescent="0.25">
      <c r="B4" s="98"/>
      <c r="C4" s="72" t="s">
        <v>354</v>
      </c>
      <c r="D4" s="29"/>
      <c r="E4" s="29"/>
      <c r="F4" s="5"/>
      <c r="G4" s="5"/>
      <c r="H4" s="5"/>
      <c r="I4" s="5"/>
      <c r="J4" s="5"/>
      <c r="K4" s="5"/>
      <c r="L4" s="5"/>
      <c r="M4" s="20"/>
    </row>
    <row r="5" spans="2:19" ht="20.25" customHeight="1" x14ac:dyDescent="0.25">
      <c r="B5" s="98"/>
      <c r="C5" s="235" t="s">
        <v>355</v>
      </c>
      <c r="D5" s="99" t="s">
        <v>344</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49" t="s">
        <v>50</v>
      </c>
      <c r="G7" s="249"/>
      <c r="H7" s="249"/>
      <c r="I7" s="249"/>
      <c r="J7" s="249"/>
      <c r="K7" s="249"/>
      <c r="L7" s="249"/>
      <c r="M7" s="250"/>
    </row>
    <row r="8" spans="2:19" x14ac:dyDescent="0.2">
      <c r="B8" s="98"/>
      <c r="C8" s="38" t="s">
        <v>195</v>
      </c>
      <c r="D8" s="211">
        <v>0.30904900000000002</v>
      </c>
      <c r="E8" s="5"/>
      <c r="F8" s="5"/>
      <c r="G8" s="31"/>
      <c r="H8" s="5"/>
      <c r="I8" s="5" t="s">
        <v>51</v>
      </c>
      <c r="J8" s="52">
        <f>D11</f>
        <v>0.76534800000000003</v>
      </c>
      <c r="K8" s="5"/>
      <c r="L8" s="5"/>
      <c r="M8" s="20"/>
      <c r="S8" s="54"/>
    </row>
    <row r="9" spans="2:19" ht="15.75" customHeight="1" x14ac:dyDescent="0.2">
      <c r="B9" s="98"/>
      <c r="C9" s="4" t="s">
        <v>196</v>
      </c>
      <c r="D9" s="191">
        <v>0.30766700000000002</v>
      </c>
      <c r="E9" s="5"/>
      <c r="F9" s="5"/>
      <c r="G9" s="5"/>
      <c r="H9" s="5"/>
      <c r="I9" s="5" t="s">
        <v>53</v>
      </c>
      <c r="J9" s="52">
        <f>D14</f>
        <v>0.20688200000000001</v>
      </c>
      <c r="K9" s="5"/>
      <c r="L9" s="5"/>
      <c r="M9" s="20"/>
      <c r="S9" s="54"/>
    </row>
    <row r="10" spans="2:19" x14ac:dyDescent="0.2">
      <c r="B10" s="98"/>
      <c r="C10" s="4" t="s">
        <v>199</v>
      </c>
      <c r="D10" s="191">
        <v>0.14863199999999999</v>
      </c>
      <c r="E10" s="5"/>
      <c r="F10" s="5"/>
      <c r="G10" s="5"/>
      <c r="H10" s="5"/>
      <c r="I10" s="5" t="s">
        <v>20</v>
      </c>
      <c r="J10" s="52">
        <f>D16</f>
        <v>2.777E-2</v>
      </c>
      <c r="K10" s="5"/>
      <c r="L10" s="5"/>
      <c r="M10" s="20"/>
      <c r="S10" s="54"/>
    </row>
    <row r="11" spans="2:19" ht="15.75" x14ac:dyDescent="0.25">
      <c r="B11" s="98"/>
      <c r="C11" s="7" t="s">
        <v>52</v>
      </c>
      <c r="D11" s="8">
        <f>SUM(D8:D10)</f>
        <v>0.76534800000000003</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198</v>
      </c>
      <c r="D13" s="191">
        <v>0.20688200000000001</v>
      </c>
      <c r="E13" s="5"/>
      <c r="F13" s="5"/>
      <c r="G13" s="5"/>
      <c r="H13" s="5"/>
      <c r="I13" s="5"/>
      <c r="J13" s="5"/>
      <c r="K13" s="5"/>
      <c r="L13" s="5"/>
      <c r="M13" s="20"/>
      <c r="S13" s="54"/>
    </row>
    <row r="14" spans="2:19" ht="15.75" x14ac:dyDescent="0.25">
      <c r="B14" s="98"/>
      <c r="C14" s="7" t="s">
        <v>19</v>
      </c>
      <c r="D14" s="8">
        <f>SUM(D13)</f>
        <v>0.20688200000000001</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21">
        <v>2.777E-2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51"/>
      <c r="D22" s="251"/>
      <c r="E22" s="251"/>
      <c r="F22" s="251"/>
      <c r="G22" s="251"/>
      <c r="H22" s="251"/>
      <c r="I22" s="251"/>
      <c r="J22" s="251"/>
      <c r="K22" s="251"/>
      <c r="L22" s="251"/>
      <c r="M22" s="252"/>
      <c r="S22" s="54"/>
    </row>
    <row r="23" spans="2:19" ht="15.75" thickBot="1" x14ac:dyDescent="0.25">
      <c r="S23" s="54"/>
    </row>
    <row r="24" spans="2:19" ht="15" customHeight="1" x14ac:dyDescent="0.2">
      <c r="B24" s="253" t="s">
        <v>202</v>
      </c>
      <c r="C24" s="254"/>
      <c r="D24" s="254"/>
      <c r="E24" s="254"/>
      <c r="F24" s="254"/>
      <c r="G24" s="254"/>
      <c r="H24" s="254"/>
      <c r="I24" s="254"/>
      <c r="J24" s="254"/>
      <c r="K24" s="254"/>
      <c r="L24" s="254"/>
      <c r="M24" s="254"/>
      <c r="N24" s="254"/>
      <c r="O24" s="254"/>
      <c r="P24" s="254"/>
      <c r="Q24" s="254"/>
      <c r="R24" s="255"/>
      <c r="S24" s="54"/>
    </row>
    <row r="25" spans="2:19" x14ac:dyDescent="0.2">
      <c r="B25" s="256"/>
      <c r="C25" s="257"/>
      <c r="D25" s="257"/>
      <c r="E25" s="257"/>
      <c r="F25" s="257"/>
      <c r="G25" s="257"/>
      <c r="H25" s="257"/>
      <c r="I25" s="257"/>
      <c r="J25" s="257"/>
      <c r="K25" s="257"/>
      <c r="L25" s="257"/>
      <c r="M25" s="257"/>
      <c r="N25" s="257"/>
      <c r="O25" s="257"/>
      <c r="P25" s="257"/>
      <c r="Q25" s="257"/>
      <c r="R25" s="258"/>
      <c r="S25" s="54"/>
    </row>
    <row r="26" spans="2:19" x14ac:dyDescent="0.2">
      <c r="B26" s="256"/>
      <c r="C26" s="257"/>
      <c r="D26" s="257"/>
      <c r="E26" s="257"/>
      <c r="F26" s="257"/>
      <c r="G26" s="257"/>
      <c r="H26" s="257"/>
      <c r="I26" s="257"/>
      <c r="J26" s="257"/>
      <c r="K26" s="257"/>
      <c r="L26" s="257"/>
      <c r="M26" s="257"/>
      <c r="N26" s="257"/>
      <c r="O26" s="257"/>
      <c r="P26" s="257"/>
      <c r="Q26" s="257"/>
      <c r="R26" s="258"/>
      <c r="S26" s="54"/>
    </row>
    <row r="27" spans="2:19" x14ac:dyDescent="0.2">
      <c r="B27" s="256"/>
      <c r="C27" s="257"/>
      <c r="D27" s="257"/>
      <c r="E27" s="257"/>
      <c r="F27" s="257"/>
      <c r="G27" s="257"/>
      <c r="H27" s="257"/>
      <c r="I27" s="257"/>
      <c r="J27" s="257"/>
      <c r="K27" s="257"/>
      <c r="L27" s="257"/>
      <c r="M27" s="257"/>
      <c r="N27" s="257"/>
      <c r="O27" s="257"/>
      <c r="P27" s="257"/>
      <c r="Q27" s="257"/>
      <c r="R27" s="258"/>
      <c r="S27" s="54"/>
    </row>
    <row r="28" spans="2:19" x14ac:dyDescent="0.2">
      <c r="B28" s="256"/>
      <c r="C28" s="257"/>
      <c r="D28" s="257"/>
      <c r="E28" s="257"/>
      <c r="F28" s="257"/>
      <c r="G28" s="257"/>
      <c r="H28" s="257"/>
      <c r="I28" s="257"/>
      <c r="J28" s="257"/>
      <c r="K28" s="257"/>
      <c r="L28" s="257"/>
      <c r="M28" s="257"/>
      <c r="N28" s="257"/>
      <c r="O28" s="257"/>
      <c r="P28" s="257"/>
      <c r="Q28" s="257"/>
      <c r="R28" s="258"/>
      <c r="S28" s="54"/>
    </row>
    <row r="29" spans="2:19" x14ac:dyDescent="0.2">
      <c r="B29" s="256"/>
      <c r="C29" s="257"/>
      <c r="D29" s="257"/>
      <c r="E29" s="257"/>
      <c r="F29" s="257"/>
      <c r="G29" s="257"/>
      <c r="H29" s="257"/>
      <c r="I29" s="257"/>
      <c r="J29" s="257"/>
      <c r="K29" s="257"/>
      <c r="L29" s="257"/>
      <c r="M29" s="257"/>
      <c r="N29" s="257"/>
      <c r="O29" s="257"/>
      <c r="P29" s="257"/>
      <c r="Q29" s="257"/>
      <c r="R29" s="258"/>
      <c r="S29" s="54"/>
    </row>
    <row r="30" spans="2:19" ht="15.75" thickBot="1" x14ac:dyDescent="0.25">
      <c r="B30" s="259"/>
      <c r="C30" s="260"/>
      <c r="D30" s="260"/>
      <c r="E30" s="260"/>
      <c r="F30" s="260"/>
      <c r="G30" s="260"/>
      <c r="H30" s="260"/>
      <c r="I30" s="260"/>
      <c r="J30" s="260"/>
      <c r="K30" s="260"/>
      <c r="L30" s="260"/>
      <c r="M30" s="260"/>
      <c r="N30" s="260"/>
      <c r="O30" s="260"/>
      <c r="P30" s="260"/>
      <c r="Q30" s="260"/>
      <c r="R30" s="261"/>
      <c r="S30" s="54"/>
    </row>
    <row r="31" spans="2:19" x14ac:dyDescent="0.2">
      <c r="S31" s="54"/>
    </row>
    <row r="32" spans="2:19" x14ac:dyDescent="0.2">
      <c r="C32" s="183"/>
      <c r="D32" s="184"/>
      <c r="S32" s="54"/>
    </row>
    <row r="33" spans="3:19" x14ac:dyDescent="0.2">
      <c r="C33" s="183"/>
      <c r="D33" s="184"/>
      <c r="S33" s="54"/>
    </row>
    <row r="34" spans="3:19" x14ac:dyDescent="0.2">
      <c r="C34" s="183"/>
      <c r="D34" s="184"/>
      <c r="S34" s="54"/>
    </row>
    <row r="35" spans="3:19" x14ac:dyDescent="0.2">
      <c r="C35" s="183"/>
      <c r="D35" s="184"/>
      <c r="S35" s="54"/>
    </row>
    <row r="36" spans="3:19" x14ac:dyDescent="0.2">
      <c r="C36" s="183"/>
      <c r="D36" s="184"/>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174</v>
      </c>
      <c r="D3" s="262"/>
      <c r="E3" s="262"/>
      <c r="F3" s="262"/>
      <c r="G3" s="262"/>
      <c r="H3" s="262"/>
      <c r="I3" s="262"/>
      <c r="J3" s="262"/>
      <c r="K3" s="262"/>
      <c r="L3" s="262"/>
      <c r="M3" s="262"/>
      <c r="N3" s="262"/>
      <c r="O3" s="262"/>
      <c r="P3" s="262"/>
      <c r="Q3" s="262"/>
      <c r="R3" s="262"/>
      <c r="S3" s="262"/>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4" t="s">
        <v>345</v>
      </c>
      <c r="E5" s="264"/>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0.109615</v>
      </c>
      <c r="F8" s="29"/>
      <c r="G8" s="29"/>
      <c r="H8" s="29"/>
      <c r="I8" s="29"/>
      <c r="J8" s="29"/>
      <c r="K8" s="29"/>
      <c r="L8" s="29"/>
      <c r="M8" s="29"/>
      <c r="N8" s="29"/>
      <c r="O8" s="29"/>
      <c r="P8" s="29"/>
      <c r="Q8" s="29"/>
      <c r="R8" s="29"/>
      <c r="S8" s="29"/>
      <c r="T8" s="22"/>
      <c r="W8" s="66" t="s">
        <v>3</v>
      </c>
      <c r="X8" s="67">
        <v>0.28314800000000001</v>
      </c>
    </row>
    <row r="9" spans="1:24" ht="15.75" customHeight="1" x14ac:dyDescent="0.25">
      <c r="B9" s="84"/>
      <c r="C9" s="197" t="s">
        <v>31</v>
      </c>
      <c r="D9" s="208" t="s">
        <v>6</v>
      </c>
      <c r="E9" s="209">
        <v>0.10273699999999999</v>
      </c>
      <c r="F9" s="29"/>
      <c r="G9" s="29"/>
      <c r="H9" s="29"/>
      <c r="I9" s="29"/>
      <c r="J9" s="29"/>
      <c r="K9" s="29"/>
      <c r="L9" s="29"/>
      <c r="M9" s="29"/>
      <c r="N9" s="29"/>
      <c r="O9" s="29"/>
      <c r="P9" s="29"/>
      <c r="Q9" s="29"/>
      <c r="R9" s="29"/>
      <c r="S9" s="29"/>
      <c r="T9" s="22"/>
      <c r="W9" s="66" t="s">
        <v>117</v>
      </c>
      <c r="X9" s="67">
        <v>0.14444799999999999</v>
      </c>
    </row>
    <row r="10" spans="1:24" ht="15.75" x14ac:dyDescent="0.25">
      <c r="B10" s="84"/>
      <c r="C10" s="197" t="s">
        <v>32</v>
      </c>
      <c r="D10" s="208" t="s">
        <v>3</v>
      </c>
      <c r="E10" s="209">
        <v>7.6715000000000005E-2</v>
      </c>
      <c r="F10" s="29"/>
      <c r="G10" s="29"/>
      <c r="H10" s="29"/>
      <c r="I10" s="29"/>
      <c r="J10" s="29"/>
      <c r="K10" s="29"/>
      <c r="L10" s="29"/>
      <c r="M10" s="29"/>
      <c r="N10" s="29"/>
      <c r="O10" s="29"/>
      <c r="P10" s="29"/>
      <c r="Q10" s="29"/>
      <c r="R10" s="29"/>
      <c r="S10" s="29"/>
      <c r="T10" s="22"/>
      <c r="W10" s="66" t="s">
        <v>6</v>
      </c>
      <c r="X10" s="67">
        <v>0.10872799999999999</v>
      </c>
    </row>
    <row r="11" spans="1:24" ht="15.75" customHeight="1" x14ac:dyDescent="0.25">
      <c r="B11" s="84"/>
      <c r="C11" s="197" t="s">
        <v>28</v>
      </c>
      <c r="D11" s="208" t="s">
        <v>117</v>
      </c>
      <c r="E11" s="209">
        <v>6.2098E-2</v>
      </c>
      <c r="F11" s="29"/>
      <c r="G11" s="29"/>
      <c r="H11" s="29"/>
      <c r="I11" s="29"/>
      <c r="J11" s="29"/>
      <c r="K11" s="29"/>
      <c r="L11" s="29"/>
      <c r="M11" s="29"/>
      <c r="N11" s="29"/>
      <c r="O11" s="29"/>
      <c r="P11" s="29"/>
      <c r="Q11" s="29"/>
      <c r="R11" s="29"/>
      <c r="S11" s="29"/>
      <c r="T11" s="22"/>
      <c r="W11" s="66" t="s">
        <v>122</v>
      </c>
      <c r="X11" s="67">
        <v>7.1556000000000008E-2</v>
      </c>
    </row>
    <row r="12" spans="1:24" ht="15" customHeight="1" x14ac:dyDescent="0.25">
      <c r="B12" s="84"/>
      <c r="C12" s="197" t="s">
        <v>33</v>
      </c>
      <c r="D12" s="208" t="s">
        <v>117</v>
      </c>
      <c r="E12" s="209">
        <v>4.3117999999999997E-2</v>
      </c>
      <c r="F12" s="29"/>
      <c r="G12" s="29"/>
      <c r="H12" s="29"/>
      <c r="I12" s="29"/>
      <c r="J12" s="29"/>
      <c r="K12" s="29"/>
      <c r="L12" s="29"/>
      <c r="M12" s="29"/>
      <c r="N12" s="29"/>
      <c r="O12" s="29"/>
      <c r="P12" s="29"/>
      <c r="Q12" s="29"/>
      <c r="R12" s="29"/>
      <c r="S12" s="29"/>
      <c r="T12" s="22"/>
      <c r="W12" s="66" t="s">
        <v>127</v>
      </c>
      <c r="X12" s="67">
        <v>5.9791999999999998E-2</v>
      </c>
    </row>
    <row r="13" spans="1:24" ht="15" customHeight="1" x14ac:dyDescent="0.25">
      <c r="B13" s="84"/>
      <c r="C13" s="197" t="s">
        <v>34</v>
      </c>
      <c r="D13" s="208" t="s">
        <v>23</v>
      </c>
      <c r="E13" s="209">
        <v>4.2729000000000003E-2</v>
      </c>
      <c r="F13" s="29"/>
      <c r="G13" s="29"/>
      <c r="H13" s="29"/>
      <c r="I13" s="29"/>
      <c r="J13" s="29"/>
      <c r="K13" s="29"/>
      <c r="L13" s="29"/>
      <c r="M13" s="29"/>
      <c r="N13" s="29"/>
      <c r="O13" s="29"/>
      <c r="P13" s="29"/>
      <c r="Q13" s="29"/>
      <c r="R13" s="29"/>
      <c r="S13" s="29"/>
      <c r="T13" s="22"/>
      <c r="W13" s="66" t="s">
        <v>23</v>
      </c>
      <c r="X13" s="67">
        <v>4.2729000000000003E-2</v>
      </c>
    </row>
    <row r="14" spans="1:24" ht="15" customHeight="1" x14ac:dyDescent="0.25">
      <c r="B14" s="84"/>
      <c r="C14" s="197" t="s">
        <v>30</v>
      </c>
      <c r="D14" s="208" t="s">
        <v>127</v>
      </c>
      <c r="E14" s="209">
        <v>3.7407000000000003E-2</v>
      </c>
      <c r="F14" s="29"/>
      <c r="G14" s="29"/>
      <c r="H14" s="29"/>
      <c r="I14" s="29"/>
      <c r="J14" s="29"/>
      <c r="K14" s="29"/>
      <c r="L14" s="29"/>
      <c r="M14" s="29"/>
      <c r="N14" s="29"/>
      <c r="O14" s="29"/>
      <c r="P14" s="29"/>
      <c r="Q14" s="29"/>
      <c r="R14" s="29"/>
      <c r="S14" s="29"/>
      <c r="T14" s="22"/>
      <c r="W14" s="66" t="s">
        <v>121</v>
      </c>
      <c r="X14" s="67">
        <v>3.8535E-2</v>
      </c>
    </row>
    <row r="15" spans="1:24" ht="15" customHeight="1" x14ac:dyDescent="0.25">
      <c r="B15" s="84"/>
      <c r="C15" s="197" t="s">
        <v>36</v>
      </c>
      <c r="D15" s="208" t="s">
        <v>3</v>
      </c>
      <c r="E15" s="209">
        <v>3.1012999999999999E-2</v>
      </c>
      <c r="F15" s="29"/>
      <c r="G15" s="29"/>
      <c r="H15" s="29"/>
      <c r="I15" s="29"/>
      <c r="J15" s="29"/>
      <c r="K15" s="29"/>
      <c r="L15" s="29"/>
      <c r="M15" s="29"/>
      <c r="N15" s="29"/>
      <c r="O15" s="29"/>
      <c r="P15" s="29"/>
      <c r="Q15" s="29"/>
      <c r="R15" s="29"/>
      <c r="S15" s="29"/>
      <c r="T15" s="22"/>
      <c r="W15" s="66" t="s">
        <v>10</v>
      </c>
      <c r="X15" s="67">
        <v>2.9975999999999999E-2</v>
      </c>
    </row>
    <row r="16" spans="1:24" ht="15" customHeight="1" x14ac:dyDescent="0.25">
      <c r="B16" s="84"/>
      <c r="C16" s="197" t="s">
        <v>84</v>
      </c>
      <c r="D16" s="208" t="s">
        <v>3</v>
      </c>
      <c r="E16" s="209">
        <v>2.9840999999999999E-2</v>
      </c>
      <c r="F16" s="29"/>
      <c r="G16" s="29"/>
      <c r="H16" s="29"/>
      <c r="I16" s="29"/>
      <c r="J16" s="29"/>
      <c r="K16" s="29"/>
      <c r="L16" s="29"/>
      <c r="M16" s="29"/>
      <c r="N16" s="29"/>
      <c r="O16" s="29"/>
      <c r="P16" s="29"/>
      <c r="Q16" s="29"/>
      <c r="R16" s="29"/>
      <c r="S16" s="29"/>
      <c r="T16" s="22"/>
      <c r="W16" s="66" t="s">
        <v>12</v>
      </c>
      <c r="X16" s="67">
        <v>2.9537000000000001E-2</v>
      </c>
    </row>
    <row r="17" spans="2:24" ht="15" customHeight="1" x14ac:dyDescent="0.25">
      <c r="B17" s="84"/>
      <c r="C17" s="197" t="s">
        <v>73</v>
      </c>
      <c r="D17" s="208" t="s">
        <v>12</v>
      </c>
      <c r="E17" s="209">
        <v>2.9537000000000001E-2</v>
      </c>
      <c r="F17" s="29"/>
      <c r="G17" s="29"/>
      <c r="H17" s="29"/>
      <c r="I17" s="29"/>
      <c r="J17" s="29"/>
      <c r="K17" s="29"/>
      <c r="L17" s="29"/>
      <c r="M17" s="29"/>
      <c r="N17" s="29"/>
      <c r="O17" s="29"/>
      <c r="P17" s="29"/>
      <c r="Q17" s="29"/>
      <c r="R17" s="29"/>
      <c r="S17" s="29"/>
      <c r="T17" s="22"/>
      <c r="W17" s="66" t="s">
        <v>16</v>
      </c>
      <c r="X17" s="67">
        <v>2.8944000000000001E-2</v>
      </c>
    </row>
    <row r="18" spans="2:24" ht="15" customHeight="1" x14ac:dyDescent="0.25">
      <c r="B18" s="84"/>
      <c r="C18" s="197" t="s">
        <v>35</v>
      </c>
      <c r="D18" s="208" t="s">
        <v>3</v>
      </c>
      <c r="E18" s="209">
        <v>2.5828E-2</v>
      </c>
      <c r="F18" s="29"/>
      <c r="G18" s="29"/>
      <c r="H18" s="29"/>
      <c r="I18" s="29"/>
      <c r="J18" s="29"/>
      <c r="K18" s="29"/>
      <c r="L18" s="29"/>
      <c r="M18" s="29"/>
      <c r="N18" s="29"/>
      <c r="O18" s="29"/>
      <c r="P18" s="29"/>
      <c r="Q18" s="29"/>
      <c r="R18" s="29"/>
      <c r="S18" s="29"/>
      <c r="T18" s="22"/>
      <c r="W18" s="66" t="s">
        <v>4</v>
      </c>
      <c r="X18" s="67">
        <v>2.7763999999999997E-2</v>
      </c>
    </row>
    <row r="19" spans="2:24" ht="15" customHeight="1" x14ac:dyDescent="0.25">
      <c r="B19" s="84"/>
      <c r="C19" s="197" t="s">
        <v>37</v>
      </c>
      <c r="D19" s="208" t="s">
        <v>127</v>
      </c>
      <c r="E19" s="209">
        <v>2.2384999999999999E-2</v>
      </c>
      <c r="F19" s="29"/>
      <c r="G19" s="29"/>
      <c r="H19" s="29"/>
      <c r="I19" s="29"/>
      <c r="J19" s="29"/>
      <c r="K19" s="29"/>
      <c r="L19" s="29"/>
      <c r="M19" s="29"/>
      <c r="N19" s="29"/>
      <c r="O19" s="29"/>
      <c r="P19" s="29"/>
      <c r="Q19" s="29"/>
      <c r="R19" s="29"/>
      <c r="S19" s="29"/>
      <c r="T19" s="22"/>
      <c r="W19" s="66" t="s">
        <v>88</v>
      </c>
      <c r="X19" s="67">
        <v>2.0272999999999999E-2</v>
      </c>
    </row>
    <row r="20" spans="2:24" ht="15" customHeight="1" x14ac:dyDescent="0.25">
      <c r="B20" s="84"/>
      <c r="C20" s="197" t="s">
        <v>86</v>
      </c>
      <c r="D20" s="208" t="s">
        <v>4</v>
      </c>
      <c r="E20" s="209">
        <v>1.8776999999999999E-2</v>
      </c>
      <c r="F20" s="29"/>
      <c r="G20" s="29"/>
      <c r="H20" s="29"/>
      <c r="I20" s="29"/>
      <c r="J20" s="29"/>
      <c r="K20" s="29"/>
      <c r="L20" s="29"/>
      <c r="M20" s="29"/>
      <c r="N20" s="29"/>
      <c r="O20" s="29"/>
      <c r="P20" s="29"/>
      <c r="Q20" s="29"/>
      <c r="R20" s="29"/>
      <c r="S20" s="29"/>
      <c r="T20" s="22"/>
      <c r="W20" s="66" t="s">
        <v>11</v>
      </c>
      <c r="X20" s="67">
        <v>1.9994999999999999E-2</v>
      </c>
    </row>
    <row r="21" spans="2:24" ht="15" customHeight="1" x14ac:dyDescent="0.25">
      <c r="B21" s="84"/>
      <c r="C21" s="197" t="s">
        <v>221</v>
      </c>
      <c r="D21" s="208" t="s">
        <v>117</v>
      </c>
      <c r="E21" s="209">
        <v>1.8303E-2</v>
      </c>
      <c r="F21" s="29"/>
      <c r="G21" s="29"/>
      <c r="H21" s="29"/>
      <c r="I21" s="29"/>
      <c r="J21" s="29"/>
      <c r="K21" s="29"/>
      <c r="L21" s="29"/>
      <c r="M21" s="29"/>
      <c r="N21" s="29"/>
      <c r="O21" s="29"/>
      <c r="P21" s="29"/>
      <c r="Q21" s="29"/>
      <c r="R21" s="29"/>
      <c r="S21" s="29"/>
      <c r="T21" s="22"/>
      <c r="W21" s="66" t="s">
        <v>118</v>
      </c>
      <c r="X21" s="67">
        <v>1.5717999999999999E-2</v>
      </c>
    </row>
    <row r="22" spans="2:24" ht="15" customHeight="1" x14ac:dyDescent="0.25">
      <c r="B22" s="84"/>
      <c r="C22" s="197" t="s">
        <v>130</v>
      </c>
      <c r="D22" s="208" t="s">
        <v>122</v>
      </c>
      <c r="E22" s="209">
        <v>1.7985999999999999E-2</v>
      </c>
      <c r="F22" s="29"/>
      <c r="G22" s="29"/>
      <c r="H22" s="29"/>
      <c r="I22" s="29"/>
      <c r="J22" s="29"/>
      <c r="K22" s="29"/>
      <c r="L22" s="29"/>
      <c r="M22" s="29"/>
      <c r="N22" s="29"/>
      <c r="O22" s="29"/>
      <c r="P22" s="29"/>
      <c r="Q22" s="29"/>
      <c r="R22" s="29"/>
      <c r="S22" s="29"/>
      <c r="T22" s="22"/>
      <c r="W22" s="66" t="s">
        <v>91</v>
      </c>
      <c r="X22" s="67">
        <v>1.3645999999999998E-2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13</v>
      </c>
      <c r="X23" s="67">
        <v>1.0725999999999999E-2</v>
      </c>
    </row>
    <row r="24" spans="2:24" ht="15" customHeight="1" x14ac:dyDescent="0.25">
      <c r="B24" s="84"/>
      <c r="C24" s="78" t="s">
        <v>55</v>
      </c>
      <c r="D24" s="79"/>
      <c r="E24" s="89">
        <f>SUM(E8:E22)</f>
        <v>0.66808899999999993</v>
      </c>
      <c r="F24" s="29"/>
      <c r="G24" s="29"/>
      <c r="H24" s="29"/>
      <c r="I24" s="29"/>
      <c r="J24" s="29"/>
      <c r="K24" s="29"/>
      <c r="L24" s="29"/>
      <c r="M24" s="29"/>
      <c r="N24" s="29"/>
      <c r="O24" s="29"/>
      <c r="P24" s="29"/>
      <c r="Q24" s="29"/>
      <c r="R24" s="29"/>
      <c r="S24" s="29"/>
      <c r="T24" s="22"/>
      <c r="W24" s="66" t="s">
        <v>141</v>
      </c>
      <c r="X24" s="67">
        <v>1.0351000000000001E-2</v>
      </c>
    </row>
    <row r="25" spans="2:24" ht="15" customHeight="1" x14ac:dyDescent="0.25">
      <c r="B25" s="84"/>
      <c r="C25" s="29"/>
      <c r="D25" s="29"/>
      <c r="E25" s="29"/>
      <c r="F25" s="29"/>
      <c r="G25" s="29"/>
      <c r="H25" s="29"/>
      <c r="I25" s="29"/>
      <c r="J25" s="29"/>
      <c r="K25" s="29"/>
      <c r="L25" s="29"/>
      <c r="M25" s="29"/>
      <c r="N25" s="29"/>
      <c r="O25" s="29"/>
      <c r="P25" s="29"/>
      <c r="Q25" s="29"/>
      <c r="R25" s="29"/>
      <c r="S25" s="29"/>
      <c r="T25" s="22"/>
      <c r="W25" s="66" t="s">
        <v>140</v>
      </c>
      <c r="X25" s="67">
        <v>1.0081E-2</v>
      </c>
    </row>
    <row r="26" spans="2:24" ht="15" customHeight="1" x14ac:dyDescent="0.25">
      <c r="B26" s="84"/>
      <c r="C26" s="90"/>
      <c r="D26" s="90"/>
      <c r="E26" s="91"/>
      <c r="F26" s="29"/>
      <c r="G26" s="29"/>
      <c r="H26" s="29"/>
      <c r="I26" s="29"/>
      <c r="J26" s="29"/>
      <c r="K26" s="29"/>
      <c r="L26" s="29"/>
      <c r="M26" s="29"/>
      <c r="N26" s="29"/>
      <c r="O26" s="29"/>
      <c r="P26" s="29"/>
      <c r="Q26" s="29"/>
      <c r="R26" s="29"/>
      <c r="S26" s="29"/>
      <c r="T26" s="22"/>
      <c r="W26" s="66" t="s">
        <v>142</v>
      </c>
      <c r="X26" s="67">
        <v>8.9549999999999994E-3</v>
      </c>
    </row>
    <row r="27" spans="2:24" ht="15" customHeight="1" x14ac:dyDescent="0.25">
      <c r="B27" s="84"/>
      <c r="C27" s="56"/>
      <c r="D27" s="56"/>
      <c r="E27" s="92"/>
      <c r="F27" s="29"/>
      <c r="G27" s="29"/>
      <c r="H27" s="29"/>
      <c r="I27" s="29"/>
      <c r="J27" s="29"/>
      <c r="K27" s="29"/>
      <c r="L27" s="29"/>
      <c r="M27" s="29"/>
      <c r="N27" s="29"/>
      <c r="O27" s="29"/>
      <c r="P27" s="29"/>
      <c r="Q27" s="29"/>
      <c r="R27" s="29"/>
      <c r="S27" s="29"/>
      <c r="T27" s="22"/>
      <c r="W27" s="66" t="s">
        <v>125</v>
      </c>
      <c r="X27" s="67">
        <v>7.7790000000000003E-3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66" t="s">
        <v>15</v>
      </c>
      <c r="X28" s="67">
        <v>7.6499999999999997E-3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66" t="s">
        <v>82</v>
      </c>
      <c r="X29" s="67">
        <v>6.3850000000000001E-3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t="s">
        <v>128</v>
      </c>
      <c r="X30" s="67">
        <v>2.4550000000000002E-3</v>
      </c>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53" t="s">
        <v>202</v>
      </c>
      <c r="C33" s="254"/>
      <c r="D33" s="254"/>
      <c r="E33" s="254"/>
      <c r="F33" s="254"/>
      <c r="G33" s="254"/>
      <c r="H33" s="254"/>
      <c r="I33" s="254"/>
      <c r="J33" s="254"/>
      <c r="K33" s="254"/>
      <c r="L33" s="254"/>
      <c r="M33" s="254"/>
      <c r="N33" s="254"/>
      <c r="O33" s="254"/>
      <c r="P33" s="254"/>
      <c r="Q33" s="254"/>
      <c r="R33" s="255"/>
    </row>
    <row r="34" spans="2:18" ht="15" customHeight="1" x14ac:dyDescent="0.25">
      <c r="B34" s="256"/>
      <c r="C34" s="257"/>
      <c r="D34" s="257"/>
      <c r="E34" s="257"/>
      <c r="F34" s="257"/>
      <c r="G34" s="257"/>
      <c r="H34" s="257"/>
      <c r="I34" s="257"/>
      <c r="J34" s="257"/>
      <c r="K34" s="257"/>
      <c r="L34" s="257"/>
      <c r="M34" s="257"/>
      <c r="N34" s="257"/>
      <c r="O34" s="257"/>
      <c r="P34" s="257"/>
      <c r="Q34" s="257"/>
      <c r="R34" s="258"/>
    </row>
    <row r="35" spans="2:18" ht="15" customHeight="1" x14ac:dyDescent="0.25">
      <c r="B35" s="256"/>
      <c r="C35" s="257"/>
      <c r="D35" s="257"/>
      <c r="E35" s="257"/>
      <c r="F35" s="257"/>
      <c r="G35" s="257"/>
      <c r="H35" s="257"/>
      <c r="I35" s="257"/>
      <c r="J35" s="257"/>
      <c r="K35" s="257"/>
      <c r="L35" s="257"/>
      <c r="M35" s="257"/>
      <c r="N35" s="257"/>
      <c r="O35" s="257"/>
      <c r="P35" s="257"/>
      <c r="Q35" s="257"/>
      <c r="R35" s="258"/>
    </row>
    <row r="36" spans="2:18" ht="15" customHeight="1" x14ac:dyDescent="0.25">
      <c r="B36" s="256"/>
      <c r="C36" s="257"/>
      <c r="D36" s="257"/>
      <c r="E36" s="257"/>
      <c r="F36" s="257"/>
      <c r="G36" s="257"/>
      <c r="H36" s="257"/>
      <c r="I36" s="257"/>
      <c r="J36" s="257"/>
      <c r="K36" s="257"/>
      <c r="L36" s="257"/>
      <c r="M36" s="257"/>
      <c r="N36" s="257"/>
      <c r="O36" s="257"/>
      <c r="P36" s="257"/>
      <c r="Q36" s="257"/>
      <c r="R36" s="258"/>
    </row>
    <row r="37" spans="2:18" ht="15" customHeight="1" x14ac:dyDescent="0.25">
      <c r="B37" s="256"/>
      <c r="C37" s="257"/>
      <c r="D37" s="257"/>
      <c r="E37" s="257"/>
      <c r="F37" s="257"/>
      <c r="G37" s="257"/>
      <c r="H37" s="257"/>
      <c r="I37" s="257"/>
      <c r="J37" s="257"/>
      <c r="K37" s="257"/>
      <c r="L37" s="257"/>
      <c r="M37" s="257"/>
      <c r="N37" s="257"/>
      <c r="O37" s="257"/>
      <c r="P37" s="257"/>
      <c r="Q37" s="257"/>
      <c r="R37" s="258"/>
    </row>
    <row r="38" spans="2:18" ht="15" customHeight="1" x14ac:dyDescent="0.25">
      <c r="B38" s="256"/>
      <c r="C38" s="257"/>
      <c r="D38" s="257"/>
      <c r="E38" s="257"/>
      <c r="F38" s="257"/>
      <c r="G38" s="257"/>
      <c r="H38" s="257"/>
      <c r="I38" s="257"/>
      <c r="J38" s="257"/>
      <c r="K38" s="257"/>
      <c r="L38" s="257"/>
      <c r="M38" s="257"/>
      <c r="N38" s="257"/>
      <c r="O38" s="257"/>
      <c r="P38" s="257"/>
      <c r="Q38" s="257"/>
      <c r="R38" s="258"/>
    </row>
    <row r="39" spans="2:18" ht="15" customHeight="1" thickBot="1" x14ac:dyDescent="0.3">
      <c r="B39" s="259"/>
      <c r="C39" s="260"/>
      <c r="D39" s="260"/>
      <c r="E39" s="260"/>
      <c r="F39" s="260"/>
      <c r="G39" s="260"/>
      <c r="H39" s="260"/>
      <c r="I39" s="260"/>
      <c r="J39" s="260"/>
      <c r="K39" s="260"/>
      <c r="L39" s="260"/>
      <c r="M39" s="260"/>
      <c r="N39" s="260"/>
      <c r="O39" s="260"/>
      <c r="P39" s="260"/>
      <c r="Q39" s="260"/>
      <c r="R39" s="261"/>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173</v>
      </c>
      <c r="D3" s="263"/>
      <c r="E3" s="263"/>
      <c r="F3" s="263"/>
      <c r="G3" s="263"/>
      <c r="H3" s="263"/>
      <c r="I3" s="263"/>
      <c r="J3" s="263"/>
      <c r="K3" s="263"/>
      <c r="L3" s="263"/>
      <c r="M3" s="263"/>
      <c r="N3" s="263"/>
      <c r="O3" s="263"/>
      <c r="P3" s="263"/>
      <c r="Q3" s="263"/>
      <c r="R3" s="263"/>
      <c r="S3" s="263"/>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6" t="s">
        <v>346</v>
      </c>
      <c r="E5" s="266"/>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0.12826199999999999</v>
      </c>
      <c r="F8" s="29"/>
      <c r="G8" s="29"/>
      <c r="H8" s="29"/>
      <c r="I8" s="29"/>
      <c r="J8" s="29"/>
      <c r="K8" s="29"/>
      <c r="L8" s="29"/>
      <c r="M8" s="29"/>
      <c r="N8" s="29"/>
      <c r="O8" s="29"/>
      <c r="P8" s="29"/>
      <c r="Q8" s="29"/>
      <c r="R8" s="29"/>
      <c r="S8" s="29"/>
      <c r="T8" s="22"/>
      <c r="W8" s="61" t="s">
        <v>3</v>
      </c>
      <c r="X8" s="62">
        <v>0.32941000000000004</v>
      </c>
    </row>
    <row r="9" spans="1:24" ht="15.75" customHeight="1" x14ac:dyDescent="0.25">
      <c r="B9" s="84"/>
      <c r="C9" s="197" t="s">
        <v>31</v>
      </c>
      <c r="D9" s="208" t="s">
        <v>6</v>
      </c>
      <c r="E9" s="209">
        <v>0.121485</v>
      </c>
      <c r="F9" s="29"/>
      <c r="G9" s="29"/>
      <c r="H9" s="29"/>
      <c r="I9" s="29"/>
      <c r="J9" s="29"/>
      <c r="K9" s="29"/>
      <c r="L9" s="29"/>
      <c r="M9" s="29"/>
      <c r="N9" s="29"/>
      <c r="O9" s="29"/>
      <c r="P9" s="29"/>
      <c r="Q9" s="29"/>
      <c r="R9" s="29"/>
      <c r="S9" s="29"/>
      <c r="T9" s="22"/>
      <c r="W9" s="61" t="s">
        <v>117</v>
      </c>
      <c r="X9" s="62">
        <v>0.16216799999999998</v>
      </c>
    </row>
    <row r="10" spans="1:24" ht="15.75" x14ac:dyDescent="0.25">
      <c r="B10" s="84"/>
      <c r="C10" s="197" t="s">
        <v>32</v>
      </c>
      <c r="D10" s="208" t="s">
        <v>3</v>
      </c>
      <c r="E10" s="209">
        <v>8.8869000000000004E-2</v>
      </c>
      <c r="F10" s="29"/>
      <c r="G10" s="29"/>
      <c r="H10" s="29"/>
      <c r="I10" s="29"/>
      <c r="J10" s="29"/>
      <c r="K10" s="29"/>
      <c r="L10" s="29"/>
      <c r="M10" s="29"/>
      <c r="N10" s="29"/>
      <c r="O10" s="29"/>
      <c r="P10" s="29"/>
      <c r="Q10" s="29"/>
      <c r="R10" s="29"/>
      <c r="S10" s="29"/>
      <c r="T10" s="22"/>
      <c r="W10" s="61" t="s">
        <v>6</v>
      </c>
      <c r="X10" s="62">
        <v>0.121485</v>
      </c>
    </row>
    <row r="11" spans="1:24" ht="15.75" customHeight="1" x14ac:dyDescent="0.25">
      <c r="B11" s="84"/>
      <c r="C11" s="197" t="s">
        <v>28</v>
      </c>
      <c r="D11" s="208" t="s">
        <v>117</v>
      </c>
      <c r="E11" s="209">
        <v>7.2039000000000006E-2</v>
      </c>
      <c r="F11" s="29"/>
      <c r="G11" s="29"/>
      <c r="H11" s="29"/>
      <c r="I11" s="29"/>
      <c r="J11" s="29"/>
      <c r="K11" s="29"/>
      <c r="L11" s="29"/>
      <c r="M11" s="29"/>
      <c r="N11" s="29"/>
      <c r="O11" s="29"/>
      <c r="P11" s="29"/>
      <c r="Q11" s="29"/>
      <c r="R11" s="29"/>
      <c r="S11" s="29"/>
      <c r="T11" s="22"/>
      <c r="W11" s="61" t="s">
        <v>127</v>
      </c>
      <c r="X11" s="62">
        <v>6.9292999999999993E-2</v>
      </c>
    </row>
    <row r="12" spans="1:24" ht="15" customHeight="1" x14ac:dyDescent="0.25">
      <c r="B12" s="84"/>
      <c r="C12" s="197" t="s">
        <v>34</v>
      </c>
      <c r="D12" s="208" t="s">
        <v>23</v>
      </c>
      <c r="E12" s="209">
        <v>5.0550999999999999E-2</v>
      </c>
      <c r="F12" s="29"/>
      <c r="G12" s="29"/>
      <c r="H12" s="29"/>
      <c r="I12" s="29"/>
      <c r="J12" s="29"/>
      <c r="K12" s="29"/>
      <c r="L12" s="29"/>
      <c r="M12" s="29"/>
      <c r="N12" s="29"/>
      <c r="O12" s="29"/>
      <c r="P12" s="29"/>
      <c r="Q12" s="29"/>
      <c r="R12" s="29"/>
      <c r="S12" s="29"/>
      <c r="T12" s="22"/>
      <c r="W12" s="61" t="s">
        <v>122</v>
      </c>
      <c r="X12" s="62">
        <v>6.0351000000000002E-2</v>
      </c>
    </row>
    <row r="13" spans="1:24" ht="15" customHeight="1" x14ac:dyDescent="0.25">
      <c r="B13" s="84"/>
      <c r="C13" s="197" t="s">
        <v>33</v>
      </c>
      <c r="D13" s="208" t="s">
        <v>117</v>
      </c>
      <c r="E13" s="209">
        <v>5.0390999999999998E-2</v>
      </c>
      <c r="F13" s="29"/>
      <c r="G13" s="29"/>
      <c r="H13" s="29"/>
      <c r="I13" s="29"/>
      <c r="J13" s="29"/>
      <c r="K13" s="29"/>
      <c r="L13" s="29"/>
      <c r="M13" s="29"/>
      <c r="N13" s="29"/>
      <c r="O13" s="29"/>
      <c r="P13" s="29"/>
      <c r="Q13" s="29"/>
      <c r="R13" s="29"/>
      <c r="S13" s="29"/>
      <c r="T13" s="22"/>
      <c r="W13" s="61" t="s">
        <v>23</v>
      </c>
      <c r="X13" s="62">
        <v>5.0550999999999999E-2</v>
      </c>
    </row>
    <row r="14" spans="1:24" ht="15" customHeight="1" x14ac:dyDescent="0.25">
      <c r="B14" s="84"/>
      <c r="C14" s="197" t="s">
        <v>30</v>
      </c>
      <c r="D14" s="208" t="s">
        <v>127</v>
      </c>
      <c r="E14" s="209">
        <v>4.3369999999999999E-2</v>
      </c>
      <c r="F14" s="29"/>
      <c r="G14" s="29"/>
      <c r="H14" s="29"/>
      <c r="I14" s="29"/>
      <c r="J14" s="29"/>
      <c r="K14" s="29"/>
      <c r="L14" s="29"/>
      <c r="M14" s="29"/>
      <c r="N14" s="29"/>
      <c r="O14" s="29"/>
      <c r="P14" s="29"/>
      <c r="Q14" s="29"/>
      <c r="R14" s="29"/>
      <c r="S14" s="29"/>
      <c r="T14" s="22"/>
      <c r="W14" s="61" t="s">
        <v>10</v>
      </c>
      <c r="X14" s="62">
        <v>3.4706000000000001E-2</v>
      </c>
    </row>
    <row r="15" spans="1:24" ht="15" customHeight="1" x14ac:dyDescent="0.25">
      <c r="B15" s="84"/>
      <c r="C15" s="197" t="s">
        <v>36</v>
      </c>
      <c r="D15" s="208" t="s">
        <v>3</v>
      </c>
      <c r="E15" s="209">
        <v>3.6773E-2</v>
      </c>
      <c r="F15" s="29"/>
      <c r="G15" s="29"/>
      <c r="H15" s="29"/>
      <c r="I15" s="29"/>
      <c r="J15" s="29"/>
      <c r="K15" s="29"/>
      <c r="L15" s="29"/>
      <c r="M15" s="29"/>
      <c r="N15" s="29"/>
      <c r="O15" s="29"/>
      <c r="P15" s="29"/>
      <c r="Q15" s="29"/>
      <c r="R15" s="29"/>
      <c r="S15" s="29"/>
      <c r="T15" s="22"/>
      <c r="W15" s="61" t="s">
        <v>12</v>
      </c>
      <c r="X15" s="62">
        <v>3.4155999999999999E-2</v>
      </c>
    </row>
    <row r="16" spans="1:24" ht="15" customHeight="1" x14ac:dyDescent="0.25">
      <c r="B16" s="84"/>
      <c r="C16" s="197" t="s">
        <v>84</v>
      </c>
      <c r="D16" s="208" t="s">
        <v>3</v>
      </c>
      <c r="E16" s="209">
        <v>3.4634999999999999E-2</v>
      </c>
      <c r="F16" s="29"/>
      <c r="G16" s="29"/>
      <c r="H16" s="29"/>
      <c r="I16" s="29"/>
      <c r="J16" s="29"/>
      <c r="K16" s="29"/>
      <c r="L16" s="29"/>
      <c r="M16" s="29"/>
      <c r="N16" s="29"/>
      <c r="O16" s="29"/>
      <c r="P16" s="29"/>
      <c r="Q16" s="29"/>
      <c r="R16" s="29"/>
      <c r="S16" s="29"/>
      <c r="T16" s="22"/>
      <c r="W16" s="61" t="s">
        <v>16</v>
      </c>
      <c r="X16" s="62">
        <v>3.3662999999999998E-2</v>
      </c>
    </row>
    <row r="17" spans="2:24" ht="15" customHeight="1" x14ac:dyDescent="0.25">
      <c r="B17" s="84"/>
      <c r="C17" s="197" t="s">
        <v>73</v>
      </c>
      <c r="D17" s="208" t="s">
        <v>12</v>
      </c>
      <c r="E17" s="209">
        <v>3.4155999999999999E-2</v>
      </c>
      <c r="F17" s="29"/>
      <c r="G17" s="29"/>
      <c r="H17" s="29"/>
      <c r="I17" s="29"/>
      <c r="J17" s="29"/>
      <c r="K17" s="29"/>
      <c r="L17" s="29"/>
      <c r="M17" s="29"/>
      <c r="N17" s="29"/>
      <c r="O17" s="29"/>
      <c r="P17" s="29"/>
      <c r="Q17" s="29"/>
      <c r="R17" s="29"/>
      <c r="S17" s="29"/>
      <c r="T17" s="22"/>
      <c r="W17" s="61" t="s">
        <v>4</v>
      </c>
      <c r="X17" s="62">
        <v>3.1891000000000003E-2</v>
      </c>
    </row>
    <row r="18" spans="2:24" ht="15" customHeight="1" x14ac:dyDescent="0.25">
      <c r="B18" s="84"/>
      <c r="C18" s="197" t="s">
        <v>35</v>
      </c>
      <c r="D18" s="208" t="s">
        <v>3</v>
      </c>
      <c r="E18" s="209">
        <v>2.9211000000000001E-2</v>
      </c>
      <c r="F18" s="29"/>
      <c r="G18" s="29"/>
      <c r="H18" s="29"/>
      <c r="I18" s="29"/>
      <c r="J18" s="29"/>
      <c r="K18" s="29"/>
      <c r="L18" s="29"/>
      <c r="M18" s="29"/>
      <c r="N18" s="29"/>
      <c r="O18" s="29"/>
      <c r="P18" s="29"/>
      <c r="Q18" s="29"/>
      <c r="R18" s="29"/>
      <c r="S18" s="29"/>
      <c r="T18" s="22"/>
      <c r="W18" s="61" t="s">
        <v>11</v>
      </c>
      <c r="X18" s="62">
        <v>2.2877000000000002E-2</v>
      </c>
    </row>
    <row r="19" spans="2:24" ht="15" customHeight="1" x14ac:dyDescent="0.25">
      <c r="B19" s="84"/>
      <c r="C19" s="197" t="s">
        <v>37</v>
      </c>
      <c r="D19" s="208" t="s">
        <v>127</v>
      </c>
      <c r="E19" s="209">
        <v>2.5923000000000002E-2</v>
      </c>
      <c r="F19" s="29"/>
      <c r="G19" s="29"/>
      <c r="H19" s="29"/>
      <c r="I19" s="29"/>
      <c r="J19" s="29"/>
      <c r="K19" s="29"/>
      <c r="L19" s="29"/>
      <c r="M19" s="29"/>
      <c r="N19" s="29"/>
      <c r="O19" s="29"/>
      <c r="P19" s="29"/>
      <c r="Q19" s="29"/>
      <c r="R19" s="29"/>
      <c r="S19" s="29"/>
      <c r="T19" s="22"/>
      <c r="W19" s="61" t="s">
        <v>121</v>
      </c>
      <c r="X19" s="62">
        <v>2.0423E-2</v>
      </c>
    </row>
    <row r="20" spans="2:24" ht="15" customHeight="1" x14ac:dyDescent="0.25">
      <c r="B20" s="84"/>
      <c r="C20" s="197" t="s">
        <v>130</v>
      </c>
      <c r="D20" s="208" t="s">
        <v>122</v>
      </c>
      <c r="E20" s="209">
        <v>2.2213E-2</v>
      </c>
      <c r="F20" s="29"/>
      <c r="G20" s="29"/>
      <c r="H20" s="29"/>
      <c r="I20" s="29"/>
      <c r="J20" s="29"/>
      <c r="K20" s="29"/>
      <c r="L20" s="29"/>
      <c r="M20" s="29"/>
      <c r="N20" s="29"/>
      <c r="O20" s="29"/>
      <c r="P20" s="29"/>
      <c r="Q20" s="29"/>
      <c r="R20" s="29"/>
      <c r="S20" s="29"/>
      <c r="T20" s="22"/>
      <c r="W20" s="61" t="s">
        <v>88</v>
      </c>
      <c r="X20" s="62">
        <v>1.3649E-2</v>
      </c>
    </row>
    <row r="21" spans="2:24" ht="15" customHeight="1" x14ac:dyDescent="0.25">
      <c r="B21" s="84"/>
      <c r="C21" s="197" t="s">
        <v>86</v>
      </c>
      <c r="D21" s="208" t="s">
        <v>4</v>
      </c>
      <c r="E21" s="209">
        <v>2.1489999999999999E-2</v>
      </c>
      <c r="F21" s="29"/>
      <c r="G21" s="29"/>
      <c r="H21" s="29"/>
      <c r="I21" s="29"/>
      <c r="J21" s="29"/>
      <c r="K21" s="29"/>
      <c r="L21" s="29"/>
      <c r="M21" s="29"/>
      <c r="N21" s="29"/>
      <c r="O21" s="29"/>
      <c r="P21" s="29"/>
      <c r="Q21" s="29"/>
      <c r="R21" s="29"/>
      <c r="S21" s="29"/>
      <c r="T21" s="22"/>
      <c r="W21" s="61" t="s">
        <v>118</v>
      </c>
      <c r="X21" s="62">
        <v>1.1224E-2</v>
      </c>
    </row>
    <row r="22" spans="2:24" ht="15" customHeight="1" x14ac:dyDescent="0.25">
      <c r="B22" s="84"/>
      <c r="C22" s="197" t="s">
        <v>221</v>
      </c>
      <c r="D22" s="208" t="s">
        <v>117</v>
      </c>
      <c r="E22" s="209">
        <v>2.1295000000000001E-2</v>
      </c>
      <c r="F22" s="29"/>
      <c r="G22" s="29"/>
      <c r="H22" s="29"/>
      <c r="I22" s="29"/>
      <c r="J22" s="29"/>
      <c r="K22" s="29"/>
      <c r="L22" s="29"/>
      <c r="M22" s="29"/>
      <c r="N22" s="29"/>
      <c r="O22" s="29"/>
      <c r="P22" s="29"/>
      <c r="Q22" s="29"/>
      <c r="R22" s="29"/>
      <c r="S22" s="29"/>
      <c r="T22" s="22"/>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0.78066300000000011</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3" t="s">
        <v>202</v>
      </c>
      <c r="C39" s="254"/>
      <c r="D39" s="254"/>
      <c r="E39" s="254"/>
      <c r="F39" s="254"/>
      <c r="G39" s="254"/>
      <c r="H39" s="254"/>
      <c r="I39" s="254"/>
      <c r="J39" s="254"/>
      <c r="K39" s="254"/>
      <c r="L39" s="254"/>
      <c r="M39" s="254"/>
      <c r="N39" s="254"/>
      <c r="O39" s="254"/>
      <c r="P39" s="254"/>
      <c r="Q39" s="254"/>
      <c r="R39" s="255"/>
    </row>
    <row r="40" spans="2:24" ht="15" customHeight="1" x14ac:dyDescent="0.25">
      <c r="B40" s="256"/>
      <c r="C40" s="257"/>
      <c r="D40" s="257"/>
      <c r="E40" s="257"/>
      <c r="F40" s="257"/>
      <c r="G40" s="257"/>
      <c r="H40" s="257"/>
      <c r="I40" s="257"/>
      <c r="J40" s="257"/>
      <c r="K40" s="257"/>
      <c r="L40" s="257"/>
      <c r="M40" s="257"/>
      <c r="N40" s="257"/>
      <c r="O40" s="257"/>
      <c r="P40" s="257"/>
      <c r="Q40" s="257"/>
      <c r="R40" s="258"/>
    </row>
    <row r="41" spans="2:24" ht="15" customHeight="1" x14ac:dyDescent="0.25">
      <c r="B41" s="256"/>
      <c r="C41" s="257"/>
      <c r="D41" s="257"/>
      <c r="E41" s="257"/>
      <c r="F41" s="257"/>
      <c r="G41" s="257"/>
      <c r="H41" s="257"/>
      <c r="I41" s="257"/>
      <c r="J41" s="257"/>
      <c r="K41" s="257"/>
      <c r="L41" s="257"/>
      <c r="M41" s="257"/>
      <c r="N41" s="257"/>
      <c r="O41" s="257"/>
      <c r="P41" s="257"/>
      <c r="Q41" s="257"/>
      <c r="R41" s="258"/>
    </row>
    <row r="42" spans="2:24" ht="15" customHeight="1" x14ac:dyDescent="0.25">
      <c r="B42" s="256"/>
      <c r="C42" s="257"/>
      <c r="D42" s="257"/>
      <c r="E42" s="257"/>
      <c r="F42" s="257"/>
      <c r="G42" s="257"/>
      <c r="H42" s="257"/>
      <c r="I42" s="257"/>
      <c r="J42" s="257"/>
      <c r="K42" s="257"/>
      <c r="L42" s="257"/>
      <c r="M42" s="257"/>
      <c r="N42" s="257"/>
      <c r="O42" s="257"/>
      <c r="P42" s="257"/>
      <c r="Q42" s="257"/>
      <c r="R42" s="258"/>
    </row>
    <row r="43" spans="2:24" ht="15" customHeight="1" x14ac:dyDescent="0.25">
      <c r="B43" s="256"/>
      <c r="C43" s="257"/>
      <c r="D43" s="257"/>
      <c r="E43" s="257"/>
      <c r="F43" s="257"/>
      <c r="G43" s="257"/>
      <c r="H43" s="257"/>
      <c r="I43" s="257"/>
      <c r="J43" s="257"/>
      <c r="K43" s="257"/>
      <c r="L43" s="257"/>
      <c r="M43" s="257"/>
      <c r="N43" s="257"/>
      <c r="O43" s="257"/>
      <c r="P43" s="257"/>
      <c r="Q43" s="257"/>
      <c r="R43" s="258"/>
    </row>
    <row r="44" spans="2:24" ht="15" customHeight="1" x14ac:dyDescent="0.25">
      <c r="B44" s="256"/>
      <c r="C44" s="257"/>
      <c r="D44" s="257"/>
      <c r="E44" s="257"/>
      <c r="F44" s="257"/>
      <c r="G44" s="257"/>
      <c r="H44" s="257"/>
      <c r="I44" s="257"/>
      <c r="J44" s="257"/>
      <c r="K44" s="257"/>
      <c r="L44" s="257"/>
      <c r="M44" s="257"/>
      <c r="N44" s="257"/>
      <c r="O44" s="257"/>
      <c r="P44" s="257"/>
      <c r="Q44" s="257"/>
      <c r="R44" s="258"/>
    </row>
    <row r="45" spans="2:24" ht="26.25" customHeight="1" thickBot="1" x14ac:dyDescent="0.3">
      <c r="B45" s="259"/>
      <c r="C45" s="260"/>
      <c r="D45" s="260"/>
      <c r="E45" s="260"/>
      <c r="F45" s="260"/>
      <c r="G45" s="260"/>
      <c r="H45" s="260"/>
      <c r="I45" s="260"/>
      <c r="J45" s="260"/>
      <c r="K45" s="260"/>
      <c r="L45" s="260"/>
      <c r="M45" s="260"/>
      <c r="N45" s="260"/>
      <c r="O45" s="260"/>
      <c r="P45" s="260"/>
      <c r="Q45" s="260"/>
      <c r="R45" s="26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2" t="s">
        <v>172</v>
      </c>
      <c r="D3" s="263"/>
      <c r="E3" s="263"/>
      <c r="F3" s="263"/>
      <c r="G3" s="263"/>
      <c r="H3" s="263"/>
      <c r="I3" s="263"/>
      <c r="J3" s="263"/>
      <c r="K3" s="263"/>
      <c r="L3" s="263"/>
      <c r="M3" s="263"/>
      <c r="N3" s="263"/>
      <c r="O3" s="263"/>
      <c r="P3" s="263"/>
      <c r="Q3" s="263"/>
      <c r="R3" s="263"/>
      <c r="S3" s="263"/>
      <c r="T3" s="22"/>
    </row>
    <row r="4" spans="1:24" ht="15.75" customHeight="1" x14ac:dyDescent="0.25">
      <c r="B4" s="84"/>
      <c r="C4" s="72" t="s">
        <v>354</v>
      </c>
      <c r="D4" s="29"/>
      <c r="E4" s="29"/>
      <c r="F4" s="29"/>
      <c r="G4" s="29"/>
      <c r="H4" s="29"/>
      <c r="I4" s="29"/>
      <c r="J4" s="29"/>
      <c r="K4" s="29"/>
      <c r="L4" s="29"/>
      <c r="M4" s="29"/>
      <c r="N4" s="29"/>
      <c r="O4" s="29"/>
      <c r="P4" s="29"/>
      <c r="Q4" s="29"/>
      <c r="R4" s="29"/>
      <c r="S4" s="29"/>
      <c r="T4" s="22"/>
    </row>
    <row r="5" spans="1:24" ht="18" customHeight="1" x14ac:dyDescent="0.25">
      <c r="B5" s="84"/>
      <c r="C5" s="235" t="s">
        <v>355</v>
      </c>
      <c r="D5" s="266" t="s">
        <v>347</v>
      </c>
      <c r="E5" s="266"/>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0.10967</v>
      </c>
      <c r="F8" s="29"/>
      <c r="G8" s="29"/>
      <c r="H8" s="29"/>
      <c r="I8" s="29"/>
      <c r="J8" s="29"/>
      <c r="K8" s="29"/>
      <c r="L8" s="29"/>
      <c r="M8" s="29"/>
      <c r="N8" s="29"/>
      <c r="O8" s="29"/>
      <c r="P8" s="29"/>
      <c r="Q8" s="29"/>
      <c r="R8" s="29"/>
      <c r="S8" s="29"/>
      <c r="T8" s="22"/>
      <c r="W8" s="61" t="s">
        <v>3</v>
      </c>
      <c r="X8" s="62">
        <v>0.28328599999999998</v>
      </c>
    </row>
    <row r="9" spans="1:24" ht="15.75" customHeight="1" x14ac:dyDescent="0.25">
      <c r="B9" s="84"/>
      <c r="C9" s="197" t="s">
        <v>31</v>
      </c>
      <c r="D9" s="208" t="s">
        <v>6</v>
      </c>
      <c r="E9" s="209">
        <v>0.102784</v>
      </c>
      <c r="F9" s="29"/>
      <c r="G9" s="29"/>
      <c r="H9" s="29"/>
      <c r="I9" s="29"/>
      <c r="J9" s="29"/>
      <c r="K9" s="29"/>
      <c r="L9" s="29"/>
      <c r="M9" s="29"/>
      <c r="N9" s="29"/>
      <c r="O9" s="29"/>
      <c r="P9" s="29"/>
      <c r="Q9" s="29"/>
      <c r="R9" s="29"/>
      <c r="S9" s="29"/>
      <c r="T9" s="22"/>
      <c r="W9" s="61" t="s">
        <v>117</v>
      </c>
      <c r="X9" s="62">
        <v>0.14452300000000001</v>
      </c>
    </row>
    <row r="10" spans="1:24" ht="15.75" x14ac:dyDescent="0.25">
      <c r="B10" s="84"/>
      <c r="C10" s="197" t="s">
        <v>32</v>
      </c>
      <c r="D10" s="208" t="s">
        <v>3</v>
      </c>
      <c r="E10" s="209">
        <v>7.6749999999999999E-2</v>
      </c>
      <c r="F10" s="29"/>
      <c r="G10" s="29"/>
      <c r="H10" s="29"/>
      <c r="I10" s="29"/>
      <c r="J10" s="29"/>
      <c r="K10" s="29"/>
      <c r="L10" s="29"/>
      <c r="M10" s="29"/>
      <c r="N10" s="29"/>
      <c r="O10" s="29"/>
      <c r="P10" s="29"/>
      <c r="Q10" s="29"/>
      <c r="R10" s="29"/>
      <c r="S10" s="29"/>
      <c r="T10" s="22"/>
      <c r="W10" s="61" t="s">
        <v>6</v>
      </c>
      <c r="X10" s="62">
        <v>0.108778</v>
      </c>
    </row>
    <row r="11" spans="1:24" ht="15.75" customHeight="1" x14ac:dyDescent="0.25">
      <c r="B11" s="84"/>
      <c r="C11" s="197" t="s">
        <v>28</v>
      </c>
      <c r="D11" s="208" t="s">
        <v>117</v>
      </c>
      <c r="E11" s="209">
        <v>6.2135000000000003E-2</v>
      </c>
      <c r="F11" s="29"/>
      <c r="G11" s="29"/>
      <c r="H11" s="29"/>
      <c r="I11" s="29"/>
      <c r="J11" s="29"/>
      <c r="K11" s="29"/>
      <c r="L11" s="29"/>
      <c r="M11" s="29"/>
      <c r="N11" s="29"/>
      <c r="O11" s="29"/>
      <c r="P11" s="29"/>
      <c r="Q11" s="29"/>
      <c r="R11" s="29"/>
      <c r="S11" s="29"/>
      <c r="T11" s="22"/>
      <c r="W11" s="61" t="s">
        <v>122</v>
      </c>
      <c r="X11" s="62">
        <v>7.158500000000001E-2</v>
      </c>
    </row>
    <row r="12" spans="1:24" ht="15" customHeight="1" x14ac:dyDescent="0.25">
      <c r="B12" s="84"/>
      <c r="C12" s="197" t="s">
        <v>33</v>
      </c>
      <c r="D12" s="208" t="s">
        <v>117</v>
      </c>
      <c r="E12" s="209">
        <v>4.3151000000000002E-2</v>
      </c>
      <c r="F12" s="29"/>
      <c r="G12" s="29"/>
      <c r="H12" s="29"/>
      <c r="I12" s="29"/>
      <c r="J12" s="29"/>
      <c r="K12" s="29"/>
      <c r="L12" s="29"/>
      <c r="M12" s="29"/>
      <c r="N12" s="29"/>
      <c r="O12" s="29"/>
      <c r="P12" s="29"/>
      <c r="Q12" s="29"/>
      <c r="R12" s="29"/>
      <c r="S12" s="29"/>
      <c r="T12" s="22"/>
      <c r="W12" s="61" t="s">
        <v>127</v>
      </c>
      <c r="X12" s="62">
        <v>5.9823000000000001E-2</v>
      </c>
    </row>
    <row r="13" spans="1:24" ht="15" customHeight="1" x14ac:dyDescent="0.25">
      <c r="B13" s="84"/>
      <c r="C13" s="197" t="s">
        <v>34</v>
      </c>
      <c r="D13" s="208" t="s">
        <v>23</v>
      </c>
      <c r="E13" s="209">
        <v>4.2748000000000001E-2</v>
      </c>
      <c r="F13" s="29"/>
      <c r="G13" s="29"/>
      <c r="H13" s="29"/>
      <c r="I13" s="29"/>
      <c r="J13" s="29"/>
      <c r="K13" s="29"/>
      <c r="L13" s="29"/>
      <c r="M13" s="29"/>
      <c r="N13" s="29"/>
      <c r="O13" s="29"/>
      <c r="P13" s="29"/>
      <c r="Q13" s="29"/>
      <c r="R13" s="29"/>
      <c r="S13" s="29"/>
      <c r="T13" s="22"/>
      <c r="W13" s="61" t="s">
        <v>23</v>
      </c>
      <c r="X13" s="62">
        <v>4.2748000000000001E-2</v>
      </c>
    </row>
    <row r="14" spans="1:24" ht="15" customHeight="1" x14ac:dyDescent="0.25">
      <c r="B14" s="84"/>
      <c r="C14" s="197" t="s">
        <v>30</v>
      </c>
      <c r="D14" s="208" t="s">
        <v>127</v>
      </c>
      <c r="E14" s="209">
        <v>3.7426000000000001E-2</v>
      </c>
      <c r="F14" s="29"/>
      <c r="G14" s="29"/>
      <c r="H14" s="29"/>
      <c r="I14" s="29"/>
      <c r="J14" s="29"/>
      <c r="K14" s="29"/>
      <c r="L14" s="29"/>
      <c r="M14" s="29"/>
      <c r="N14" s="29"/>
      <c r="O14" s="29"/>
      <c r="P14" s="29"/>
      <c r="Q14" s="29"/>
      <c r="R14" s="29"/>
      <c r="S14" s="29"/>
      <c r="T14" s="22"/>
      <c r="W14" s="61" t="s">
        <v>121</v>
      </c>
      <c r="X14" s="62">
        <v>3.8555000000000006E-2</v>
      </c>
    </row>
    <row r="15" spans="1:24" ht="15" customHeight="1" x14ac:dyDescent="0.25">
      <c r="B15" s="84"/>
      <c r="C15" s="197" t="s">
        <v>36</v>
      </c>
      <c r="D15" s="208" t="s">
        <v>3</v>
      </c>
      <c r="E15" s="209">
        <v>3.1031E-2</v>
      </c>
      <c r="F15" s="29"/>
      <c r="G15" s="29"/>
      <c r="H15" s="29"/>
      <c r="I15" s="29"/>
      <c r="J15" s="29"/>
      <c r="K15" s="29"/>
      <c r="L15" s="29"/>
      <c r="M15" s="29"/>
      <c r="N15" s="29"/>
      <c r="O15" s="29"/>
      <c r="P15" s="29"/>
      <c r="Q15" s="29"/>
      <c r="R15" s="29"/>
      <c r="S15" s="29"/>
      <c r="T15" s="22"/>
      <c r="W15" s="61" t="s">
        <v>10</v>
      </c>
      <c r="X15" s="62">
        <v>2.9988000000000001E-2</v>
      </c>
    </row>
    <row r="16" spans="1:24" ht="15" customHeight="1" x14ac:dyDescent="0.25">
      <c r="B16" s="84"/>
      <c r="C16" s="197" t="s">
        <v>84</v>
      </c>
      <c r="D16" s="208" t="s">
        <v>3</v>
      </c>
      <c r="E16" s="209">
        <v>2.9855E-2</v>
      </c>
      <c r="F16" s="29"/>
      <c r="G16" s="29"/>
      <c r="H16" s="29"/>
      <c r="I16" s="29"/>
      <c r="J16" s="29"/>
      <c r="K16" s="29"/>
      <c r="L16" s="29"/>
      <c r="M16" s="29"/>
      <c r="N16" s="29"/>
      <c r="O16" s="29"/>
      <c r="P16" s="29"/>
      <c r="Q16" s="29"/>
      <c r="R16" s="29"/>
      <c r="S16" s="29"/>
      <c r="T16" s="22"/>
      <c r="W16" s="61" t="s">
        <v>12</v>
      </c>
      <c r="X16" s="62">
        <v>2.9554E-2</v>
      </c>
    </row>
    <row r="17" spans="2:24" ht="15" customHeight="1" x14ac:dyDescent="0.25">
      <c r="B17" s="84"/>
      <c r="C17" s="197" t="s">
        <v>73</v>
      </c>
      <c r="D17" s="208" t="s">
        <v>12</v>
      </c>
      <c r="E17" s="209">
        <v>2.9554E-2</v>
      </c>
      <c r="F17" s="29"/>
      <c r="G17" s="29"/>
      <c r="H17" s="29"/>
      <c r="I17" s="29"/>
      <c r="J17" s="29"/>
      <c r="K17" s="29"/>
      <c r="L17" s="29"/>
      <c r="M17" s="29"/>
      <c r="N17" s="29"/>
      <c r="O17" s="29"/>
      <c r="P17" s="29"/>
      <c r="Q17" s="29"/>
      <c r="R17" s="29"/>
      <c r="S17" s="29"/>
      <c r="T17" s="22"/>
      <c r="W17" s="61" t="s">
        <v>16</v>
      </c>
      <c r="X17" s="62">
        <v>2.8961999999999998E-2</v>
      </c>
    </row>
    <row r="18" spans="2:24" ht="15" customHeight="1" x14ac:dyDescent="0.25">
      <c r="B18" s="84"/>
      <c r="C18" s="197" t="s">
        <v>35</v>
      </c>
      <c r="D18" s="208" t="s">
        <v>3</v>
      </c>
      <c r="E18" s="209">
        <v>2.5842E-2</v>
      </c>
      <c r="F18" s="29"/>
      <c r="G18" s="29"/>
      <c r="H18" s="29"/>
      <c r="I18" s="29"/>
      <c r="J18" s="29"/>
      <c r="K18" s="29"/>
      <c r="L18" s="29"/>
      <c r="M18" s="29"/>
      <c r="N18" s="29"/>
      <c r="O18" s="29"/>
      <c r="P18" s="29"/>
      <c r="Q18" s="29"/>
      <c r="R18" s="29"/>
      <c r="S18" s="29"/>
      <c r="T18" s="22"/>
      <c r="W18" s="61" t="s">
        <v>4</v>
      </c>
      <c r="X18" s="62">
        <v>2.7775000000000001E-2</v>
      </c>
    </row>
    <row r="19" spans="2:24" ht="15" customHeight="1" x14ac:dyDescent="0.25">
      <c r="B19" s="84"/>
      <c r="C19" s="197" t="s">
        <v>37</v>
      </c>
      <c r="D19" s="208" t="s">
        <v>127</v>
      </c>
      <c r="E19" s="209">
        <v>2.2397E-2</v>
      </c>
      <c r="F19" s="29"/>
      <c r="G19" s="29"/>
      <c r="H19" s="29"/>
      <c r="I19" s="29"/>
      <c r="J19" s="29"/>
      <c r="K19" s="29"/>
      <c r="L19" s="29"/>
      <c r="M19" s="29"/>
      <c r="N19" s="29"/>
      <c r="O19" s="29"/>
      <c r="P19" s="29"/>
      <c r="Q19" s="29"/>
      <c r="R19" s="29"/>
      <c r="S19" s="29"/>
      <c r="T19" s="22"/>
      <c r="W19" s="61" t="s">
        <v>88</v>
      </c>
      <c r="X19" s="62">
        <v>2.026E-2</v>
      </c>
    </row>
    <row r="20" spans="2:24" ht="15" customHeight="1" x14ac:dyDescent="0.25">
      <c r="B20" s="84"/>
      <c r="C20" s="197" t="s">
        <v>86</v>
      </c>
      <c r="D20" s="208" t="s">
        <v>4</v>
      </c>
      <c r="E20" s="209">
        <v>1.8780000000000002E-2</v>
      </c>
      <c r="F20" s="29"/>
      <c r="G20" s="29"/>
      <c r="H20" s="29"/>
      <c r="I20" s="29"/>
      <c r="J20" s="29"/>
      <c r="K20" s="29"/>
      <c r="L20" s="29"/>
      <c r="M20" s="29"/>
      <c r="N20" s="29"/>
      <c r="O20" s="29"/>
      <c r="P20" s="29"/>
      <c r="Q20" s="29"/>
      <c r="R20" s="29"/>
      <c r="S20" s="29"/>
      <c r="T20" s="22"/>
      <c r="W20" s="61" t="s">
        <v>11</v>
      </c>
      <c r="X20" s="62">
        <v>2.0004000000000001E-2</v>
      </c>
    </row>
    <row r="21" spans="2:24" ht="15" customHeight="1" x14ac:dyDescent="0.25">
      <c r="B21" s="84"/>
      <c r="C21" s="197" t="s">
        <v>221</v>
      </c>
      <c r="D21" s="208" t="s">
        <v>117</v>
      </c>
      <c r="E21" s="209">
        <v>1.8308999999999999E-2</v>
      </c>
      <c r="F21" s="29"/>
      <c r="G21" s="29"/>
      <c r="H21" s="29"/>
      <c r="I21" s="29"/>
      <c r="J21" s="29"/>
      <c r="K21" s="29"/>
      <c r="L21" s="29"/>
      <c r="M21" s="29"/>
      <c r="N21" s="29"/>
      <c r="O21" s="29"/>
      <c r="P21" s="29"/>
      <c r="Q21" s="29"/>
      <c r="R21" s="29"/>
      <c r="S21" s="29"/>
      <c r="T21" s="22"/>
      <c r="W21" s="61" t="s">
        <v>118</v>
      </c>
      <c r="X21" s="62">
        <v>1.5713999999999999E-2</v>
      </c>
    </row>
    <row r="22" spans="2:24" ht="15" customHeight="1" x14ac:dyDescent="0.25">
      <c r="B22" s="84"/>
      <c r="C22" s="197" t="s">
        <v>130</v>
      </c>
      <c r="D22" s="208" t="s">
        <v>122</v>
      </c>
      <c r="E22" s="209">
        <v>1.7992999999999999E-2</v>
      </c>
      <c r="F22" s="29"/>
      <c r="G22" s="29"/>
      <c r="H22" s="29"/>
      <c r="I22" s="29"/>
      <c r="J22" s="29"/>
      <c r="K22" s="29"/>
      <c r="L22" s="29"/>
      <c r="M22" s="29"/>
      <c r="N22" s="29"/>
      <c r="O22" s="29"/>
      <c r="P22" s="29"/>
      <c r="Q22" s="29"/>
      <c r="R22" s="29"/>
      <c r="S22" s="29"/>
      <c r="T22" s="22"/>
      <c r="W22" s="61" t="s">
        <v>91</v>
      </c>
      <c r="X22" s="62">
        <v>1.3655E-2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s="61" t="s">
        <v>13</v>
      </c>
      <c r="X23" s="62">
        <v>1.0732E-2</v>
      </c>
    </row>
    <row r="24" spans="2:24" ht="15" customHeight="1" x14ac:dyDescent="0.25">
      <c r="B24" s="84"/>
      <c r="C24" s="78" t="s">
        <v>55</v>
      </c>
      <c r="D24" s="79"/>
      <c r="E24" s="80">
        <f>SUM(E8:E22)</f>
        <v>0.66842500000000005</v>
      </c>
      <c r="F24" s="29"/>
      <c r="G24" s="29"/>
      <c r="H24" s="29"/>
      <c r="I24" s="29"/>
      <c r="J24" s="29"/>
      <c r="K24" s="29"/>
      <c r="L24" s="29"/>
      <c r="M24" s="29"/>
      <c r="N24" s="29"/>
      <c r="O24" s="29"/>
      <c r="P24" s="29"/>
      <c r="Q24" s="29"/>
      <c r="R24" s="29"/>
      <c r="S24" s="29"/>
      <c r="T24" s="22"/>
      <c r="W24" s="61" t="s">
        <v>141</v>
      </c>
      <c r="X24" s="62">
        <v>1.0356000000000001E-2</v>
      </c>
    </row>
    <row r="25" spans="2:24" ht="15" customHeight="1" x14ac:dyDescent="0.25">
      <c r="B25" s="84"/>
      <c r="F25" s="29"/>
      <c r="G25" s="29"/>
      <c r="H25" s="29"/>
      <c r="I25" s="29"/>
      <c r="J25" s="29"/>
      <c r="K25" s="29"/>
      <c r="L25" s="29"/>
      <c r="M25" s="29"/>
      <c r="N25" s="29"/>
      <c r="O25" s="29"/>
      <c r="P25" s="29"/>
      <c r="Q25" s="29"/>
      <c r="R25" s="29"/>
      <c r="S25" s="29"/>
      <c r="T25" s="22"/>
      <c r="W25" s="61" t="s">
        <v>140</v>
      </c>
      <c r="X25" s="62">
        <v>1.0083999999999999E-2</v>
      </c>
    </row>
    <row r="26" spans="2:24" ht="15" customHeight="1" x14ac:dyDescent="0.25">
      <c r="B26" s="84"/>
      <c r="F26" s="29"/>
      <c r="G26" s="29"/>
      <c r="H26" s="29"/>
      <c r="I26" s="29"/>
      <c r="J26" s="29"/>
      <c r="K26" s="29"/>
      <c r="L26" s="29"/>
      <c r="M26" s="29"/>
      <c r="N26" s="29"/>
      <c r="O26" s="29"/>
      <c r="P26" s="29"/>
      <c r="Q26" s="29"/>
      <c r="R26" s="29"/>
      <c r="S26" s="29"/>
      <c r="T26" s="22"/>
      <c r="W26" s="61" t="s">
        <v>142</v>
      </c>
      <c r="X26" s="62">
        <v>8.9529999999999992E-3</v>
      </c>
    </row>
    <row r="27" spans="2:24" ht="15" customHeight="1" x14ac:dyDescent="0.25">
      <c r="B27" s="84"/>
      <c r="F27" s="29"/>
      <c r="G27" s="29"/>
      <c r="H27" s="29"/>
      <c r="I27" s="29"/>
      <c r="J27" s="29"/>
      <c r="K27" s="29"/>
      <c r="L27" s="29"/>
      <c r="M27" s="29"/>
      <c r="N27" s="29"/>
      <c r="O27" s="29"/>
      <c r="P27" s="29"/>
      <c r="Q27" s="29"/>
      <c r="R27" s="29"/>
      <c r="S27" s="29"/>
      <c r="T27" s="22"/>
      <c r="W27" s="61" t="s">
        <v>125</v>
      </c>
      <c r="X27" s="62">
        <v>7.7850000000000003E-3</v>
      </c>
    </row>
    <row r="28" spans="2:24" ht="15" customHeight="1" x14ac:dyDescent="0.25">
      <c r="B28" s="84"/>
      <c r="F28" s="29"/>
      <c r="G28" s="29"/>
      <c r="H28" s="29"/>
      <c r="I28" s="29"/>
      <c r="J28" s="29"/>
      <c r="K28" s="29"/>
      <c r="L28" s="29"/>
      <c r="M28" s="29"/>
      <c r="N28" s="29"/>
      <c r="O28" s="29"/>
      <c r="P28" s="29"/>
      <c r="Q28" s="29"/>
      <c r="R28" s="29"/>
      <c r="S28" s="29"/>
      <c r="T28" s="22"/>
      <c r="W28" s="61" t="s">
        <v>15</v>
      </c>
      <c r="X28" s="62">
        <v>7.6530000000000001E-3</v>
      </c>
    </row>
    <row r="29" spans="2:24" ht="15" customHeight="1" x14ac:dyDescent="0.25">
      <c r="B29" s="84"/>
      <c r="F29" s="29"/>
      <c r="G29" s="29"/>
      <c r="H29" s="29"/>
      <c r="I29" s="29"/>
      <c r="J29" s="29"/>
      <c r="K29" s="29"/>
      <c r="L29" s="29"/>
      <c r="M29" s="29"/>
      <c r="N29" s="29"/>
      <c r="O29" s="29"/>
      <c r="P29" s="29"/>
      <c r="Q29" s="29"/>
      <c r="R29" s="29"/>
      <c r="S29" s="29"/>
      <c r="T29" s="22"/>
      <c r="W29" s="19" t="s">
        <v>82</v>
      </c>
      <c r="X29" s="62">
        <v>6.3829999999999998E-3</v>
      </c>
    </row>
    <row r="30" spans="2:24" ht="15" customHeight="1" x14ac:dyDescent="0.25">
      <c r="B30" s="84"/>
      <c r="F30" s="29"/>
      <c r="G30" s="29"/>
      <c r="H30" s="29"/>
      <c r="I30" s="29"/>
      <c r="J30" s="29"/>
      <c r="K30" s="29"/>
      <c r="L30" s="29"/>
      <c r="M30" s="29"/>
      <c r="N30" s="29"/>
      <c r="O30" s="29"/>
      <c r="P30" s="29"/>
      <c r="Q30" s="29"/>
      <c r="R30" s="29"/>
      <c r="S30" s="29"/>
      <c r="T30" s="22"/>
      <c r="W30" s="61" t="s">
        <v>128</v>
      </c>
      <c r="X30" s="62">
        <v>2.457E-3</v>
      </c>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3" t="s">
        <v>202</v>
      </c>
      <c r="C39" s="254"/>
      <c r="D39" s="254"/>
      <c r="E39" s="254"/>
      <c r="F39" s="254"/>
      <c r="G39" s="254"/>
      <c r="H39" s="254"/>
      <c r="I39" s="254"/>
      <c r="J39" s="254"/>
      <c r="K39" s="254"/>
      <c r="L39" s="254"/>
      <c r="M39" s="254"/>
      <c r="N39" s="254"/>
      <c r="O39" s="254"/>
      <c r="P39" s="254"/>
      <c r="Q39" s="254"/>
      <c r="R39" s="255"/>
    </row>
    <row r="40" spans="2:24" ht="15" customHeight="1" x14ac:dyDescent="0.25">
      <c r="B40" s="256"/>
      <c r="C40" s="257"/>
      <c r="D40" s="257"/>
      <c r="E40" s="257"/>
      <c r="F40" s="257"/>
      <c r="G40" s="257"/>
      <c r="H40" s="257"/>
      <c r="I40" s="257"/>
      <c r="J40" s="257"/>
      <c r="K40" s="257"/>
      <c r="L40" s="257"/>
      <c r="M40" s="257"/>
      <c r="N40" s="257"/>
      <c r="O40" s="257"/>
      <c r="P40" s="257"/>
      <c r="Q40" s="257"/>
      <c r="R40" s="258"/>
    </row>
    <row r="41" spans="2:24" ht="15" customHeight="1" x14ac:dyDescent="0.25">
      <c r="B41" s="256"/>
      <c r="C41" s="257"/>
      <c r="D41" s="257"/>
      <c r="E41" s="257"/>
      <c r="F41" s="257"/>
      <c r="G41" s="257"/>
      <c r="H41" s="257"/>
      <c r="I41" s="257"/>
      <c r="J41" s="257"/>
      <c r="K41" s="257"/>
      <c r="L41" s="257"/>
      <c r="M41" s="257"/>
      <c r="N41" s="257"/>
      <c r="O41" s="257"/>
      <c r="P41" s="257"/>
      <c r="Q41" s="257"/>
      <c r="R41" s="258"/>
    </row>
    <row r="42" spans="2:24" ht="15" customHeight="1" x14ac:dyDescent="0.25">
      <c r="B42" s="256"/>
      <c r="C42" s="257"/>
      <c r="D42" s="257"/>
      <c r="E42" s="257"/>
      <c r="F42" s="257"/>
      <c r="G42" s="257"/>
      <c r="H42" s="257"/>
      <c r="I42" s="257"/>
      <c r="J42" s="257"/>
      <c r="K42" s="257"/>
      <c r="L42" s="257"/>
      <c r="M42" s="257"/>
      <c r="N42" s="257"/>
      <c r="O42" s="257"/>
      <c r="P42" s="257"/>
      <c r="Q42" s="257"/>
      <c r="R42" s="258"/>
    </row>
    <row r="43" spans="2:24" ht="15" customHeight="1" x14ac:dyDescent="0.25">
      <c r="B43" s="256"/>
      <c r="C43" s="257"/>
      <c r="D43" s="257"/>
      <c r="E43" s="257"/>
      <c r="F43" s="257"/>
      <c r="G43" s="257"/>
      <c r="H43" s="257"/>
      <c r="I43" s="257"/>
      <c r="J43" s="257"/>
      <c r="K43" s="257"/>
      <c r="L43" s="257"/>
      <c r="M43" s="257"/>
      <c r="N43" s="257"/>
      <c r="O43" s="257"/>
      <c r="P43" s="257"/>
      <c r="Q43" s="257"/>
      <c r="R43" s="258"/>
    </row>
    <row r="44" spans="2:24" ht="15" customHeight="1" x14ac:dyDescent="0.25">
      <c r="B44" s="256"/>
      <c r="C44" s="257"/>
      <c r="D44" s="257"/>
      <c r="E44" s="257"/>
      <c r="F44" s="257"/>
      <c r="G44" s="257"/>
      <c r="H44" s="257"/>
      <c r="I44" s="257"/>
      <c r="J44" s="257"/>
      <c r="K44" s="257"/>
      <c r="L44" s="257"/>
      <c r="M44" s="257"/>
      <c r="N44" s="257"/>
      <c r="O44" s="257"/>
      <c r="P44" s="257"/>
      <c r="Q44" s="257"/>
      <c r="R44" s="258"/>
    </row>
    <row r="45" spans="2:24" ht="27.75" customHeight="1" thickBot="1" x14ac:dyDescent="0.3">
      <c r="B45" s="259"/>
      <c r="C45" s="260"/>
      <c r="D45" s="260"/>
      <c r="E45" s="260"/>
      <c r="F45" s="260"/>
      <c r="G45" s="260"/>
      <c r="H45" s="260"/>
      <c r="I45" s="260"/>
      <c r="J45" s="260"/>
      <c r="K45" s="260"/>
      <c r="L45" s="260"/>
      <c r="M45" s="260"/>
      <c r="N45" s="260"/>
      <c r="O45" s="260"/>
      <c r="P45" s="260"/>
      <c r="Q45" s="260"/>
      <c r="R45" s="26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2" t="s">
        <v>171</v>
      </c>
      <c r="D3" s="263"/>
      <c r="E3" s="263"/>
      <c r="F3" s="263"/>
      <c r="G3" s="263"/>
      <c r="H3" s="263"/>
      <c r="I3" s="263"/>
      <c r="J3" s="263"/>
      <c r="K3" s="263"/>
      <c r="L3" s="263"/>
      <c r="M3" s="263"/>
      <c r="N3" s="263"/>
      <c r="O3" s="263"/>
      <c r="P3" s="263"/>
      <c r="Q3" s="263"/>
      <c r="R3" s="263"/>
      <c r="S3" s="263"/>
      <c r="T3" s="70"/>
      <c r="U3" s="71"/>
    </row>
    <row r="4" spans="1:24" ht="15.75" customHeight="1" x14ac:dyDescent="0.25">
      <c r="B4" s="69"/>
      <c r="C4" s="72" t="s">
        <v>354</v>
      </c>
      <c r="D4" s="29"/>
      <c r="E4" s="29"/>
      <c r="F4" s="29"/>
      <c r="G4" s="29"/>
      <c r="H4" s="29"/>
      <c r="I4" s="29"/>
      <c r="J4" s="29"/>
      <c r="K4" s="29"/>
      <c r="L4" s="29"/>
      <c r="M4" s="29"/>
      <c r="N4" s="29"/>
      <c r="O4" s="29"/>
      <c r="P4" s="29"/>
      <c r="Q4" s="29"/>
      <c r="R4" s="29"/>
      <c r="S4" s="29"/>
      <c r="T4" s="29"/>
      <c r="U4" s="25"/>
    </row>
    <row r="5" spans="1:24" ht="18" customHeight="1" x14ac:dyDescent="0.25">
      <c r="B5" s="69"/>
      <c r="C5" s="235" t="s">
        <v>355</v>
      </c>
      <c r="D5" s="266" t="s">
        <v>348</v>
      </c>
      <c r="E5" s="266"/>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7" t="s">
        <v>29</v>
      </c>
      <c r="D8" s="218" t="s">
        <v>3</v>
      </c>
      <c r="E8" s="207">
        <v>9.0297000000000002E-2</v>
      </c>
      <c r="F8" s="29"/>
      <c r="G8" s="29"/>
      <c r="H8" s="29"/>
      <c r="I8" s="29"/>
      <c r="J8" s="29"/>
      <c r="K8" s="29"/>
      <c r="L8" s="29"/>
      <c r="M8" s="29"/>
      <c r="N8" s="29"/>
      <c r="O8" s="29"/>
      <c r="P8" s="29"/>
      <c r="Q8" s="29"/>
      <c r="R8" s="29"/>
      <c r="S8" s="29"/>
      <c r="T8" s="29"/>
      <c r="U8" s="25"/>
      <c r="W8" s="186" t="s">
        <v>3</v>
      </c>
      <c r="X8" s="187">
        <v>0.24382699999999996</v>
      </c>
    </row>
    <row r="9" spans="1:24" ht="15.75" customHeight="1" x14ac:dyDescent="0.25">
      <c r="B9" s="69"/>
      <c r="C9" s="219" t="s">
        <v>31</v>
      </c>
      <c r="D9" s="220" t="s">
        <v>6</v>
      </c>
      <c r="E9" s="209">
        <v>8.4631999999999999E-2</v>
      </c>
      <c r="F9" s="29"/>
      <c r="G9" s="29"/>
      <c r="H9" s="29"/>
      <c r="I9" s="29"/>
      <c r="J9" s="29"/>
      <c r="K9" s="29"/>
      <c r="L9" s="29"/>
      <c r="M9" s="29"/>
      <c r="N9" s="29"/>
      <c r="O9" s="29"/>
      <c r="P9" s="29"/>
      <c r="Q9" s="29"/>
      <c r="R9" s="29"/>
      <c r="S9" s="29"/>
      <c r="T9" s="29"/>
      <c r="U9" s="25"/>
      <c r="W9" s="186" t="s">
        <v>117</v>
      </c>
      <c r="X9" s="187">
        <v>0.11899000000000001</v>
      </c>
    </row>
    <row r="10" spans="1:24" ht="15.75" x14ac:dyDescent="0.25">
      <c r="B10" s="69"/>
      <c r="C10" s="219" t="s">
        <v>32</v>
      </c>
      <c r="D10" s="220" t="s">
        <v>3</v>
      </c>
      <c r="E10" s="209">
        <v>6.3195000000000001E-2</v>
      </c>
      <c r="F10" s="29"/>
      <c r="G10" s="29"/>
      <c r="H10" s="29"/>
      <c r="I10" s="29"/>
      <c r="J10" s="29"/>
      <c r="K10" s="29"/>
      <c r="L10" s="29"/>
      <c r="M10" s="29"/>
      <c r="N10" s="29"/>
      <c r="O10" s="29"/>
      <c r="P10" s="29"/>
      <c r="Q10" s="29"/>
      <c r="R10" s="29"/>
      <c r="S10" s="29"/>
      <c r="T10" s="29"/>
      <c r="U10" s="25"/>
      <c r="W10" s="186" t="s">
        <v>6</v>
      </c>
      <c r="X10" s="187">
        <v>9.4772999999999996E-2</v>
      </c>
    </row>
    <row r="11" spans="1:24" ht="15.75" customHeight="1" x14ac:dyDescent="0.25">
      <c r="B11" s="69"/>
      <c r="C11" s="219" t="s">
        <v>28</v>
      </c>
      <c r="D11" s="220" t="s">
        <v>117</v>
      </c>
      <c r="E11" s="209">
        <v>5.1152999999999997E-2</v>
      </c>
      <c r="F11" s="29"/>
      <c r="G11" s="29"/>
      <c r="H11" s="29"/>
      <c r="I11" s="29"/>
      <c r="J11" s="29"/>
      <c r="K11" s="29"/>
      <c r="L11" s="29"/>
      <c r="M11" s="29"/>
      <c r="N11" s="29"/>
      <c r="O11" s="29"/>
      <c r="P11" s="29"/>
      <c r="Q11" s="29"/>
      <c r="R11" s="29"/>
      <c r="S11" s="29"/>
      <c r="T11" s="29"/>
      <c r="U11" s="25"/>
      <c r="W11" s="186" t="s">
        <v>122</v>
      </c>
      <c r="X11" s="187">
        <v>6.5742999999999996E-2</v>
      </c>
    </row>
    <row r="12" spans="1:24" ht="15" customHeight="1" x14ac:dyDescent="0.25">
      <c r="B12" s="69"/>
      <c r="C12" s="219" t="s">
        <v>33</v>
      </c>
      <c r="D12" s="220" t="s">
        <v>117</v>
      </c>
      <c r="E12" s="209">
        <v>3.5520000000000003E-2</v>
      </c>
      <c r="F12" s="29"/>
      <c r="G12" s="29"/>
      <c r="H12" s="29"/>
      <c r="I12" s="29"/>
      <c r="J12" s="29"/>
      <c r="K12" s="29"/>
      <c r="L12" s="29"/>
      <c r="M12" s="29"/>
      <c r="N12" s="29"/>
      <c r="O12" s="29"/>
      <c r="P12" s="29"/>
      <c r="Q12" s="29"/>
      <c r="R12" s="29"/>
      <c r="S12" s="29"/>
      <c r="T12" s="29"/>
      <c r="U12" s="25"/>
      <c r="W12" s="186" t="s">
        <v>127</v>
      </c>
      <c r="X12" s="187">
        <v>4.9255E-2</v>
      </c>
    </row>
    <row r="13" spans="1:24" ht="15" customHeight="1" x14ac:dyDescent="0.25">
      <c r="B13" s="69"/>
      <c r="C13" s="219" t="s">
        <v>34</v>
      </c>
      <c r="D13" s="220" t="s">
        <v>23</v>
      </c>
      <c r="E13" s="209">
        <v>3.5196999999999999E-2</v>
      </c>
      <c r="F13" s="29"/>
      <c r="G13" s="29"/>
      <c r="H13" s="29"/>
      <c r="I13" s="29"/>
      <c r="J13" s="29"/>
      <c r="K13" s="29"/>
      <c r="L13" s="29"/>
      <c r="M13" s="29"/>
      <c r="N13" s="29"/>
      <c r="O13" s="29"/>
      <c r="P13" s="29"/>
      <c r="Q13" s="29"/>
      <c r="R13" s="29"/>
      <c r="S13" s="29"/>
      <c r="T13" s="29"/>
      <c r="U13" s="25"/>
      <c r="W13" s="186" t="s">
        <v>4</v>
      </c>
      <c r="X13" s="187">
        <v>3.8859000000000005E-2</v>
      </c>
    </row>
    <row r="14" spans="1:24" ht="15" customHeight="1" x14ac:dyDescent="0.25">
      <c r="B14" s="69"/>
      <c r="C14" s="219" t="s">
        <v>30</v>
      </c>
      <c r="D14" s="220" t="s">
        <v>127</v>
      </c>
      <c r="E14" s="209">
        <v>3.0814000000000001E-2</v>
      </c>
      <c r="F14" s="29"/>
      <c r="G14" s="29"/>
      <c r="H14" s="29"/>
      <c r="I14" s="29"/>
      <c r="J14" s="29"/>
      <c r="K14" s="29"/>
      <c r="L14" s="29"/>
      <c r="M14" s="29"/>
      <c r="N14" s="29"/>
      <c r="O14" s="29"/>
      <c r="P14" s="29"/>
      <c r="Q14" s="29"/>
      <c r="R14" s="29"/>
      <c r="S14" s="29"/>
      <c r="T14" s="29"/>
      <c r="U14" s="25"/>
      <c r="W14" s="186" t="s">
        <v>10</v>
      </c>
      <c r="X14" s="187">
        <v>3.8744000000000001E-2</v>
      </c>
    </row>
    <row r="15" spans="1:24" ht="15" customHeight="1" x14ac:dyDescent="0.25">
      <c r="B15" s="69"/>
      <c r="C15" s="219" t="s">
        <v>36</v>
      </c>
      <c r="D15" s="220" t="s">
        <v>3</v>
      </c>
      <c r="E15" s="209">
        <v>2.5548000000000001E-2</v>
      </c>
      <c r="F15" s="29"/>
      <c r="G15" s="29"/>
      <c r="H15" s="29"/>
      <c r="I15" s="29"/>
      <c r="J15" s="29"/>
      <c r="K15" s="29"/>
      <c r="L15" s="29"/>
      <c r="M15" s="29"/>
      <c r="N15" s="29"/>
      <c r="O15" s="29"/>
      <c r="P15" s="29"/>
      <c r="Q15" s="29"/>
      <c r="R15" s="29"/>
      <c r="S15" s="29"/>
      <c r="T15" s="29"/>
      <c r="U15" s="25"/>
      <c r="W15" s="186" t="s">
        <v>121</v>
      </c>
      <c r="X15" s="187">
        <v>3.5872999999999995E-2</v>
      </c>
    </row>
    <row r="16" spans="1:24" ht="15" customHeight="1" x14ac:dyDescent="0.25">
      <c r="B16" s="69"/>
      <c r="C16" s="219" t="s">
        <v>84</v>
      </c>
      <c r="D16" s="220" t="s">
        <v>3</v>
      </c>
      <c r="E16" s="209">
        <v>2.4582E-2</v>
      </c>
      <c r="F16" s="29"/>
      <c r="G16" s="29"/>
      <c r="H16" s="29"/>
      <c r="I16" s="29"/>
      <c r="J16" s="29"/>
      <c r="K16" s="29"/>
      <c r="L16" s="29"/>
      <c r="M16" s="29"/>
      <c r="N16" s="29"/>
      <c r="O16" s="29"/>
      <c r="P16" s="29"/>
      <c r="Q16" s="29"/>
      <c r="R16" s="29"/>
      <c r="S16" s="29"/>
      <c r="T16" s="29"/>
      <c r="U16" s="25"/>
      <c r="W16" s="186" t="s">
        <v>23</v>
      </c>
      <c r="X16" s="187">
        <v>3.5196999999999999E-2</v>
      </c>
    </row>
    <row r="17" spans="2:24" ht="15" customHeight="1" x14ac:dyDescent="0.25">
      <c r="B17" s="69"/>
      <c r="C17" s="219" t="s">
        <v>73</v>
      </c>
      <c r="D17" s="220" t="s">
        <v>12</v>
      </c>
      <c r="E17" s="209">
        <v>2.4330999999999998E-2</v>
      </c>
      <c r="F17" s="29"/>
      <c r="G17" s="29"/>
      <c r="H17" s="29"/>
      <c r="I17" s="29"/>
      <c r="J17" s="29"/>
      <c r="K17" s="29"/>
      <c r="L17" s="29"/>
      <c r="M17" s="29"/>
      <c r="N17" s="29"/>
      <c r="O17" s="29"/>
      <c r="P17" s="29"/>
      <c r="Q17" s="29"/>
      <c r="R17" s="29"/>
      <c r="S17" s="29"/>
      <c r="T17" s="29"/>
      <c r="U17" s="25"/>
      <c r="W17" s="186" t="s">
        <v>16</v>
      </c>
      <c r="X17" s="187">
        <v>2.8581999999999996E-2</v>
      </c>
    </row>
    <row r="18" spans="2:24" ht="15" customHeight="1" x14ac:dyDescent="0.25">
      <c r="B18" s="69"/>
      <c r="C18" s="219" t="s">
        <v>35</v>
      </c>
      <c r="D18" s="220" t="s">
        <v>3</v>
      </c>
      <c r="E18" s="209">
        <v>2.1276E-2</v>
      </c>
      <c r="F18" s="29"/>
      <c r="G18" s="29"/>
      <c r="H18" s="29"/>
      <c r="I18" s="29"/>
      <c r="J18" s="29"/>
      <c r="K18" s="29"/>
      <c r="L18" s="29"/>
      <c r="M18" s="29"/>
      <c r="N18" s="29"/>
      <c r="O18" s="29"/>
      <c r="P18" s="29"/>
      <c r="Q18" s="29"/>
      <c r="R18" s="29"/>
      <c r="S18" s="29"/>
      <c r="T18" s="29"/>
      <c r="U18" s="25"/>
      <c r="W18" s="186" t="s">
        <v>12</v>
      </c>
      <c r="X18" s="187">
        <v>2.4330999999999998E-2</v>
      </c>
    </row>
    <row r="19" spans="2:24" ht="15" customHeight="1" x14ac:dyDescent="0.25">
      <c r="B19" s="69"/>
      <c r="C19" s="219" t="s">
        <v>37</v>
      </c>
      <c r="D19" s="220" t="s">
        <v>127</v>
      </c>
      <c r="E19" s="209">
        <v>1.8440999999999999E-2</v>
      </c>
      <c r="F19" s="29"/>
      <c r="G19" s="29"/>
      <c r="H19" s="29"/>
      <c r="I19" s="29"/>
      <c r="J19" s="29"/>
      <c r="K19" s="29"/>
      <c r="L19" s="29"/>
      <c r="M19" s="29"/>
      <c r="N19" s="29"/>
      <c r="O19" s="29"/>
      <c r="P19" s="29"/>
      <c r="Q19" s="29"/>
      <c r="R19" s="29"/>
      <c r="S19" s="29"/>
      <c r="T19" s="29"/>
      <c r="U19" s="25"/>
      <c r="W19" s="186" t="s">
        <v>88</v>
      </c>
      <c r="X19" s="187">
        <v>2.3425000000000001E-2</v>
      </c>
    </row>
    <row r="20" spans="2:24" ht="15" customHeight="1" x14ac:dyDescent="0.25">
      <c r="B20" s="69"/>
      <c r="C20" s="219" t="s">
        <v>85</v>
      </c>
      <c r="D20" s="220" t="s">
        <v>122</v>
      </c>
      <c r="E20" s="209">
        <v>1.686E-2</v>
      </c>
      <c r="F20" s="29"/>
      <c r="G20" s="29"/>
      <c r="H20" s="29"/>
      <c r="I20" s="29"/>
      <c r="J20" s="29"/>
      <c r="K20" s="29"/>
      <c r="L20" s="29"/>
      <c r="M20" s="29"/>
      <c r="N20" s="29"/>
      <c r="O20" s="29"/>
      <c r="P20" s="29"/>
      <c r="Q20" s="29"/>
      <c r="R20" s="29"/>
      <c r="S20" s="29"/>
      <c r="T20" s="29"/>
      <c r="U20" s="25"/>
      <c r="W20" s="186" t="s">
        <v>26</v>
      </c>
      <c r="X20" s="187">
        <v>2.3377999999999999E-2</v>
      </c>
    </row>
    <row r="21" spans="2:24" ht="15" customHeight="1" x14ac:dyDescent="0.25">
      <c r="B21" s="69"/>
      <c r="C21" s="219" t="s">
        <v>86</v>
      </c>
      <c r="D21" s="220" t="s">
        <v>4</v>
      </c>
      <c r="E21" s="209">
        <v>1.5468000000000001E-2</v>
      </c>
      <c r="F21" s="29"/>
      <c r="G21" s="29"/>
      <c r="H21" s="29"/>
      <c r="I21" s="29"/>
      <c r="J21" s="29"/>
      <c r="K21" s="29"/>
      <c r="L21" s="29"/>
      <c r="M21" s="29"/>
      <c r="N21" s="29"/>
      <c r="O21" s="29"/>
      <c r="P21" s="29"/>
      <c r="Q21" s="29"/>
      <c r="R21" s="29"/>
      <c r="S21" s="29"/>
      <c r="T21" s="29"/>
      <c r="U21" s="25"/>
      <c r="W21" s="186" t="s">
        <v>91</v>
      </c>
      <c r="X21" s="187">
        <v>1.898E-2</v>
      </c>
    </row>
    <row r="22" spans="2:24" ht="15" customHeight="1" x14ac:dyDescent="0.25">
      <c r="B22" s="69"/>
      <c r="C22" s="219" t="s">
        <v>221</v>
      </c>
      <c r="D22" s="220" t="s">
        <v>117</v>
      </c>
      <c r="E22" s="209">
        <v>1.5077E-2</v>
      </c>
      <c r="F22" s="29"/>
      <c r="G22" s="29"/>
      <c r="H22" s="29"/>
      <c r="I22" s="29"/>
      <c r="J22" s="29"/>
      <c r="K22" s="29"/>
      <c r="L22" s="29"/>
      <c r="M22" s="29"/>
      <c r="N22" s="29"/>
      <c r="O22" s="29"/>
      <c r="P22" s="29"/>
      <c r="Q22" s="29"/>
      <c r="R22" s="29"/>
      <c r="S22" s="29"/>
      <c r="T22" s="29"/>
      <c r="U22" s="25"/>
      <c r="W22" s="186" t="s">
        <v>11</v>
      </c>
      <c r="X22" s="187">
        <v>1.8912999999999999E-2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6" t="s">
        <v>118</v>
      </c>
      <c r="X23" s="187">
        <v>1.2945999999999999E-2</v>
      </c>
    </row>
    <row r="24" spans="2:24" ht="15" customHeight="1" x14ac:dyDescent="0.25">
      <c r="B24" s="69"/>
      <c r="C24" s="78" t="s">
        <v>55</v>
      </c>
      <c r="D24" s="79"/>
      <c r="E24" s="80">
        <f>SUM(E8:E22)</f>
        <v>0.55239100000000008</v>
      </c>
      <c r="F24" s="29"/>
      <c r="G24" s="29"/>
      <c r="H24" s="29"/>
      <c r="I24" s="29"/>
      <c r="J24" s="29"/>
      <c r="K24" s="29"/>
      <c r="L24" s="29"/>
      <c r="M24" s="29"/>
      <c r="N24" s="29"/>
      <c r="O24" s="29"/>
      <c r="P24" s="29"/>
      <c r="Q24" s="29"/>
      <c r="R24" s="29"/>
      <c r="S24" s="29"/>
      <c r="T24" s="29"/>
      <c r="U24" s="25"/>
      <c r="W24" s="186" t="s">
        <v>92</v>
      </c>
      <c r="X24" s="187">
        <v>1.1233999999999999E-2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6" t="s">
        <v>131</v>
      </c>
      <c r="X25" s="187">
        <v>1.0927000000000001E-2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6" t="s">
        <v>125</v>
      </c>
      <c r="X26" s="187">
        <v>9.2339999999999992E-3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6" t="s">
        <v>13</v>
      </c>
      <c r="X27" s="187">
        <v>8.8360000000000001E-3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6" t="s">
        <v>116</v>
      </c>
      <c r="X28" s="187">
        <v>8.7030000000000007E-3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6" t="s">
        <v>141</v>
      </c>
      <c r="X29" s="187">
        <v>8.5260000000000006E-3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6" t="s">
        <v>140</v>
      </c>
      <c r="X30" s="187">
        <v>8.3040000000000006E-3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6" t="s">
        <v>142</v>
      </c>
      <c r="X31" s="187">
        <v>7.378E-3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6" t="s">
        <v>25</v>
      </c>
      <c r="X32" s="187">
        <v>6.6219999999999994E-3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6" t="s">
        <v>126</v>
      </c>
      <c r="X33" s="187">
        <v>6.5450000000000005E-3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6" t="s">
        <v>15</v>
      </c>
      <c r="X34" s="187">
        <v>6.3020000000000003E-3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6" t="s">
        <v>129</v>
      </c>
      <c r="X35" s="187">
        <v>6.0350000000000004E-3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6" t="s">
        <v>82</v>
      </c>
      <c r="X36" s="187">
        <v>5.2589999999999998E-3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6" t="s">
        <v>123</v>
      </c>
      <c r="X37" s="187">
        <v>4.9670000000000001E-3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6" t="s">
        <v>128</v>
      </c>
      <c r="X38" s="187">
        <v>4.5509999999999995E-3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6" t="s">
        <v>120</v>
      </c>
      <c r="X39" s="187">
        <v>4.5039999999999993E-3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67" t="s">
        <v>134</v>
      </c>
      <c r="X40" s="67">
        <v>3.8579999999999999E-3</v>
      </c>
    </row>
    <row r="41" spans="2:24" ht="15" customHeight="1" thickBot="1" x14ac:dyDescent="0.3">
      <c r="W41" s="186" t="s">
        <v>143</v>
      </c>
      <c r="X41" s="187">
        <v>3.0709999999999999E-3</v>
      </c>
    </row>
    <row r="42" spans="2:24" ht="15" customHeight="1" x14ac:dyDescent="0.25">
      <c r="B42" s="253" t="s">
        <v>202</v>
      </c>
      <c r="C42" s="254"/>
      <c r="D42" s="254"/>
      <c r="E42" s="254"/>
      <c r="F42" s="254"/>
      <c r="G42" s="254"/>
      <c r="H42" s="254"/>
      <c r="I42" s="254"/>
      <c r="J42" s="254"/>
      <c r="K42" s="254"/>
      <c r="L42" s="254"/>
      <c r="M42" s="254"/>
      <c r="N42" s="254"/>
      <c r="O42" s="254"/>
      <c r="P42" s="254"/>
      <c r="Q42" s="254"/>
      <c r="R42" s="255"/>
      <c r="W42" s="186" t="s">
        <v>89</v>
      </c>
      <c r="X42" s="187">
        <v>2.415E-3</v>
      </c>
    </row>
    <row r="43" spans="2:24" ht="15" customHeight="1" x14ac:dyDescent="0.25">
      <c r="B43" s="256"/>
      <c r="C43" s="257"/>
      <c r="D43" s="257"/>
      <c r="E43" s="257"/>
      <c r="F43" s="257"/>
      <c r="G43" s="257"/>
      <c r="H43" s="257"/>
      <c r="I43" s="257"/>
      <c r="J43" s="257"/>
      <c r="K43" s="257"/>
      <c r="L43" s="257"/>
      <c r="M43" s="257"/>
      <c r="N43" s="257"/>
      <c r="O43" s="257"/>
      <c r="P43" s="257"/>
      <c r="Q43" s="257"/>
      <c r="R43" s="258"/>
      <c r="W43" s="186"/>
      <c r="X43" s="187"/>
    </row>
    <row r="44" spans="2:24" ht="15" customHeight="1" x14ac:dyDescent="0.25">
      <c r="B44" s="256"/>
      <c r="C44" s="257"/>
      <c r="D44" s="257"/>
      <c r="E44" s="257"/>
      <c r="F44" s="257"/>
      <c r="G44" s="257"/>
      <c r="H44" s="257"/>
      <c r="I44" s="257"/>
      <c r="J44" s="257"/>
      <c r="K44" s="257"/>
      <c r="L44" s="257"/>
      <c r="M44" s="257"/>
      <c r="N44" s="257"/>
      <c r="O44" s="257"/>
      <c r="P44" s="257"/>
      <c r="Q44" s="257"/>
      <c r="R44" s="258"/>
      <c r="W44" s="186"/>
      <c r="X44" s="187"/>
    </row>
    <row r="45" spans="2:24" ht="15" customHeight="1" x14ac:dyDescent="0.25">
      <c r="B45" s="256"/>
      <c r="C45" s="257"/>
      <c r="D45" s="257"/>
      <c r="E45" s="257"/>
      <c r="F45" s="257"/>
      <c r="G45" s="257"/>
      <c r="H45" s="257"/>
      <c r="I45" s="257"/>
      <c r="J45" s="257"/>
      <c r="K45" s="257"/>
      <c r="L45" s="257"/>
      <c r="M45" s="257"/>
      <c r="N45" s="257"/>
      <c r="O45" s="257"/>
      <c r="P45" s="257"/>
      <c r="Q45" s="257"/>
      <c r="R45" s="258"/>
    </row>
    <row r="46" spans="2:24" ht="15" customHeight="1" x14ac:dyDescent="0.25">
      <c r="B46" s="256"/>
      <c r="C46" s="257"/>
      <c r="D46" s="257"/>
      <c r="E46" s="257"/>
      <c r="F46" s="257"/>
      <c r="G46" s="257"/>
      <c r="H46" s="257"/>
      <c r="I46" s="257"/>
      <c r="J46" s="257"/>
      <c r="K46" s="257"/>
      <c r="L46" s="257"/>
      <c r="M46" s="257"/>
      <c r="N46" s="257"/>
      <c r="O46" s="257"/>
      <c r="P46" s="257"/>
      <c r="Q46" s="257"/>
      <c r="R46" s="258"/>
    </row>
    <row r="47" spans="2:24" ht="15" customHeight="1" x14ac:dyDescent="0.25">
      <c r="B47" s="256"/>
      <c r="C47" s="257"/>
      <c r="D47" s="257"/>
      <c r="E47" s="257"/>
      <c r="F47" s="257"/>
      <c r="G47" s="257"/>
      <c r="H47" s="257"/>
      <c r="I47" s="257"/>
      <c r="J47" s="257"/>
      <c r="K47" s="257"/>
      <c r="L47" s="257"/>
      <c r="M47" s="257"/>
      <c r="N47" s="257"/>
      <c r="O47" s="257"/>
      <c r="P47" s="257"/>
      <c r="Q47" s="257"/>
      <c r="R47" s="258"/>
    </row>
    <row r="48" spans="2:24" ht="15" customHeight="1" thickBot="1" x14ac:dyDescent="0.3">
      <c r="B48" s="259"/>
      <c r="C48" s="260"/>
      <c r="D48" s="260"/>
      <c r="E48" s="260"/>
      <c r="F48" s="260"/>
      <c r="G48" s="260"/>
      <c r="H48" s="260"/>
      <c r="I48" s="260"/>
      <c r="J48" s="260"/>
      <c r="K48" s="260"/>
      <c r="L48" s="260"/>
      <c r="M48" s="260"/>
      <c r="N48" s="260"/>
      <c r="O48" s="260"/>
      <c r="P48" s="260"/>
      <c r="Q48" s="260"/>
      <c r="R48" s="261"/>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2" t="s">
        <v>170</v>
      </c>
      <c r="D3" s="263"/>
      <c r="E3" s="263"/>
      <c r="F3" s="263"/>
      <c r="G3" s="263"/>
      <c r="H3" s="263"/>
      <c r="I3" s="263"/>
      <c r="J3" s="263"/>
      <c r="K3" s="263"/>
      <c r="L3" s="263"/>
      <c r="M3" s="263"/>
      <c r="N3" s="263"/>
      <c r="O3" s="263"/>
      <c r="P3" s="263"/>
      <c r="Q3" s="263"/>
      <c r="R3" s="263"/>
      <c r="S3" s="263"/>
      <c r="T3" s="70"/>
      <c r="U3" s="71"/>
    </row>
    <row r="4" spans="1:24" ht="15.75" x14ac:dyDescent="0.25">
      <c r="B4" s="69"/>
      <c r="C4" s="72" t="s">
        <v>354</v>
      </c>
      <c r="D4" s="29"/>
      <c r="E4" s="29"/>
      <c r="F4" s="29"/>
      <c r="G4" s="29"/>
      <c r="H4" s="29"/>
      <c r="I4" s="29"/>
      <c r="J4" s="29"/>
      <c r="K4" s="29"/>
      <c r="L4" s="29"/>
      <c r="M4" s="29"/>
      <c r="N4" s="29"/>
      <c r="O4" s="29"/>
      <c r="P4" s="29"/>
      <c r="Q4" s="29"/>
      <c r="R4" s="29"/>
      <c r="S4" s="29"/>
      <c r="T4" s="29"/>
      <c r="U4" s="25"/>
    </row>
    <row r="5" spans="1:24" ht="20.25" x14ac:dyDescent="0.25">
      <c r="B5" s="69"/>
      <c r="C5" s="235" t="s">
        <v>355</v>
      </c>
      <c r="D5" s="266" t="s">
        <v>349</v>
      </c>
      <c r="E5" s="266"/>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85</v>
      </c>
      <c r="D8" s="206" t="s">
        <v>122</v>
      </c>
      <c r="E8" s="207">
        <v>5.9518000000000001E-2</v>
      </c>
      <c r="F8" s="29"/>
      <c r="G8" s="29"/>
      <c r="H8" s="29"/>
      <c r="I8" s="29"/>
      <c r="J8" s="29"/>
      <c r="K8" s="29"/>
      <c r="L8" s="29"/>
      <c r="M8" s="29"/>
      <c r="N8" s="29"/>
      <c r="O8" s="29"/>
      <c r="P8" s="29"/>
      <c r="Q8" s="29"/>
      <c r="R8" s="29"/>
      <c r="S8" s="29"/>
      <c r="T8" s="29"/>
      <c r="U8" s="25"/>
      <c r="W8" s="66" t="s">
        <v>122</v>
      </c>
      <c r="X8" s="67">
        <v>0.202843</v>
      </c>
    </row>
    <row r="9" spans="1:24" ht="15.75" x14ac:dyDescent="0.25">
      <c r="B9" s="69"/>
      <c r="C9" s="197" t="s">
        <v>149</v>
      </c>
      <c r="D9" s="208" t="s">
        <v>26</v>
      </c>
      <c r="E9" s="209">
        <v>5.8913E-2</v>
      </c>
      <c r="F9" s="29"/>
      <c r="G9" s="29"/>
      <c r="H9" s="29"/>
      <c r="I9" s="29"/>
      <c r="J9" s="29"/>
      <c r="K9" s="29"/>
      <c r="L9" s="29"/>
      <c r="M9" s="29"/>
      <c r="N9" s="29"/>
      <c r="O9" s="29"/>
      <c r="P9" s="29"/>
      <c r="Q9" s="29"/>
      <c r="R9" s="29"/>
      <c r="S9" s="29"/>
      <c r="T9" s="29"/>
      <c r="U9" s="25"/>
      <c r="W9" s="66" t="s">
        <v>121</v>
      </c>
      <c r="X9" s="67">
        <v>0.18577099999999999</v>
      </c>
    </row>
    <row r="10" spans="1:24" ht="15.75" x14ac:dyDescent="0.25">
      <c r="B10" s="69"/>
      <c r="C10" s="197" t="s">
        <v>155</v>
      </c>
      <c r="D10" s="208" t="s">
        <v>122</v>
      </c>
      <c r="E10" s="209">
        <v>5.5169999999999997E-2</v>
      </c>
      <c r="F10" s="29"/>
      <c r="G10" s="29"/>
      <c r="H10" s="29"/>
      <c r="I10" s="29"/>
      <c r="J10" s="29"/>
      <c r="K10" s="29"/>
      <c r="L10" s="29"/>
      <c r="M10" s="29"/>
      <c r="N10" s="29"/>
      <c r="O10" s="29"/>
      <c r="P10" s="29"/>
      <c r="Q10" s="29"/>
      <c r="R10" s="29"/>
      <c r="S10" s="29"/>
      <c r="T10" s="29"/>
      <c r="U10" s="25"/>
      <c r="W10" s="66" t="s">
        <v>4</v>
      </c>
      <c r="X10" s="67">
        <v>0.10384599999999999</v>
      </c>
    </row>
    <row r="11" spans="1:24" ht="15.75" x14ac:dyDescent="0.25">
      <c r="B11" s="69"/>
      <c r="C11" s="197" t="s">
        <v>233</v>
      </c>
      <c r="D11" s="208" t="s">
        <v>141</v>
      </c>
      <c r="E11" s="209">
        <v>5.3761000000000003E-2</v>
      </c>
      <c r="F11" s="29"/>
      <c r="G11" s="29"/>
      <c r="H11" s="29"/>
      <c r="I11" s="29"/>
      <c r="J11" s="29"/>
      <c r="K11" s="29"/>
      <c r="L11" s="29"/>
      <c r="M11" s="29"/>
      <c r="N11" s="29"/>
      <c r="O11" s="29"/>
      <c r="P11" s="29"/>
      <c r="Q11" s="29"/>
      <c r="R11" s="29"/>
      <c r="S11" s="29"/>
      <c r="T11" s="29"/>
      <c r="U11" s="25"/>
      <c r="W11" s="66" t="s">
        <v>92</v>
      </c>
      <c r="X11" s="67">
        <v>9.0462000000000001E-2</v>
      </c>
    </row>
    <row r="12" spans="1:24" ht="30" x14ac:dyDescent="0.25">
      <c r="B12" s="69"/>
      <c r="C12" s="197" t="s">
        <v>154</v>
      </c>
      <c r="D12" s="208" t="s">
        <v>121</v>
      </c>
      <c r="E12" s="209">
        <v>5.1407000000000001E-2</v>
      </c>
      <c r="F12" s="29"/>
      <c r="G12" s="29"/>
      <c r="H12" s="29"/>
      <c r="I12" s="29"/>
      <c r="J12" s="29"/>
      <c r="K12" s="29"/>
      <c r="L12" s="29"/>
      <c r="M12" s="29"/>
      <c r="N12" s="29"/>
      <c r="O12" s="29"/>
      <c r="P12" s="29"/>
      <c r="Q12" s="29"/>
      <c r="R12" s="29"/>
      <c r="S12" s="29"/>
      <c r="T12" s="29"/>
      <c r="U12" s="25"/>
      <c r="W12" s="66" t="s">
        <v>26</v>
      </c>
      <c r="X12" s="67">
        <v>5.8913E-2</v>
      </c>
    </row>
    <row r="13" spans="1:24" ht="15.75" x14ac:dyDescent="0.25">
      <c r="B13" s="69"/>
      <c r="C13" s="197" t="s">
        <v>165</v>
      </c>
      <c r="D13" s="208" t="s">
        <v>92</v>
      </c>
      <c r="E13" s="209">
        <v>4.9276E-2</v>
      </c>
      <c r="F13" s="29"/>
      <c r="G13" s="29"/>
      <c r="H13" s="29"/>
      <c r="I13" s="29"/>
      <c r="J13" s="29"/>
      <c r="K13" s="29"/>
      <c r="L13" s="29"/>
      <c r="M13" s="29"/>
      <c r="N13" s="29"/>
      <c r="O13" s="29"/>
      <c r="P13" s="29"/>
      <c r="Q13" s="29"/>
      <c r="R13" s="29"/>
      <c r="S13" s="29"/>
      <c r="T13" s="29"/>
      <c r="U13" s="25"/>
      <c r="W13" s="66" t="s">
        <v>141</v>
      </c>
      <c r="X13" s="67">
        <v>5.3761000000000003E-2</v>
      </c>
    </row>
    <row r="14" spans="1:24" ht="15.75" x14ac:dyDescent="0.25">
      <c r="B14" s="69"/>
      <c r="C14" s="197" t="s">
        <v>62</v>
      </c>
      <c r="D14" s="208" t="s">
        <v>10</v>
      </c>
      <c r="E14" s="209">
        <v>4.8846000000000001E-2</v>
      </c>
      <c r="F14" s="29"/>
      <c r="G14" s="29"/>
      <c r="H14" s="29"/>
      <c r="I14" s="29"/>
      <c r="J14" s="29"/>
      <c r="K14" s="29"/>
      <c r="L14" s="29"/>
      <c r="M14" s="29"/>
      <c r="N14" s="29"/>
      <c r="O14" s="29"/>
      <c r="P14" s="29"/>
      <c r="Q14" s="29"/>
      <c r="R14" s="29"/>
      <c r="S14" s="29"/>
      <c r="T14" s="29"/>
      <c r="U14" s="25"/>
      <c r="W14" s="66" t="s">
        <v>123</v>
      </c>
      <c r="X14" s="67">
        <v>5.2373999999999997E-2</v>
      </c>
    </row>
    <row r="15" spans="1:24" ht="15.75" x14ac:dyDescent="0.25">
      <c r="B15" s="69"/>
      <c r="C15" s="197" t="s">
        <v>144</v>
      </c>
      <c r="D15" s="208" t="s">
        <v>122</v>
      </c>
      <c r="E15" s="209">
        <v>4.8281999999999999E-2</v>
      </c>
      <c r="F15" s="29"/>
      <c r="G15" s="29"/>
      <c r="H15" s="29"/>
      <c r="I15" s="29"/>
      <c r="J15" s="29"/>
      <c r="K15" s="29"/>
      <c r="L15" s="29"/>
      <c r="M15" s="29"/>
      <c r="N15" s="29"/>
      <c r="O15" s="29"/>
      <c r="P15" s="29"/>
      <c r="Q15" s="29"/>
      <c r="R15" s="29"/>
      <c r="S15" s="29"/>
      <c r="T15" s="29"/>
      <c r="U15" s="25"/>
      <c r="W15" s="66" t="s">
        <v>10</v>
      </c>
      <c r="X15" s="67">
        <v>4.8846000000000001E-2</v>
      </c>
    </row>
    <row r="16" spans="1:24" ht="15.75" x14ac:dyDescent="0.25">
      <c r="B16" s="69"/>
      <c r="C16" s="197" t="s">
        <v>71</v>
      </c>
      <c r="D16" s="208" t="s">
        <v>4</v>
      </c>
      <c r="E16" s="209">
        <v>4.7523999999999997E-2</v>
      </c>
      <c r="F16" s="29"/>
      <c r="G16" s="29"/>
      <c r="H16" s="29"/>
      <c r="I16" s="29"/>
      <c r="J16" s="29"/>
      <c r="K16" s="29"/>
      <c r="L16" s="29"/>
      <c r="M16" s="29"/>
      <c r="N16" s="29"/>
      <c r="O16" s="29"/>
      <c r="P16" s="29"/>
      <c r="Q16" s="29"/>
      <c r="R16" s="29"/>
      <c r="S16" s="29"/>
      <c r="T16" s="29"/>
      <c r="U16" s="25"/>
      <c r="W16" s="66" t="s">
        <v>23</v>
      </c>
      <c r="X16" s="67">
        <v>4.4901000000000003E-2</v>
      </c>
    </row>
    <row r="17" spans="2:24" ht="15.75" x14ac:dyDescent="0.25">
      <c r="B17" s="69"/>
      <c r="C17" s="197" t="s">
        <v>81</v>
      </c>
      <c r="D17" s="208" t="s">
        <v>4</v>
      </c>
      <c r="E17" s="209">
        <v>4.6019999999999998E-2</v>
      </c>
      <c r="F17" s="29"/>
      <c r="G17" s="29"/>
      <c r="H17" s="29"/>
      <c r="I17" s="29"/>
      <c r="J17" s="29"/>
      <c r="K17" s="29"/>
      <c r="L17" s="29"/>
      <c r="M17" s="29"/>
      <c r="N17" s="29"/>
      <c r="O17" s="29"/>
      <c r="P17" s="29"/>
      <c r="Q17" s="29"/>
      <c r="R17" s="29"/>
      <c r="S17" s="29"/>
      <c r="T17" s="29"/>
      <c r="U17" s="25"/>
      <c r="W17" s="66" t="s">
        <v>24</v>
      </c>
      <c r="X17" s="67">
        <v>4.4893000000000002E-2</v>
      </c>
    </row>
    <row r="18" spans="2:24" ht="15.75" x14ac:dyDescent="0.25">
      <c r="B18" s="69"/>
      <c r="C18" s="197" t="s">
        <v>34</v>
      </c>
      <c r="D18" s="208" t="s">
        <v>23</v>
      </c>
      <c r="E18" s="209">
        <v>4.4901000000000003E-2</v>
      </c>
      <c r="F18" s="29"/>
      <c r="G18" s="29"/>
      <c r="H18" s="29"/>
      <c r="I18" s="29"/>
      <c r="J18" s="29"/>
      <c r="K18" s="29"/>
      <c r="L18" s="29"/>
      <c r="M18" s="29"/>
      <c r="N18" s="29"/>
      <c r="O18" s="29"/>
      <c r="P18" s="29"/>
      <c r="Q18" s="29"/>
      <c r="R18" s="29"/>
      <c r="S18" s="29"/>
      <c r="T18" s="29"/>
      <c r="U18" s="25"/>
      <c r="W18" s="66" t="s">
        <v>129</v>
      </c>
      <c r="X18" s="67">
        <v>3.1872999999999999E-2</v>
      </c>
    </row>
    <row r="19" spans="2:24" ht="30" x14ac:dyDescent="0.25">
      <c r="B19" s="69"/>
      <c r="C19" s="197" t="s">
        <v>259</v>
      </c>
      <c r="D19" s="208" t="s">
        <v>121</v>
      </c>
      <c r="E19" s="209">
        <v>4.2042000000000003E-2</v>
      </c>
      <c r="F19" s="29"/>
      <c r="G19" s="29"/>
      <c r="H19" s="29"/>
      <c r="I19" s="29"/>
      <c r="J19" s="29"/>
      <c r="K19" s="29"/>
      <c r="L19" s="29"/>
      <c r="M19" s="29"/>
      <c r="N19" s="29"/>
      <c r="O19" s="29"/>
      <c r="P19" s="29"/>
      <c r="Q19" s="29"/>
      <c r="R19" s="29"/>
      <c r="S19" s="29"/>
      <c r="T19" s="29"/>
      <c r="U19" s="25"/>
      <c r="W19" s="66" t="s">
        <v>131</v>
      </c>
      <c r="X19" s="67">
        <v>2.8444000000000001E-2</v>
      </c>
    </row>
    <row r="20" spans="2:24" ht="15.75" x14ac:dyDescent="0.25">
      <c r="B20" s="69"/>
      <c r="C20" s="197" t="s">
        <v>139</v>
      </c>
      <c r="D20" s="208" t="s">
        <v>92</v>
      </c>
      <c r="E20" s="209">
        <v>4.1186E-2</v>
      </c>
      <c r="F20" s="29"/>
      <c r="G20" s="29"/>
      <c r="H20" s="29"/>
      <c r="I20" s="29"/>
      <c r="J20" s="29"/>
      <c r="K20" s="29"/>
      <c r="L20" s="29"/>
      <c r="M20" s="29"/>
      <c r="N20" s="29"/>
      <c r="O20" s="29"/>
      <c r="P20" s="29"/>
      <c r="Q20" s="29"/>
      <c r="R20" s="29"/>
      <c r="S20" s="29"/>
      <c r="T20" s="29"/>
      <c r="U20" s="25"/>
      <c r="W20" s="66" t="s">
        <v>161</v>
      </c>
      <c r="X20" s="67">
        <v>2.4053999999999999E-2</v>
      </c>
    </row>
    <row r="21" spans="2:24" ht="15.75" x14ac:dyDescent="0.25">
      <c r="B21" s="69"/>
      <c r="C21" s="197" t="s">
        <v>159</v>
      </c>
      <c r="D21" s="208" t="s">
        <v>122</v>
      </c>
      <c r="E21" s="209">
        <v>3.9872999999999999E-2</v>
      </c>
      <c r="F21" s="29"/>
      <c r="G21" s="29"/>
      <c r="H21" s="29"/>
      <c r="I21" s="29"/>
      <c r="J21" s="29"/>
      <c r="K21" s="29"/>
      <c r="L21" s="29"/>
      <c r="M21" s="29"/>
      <c r="N21" s="29"/>
      <c r="O21" s="29"/>
      <c r="P21" s="29"/>
      <c r="Q21" s="29"/>
      <c r="R21" s="29"/>
      <c r="S21" s="29"/>
      <c r="T21" s="29"/>
      <c r="U21" s="25"/>
      <c r="W21" s="66" t="s">
        <v>3</v>
      </c>
      <c r="X21" s="67">
        <v>2.2877999999999999E-2</v>
      </c>
    </row>
    <row r="22" spans="2:24" ht="15.75" x14ac:dyDescent="0.25">
      <c r="B22" s="69"/>
      <c r="C22" s="197" t="s">
        <v>318</v>
      </c>
      <c r="D22" s="208" t="s">
        <v>123</v>
      </c>
      <c r="E22" s="209">
        <v>3.9406999999999998E-2</v>
      </c>
      <c r="F22" s="29"/>
      <c r="G22" s="29"/>
      <c r="H22" s="29"/>
      <c r="I22" s="29"/>
      <c r="J22" s="29"/>
      <c r="K22" s="29"/>
      <c r="L22" s="29"/>
      <c r="M22" s="29"/>
      <c r="N22" s="29"/>
      <c r="O22" s="29"/>
      <c r="P22" s="29"/>
      <c r="Q22" s="29"/>
      <c r="R22" s="29"/>
      <c r="S22" s="29"/>
      <c r="T22" s="29"/>
      <c r="U22" s="25"/>
      <c r="W22" s="66" t="s">
        <v>137</v>
      </c>
      <c r="X22" s="67">
        <v>6.4949999999999999E-3</v>
      </c>
    </row>
    <row r="23" spans="2:24" x14ac:dyDescent="0.25">
      <c r="B23" s="69"/>
      <c r="C23" s="76"/>
      <c r="D23" s="76"/>
      <c r="E23" s="77"/>
      <c r="F23" s="29"/>
      <c r="G23" s="29"/>
      <c r="H23" s="29"/>
      <c r="I23" s="29"/>
      <c r="J23" s="29"/>
      <c r="K23" s="29"/>
      <c r="L23" s="29"/>
      <c r="M23" s="29"/>
      <c r="N23" s="29"/>
      <c r="O23" s="29"/>
      <c r="P23" s="29"/>
      <c r="Q23" s="29"/>
      <c r="R23" s="29"/>
      <c r="S23" s="29"/>
      <c r="T23" s="29"/>
      <c r="U23" s="25"/>
      <c r="W23" s="66" t="s">
        <v>88</v>
      </c>
      <c r="X23" s="67">
        <v>5.5030000000000001E-3</v>
      </c>
    </row>
    <row r="24" spans="2:24" ht="15.75" x14ac:dyDescent="0.25">
      <c r="B24" s="69"/>
      <c r="C24" s="78" t="s">
        <v>55</v>
      </c>
      <c r="D24" s="79"/>
      <c r="E24" s="80">
        <f>SUM(E8:E22)</f>
        <v>0.72612600000000005</v>
      </c>
      <c r="F24" s="29"/>
      <c r="G24" s="29"/>
      <c r="H24" s="29"/>
      <c r="I24" s="29"/>
      <c r="J24" s="29"/>
      <c r="K24" s="29"/>
      <c r="L24" s="29"/>
      <c r="M24" s="29"/>
      <c r="N24" s="29"/>
      <c r="O24" s="29"/>
      <c r="P24" s="29"/>
      <c r="Q24" s="29"/>
      <c r="R24" s="29"/>
      <c r="S24" s="29"/>
      <c r="T24" s="29"/>
      <c r="U24" s="25"/>
      <c r="W24" s="66" t="s">
        <v>101</v>
      </c>
      <c r="X24" s="67">
        <v>4.1159999999999999E-3</v>
      </c>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x14ac:dyDescent="0.25">
      <c r="B40" s="256"/>
      <c r="C40" s="257"/>
      <c r="D40" s="257"/>
      <c r="E40" s="257"/>
      <c r="F40" s="257"/>
      <c r="G40" s="257"/>
      <c r="H40" s="257"/>
      <c r="I40" s="257"/>
      <c r="J40" s="257"/>
      <c r="K40" s="257"/>
      <c r="L40" s="257"/>
      <c r="M40" s="257"/>
      <c r="N40" s="257"/>
      <c r="O40" s="257"/>
      <c r="P40" s="257"/>
      <c r="Q40" s="257"/>
      <c r="R40" s="258"/>
      <c r="W40" s="66"/>
      <c r="X40" s="67"/>
    </row>
    <row r="41" spans="2:24" x14ac:dyDescent="0.25">
      <c r="B41" s="256"/>
      <c r="C41" s="257"/>
      <c r="D41" s="257"/>
      <c r="E41" s="257"/>
      <c r="F41" s="257"/>
      <c r="G41" s="257"/>
      <c r="H41" s="257"/>
      <c r="I41" s="257"/>
      <c r="J41" s="257"/>
      <c r="K41" s="257"/>
      <c r="L41" s="257"/>
      <c r="M41" s="257"/>
      <c r="N41" s="257"/>
      <c r="O41" s="257"/>
      <c r="P41" s="257"/>
      <c r="Q41" s="257"/>
      <c r="R41" s="258"/>
      <c r="W41" s="66"/>
      <c r="X41" s="67"/>
    </row>
    <row r="42" spans="2:24" x14ac:dyDescent="0.25">
      <c r="B42" s="256"/>
      <c r="C42" s="257"/>
      <c r="D42" s="257"/>
      <c r="E42" s="257"/>
      <c r="F42" s="257"/>
      <c r="G42" s="257"/>
      <c r="H42" s="257"/>
      <c r="I42" s="257"/>
      <c r="J42" s="257"/>
      <c r="K42" s="257"/>
      <c r="L42" s="257"/>
      <c r="M42" s="257"/>
      <c r="N42" s="257"/>
      <c r="O42" s="257"/>
      <c r="P42" s="257"/>
      <c r="Q42" s="257"/>
      <c r="R42" s="258"/>
      <c r="W42" s="66"/>
      <c r="X42" s="67"/>
    </row>
    <row r="43" spans="2:24" x14ac:dyDescent="0.25">
      <c r="B43" s="256"/>
      <c r="C43" s="257"/>
      <c r="D43" s="257"/>
      <c r="E43" s="257"/>
      <c r="F43" s="257"/>
      <c r="G43" s="257"/>
      <c r="H43" s="257"/>
      <c r="I43" s="257"/>
      <c r="J43" s="257"/>
      <c r="K43" s="257"/>
      <c r="L43" s="257"/>
      <c r="M43" s="257"/>
      <c r="N43" s="257"/>
      <c r="O43" s="257"/>
      <c r="P43" s="257"/>
      <c r="Q43" s="257"/>
      <c r="R43" s="258"/>
    </row>
    <row r="44" spans="2:24" x14ac:dyDescent="0.25">
      <c r="B44" s="256"/>
      <c r="C44" s="257"/>
      <c r="D44" s="257"/>
      <c r="E44" s="257"/>
      <c r="F44" s="257"/>
      <c r="G44" s="257"/>
      <c r="H44" s="257"/>
      <c r="I44" s="257"/>
      <c r="J44" s="257"/>
      <c r="K44" s="257"/>
      <c r="L44" s="257"/>
      <c r="M44" s="257"/>
      <c r="N44" s="257"/>
      <c r="O44" s="257"/>
      <c r="P44" s="257"/>
      <c r="Q44" s="257"/>
      <c r="R44" s="258"/>
    </row>
    <row r="45" spans="2:24" ht="15.75" thickBot="1" x14ac:dyDescent="0.3">
      <c r="B45" s="259"/>
      <c r="C45" s="260"/>
      <c r="D45" s="260"/>
      <c r="E45" s="260"/>
      <c r="F45" s="260"/>
      <c r="G45" s="260"/>
      <c r="H45" s="260"/>
      <c r="I45" s="260"/>
      <c r="J45" s="260"/>
      <c r="K45" s="260"/>
      <c r="L45" s="260"/>
      <c r="M45" s="260"/>
      <c r="N45" s="260"/>
      <c r="O45" s="260"/>
      <c r="P45" s="260"/>
      <c r="Q45" s="260"/>
      <c r="R45" s="261"/>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2" t="s">
        <v>169</v>
      </c>
      <c r="D3" s="263"/>
      <c r="E3" s="263"/>
      <c r="F3" s="263"/>
      <c r="G3" s="263"/>
      <c r="H3" s="263"/>
      <c r="I3" s="263"/>
      <c r="J3" s="263"/>
      <c r="K3" s="263"/>
      <c r="L3" s="263"/>
      <c r="M3" s="263"/>
      <c r="N3" s="263"/>
      <c r="O3" s="263"/>
      <c r="P3" s="263"/>
      <c r="Q3" s="263"/>
      <c r="R3" s="263"/>
      <c r="S3" s="263"/>
      <c r="T3" s="70"/>
      <c r="U3" s="71"/>
    </row>
    <row r="4" spans="1:24" ht="15.75" x14ac:dyDescent="0.25">
      <c r="B4" s="69"/>
      <c r="C4" s="72" t="s">
        <v>354</v>
      </c>
      <c r="D4" s="29"/>
      <c r="E4" s="29"/>
      <c r="F4" s="29"/>
      <c r="G4" s="29"/>
      <c r="H4" s="29"/>
      <c r="I4" s="29"/>
      <c r="J4" s="29"/>
      <c r="K4" s="29"/>
      <c r="L4" s="29"/>
      <c r="M4" s="29"/>
      <c r="N4" s="29"/>
      <c r="O4" s="29"/>
      <c r="P4" s="29"/>
      <c r="Q4" s="29"/>
      <c r="R4" s="29"/>
      <c r="S4" s="29"/>
      <c r="T4" s="29"/>
      <c r="U4" s="25"/>
    </row>
    <row r="5" spans="1:24" ht="20.25" x14ac:dyDescent="0.25">
      <c r="B5" s="69"/>
      <c r="C5" s="235" t="s">
        <v>355</v>
      </c>
      <c r="D5" s="266" t="s">
        <v>350</v>
      </c>
      <c r="E5" s="266"/>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30" x14ac:dyDescent="0.25">
      <c r="B8" s="69"/>
      <c r="C8" s="205" t="s">
        <v>77</v>
      </c>
      <c r="D8" s="206" t="s">
        <v>121</v>
      </c>
      <c r="E8" s="207">
        <v>4.7635999999999998E-2</v>
      </c>
      <c r="F8" s="29"/>
      <c r="G8" s="29"/>
      <c r="H8" s="29"/>
      <c r="I8" s="29"/>
      <c r="J8" s="29"/>
      <c r="K8" s="29"/>
      <c r="L8" s="29"/>
      <c r="M8" s="29"/>
      <c r="N8" s="29"/>
      <c r="O8" s="29"/>
      <c r="P8" s="29"/>
      <c r="Q8" s="29"/>
      <c r="R8" s="29"/>
      <c r="S8" s="29"/>
      <c r="T8" s="29"/>
      <c r="U8" s="25"/>
      <c r="W8" s="188" t="s">
        <v>121</v>
      </c>
      <c r="X8" s="187">
        <v>0.14920800000000001</v>
      </c>
    </row>
    <row r="9" spans="1:24" ht="15.75" x14ac:dyDescent="0.25">
      <c r="B9" s="69"/>
      <c r="C9" s="197" t="s">
        <v>32</v>
      </c>
      <c r="D9" s="208" t="s">
        <v>3</v>
      </c>
      <c r="E9" s="209">
        <v>4.1716000000000003E-2</v>
      </c>
      <c r="F9" s="29"/>
      <c r="G9" s="29"/>
      <c r="H9" s="29"/>
      <c r="I9" s="29"/>
      <c r="J9" s="29"/>
      <c r="K9" s="29"/>
      <c r="L9" s="29"/>
      <c r="M9" s="29"/>
      <c r="N9" s="29"/>
      <c r="O9" s="29"/>
      <c r="P9" s="29"/>
      <c r="Q9" s="29"/>
      <c r="R9" s="29"/>
      <c r="S9" s="29"/>
      <c r="T9" s="29"/>
      <c r="U9" s="25"/>
      <c r="W9" s="188" t="s">
        <v>117</v>
      </c>
      <c r="X9" s="187">
        <v>0.10610799999999999</v>
      </c>
    </row>
    <row r="10" spans="1:24" ht="15.75" x14ac:dyDescent="0.25">
      <c r="B10" s="69"/>
      <c r="C10" s="197" t="s">
        <v>31</v>
      </c>
      <c r="D10" s="208" t="s">
        <v>6</v>
      </c>
      <c r="E10" s="209">
        <v>3.7886999999999997E-2</v>
      </c>
      <c r="F10" s="29"/>
      <c r="G10" s="29"/>
      <c r="H10" s="29"/>
      <c r="I10" s="29"/>
      <c r="J10" s="29"/>
      <c r="K10" s="29"/>
      <c r="L10" s="29"/>
      <c r="M10" s="29"/>
      <c r="N10" s="29"/>
      <c r="O10" s="29"/>
      <c r="P10" s="29"/>
      <c r="Q10" s="29"/>
      <c r="R10" s="29"/>
      <c r="S10" s="29"/>
      <c r="T10" s="29"/>
      <c r="U10" s="25"/>
      <c r="W10" s="188" t="s">
        <v>3</v>
      </c>
      <c r="X10" s="187">
        <v>0.10320399999999999</v>
      </c>
    </row>
    <row r="11" spans="1:24" ht="15.75" x14ac:dyDescent="0.25">
      <c r="B11" s="69"/>
      <c r="C11" s="197" t="s">
        <v>243</v>
      </c>
      <c r="D11" s="208" t="s">
        <v>118</v>
      </c>
      <c r="E11" s="209">
        <v>3.7161E-2</v>
      </c>
      <c r="F11" s="29"/>
      <c r="G11" s="29"/>
      <c r="H11" s="29"/>
      <c r="I11" s="29"/>
      <c r="J11" s="29"/>
      <c r="K11" s="29"/>
      <c r="L11" s="29"/>
      <c r="M11" s="29"/>
      <c r="N11" s="29"/>
      <c r="O11" s="29"/>
      <c r="P11" s="29"/>
      <c r="Q11" s="29"/>
      <c r="R11" s="29"/>
      <c r="S11" s="29"/>
      <c r="T11" s="29"/>
      <c r="U11" s="25"/>
      <c r="W11" s="188" t="s">
        <v>6</v>
      </c>
      <c r="X11" s="187">
        <v>7.3206999999999994E-2</v>
      </c>
    </row>
    <row r="12" spans="1:24" ht="30" x14ac:dyDescent="0.25">
      <c r="B12" s="69"/>
      <c r="C12" s="197" t="s">
        <v>154</v>
      </c>
      <c r="D12" s="208" t="s">
        <v>121</v>
      </c>
      <c r="E12" s="209">
        <v>3.7060999999999997E-2</v>
      </c>
      <c r="F12" s="29"/>
      <c r="G12" s="29"/>
      <c r="H12" s="29"/>
      <c r="I12" s="29"/>
      <c r="J12" s="29"/>
      <c r="K12" s="29"/>
      <c r="L12" s="29"/>
      <c r="M12" s="29"/>
      <c r="N12" s="29"/>
      <c r="O12" s="29"/>
      <c r="P12" s="29"/>
      <c r="Q12" s="29"/>
      <c r="R12" s="29"/>
      <c r="S12" s="29"/>
      <c r="T12" s="29"/>
      <c r="U12" s="25"/>
      <c r="W12" s="188" t="s">
        <v>118</v>
      </c>
      <c r="X12" s="187">
        <v>7.1779000000000009E-2</v>
      </c>
    </row>
    <row r="13" spans="1:24" ht="15.75" x14ac:dyDescent="0.25">
      <c r="B13" s="69"/>
      <c r="C13" s="197" t="s">
        <v>119</v>
      </c>
      <c r="D13" s="208" t="s">
        <v>120</v>
      </c>
      <c r="E13" s="209">
        <v>3.7020999999999998E-2</v>
      </c>
      <c r="F13" s="29"/>
      <c r="G13" s="29"/>
      <c r="H13" s="29"/>
      <c r="I13" s="29"/>
      <c r="J13" s="29"/>
      <c r="K13" s="29"/>
      <c r="L13" s="29"/>
      <c r="M13" s="29"/>
      <c r="N13" s="29"/>
      <c r="O13" s="29"/>
      <c r="P13" s="29"/>
      <c r="Q13" s="29"/>
      <c r="R13" s="29"/>
      <c r="S13" s="29"/>
      <c r="T13" s="29"/>
      <c r="U13" s="25"/>
      <c r="W13" s="188" t="s">
        <v>10</v>
      </c>
      <c r="X13" s="187">
        <v>6.6928000000000001E-2</v>
      </c>
    </row>
    <row r="14" spans="1:24" ht="15.75" x14ac:dyDescent="0.25">
      <c r="B14" s="69"/>
      <c r="C14" s="197" t="s">
        <v>219</v>
      </c>
      <c r="D14" s="208" t="s">
        <v>117</v>
      </c>
      <c r="E14" s="209">
        <v>3.6423999999999998E-2</v>
      </c>
      <c r="F14" s="29"/>
      <c r="G14" s="29"/>
      <c r="H14" s="29"/>
      <c r="I14" s="29"/>
      <c r="J14" s="29"/>
      <c r="K14" s="29"/>
      <c r="L14" s="29"/>
      <c r="M14" s="29"/>
      <c r="N14" s="29"/>
      <c r="O14" s="29"/>
      <c r="P14" s="29"/>
      <c r="Q14" s="29"/>
      <c r="R14" s="29"/>
      <c r="S14" s="29"/>
      <c r="T14" s="29"/>
      <c r="U14" s="25"/>
      <c r="W14" s="188" t="s">
        <v>127</v>
      </c>
      <c r="X14" s="187">
        <v>6.6410999999999998E-2</v>
      </c>
    </row>
    <row r="15" spans="1:24" ht="15.75" x14ac:dyDescent="0.25">
      <c r="B15" s="69"/>
      <c r="C15" s="197" t="s">
        <v>33</v>
      </c>
      <c r="D15" s="208" t="s">
        <v>117</v>
      </c>
      <c r="E15" s="209">
        <v>3.6142000000000001E-2</v>
      </c>
      <c r="F15" s="29"/>
      <c r="G15" s="29"/>
      <c r="H15" s="29"/>
      <c r="I15" s="29"/>
      <c r="J15" s="29"/>
      <c r="K15" s="29"/>
      <c r="L15" s="29"/>
      <c r="M15" s="29"/>
      <c r="N15" s="29"/>
      <c r="O15" s="29"/>
      <c r="P15" s="29"/>
      <c r="Q15" s="29"/>
      <c r="R15" s="29"/>
      <c r="S15" s="29"/>
      <c r="T15" s="29"/>
      <c r="U15" s="25"/>
      <c r="W15" s="188" t="s">
        <v>122</v>
      </c>
      <c r="X15" s="187">
        <v>6.2897999999999996E-2</v>
      </c>
    </row>
    <row r="16" spans="1:24" ht="15.75" x14ac:dyDescent="0.25">
      <c r="B16" s="69"/>
      <c r="C16" s="197" t="s">
        <v>37</v>
      </c>
      <c r="D16" s="208" t="s">
        <v>127</v>
      </c>
      <c r="E16" s="209">
        <v>3.5706000000000002E-2</v>
      </c>
      <c r="F16" s="29"/>
      <c r="G16" s="29"/>
      <c r="H16" s="29"/>
      <c r="I16" s="29"/>
      <c r="J16" s="29"/>
      <c r="K16" s="29"/>
      <c r="L16" s="29"/>
      <c r="M16" s="29"/>
      <c r="N16" s="29"/>
      <c r="O16" s="29"/>
      <c r="P16" s="29"/>
      <c r="Q16" s="29"/>
      <c r="R16" s="29"/>
      <c r="S16" s="29"/>
      <c r="T16" s="29"/>
      <c r="U16" s="25"/>
      <c r="W16" s="188" t="s">
        <v>131</v>
      </c>
      <c r="X16" s="187">
        <v>5.7951000000000003E-2</v>
      </c>
    </row>
    <row r="17" spans="2:24" ht="15.75" x14ac:dyDescent="0.25">
      <c r="B17" s="69"/>
      <c r="C17" s="197" t="s">
        <v>283</v>
      </c>
      <c r="D17" s="208" t="s">
        <v>6</v>
      </c>
      <c r="E17" s="209">
        <v>3.5319999999999997E-2</v>
      </c>
      <c r="F17" s="29"/>
      <c r="G17" s="29"/>
      <c r="H17" s="29"/>
      <c r="I17" s="29"/>
      <c r="J17" s="29"/>
      <c r="K17" s="29"/>
      <c r="L17" s="29"/>
      <c r="M17" s="29"/>
      <c r="N17" s="29"/>
      <c r="O17" s="29"/>
      <c r="P17" s="29"/>
      <c r="Q17" s="29"/>
      <c r="R17" s="29"/>
      <c r="S17" s="29"/>
      <c r="T17" s="29"/>
      <c r="U17" s="25"/>
      <c r="W17" s="188" t="s">
        <v>16</v>
      </c>
      <c r="X17" s="187">
        <v>5.6207E-2</v>
      </c>
    </row>
    <row r="18" spans="2:24" ht="15.75" x14ac:dyDescent="0.25">
      <c r="B18" s="69"/>
      <c r="C18" s="197" t="s">
        <v>93</v>
      </c>
      <c r="D18" s="208" t="s">
        <v>118</v>
      </c>
      <c r="E18" s="209">
        <v>3.4618000000000003E-2</v>
      </c>
      <c r="F18" s="29"/>
      <c r="G18" s="29"/>
      <c r="H18" s="29"/>
      <c r="I18" s="29"/>
      <c r="J18" s="29"/>
      <c r="K18" s="29"/>
      <c r="L18" s="29"/>
      <c r="M18" s="29"/>
      <c r="N18" s="29"/>
      <c r="O18" s="29"/>
      <c r="P18" s="29"/>
      <c r="Q18" s="29"/>
      <c r="R18" s="29"/>
      <c r="S18" s="29"/>
      <c r="T18" s="29"/>
      <c r="U18" s="25"/>
      <c r="W18" s="188" t="s">
        <v>120</v>
      </c>
      <c r="X18" s="187">
        <v>3.7020999999999998E-2</v>
      </c>
    </row>
    <row r="19" spans="2:24" ht="15.75" x14ac:dyDescent="0.25">
      <c r="B19" s="69"/>
      <c r="C19" s="197" t="s">
        <v>155</v>
      </c>
      <c r="D19" s="208" t="s">
        <v>122</v>
      </c>
      <c r="E19" s="209">
        <v>3.4516999999999999E-2</v>
      </c>
      <c r="F19" s="29"/>
      <c r="G19" s="29"/>
      <c r="H19" s="29"/>
      <c r="I19" s="29"/>
      <c r="J19" s="29"/>
      <c r="K19" s="29"/>
      <c r="L19" s="29"/>
      <c r="M19" s="29"/>
      <c r="N19" s="29"/>
      <c r="O19" s="29"/>
      <c r="P19" s="29"/>
      <c r="Q19" s="29"/>
      <c r="R19" s="29"/>
      <c r="S19" s="29"/>
      <c r="T19" s="29"/>
      <c r="U19" s="25"/>
      <c r="W19" s="188" t="s">
        <v>88</v>
      </c>
      <c r="X19" s="187">
        <v>3.2471E-2</v>
      </c>
    </row>
    <row r="20" spans="2:24" ht="15.75" x14ac:dyDescent="0.25">
      <c r="B20" s="69"/>
      <c r="C20" s="197" t="s">
        <v>304</v>
      </c>
      <c r="D20" s="208" t="s">
        <v>10</v>
      </c>
      <c r="E20" s="209">
        <v>3.4223000000000003E-2</v>
      </c>
      <c r="F20" s="29"/>
      <c r="G20" s="29"/>
      <c r="H20" s="29"/>
      <c r="I20" s="29"/>
      <c r="J20" s="29"/>
      <c r="K20" s="29"/>
      <c r="L20" s="29"/>
      <c r="M20" s="29"/>
      <c r="N20" s="29"/>
      <c r="O20" s="29"/>
      <c r="P20" s="29"/>
      <c r="Q20" s="29"/>
      <c r="R20" s="29"/>
      <c r="S20" s="29"/>
      <c r="T20" s="29"/>
      <c r="U20" s="25"/>
      <c r="W20" s="188" t="s">
        <v>23</v>
      </c>
      <c r="X20" s="187">
        <v>3.1516000000000002E-2</v>
      </c>
    </row>
    <row r="21" spans="2:24" ht="15.75" x14ac:dyDescent="0.25">
      <c r="B21" s="69"/>
      <c r="C21" s="197" t="s">
        <v>221</v>
      </c>
      <c r="D21" s="208" t="s">
        <v>117</v>
      </c>
      <c r="E21" s="209">
        <v>3.3542000000000002E-2</v>
      </c>
      <c r="F21" s="29"/>
      <c r="G21" s="29"/>
      <c r="H21" s="29"/>
      <c r="I21" s="29"/>
      <c r="J21" s="29"/>
      <c r="K21" s="29"/>
      <c r="L21" s="29"/>
      <c r="M21" s="29"/>
      <c r="N21" s="29"/>
      <c r="O21" s="29"/>
      <c r="P21" s="29"/>
      <c r="Q21" s="29"/>
      <c r="R21" s="29"/>
      <c r="S21" s="29"/>
      <c r="T21" s="29"/>
      <c r="U21" s="25"/>
      <c r="W21" s="188" t="s">
        <v>91</v>
      </c>
      <c r="X21" s="187">
        <v>3.0498000000000001E-2</v>
      </c>
    </row>
    <row r="22" spans="2:24" ht="30" x14ac:dyDescent="0.25">
      <c r="B22" s="69"/>
      <c r="C22" s="197" t="s">
        <v>319</v>
      </c>
      <c r="D22" s="208" t="s">
        <v>121</v>
      </c>
      <c r="E22" s="209">
        <v>3.3133999999999997E-2</v>
      </c>
      <c r="F22" s="29"/>
      <c r="G22" s="29"/>
      <c r="H22" s="29"/>
      <c r="I22" s="29"/>
      <c r="J22" s="29"/>
      <c r="K22" s="29"/>
      <c r="L22" s="29"/>
      <c r="M22" s="29"/>
      <c r="N22" s="29"/>
      <c r="O22" s="29"/>
      <c r="P22" s="29"/>
      <c r="Q22" s="29"/>
      <c r="R22" s="29"/>
      <c r="S22" s="29"/>
      <c r="T22" s="29"/>
      <c r="U22" s="25"/>
      <c r="W22" s="66" t="s">
        <v>126</v>
      </c>
      <c r="X22" s="67">
        <v>2.9087999999999999E-2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125</v>
      </c>
      <c r="X23" s="67">
        <v>2.7999E-2</v>
      </c>
    </row>
    <row r="24" spans="2:24" ht="15.75" x14ac:dyDescent="0.25">
      <c r="B24" s="69"/>
      <c r="C24" s="78" t="s">
        <v>55</v>
      </c>
      <c r="D24" s="79"/>
      <c r="E24" s="80">
        <f>SUM(E8:E22)</f>
        <v>0.55210800000000004</v>
      </c>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x14ac:dyDescent="0.25">
      <c r="B40" s="256"/>
      <c r="C40" s="257"/>
      <c r="D40" s="257"/>
      <c r="E40" s="257"/>
      <c r="F40" s="257"/>
      <c r="G40" s="257"/>
      <c r="H40" s="257"/>
      <c r="I40" s="257"/>
      <c r="J40" s="257"/>
      <c r="K40" s="257"/>
      <c r="L40" s="257"/>
      <c r="M40" s="257"/>
      <c r="N40" s="257"/>
      <c r="O40" s="257"/>
      <c r="P40" s="257"/>
      <c r="Q40" s="257"/>
      <c r="R40" s="258"/>
      <c r="W40" s="66"/>
      <c r="X40" s="67"/>
    </row>
    <row r="41" spans="2:24" x14ac:dyDescent="0.25">
      <c r="B41" s="256"/>
      <c r="C41" s="257"/>
      <c r="D41" s="257"/>
      <c r="E41" s="257"/>
      <c r="F41" s="257"/>
      <c r="G41" s="257"/>
      <c r="H41" s="257"/>
      <c r="I41" s="257"/>
      <c r="J41" s="257"/>
      <c r="K41" s="257"/>
      <c r="L41" s="257"/>
      <c r="M41" s="257"/>
      <c r="N41" s="257"/>
      <c r="O41" s="257"/>
      <c r="P41" s="257"/>
      <c r="Q41" s="257"/>
      <c r="R41" s="258"/>
      <c r="W41" s="66"/>
      <c r="X41" s="67"/>
    </row>
    <row r="42" spans="2:24" x14ac:dyDescent="0.25">
      <c r="B42" s="256"/>
      <c r="C42" s="257"/>
      <c r="D42" s="257"/>
      <c r="E42" s="257"/>
      <c r="F42" s="257"/>
      <c r="G42" s="257"/>
      <c r="H42" s="257"/>
      <c r="I42" s="257"/>
      <c r="J42" s="257"/>
      <c r="K42" s="257"/>
      <c r="L42" s="257"/>
      <c r="M42" s="257"/>
      <c r="N42" s="257"/>
      <c r="O42" s="257"/>
      <c r="P42" s="257"/>
      <c r="Q42" s="257"/>
      <c r="R42" s="258"/>
      <c r="W42" s="66"/>
      <c r="X42" s="67"/>
    </row>
    <row r="43" spans="2:24" x14ac:dyDescent="0.25">
      <c r="B43" s="256"/>
      <c r="C43" s="257"/>
      <c r="D43" s="257"/>
      <c r="E43" s="257"/>
      <c r="F43" s="257"/>
      <c r="G43" s="257"/>
      <c r="H43" s="257"/>
      <c r="I43" s="257"/>
      <c r="J43" s="257"/>
      <c r="K43" s="257"/>
      <c r="L43" s="257"/>
      <c r="M43" s="257"/>
      <c r="N43" s="257"/>
      <c r="O43" s="257"/>
      <c r="P43" s="257"/>
      <c r="Q43" s="257"/>
      <c r="R43" s="258"/>
    </row>
    <row r="44" spans="2:24" x14ac:dyDescent="0.25">
      <c r="B44" s="256"/>
      <c r="C44" s="257"/>
      <c r="D44" s="257"/>
      <c r="E44" s="257"/>
      <c r="F44" s="257"/>
      <c r="G44" s="257"/>
      <c r="H44" s="257"/>
      <c r="I44" s="257"/>
      <c r="J44" s="257"/>
      <c r="K44" s="257"/>
      <c r="L44" s="257"/>
      <c r="M44" s="257"/>
      <c r="N44" s="257"/>
      <c r="O44" s="257"/>
      <c r="P44" s="257"/>
      <c r="Q44" s="257"/>
      <c r="R44" s="258"/>
    </row>
    <row r="45" spans="2:24" ht="15.75" thickBot="1" x14ac:dyDescent="0.3">
      <c r="B45" s="259"/>
      <c r="C45" s="260"/>
      <c r="D45" s="260"/>
      <c r="E45" s="260"/>
      <c r="F45" s="260"/>
      <c r="G45" s="260"/>
      <c r="H45" s="260"/>
      <c r="I45" s="260"/>
      <c r="J45" s="260"/>
      <c r="K45" s="260"/>
      <c r="L45" s="260"/>
      <c r="M45" s="260"/>
      <c r="N45" s="260"/>
      <c r="O45" s="260"/>
      <c r="P45" s="260"/>
      <c r="Q45" s="260"/>
      <c r="R45" s="261"/>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2" t="s">
        <v>223</v>
      </c>
      <c r="D3" s="263"/>
      <c r="E3" s="263"/>
      <c r="F3" s="263"/>
      <c r="G3" s="263"/>
      <c r="H3" s="263"/>
      <c r="I3" s="263"/>
      <c r="J3" s="263"/>
      <c r="K3" s="263"/>
      <c r="L3" s="263"/>
      <c r="M3" s="263"/>
      <c r="N3" s="263"/>
      <c r="O3" s="263"/>
      <c r="P3" s="263"/>
      <c r="Q3" s="263"/>
      <c r="R3" s="263"/>
      <c r="S3" s="263"/>
      <c r="T3" s="70"/>
      <c r="U3" s="71"/>
    </row>
    <row r="4" spans="1:24" ht="15.75" x14ac:dyDescent="0.25">
      <c r="B4" s="69"/>
      <c r="C4" s="72" t="s">
        <v>354</v>
      </c>
      <c r="D4" s="29"/>
      <c r="E4" s="29"/>
      <c r="F4" s="29"/>
      <c r="G4" s="29"/>
      <c r="H4" s="29"/>
      <c r="I4" s="29"/>
      <c r="J4" s="29"/>
      <c r="K4" s="29"/>
      <c r="L4" s="29"/>
      <c r="M4" s="29"/>
      <c r="N4" s="29"/>
      <c r="O4" s="29"/>
      <c r="P4" s="29"/>
      <c r="Q4" s="29"/>
      <c r="R4" s="29"/>
      <c r="S4" s="29"/>
      <c r="T4" s="29"/>
      <c r="U4" s="25"/>
    </row>
    <row r="5" spans="1:24" ht="20.25" x14ac:dyDescent="0.25">
      <c r="B5" s="69"/>
      <c r="C5" s="235" t="s">
        <v>355</v>
      </c>
      <c r="D5" s="266" t="s">
        <v>351</v>
      </c>
      <c r="E5" s="266"/>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28</v>
      </c>
      <c r="D8" s="206" t="s">
        <v>117</v>
      </c>
      <c r="E8" s="207">
        <v>0.27716099999999999</v>
      </c>
      <c r="F8" s="29"/>
      <c r="G8" s="29"/>
      <c r="H8" s="29"/>
      <c r="I8" s="29"/>
      <c r="J8" s="29"/>
      <c r="K8" s="29"/>
      <c r="L8" s="29"/>
      <c r="M8" s="29"/>
      <c r="N8" s="29"/>
      <c r="O8" s="29"/>
      <c r="P8" s="29"/>
      <c r="Q8" s="29"/>
      <c r="R8" s="29"/>
      <c r="S8" s="29"/>
      <c r="T8" s="29"/>
      <c r="U8" s="25"/>
      <c r="W8" t="s">
        <v>117</v>
      </c>
      <c r="X8" s="187">
        <v>0.98216999999999999</v>
      </c>
    </row>
    <row r="9" spans="1:24" ht="15.75" x14ac:dyDescent="0.25">
      <c r="B9" s="69"/>
      <c r="C9" s="197" t="s">
        <v>33</v>
      </c>
      <c r="D9" s="208" t="s">
        <v>117</v>
      </c>
      <c r="E9" s="209">
        <v>0.25165900000000002</v>
      </c>
      <c r="F9" s="29"/>
      <c r="G9" s="29"/>
      <c r="H9" s="29"/>
      <c r="I9" s="29"/>
      <c r="J9" s="29"/>
      <c r="K9" s="29"/>
      <c r="L9" s="29"/>
      <c r="M9" s="29"/>
      <c r="N9" s="29"/>
      <c r="O9" s="29"/>
      <c r="P9" s="29"/>
      <c r="Q9" s="29"/>
      <c r="R9" s="29"/>
      <c r="S9" s="29"/>
      <c r="T9" s="29"/>
      <c r="U9" s="25"/>
      <c r="W9" t="s">
        <v>124</v>
      </c>
      <c r="X9" s="187">
        <v>1.6435999999999999E-2</v>
      </c>
    </row>
    <row r="10" spans="1:24" ht="15.75" x14ac:dyDescent="0.25">
      <c r="B10" s="69"/>
      <c r="C10" s="197" t="s">
        <v>221</v>
      </c>
      <c r="D10" s="208" t="s">
        <v>117</v>
      </c>
      <c r="E10" s="209">
        <v>0.106791</v>
      </c>
      <c r="F10" s="29"/>
      <c r="G10" s="29"/>
      <c r="H10" s="29"/>
      <c r="I10" s="29"/>
      <c r="J10" s="29"/>
      <c r="K10" s="29"/>
      <c r="L10" s="29"/>
      <c r="M10" s="29"/>
      <c r="N10" s="29"/>
      <c r="O10" s="29"/>
      <c r="P10" s="29"/>
      <c r="Q10" s="29"/>
      <c r="R10" s="29"/>
      <c r="S10" s="29"/>
      <c r="T10" s="29"/>
      <c r="U10" s="25"/>
      <c r="W10" s="188"/>
      <c r="X10" s="187"/>
    </row>
    <row r="11" spans="1:24" ht="15.75" x14ac:dyDescent="0.25">
      <c r="B11" s="69"/>
      <c r="C11" s="197" t="s">
        <v>220</v>
      </c>
      <c r="D11" s="208" t="s">
        <v>117</v>
      </c>
      <c r="E11" s="209">
        <v>8.9649999999999994E-2</v>
      </c>
      <c r="F11" s="29"/>
      <c r="G11" s="29"/>
      <c r="H11" s="29"/>
      <c r="I11" s="29"/>
      <c r="J11" s="29"/>
      <c r="K11" s="29"/>
      <c r="L11" s="29"/>
      <c r="M11" s="29"/>
      <c r="N11" s="29"/>
      <c r="O11" s="29"/>
      <c r="P11" s="29"/>
      <c r="Q11" s="29"/>
      <c r="R11" s="29"/>
      <c r="S11" s="29"/>
      <c r="T11" s="29"/>
      <c r="U11" s="25"/>
      <c r="W11" s="188"/>
      <c r="X11" s="187"/>
    </row>
    <row r="12" spans="1:24" ht="15.75" x14ac:dyDescent="0.25">
      <c r="B12" s="69"/>
      <c r="C12" s="197" t="s">
        <v>219</v>
      </c>
      <c r="D12" s="208" t="s">
        <v>117</v>
      </c>
      <c r="E12" s="209">
        <v>8.2416000000000003E-2</v>
      </c>
      <c r="F12" s="29"/>
      <c r="G12" s="29"/>
      <c r="H12" s="29"/>
      <c r="I12" s="29"/>
      <c r="J12" s="29"/>
      <c r="K12" s="29"/>
      <c r="L12" s="29"/>
      <c r="M12" s="29"/>
      <c r="N12" s="29"/>
      <c r="O12" s="29"/>
      <c r="P12" s="29"/>
      <c r="Q12" s="29"/>
      <c r="R12" s="29"/>
      <c r="S12" s="29"/>
      <c r="T12" s="29"/>
      <c r="U12" s="25"/>
      <c r="W12" s="188"/>
      <c r="X12" s="187"/>
    </row>
    <row r="13" spans="1:24" ht="15.75" x14ac:dyDescent="0.25">
      <c r="B13" s="69"/>
      <c r="C13" s="197" t="s">
        <v>164</v>
      </c>
      <c r="D13" s="208" t="s">
        <v>117</v>
      </c>
      <c r="E13" s="209">
        <v>5.4796999999999998E-2</v>
      </c>
      <c r="F13" s="29"/>
      <c r="G13" s="29"/>
      <c r="H13" s="29"/>
      <c r="I13" s="29"/>
      <c r="J13" s="29"/>
      <c r="K13" s="29"/>
      <c r="L13" s="29"/>
      <c r="M13" s="29"/>
      <c r="N13" s="29"/>
      <c r="O13" s="29"/>
      <c r="P13" s="29"/>
      <c r="Q13" s="29"/>
      <c r="R13" s="29"/>
      <c r="S13" s="29"/>
      <c r="T13" s="29"/>
      <c r="U13" s="25"/>
      <c r="W13" s="188"/>
      <c r="X13" s="187"/>
    </row>
    <row r="14" spans="1:24" ht="15.75" x14ac:dyDescent="0.25">
      <c r="B14" s="69"/>
      <c r="C14" s="197" t="s">
        <v>215</v>
      </c>
      <c r="D14" s="208" t="s">
        <v>117</v>
      </c>
      <c r="E14" s="209">
        <v>5.0131000000000002E-2</v>
      </c>
      <c r="F14" s="29"/>
      <c r="G14" s="29"/>
      <c r="H14" s="29"/>
      <c r="I14" s="29"/>
      <c r="J14" s="29"/>
      <c r="K14" s="29"/>
      <c r="L14" s="29"/>
      <c r="M14" s="29"/>
      <c r="N14" s="29"/>
      <c r="O14" s="29"/>
      <c r="P14" s="29"/>
      <c r="Q14" s="29"/>
      <c r="R14" s="29"/>
      <c r="S14" s="29"/>
      <c r="T14" s="29"/>
      <c r="U14" s="25"/>
      <c r="W14" s="188"/>
      <c r="X14" s="187"/>
    </row>
    <row r="15" spans="1:24" ht="15.75" x14ac:dyDescent="0.25">
      <c r="B15" s="69"/>
      <c r="C15" s="197" t="s">
        <v>222</v>
      </c>
      <c r="D15" s="208" t="s">
        <v>117</v>
      </c>
      <c r="E15" s="209">
        <v>4.5078E-2</v>
      </c>
      <c r="F15" s="29"/>
      <c r="G15" s="29"/>
      <c r="H15" s="29"/>
      <c r="I15" s="29"/>
      <c r="J15" s="29"/>
      <c r="K15" s="29"/>
      <c r="L15" s="29"/>
      <c r="M15" s="29"/>
      <c r="N15" s="29"/>
      <c r="O15" s="29"/>
      <c r="P15" s="29"/>
      <c r="Q15" s="29"/>
      <c r="R15" s="29"/>
      <c r="S15" s="29"/>
      <c r="T15" s="29"/>
      <c r="U15" s="25"/>
      <c r="W15" s="188"/>
      <c r="X15" s="187"/>
    </row>
    <row r="16" spans="1:24" ht="15.75" x14ac:dyDescent="0.25">
      <c r="B16" s="69"/>
      <c r="C16" s="197" t="s">
        <v>163</v>
      </c>
      <c r="D16" s="208" t="s">
        <v>117</v>
      </c>
      <c r="E16" s="209">
        <v>2.4486999999999998E-2</v>
      </c>
      <c r="F16" s="29"/>
      <c r="G16" s="29"/>
      <c r="H16" s="29"/>
      <c r="I16" s="29"/>
      <c r="J16" s="29"/>
      <c r="K16" s="29"/>
      <c r="L16" s="29"/>
      <c r="M16" s="29"/>
      <c r="N16" s="29"/>
      <c r="O16" s="29"/>
      <c r="P16" s="29"/>
      <c r="Q16" s="29"/>
      <c r="R16" s="29"/>
      <c r="S16" s="29"/>
      <c r="T16" s="29"/>
      <c r="U16" s="25"/>
      <c r="W16" s="188"/>
      <c r="X16" s="187"/>
    </row>
    <row r="17" spans="2:24" ht="15.75" x14ac:dyDescent="0.25">
      <c r="B17" s="69"/>
      <c r="C17" s="197" t="s">
        <v>214</v>
      </c>
      <c r="D17" s="208" t="s">
        <v>124</v>
      </c>
      <c r="E17" s="209">
        <v>1.6435999999999999E-2</v>
      </c>
      <c r="F17" s="29"/>
      <c r="G17" s="29"/>
      <c r="H17" s="29"/>
      <c r="I17" s="29"/>
      <c r="J17" s="29"/>
      <c r="K17" s="29"/>
      <c r="L17" s="29"/>
      <c r="M17" s="29"/>
      <c r="N17" s="29"/>
      <c r="O17" s="29"/>
      <c r="P17" s="29"/>
      <c r="Q17" s="29"/>
      <c r="R17" s="29"/>
      <c r="S17" s="29"/>
      <c r="T17" s="29"/>
      <c r="U17" s="25"/>
      <c r="W17" s="188"/>
      <c r="X17" s="187"/>
    </row>
    <row r="18" spans="2:24" ht="15.75" x14ac:dyDescent="0.25">
      <c r="B18" s="69"/>
      <c r="C18" s="197"/>
      <c r="D18" s="208"/>
      <c r="E18" s="209"/>
      <c r="F18" s="29"/>
      <c r="G18" s="29"/>
      <c r="H18" s="29"/>
      <c r="I18" s="29"/>
      <c r="J18" s="29"/>
      <c r="K18" s="29"/>
      <c r="L18" s="29"/>
      <c r="M18" s="29"/>
      <c r="N18" s="29"/>
      <c r="O18" s="29"/>
      <c r="P18" s="29"/>
      <c r="Q18" s="29"/>
      <c r="R18" s="29"/>
      <c r="S18" s="29"/>
      <c r="T18" s="29"/>
      <c r="U18" s="25"/>
      <c r="W18" s="188"/>
      <c r="X18" s="187"/>
    </row>
    <row r="19" spans="2:24" ht="15.75" x14ac:dyDescent="0.25">
      <c r="B19" s="69"/>
      <c r="C19" s="78" t="s">
        <v>55</v>
      </c>
      <c r="D19" s="79"/>
      <c r="E19" s="80">
        <f>SUM(E8:E17)</f>
        <v>0.9986060000000001</v>
      </c>
      <c r="F19" s="29"/>
      <c r="G19" s="29"/>
      <c r="H19" s="29"/>
      <c r="I19" s="29"/>
      <c r="J19" s="29"/>
      <c r="K19" s="29"/>
      <c r="L19" s="29"/>
      <c r="M19" s="29"/>
      <c r="N19" s="29"/>
      <c r="O19" s="29"/>
      <c r="P19" s="29"/>
      <c r="Q19" s="29"/>
      <c r="R19" s="29"/>
      <c r="S19" s="29"/>
      <c r="T19" s="29"/>
      <c r="U19" s="25"/>
      <c r="W19" s="188"/>
      <c r="X19" s="187"/>
    </row>
    <row r="20" spans="2:24" x14ac:dyDescent="0.25">
      <c r="B20" s="69"/>
      <c r="C20" s="29"/>
      <c r="D20" s="29"/>
      <c r="E20" s="29"/>
      <c r="F20" s="29"/>
      <c r="G20" s="29"/>
      <c r="H20" s="29"/>
      <c r="I20" s="29"/>
      <c r="J20" s="29"/>
      <c r="K20" s="29"/>
      <c r="L20" s="29"/>
      <c r="M20" s="29"/>
      <c r="N20" s="29"/>
      <c r="O20" s="29"/>
      <c r="P20" s="29"/>
      <c r="Q20" s="29"/>
      <c r="R20" s="29"/>
      <c r="S20" s="29"/>
      <c r="T20" s="29"/>
      <c r="U20" s="25"/>
      <c r="W20" s="188"/>
      <c r="X20" s="187"/>
    </row>
    <row r="21" spans="2:24" x14ac:dyDescent="0.25">
      <c r="B21" s="69"/>
      <c r="C21" s="29"/>
      <c r="D21" s="29"/>
      <c r="E21" s="29"/>
      <c r="F21" s="29"/>
      <c r="G21" s="29"/>
      <c r="H21" s="29"/>
      <c r="I21" s="29"/>
      <c r="J21" s="29"/>
      <c r="K21" s="29"/>
      <c r="L21" s="29"/>
      <c r="M21" s="29"/>
      <c r="N21" s="29"/>
      <c r="O21" s="29"/>
      <c r="P21" s="29"/>
      <c r="Q21" s="29"/>
      <c r="R21" s="29"/>
      <c r="S21" s="29"/>
      <c r="T21" s="29"/>
      <c r="U21" s="25"/>
      <c r="W21" s="188"/>
      <c r="X21" s="187"/>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x14ac:dyDescent="0.25">
      <c r="B40" s="256"/>
      <c r="C40" s="257"/>
      <c r="D40" s="257"/>
      <c r="E40" s="257"/>
      <c r="F40" s="257"/>
      <c r="G40" s="257"/>
      <c r="H40" s="257"/>
      <c r="I40" s="257"/>
      <c r="J40" s="257"/>
      <c r="K40" s="257"/>
      <c r="L40" s="257"/>
      <c r="M40" s="257"/>
      <c r="N40" s="257"/>
      <c r="O40" s="257"/>
      <c r="P40" s="257"/>
      <c r="Q40" s="257"/>
      <c r="R40" s="258"/>
      <c r="W40" s="66"/>
      <c r="X40" s="67"/>
    </row>
    <row r="41" spans="2:24" x14ac:dyDescent="0.25">
      <c r="B41" s="256"/>
      <c r="C41" s="257"/>
      <c r="D41" s="257"/>
      <c r="E41" s="257"/>
      <c r="F41" s="257"/>
      <c r="G41" s="257"/>
      <c r="H41" s="257"/>
      <c r="I41" s="257"/>
      <c r="J41" s="257"/>
      <c r="K41" s="257"/>
      <c r="L41" s="257"/>
      <c r="M41" s="257"/>
      <c r="N41" s="257"/>
      <c r="O41" s="257"/>
      <c r="P41" s="257"/>
      <c r="Q41" s="257"/>
      <c r="R41" s="258"/>
      <c r="W41" s="66"/>
      <c r="X41" s="67"/>
    </row>
    <row r="42" spans="2:24" x14ac:dyDescent="0.25">
      <c r="B42" s="256"/>
      <c r="C42" s="257"/>
      <c r="D42" s="257"/>
      <c r="E42" s="257"/>
      <c r="F42" s="257"/>
      <c r="G42" s="257"/>
      <c r="H42" s="257"/>
      <c r="I42" s="257"/>
      <c r="J42" s="257"/>
      <c r="K42" s="257"/>
      <c r="L42" s="257"/>
      <c r="M42" s="257"/>
      <c r="N42" s="257"/>
      <c r="O42" s="257"/>
      <c r="P42" s="257"/>
      <c r="Q42" s="257"/>
      <c r="R42" s="258"/>
      <c r="W42" s="66"/>
      <c r="X42" s="67"/>
    </row>
    <row r="43" spans="2:24" x14ac:dyDescent="0.25">
      <c r="B43" s="256"/>
      <c r="C43" s="257"/>
      <c r="D43" s="257"/>
      <c r="E43" s="257"/>
      <c r="F43" s="257"/>
      <c r="G43" s="257"/>
      <c r="H43" s="257"/>
      <c r="I43" s="257"/>
      <c r="J43" s="257"/>
      <c r="K43" s="257"/>
      <c r="L43" s="257"/>
      <c r="M43" s="257"/>
      <c r="N43" s="257"/>
      <c r="O43" s="257"/>
      <c r="P43" s="257"/>
      <c r="Q43" s="257"/>
      <c r="R43" s="258"/>
    </row>
    <row r="44" spans="2:24" x14ac:dyDescent="0.25">
      <c r="B44" s="256"/>
      <c r="C44" s="257"/>
      <c r="D44" s="257"/>
      <c r="E44" s="257"/>
      <c r="F44" s="257"/>
      <c r="G44" s="257"/>
      <c r="H44" s="257"/>
      <c r="I44" s="257"/>
      <c r="J44" s="257"/>
      <c r="K44" s="257"/>
      <c r="L44" s="257"/>
      <c r="M44" s="257"/>
      <c r="N44" s="257"/>
      <c r="O44" s="257"/>
      <c r="P44" s="257"/>
      <c r="Q44" s="257"/>
      <c r="R44" s="258"/>
    </row>
    <row r="45" spans="2:24" ht="15.75" thickBot="1" x14ac:dyDescent="0.3">
      <c r="B45" s="259"/>
      <c r="C45" s="260"/>
      <c r="D45" s="260"/>
      <c r="E45" s="260"/>
      <c r="F45" s="260"/>
      <c r="G45" s="260"/>
      <c r="H45" s="260"/>
      <c r="I45" s="260"/>
      <c r="J45" s="260"/>
      <c r="K45" s="260"/>
      <c r="L45" s="260"/>
      <c r="M45" s="260"/>
      <c r="N45" s="260"/>
      <c r="O45" s="260"/>
      <c r="P45" s="260"/>
      <c r="Q45" s="260"/>
      <c r="R45" s="261"/>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2" t="s">
        <v>244</v>
      </c>
      <c r="D3" s="263"/>
      <c r="E3" s="263"/>
      <c r="F3" s="263"/>
      <c r="G3" s="263"/>
      <c r="H3" s="263"/>
      <c r="I3" s="263"/>
      <c r="J3" s="263"/>
      <c r="K3" s="263"/>
      <c r="L3" s="263"/>
      <c r="M3" s="263"/>
      <c r="N3" s="263"/>
      <c r="O3" s="263"/>
      <c r="P3" s="263"/>
      <c r="Q3" s="263"/>
      <c r="R3" s="263"/>
      <c r="S3" s="263"/>
      <c r="T3" s="70"/>
      <c r="U3" s="71"/>
    </row>
    <row r="4" spans="1:24" ht="15.75" x14ac:dyDescent="0.25">
      <c r="B4" s="69"/>
      <c r="C4" s="72" t="s">
        <v>354</v>
      </c>
      <c r="D4" s="29"/>
      <c r="E4" s="29"/>
      <c r="F4" s="29"/>
      <c r="G4" s="29"/>
      <c r="H4" s="29"/>
      <c r="I4" s="29"/>
      <c r="J4" s="29"/>
      <c r="K4" s="29"/>
      <c r="L4" s="29"/>
      <c r="M4" s="29"/>
      <c r="N4" s="29"/>
      <c r="O4" s="29"/>
      <c r="P4" s="29"/>
      <c r="Q4" s="29"/>
      <c r="R4" s="29"/>
      <c r="S4" s="29"/>
      <c r="T4" s="29"/>
      <c r="U4" s="25"/>
    </row>
    <row r="5" spans="1:24" ht="20.25" x14ac:dyDescent="0.25">
      <c r="B5" s="69"/>
      <c r="C5" s="235" t="s">
        <v>355</v>
      </c>
      <c r="D5" s="266" t="s">
        <v>352</v>
      </c>
      <c r="E5" s="266"/>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212</v>
      </c>
      <c r="D8" s="206" t="s">
        <v>129</v>
      </c>
      <c r="E8" s="207">
        <v>5.9681999999999999E-2</v>
      </c>
      <c r="F8" s="29"/>
      <c r="G8" s="29"/>
      <c r="H8" s="29"/>
      <c r="I8" s="29"/>
      <c r="J8" s="29"/>
      <c r="K8" s="29"/>
      <c r="L8" s="29"/>
      <c r="M8" s="29"/>
      <c r="N8" s="29"/>
      <c r="O8" s="29"/>
      <c r="P8" s="29"/>
      <c r="Q8" s="29"/>
      <c r="R8" s="29"/>
      <c r="S8" s="29"/>
      <c r="T8" s="29"/>
      <c r="U8" s="25"/>
      <c r="W8" s="188" t="s">
        <v>129</v>
      </c>
      <c r="X8" s="187">
        <v>0.17193600000000001</v>
      </c>
    </row>
    <row r="9" spans="1:24" ht="15.75" x14ac:dyDescent="0.25">
      <c r="B9" s="69"/>
      <c r="C9" s="197" t="s">
        <v>226</v>
      </c>
      <c r="D9" s="208" t="s">
        <v>129</v>
      </c>
      <c r="E9" s="209">
        <v>4.9652000000000002E-2</v>
      </c>
      <c r="F9" s="29"/>
      <c r="G9" s="29"/>
      <c r="H9" s="29"/>
      <c r="I9" s="29"/>
      <c r="J9" s="29"/>
      <c r="K9" s="29"/>
      <c r="L9" s="29"/>
      <c r="M9" s="29"/>
      <c r="N9" s="29"/>
      <c r="O9" s="29"/>
      <c r="P9" s="29"/>
      <c r="Q9" s="29"/>
      <c r="R9" s="29"/>
      <c r="S9" s="29"/>
      <c r="T9" s="29"/>
      <c r="U9" s="25"/>
      <c r="W9" s="188" t="s">
        <v>4</v>
      </c>
      <c r="X9" s="187">
        <v>0.16681099999999999</v>
      </c>
    </row>
    <row r="10" spans="1:24" ht="15.75" x14ac:dyDescent="0.25">
      <c r="B10" s="69"/>
      <c r="C10" s="197" t="s">
        <v>260</v>
      </c>
      <c r="D10" s="208" t="s">
        <v>90</v>
      </c>
      <c r="E10" s="209">
        <v>4.9403000000000002E-2</v>
      </c>
      <c r="F10" s="29"/>
      <c r="G10" s="29"/>
      <c r="H10" s="29"/>
      <c r="I10" s="29"/>
      <c r="J10" s="29"/>
      <c r="K10" s="29"/>
      <c r="L10" s="29"/>
      <c r="M10" s="29"/>
      <c r="N10" s="29"/>
      <c r="O10" s="29"/>
      <c r="P10" s="29"/>
      <c r="Q10" s="29"/>
      <c r="R10" s="29"/>
      <c r="S10" s="29"/>
      <c r="T10" s="29"/>
      <c r="U10" s="25"/>
      <c r="W10" s="188" t="s">
        <v>90</v>
      </c>
      <c r="X10" s="187">
        <v>9.3687000000000006E-2</v>
      </c>
    </row>
    <row r="11" spans="1:24" ht="15.75" x14ac:dyDescent="0.25">
      <c r="B11" s="69"/>
      <c r="C11" s="197" t="s">
        <v>71</v>
      </c>
      <c r="D11" s="208" t="s">
        <v>4</v>
      </c>
      <c r="E11" s="209">
        <v>3.959E-2</v>
      </c>
      <c r="F11" s="29"/>
      <c r="G11" s="29"/>
      <c r="H11" s="29"/>
      <c r="I11" s="29"/>
      <c r="J11" s="29"/>
      <c r="K11" s="29"/>
      <c r="L11" s="29"/>
      <c r="M11" s="29"/>
      <c r="N11" s="29"/>
      <c r="O11" s="29"/>
      <c r="P11" s="29"/>
      <c r="Q11" s="29"/>
      <c r="R11" s="29"/>
      <c r="S11" s="29"/>
      <c r="T11" s="29"/>
      <c r="U11" s="25"/>
      <c r="W11" s="188" t="s">
        <v>24</v>
      </c>
      <c r="X11" s="187">
        <v>8.0756000000000008E-2</v>
      </c>
    </row>
    <row r="12" spans="1:24" ht="15.75" x14ac:dyDescent="0.25">
      <c r="B12" s="69"/>
      <c r="C12" s="197" t="s">
        <v>247</v>
      </c>
      <c r="D12" s="208" t="s">
        <v>4</v>
      </c>
      <c r="E12" s="209">
        <v>3.8830999999999997E-2</v>
      </c>
      <c r="F12" s="29"/>
      <c r="G12" s="29"/>
      <c r="H12" s="29"/>
      <c r="I12" s="29"/>
      <c r="J12" s="29"/>
      <c r="K12" s="29"/>
      <c r="L12" s="29"/>
      <c r="M12" s="29"/>
      <c r="N12" s="29"/>
      <c r="O12" s="29"/>
      <c r="P12" s="29"/>
      <c r="Q12" s="29"/>
      <c r="R12" s="29"/>
      <c r="S12" s="29"/>
      <c r="T12" s="29"/>
      <c r="U12" s="25"/>
      <c r="W12" s="188" t="s">
        <v>23</v>
      </c>
      <c r="X12" s="187">
        <v>6.6831000000000002E-2</v>
      </c>
    </row>
    <row r="13" spans="1:24" ht="15.75" x14ac:dyDescent="0.25">
      <c r="B13" s="69"/>
      <c r="C13" s="197" t="s">
        <v>81</v>
      </c>
      <c r="D13" s="208" t="s">
        <v>4</v>
      </c>
      <c r="E13" s="209">
        <v>3.7067000000000003E-2</v>
      </c>
      <c r="F13" s="29"/>
      <c r="G13" s="29"/>
      <c r="H13" s="29"/>
      <c r="I13" s="29"/>
      <c r="J13" s="29"/>
      <c r="K13" s="29"/>
      <c r="L13" s="29"/>
      <c r="M13" s="29"/>
      <c r="N13" s="29"/>
      <c r="O13" s="29"/>
      <c r="P13" s="29"/>
      <c r="Q13" s="29"/>
      <c r="R13" s="29"/>
      <c r="S13" s="29"/>
      <c r="T13" s="29"/>
      <c r="U13" s="25"/>
      <c r="W13" s="188" t="s">
        <v>3</v>
      </c>
      <c r="X13" s="187">
        <v>6.6419000000000006E-2</v>
      </c>
    </row>
    <row r="14" spans="1:24" ht="15.75" x14ac:dyDescent="0.25">
      <c r="B14" s="69"/>
      <c r="C14" s="197" t="s">
        <v>264</v>
      </c>
      <c r="D14" s="208" t="s">
        <v>23</v>
      </c>
      <c r="E14" s="209">
        <v>3.4275E-2</v>
      </c>
      <c r="F14" s="29"/>
      <c r="G14" s="29"/>
      <c r="H14" s="29"/>
      <c r="I14" s="29"/>
      <c r="J14" s="29"/>
      <c r="K14" s="29"/>
      <c r="L14" s="29"/>
      <c r="M14" s="29"/>
      <c r="N14" s="29"/>
      <c r="O14" s="29"/>
      <c r="P14" s="29"/>
      <c r="Q14" s="29"/>
      <c r="R14" s="29"/>
      <c r="S14" s="29"/>
      <c r="T14" s="29"/>
      <c r="U14" s="25"/>
      <c r="W14" s="188" t="s">
        <v>121</v>
      </c>
      <c r="X14" s="187">
        <v>6.3963999999999993E-2</v>
      </c>
    </row>
    <row r="15" spans="1:24" ht="15.75" x14ac:dyDescent="0.25">
      <c r="B15" s="69"/>
      <c r="C15" s="197" t="s">
        <v>287</v>
      </c>
      <c r="D15" s="208" t="s">
        <v>23</v>
      </c>
      <c r="E15" s="209">
        <v>3.2556000000000002E-2</v>
      </c>
      <c r="F15" s="29"/>
      <c r="G15" s="29"/>
      <c r="H15" s="29"/>
      <c r="I15" s="29"/>
      <c r="J15" s="29"/>
      <c r="K15" s="29"/>
      <c r="L15" s="29"/>
      <c r="M15" s="29"/>
      <c r="N15" s="29"/>
      <c r="O15" s="29"/>
      <c r="P15" s="29"/>
      <c r="Q15" s="29"/>
      <c r="R15" s="29"/>
      <c r="S15" s="29"/>
      <c r="T15" s="29"/>
      <c r="U15" s="25"/>
      <c r="W15" s="188" t="s">
        <v>26</v>
      </c>
      <c r="X15" s="187">
        <v>4.9742999999999996E-2</v>
      </c>
    </row>
    <row r="16" spans="1:24" ht="30" x14ac:dyDescent="0.25">
      <c r="B16" s="69"/>
      <c r="C16" s="197" t="s">
        <v>291</v>
      </c>
      <c r="D16" s="208" t="s">
        <v>209</v>
      </c>
      <c r="E16" s="209">
        <v>2.7875E-2</v>
      </c>
      <c r="F16" s="29"/>
      <c r="G16" s="29"/>
      <c r="H16" s="29"/>
      <c r="I16" s="29"/>
      <c r="J16" s="29"/>
      <c r="K16" s="29"/>
      <c r="L16" s="29"/>
      <c r="M16" s="29"/>
      <c r="N16" s="29"/>
      <c r="O16" s="29"/>
      <c r="P16" s="29"/>
      <c r="Q16" s="29"/>
      <c r="R16" s="29"/>
      <c r="S16" s="29"/>
      <c r="T16" s="29"/>
      <c r="U16" s="25"/>
      <c r="W16" s="188" t="s">
        <v>117</v>
      </c>
      <c r="X16" s="187">
        <v>4.8046000000000005E-2</v>
      </c>
    </row>
    <row r="17" spans="2:24" ht="15.75" x14ac:dyDescent="0.25">
      <c r="B17" s="69"/>
      <c r="C17" s="197" t="s">
        <v>245</v>
      </c>
      <c r="D17" s="208" t="s">
        <v>129</v>
      </c>
      <c r="E17" s="209">
        <v>2.7522000000000001E-2</v>
      </c>
      <c r="F17" s="29"/>
      <c r="G17" s="29"/>
      <c r="H17" s="29"/>
      <c r="I17" s="29"/>
      <c r="J17" s="29"/>
      <c r="K17" s="29"/>
      <c r="L17" s="29"/>
      <c r="M17" s="29"/>
      <c r="N17" s="29"/>
      <c r="O17" s="29"/>
      <c r="P17" s="29"/>
      <c r="Q17" s="29"/>
      <c r="R17" s="29"/>
      <c r="S17" s="29"/>
      <c r="T17" s="29"/>
      <c r="U17" s="25"/>
      <c r="W17" s="188" t="s">
        <v>209</v>
      </c>
      <c r="X17" s="187">
        <v>3.9717000000000002E-2</v>
      </c>
    </row>
    <row r="18" spans="2:24" ht="15.75" x14ac:dyDescent="0.25">
      <c r="B18" s="69"/>
      <c r="C18" s="197" t="s">
        <v>257</v>
      </c>
      <c r="D18" s="208" t="s">
        <v>90</v>
      </c>
      <c r="E18" s="209">
        <v>2.7105000000000001E-2</v>
      </c>
      <c r="F18" s="29"/>
      <c r="G18" s="29"/>
      <c r="H18" s="29"/>
      <c r="I18" s="29"/>
      <c r="J18" s="29"/>
      <c r="K18" s="29"/>
      <c r="L18" s="29"/>
      <c r="M18" s="29"/>
      <c r="N18" s="29"/>
      <c r="O18" s="29"/>
      <c r="P18" s="29"/>
      <c r="Q18" s="29"/>
      <c r="R18" s="29"/>
      <c r="S18" s="29"/>
      <c r="T18" s="29"/>
      <c r="U18" s="25"/>
      <c r="W18" s="188" t="s">
        <v>92</v>
      </c>
      <c r="X18" s="187">
        <v>2.8128E-2</v>
      </c>
    </row>
    <row r="19" spans="2:24" ht="15.75" x14ac:dyDescent="0.25">
      <c r="B19" s="69"/>
      <c r="C19" s="197" t="s">
        <v>149</v>
      </c>
      <c r="D19" s="208" t="s">
        <v>26</v>
      </c>
      <c r="E19" s="209">
        <v>2.6010999999999999E-2</v>
      </c>
      <c r="F19" s="29"/>
      <c r="G19" s="29"/>
      <c r="H19" s="29"/>
      <c r="I19" s="29"/>
      <c r="J19" s="29"/>
      <c r="K19" s="29"/>
      <c r="L19" s="29"/>
      <c r="M19" s="29"/>
      <c r="N19" s="29"/>
      <c r="O19" s="29"/>
      <c r="P19" s="29"/>
      <c r="Q19" s="29"/>
      <c r="R19" s="29"/>
      <c r="S19" s="29"/>
      <c r="T19" s="29"/>
      <c r="U19" s="25"/>
      <c r="W19" s="188" t="s">
        <v>123</v>
      </c>
      <c r="X19" s="187">
        <v>2.4944000000000001E-2</v>
      </c>
    </row>
    <row r="20" spans="2:24" ht="30" x14ac:dyDescent="0.25">
      <c r="B20" s="69"/>
      <c r="C20" s="197" t="s">
        <v>258</v>
      </c>
      <c r="D20" s="208" t="s">
        <v>121</v>
      </c>
      <c r="E20" s="209">
        <v>2.5099E-2</v>
      </c>
      <c r="F20" s="29"/>
      <c r="G20" s="29"/>
      <c r="H20" s="29"/>
      <c r="I20" s="29"/>
      <c r="J20" s="29"/>
      <c r="K20" s="29"/>
      <c r="L20" s="29"/>
      <c r="M20" s="29"/>
      <c r="N20" s="29"/>
      <c r="O20" s="29"/>
      <c r="P20" s="29"/>
      <c r="Q20" s="29"/>
      <c r="R20" s="29"/>
      <c r="S20" s="29"/>
      <c r="T20" s="29"/>
      <c r="U20" s="25"/>
      <c r="W20" s="188" t="s">
        <v>124</v>
      </c>
      <c r="X20" s="187">
        <v>2.3229E-2</v>
      </c>
    </row>
    <row r="21" spans="2:24" ht="15.75" x14ac:dyDescent="0.25">
      <c r="B21" s="69"/>
      <c r="C21" s="197" t="s">
        <v>262</v>
      </c>
      <c r="D21" s="208" t="s">
        <v>123</v>
      </c>
      <c r="E21" s="209">
        <v>2.4944000000000001E-2</v>
      </c>
      <c r="F21" s="29"/>
      <c r="G21" s="29"/>
      <c r="H21" s="29"/>
      <c r="I21" s="29"/>
      <c r="J21" s="29"/>
      <c r="K21" s="29"/>
      <c r="L21" s="29"/>
      <c r="M21" s="29"/>
      <c r="N21" s="29"/>
      <c r="O21" s="29"/>
      <c r="P21" s="29"/>
      <c r="Q21" s="29"/>
      <c r="R21" s="29"/>
      <c r="S21" s="29"/>
      <c r="T21" s="29"/>
      <c r="U21" s="25"/>
      <c r="W21" s="188" t="s">
        <v>116</v>
      </c>
      <c r="X21" s="187">
        <v>1.9997999999999998E-2</v>
      </c>
    </row>
    <row r="22" spans="2:24" ht="15.75" x14ac:dyDescent="0.25">
      <c r="B22" s="69"/>
      <c r="C22" s="197" t="s">
        <v>292</v>
      </c>
      <c r="D22" s="208" t="s">
        <v>117</v>
      </c>
      <c r="E22" s="209">
        <v>2.4185000000000002E-2</v>
      </c>
      <c r="F22" s="29"/>
      <c r="G22" s="29"/>
      <c r="H22" s="29"/>
      <c r="I22" s="29"/>
      <c r="J22" s="29"/>
      <c r="K22" s="29"/>
      <c r="L22" s="29"/>
      <c r="M22" s="29"/>
      <c r="N22" s="29"/>
      <c r="O22" s="29"/>
      <c r="P22" s="29"/>
      <c r="Q22" s="29"/>
      <c r="R22" s="29"/>
      <c r="S22" s="29"/>
      <c r="T22" s="29"/>
      <c r="U22" s="25"/>
      <c r="W22" s="188" t="s">
        <v>122</v>
      </c>
      <c r="X22" s="187">
        <v>1.9209E-2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120</v>
      </c>
      <c r="X23" s="187">
        <v>9.8219999999999991E-3</v>
      </c>
    </row>
    <row r="24" spans="2:24" ht="15.75" x14ac:dyDescent="0.25">
      <c r="B24" s="69"/>
      <c r="C24" s="78" t="s">
        <v>55</v>
      </c>
      <c r="D24" s="79"/>
      <c r="E24" s="80">
        <f>SUM(E8:E22)</f>
        <v>0.52379699999999996</v>
      </c>
      <c r="F24" s="29"/>
      <c r="G24" s="29"/>
      <c r="H24" s="29"/>
      <c r="I24" s="29"/>
      <c r="J24" s="29"/>
      <c r="K24" s="29"/>
      <c r="L24" s="29"/>
      <c r="M24" s="29"/>
      <c r="N24" s="29"/>
      <c r="O24" s="29"/>
      <c r="P24" s="29"/>
      <c r="Q24" s="29"/>
      <c r="R24" s="29"/>
      <c r="S24" s="29"/>
      <c r="T24" s="29"/>
      <c r="U24" s="25"/>
      <c r="W24" s="188" t="s">
        <v>89</v>
      </c>
      <c r="X24" s="187">
        <v>9.4350000000000007E-3</v>
      </c>
    </row>
    <row r="25" spans="2:24" x14ac:dyDescent="0.25">
      <c r="B25" s="69"/>
      <c r="C25" s="29"/>
      <c r="D25" s="29"/>
      <c r="E25" s="29"/>
      <c r="F25" s="29"/>
      <c r="G25" s="29"/>
      <c r="H25" s="29"/>
      <c r="I25" s="29"/>
      <c r="J25" s="29"/>
      <c r="K25" s="29"/>
      <c r="L25" s="29"/>
      <c r="M25" s="29"/>
      <c r="N25" s="29"/>
      <c r="O25" s="29"/>
      <c r="P25" s="29"/>
      <c r="Q25" s="29"/>
      <c r="R25" s="29"/>
      <c r="S25" s="29"/>
      <c r="T25" s="29"/>
      <c r="U25" s="25"/>
      <c r="W25" s="188" t="s">
        <v>10</v>
      </c>
      <c r="X25" s="187">
        <v>9.2399999999999999E-3</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137</v>
      </c>
      <c r="X26" s="187">
        <v>8.5330000000000007E-3</v>
      </c>
    </row>
    <row r="27" spans="2:24" x14ac:dyDescent="0.25">
      <c r="B27" s="69"/>
      <c r="C27" s="29"/>
      <c r="D27" s="29"/>
      <c r="E27" s="29"/>
      <c r="F27" s="29"/>
      <c r="G27" s="29"/>
      <c r="H27" s="29"/>
      <c r="I27" s="29"/>
      <c r="J27" s="29"/>
      <c r="K27" s="29"/>
      <c r="L27" s="29"/>
      <c r="M27" s="29"/>
      <c r="N27" s="29"/>
      <c r="O27" s="29"/>
      <c r="P27" s="29"/>
      <c r="Q27" s="29"/>
      <c r="R27" s="29"/>
      <c r="S27" s="29"/>
      <c r="T27" s="29"/>
      <c r="U27" s="25"/>
      <c r="W27" s="66" t="s">
        <v>127</v>
      </c>
      <c r="X27" s="67">
        <v>5.7260000000000002E-3</v>
      </c>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c r="X39" s="67"/>
    </row>
    <row r="40" spans="2:24" x14ac:dyDescent="0.25">
      <c r="B40" s="256"/>
      <c r="C40" s="257"/>
      <c r="D40" s="257"/>
      <c r="E40" s="257"/>
      <c r="F40" s="257"/>
      <c r="G40" s="257"/>
      <c r="H40" s="257"/>
      <c r="I40" s="257"/>
      <c r="J40" s="257"/>
      <c r="K40" s="257"/>
      <c r="L40" s="257"/>
      <c r="M40" s="257"/>
      <c r="N40" s="257"/>
      <c r="O40" s="257"/>
      <c r="P40" s="257"/>
      <c r="Q40" s="257"/>
      <c r="R40" s="258"/>
      <c r="W40" s="66"/>
      <c r="X40" s="67"/>
    </row>
    <row r="41" spans="2:24" x14ac:dyDescent="0.25">
      <c r="B41" s="256"/>
      <c r="C41" s="257"/>
      <c r="D41" s="257"/>
      <c r="E41" s="257"/>
      <c r="F41" s="257"/>
      <c r="G41" s="257"/>
      <c r="H41" s="257"/>
      <c r="I41" s="257"/>
      <c r="J41" s="257"/>
      <c r="K41" s="257"/>
      <c r="L41" s="257"/>
      <c r="M41" s="257"/>
      <c r="N41" s="257"/>
      <c r="O41" s="257"/>
      <c r="P41" s="257"/>
      <c r="Q41" s="257"/>
      <c r="R41" s="258"/>
      <c r="W41" s="66"/>
      <c r="X41" s="67"/>
    </row>
    <row r="42" spans="2:24" x14ac:dyDescent="0.25">
      <c r="B42" s="256"/>
      <c r="C42" s="257"/>
      <c r="D42" s="257"/>
      <c r="E42" s="257"/>
      <c r="F42" s="257"/>
      <c r="G42" s="257"/>
      <c r="H42" s="257"/>
      <c r="I42" s="257"/>
      <c r="J42" s="257"/>
      <c r="K42" s="257"/>
      <c r="L42" s="257"/>
      <c r="M42" s="257"/>
      <c r="N42" s="257"/>
      <c r="O42" s="257"/>
      <c r="P42" s="257"/>
      <c r="Q42" s="257"/>
      <c r="R42" s="258"/>
      <c r="W42" s="66"/>
      <c r="X42" s="67"/>
    </row>
    <row r="43" spans="2:24" x14ac:dyDescent="0.25">
      <c r="B43" s="256"/>
      <c r="C43" s="257"/>
      <c r="D43" s="257"/>
      <c r="E43" s="257"/>
      <c r="F43" s="257"/>
      <c r="G43" s="257"/>
      <c r="H43" s="257"/>
      <c r="I43" s="257"/>
      <c r="J43" s="257"/>
      <c r="K43" s="257"/>
      <c r="L43" s="257"/>
      <c r="M43" s="257"/>
      <c r="N43" s="257"/>
      <c r="O43" s="257"/>
      <c r="P43" s="257"/>
      <c r="Q43" s="257"/>
      <c r="R43" s="258"/>
    </row>
    <row r="44" spans="2:24" x14ac:dyDescent="0.25">
      <c r="B44" s="256"/>
      <c r="C44" s="257"/>
      <c r="D44" s="257"/>
      <c r="E44" s="257"/>
      <c r="F44" s="257"/>
      <c r="G44" s="257"/>
      <c r="H44" s="257"/>
      <c r="I44" s="257"/>
      <c r="J44" s="257"/>
      <c r="K44" s="257"/>
      <c r="L44" s="257"/>
      <c r="M44" s="257"/>
      <c r="N44" s="257"/>
      <c r="O44" s="257"/>
      <c r="P44" s="257"/>
      <c r="Q44" s="257"/>
      <c r="R44" s="258"/>
    </row>
    <row r="45" spans="2:24" ht="15.75" thickBot="1" x14ac:dyDescent="0.3">
      <c r="B45" s="259"/>
      <c r="C45" s="260"/>
      <c r="D45" s="260"/>
      <c r="E45" s="260"/>
      <c r="F45" s="260"/>
      <c r="G45" s="260"/>
      <c r="H45" s="260"/>
      <c r="I45" s="260"/>
      <c r="J45" s="260"/>
      <c r="K45" s="260"/>
      <c r="L45" s="260"/>
      <c r="M45" s="260"/>
      <c r="N45" s="260"/>
      <c r="O45" s="260"/>
      <c r="P45" s="260"/>
      <c r="Q45" s="260"/>
      <c r="R45" s="261"/>
    </row>
  </sheetData>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2" t="s">
        <v>265</v>
      </c>
      <c r="D3" s="263"/>
      <c r="E3" s="263"/>
      <c r="F3" s="263"/>
      <c r="G3" s="263"/>
      <c r="H3" s="263"/>
      <c r="I3" s="263"/>
      <c r="J3" s="263"/>
      <c r="K3" s="263"/>
      <c r="L3" s="263"/>
      <c r="M3" s="263"/>
      <c r="N3" s="263"/>
      <c r="O3" s="263"/>
      <c r="P3" s="263"/>
      <c r="Q3" s="263"/>
      <c r="R3" s="263"/>
      <c r="S3" s="263"/>
      <c r="T3" s="70"/>
      <c r="U3" s="71"/>
    </row>
    <row r="4" spans="1:24" ht="15.75" x14ac:dyDescent="0.25">
      <c r="B4" s="69"/>
      <c r="C4" s="72" t="s">
        <v>354</v>
      </c>
      <c r="D4" s="29"/>
      <c r="E4" s="29"/>
      <c r="F4" s="29"/>
      <c r="G4" s="29"/>
      <c r="H4" s="29"/>
      <c r="I4" s="29"/>
      <c r="J4" s="29"/>
      <c r="K4" s="29"/>
      <c r="L4" s="29"/>
      <c r="M4" s="29"/>
      <c r="N4" s="29"/>
      <c r="O4" s="29"/>
      <c r="P4" s="29"/>
      <c r="Q4" s="29"/>
      <c r="R4" s="29"/>
      <c r="S4" s="29"/>
      <c r="T4" s="29"/>
      <c r="U4" s="25"/>
    </row>
    <row r="5" spans="1:24" ht="20.25" x14ac:dyDescent="0.25">
      <c r="B5" s="69"/>
      <c r="C5" s="235" t="s">
        <v>355</v>
      </c>
      <c r="D5" s="266" t="s">
        <v>353</v>
      </c>
      <c r="E5" s="266"/>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212</v>
      </c>
      <c r="D8" s="206" t="s">
        <v>129</v>
      </c>
      <c r="E8" s="207">
        <v>3.0755000000000001E-2</v>
      </c>
      <c r="F8" s="29"/>
      <c r="G8" s="29"/>
      <c r="H8" s="29"/>
      <c r="I8" s="29"/>
      <c r="J8" s="29"/>
      <c r="K8" s="29"/>
      <c r="L8" s="29"/>
      <c r="M8" s="29"/>
      <c r="N8" s="29"/>
      <c r="O8" s="29"/>
      <c r="P8" s="29"/>
      <c r="Q8" s="29"/>
      <c r="R8" s="29"/>
      <c r="S8" s="29"/>
      <c r="T8" s="29"/>
      <c r="U8" s="25"/>
      <c r="W8" s="188" t="s">
        <v>4</v>
      </c>
      <c r="X8" s="187">
        <v>8.9765999999999999E-2</v>
      </c>
    </row>
    <row r="9" spans="1:24" ht="15.75" x14ac:dyDescent="0.25">
      <c r="B9" s="69"/>
      <c r="C9" s="197" t="s">
        <v>260</v>
      </c>
      <c r="D9" s="208" t="s">
        <v>90</v>
      </c>
      <c r="E9" s="209">
        <v>2.1107000000000001E-2</v>
      </c>
      <c r="F9" s="29"/>
      <c r="G9" s="29"/>
      <c r="H9" s="29"/>
      <c r="I9" s="29"/>
      <c r="J9" s="29"/>
      <c r="K9" s="29"/>
      <c r="L9" s="29"/>
      <c r="M9" s="29"/>
      <c r="N9" s="29"/>
      <c r="O9" s="29"/>
      <c r="P9" s="29"/>
      <c r="Q9" s="29"/>
      <c r="R9" s="29"/>
      <c r="S9" s="29"/>
      <c r="T9" s="29"/>
      <c r="U9" s="25"/>
      <c r="W9" s="188" t="s">
        <v>90</v>
      </c>
      <c r="X9" s="187">
        <v>8.4259000000000001E-2</v>
      </c>
    </row>
    <row r="10" spans="1:24" ht="15.75" x14ac:dyDescent="0.25">
      <c r="B10" s="69"/>
      <c r="C10" s="197" t="s">
        <v>257</v>
      </c>
      <c r="D10" s="208" t="s">
        <v>90</v>
      </c>
      <c r="E10" s="209">
        <v>1.2636E-2</v>
      </c>
      <c r="F10" s="29"/>
      <c r="G10" s="29"/>
      <c r="H10" s="29"/>
      <c r="I10" s="29"/>
      <c r="J10" s="29"/>
      <c r="K10" s="29"/>
      <c r="L10" s="29"/>
      <c r="M10" s="29"/>
      <c r="N10" s="29"/>
      <c r="O10" s="29"/>
      <c r="P10" s="29"/>
      <c r="Q10" s="29"/>
      <c r="R10" s="29"/>
      <c r="S10" s="29"/>
      <c r="T10" s="29"/>
      <c r="U10" s="25"/>
      <c r="W10" s="188" t="s">
        <v>24</v>
      </c>
      <c r="X10" s="187">
        <v>6.5672000000000008E-2</v>
      </c>
    </row>
    <row r="11" spans="1:24" ht="15.75" x14ac:dyDescent="0.25">
      <c r="B11" s="69"/>
      <c r="C11" s="197" t="s">
        <v>263</v>
      </c>
      <c r="D11" s="208" t="s">
        <v>24</v>
      </c>
      <c r="E11" s="209">
        <v>1.1834000000000001E-2</v>
      </c>
      <c r="F11" s="29"/>
      <c r="G11" s="29"/>
      <c r="H11" s="29"/>
      <c r="I11" s="29"/>
      <c r="J11" s="29"/>
      <c r="K11" s="29"/>
      <c r="L11" s="29"/>
      <c r="M11" s="29"/>
      <c r="N11" s="29"/>
      <c r="O11" s="29"/>
      <c r="P11" s="29"/>
      <c r="Q11" s="29"/>
      <c r="R11" s="29"/>
      <c r="S11" s="29"/>
      <c r="T11" s="29"/>
      <c r="U11" s="25"/>
      <c r="W11" s="188" t="s">
        <v>121</v>
      </c>
      <c r="X11" s="187">
        <v>6.0090000000000011E-2</v>
      </c>
    </row>
    <row r="12" spans="1:24" ht="15.75" x14ac:dyDescent="0.25">
      <c r="B12" s="69"/>
      <c r="C12" s="197" t="s">
        <v>157</v>
      </c>
      <c r="D12" s="208" t="s">
        <v>124</v>
      </c>
      <c r="E12" s="209">
        <v>1.123E-2</v>
      </c>
      <c r="F12" s="29"/>
      <c r="G12" s="29"/>
      <c r="H12" s="29"/>
      <c r="I12" s="29"/>
      <c r="J12" s="29"/>
      <c r="K12" s="29"/>
      <c r="L12" s="29"/>
      <c r="M12" s="29"/>
      <c r="N12" s="29"/>
      <c r="O12" s="29"/>
      <c r="P12" s="29"/>
      <c r="Q12" s="29"/>
      <c r="R12" s="29"/>
      <c r="S12" s="29"/>
      <c r="T12" s="29"/>
      <c r="U12" s="25"/>
      <c r="W12" s="188" t="s">
        <v>129</v>
      </c>
      <c r="X12" s="187">
        <v>5.1208999999999998E-2</v>
      </c>
    </row>
    <row r="13" spans="1:24" ht="15.75" x14ac:dyDescent="0.25">
      <c r="B13" s="69"/>
      <c r="C13" s="197" t="s">
        <v>271</v>
      </c>
      <c r="D13" s="208" t="s">
        <v>90</v>
      </c>
      <c r="E13" s="209">
        <v>1.1213000000000001E-2</v>
      </c>
      <c r="F13" s="29"/>
      <c r="G13" s="29"/>
      <c r="H13" s="29"/>
      <c r="I13" s="29"/>
      <c r="J13" s="29"/>
      <c r="K13" s="29"/>
      <c r="L13" s="29"/>
      <c r="M13" s="29"/>
      <c r="N13" s="29"/>
      <c r="O13" s="29"/>
      <c r="P13" s="29"/>
      <c r="Q13" s="29"/>
      <c r="R13" s="29"/>
      <c r="S13" s="29"/>
      <c r="T13" s="29"/>
      <c r="U13" s="25"/>
      <c r="W13" s="188" t="s">
        <v>23</v>
      </c>
      <c r="X13" s="187">
        <v>4.972E-2</v>
      </c>
    </row>
    <row r="14" spans="1:24" ht="15.75" x14ac:dyDescent="0.25">
      <c r="B14" s="69"/>
      <c r="C14" s="197" t="s">
        <v>293</v>
      </c>
      <c r="D14" s="208" t="s">
        <v>16</v>
      </c>
      <c r="E14" s="209">
        <v>1.0839E-2</v>
      </c>
      <c r="F14" s="29"/>
      <c r="G14" s="29"/>
      <c r="H14" s="29"/>
      <c r="I14" s="29"/>
      <c r="J14" s="29"/>
      <c r="K14" s="29"/>
      <c r="L14" s="29"/>
      <c r="M14" s="29"/>
      <c r="N14" s="29"/>
      <c r="O14" s="29"/>
      <c r="P14" s="29"/>
      <c r="Q14" s="29"/>
      <c r="R14" s="29"/>
      <c r="S14" s="29"/>
      <c r="T14" s="29"/>
      <c r="U14" s="25"/>
      <c r="W14" s="188" t="s">
        <v>3</v>
      </c>
      <c r="X14" s="187">
        <v>4.8041999999999994E-2</v>
      </c>
    </row>
    <row r="15" spans="1:24" ht="15.75" x14ac:dyDescent="0.25">
      <c r="B15" s="69"/>
      <c r="C15" s="197" t="s">
        <v>246</v>
      </c>
      <c r="D15" s="208" t="s">
        <v>117</v>
      </c>
      <c r="E15" s="209">
        <v>1.0340999999999999E-2</v>
      </c>
      <c r="F15" s="29"/>
      <c r="G15" s="29"/>
      <c r="H15" s="29"/>
      <c r="I15" s="29"/>
      <c r="J15" s="29"/>
      <c r="K15" s="29"/>
      <c r="L15" s="29"/>
      <c r="M15" s="29"/>
      <c r="N15" s="29"/>
      <c r="O15" s="29"/>
      <c r="P15" s="29"/>
      <c r="Q15" s="29"/>
      <c r="R15" s="29"/>
      <c r="S15" s="29"/>
      <c r="T15" s="29"/>
      <c r="U15" s="25"/>
      <c r="W15" s="188" t="s">
        <v>16</v>
      </c>
      <c r="X15" s="187">
        <v>4.6454000000000009E-2</v>
      </c>
    </row>
    <row r="16" spans="1:24" ht="15.75" x14ac:dyDescent="0.25">
      <c r="B16" s="69"/>
      <c r="C16" s="197" t="s">
        <v>269</v>
      </c>
      <c r="D16" s="208" t="s">
        <v>3</v>
      </c>
      <c r="E16" s="209">
        <v>1.0220999999999999E-2</v>
      </c>
      <c r="F16" s="29"/>
      <c r="G16" s="29"/>
      <c r="H16" s="29"/>
      <c r="I16" s="29"/>
      <c r="J16" s="29"/>
      <c r="K16" s="29"/>
      <c r="L16" s="29"/>
      <c r="M16" s="29"/>
      <c r="N16" s="29"/>
      <c r="O16" s="29"/>
      <c r="P16" s="29"/>
      <c r="Q16" s="29"/>
      <c r="R16" s="29"/>
      <c r="S16" s="29"/>
      <c r="T16" s="29"/>
      <c r="U16" s="25"/>
      <c r="W16" s="188" t="s">
        <v>117</v>
      </c>
      <c r="X16" s="187">
        <v>4.4738E-2</v>
      </c>
    </row>
    <row r="17" spans="2:24" ht="15.75" x14ac:dyDescent="0.25">
      <c r="B17" s="69"/>
      <c r="C17" s="197" t="s">
        <v>270</v>
      </c>
      <c r="D17" s="208" t="s">
        <v>4</v>
      </c>
      <c r="E17" s="209">
        <v>1.0185E-2</v>
      </c>
      <c r="F17" s="29"/>
      <c r="G17" s="29"/>
      <c r="H17" s="29"/>
      <c r="I17" s="29"/>
      <c r="J17" s="29"/>
      <c r="K17" s="29"/>
      <c r="L17" s="29"/>
      <c r="M17" s="29"/>
      <c r="N17" s="29"/>
      <c r="O17" s="29"/>
      <c r="P17" s="29"/>
      <c r="Q17" s="29"/>
      <c r="R17" s="29"/>
      <c r="S17" s="29"/>
      <c r="T17" s="29"/>
      <c r="U17" s="25"/>
      <c r="W17" s="188" t="s">
        <v>120</v>
      </c>
      <c r="X17" s="187">
        <v>3.9885000000000004E-2</v>
      </c>
    </row>
    <row r="18" spans="2:24" ht="15.75" x14ac:dyDescent="0.25">
      <c r="B18" s="69"/>
      <c r="C18" s="197" t="s">
        <v>235</v>
      </c>
      <c r="D18" s="208" t="s">
        <v>120</v>
      </c>
      <c r="E18" s="209">
        <v>9.5029999999999993E-3</v>
      </c>
      <c r="F18" s="29"/>
      <c r="G18" s="29"/>
      <c r="H18" s="29"/>
      <c r="I18" s="29"/>
      <c r="J18" s="29"/>
      <c r="K18" s="29"/>
      <c r="L18" s="29"/>
      <c r="M18" s="29"/>
      <c r="N18" s="29"/>
      <c r="O18" s="29"/>
      <c r="P18" s="29"/>
      <c r="Q18" s="29"/>
      <c r="R18" s="29"/>
      <c r="S18" s="29"/>
      <c r="T18" s="29"/>
      <c r="U18" s="25"/>
      <c r="W18" s="188" t="s">
        <v>126</v>
      </c>
      <c r="X18" s="187">
        <v>3.4643000000000007E-2</v>
      </c>
    </row>
    <row r="19" spans="2:24" ht="15.75" x14ac:dyDescent="0.25">
      <c r="B19" s="69"/>
      <c r="C19" s="197" t="s">
        <v>272</v>
      </c>
      <c r="D19" s="208" t="s">
        <v>3</v>
      </c>
      <c r="E19" s="209">
        <v>9.4149999999999998E-3</v>
      </c>
      <c r="F19" s="29"/>
      <c r="G19" s="29"/>
      <c r="H19" s="29"/>
      <c r="I19" s="29"/>
      <c r="J19" s="29"/>
      <c r="K19" s="29"/>
      <c r="L19" s="29"/>
      <c r="M19" s="29"/>
      <c r="N19" s="29"/>
      <c r="O19" s="29"/>
      <c r="P19" s="29"/>
      <c r="Q19" s="29"/>
      <c r="R19" s="29"/>
      <c r="S19" s="29"/>
      <c r="T19" s="29"/>
      <c r="U19" s="25"/>
      <c r="W19" s="188" t="s">
        <v>82</v>
      </c>
      <c r="X19" s="187">
        <v>3.3857999999999999E-2</v>
      </c>
    </row>
    <row r="20" spans="2:24" ht="15.75" x14ac:dyDescent="0.25">
      <c r="B20" s="69"/>
      <c r="C20" s="197" t="s">
        <v>261</v>
      </c>
      <c r="D20" s="208" t="s">
        <v>90</v>
      </c>
      <c r="E20" s="209">
        <v>9.3869999999999995E-3</v>
      </c>
      <c r="F20" s="29"/>
      <c r="G20" s="29"/>
      <c r="H20" s="29"/>
      <c r="I20" s="29"/>
      <c r="J20" s="29"/>
      <c r="K20" s="29"/>
      <c r="L20" s="29"/>
      <c r="M20" s="29"/>
      <c r="N20" s="29"/>
      <c r="O20" s="29"/>
      <c r="P20" s="29"/>
      <c r="Q20" s="29"/>
      <c r="R20" s="29"/>
      <c r="S20" s="29"/>
      <c r="T20" s="29"/>
      <c r="U20" s="25"/>
      <c r="W20" s="188" t="s">
        <v>89</v>
      </c>
      <c r="X20" s="187">
        <v>3.0654999999999998E-2</v>
      </c>
    </row>
    <row r="21" spans="2:24" ht="15.75" x14ac:dyDescent="0.25">
      <c r="B21" s="69"/>
      <c r="C21" s="197" t="s">
        <v>320</v>
      </c>
      <c r="D21" s="208" t="s">
        <v>24</v>
      </c>
      <c r="E21" s="209">
        <v>9.2549999999999993E-3</v>
      </c>
      <c r="F21" s="29"/>
      <c r="G21" s="29"/>
      <c r="H21" s="29"/>
      <c r="I21" s="29"/>
      <c r="J21" s="29"/>
      <c r="K21" s="29"/>
      <c r="L21" s="29"/>
      <c r="M21" s="29"/>
      <c r="N21" s="29"/>
      <c r="O21" s="29"/>
      <c r="P21" s="29"/>
      <c r="Q21" s="29"/>
      <c r="R21" s="29"/>
      <c r="S21" s="29"/>
      <c r="T21" s="29"/>
      <c r="U21" s="25"/>
      <c r="W21" s="188" t="s">
        <v>147</v>
      </c>
      <c r="X21" s="187">
        <v>2.4809000000000005E-2</v>
      </c>
    </row>
    <row r="22" spans="2:24" ht="15.75" x14ac:dyDescent="0.25">
      <c r="B22" s="69"/>
      <c r="C22" s="197" t="s">
        <v>321</v>
      </c>
      <c r="D22" s="208" t="s">
        <v>15</v>
      </c>
      <c r="E22" s="209">
        <v>9.2409999999999992E-3</v>
      </c>
      <c r="F22" s="29"/>
      <c r="G22" s="29"/>
      <c r="H22" s="29"/>
      <c r="I22" s="29"/>
      <c r="J22" s="29"/>
      <c r="K22" s="29"/>
      <c r="L22" s="29"/>
      <c r="M22" s="29"/>
      <c r="N22" s="29"/>
      <c r="O22" s="29"/>
      <c r="P22" s="29"/>
      <c r="Q22" s="29"/>
      <c r="R22" s="29"/>
      <c r="S22" s="29"/>
      <c r="T22" s="29"/>
      <c r="U22" s="25"/>
      <c r="W22" s="188" t="s">
        <v>136</v>
      </c>
      <c r="X22" s="187">
        <v>2.2997E-2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123</v>
      </c>
      <c r="X23" s="187">
        <v>1.9740000000000001E-2</v>
      </c>
    </row>
    <row r="24" spans="2:24" ht="15.75" x14ac:dyDescent="0.25">
      <c r="B24" s="69"/>
      <c r="C24" s="78" t="s">
        <v>55</v>
      </c>
      <c r="D24" s="79"/>
      <c r="E24" s="80">
        <f>SUM(E8:E22)</f>
        <v>0.18716200000000005</v>
      </c>
      <c r="F24" s="29"/>
      <c r="G24" s="29"/>
      <c r="H24" s="29"/>
      <c r="I24" s="29"/>
      <c r="J24" s="29"/>
      <c r="K24" s="29"/>
      <c r="L24" s="29"/>
      <c r="M24" s="29"/>
      <c r="N24" s="29"/>
      <c r="O24" s="29"/>
      <c r="P24" s="29"/>
      <c r="Q24" s="29"/>
      <c r="R24" s="29"/>
      <c r="S24" s="29"/>
      <c r="T24" s="29"/>
      <c r="U24" s="25"/>
      <c r="W24" s="188" t="s">
        <v>124</v>
      </c>
      <c r="X24" s="187">
        <v>1.7544000000000004E-2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25</v>
      </c>
      <c r="X25" s="187">
        <v>1.6159E-2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15</v>
      </c>
      <c r="X26" s="187">
        <v>1.5080999999999999E-2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101</v>
      </c>
      <c r="X27" s="67">
        <v>1.4274999999999999E-2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128</v>
      </c>
      <c r="X28" s="67">
        <v>1.4115000000000001E-2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10</v>
      </c>
      <c r="X29" s="67">
        <v>1.4100999999999999E-2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26</v>
      </c>
      <c r="X30" s="67">
        <v>1.3881000000000001E-2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12</v>
      </c>
      <c r="X31" s="67">
        <v>1.3567000000000001E-2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125</v>
      </c>
      <c r="X32" s="67">
        <v>1.3252999999999999E-2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132</v>
      </c>
      <c r="X33" s="67">
        <v>1.2613999999999998E-2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88</v>
      </c>
      <c r="X34" s="67">
        <v>1.2297000000000001E-2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6</v>
      </c>
      <c r="X35" s="67">
        <v>9.2820000000000003E-3</v>
      </c>
    </row>
    <row r="36" spans="2:24" x14ac:dyDescent="0.25">
      <c r="B36" s="69"/>
      <c r="C36" s="29"/>
      <c r="D36" s="29"/>
      <c r="E36" s="29"/>
      <c r="F36" s="29"/>
      <c r="G36" s="29"/>
      <c r="H36" s="29"/>
      <c r="I36" s="29"/>
      <c r="J36" s="29"/>
      <c r="K36" s="29"/>
      <c r="L36" s="29"/>
      <c r="M36" s="29"/>
      <c r="N36" s="29"/>
      <c r="O36" s="29"/>
      <c r="P36" s="29"/>
      <c r="Q36" s="29"/>
      <c r="R36" s="29"/>
      <c r="S36" s="29"/>
      <c r="T36" s="29"/>
      <c r="U36" s="25"/>
      <c r="W36" s="66" t="s">
        <v>134</v>
      </c>
      <c r="X36" s="67">
        <v>8.1780000000000012E-3</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116</v>
      </c>
      <c r="X37" s="67">
        <v>8.0180000000000008E-3</v>
      </c>
    </row>
    <row r="38" spans="2:24" ht="15.75" thickBot="1" x14ac:dyDescent="0.3">
      <c r="W38" s="66" t="s">
        <v>11</v>
      </c>
      <c r="X38" s="67">
        <v>7.607E-3</v>
      </c>
    </row>
    <row r="39" spans="2:24" ht="15" customHeight="1" x14ac:dyDescent="0.25">
      <c r="B39" s="253" t="s">
        <v>202</v>
      </c>
      <c r="C39" s="254"/>
      <c r="D39" s="254"/>
      <c r="E39" s="254"/>
      <c r="F39" s="254"/>
      <c r="G39" s="254"/>
      <c r="H39" s="254"/>
      <c r="I39" s="254"/>
      <c r="J39" s="254"/>
      <c r="K39" s="254"/>
      <c r="L39" s="254"/>
      <c r="M39" s="254"/>
      <c r="N39" s="254"/>
      <c r="O39" s="254"/>
      <c r="P39" s="254"/>
      <c r="Q39" s="254"/>
      <c r="R39" s="255"/>
      <c r="W39" s="66" t="s">
        <v>118</v>
      </c>
      <c r="X39" s="67">
        <v>6.7769999999999992E-3</v>
      </c>
    </row>
    <row r="40" spans="2:24" x14ac:dyDescent="0.25">
      <c r="B40" s="256"/>
      <c r="C40" s="257"/>
      <c r="D40" s="257"/>
      <c r="E40" s="257"/>
      <c r="F40" s="257"/>
      <c r="G40" s="257"/>
      <c r="H40" s="257"/>
      <c r="I40" s="257"/>
      <c r="J40" s="257"/>
      <c r="K40" s="257"/>
      <c r="L40" s="257"/>
      <c r="M40" s="257"/>
      <c r="N40" s="257"/>
      <c r="O40" s="257"/>
      <c r="P40" s="257"/>
      <c r="Q40" s="257"/>
      <c r="R40" s="258"/>
      <c r="W40" s="66" t="s">
        <v>135</v>
      </c>
      <c r="X40" s="67">
        <v>6.7510000000000001E-3</v>
      </c>
    </row>
    <row r="41" spans="2:24" x14ac:dyDescent="0.25">
      <c r="B41" s="256"/>
      <c r="C41" s="257"/>
      <c r="D41" s="257"/>
      <c r="E41" s="257"/>
      <c r="F41" s="257"/>
      <c r="G41" s="257"/>
      <c r="H41" s="257"/>
      <c r="I41" s="257"/>
      <c r="J41" s="257"/>
      <c r="K41" s="257"/>
      <c r="L41" s="257"/>
      <c r="M41" s="257"/>
      <c r="N41" s="257"/>
      <c r="O41" s="257"/>
      <c r="P41" s="257"/>
      <c r="Q41" s="257"/>
      <c r="R41" s="258"/>
      <c r="W41" s="66" t="s">
        <v>92</v>
      </c>
      <c r="X41" s="67">
        <v>6.3049999999999998E-3</v>
      </c>
    </row>
    <row r="42" spans="2:24" x14ac:dyDescent="0.25">
      <c r="B42" s="256"/>
      <c r="C42" s="257"/>
      <c r="D42" s="257"/>
      <c r="E42" s="257"/>
      <c r="F42" s="257"/>
      <c r="G42" s="257"/>
      <c r="H42" s="257"/>
      <c r="I42" s="257"/>
      <c r="J42" s="257"/>
      <c r="K42" s="257"/>
      <c r="L42" s="257"/>
      <c r="M42" s="257"/>
      <c r="N42" s="257"/>
      <c r="O42" s="257"/>
      <c r="P42" s="257"/>
      <c r="Q42" s="257"/>
      <c r="R42" s="258"/>
      <c r="W42" s="66" t="s">
        <v>266</v>
      </c>
      <c r="X42" s="67">
        <v>5.4850000000000003E-3</v>
      </c>
    </row>
    <row r="43" spans="2:24" x14ac:dyDescent="0.25">
      <c r="B43" s="256"/>
      <c r="C43" s="257"/>
      <c r="D43" s="257"/>
      <c r="E43" s="257"/>
      <c r="F43" s="257"/>
      <c r="G43" s="257"/>
      <c r="H43" s="257"/>
      <c r="I43" s="257"/>
      <c r="J43" s="257"/>
      <c r="K43" s="257"/>
      <c r="L43" s="257"/>
      <c r="M43" s="257"/>
      <c r="N43" s="257"/>
      <c r="O43" s="257"/>
      <c r="P43" s="257"/>
      <c r="Q43" s="257"/>
      <c r="R43" s="258"/>
      <c r="W43" s="19" t="s">
        <v>122</v>
      </c>
      <c r="X43" s="67">
        <v>5.3179999999999998E-3</v>
      </c>
    </row>
    <row r="44" spans="2:24" x14ac:dyDescent="0.25">
      <c r="B44" s="256"/>
      <c r="C44" s="257"/>
      <c r="D44" s="257"/>
      <c r="E44" s="257"/>
      <c r="F44" s="257"/>
      <c r="G44" s="257"/>
      <c r="H44" s="257"/>
      <c r="I44" s="257"/>
      <c r="J44" s="257"/>
      <c r="K44" s="257"/>
      <c r="L44" s="257"/>
      <c r="M44" s="257"/>
      <c r="N44" s="257"/>
      <c r="O44" s="257"/>
      <c r="P44" s="257"/>
      <c r="Q44" s="257"/>
      <c r="R44" s="258"/>
      <c r="W44" s="19" t="s">
        <v>267</v>
      </c>
      <c r="X44" s="67">
        <v>4.64E-3</v>
      </c>
    </row>
    <row r="45" spans="2:24" ht="15.75" thickBot="1" x14ac:dyDescent="0.3">
      <c r="B45" s="259"/>
      <c r="C45" s="260"/>
      <c r="D45" s="260"/>
      <c r="E45" s="260"/>
      <c r="F45" s="260"/>
      <c r="G45" s="260"/>
      <c r="H45" s="260"/>
      <c r="I45" s="260"/>
      <c r="J45" s="260"/>
      <c r="K45" s="260"/>
      <c r="L45" s="260"/>
      <c r="M45" s="260"/>
      <c r="N45" s="260"/>
      <c r="O45" s="260"/>
      <c r="P45" s="260"/>
      <c r="Q45" s="260"/>
      <c r="R45" s="261"/>
      <c r="W45" s="19" t="s">
        <v>210</v>
      </c>
      <c r="X45" s="67">
        <v>4.1349999999999998E-3</v>
      </c>
    </row>
    <row r="46" spans="2:24" x14ac:dyDescent="0.25">
      <c r="W46" s="19" t="s">
        <v>137</v>
      </c>
      <c r="X46" s="67">
        <v>3.9370000000000004E-3</v>
      </c>
    </row>
    <row r="47" spans="2:24" x14ac:dyDescent="0.25">
      <c r="W47" s="19" t="s">
        <v>140</v>
      </c>
      <c r="X47" s="67">
        <v>3.7299999999999998E-3</v>
      </c>
    </row>
    <row r="48" spans="2:24" x14ac:dyDescent="0.25">
      <c r="W48" s="19" t="s">
        <v>268</v>
      </c>
      <c r="X48" s="67">
        <v>3.4949999999999998E-3</v>
      </c>
    </row>
    <row r="49" spans="23:24" x14ac:dyDescent="0.25">
      <c r="W49" s="19" t="s">
        <v>131</v>
      </c>
      <c r="X49" s="67">
        <v>3.4940000000000001E-3</v>
      </c>
    </row>
    <row r="50" spans="23:24" x14ac:dyDescent="0.25">
      <c r="W50" s="19" t="s">
        <v>133</v>
      </c>
      <c r="X50" s="67">
        <v>3.1380000000000002E-3</v>
      </c>
    </row>
    <row r="51" spans="23:24" x14ac:dyDescent="0.25">
      <c r="W51" s="19" t="s">
        <v>138</v>
      </c>
      <c r="X51" s="67">
        <v>2.7369999999999998E-3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2024-03-04T06:23:50Z</dcterms:modified>
</cp:coreProperties>
</file>