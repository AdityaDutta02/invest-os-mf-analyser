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4226"/>
  <bookViews>
    <workbookView xWindow="0" yWindow="0" windowWidth="20490" windowHeight="7665" tabRatio="938"/>
  </bookViews>
  <sheets>
    <sheet name="IDFC CEF" sheetId="4" r:id="rId1"/>
    <sheet name="IDFC LCF" sheetId="6" r:id="rId2"/>
    <sheet name="IDFC FEF" sheetId="7" r:id="rId3"/>
    <sheet name="IDFC SVF" sheetId="12" r:id="rId4"/>
    <sheet name="IDFC MCF" sheetId="11" r:id="rId5"/>
    <sheet name="IDFC IF" sheetId="8" r:id="rId6"/>
    <sheet name="IDFC-TAF" sheetId="13" r:id="rId7"/>
    <sheet name="IDFC-AF" sheetId="14" r:id="rId8"/>
    <sheet name="IDFC DEF" sheetId="5" r:id="rId9"/>
    <sheet name="IDFC-ESF" sheetId="25" r:id="rId10"/>
    <sheet name="IDFC-HEF" sheetId="26" r:id="rId11"/>
    <sheet name="IDFC-RSF" sheetId="18" r:id="rId12"/>
    <sheet name="IDFCAAF-AP" sheetId="19" r:id="rId13"/>
    <sheet name="IDFCAAF-MP" sheetId="20" r:id="rId14"/>
    <sheet name="IDFCAAF-CP" sheetId="21" r:id="rId15"/>
    <sheet name="IDFC-NIFTY" sheetId="10" r:id="rId16"/>
    <sheet name="IDFC-Sensex ETF" sheetId="16" r:id="rId17"/>
    <sheet name="IDFC- Nifty ETF" sheetId="17" r:id="rId18"/>
  </sheets>
  <definedNames>
    <definedName name="_xlnm.Print_Area" localSheetId="0">'IDFC CEF'!$A$1:$T$39</definedName>
    <definedName name="_xlnm.Print_Area" localSheetId="8">'IDFC DEF'!$A$1:$T$52</definedName>
    <definedName name="_xlnm.Print_Area" localSheetId="2">'IDFC FEF'!$A$1:$T$45</definedName>
    <definedName name="_xlnm.Print_Area" localSheetId="5">'IDFC IF'!$A$1:$T$36</definedName>
    <definedName name="_xlnm.Print_Area" localSheetId="1">'IDFC LCF'!$A$1:$T$48</definedName>
    <definedName name="_xlnm.Print_Area" localSheetId="4">'IDFC MCF'!$A$1:$T$33</definedName>
    <definedName name="_xlnm.Print_Area" localSheetId="17">'IDFC- Nifty ETF'!$A$1:$T$37</definedName>
    <definedName name="_xlnm.Print_Area" localSheetId="3">'IDFC SVF'!$A$1:$T$31</definedName>
    <definedName name="_xlnm.Print_Area" localSheetId="12">'IDFCAAF-AP'!$A$1:$M$30</definedName>
    <definedName name="_xlnm.Print_Area" localSheetId="7">'IDFC-AF'!$A$1:$Q$31</definedName>
    <definedName name="_xlnm.Print_Area" localSheetId="15">'IDFC-NIFTY'!$A$1:$T$34</definedName>
    <definedName name="_xlnm.Print_Area" localSheetId="16">'IDFC-Sensex ETF'!$A$1:$T$38</definedName>
    <definedName name="_xlnm.Print_Area" localSheetId="6">'IDFC-TAF'!$A$1:$T$37</definedName>
  </definedNames>
  <calcPr calcId="125725"/>
</workbook>
</file>

<file path=xl/calcChain.xml><?xml version="1.0" encoding="utf-8"?>
<calcChain xmlns="http://schemas.openxmlformats.org/spreadsheetml/2006/main">
  <c r="E25" i="18"/>
  <c r="E25" i="26" l="1"/>
  <c r="E60" s="1"/>
  <c r="K14"/>
  <c r="K13"/>
  <c r="K12"/>
  <c r="K11"/>
  <c r="I11"/>
  <c r="I10"/>
  <c r="I9"/>
  <c r="K10" l="1"/>
  <c r="J10" i="21"/>
  <c r="D15"/>
  <c r="J9" s="1"/>
  <c r="D10"/>
  <c r="J11" i="20"/>
  <c r="D17"/>
  <c r="J10" s="1"/>
  <c r="D11"/>
  <c r="D21" l="1"/>
  <c r="D19" i="21"/>
  <c r="J8"/>
  <c r="K15" i="25"/>
  <c r="K13" l="1"/>
  <c r="K12"/>
  <c r="J9" i="20" l="1"/>
  <c r="E25" i="25"/>
  <c r="E44" s="1"/>
  <c r="K14"/>
  <c r="K11"/>
  <c r="I11"/>
  <c r="I10"/>
  <c r="I9"/>
  <c r="K10" l="1"/>
  <c r="E23" i="5" l="1"/>
  <c r="D11" i="19" l="1"/>
  <c r="K12" i="18" l="1"/>
  <c r="K10"/>
  <c r="I9" l="1"/>
  <c r="D17" i="19" l="1"/>
  <c r="J9"/>
  <c r="K13" i="18"/>
  <c r="E35"/>
  <c r="E24" i="10"/>
  <c r="E24" i="8"/>
  <c r="E24" i="7"/>
  <c r="E25" i="6"/>
  <c r="E24" i="4"/>
  <c r="E27" i="14"/>
  <c r="I10" i="18"/>
  <c r="I11"/>
  <c r="E24" i="13"/>
  <c r="E24" i="17"/>
  <c r="T8" i="14"/>
  <c r="T9" s="1"/>
  <c r="E24" i="16"/>
  <c r="E25" i="12"/>
  <c r="E25" i="11"/>
  <c r="J11" i="19"/>
  <c r="J10" l="1"/>
  <c r="D21"/>
  <c r="K11" i="18"/>
</calcChain>
</file>

<file path=xl/sharedStrings.xml><?xml version="1.0" encoding="utf-8"?>
<sst xmlns="http://schemas.openxmlformats.org/spreadsheetml/2006/main" count="992" uniqueCount="228">
  <si>
    <t>Company</t>
  </si>
  <si>
    <t>Industry</t>
  </si>
  <si>
    <t>(%) NAV</t>
  </si>
  <si>
    <t>Miscellaneous</t>
  </si>
  <si>
    <t>Banks</t>
  </si>
  <si>
    <t>Finance</t>
  </si>
  <si>
    <t>Corporate Bond Total</t>
  </si>
  <si>
    <t>Petroleum Products</t>
  </si>
  <si>
    <t>Consumer Non Durables</t>
  </si>
  <si>
    <t>Pharmaceuticals</t>
  </si>
  <si>
    <t>Construction Project</t>
  </si>
  <si>
    <t>Cement</t>
  </si>
  <si>
    <t>Software</t>
  </si>
  <si>
    <t>Power</t>
  </si>
  <si>
    <t>Ferrous Metals</t>
  </si>
  <si>
    <t>Telecom - Services</t>
  </si>
  <si>
    <t>Oil</t>
  </si>
  <si>
    <t>Auto Ancillaries</t>
  </si>
  <si>
    <t>Auto</t>
  </si>
  <si>
    <t>Textile Products</t>
  </si>
  <si>
    <t>State Bank of India</t>
  </si>
  <si>
    <t>Non - Ferrous Metals</t>
  </si>
  <si>
    <t>Minerals/Mining</t>
  </si>
  <si>
    <t>Consumer Durables</t>
  </si>
  <si>
    <t>Chemicals</t>
  </si>
  <si>
    <t>Media &amp; Entertainment</t>
  </si>
  <si>
    <t>Industrial Capital Goods</t>
  </si>
  <si>
    <t>Equity Total</t>
  </si>
  <si>
    <t>Margin Fixed Deposit Total</t>
  </si>
  <si>
    <t>Net Current Asset</t>
  </si>
  <si>
    <t>Grand Total</t>
  </si>
  <si>
    <t>SECTOR</t>
  </si>
  <si>
    <t>Construction</t>
  </si>
  <si>
    <t>Industrial Products</t>
  </si>
  <si>
    <t>Gas</t>
  </si>
  <si>
    <t>IDFC INFRASTRUCTURE FUND</t>
  </si>
  <si>
    <t>Transportation</t>
  </si>
  <si>
    <t>Textiles - Cotton</t>
  </si>
  <si>
    <t>IDFC NIFTY FUND</t>
  </si>
  <si>
    <t>Retailing</t>
  </si>
  <si>
    <t>Other Equity</t>
  </si>
  <si>
    <t>IDFC DYNAMIC EQUITY FUND</t>
  </si>
  <si>
    <t>Hotels, Resorts And Other Recreational Activities</t>
  </si>
  <si>
    <t>Telecom -  Equipment &amp; Accessories</t>
  </si>
  <si>
    <t>Infosys Limited</t>
  </si>
  <si>
    <t>HDFC Bank Limited</t>
  </si>
  <si>
    <t>Housing Development Finance Corporation Limited</t>
  </si>
  <si>
    <t>ITC Limited</t>
  </si>
  <si>
    <t>Reliance Industries Limited</t>
  </si>
  <si>
    <t>ICICI Bank Limited</t>
  </si>
  <si>
    <t>Tata Consultancy Services Limited</t>
  </si>
  <si>
    <t>Larsen &amp; Toubro Limited</t>
  </si>
  <si>
    <t>Kotak Mahindra Bank Limited</t>
  </si>
  <si>
    <t>Axis Bank Limited</t>
  </si>
  <si>
    <t>Hindustan Unilever Limited</t>
  </si>
  <si>
    <t>Maruti Suzuki India Limited</t>
  </si>
  <si>
    <t>Asian Paints Limited</t>
  </si>
  <si>
    <t>Voltas Limited</t>
  </si>
  <si>
    <t>IndusInd Bank Limited</t>
  </si>
  <si>
    <t>Engineers India Limited</t>
  </si>
  <si>
    <t>Container Corporation of India Limited</t>
  </si>
  <si>
    <t>KEC International Limited</t>
  </si>
  <si>
    <t>The Ramco Cements Limited</t>
  </si>
  <si>
    <t>VRL Logistics Limited</t>
  </si>
  <si>
    <t>Minda Industries Limited</t>
  </si>
  <si>
    <t>Future Retail Limited</t>
  </si>
  <si>
    <t>IDFC ARBITRAGE FUND</t>
  </si>
  <si>
    <t>Date</t>
  </si>
  <si>
    <t>IDFC-AF</t>
  </si>
  <si>
    <t>Total Hedged Equity</t>
  </si>
  <si>
    <t>Total Debt</t>
  </si>
  <si>
    <t>Margin Fixed Deposit</t>
  </si>
  <si>
    <t>Corporate Bond</t>
  </si>
  <si>
    <t>Government Bond</t>
  </si>
  <si>
    <t>IDFC Nifty Exchange Traded Fund</t>
  </si>
  <si>
    <t>IDFC Sensex Exchange Traded Fund</t>
  </si>
  <si>
    <t>Name</t>
  </si>
  <si>
    <t>Rating/Industry</t>
  </si>
  <si>
    <t>Total</t>
  </si>
  <si>
    <t>Asset Quality</t>
  </si>
  <si>
    <t>AAA Equivalent</t>
  </si>
  <si>
    <t>AA Equivalent</t>
  </si>
  <si>
    <t>Equity</t>
  </si>
  <si>
    <t xml:space="preserve">Corporate Bond </t>
  </si>
  <si>
    <t>Average Maturity in Years</t>
  </si>
  <si>
    <t>&lt; 1 Months</t>
  </si>
  <si>
    <t>1 - 3 Months</t>
  </si>
  <si>
    <t>3 - 5 Months</t>
  </si>
  <si>
    <t>&gt; 10 Months</t>
  </si>
  <si>
    <t>Asset Allocation</t>
  </si>
  <si>
    <t>Fertilisers</t>
  </si>
  <si>
    <t>IDFC ASSET ALLOCATION FUND - AGGRESSIVE PLAN</t>
  </si>
  <si>
    <t xml:space="preserve">Debt </t>
  </si>
  <si>
    <t>Debt Total</t>
  </si>
  <si>
    <t xml:space="preserve">Equity </t>
  </si>
  <si>
    <t>Net Assets</t>
  </si>
  <si>
    <t xml:space="preserve"> </t>
  </si>
  <si>
    <t>IDFC ASSET ALLOCATION FUND - MODERATE PLAN</t>
  </si>
  <si>
    <t xml:space="preserve">IDFC ASSET ALLOCATION FUND - CONSERVATIVE PLAN </t>
  </si>
  <si>
    <t>Top 15 Equity Total</t>
  </si>
  <si>
    <t>Top 15 Equity Holdings</t>
  </si>
  <si>
    <t>RBL Bank Limited</t>
  </si>
  <si>
    <t>GAIL (India) Limited</t>
  </si>
  <si>
    <t>AA+ Equivalent</t>
  </si>
  <si>
    <t>Margin FD</t>
  </si>
  <si>
    <t>State Government Bond</t>
  </si>
  <si>
    <t>Arbitrage Position</t>
  </si>
  <si>
    <t>Top 15 Active Equity Holdings</t>
  </si>
  <si>
    <t>Other Active Equity Holdings</t>
  </si>
  <si>
    <t>Active Equity</t>
  </si>
  <si>
    <t>Arbitrage</t>
  </si>
  <si>
    <t>Corporate bond</t>
  </si>
  <si>
    <t>SOV</t>
  </si>
  <si>
    <t>IDFC FOCUSED EQUITY FUND</t>
  </si>
  <si>
    <t>IT Consulting &amp; Other Services</t>
  </si>
  <si>
    <t>Commercial Services</t>
  </si>
  <si>
    <t>Ambuja Cements Limited</t>
  </si>
  <si>
    <t>NTPC Limited</t>
  </si>
  <si>
    <t>MRF Limited</t>
  </si>
  <si>
    <t>Schaeffler India Limited</t>
  </si>
  <si>
    <t>3M India Limited</t>
  </si>
  <si>
    <t>NCC Limited</t>
  </si>
  <si>
    <t>Pesticides</t>
  </si>
  <si>
    <t>Tata Chemicals Limited</t>
  </si>
  <si>
    <t>Apollo Tyres Limited</t>
  </si>
  <si>
    <t>ICICI Prudential Life Insurance Company Limited</t>
  </si>
  <si>
    <t>Commercial Paper</t>
  </si>
  <si>
    <t>Zero Coupon Bond</t>
  </si>
  <si>
    <t>Kotak Mahindra Prime Limited</t>
  </si>
  <si>
    <t>LIC Housing Finance Limited</t>
  </si>
  <si>
    <t>HDB Financial Services Limited</t>
  </si>
  <si>
    <t>AAA</t>
  </si>
  <si>
    <t>Mahindra &amp; Mahindra Limited</t>
  </si>
  <si>
    <t>PNC Infratech Limited</t>
  </si>
  <si>
    <t>Nestle India Limited</t>
  </si>
  <si>
    <t>Mahindra &amp; Mahindra Financial Services Limited</t>
  </si>
  <si>
    <t>AA+</t>
  </si>
  <si>
    <t>IDFC EQUITY SAVINGS FUND</t>
  </si>
  <si>
    <t>IDFC HYBRID EQUITY FUND</t>
  </si>
  <si>
    <t>Security and Intelligence Services (India) Limited</t>
  </si>
  <si>
    <t>UltraTech Cement Limited</t>
  </si>
  <si>
    <t>IDFC MULTI CAP FUND</t>
  </si>
  <si>
    <t xml:space="preserve">Top 15 Active Equity Holdings </t>
  </si>
  <si>
    <t>IDFC LARGE CAP FUND</t>
  </si>
  <si>
    <t>IDFC CORE EQUITY FUND</t>
  </si>
  <si>
    <t>GlaxoSmithKline Consumer Healthcare Limited</t>
  </si>
  <si>
    <t>Adani Ports and Special Economic Zone Limited</t>
  </si>
  <si>
    <t>IDFC STERLING VALUE FUND</t>
  </si>
  <si>
    <t>Certificate of Deposit</t>
  </si>
  <si>
    <t>IDFC Low Duration Fund</t>
  </si>
  <si>
    <t>IDFC Bond Fund - Short Term Plan</t>
  </si>
  <si>
    <t>IDFC  Sterling Value Fund</t>
  </si>
  <si>
    <t>IDFC Core Equity Fund</t>
  </si>
  <si>
    <t>Cholamandalam Investment and Finance Company Limited</t>
  </si>
  <si>
    <t>IDFC REGULAR SAVINGS FUND</t>
  </si>
  <si>
    <t>(Previously known as IDFC Classic Equity Fund)</t>
  </si>
  <si>
    <t>(Previously known as IDFC Equity Fund)</t>
  </si>
  <si>
    <t>(Previously known as IDFC Premier Equity Fund)</t>
  </si>
  <si>
    <t>(Previously known as IDFC Sterling Equity Fund)</t>
  </si>
  <si>
    <t>(Previously known as IDFC Arbitrage Plus Fund)</t>
  </si>
  <si>
    <t>(Previously known as IDFC Balanced Fund)</t>
  </si>
  <si>
    <t>(Previously known as IDFC Monthly Income Plan)</t>
  </si>
  <si>
    <t>Bata India Limited</t>
  </si>
  <si>
    <t>The Indian Hotels Company Limited</t>
  </si>
  <si>
    <t xml:space="preserve">IDFC  Cash Fund </t>
  </si>
  <si>
    <t>IDFC Multi Cap Fund</t>
  </si>
  <si>
    <t>IDFC Large Cap Fund</t>
  </si>
  <si>
    <t>Sun Pharmaceutical Industries Limited</t>
  </si>
  <si>
    <t>Other Equity Holdings</t>
  </si>
  <si>
    <t>6.84% GOI (MD 19/12/2022)</t>
  </si>
  <si>
    <t>7.17% GOI (MD 08/01/2028)</t>
  </si>
  <si>
    <t>Sadbhav Engineering Limited</t>
  </si>
  <si>
    <t>Gujarat State Petronet Limited</t>
  </si>
  <si>
    <t>Exide Industries Limited</t>
  </si>
  <si>
    <t>IDFC TAX ADVANTAGE (ELSS) FUND</t>
  </si>
  <si>
    <t>Dabur India Limited</t>
  </si>
  <si>
    <t>Net Cash and Cash Equivalent</t>
  </si>
  <si>
    <t>Indiabulls Housing Finance Limited</t>
  </si>
  <si>
    <t>L&amp;T Finance Limited</t>
  </si>
  <si>
    <t>8.68% Tamil Nadu SDL (MD 26/05/2021)</t>
  </si>
  <si>
    <t>A1+</t>
  </si>
  <si>
    <t>Cadila Healthcare Limited</t>
  </si>
  <si>
    <t>Transport Corporation of India Limited</t>
  </si>
  <si>
    <t>Aurobindo Pharma Limited</t>
  </si>
  <si>
    <t>National Bank For Agriculture and Rural Development</t>
  </si>
  <si>
    <t>Cummins India Limited</t>
  </si>
  <si>
    <t>Power Grid Corporation of India Limited</t>
  </si>
  <si>
    <t>Fine Organic Industries Limited</t>
  </si>
  <si>
    <t>Cyient Limited</t>
  </si>
  <si>
    <t>Tech Mahindra Limited</t>
  </si>
  <si>
    <t>REC Limited</t>
  </si>
  <si>
    <t>Hindalco Industries Limited</t>
  </si>
  <si>
    <t>Marico Limited</t>
  </si>
  <si>
    <t>Colgate Palmolive (India) Limited</t>
  </si>
  <si>
    <t>Atul Limited</t>
  </si>
  <si>
    <t>Torrent Power Limited</t>
  </si>
  <si>
    <t>Certificate of Deposit Total</t>
  </si>
  <si>
    <t>EIH Limited</t>
  </si>
  <si>
    <t>Power Finance Corporation Limited</t>
  </si>
  <si>
    <t>Titan Company Limited</t>
  </si>
  <si>
    <t>1.03 crores</t>
  </si>
  <si>
    <t>Portfolio as on -  (31 December, 2018)</t>
  </si>
  <si>
    <t>Net Assets as on 31 December, 2018</t>
  </si>
  <si>
    <t>2926.22 crs</t>
  </si>
  <si>
    <t>385.52 crs</t>
  </si>
  <si>
    <t>1617.65 crs</t>
  </si>
  <si>
    <t>Majesco Limited</t>
  </si>
  <si>
    <t>3031.24 crs</t>
  </si>
  <si>
    <t>Hindustan Petroleum Corporation Limited</t>
  </si>
  <si>
    <t>5356.99 crs</t>
  </si>
  <si>
    <t>944.45 crs</t>
  </si>
  <si>
    <t>PTC India Limited</t>
  </si>
  <si>
    <t>1731.94 crs</t>
  </si>
  <si>
    <t>2785.71 crs</t>
  </si>
  <si>
    <t>1161.72 crs</t>
  </si>
  <si>
    <t>Bajaj Finserv Limited</t>
  </si>
  <si>
    <t>119.45 crs</t>
  </si>
  <si>
    <t>8.08% Gujarat SDL (MD 26/12/2028)</t>
  </si>
  <si>
    <t>AIA Engineering Limited</t>
  </si>
  <si>
    <t>205.44 crs</t>
  </si>
  <si>
    <t>972.14 crs</t>
  </si>
  <si>
    <t>8.42% Maharashtra SDL (MD 01/08/2028)</t>
  </si>
  <si>
    <t>National Highways Auth Of Ind</t>
  </si>
  <si>
    <t>139.40 crs</t>
  </si>
  <si>
    <t>88.88 lakhs</t>
  </si>
  <si>
    <t>17.11 crs</t>
  </si>
  <si>
    <t>38.81 crs</t>
  </si>
  <si>
    <t>14.18 crs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</si>
</sst>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0.00%;[Black]\(0.00%\)"/>
    <numFmt numFmtId="165" formatCode="#,##0.00%_);\(#,##0.00%\)"/>
    <numFmt numFmtId="166" formatCode="#0.00%;\(#0.00%\)"/>
    <numFmt numFmtId="167" formatCode="0.0000%"/>
  </numFmts>
  <fonts count="2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9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2"/>
      <color rgb="FFFF0000"/>
      <name val="Arial"/>
      <family val="2"/>
    </font>
    <font>
      <sz val="10"/>
      <color theme="1"/>
      <name val="Calibri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9"/>
      <color theme="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6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45">
    <xf numFmtId="0" fontId="0" fillId="0" borderId="0" xfId="0"/>
    <xf numFmtId="0" fontId="0" fillId="0" borderId="0" xfId="0" applyBorder="1"/>
    <xf numFmtId="0" fontId="4" fillId="0" borderId="0" xfId="0" applyFont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0" xfId="0" applyNumberFormat="1" applyBorder="1"/>
    <xf numFmtId="0" fontId="5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" fillId="0" borderId="11" xfId="0" applyFont="1" applyBorder="1"/>
    <xf numFmtId="0" fontId="1" fillId="0" borderId="12" xfId="0" applyFont="1" applyBorder="1"/>
    <xf numFmtId="0" fontId="8" fillId="0" borderId="13" xfId="0" applyFont="1" applyBorder="1"/>
    <xf numFmtId="0" fontId="1" fillId="0" borderId="14" xfId="0" applyFont="1" applyBorder="1"/>
    <xf numFmtId="0" fontId="8" fillId="0" borderId="15" xfId="0" applyFont="1" applyBorder="1"/>
    <xf numFmtId="0" fontId="1" fillId="0" borderId="0" xfId="0" applyFont="1" applyBorder="1"/>
    <xf numFmtId="0" fontId="9" fillId="0" borderId="0" xfId="0" applyFont="1" applyFill="1"/>
    <xf numFmtId="10" fontId="9" fillId="0" borderId="0" xfId="0" applyNumberFormat="1" applyFont="1"/>
    <xf numFmtId="0" fontId="9" fillId="0" borderId="0" xfId="0" applyFont="1" applyBorder="1"/>
    <xf numFmtId="0" fontId="1" fillId="0" borderId="20" xfId="0" applyFont="1" applyBorder="1"/>
    <xf numFmtId="0" fontId="1" fillId="0" borderId="21" xfId="0" applyFont="1" applyBorder="1"/>
    <xf numFmtId="0" fontId="8" fillId="0" borderId="22" xfId="0" applyFont="1" applyBorder="1"/>
    <xf numFmtId="0" fontId="8" fillId="0" borderId="0" xfId="0" applyFont="1" applyBorder="1"/>
    <xf numFmtId="0" fontId="10" fillId="0" borderId="0" xfId="0" applyFont="1"/>
    <xf numFmtId="0" fontId="1" fillId="0" borderId="13" xfId="0" applyFont="1" applyBorder="1"/>
    <xf numFmtId="0" fontId="1" fillId="0" borderId="15" xfId="0" applyFont="1" applyBorder="1"/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165" fontId="10" fillId="0" borderId="10" xfId="0" applyNumberFormat="1" applyFont="1" applyBorder="1" applyAlignment="1">
      <alignment horizontal="right"/>
    </xf>
    <xf numFmtId="0" fontId="1" fillId="0" borderId="0" xfId="0" applyFont="1" applyFill="1" applyBorder="1"/>
    <xf numFmtId="0" fontId="1" fillId="0" borderId="0" xfId="0" applyFont="1" applyFill="1"/>
    <xf numFmtId="0" fontId="1" fillId="0" borderId="14" xfId="0" applyFont="1" applyFill="1" applyBorder="1"/>
    <xf numFmtId="0" fontId="1" fillId="0" borderId="22" xfId="0" applyFont="1" applyBorder="1"/>
    <xf numFmtId="10" fontId="10" fillId="0" borderId="10" xfId="1" applyNumberFormat="1" applyFont="1" applyBorder="1" applyAlignment="1">
      <alignment horizontal="right"/>
    </xf>
    <xf numFmtId="10" fontId="9" fillId="0" borderId="0" xfId="0" applyNumberFormat="1" applyFont="1" applyBorder="1"/>
    <xf numFmtId="10" fontId="9" fillId="0" borderId="0" xfId="1" applyNumberFormat="1" applyFont="1" applyBorder="1" applyAlignment="1">
      <alignment horizontal="left"/>
    </xf>
    <xf numFmtId="0" fontId="12" fillId="0" borderId="15" xfId="0" applyFont="1" applyBorder="1"/>
    <xf numFmtId="10" fontId="9" fillId="0" borderId="10" xfId="1" applyNumberFormat="1" applyFont="1" applyBorder="1" applyAlignment="1">
      <alignment horizontal="right"/>
    </xf>
    <xf numFmtId="0" fontId="10" fillId="0" borderId="0" xfId="0" applyFont="1" applyBorder="1"/>
    <xf numFmtId="0" fontId="12" fillId="0" borderId="0" xfId="0" applyFont="1" applyBorder="1"/>
    <xf numFmtId="0" fontId="11" fillId="4" borderId="15" xfId="0" applyFont="1" applyFill="1" applyBorder="1" applyAlignment="1">
      <alignment vertical="center" wrapText="1"/>
    </xf>
    <xf numFmtId="10" fontId="8" fillId="0" borderId="0" xfId="0" applyNumberFormat="1" applyFont="1" applyBorder="1"/>
    <xf numFmtId="0" fontId="13" fillId="0" borderId="0" xfId="0" applyFont="1" applyBorder="1"/>
    <xf numFmtId="0" fontId="8" fillId="0" borderId="15" xfId="0" applyFont="1" applyFill="1" applyBorder="1"/>
    <xf numFmtId="0" fontId="8" fillId="0" borderId="0" xfId="0" applyFont="1" applyFill="1"/>
    <xf numFmtId="10" fontId="10" fillId="0" borderId="9" xfId="1" applyNumberFormat="1" applyFont="1" applyBorder="1" applyAlignment="1">
      <alignment horizontal="right"/>
    </xf>
    <xf numFmtId="0" fontId="0" fillId="0" borderId="0" xfId="0" applyFont="1" applyBorder="1"/>
    <xf numFmtId="10" fontId="9" fillId="0" borderId="0" xfId="1" applyNumberFormat="1" applyFont="1" applyBorder="1"/>
    <xf numFmtId="0" fontId="14" fillId="4" borderId="9" xfId="0" applyFont="1" applyFill="1" applyBorder="1" applyAlignment="1">
      <alignment horizontal="left"/>
    </xf>
    <xf numFmtId="165" fontId="14" fillId="4" borderId="9" xfId="0" applyNumberFormat="1" applyFont="1" applyFill="1" applyBorder="1" applyAlignment="1">
      <alignment horizontal="right"/>
    </xf>
    <xf numFmtId="165" fontId="9" fillId="0" borderId="0" xfId="0" applyNumberFormat="1" applyFont="1" applyBorder="1"/>
    <xf numFmtId="0" fontId="14" fillId="4" borderId="18" xfId="0" applyFont="1" applyFill="1" applyBorder="1" applyAlignment="1">
      <alignment horizontal="left"/>
    </xf>
    <xf numFmtId="165" fontId="14" fillId="4" borderId="18" xfId="0" applyNumberFormat="1" applyFont="1" applyFill="1" applyBorder="1" applyAlignment="1">
      <alignment horizontal="right"/>
    </xf>
    <xf numFmtId="0" fontId="11" fillId="0" borderId="15" xfId="0" applyFont="1" applyFill="1" applyBorder="1" applyAlignment="1">
      <alignment vertical="center" wrapText="1"/>
    </xf>
    <xf numFmtId="0" fontId="9" fillId="3" borderId="0" xfId="0" applyFont="1" applyFill="1" applyBorder="1"/>
    <xf numFmtId="10" fontId="9" fillId="3" borderId="0" xfId="0" applyNumberFormat="1" applyFont="1" applyFill="1" applyBorder="1"/>
    <xf numFmtId="10" fontId="9" fillId="3" borderId="0" xfId="1" applyNumberFormat="1" applyFont="1" applyFill="1" applyBorder="1"/>
    <xf numFmtId="0" fontId="4" fillId="0" borderId="21" xfId="0" applyFont="1" applyBorder="1" applyAlignment="1"/>
    <xf numFmtId="0" fontId="4" fillId="0" borderId="22" xfId="0" applyFont="1" applyBorder="1" applyAlignment="1"/>
    <xf numFmtId="0" fontId="12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3" borderId="0" xfId="0" applyFont="1" applyFill="1"/>
    <xf numFmtId="0" fontId="5" fillId="0" borderId="0" xfId="0" applyFont="1" applyAlignment="1">
      <alignment horizontal="left"/>
    </xf>
    <xf numFmtId="10" fontId="5" fillId="0" borderId="0" xfId="0" applyNumberFormat="1" applyFont="1"/>
    <xf numFmtId="0" fontId="5" fillId="0" borderId="7" xfId="0" applyFont="1" applyBorder="1"/>
    <xf numFmtId="0" fontId="5" fillId="0" borderId="8" xfId="0" applyFont="1" applyBorder="1"/>
    <xf numFmtId="14" fontId="9" fillId="0" borderId="0" xfId="0" applyNumberFormat="1" applyFont="1"/>
    <xf numFmtId="14" fontId="9" fillId="0" borderId="0" xfId="0" applyNumberFormat="1" applyFont="1" applyFill="1"/>
    <xf numFmtId="0" fontId="9" fillId="0" borderId="0" xfId="0" applyFont="1" applyFill="1" applyBorder="1"/>
    <xf numFmtId="14" fontId="9" fillId="0" borderId="0" xfId="0" applyNumberFormat="1" applyFont="1" applyFill="1" applyBorder="1"/>
    <xf numFmtId="10" fontId="9" fillId="0" borderId="0" xfId="0" applyNumberFormat="1" applyFont="1" applyFill="1" applyBorder="1"/>
    <xf numFmtId="14" fontId="9" fillId="0" borderId="0" xfId="0" applyNumberFormat="1" applyFont="1" applyBorder="1"/>
    <xf numFmtId="165" fontId="16" fillId="0" borderId="0" xfId="0" applyNumberFormat="1" applyFont="1" applyFill="1" applyAlignment="1">
      <alignment horizontal="right"/>
    </xf>
    <xf numFmtId="10" fontId="5" fillId="3" borderId="0" xfId="0" applyNumberFormat="1" applyFont="1" applyFill="1"/>
    <xf numFmtId="0" fontId="10" fillId="0" borderId="16" xfId="0" applyNumberFormat="1" applyFont="1" applyFill="1" applyBorder="1" applyAlignment="1" applyProtection="1">
      <alignment horizontal="left" wrapText="1"/>
    </xf>
    <xf numFmtId="0" fontId="10" fillId="0" borderId="9" xfId="0" applyNumberFormat="1" applyFont="1" applyFill="1" applyBorder="1" applyAlignment="1" applyProtection="1">
      <alignment horizontal="left" wrapText="1"/>
    </xf>
    <xf numFmtId="0" fontId="10" fillId="0" borderId="16" xfId="0" applyNumberFormat="1" applyFont="1" applyFill="1" applyBorder="1" applyAlignment="1" applyProtection="1">
      <alignment horizontal="left" vertical="top" wrapText="1"/>
    </xf>
    <xf numFmtId="0" fontId="10" fillId="0" borderId="9" xfId="0" applyNumberFormat="1" applyFont="1" applyFill="1" applyBorder="1" applyAlignment="1" applyProtection="1">
      <alignment horizontal="left" vertical="top" wrapText="1"/>
    </xf>
    <xf numFmtId="166" fontId="10" fillId="0" borderId="16" xfId="0" applyNumberFormat="1" applyFont="1" applyFill="1" applyBorder="1" applyAlignment="1" applyProtection="1">
      <alignment horizontal="right" wrapText="1"/>
    </xf>
    <xf numFmtId="166" fontId="10" fillId="0" borderId="9" xfId="0" applyNumberFormat="1" applyFont="1" applyFill="1" applyBorder="1" applyAlignment="1" applyProtection="1">
      <alignment horizontal="right" wrapText="1"/>
    </xf>
    <xf numFmtId="166" fontId="10" fillId="0" borderId="10" xfId="0" applyNumberFormat="1" applyFont="1" applyFill="1" applyBorder="1" applyAlignment="1" applyProtection="1">
      <alignment horizontal="right" wrapText="1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10" fontId="10" fillId="0" borderId="19" xfId="1" applyNumberFormat="1" applyFont="1" applyBorder="1" applyAlignment="1">
      <alignment horizontal="right"/>
    </xf>
    <xf numFmtId="0" fontId="17" fillId="0" borderId="0" xfId="0" applyFont="1"/>
    <xf numFmtId="0" fontId="10" fillId="0" borderId="15" xfId="0" applyFont="1" applyBorder="1"/>
    <xf numFmtId="0" fontId="5" fillId="0" borderId="0" xfId="0" applyFont="1" applyFill="1"/>
    <xf numFmtId="10" fontId="5" fillId="0" borderId="0" xfId="0" applyNumberFormat="1" applyFont="1" applyFill="1"/>
    <xf numFmtId="0" fontId="0" fillId="0" borderId="0" xfId="0" applyFill="1" applyBorder="1"/>
    <xf numFmtId="0" fontId="5" fillId="0" borderId="0" xfId="0" applyFont="1" applyFill="1" applyBorder="1"/>
    <xf numFmtId="0" fontId="5" fillId="0" borderId="3" xfId="0" applyFont="1" applyFill="1" applyBorder="1"/>
    <xf numFmtId="0" fontId="18" fillId="0" borderId="0" xfId="0" applyFont="1" applyFill="1" applyBorder="1"/>
    <xf numFmtId="0" fontId="3" fillId="4" borderId="0" xfId="0" applyFont="1" applyFill="1" applyBorder="1" applyAlignment="1">
      <alignment vertical="center"/>
    </xf>
    <xf numFmtId="0" fontId="12" fillId="0" borderId="0" xfId="0" applyFont="1" applyFill="1"/>
    <xf numFmtId="0" fontId="11" fillId="0" borderId="0" xfId="0" applyFont="1" applyFill="1" applyBorder="1" applyAlignment="1">
      <alignment vertical="center" wrapText="1"/>
    </xf>
    <xf numFmtId="0" fontId="11" fillId="4" borderId="0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left"/>
    </xf>
    <xf numFmtId="10" fontId="1" fillId="0" borderId="0" xfId="0" applyNumberFormat="1" applyFont="1" applyBorder="1"/>
    <xf numFmtId="0" fontId="2" fillId="0" borderId="0" xfId="0" applyFont="1" applyFill="1" applyBorder="1" applyAlignment="1">
      <alignment horizontal="left" vertical="center"/>
    </xf>
    <xf numFmtId="10" fontId="2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10" fontId="2" fillId="0" borderId="0" xfId="1" applyNumberFormat="1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>
      <alignment horizontal="right" vertical="center"/>
    </xf>
    <xf numFmtId="167" fontId="5" fillId="0" borderId="0" xfId="0" applyNumberFormat="1" applyFont="1"/>
    <xf numFmtId="0" fontId="0" fillId="0" borderId="21" xfId="0" applyBorder="1"/>
    <xf numFmtId="10" fontId="9" fillId="0" borderId="9" xfId="1" applyNumberFormat="1" applyFont="1" applyBorder="1" applyAlignment="1">
      <alignment horizontal="right"/>
    </xf>
    <xf numFmtId="0" fontId="5" fillId="3" borderId="0" xfId="0" applyFont="1" applyFill="1" applyAlignment="1">
      <alignment horizontal="left"/>
    </xf>
    <xf numFmtId="167" fontId="5" fillId="3" borderId="0" xfId="0" applyNumberFormat="1" applyFont="1" applyFill="1"/>
    <xf numFmtId="0" fontId="17" fillId="0" borderId="2" xfId="0" applyFont="1" applyBorder="1"/>
    <xf numFmtId="0" fontId="17" fillId="0" borderId="3" xfId="0" applyFont="1" applyBorder="1"/>
    <xf numFmtId="0" fontId="17" fillId="0" borderId="8" xfId="0" applyFont="1" applyBorder="1"/>
    <xf numFmtId="2" fontId="11" fillId="4" borderId="0" xfId="0" applyNumberFormat="1" applyFont="1" applyFill="1" applyBorder="1" applyAlignment="1">
      <alignment vertical="center" wrapText="1"/>
    </xf>
    <xf numFmtId="0" fontId="17" fillId="0" borderId="13" xfId="0" applyFont="1" applyBorder="1"/>
    <xf numFmtId="0" fontId="17" fillId="0" borderId="15" xfId="0" applyFont="1" applyBorder="1"/>
    <xf numFmtId="0" fontId="17" fillId="0" borderId="22" xfId="0" applyFont="1" applyBorder="1"/>
    <xf numFmtId="0" fontId="10" fillId="0" borderId="9" xfId="0" applyFont="1" applyFill="1" applyBorder="1" applyAlignment="1">
      <alignment horizontal="left"/>
    </xf>
    <xf numFmtId="0" fontId="0" fillId="0" borderId="0" xfId="0" applyFill="1"/>
    <xf numFmtId="0" fontId="11" fillId="4" borderId="0" xfId="0" applyFont="1" applyFill="1" applyBorder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17" fillId="0" borderId="12" xfId="0" applyFont="1" applyBorder="1"/>
    <xf numFmtId="0" fontId="17" fillId="0" borderId="0" xfId="0" applyFont="1" applyBorder="1"/>
    <xf numFmtId="0" fontId="17" fillId="0" borderId="21" xfId="0" applyFont="1" applyBorder="1"/>
    <xf numFmtId="10" fontId="10" fillId="0" borderId="0" xfId="0" applyNumberFormat="1" applyFont="1" applyBorder="1"/>
    <xf numFmtId="165" fontId="10" fillId="0" borderId="9" xfId="0" applyNumberFormat="1" applyFont="1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9" fillId="0" borderId="0" xfId="0" applyFont="1" applyBorder="1" applyAlignment="1"/>
    <xf numFmtId="0" fontId="3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17" fillId="3" borderId="0" xfId="0" applyFont="1" applyFill="1"/>
    <xf numFmtId="10" fontId="10" fillId="0" borderId="0" xfId="1" applyNumberFormat="1" applyFont="1" applyBorder="1"/>
    <xf numFmtId="0" fontId="10" fillId="0" borderId="0" xfId="0" applyFont="1" applyFill="1" applyBorder="1" applyAlignment="1">
      <alignment horizontal="left"/>
    </xf>
    <xf numFmtId="10" fontId="10" fillId="0" borderId="0" xfId="1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left"/>
    </xf>
    <xf numFmtId="165" fontId="14" fillId="0" borderId="0" xfId="0" applyNumberFormat="1" applyFont="1" applyFill="1" applyBorder="1" applyAlignment="1">
      <alignment horizontal="right"/>
    </xf>
    <xf numFmtId="0" fontId="11" fillId="4" borderId="0" xfId="0" applyFont="1" applyFill="1" applyBorder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0" fillId="3" borderId="0" xfId="0" applyFill="1" applyBorder="1"/>
    <xf numFmtId="0" fontId="10" fillId="0" borderId="9" xfId="0" applyFont="1" applyBorder="1"/>
    <xf numFmtId="0" fontId="0" fillId="0" borderId="0" xfId="0" applyFont="1"/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2" fontId="3" fillId="4" borderId="0" xfId="0" applyNumberFormat="1" applyFont="1" applyFill="1" applyBorder="1" applyAlignment="1">
      <alignment horizontal="right" vertical="center"/>
    </xf>
    <xf numFmtId="0" fontId="21" fillId="0" borderId="0" xfId="0" applyFont="1" applyBorder="1" applyAlignment="1">
      <alignment horizontal="center" vertical="center"/>
    </xf>
    <xf numFmtId="4" fontId="3" fillId="4" borderId="0" xfId="0" applyNumberFormat="1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right" vertical="center"/>
    </xf>
    <xf numFmtId="0" fontId="3" fillId="4" borderId="0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4" fillId="0" borderId="21" xfId="0" applyFont="1" applyBorder="1" applyAlignment="1"/>
    <xf numFmtId="0" fontId="4" fillId="0" borderId="22" xfId="0" applyFont="1" applyBorder="1" applyAlignment="1"/>
    <xf numFmtId="0" fontId="15" fillId="4" borderId="0" xfId="0" applyFont="1" applyFill="1" applyBorder="1" applyAlignment="1">
      <alignment vertical="center" wrapText="1"/>
    </xf>
    <xf numFmtId="0" fontId="15" fillId="4" borderId="15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10" fontId="10" fillId="0" borderId="16" xfId="0" applyNumberFormat="1" applyFont="1" applyBorder="1"/>
    <xf numFmtId="0" fontId="10" fillId="0" borderId="9" xfId="0" applyFont="1" applyBorder="1" applyAlignment="1">
      <alignment vertical="center"/>
    </xf>
    <xf numFmtId="10" fontId="10" fillId="0" borderId="9" xfId="0" applyNumberFormat="1" applyFont="1" applyBorder="1"/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vertical="center" wrapText="1"/>
    </xf>
    <xf numFmtId="0" fontId="10" fillId="0" borderId="18" xfId="0" applyFont="1" applyBorder="1" applyAlignment="1">
      <alignment vertical="center"/>
    </xf>
    <xf numFmtId="10" fontId="10" fillId="0" borderId="18" xfId="0" applyNumberFormat="1" applyFont="1" applyBorder="1"/>
    <xf numFmtId="0" fontId="14" fillId="2" borderId="18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horizontal="right" vertical="center"/>
    </xf>
    <xf numFmtId="164" fontId="14" fillId="2" borderId="19" xfId="0" applyNumberFormat="1" applyFont="1" applyFill="1" applyBorder="1" applyAlignment="1">
      <alignment horizontal="right" vertical="center"/>
    </xf>
    <xf numFmtId="164" fontId="10" fillId="0" borderId="18" xfId="0" applyNumberFormat="1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164" fontId="10" fillId="0" borderId="9" xfId="0" applyNumberFormat="1" applyFont="1" applyBorder="1" applyAlignment="1">
      <alignment vertical="center"/>
    </xf>
    <xf numFmtId="164" fontId="14" fillId="2" borderId="18" xfId="0" applyNumberFormat="1" applyFont="1" applyFill="1" applyBorder="1" applyAlignment="1">
      <alignment horizontal="right" vertical="center"/>
    </xf>
    <xf numFmtId="166" fontId="10" fillId="0" borderId="17" xfId="0" applyNumberFormat="1" applyFont="1" applyFill="1" applyBorder="1" applyAlignment="1" applyProtection="1">
      <alignment horizontal="right" wrapText="1"/>
    </xf>
    <xf numFmtId="164" fontId="10" fillId="0" borderId="19" xfId="0" applyNumberFormat="1" applyFont="1" applyBorder="1" applyAlignment="1">
      <alignment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vertical="center" wrapText="1"/>
    </xf>
    <xf numFmtId="2" fontId="14" fillId="4" borderId="9" xfId="0" applyNumberFormat="1" applyFont="1" applyFill="1" applyBorder="1" applyAlignment="1">
      <alignment vertical="center" wrapText="1"/>
    </xf>
    <xf numFmtId="10" fontId="14" fillId="4" borderId="9" xfId="0" applyNumberFormat="1" applyFont="1" applyFill="1" applyBorder="1" applyAlignment="1">
      <alignment vertical="center" wrapText="1"/>
    </xf>
    <xf numFmtId="0" fontId="14" fillId="4" borderId="18" xfId="0" applyFont="1" applyFill="1" applyBorder="1" applyAlignment="1">
      <alignment vertical="center" wrapText="1"/>
    </xf>
    <xf numFmtId="2" fontId="14" fillId="4" borderId="18" xfId="0" applyNumberFormat="1" applyFont="1" applyFill="1" applyBorder="1" applyAlignment="1">
      <alignment vertical="center" wrapText="1"/>
    </xf>
    <xf numFmtId="10" fontId="14" fillId="4" borderId="18" xfId="0" applyNumberFormat="1" applyFont="1" applyFill="1" applyBorder="1" applyAlignment="1">
      <alignment vertical="center" wrapText="1"/>
    </xf>
    <xf numFmtId="0" fontId="17" fillId="0" borderId="11" xfId="0" applyFont="1" applyBorder="1"/>
    <xf numFmtId="0" fontId="17" fillId="0" borderId="14" xfId="0" applyFont="1" applyBorder="1"/>
    <xf numFmtId="0" fontId="22" fillId="2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left"/>
    </xf>
    <xf numFmtId="0" fontId="22" fillId="2" borderId="0" xfId="0" applyFont="1" applyFill="1" applyBorder="1" applyAlignment="1">
      <alignment horizontal="left" vertical="center"/>
    </xf>
    <xf numFmtId="2" fontId="22" fillId="4" borderId="0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left"/>
    </xf>
    <xf numFmtId="10" fontId="17" fillId="0" borderId="0" xfId="0" applyNumberFormat="1" applyFont="1"/>
    <xf numFmtId="0" fontId="14" fillId="2" borderId="9" xfId="0" applyFont="1" applyFill="1" applyBorder="1" applyAlignment="1">
      <alignment horizontal="right" vertical="center"/>
    </xf>
    <xf numFmtId="164" fontId="14" fillId="2" borderId="9" xfId="0" applyNumberFormat="1" applyFont="1" applyFill="1" applyBorder="1" applyAlignment="1">
      <alignment horizontal="right" vertical="center"/>
    </xf>
    <xf numFmtId="166" fontId="23" fillId="0" borderId="0" xfId="0" applyNumberFormat="1" applyFont="1" applyFill="1" applyBorder="1" applyAlignment="1" applyProtection="1">
      <alignment horizontal="right" wrapText="1"/>
    </xf>
    <xf numFmtId="166" fontId="17" fillId="0" borderId="0" xfId="0" applyNumberFormat="1" applyFont="1" applyBorder="1"/>
    <xf numFmtId="0" fontId="14" fillId="2" borderId="9" xfId="0" applyFont="1" applyFill="1" applyBorder="1" applyAlignment="1">
      <alignment horizontal="left" vertical="center"/>
    </xf>
    <xf numFmtId="0" fontId="17" fillId="0" borderId="24" xfId="0" applyFont="1" applyBorder="1"/>
    <xf numFmtId="0" fontId="17" fillId="0" borderId="9" xfId="0" applyFont="1" applyBorder="1"/>
    <xf numFmtId="0" fontId="14" fillId="0" borderId="9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right" vertical="center"/>
    </xf>
    <xf numFmtId="164" fontId="14" fillId="0" borderId="9" xfId="0" applyNumberFormat="1" applyFont="1" applyFill="1" applyBorder="1" applyAlignment="1">
      <alignment horizontal="right" vertical="center"/>
    </xf>
    <xf numFmtId="0" fontId="14" fillId="4" borderId="9" xfId="0" applyFont="1" applyFill="1" applyBorder="1" applyAlignment="1">
      <alignment horizontal="left" vertical="center"/>
    </xf>
    <xf numFmtId="0" fontId="14" fillId="4" borderId="9" xfId="0" applyFont="1" applyFill="1" applyBorder="1" applyAlignment="1">
      <alignment horizontal="right" vertical="center"/>
    </xf>
    <xf numFmtId="164" fontId="14" fillId="4" borderId="9" xfId="0" applyNumberFormat="1" applyFont="1" applyFill="1" applyBorder="1" applyAlignment="1">
      <alignment horizontal="right" vertical="center"/>
    </xf>
    <xf numFmtId="0" fontId="10" fillId="0" borderId="9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10" fontId="10" fillId="0" borderId="9" xfId="0" applyNumberFormat="1" applyFont="1" applyFill="1" applyBorder="1" applyAlignment="1">
      <alignment vertical="center" wrapText="1"/>
    </xf>
    <xf numFmtId="0" fontId="17" fillId="0" borderId="20" xfId="0" applyFont="1" applyBorder="1"/>
    <xf numFmtId="0" fontId="14" fillId="4" borderId="17" xfId="0" applyFont="1" applyFill="1" applyBorder="1" applyAlignment="1">
      <alignment horizontal="center" vertical="center" wrapText="1"/>
    </xf>
    <xf numFmtId="43" fontId="10" fillId="0" borderId="16" xfId="2" applyFont="1" applyFill="1" applyBorder="1"/>
    <xf numFmtId="0" fontId="10" fillId="0" borderId="25" xfId="0" applyFont="1" applyBorder="1"/>
    <xf numFmtId="10" fontId="10" fillId="0" borderId="16" xfId="1" applyNumberFormat="1" applyFont="1" applyBorder="1"/>
    <xf numFmtId="43" fontId="10" fillId="0" borderId="9" xfId="2" applyFont="1" applyFill="1" applyBorder="1"/>
    <xf numFmtId="10" fontId="10" fillId="0" borderId="9" xfId="1" applyNumberFormat="1" applyFont="1" applyBorder="1"/>
    <xf numFmtId="43" fontId="10" fillId="0" borderId="9" xfId="2" applyFont="1" applyFill="1" applyBorder="1" applyAlignment="1">
      <alignment vertical="center"/>
    </xf>
    <xf numFmtId="0" fontId="10" fillId="0" borderId="0" xfId="0" applyFont="1" applyBorder="1" applyAlignment="1">
      <alignment wrapText="1"/>
    </xf>
    <xf numFmtId="0" fontId="14" fillId="4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 wrapText="1"/>
    </xf>
    <xf numFmtId="10" fontId="14" fillId="0" borderId="9" xfId="0" applyNumberFormat="1" applyFont="1" applyFill="1" applyBorder="1" applyAlignment="1">
      <alignment vertical="center" wrapText="1"/>
    </xf>
    <xf numFmtId="0" fontId="14" fillId="4" borderId="26" xfId="0" applyFont="1" applyFill="1" applyBorder="1" applyAlignment="1">
      <alignment vertical="center" wrapText="1"/>
    </xf>
    <xf numFmtId="0" fontId="10" fillId="0" borderId="16" xfId="0" applyFont="1" applyBorder="1"/>
    <xf numFmtId="0" fontId="10" fillId="0" borderId="9" xfId="0" applyFont="1" applyBorder="1" applyAlignment="1">
      <alignment wrapText="1"/>
    </xf>
    <xf numFmtId="0" fontId="10" fillId="0" borderId="17" xfId="0" applyNumberFormat="1" applyFont="1" applyFill="1" applyBorder="1" applyAlignment="1" applyProtection="1">
      <alignment horizontal="left" vertical="top" wrapText="1"/>
    </xf>
    <xf numFmtId="0" fontId="10" fillId="0" borderId="10" xfId="0" applyNumberFormat="1" applyFont="1" applyFill="1" applyBorder="1" applyAlignment="1" applyProtection="1">
      <alignment horizontal="left" vertical="top" wrapText="1"/>
    </xf>
    <xf numFmtId="0" fontId="14" fillId="4" borderId="10" xfId="0" applyFont="1" applyFill="1" applyBorder="1" applyAlignment="1">
      <alignment vertical="center" wrapText="1"/>
    </xf>
    <xf numFmtId="10" fontId="14" fillId="4" borderId="10" xfId="0" applyNumberFormat="1" applyFont="1" applyFill="1" applyBorder="1" applyAlignment="1">
      <alignment vertical="center" wrapText="1"/>
    </xf>
    <xf numFmtId="0" fontId="14" fillId="4" borderId="19" xfId="0" applyFont="1" applyFill="1" applyBorder="1" applyAlignment="1">
      <alignment vertical="center" wrapText="1"/>
    </xf>
    <xf numFmtId="10" fontId="14" fillId="4" borderId="19" xfId="0" applyNumberFormat="1" applyFont="1" applyFill="1" applyBorder="1" applyAlignment="1">
      <alignment vertical="center" wrapText="1"/>
    </xf>
    <xf numFmtId="0" fontId="0" fillId="0" borderId="27" xfId="0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>
        <c:manualLayout>
          <c:layoutTarget val="inner"/>
          <c:xMode val="edge"/>
          <c:yMode val="edge"/>
          <c:x val="1.3392857142857323E-2"/>
          <c:y val="1.4492753623188409E-2"/>
          <c:w val="0.96726190476189999"/>
          <c:h val="0.7021704895583768"/>
        </c:manualLayout>
      </c:layout>
      <c:barChart>
        <c:barDir val="col"/>
        <c:grouping val="clustered"/>
        <c:ser>
          <c:idx val="0"/>
          <c:order val="0"/>
          <c:tx>
            <c:strRef>
              <c:f>'IDFC CEF'!$X$8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B8B-4DF9-9355-FE04E91EDE56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B8B-4DF9-9355-FE04E91EDE56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B8B-4DF9-9355-FE04E91EDE56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B8B-4DF9-9355-FE04E91EDE56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3B8B-4DF9-9355-FE04E91EDE56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B8B-4DF9-9355-FE04E91EDE56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3B8B-4DF9-9355-FE04E91EDE56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3B8B-4DF9-9355-FE04E91EDE56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3B8B-4DF9-9355-FE04E91EDE56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3B8B-4DF9-9355-FE04E91EDE56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3B8B-4DF9-9355-FE04E91EDE56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3B8B-4DF9-9355-FE04E91EDE56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3B8B-4DF9-9355-FE04E91EDE56}"/>
                </c:ext>
              </c:extLst>
            </c:dLbl>
            <c:dLbl>
              <c:idx val="1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B8B-4DF9-9355-FE04E91EDE56}"/>
                </c:ext>
              </c:extLst>
            </c:dLbl>
            <c:dLbl>
              <c:idx val="1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3B8B-4DF9-9355-FE04E91EDE56}"/>
                </c:ext>
              </c:extLst>
            </c:dLbl>
            <c:dLbl>
              <c:idx val="1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3B8B-4DF9-9355-FE04E91EDE56}"/>
                </c:ext>
              </c:extLst>
            </c:dLbl>
            <c:dLbl>
              <c:idx val="1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3B8B-4DF9-9355-FE04E91EDE5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'IDFC CEF'!$W$9:$W$29</c:f>
              <c:strCache>
                <c:ptCount val="21"/>
                <c:pt idx="0">
                  <c:v>Banks</c:v>
                </c:pt>
                <c:pt idx="1">
                  <c:v>Pharmaceuticals</c:v>
                </c:pt>
                <c:pt idx="2">
                  <c:v>Consumer Non Durables</c:v>
                </c:pt>
                <c:pt idx="3">
                  <c:v>Finance</c:v>
                </c:pt>
                <c:pt idx="4">
                  <c:v>Auto Ancillaries</c:v>
                </c:pt>
                <c:pt idx="5">
                  <c:v>Software</c:v>
                </c:pt>
                <c:pt idx="6">
                  <c:v>Petroleum Products</c:v>
                </c:pt>
                <c:pt idx="7">
                  <c:v>Construction Project</c:v>
                </c:pt>
                <c:pt idx="8">
                  <c:v>Retailing</c:v>
                </c:pt>
                <c:pt idx="9">
                  <c:v>Cement</c:v>
                </c:pt>
                <c:pt idx="10">
                  <c:v>Industrial Products</c:v>
                </c:pt>
                <c:pt idx="11">
                  <c:v>Auto</c:v>
                </c:pt>
                <c:pt idx="12">
                  <c:v>Power</c:v>
                </c:pt>
                <c:pt idx="13">
                  <c:v>Industrial Capital Goods</c:v>
                </c:pt>
                <c:pt idx="14">
                  <c:v>Hotels, Resorts And Other Recreational Activities</c:v>
                </c:pt>
                <c:pt idx="15">
                  <c:v>Ferrous Metals</c:v>
                </c:pt>
                <c:pt idx="16">
                  <c:v>Chemicals</c:v>
                </c:pt>
                <c:pt idx="17">
                  <c:v>Non - Ferrous Metals</c:v>
                </c:pt>
                <c:pt idx="18">
                  <c:v>Gas</c:v>
                </c:pt>
                <c:pt idx="19">
                  <c:v>Fertilisers</c:v>
                </c:pt>
                <c:pt idx="20">
                  <c:v>Consumer Durables</c:v>
                </c:pt>
              </c:strCache>
            </c:strRef>
          </c:cat>
          <c:val>
            <c:numRef>
              <c:f>'IDFC CEF'!$X$9:$X$29</c:f>
              <c:numCache>
                <c:formatCode>0.00%</c:formatCode>
                <c:ptCount val="21"/>
                <c:pt idx="0">
                  <c:v>0.210926</c:v>
                </c:pt>
                <c:pt idx="1">
                  <c:v>7.9524999999999998E-2</c:v>
                </c:pt>
                <c:pt idx="2">
                  <c:v>7.8273000000000009E-2</c:v>
                </c:pt>
                <c:pt idx="3">
                  <c:v>7.2749999999999995E-2</c:v>
                </c:pt>
                <c:pt idx="4">
                  <c:v>6.6213999999999995E-2</c:v>
                </c:pt>
                <c:pt idx="5">
                  <c:v>6.4185999999999993E-2</c:v>
                </c:pt>
                <c:pt idx="6">
                  <c:v>4.9278999999999996E-2</c:v>
                </c:pt>
                <c:pt idx="7">
                  <c:v>4.7622999999999999E-2</c:v>
                </c:pt>
                <c:pt idx="8">
                  <c:v>4.3254000000000001E-2</c:v>
                </c:pt>
                <c:pt idx="9">
                  <c:v>3.7083999999999999E-2</c:v>
                </c:pt>
                <c:pt idx="10">
                  <c:v>3.6183E-2</c:v>
                </c:pt>
                <c:pt idx="11">
                  <c:v>2.8975000000000001E-2</c:v>
                </c:pt>
                <c:pt idx="12">
                  <c:v>2.6109E-2</c:v>
                </c:pt>
                <c:pt idx="13">
                  <c:v>2.0046000000000001E-2</c:v>
                </c:pt>
                <c:pt idx="14">
                  <c:v>1.9085999999999999E-2</c:v>
                </c:pt>
                <c:pt idx="15">
                  <c:v>1.8703999999999998E-2</c:v>
                </c:pt>
                <c:pt idx="16">
                  <c:v>1.8391000000000001E-2</c:v>
                </c:pt>
                <c:pt idx="17">
                  <c:v>1.1199000000000001E-2</c:v>
                </c:pt>
                <c:pt idx="18">
                  <c:v>1.0233000000000001E-2</c:v>
                </c:pt>
                <c:pt idx="19">
                  <c:v>7.705E-3</c:v>
                </c:pt>
                <c:pt idx="20">
                  <c:v>7.6920000000000001E-3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3B8B-4DF9-9355-FE04E91EDE56}"/>
            </c:ext>
          </c:extLst>
        </c:ser>
        <c:dLbls/>
        <c:axId val="122057472"/>
        <c:axId val="122059008"/>
      </c:barChart>
      <c:catAx>
        <c:axId val="122057472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22059008"/>
        <c:crosses val="autoZero"/>
        <c:auto val="1"/>
        <c:lblAlgn val="ctr"/>
        <c:lblOffset val="100"/>
        <c:tickLblSkip val="1"/>
      </c:catAx>
      <c:valAx>
        <c:axId val="122059008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22057472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'IDFC LCF'!$X$8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6BF-43C0-9EF0-9EFD54CFC3EB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6BF-43C0-9EF0-9EFD54CFC3EB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6BF-43C0-9EF0-9EFD54CFC3EB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6BF-43C0-9EF0-9EFD54CFC3EB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6BF-43C0-9EF0-9EFD54CFC3EB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6BF-43C0-9EF0-9EFD54CFC3EB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26BF-43C0-9EF0-9EFD54CFC3EB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6BF-43C0-9EF0-9EFD54CFC3EB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26BF-43C0-9EF0-9EFD54CFC3EB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6BF-43C0-9EF0-9EFD54CFC3EB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26BF-43C0-9EF0-9EFD54CFC3EB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26BF-43C0-9EF0-9EFD54CFC3EB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26BF-43C0-9EF0-9EFD54CFC3EB}"/>
                </c:ext>
              </c:extLst>
            </c:dLbl>
            <c:dLbl>
              <c:idx val="13"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26BF-43C0-9EF0-9EFD54CFC3E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'IDFC LCF'!$W$9:$W$21</c:f>
              <c:strCache>
                <c:ptCount val="13"/>
                <c:pt idx="0">
                  <c:v>Banks</c:v>
                </c:pt>
                <c:pt idx="1">
                  <c:v>Software</c:v>
                </c:pt>
                <c:pt idx="2">
                  <c:v>Consumer Non Durables</c:v>
                </c:pt>
                <c:pt idx="3">
                  <c:v>Petroleum Products</c:v>
                </c:pt>
                <c:pt idx="4">
                  <c:v>Pharmaceuticals</c:v>
                </c:pt>
                <c:pt idx="5">
                  <c:v>Auto</c:v>
                </c:pt>
                <c:pt idx="6">
                  <c:v>Auto Ancillaries</c:v>
                </c:pt>
                <c:pt idx="7">
                  <c:v>Consumer Durables</c:v>
                </c:pt>
                <c:pt idx="8">
                  <c:v>Chemicals</c:v>
                </c:pt>
                <c:pt idx="9">
                  <c:v>Retailing</c:v>
                </c:pt>
                <c:pt idx="10">
                  <c:v>Construction Project</c:v>
                </c:pt>
                <c:pt idx="11">
                  <c:v>Finance</c:v>
                </c:pt>
                <c:pt idx="12">
                  <c:v>Cement</c:v>
                </c:pt>
              </c:strCache>
            </c:strRef>
          </c:cat>
          <c:val>
            <c:numRef>
              <c:f>'IDFC LCF'!$X$9:$X$21</c:f>
              <c:numCache>
                <c:formatCode>0.00%</c:formatCode>
                <c:ptCount val="13"/>
                <c:pt idx="0">
                  <c:v>0.27503500000000003</c:v>
                </c:pt>
                <c:pt idx="1">
                  <c:v>0.17424400000000001</c:v>
                </c:pt>
                <c:pt idx="2">
                  <c:v>0.16810800000000001</c:v>
                </c:pt>
                <c:pt idx="3">
                  <c:v>8.5507E-2</c:v>
                </c:pt>
                <c:pt idx="4">
                  <c:v>7.7016000000000001E-2</c:v>
                </c:pt>
                <c:pt idx="5">
                  <c:v>5.4489999999999997E-2</c:v>
                </c:pt>
                <c:pt idx="6">
                  <c:v>3.2120999999999997E-2</c:v>
                </c:pt>
                <c:pt idx="7">
                  <c:v>2.6488999999999999E-2</c:v>
                </c:pt>
                <c:pt idx="8">
                  <c:v>2.4184999999999998E-2</c:v>
                </c:pt>
                <c:pt idx="9">
                  <c:v>1.6670000000000001E-2</c:v>
                </c:pt>
                <c:pt idx="10">
                  <c:v>1.1259999999999999E-2</c:v>
                </c:pt>
                <c:pt idx="11">
                  <c:v>1.0834E-2</c:v>
                </c:pt>
                <c:pt idx="12">
                  <c:v>5.0179999999999999E-3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26BF-43C0-9EF0-9EFD54CFC3EB}"/>
            </c:ext>
          </c:extLst>
        </c:ser>
        <c:dLbls/>
        <c:axId val="122172544"/>
        <c:axId val="122174080"/>
      </c:barChart>
      <c:catAx>
        <c:axId val="122172544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22174080"/>
        <c:crosses val="autoZero"/>
        <c:auto val="1"/>
        <c:lblAlgn val="ctr"/>
        <c:lblOffset val="100"/>
        <c:tickLblSkip val="1"/>
      </c:catAx>
      <c:valAx>
        <c:axId val="122174080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22172544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>
        <c:manualLayout>
          <c:layoutTarget val="inner"/>
          <c:xMode val="edge"/>
          <c:yMode val="edge"/>
          <c:x val="2.3809523809523812E-2"/>
          <c:y val="1.6913319238900805E-2"/>
          <c:w val="0.96726190476189999"/>
          <c:h val="0.56936192172594846"/>
        </c:manualLayout>
      </c:layout>
      <c:barChart>
        <c:barDir val="col"/>
        <c:grouping val="clustered"/>
        <c:ser>
          <c:idx val="0"/>
          <c:order val="0"/>
          <c:tx>
            <c:strRef>
              <c:f>'IDFC FEF'!$X$7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BD1-4A17-94CA-06A0AED64B3E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BD1-4A17-94CA-06A0AED64B3E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2BD1-4A17-94CA-06A0AED64B3E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2BD1-4A17-94CA-06A0AED64B3E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2BD1-4A17-94CA-06A0AED64B3E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2BD1-4A17-94CA-06A0AED64B3E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2BD1-4A17-94CA-06A0AED64B3E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2BD1-4A17-94CA-06A0AED64B3E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2BD1-4A17-94CA-06A0AED64B3E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2BD1-4A17-94CA-06A0AED64B3E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2BD1-4A17-94CA-06A0AED64B3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'IDFC FEF'!$W$8:$W$19</c:f>
              <c:strCache>
                <c:ptCount val="12"/>
                <c:pt idx="0">
                  <c:v>Banks</c:v>
                </c:pt>
                <c:pt idx="1">
                  <c:v>Consumer Non Durables</c:v>
                </c:pt>
                <c:pt idx="2">
                  <c:v>Software</c:v>
                </c:pt>
                <c:pt idx="3">
                  <c:v>Finance</c:v>
                </c:pt>
                <c:pt idx="4">
                  <c:v>Pharmaceuticals</c:v>
                </c:pt>
                <c:pt idx="5">
                  <c:v>Auto</c:v>
                </c:pt>
                <c:pt idx="6">
                  <c:v>Auto Ancillaries</c:v>
                </c:pt>
                <c:pt idx="7">
                  <c:v>Petroleum Products</c:v>
                </c:pt>
                <c:pt idx="8">
                  <c:v>Chemicals</c:v>
                </c:pt>
                <c:pt idx="9">
                  <c:v>Commercial Services</c:v>
                </c:pt>
                <c:pt idx="10">
                  <c:v>Retailing</c:v>
                </c:pt>
                <c:pt idx="11">
                  <c:v>Textile Products</c:v>
                </c:pt>
              </c:strCache>
            </c:strRef>
          </c:cat>
          <c:val>
            <c:numRef>
              <c:f>'IDFC FEF'!$X$8:$X$19</c:f>
              <c:numCache>
                <c:formatCode>0.00%</c:formatCode>
                <c:ptCount val="12"/>
                <c:pt idx="0">
                  <c:v>0.23783899999999999</c:v>
                </c:pt>
                <c:pt idx="1">
                  <c:v>0.14003300000000002</c:v>
                </c:pt>
                <c:pt idx="2">
                  <c:v>0.137129</c:v>
                </c:pt>
                <c:pt idx="3">
                  <c:v>9.0842000000000006E-2</c:v>
                </c:pt>
                <c:pt idx="4">
                  <c:v>8.5024000000000002E-2</c:v>
                </c:pt>
                <c:pt idx="5">
                  <c:v>7.9854000000000008E-2</c:v>
                </c:pt>
                <c:pt idx="6">
                  <c:v>5.867E-2</c:v>
                </c:pt>
                <c:pt idx="7">
                  <c:v>5.5451E-2</c:v>
                </c:pt>
                <c:pt idx="8">
                  <c:v>4.2065999999999999E-2</c:v>
                </c:pt>
                <c:pt idx="9">
                  <c:v>3.2767999999999999E-2</c:v>
                </c:pt>
                <c:pt idx="10">
                  <c:v>1.9889E-2</c:v>
                </c:pt>
                <c:pt idx="11">
                  <c:v>1.1837E-2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2BD1-4A17-94CA-06A0AED64B3E}"/>
            </c:ext>
          </c:extLst>
        </c:ser>
        <c:dLbls/>
        <c:axId val="122335232"/>
        <c:axId val="122336768"/>
      </c:barChart>
      <c:catAx>
        <c:axId val="122335232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22336768"/>
        <c:crosses val="autoZero"/>
        <c:auto val="1"/>
        <c:lblAlgn val="ctr"/>
        <c:lblOffset val="100"/>
        <c:tickLblSkip val="1"/>
      </c:catAx>
      <c:valAx>
        <c:axId val="122336768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22335232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'IDFC SVF'!$X$8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959-4113-A828-380504E10B8A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4959-4113-A828-380504E10B8A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959-4113-A828-380504E10B8A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4959-4113-A828-380504E10B8A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4959-4113-A828-380504E10B8A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4959-4113-A828-380504E10B8A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4959-4113-A828-380504E10B8A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4959-4113-A828-380504E10B8A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4959-4113-A828-380504E10B8A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4959-4113-A828-380504E10B8A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4959-4113-A828-380504E10B8A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4959-4113-A828-380504E10B8A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4959-4113-A828-380504E10B8A}"/>
                </c:ext>
              </c:extLst>
            </c:dLbl>
            <c:dLbl>
              <c:idx val="1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4959-4113-A828-380504E10B8A}"/>
                </c:ext>
              </c:extLst>
            </c:dLbl>
            <c:dLbl>
              <c:idx val="1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4959-4113-A828-380504E10B8A}"/>
                </c:ext>
              </c:extLst>
            </c:dLbl>
            <c:dLbl>
              <c:idx val="1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4959-4113-A828-380504E10B8A}"/>
                </c:ext>
              </c:extLst>
            </c:dLbl>
            <c:dLbl>
              <c:idx val="1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4959-4113-A828-380504E10B8A}"/>
                </c:ext>
              </c:extLst>
            </c:dLbl>
            <c:dLbl>
              <c:idx val="1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4959-4113-A828-380504E10B8A}"/>
                </c:ext>
              </c:extLst>
            </c:dLbl>
            <c:dLbl>
              <c:idx val="1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4959-4113-A828-380504E10B8A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'IDFC SVF'!$W$9:$W$29</c:f>
              <c:strCache>
                <c:ptCount val="21"/>
                <c:pt idx="0">
                  <c:v>Auto Ancillaries</c:v>
                </c:pt>
                <c:pt idx="1">
                  <c:v>Banks</c:v>
                </c:pt>
                <c:pt idx="2">
                  <c:v>Finance</c:v>
                </c:pt>
                <c:pt idx="3">
                  <c:v>Retailing</c:v>
                </c:pt>
                <c:pt idx="4">
                  <c:v>Cement</c:v>
                </c:pt>
                <c:pt idx="5">
                  <c:v>Pharmaceuticals</c:v>
                </c:pt>
                <c:pt idx="6">
                  <c:v>Construction Project</c:v>
                </c:pt>
                <c:pt idx="7">
                  <c:v>Software</c:v>
                </c:pt>
                <c:pt idx="8">
                  <c:v>Hotels, Resorts And Other Recreational Activities</c:v>
                </c:pt>
                <c:pt idx="9">
                  <c:v>Ferrous Metals</c:v>
                </c:pt>
                <c:pt idx="10">
                  <c:v>Power</c:v>
                </c:pt>
                <c:pt idx="11">
                  <c:v>Consumer Durables</c:v>
                </c:pt>
                <c:pt idx="12">
                  <c:v>Textile Products</c:v>
                </c:pt>
                <c:pt idx="13">
                  <c:v>Transportation</c:v>
                </c:pt>
                <c:pt idx="14">
                  <c:v>Industrial Capital Goods</c:v>
                </c:pt>
                <c:pt idx="15">
                  <c:v>Consumer Non Durables</c:v>
                </c:pt>
                <c:pt idx="16">
                  <c:v>Industrial Products</c:v>
                </c:pt>
                <c:pt idx="17">
                  <c:v>Textiles - Cotton</c:v>
                </c:pt>
                <c:pt idx="18">
                  <c:v>Petroleum Products</c:v>
                </c:pt>
                <c:pt idx="19">
                  <c:v>Chemicals</c:v>
                </c:pt>
                <c:pt idx="20">
                  <c:v>Gas</c:v>
                </c:pt>
              </c:strCache>
            </c:strRef>
          </c:cat>
          <c:val>
            <c:numRef>
              <c:f>'IDFC SVF'!$X$9:$X$29</c:f>
              <c:numCache>
                <c:formatCode>0.00%</c:formatCode>
                <c:ptCount val="21"/>
                <c:pt idx="0">
                  <c:v>0.11139600000000001</c:v>
                </c:pt>
                <c:pt idx="1">
                  <c:v>0.10848699999999999</c:v>
                </c:pt>
                <c:pt idx="2">
                  <c:v>8.9313000000000003E-2</c:v>
                </c:pt>
                <c:pt idx="3">
                  <c:v>8.4657999999999997E-2</c:v>
                </c:pt>
                <c:pt idx="4">
                  <c:v>6.7382999999999998E-2</c:v>
                </c:pt>
                <c:pt idx="5">
                  <c:v>4.7650999999999999E-2</c:v>
                </c:pt>
                <c:pt idx="6">
                  <c:v>4.6986E-2</c:v>
                </c:pt>
                <c:pt idx="7">
                  <c:v>3.8584E-2</c:v>
                </c:pt>
                <c:pt idx="8">
                  <c:v>3.5962000000000001E-2</c:v>
                </c:pt>
                <c:pt idx="9">
                  <c:v>3.4603999999999996E-2</c:v>
                </c:pt>
                <c:pt idx="10">
                  <c:v>3.3338999999999994E-2</c:v>
                </c:pt>
                <c:pt idx="11">
                  <c:v>2.9853000000000001E-2</c:v>
                </c:pt>
                <c:pt idx="12">
                  <c:v>2.9794000000000001E-2</c:v>
                </c:pt>
                <c:pt idx="13">
                  <c:v>2.9708999999999999E-2</c:v>
                </c:pt>
                <c:pt idx="14">
                  <c:v>2.8863E-2</c:v>
                </c:pt>
                <c:pt idx="15">
                  <c:v>2.3895000000000003E-2</c:v>
                </c:pt>
                <c:pt idx="16">
                  <c:v>2.2015000000000003E-2</c:v>
                </c:pt>
                <c:pt idx="17">
                  <c:v>2.1853999999999998E-2</c:v>
                </c:pt>
                <c:pt idx="18">
                  <c:v>1.5873999999999999E-2</c:v>
                </c:pt>
                <c:pt idx="19">
                  <c:v>1.3129E-2</c:v>
                </c:pt>
                <c:pt idx="20">
                  <c:v>1.1302E-2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4959-4113-A828-380504E10B8A}"/>
            </c:ext>
          </c:extLst>
        </c:ser>
        <c:dLbls/>
        <c:axId val="125650432"/>
        <c:axId val="125651968"/>
      </c:barChart>
      <c:catAx>
        <c:axId val="125650432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25651968"/>
        <c:crosses val="autoZero"/>
        <c:auto val="1"/>
        <c:lblAlgn val="ctr"/>
        <c:lblOffset val="100"/>
        <c:tickLblSkip val="1"/>
      </c:catAx>
      <c:valAx>
        <c:axId val="125651968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25650432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'IDFC MCF'!$X$8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4C6-47B0-A7D9-9F74CCA544B7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4C6-47B0-A7D9-9F74CCA544B7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4C6-47B0-A7D9-9F74CCA544B7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4C6-47B0-A7D9-9F74CCA544B7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4C6-47B0-A7D9-9F74CCA544B7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4C6-47B0-A7D9-9F74CCA544B7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A4C6-47B0-A7D9-9F74CCA544B7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4C6-47B0-A7D9-9F74CCA544B7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A4C6-47B0-A7D9-9F74CCA544B7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A4C6-47B0-A7D9-9F74CCA544B7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A4C6-47B0-A7D9-9F74CCA544B7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A4C6-47B0-A7D9-9F74CCA544B7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A4C6-47B0-A7D9-9F74CCA544B7}"/>
                </c:ext>
              </c:extLst>
            </c:dLbl>
            <c:dLbl>
              <c:idx val="1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4C6-47B0-A7D9-9F74CCA544B7}"/>
                </c:ext>
              </c:extLst>
            </c:dLbl>
            <c:dLbl>
              <c:idx val="1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A4C6-47B0-A7D9-9F74CCA544B7}"/>
                </c:ext>
              </c:extLst>
            </c:dLbl>
            <c:dLbl>
              <c:idx val="1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A4C6-47B0-A7D9-9F74CCA544B7}"/>
                </c:ext>
              </c:extLst>
            </c:dLbl>
            <c:dLbl>
              <c:idx val="1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4C6-47B0-A7D9-9F74CCA544B7}"/>
                </c:ext>
              </c:extLst>
            </c:dLbl>
            <c:dLbl>
              <c:idx val="1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A4C6-47B0-A7D9-9F74CCA544B7}"/>
                </c:ext>
              </c:extLst>
            </c:dLbl>
            <c:dLbl>
              <c:idx val="1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A4C6-47B0-A7D9-9F74CCA544B7}"/>
                </c:ext>
              </c:extLst>
            </c:dLbl>
            <c:dLbl>
              <c:idx val="1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A4C6-47B0-A7D9-9F74CCA544B7}"/>
                </c:ext>
              </c:extLst>
            </c:dLbl>
            <c:dLbl>
              <c:idx val="2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A4C6-47B0-A7D9-9F74CCA544B7}"/>
                </c:ext>
              </c:extLst>
            </c:dLbl>
            <c:dLbl>
              <c:idx val="2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A4C6-47B0-A7D9-9F74CCA544B7}"/>
                </c:ext>
              </c:extLst>
            </c:dLbl>
            <c:dLbl>
              <c:idx val="22"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4C6-47B0-A7D9-9F74CCA544B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'IDFC MCF'!$W$9:$W$30</c:f>
              <c:strCache>
                <c:ptCount val="22"/>
                <c:pt idx="0">
                  <c:v>Banks</c:v>
                </c:pt>
                <c:pt idx="1">
                  <c:v>Finance</c:v>
                </c:pt>
                <c:pt idx="2">
                  <c:v>Chemicals</c:v>
                </c:pt>
                <c:pt idx="3">
                  <c:v>Consumer Non Durables</c:v>
                </c:pt>
                <c:pt idx="4">
                  <c:v>Industrial Products</c:v>
                </c:pt>
                <c:pt idx="5">
                  <c:v>Pharmaceuticals</c:v>
                </c:pt>
                <c:pt idx="6">
                  <c:v>Consumer Durables</c:v>
                </c:pt>
                <c:pt idx="7">
                  <c:v>Construction Project</c:v>
                </c:pt>
                <c:pt idx="8">
                  <c:v>Cement</c:v>
                </c:pt>
                <c:pt idx="9">
                  <c:v>Auto Ancillaries</c:v>
                </c:pt>
                <c:pt idx="10">
                  <c:v>Retailing</c:v>
                </c:pt>
                <c:pt idx="11">
                  <c:v>Commercial Services</c:v>
                </c:pt>
                <c:pt idx="12">
                  <c:v>Software</c:v>
                </c:pt>
                <c:pt idx="13">
                  <c:v>IT Consulting &amp; Other Services</c:v>
                </c:pt>
                <c:pt idx="14">
                  <c:v>Transportation</c:v>
                </c:pt>
                <c:pt idx="15">
                  <c:v>Media &amp; Entertainment</c:v>
                </c:pt>
                <c:pt idx="16">
                  <c:v>Industrial Capital Goods</c:v>
                </c:pt>
                <c:pt idx="17">
                  <c:v>Construction</c:v>
                </c:pt>
                <c:pt idx="18">
                  <c:v>Textiles - Cotton</c:v>
                </c:pt>
                <c:pt idx="19">
                  <c:v>Textile Products</c:v>
                </c:pt>
                <c:pt idx="20">
                  <c:v>Auto</c:v>
                </c:pt>
                <c:pt idx="21">
                  <c:v>Ferrous Metals</c:v>
                </c:pt>
              </c:strCache>
            </c:strRef>
          </c:cat>
          <c:val>
            <c:numRef>
              <c:f>'IDFC MCF'!$X$9:$X$30</c:f>
              <c:numCache>
                <c:formatCode>0.00%</c:formatCode>
                <c:ptCount val="22"/>
                <c:pt idx="0">
                  <c:v>0.17414100000000002</c:v>
                </c:pt>
                <c:pt idx="1">
                  <c:v>0.10953599999999999</c:v>
                </c:pt>
                <c:pt idx="2">
                  <c:v>7.7563000000000007E-2</c:v>
                </c:pt>
                <c:pt idx="3">
                  <c:v>7.5474999999999987E-2</c:v>
                </c:pt>
                <c:pt idx="4">
                  <c:v>6.9523999999999989E-2</c:v>
                </c:pt>
                <c:pt idx="5">
                  <c:v>6.2842999999999996E-2</c:v>
                </c:pt>
                <c:pt idx="6">
                  <c:v>6.0680999999999992E-2</c:v>
                </c:pt>
                <c:pt idx="7">
                  <c:v>4.5481999999999995E-2</c:v>
                </c:pt>
                <c:pt idx="8">
                  <c:v>4.4319999999999998E-2</c:v>
                </c:pt>
                <c:pt idx="9">
                  <c:v>4.3047000000000002E-2</c:v>
                </c:pt>
                <c:pt idx="10">
                  <c:v>3.9550000000000002E-2</c:v>
                </c:pt>
                <c:pt idx="11">
                  <c:v>3.7865000000000003E-2</c:v>
                </c:pt>
                <c:pt idx="12">
                  <c:v>2.2998999999999999E-2</c:v>
                </c:pt>
                <c:pt idx="13">
                  <c:v>2.0206999999999999E-2</c:v>
                </c:pt>
                <c:pt idx="14">
                  <c:v>2.0069E-2</c:v>
                </c:pt>
                <c:pt idx="15">
                  <c:v>1.8289E-2</c:v>
                </c:pt>
                <c:pt idx="16">
                  <c:v>1.5252999999999999E-2</c:v>
                </c:pt>
                <c:pt idx="17">
                  <c:v>1.3436E-2</c:v>
                </c:pt>
                <c:pt idx="18">
                  <c:v>1.0422000000000001E-2</c:v>
                </c:pt>
                <c:pt idx="19">
                  <c:v>7.5810000000000001E-3</c:v>
                </c:pt>
                <c:pt idx="20">
                  <c:v>6.8649999999999996E-3</c:v>
                </c:pt>
                <c:pt idx="21">
                  <c:v>5.9480000000000002E-3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A4C6-47B0-A7D9-9F74CCA544B7}"/>
            </c:ext>
          </c:extLst>
        </c:ser>
        <c:dLbls/>
        <c:axId val="124253696"/>
        <c:axId val="124255232"/>
      </c:barChart>
      <c:catAx>
        <c:axId val="124253696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24255232"/>
        <c:crosses val="autoZero"/>
        <c:auto val="1"/>
        <c:lblAlgn val="ctr"/>
        <c:lblOffset val="100"/>
        <c:tickLblSkip val="1"/>
      </c:catAx>
      <c:valAx>
        <c:axId val="124255232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2425369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>
        <c:manualLayout>
          <c:layoutTarget val="inner"/>
          <c:xMode val="edge"/>
          <c:yMode val="edge"/>
          <c:x val="2.3809523809523812E-2"/>
          <c:y val="1.6913319238900812E-2"/>
          <c:w val="0.96726190476189999"/>
          <c:h val="0.71575371377546881"/>
        </c:manualLayout>
      </c:layout>
      <c:barChart>
        <c:barDir val="col"/>
        <c:grouping val="clustered"/>
        <c:ser>
          <c:idx val="0"/>
          <c:order val="0"/>
          <c:tx>
            <c:strRef>
              <c:f>'IDFC IF'!$X$7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418-43C6-9B13-9F9B4F46A06F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418-43C6-9B13-9F9B4F46A06F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418-43C6-9B13-9F9B4F46A06F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418-43C6-9B13-9F9B4F46A06F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418-43C6-9B13-9F9B4F46A06F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418-43C6-9B13-9F9B4F46A06F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5418-43C6-9B13-9F9B4F46A06F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418-43C6-9B13-9F9B4F46A06F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5418-43C6-9B13-9F9B4F46A06F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418-43C6-9B13-9F9B4F46A06F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5418-43C6-9B13-9F9B4F46A06F}"/>
                </c:ext>
              </c:extLst>
            </c:dLbl>
            <c:dLbl>
              <c:idx val="14"/>
              <c:numFmt formatCode="0.00%" sourceLinked="0"/>
              <c:spPr/>
              <c:txPr>
                <a:bodyPr/>
                <a:lstStyle/>
                <a:p>
                  <a:pPr>
                    <a:defRPr lang="en-IN"/>
                  </a:pPr>
                  <a:endParaRPr lang="en-US"/>
                </a:p>
              </c:txPr>
            </c:dLbl>
            <c:dLbl>
              <c:idx val="15"/>
              <c:numFmt formatCode="0.00%" sourceLinked="0"/>
              <c:spPr/>
              <c:txPr>
                <a:bodyPr/>
                <a:lstStyle/>
                <a:p>
                  <a:pPr>
                    <a:defRPr lang="en-IN"/>
                  </a:pPr>
                  <a:endParaRPr lang="en-US"/>
                </a:p>
              </c:txPr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'IDFC IF'!$W$8:$W$20</c:f>
              <c:strCache>
                <c:ptCount val="13"/>
                <c:pt idx="0">
                  <c:v>Construction Project</c:v>
                </c:pt>
                <c:pt idx="1">
                  <c:v>Transportation</c:v>
                </c:pt>
                <c:pt idx="2">
                  <c:v>Construction</c:v>
                </c:pt>
                <c:pt idx="3">
                  <c:v>Cement</c:v>
                </c:pt>
                <c:pt idx="4">
                  <c:v>Power</c:v>
                </c:pt>
                <c:pt idx="5">
                  <c:v>Gas</c:v>
                </c:pt>
                <c:pt idx="6">
                  <c:v>Industrial Capital Goods</c:v>
                </c:pt>
                <c:pt idx="7">
                  <c:v>Industrial Products</c:v>
                </c:pt>
                <c:pt idx="8">
                  <c:v>Ferrous Metals</c:v>
                </c:pt>
                <c:pt idx="9">
                  <c:v>Telecom -  Equipment &amp; Accessories</c:v>
                </c:pt>
                <c:pt idx="10">
                  <c:v>Consumer Durables</c:v>
                </c:pt>
                <c:pt idx="11">
                  <c:v>Hotels, Resorts And Other Recreational Activities</c:v>
                </c:pt>
                <c:pt idx="12">
                  <c:v>Finance</c:v>
                </c:pt>
              </c:strCache>
            </c:strRef>
          </c:cat>
          <c:val>
            <c:numRef>
              <c:f>'IDFC IF'!$X$8:$X$20</c:f>
              <c:numCache>
                <c:formatCode>0.00%</c:formatCode>
                <c:ptCount val="13"/>
                <c:pt idx="0">
                  <c:v>0.19693999999999998</c:v>
                </c:pt>
                <c:pt idx="1">
                  <c:v>0.15062</c:v>
                </c:pt>
                <c:pt idx="2">
                  <c:v>0.12517500000000001</c:v>
                </c:pt>
                <c:pt idx="3">
                  <c:v>0.10650599999999999</c:v>
                </c:pt>
                <c:pt idx="4">
                  <c:v>9.4963000000000006E-2</c:v>
                </c:pt>
                <c:pt idx="5">
                  <c:v>7.3566999999999994E-2</c:v>
                </c:pt>
                <c:pt idx="6">
                  <c:v>6.1020999999999999E-2</c:v>
                </c:pt>
                <c:pt idx="7">
                  <c:v>5.4546999999999998E-2</c:v>
                </c:pt>
                <c:pt idx="8">
                  <c:v>4.5144999999999998E-2</c:v>
                </c:pt>
                <c:pt idx="9">
                  <c:v>1.9219E-2</c:v>
                </c:pt>
                <c:pt idx="10">
                  <c:v>1.8334E-2</c:v>
                </c:pt>
                <c:pt idx="11">
                  <c:v>1.2048E-2</c:v>
                </c:pt>
                <c:pt idx="12">
                  <c:v>1.34E-3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5418-43C6-9B13-9F9B4F46A06F}"/>
            </c:ext>
          </c:extLst>
        </c:ser>
        <c:dLbls/>
        <c:axId val="122278656"/>
        <c:axId val="122280192"/>
      </c:barChart>
      <c:catAx>
        <c:axId val="122278656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22280192"/>
        <c:crosses val="autoZero"/>
        <c:auto val="1"/>
        <c:lblAlgn val="ctr"/>
        <c:lblOffset val="100"/>
        <c:tickLblSkip val="1"/>
      </c:catAx>
      <c:valAx>
        <c:axId val="122280192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22278656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44" l="0.70000000000000062" r="0.70000000000000062" t="0.750000000000005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>
        <c:manualLayout>
          <c:layoutTarget val="inner"/>
          <c:xMode val="edge"/>
          <c:yMode val="edge"/>
          <c:x val="2.6666666666666672E-2"/>
          <c:y val="1.8625275427574729E-2"/>
          <c:w val="0.9674074074074076"/>
          <c:h val="0.70582053707929604"/>
        </c:manualLayout>
      </c:layout>
      <c:barChart>
        <c:barDir val="col"/>
        <c:grouping val="clustered"/>
        <c:ser>
          <c:idx val="0"/>
          <c:order val="0"/>
          <c:tx>
            <c:strRef>
              <c:f>'IDFC-TAF'!$X$7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24F-4540-9025-B40643C5A880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24F-4540-9025-B40643C5A880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24F-4540-9025-B40643C5A880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24F-4540-9025-B40643C5A880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24F-4540-9025-B40643C5A880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24F-4540-9025-B40643C5A880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24F-4540-9025-B40643C5A880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24F-4540-9025-B40643C5A880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924F-4540-9025-B40643C5A880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924F-4540-9025-B40643C5A880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924F-4540-9025-B40643C5A880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924F-4540-9025-B40643C5A880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924F-4540-9025-B40643C5A880}"/>
                </c:ext>
              </c:extLst>
            </c:dLbl>
            <c:dLbl>
              <c:idx val="1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24F-4540-9025-B40643C5A88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'IDFC-TAF'!$W$8:$W$29</c:f>
              <c:strCache>
                <c:ptCount val="22"/>
                <c:pt idx="0">
                  <c:v>Banks</c:v>
                </c:pt>
                <c:pt idx="1">
                  <c:v>Software</c:v>
                </c:pt>
                <c:pt idx="2">
                  <c:v>Finance</c:v>
                </c:pt>
                <c:pt idx="3">
                  <c:v>Consumer Non Durables</c:v>
                </c:pt>
                <c:pt idx="4">
                  <c:v>Auto Ancillaries</c:v>
                </c:pt>
                <c:pt idx="5">
                  <c:v>Pharmaceuticals</c:v>
                </c:pt>
                <c:pt idx="6">
                  <c:v>Petroleum Products</c:v>
                </c:pt>
                <c:pt idx="7">
                  <c:v>Retailing</c:v>
                </c:pt>
                <c:pt idx="8">
                  <c:v>Consumer Durables</c:v>
                </c:pt>
                <c:pt idx="9">
                  <c:v>Cement</c:v>
                </c:pt>
                <c:pt idx="10">
                  <c:v>Construction Project</c:v>
                </c:pt>
                <c:pt idx="11">
                  <c:v>Auto</c:v>
                </c:pt>
                <c:pt idx="12">
                  <c:v>Industrial Capital Goods</c:v>
                </c:pt>
                <c:pt idx="13">
                  <c:v>Industrial Products</c:v>
                </c:pt>
                <c:pt idx="14">
                  <c:v>Power</c:v>
                </c:pt>
                <c:pt idx="15">
                  <c:v>Construction</c:v>
                </c:pt>
                <c:pt idx="16">
                  <c:v>Chemicals</c:v>
                </c:pt>
                <c:pt idx="17">
                  <c:v>Ferrous Metals</c:v>
                </c:pt>
                <c:pt idx="18">
                  <c:v>Non - Ferrous Metals</c:v>
                </c:pt>
                <c:pt idx="19">
                  <c:v>Transportation</c:v>
                </c:pt>
                <c:pt idx="20">
                  <c:v>Gas</c:v>
                </c:pt>
                <c:pt idx="21">
                  <c:v>Hotels, Resorts And Other Recreational Activities</c:v>
                </c:pt>
              </c:strCache>
            </c:strRef>
          </c:cat>
          <c:val>
            <c:numRef>
              <c:f>'IDFC-TAF'!$X$8:$X$29</c:f>
              <c:numCache>
                <c:formatCode>0.00%</c:formatCode>
                <c:ptCount val="22"/>
                <c:pt idx="0">
                  <c:v>0.17671700000000001</c:v>
                </c:pt>
                <c:pt idx="1">
                  <c:v>8.4682999999999994E-2</c:v>
                </c:pt>
                <c:pt idx="2">
                  <c:v>7.3722999999999997E-2</c:v>
                </c:pt>
                <c:pt idx="3">
                  <c:v>6.8448999999999996E-2</c:v>
                </c:pt>
                <c:pt idx="4">
                  <c:v>5.7362000000000003E-2</c:v>
                </c:pt>
                <c:pt idx="5">
                  <c:v>5.7266999999999998E-2</c:v>
                </c:pt>
                <c:pt idx="6">
                  <c:v>5.6346E-2</c:v>
                </c:pt>
                <c:pt idx="7">
                  <c:v>5.3532000000000003E-2</c:v>
                </c:pt>
                <c:pt idx="8">
                  <c:v>3.6219000000000001E-2</c:v>
                </c:pt>
                <c:pt idx="9">
                  <c:v>3.1049999999999998E-2</c:v>
                </c:pt>
                <c:pt idx="10">
                  <c:v>2.5687999999999999E-2</c:v>
                </c:pt>
                <c:pt idx="11">
                  <c:v>2.5293E-2</c:v>
                </c:pt>
                <c:pt idx="12">
                  <c:v>2.4812000000000001E-2</c:v>
                </c:pt>
                <c:pt idx="13">
                  <c:v>2.4041E-2</c:v>
                </c:pt>
                <c:pt idx="14">
                  <c:v>2.1706E-2</c:v>
                </c:pt>
                <c:pt idx="15">
                  <c:v>1.9878E-2</c:v>
                </c:pt>
                <c:pt idx="16">
                  <c:v>1.9859999999999999E-2</c:v>
                </c:pt>
                <c:pt idx="17">
                  <c:v>1.9665000000000002E-2</c:v>
                </c:pt>
                <c:pt idx="18">
                  <c:v>1.9210000000000001E-2</c:v>
                </c:pt>
                <c:pt idx="19">
                  <c:v>1.4805E-2</c:v>
                </c:pt>
                <c:pt idx="20">
                  <c:v>1.4562E-2</c:v>
                </c:pt>
                <c:pt idx="21">
                  <c:v>9.1430000000000001E-3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924F-4540-9025-B40643C5A880}"/>
            </c:ext>
          </c:extLst>
        </c:ser>
        <c:dLbls/>
        <c:axId val="126466304"/>
        <c:axId val="126468096"/>
      </c:barChart>
      <c:catAx>
        <c:axId val="126466304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26468096"/>
        <c:crosses val="autoZero"/>
        <c:auto val="1"/>
        <c:lblAlgn val="ctr"/>
        <c:lblOffset val="100"/>
        <c:tickLblSkip val="1"/>
      </c:catAx>
      <c:valAx>
        <c:axId val="126468096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26466304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plotArea>
      <c:layout/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0.14969184905698446"/>
                  <c:y val="0.16485101682433581"/>
                </c:manualLayout>
              </c:layout>
              <c:showCatName val="1"/>
              <c:showPercent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170-4271-8DA8-31D1E9314C38}"/>
                </c:ext>
              </c:extLst>
            </c:dLbl>
            <c:dLbl>
              <c:idx val="1"/>
              <c:layout>
                <c:manualLayout>
                  <c:x val="-0.15541463567054561"/>
                  <c:y val="-8.4507042253521764E-2"/>
                </c:manualLayout>
              </c:layout>
              <c:showCatName val="1"/>
              <c:showPercent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170-4271-8DA8-31D1E9314C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CatName val="1"/>
            <c:showPercent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'IDFC-AF'!$S$8:$S$9</c:f>
              <c:strCache>
                <c:ptCount val="2"/>
                <c:pt idx="0">
                  <c:v>Total Hedged Equity</c:v>
                </c:pt>
                <c:pt idx="1">
                  <c:v>Total Debt</c:v>
                </c:pt>
              </c:strCache>
            </c:strRef>
          </c:cat>
          <c:val>
            <c:numRef>
              <c:f>'IDFC-AF'!$T$8:$T$9</c:f>
              <c:numCache>
                <c:formatCode>0.00%</c:formatCode>
                <c:ptCount val="2"/>
                <c:pt idx="0" formatCode="#,##0.00%_);\(#,##0.00%\)">
                  <c:v>0.67559100000000005</c:v>
                </c:pt>
                <c:pt idx="1">
                  <c:v>0.32440899999999995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170-4271-8DA8-31D1E9314C38}"/>
            </c:ext>
          </c:extLst>
        </c:ser>
        <c:dLbls/>
        <c:firstSliceAng val="0"/>
        <c:holeSize val="50"/>
      </c:doughnutChart>
      <c:spPr>
        <a:noFill/>
        <a:ln w="25400">
          <a:noFill/>
        </a:ln>
      </c:spPr>
    </c:plotArea>
    <c:plotVisOnly val="1"/>
    <c:dispBlanksAs val="zero"/>
  </c:chart>
  <c:txPr>
    <a:bodyPr/>
    <a:lstStyle/>
    <a:p>
      <a:pPr>
        <a:defRPr sz="12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'IDFC DEF'!$X$7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77A7-4657-9CAC-8AA138010BEC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7A7-4657-9CAC-8AA138010BEC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77A7-4657-9CAC-8AA138010BEC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7A7-4657-9CAC-8AA138010BEC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7A7-4657-9CAC-8AA138010BEC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7A7-4657-9CAC-8AA138010BEC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7A7-4657-9CAC-8AA138010BEC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7A7-4657-9CAC-8AA138010BEC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77A7-4657-9CAC-8AA138010BEC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77A7-4657-9CAC-8AA138010BEC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77A7-4657-9CAC-8AA138010BEC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77A7-4657-9CAC-8AA138010BEC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77A7-4657-9CAC-8AA138010BEC}"/>
                </c:ext>
              </c:extLst>
            </c:dLbl>
            <c:dLbl>
              <c:idx val="1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77A7-4657-9CAC-8AA138010BEC}"/>
                </c:ext>
              </c:extLst>
            </c:dLbl>
            <c:dLbl>
              <c:idx val="1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77A7-4657-9CAC-8AA138010BEC}"/>
                </c:ext>
              </c:extLst>
            </c:dLbl>
            <c:dLbl>
              <c:idx val="1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77A7-4657-9CAC-8AA138010BEC}"/>
                </c:ext>
              </c:extLst>
            </c:dLbl>
            <c:dLbl>
              <c:idx val="1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77A7-4657-9CAC-8AA138010BEC}"/>
                </c:ext>
              </c:extLst>
            </c:dLbl>
            <c:dLbl>
              <c:idx val="1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77A7-4657-9CAC-8AA138010BEC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'IDFC DEF'!$W$8:$W$27</c:f>
              <c:strCache>
                <c:ptCount val="20"/>
                <c:pt idx="0">
                  <c:v>Banks</c:v>
                </c:pt>
                <c:pt idx="1">
                  <c:v>Software</c:v>
                </c:pt>
                <c:pt idx="2">
                  <c:v>Finance</c:v>
                </c:pt>
                <c:pt idx="3">
                  <c:v>Consumer Non Durables</c:v>
                </c:pt>
                <c:pt idx="4">
                  <c:v>Auto Ancillaries</c:v>
                </c:pt>
                <c:pt idx="5">
                  <c:v>Pharmaceuticals</c:v>
                </c:pt>
                <c:pt idx="6">
                  <c:v>Petroleum Products</c:v>
                </c:pt>
                <c:pt idx="7">
                  <c:v>Construction Project</c:v>
                </c:pt>
                <c:pt idx="8">
                  <c:v>Auto</c:v>
                </c:pt>
                <c:pt idx="9">
                  <c:v>Consumer Durables</c:v>
                </c:pt>
                <c:pt idx="10">
                  <c:v>Industrial Products</c:v>
                </c:pt>
                <c:pt idx="11">
                  <c:v>Cement</c:v>
                </c:pt>
                <c:pt idx="12">
                  <c:v>Ferrous Metals</c:v>
                </c:pt>
                <c:pt idx="13">
                  <c:v>Hotels, Resorts And Other Recreational Activities</c:v>
                </c:pt>
                <c:pt idx="14">
                  <c:v>Construction</c:v>
                </c:pt>
                <c:pt idx="15">
                  <c:v>Non - Ferrous Metals</c:v>
                </c:pt>
                <c:pt idx="16">
                  <c:v>Miscellaneous</c:v>
                </c:pt>
                <c:pt idx="17">
                  <c:v>Gas</c:v>
                </c:pt>
                <c:pt idx="18">
                  <c:v>Power</c:v>
                </c:pt>
                <c:pt idx="19">
                  <c:v>Retailing</c:v>
                </c:pt>
              </c:strCache>
            </c:strRef>
          </c:cat>
          <c:val>
            <c:numRef>
              <c:f>'IDFC DEF'!$X$8:$X$27</c:f>
              <c:numCache>
                <c:formatCode>0.00%</c:formatCode>
                <c:ptCount val="20"/>
                <c:pt idx="0">
                  <c:v>0.14862199999999998</c:v>
                </c:pt>
                <c:pt idx="1">
                  <c:v>8.1076000000000009E-2</c:v>
                </c:pt>
                <c:pt idx="2">
                  <c:v>7.8851000000000004E-2</c:v>
                </c:pt>
                <c:pt idx="3">
                  <c:v>7.8532999999999992E-2</c:v>
                </c:pt>
                <c:pt idx="4">
                  <c:v>5.3506000000000005E-2</c:v>
                </c:pt>
                <c:pt idx="5">
                  <c:v>4.8869000000000003E-2</c:v>
                </c:pt>
                <c:pt idx="6">
                  <c:v>4.0614999999999998E-2</c:v>
                </c:pt>
                <c:pt idx="7">
                  <c:v>3.2111000000000001E-2</c:v>
                </c:pt>
                <c:pt idx="8">
                  <c:v>2.9915999999999998E-2</c:v>
                </c:pt>
                <c:pt idx="9">
                  <c:v>1.9049999999999997E-2</c:v>
                </c:pt>
                <c:pt idx="10">
                  <c:v>1.6375000000000001E-2</c:v>
                </c:pt>
                <c:pt idx="11">
                  <c:v>1.0982E-2</c:v>
                </c:pt>
                <c:pt idx="12">
                  <c:v>5.9649999999999998E-3</c:v>
                </c:pt>
                <c:pt idx="13">
                  <c:v>5.5570000000000003E-3</c:v>
                </c:pt>
                <c:pt idx="14">
                  <c:v>5.548E-3</c:v>
                </c:pt>
                <c:pt idx="15">
                  <c:v>4.7210000000000004E-3</c:v>
                </c:pt>
                <c:pt idx="16">
                  <c:v>4.0289999999999996E-3</c:v>
                </c:pt>
                <c:pt idx="17">
                  <c:v>3.6879999999999999E-3</c:v>
                </c:pt>
                <c:pt idx="18">
                  <c:v>2.7950000000000002E-3</c:v>
                </c:pt>
                <c:pt idx="19">
                  <c:v>2.287E-3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77A7-4657-9CAC-8AA138010BEC}"/>
            </c:ext>
          </c:extLst>
        </c:ser>
        <c:dLbls/>
        <c:axId val="127698432"/>
        <c:axId val="127699968"/>
      </c:barChart>
      <c:catAx>
        <c:axId val="127698432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27699968"/>
        <c:crosses val="autoZero"/>
        <c:auto val="1"/>
        <c:lblAlgn val="ctr"/>
        <c:lblOffset val="100"/>
        <c:tickLblSkip val="1"/>
      </c:catAx>
      <c:valAx>
        <c:axId val="127699968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27698432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 lang="en-IN"/>
            </a:pPr>
            <a:r>
              <a:rPr lang="en-US"/>
              <a:t>Asset Quality of Debt portfolio</a:t>
            </a:r>
          </a:p>
        </c:rich>
      </c:tx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0.11281802624328775"/>
          <c:y val="0.39851518560179988"/>
          <c:w val="0.78272608624251272"/>
          <c:h val="0.53333319409344349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13333350280267858"/>
                  <c:y val="-0.10139363110584627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B30-4210-94B1-4C182B77D55C}"/>
                </c:ext>
              </c:extLst>
            </c:dLbl>
            <c:dLbl>
              <c:idx val="1"/>
              <c:layout>
                <c:manualLayout>
                  <c:x val="-0.18954786161196807"/>
                  <c:y val="0.1159672961233828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B30-4210-94B1-4C182B77D55C}"/>
                </c:ext>
              </c:extLst>
            </c:dLbl>
            <c:dLbl>
              <c:idx val="2"/>
              <c:layout>
                <c:manualLayout>
                  <c:x val="0.19028918407977433"/>
                  <c:y val="8.8662810953940244E-3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B30-4210-94B1-4C182B77D55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1"/>
            <c:showVal val="1"/>
            <c:showCatName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'IDFC-ESF'!$G$9:$G$11</c:f>
              <c:strCache>
                <c:ptCount val="3"/>
                <c:pt idx="0">
                  <c:v>AAA Equivalent</c:v>
                </c:pt>
                <c:pt idx="1">
                  <c:v>AA+ Equivalent</c:v>
                </c:pt>
                <c:pt idx="2">
                  <c:v>AA Equivalent</c:v>
                </c:pt>
              </c:strCache>
            </c:strRef>
          </c:cat>
          <c:val>
            <c:numRef>
              <c:f>'IDFC-ESF'!$I$9:$I$11</c:f>
              <c:numCache>
                <c:formatCode>0.00%</c:formatCode>
                <c:ptCount val="3"/>
                <c:pt idx="0">
                  <c:v>0.8720150668421589</c:v>
                </c:pt>
                <c:pt idx="1">
                  <c:v>0.12798493315784124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B30-4210-94B1-4C182B77D55C}"/>
            </c:ext>
          </c:extLst>
        </c:ser>
        <c:dLbls/>
      </c:pie3DChart>
      <c:spPr>
        <a:noFill/>
        <a:ln w="25400">
          <a:noFill/>
        </a:ln>
      </c:spPr>
    </c:plotArea>
    <c:plotVisOnly val="1"/>
    <c:dispBlanksAs val="zero"/>
  </c:chart>
  <c:txPr>
    <a:bodyPr/>
    <a:lstStyle/>
    <a:p>
      <a:pPr>
        <a:defRPr sz="11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 lang="en-IN"/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0.10497391191647316"/>
          <c:y val="0.3150796579875399"/>
          <c:w val="0.89502608808352679"/>
          <c:h val="0.61676865851891916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0.19166486068332486"/>
                  <c:y val="-0.16564414414704251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5C0-483B-9ABC-50EE8AE61501}"/>
                </c:ext>
              </c:extLst>
            </c:dLbl>
            <c:dLbl>
              <c:idx val="1"/>
              <c:layout>
                <c:manualLayout>
                  <c:x val="0"/>
                  <c:y val="-0.56388647780187795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5C0-483B-9ABC-50EE8AE61501}"/>
                </c:ext>
              </c:extLst>
            </c:dLbl>
            <c:dLbl>
              <c:idx val="2"/>
              <c:layout>
                <c:manualLayout>
                  <c:x val="0"/>
                  <c:y val="2.0429002620703091E-2"/>
                </c:manualLayout>
              </c:layout>
              <c:tx>
                <c:rich>
                  <a:bodyPr/>
                  <a:lstStyle/>
                  <a:p>
                    <a:fld id="{E2A66104-B8CE-41D6-8538-7D8E7DA00363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,   </a:t>
                    </a:r>
                    <a:fld id="{AF006CDE-8AC7-4C39-B116-9240B65485F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5C0-483B-9ABC-50EE8AE61501}"/>
                </c:ext>
              </c:extLst>
            </c:dLbl>
            <c:dLbl>
              <c:idx val="3"/>
              <c:layout>
                <c:manualLayout>
                  <c:x val="-0.19262708226177438"/>
                  <c:y val="-8.2897353752470024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5C0-483B-9ABC-50EE8AE61501}"/>
                </c:ext>
              </c:extLst>
            </c:dLbl>
            <c:dLbl>
              <c:idx val="4"/>
              <c:layout>
                <c:manualLayout>
                  <c:x val="8.4624730411373944E-2"/>
                  <c:y val="-0.1286473812592373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5C0-483B-9ABC-50EE8AE61501}"/>
                </c:ext>
              </c:extLst>
            </c:dLbl>
            <c:dLbl>
              <c:idx val="5"/>
              <c:layout>
                <c:manualLayout>
                  <c:x val="8.878631890672592E-2"/>
                  <c:y val="-5.3861145838628284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5C0-483B-9ABC-50EE8AE61501}"/>
                </c:ext>
              </c:extLst>
            </c:dLbl>
            <c:dLbl>
              <c:idx val="6"/>
              <c:layout>
                <c:manualLayout>
                  <c:x val="0.13891179640819279"/>
                  <c:y val="-7.9729724951291034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C0-483B-9ABC-50EE8AE61501}"/>
                </c:ext>
              </c:extLst>
            </c:dLbl>
            <c:dLbl>
              <c:idx val="7"/>
              <c:layout>
                <c:manualLayout>
                  <c:x val="0.14031261016366176"/>
                  <c:y val="-3.7464695968656009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5C0-483B-9ABC-50EE8AE615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showCatName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'IDFC-ESF'!$J$10:$J$15</c:f>
              <c:strCache>
                <c:ptCount val="6"/>
                <c:pt idx="0">
                  <c:v>Active Equity</c:v>
                </c:pt>
                <c:pt idx="1">
                  <c:v>Government Bond</c:v>
                </c:pt>
                <c:pt idx="2">
                  <c:v>Net Current Asset</c:v>
                </c:pt>
                <c:pt idx="3">
                  <c:v>Margin FD</c:v>
                </c:pt>
                <c:pt idx="4">
                  <c:v>Arbitrage</c:v>
                </c:pt>
                <c:pt idx="5">
                  <c:v>Corporate Bond</c:v>
                </c:pt>
              </c:strCache>
            </c:strRef>
          </c:cat>
          <c:val>
            <c:numRef>
              <c:f>'IDFC-ESF'!$K$10:$K$15</c:f>
              <c:numCache>
                <c:formatCode>0.00%</c:formatCode>
                <c:ptCount val="6"/>
                <c:pt idx="0">
                  <c:v>0.35546299999999997</c:v>
                </c:pt>
                <c:pt idx="1">
                  <c:v>2.8094999999999998E-2</c:v>
                </c:pt>
                <c:pt idx="2">
                  <c:v>2.46E-2</c:v>
                </c:pt>
                <c:pt idx="3">
                  <c:v>0.18837100000000001</c:v>
                </c:pt>
                <c:pt idx="4">
                  <c:v>0.32013399999999997</c:v>
                </c:pt>
                <c:pt idx="5">
                  <c:v>4.1521000000000002E-2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5C0-483B-9ABC-50EE8AE61501}"/>
            </c:ext>
          </c:extLst>
        </c:ser>
        <c:dLbls/>
      </c:pie3DChart>
      <c:spPr>
        <a:noFill/>
        <a:ln w="25400">
          <a:noFill/>
        </a:ln>
      </c:spPr>
    </c:plotArea>
    <c:plotVisOnly val="1"/>
    <c:dispBlanksAs val="zero"/>
  </c:chart>
  <c:txPr>
    <a:bodyPr/>
    <a:lstStyle/>
    <a:p>
      <a:pPr>
        <a:defRPr sz="11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 lang="en-IN"/>
            </a:pPr>
            <a:r>
              <a:rPr lang="en-US"/>
              <a:t>Asset Quality of Debt portfolio</a:t>
            </a:r>
          </a:p>
        </c:rich>
      </c:tx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0.11281802624328775"/>
          <c:y val="0.39851518560179988"/>
          <c:w val="0.78272608624251272"/>
          <c:h val="0.53333319409344349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22595370324290714"/>
                  <c:y val="-1.2898058072411279E-2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3CC-4BC3-8596-62760DD930D0}"/>
                </c:ext>
              </c:extLst>
            </c:dLbl>
            <c:dLbl>
              <c:idx val="1"/>
              <c:layout>
                <c:manualLayout>
                  <c:x val="-0.30342522437873731"/>
                  <c:y val="7.4669222065716884E-2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3CC-4BC3-8596-62760DD930D0}"/>
                </c:ext>
              </c:extLst>
            </c:dLbl>
            <c:dLbl>
              <c:idx val="2"/>
              <c:layout>
                <c:manualLayout>
                  <c:x val="0.19028918407977441"/>
                  <c:y val="-5.0130769052098574E-2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3CC-4BC3-8596-62760DD930D0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1"/>
            <c:showVal val="1"/>
            <c:showCatName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'IDFC-HEF'!$G$9:$G$11</c:f>
              <c:strCache>
                <c:ptCount val="3"/>
                <c:pt idx="0">
                  <c:v>AAA Equivalent</c:v>
                </c:pt>
                <c:pt idx="1">
                  <c:v>AA+ Equivalent</c:v>
                </c:pt>
                <c:pt idx="2">
                  <c:v>AA Equivalent</c:v>
                </c:pt>
              </c:strCache>
            </c:strRef>
          </c:cat>
          <c:val>
            <c:numRef>
              <c:f>'IDFC-HEF'!$I$9:$I$11</c:f>
              <c:numCache>
                <c:formatCode>0.00%</c:formatCode>
                <c:ptCount val="3"/>
                <c:pt idx="0">
                  <c:v>0.95486007696065001</c:v>
                </c:pt>
                <c:pt idx="1">
                  <c:v>4.5139923039350001E-2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3CC-4BC3-8596-62760DD930D0}"/>
            </c:ext>
          </c:extLst>
        </c:ser>
        <c:dLbls/>
      </c:pie3DChart>
      <c:spPr>
        <a:noFill/>
        <a:ln w="25400">
          <a:noFill/>
        </a:ln>
      </c:spPr>
    </c:plotArea>
    <c:plotVisOnly val="1"/>
    <c:dispBlanksAs val="zero"/>
  </c:chart>
  <c:txPr>
    <a:bodyPr/>
    <a:lstStyle/>
    <a:p>
      <a:pPr>
        <a:defRPr sz="11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 lang="en-IN"/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0.10497391191647316"/>
          <c:y val="0.3150796579875399"/>
          <c:w val="0.89502608808352679"/>
          <c:h val="0.61676865851891916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5.6668266931847434E-2"/>
                  <c:y val="-0.50844506013847979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D6E-426F-844D-C17907546440}"/>
                </c:ext>
              </c:extLst>
            </c:dLbl>
            <c:dLbl>
              <c:idx val="1"/>
              <c:layout>
                <c:manualLayout>
                  <c:x val="0.80720363654709515"/>
                  <c:y val="0.48207845637812768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D6E-426F-844D-C17907546440}"/>
                </c:ext>
              </c:extLst>
            </c:dLbl>
            <c:dLbl>
              <c:idx val="2"/>
              <c:layout>
                <c:manualLayout>
                  <c:x val="-8.0499314466703942E-2"/>
                  <c:y val="0.54828483241461801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D6E-426F-844D-C17907546440}"/>
                </c:ext>
              </c:extLst>
            </c:dLbl>
            <c:dLbl>
              <c:idx val="3"/>
              <c:layout>
                <c:manualLayout>
                  <c:x val="0.35561504283115564"/>
                  <c:y val="0.63544621767472276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D6E-426F-844D-C17907546440}"/>
                </c:ext>
              </c:extLst>
            </c:dLbl>
            <c:dLbl>
              <c:idx val="4"/>
              <c:layout>
                <c:manualLayout>
                  <c:x val="1.6118996268833126E-2"/>
                  <c:y val="-4.9248148127633777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D6E-426F-844D-C17907546440}"/>
                </c:ext>
              </c:extLst>
            </c:dLbl>
            <c:dLbl>
              <c:idx val="5"/>
              <c:layout>
                <c:manualLayout>
                  <c:x val="8.8786318906725947E-2"/>
                  <c:y val="-0.10697646459181669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6E-426F-844D-C17907546440}"/>
                </c:ext>
              </c:extLst>
            </c:dLbl>
            <c:dLbl>
              <c:idx val="6"/>
              <c:layout>
                <c:manualLayout>
                  <c:x val="0.13891179640819279"/>
                  <c:y val="-7.9729724951291034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6E-426F-844D-C17907546440}"/>
                </c:ext>
              </c:extLst>
            </c:dLbl>
            <c:dLbl>
              <c:idx val="7"/>
              <c:layout>
                <c:manualLayout>
                  <c:x val="0.14031261016366176"/>
                  <c:y val="-3.7464695968656009E-2"/>
                </c:manualLayout>
              </c:layout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6E-426F-844D-C179075464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showCatName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'IDFC-HEF'!$J$10:$J$14</c:f>
              <c:strCache>
                <c:ptCount val="5"/>
                <c:pt idx="0">
                  <c:v>Equity</c:v>
                </c:pt>
                <c:pt idx="1">
                  <c:v>Government Bond</c:v>
                </c:pt>
                <c:pt idx="2">
                  <c:v>Net Current Asset</c:v>
                </c:pt>
                <c:pt idx="3">
                  <c:v>Margin FD</c:v>
                </c:pt>
                <c:pt idx="4">
                  <c:v>Corporate bond</c:v>
                </c:pt>
              </c:strCache>
            </c:strRef>
          </c:cat>
          <c:val>
            <c:numRef>
              <c:f>'IDFC-HEF'!$K$10:$K$14</c:f>
              <c:numCache>
                <c:formatCode>0.00%</c:formatCode>
                <c:ptCount val="5"/>
                <c:pt idx="0">
                  <c:v>0.66428100000000001</c:v>
                </c:pt>
                <c:pt idx="1">
                  <c:v>2.2599999999999999E-4</c:v>
                </c:pt>
                <c:pt idx="2">
                  <c:v>8.7099999999999997E-2</c:v>
                </c:pt>
                <c:pt idx="3">
                  <c:v>0</c:v>
                </c:pt>
                <c:pt idx="4">
                  <c:v>0.15682399999999999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D6E-426F-844D-C17907546440}"/>
            </c:ext>
          </c:extLst>
        </c:ser>
        <c:dLbls/>
      </c:pie3DChart>
      <c:spPr>
        <a:noFill/>
        <a:ln w="25400">
          <a:noFill/>
        </a:ln>
      </c:spPr>
    </c:plotArea>
    <c:plotVisOnly val="1"/>
    <c:dispBlanksAs val="zero"/>
  </c:chart>
  <c:txPr>
    <a:bodyPr/>
    <a:lstStyle/>
    <a:p>
      <a:pPr>
        <a:defRPr sz="11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 lang="en-IN"/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0.10497391191647316"/>
          <c:y val="0.3150796579875399"/>
          <c:w val="0.89502608808352679"/>
          <c:h val="0.61676865851891916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1.6530221055534141E-2"/>
                  <c:y val="-3.2530215931597516E-2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246-4E9E-B82D-9962D5990B86}"/>
                </c:ext>
              </c:extLst>
            </c:dLbl>
            <c:dLbl>
              <c:idx val="1"/>
              <c:layout>
                <c:manualLayout>
                  <c:x val="-1.2530298477484642E-3"/>
                  <c:y val="0.46698374262071962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246-4E9E-B82D-9962D5990B86}"/>
                </c:ext>
              </c:extLst>
            </c:dLbl>
            <c:dLbl>
              <c:idx val="2"/>
              <c:layout>
                <c:manualLayout>
                  <c:x val="0"/>
                  <c:y val="0.21813311512094921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246-4E9E-B82D-9962D5990B86}"/>
                </c:ext>
              </c:extLst>
            </c:dLbl>
            <c:dLbl>
              <c:idx val="3"/>
              <c:layout>
                <c:manualLayout>
                  <c:x val="-4.8356988806499433E-2"/>
                  <c:y val="-1.886690992894181E-2"/>
                </c:manualLayout>
              </c:layout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246-4E9E-B82D-9962D5990B86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46-4E9E-B82D-9962D5990B86}"/>
                </c:ext>
              </c:extLst>
            </c:dLbl>
            <c:dLbl>
              <c:idx val="5"/>
              <c:layout>
                <c:manualLayout>
                  <c:x val="0.30554268867449064"/>
                  <c:y val="-1.6794937442635625E-2"/>
                </c:manualLayout>
              </c:layout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46-4E9E-B82D-9962D5990B8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1"/>
            <c:showVal val="1"/>
            <c:showCatName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'IDFC-RSF'!$J$10:$J$14</c:f>
              <c:strCache>
                <c:ptCount val="4"/>
                <c:pt idx="0">
                  <c:v>Corporate Bond</c:v>
                </c:pt>
                <c:pt idx="1">
                  <c:v>Equity</c:v>
                </c:pt>
                <c:pt idx="2">
                  <c:v>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'IDFC-RSF'!$K$10:$K$14</c:f>
              <c:numCache>
                <c:formatCode>0.00%</c:formatCode>
                <c:ptCount val="5"/>
                <c:pt idx="0">
                  <c:v>0.39100400000000002</c:v>
                </c:pt>
                <c:pt idx="1">
                  <c:v>0.24355700000000002</c:v>
                </c:pt>
                <c:pt idx="2">
                  <c:v>0.24446699999999999</c:v>
                </c:pt>
                <c:pt idx="3">
                  <c:v>0.121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246-4E9E-B82D-9962D5990B86}"/>
            </c:ext>
          </c:extLst>
        </c:ser>
        <c:dLbls/>
      </c:pie3DChart>
      <c:spPr>
        <a:noFill/>
        <a:ln w="25400">
          <a:noFill/>
        </a:ln>
      </c:spPr>
    </c:plotArea>
    <c:plotVisOnly val="1"/>
    <c:dispBlanksAs val="zero"/>
  </c:chart>
  <c:txPr>
    <a:bodyPr/>
    <a:lstStyle/>
    <a:p>
      <a:pPr>
        <a:defRPr sz="11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 lang="en-IN"/>
            </a:pPr>
            <a:r>
              <a:rPr lang="en-US"/>
              <a:t>Asset Quality of Debt portfolio</a:t>
            </a:r>
          </a:p>
        </c:rich>
      </c:tx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0.11281802624328775"/>
          <c:y val="0.39851518560179988"/>
          <c:w val="0.78272608624251272"/>
          <c:h val="0.53333319409344349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22595370324290714"/>
                  <c:y val="-1.2898058072411279E-2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DD0-4A0D-BCA6-E77632D4550F}"/>
                </c:ext>
              </c:extLst>
            </c:dLbl>
            <c:dLbl>
              <c:idx val="1"/>
              <c:layout>
                <c:manualLayout>
                  <c:x val="-0.30342522437873731"/>
                  <c:y val="7.4669222065716884E-2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DD0-4A0D-BCA6-E77632D4550F}"/>
                </c:ext>
              </c:extLst>
            </c:dLbl>
            <c:dLbl>
              <c:idx val="2"/>
              <c:layout>
                <c:manualLayout>
                  <c:x val="0.19028912942610421"/>
                  <c:y val="-0.12092687094465268"/>
                </c:manualLayout>
              </c:layout>
              <c:dLblPos val="bestFit"/>
              <c:showLegendKey val="1"/>
              <c:showVal val="1"/>
              <c:showCatName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DD0-4A0D-BCA6-E77632D4550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1"/>
            <c:showVal val="1"/>
            <c:showCatName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'IDFC-RSF'!$G$9:$G$11</c:f>
              <c:strCache>
                <c:ptCount val="3"/>
                <c:pt idx="0">
                  <c:v>AAA Equivalent</c:v>
                </c:pt>
                <c:pt idx="1">
                  <c:v>AA+ Equivalent</c:v>
                </c:pt>
                <c:pt idx="2">
                  <c:v>AA Equivalent</c:v>
                </c:pt>
              </c:strCache>
            </c:strRef>
          </c:cat>
          <c:val>
            <c:numRef>
              <c:f>'IDFC-RSF'!$I$9:$I$11</c:f>
              <c:numCache>
                <c:formatCode>0.00%</c:formatCode>
                <c:ptCount val="3"/>
                <c:pt idx="0">
                  <c:v>0.89934123847167324</c:v>
                </c:pt>
                <c:pt idx="1">
                  <c:v>0</c:v>
                </c:pt>
                <c:pt idx="2">
                  <c:v>0.10065876152832674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DDD0-4A0D-BCA6-E77632D4550F}"/>
            </c:ext>
          </c:extLst>
        </c:ser>
        <c:dLbls/>
      </c:pie3DChart>
      <c:spPr>
        <a:noFill/>
        <a:ln w="25400">
          <a:noFill/>
        </a:ln>
      </c:spPr>
    </c:plotArea>
    <c:plotVisOnly val="1"/>
    <c:dispBlanksAs val="zero"/>
  </c:chart>
  <c:txPr>
    <a:bodyPr/>
    <a:lstStyle/>
    <a:p>
      <a:pPr>
        <a:defRPr sz="11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/>
            </a:pPr>
            <a:r>
              <a:rPr lang="en-US"/>
              <a:t>Asset Allocation</a:t>
            </a:r>
          </a:p>
        </c:rich>
      </c:tx>
      <c:layout>
        <c:manualLayout>
          <c:xMode val="edge"/>
          <c:yMode val="edge"/>
          <c:x val="0.35416424577882982"/>
          <c:y val="8.0782420445619507E-3"/>
        </c:manualLayout>
      </c:layout>
    </c:title>
    <c:view3D>
      <c:perspective val="30"/>
    </c:view3D>
    <c:plotArea>
      <c:layout>
        <c:manualLayout>
          <c:layoutTarget val="inner"/>
          <c:xMode val="edge"/>
          <c:yMode val="edge"/>
          <c:x val="0.12196769743404715"/>
          <c:y val="0.35153486249001481"/>
          <c:w val="0.80555553197359764"/>
          <c:h val="0.46296283616722672"/>
        </c:manualLayout>
      </c:layout>
      <c:pie3DChart>
        <c:varyColors val="1"/>
        <c:ser>
          <c:idx val="0"/>
          <c:order val="0"/>
          <c:cat>
            <c:strRef>
              <c:f>'IDFCAAF-AP'!$I$9:$I$11</c:f>
              <c:strCache>
                <c:ptCount val="3"/>
                <c:pt idx="0">
                  <c:v>Debt </c:v>
                </c:pt>
                <c:pt idx="1">
                  <c:v>Equity </c:v>
                </c:pt>
                <c:pt idx="2">
                  <c:v>Net Current Asset</c:v>
                </c:pt>
              </c:strCache>
            </c:strRef>
          </c:cat>
          <c:val>
            <c:numRef>
              <c:f>'IDFCAAF-AP'!$J$9:$J$11</c:f>
              <c:numCache>
                <c:formatCode>0.00%</c:formatCode>
                <c:ptCount val="3"/>
                <c:pt idx="0">
                  <c:v>0.31179699999999999</c:v>
                </c:pt>
                <c:pt idx="1">
                  <c:v>0.69366099999999997</c:v>
                </c:pt>
                <c:pt idx="2">
                  <c:v>-5.4580000000000002E-3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C11-46DC-BCEB-BABA9D7520DF}"/>
            </c:ext>
          </c:extLst>
        </c:ser>
        <c:dLbls/>
      </c:pie3DChart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6520636260805741"/>
          <c:y val="0.87184171036436309"/>
          <c:w val="0.53029928057342324"/>
          <c:h val="8.7809607310863444E-2"/>
        </c:manualLayout>
      </c:layout>
    </c:legend>
    <c:plotVisOnly val="1"/>
    <c:dispBlanksAs val="zero"/>
  </c:chart>
  <c:txPr>
    <a:bodyPr/>
    <a:lstStyle/>
    <a:p>
      <a:pPr>
        <a:defRPr sz="1200" b="1">
          <a:solidFill>
            <a:schemeClr val="tx1"/>
          </a:solidFill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 lang="en-IN" sz="1600"/>
            </a:pPr>
            <a:r>
              <a:rPr lang="en-US" sz="1600"/>
              <a:t>Asset Allocation</a:t>
            </a:r>
          </a:p>
        </c:rich>
      </c:tx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4.4785147048927033E-2"/>
          <c:y val="0.35615760851567468"/>
          <c:w val="0.88470203243825363"/>
          <c:h val="0.5772488916981503"/>
        </c:manualLayout>
      </c:layout>
      <c:pie3DChart>
        <c:varyColors val="1"/>
        <c:ser>
          <c:idx val="0"/>
          <c:order val="0"/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64-49CC-80DF-95B9368E2F92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64-49CC-80DF-95B9368E2F92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64-49CC-80DF-95B9368E2F92}"/>
                </c:ext>
              </c:extLst>
            </c:dLbl>
            <c:dLbl>
              <c:idx val="3"/>
              <c:layout>
                <c:manualLayout>
                  <c:x val="-0.15939770686558918"/>
                  <c:y val="-1.3787364896686286E-2"/>
                </c:manualLayout>
              </c:layout>
              <c:dLblPos val="bestFit"/>
              <c:showLegendKey val="1"/>
              <c:showVal val="1"/>
              <c:showCatName val="1"/>
              <c:separator>
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64-49CC-80DF-95B9368E2F92}"/>
                </c:ext>
              </c:extLst>
            </c:dLbl>
            <c:dLbl>
              <c:idx val="4"/>
              <c:layout>
                <c:manualLayout>
                  <c:x val="4.3438665561541703E-2"/>
                  <c:y val="-4.3612567471112473E-2"/>
                </c:manualLayout>
              </c:layout>
              <c:dLblPos val="bestFit"/>
              <c:showLegendKey val="1"/>
              <c:showVal val="1"/>
              <c:showCatName val="1"/>
              <c:separator>
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64-49CC-80DF-95B9368E2F9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 sz="1100">
                    <a:latin typeface="+mn-lt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eparator>
</c:separator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'IDFCAAF-MP'!$I$9:$I$11</c:f>
              <c:strCache>
                <c:ptCount val="3"/>
                <c:pt idx="0">
                  <c:v>Debt </c:v>
                </c:pt>
                <c:pt idx="1">
                  <c:v>Equity </c:v>
                </c:pt>
                <c:pt idx="2">
                  <c:v>Net Current Asset</c:v>
                </c:pt>
              </c:strCache>
            </c:strRef>
          </c:cat>
          <c:val>
            <c:numRef>
              <c:f>'IDFCAAF-MP'!$J$9:$J$11</c:f>
              <c:numCache>
                <c:formatCode>0.00%</c:formatCode>
                <c:ptCount val="3"/>
                <c:pt idx="0">
                  <c:v>0.59292199999999995</c:v>
                </c:pt>
                <c:pt idx="1">
                  <c:v>0.40742100000000003</c:v>
                </c:pt>
                <c:pt idx="2">
                  <c:v>-3.4299999999999999E-4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1064-49CC-80DF-95B9368E2F92}"/>
            </c:ext>
          </c:extLst>
        </c:ser>
        <c:dLbls>
          <c:showVal val="1"/>
        </c:dLbls>
      </c:pie3DChart>
      <c:spPr>
        <a:noFill/>
        <a:ln w="25400">
          <a:noFill/>
        </a:ln>
      </c:spPr>
    </c:plotArea>
    <c:legend>
      <c:legendPos val="b"/>
      <c:layout/>
    </c:legend>
    <c:plotVisOnly val="1"/>
    <c:dispBlanksAs val="zero"/>
  </c:chart>
  <c:txPr>
    <a:bodyPr/>
    <a:lstStyle/>
    <a:p>
      <a:pPr>
        <a:defRPr sz="11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roundedCorners val="1"/>
  <c:style val="1"/>
  <c:chart>
    <c:title>
      <c:tx>
        <c:rich>
          <a:bodyPr/>
          <a:lstStyle/>
          <a:p>
            <a:pPr>
              <a:defRPr lang="en-IN"/>
            </a:pPr>
            <a:r>
              <a:rPr lang="en-US"/>
              <a:t>Asset Allocation</a:t>
            </a:r>
          </a:p>
        </c:rich>
      </c:tx>
      <c:layout/>
    </c:title>
    <c:view3D>
      <c:perspective val="30"/>
    </c:view3D>
    <c:plotArea>
      <c:layout>
        <c:manualLayout>
          <c:layoutTarget val="inner"/>
          <c:xMode val="edge"/>
          <c:yMode val="edge"/>
          <c:x val="0.13492264148428221"/>
          <c:y val="0.442819115066238"/>
          <c:w val="0.80555553197359764"/>
          <c:h val="0.46296299212599401"/>
        </c:manualLayout>
      </c:layout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4.6359788989188501E-2"/>
                  <c:y val="-0.10588126502681719"/>
                </c:manualLayout>
              </c:layout>
              <c:dLblPos val="bestFit"/>
              <c:showLegendKey val="1"/>
              <c:showVal val="1"/>
              <c:showCatName val="1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AC7-4857-974F-197C1459AF0A}"/>
                </c:ext>
              </c:extLst>
            </c:dLbl>
            <c:dLbl>
              <c:idx val="1"/>
              <c:layout>
                <c:manualLayout>
                  <c:x val="-6.0031020236357729E-2"/>
                  <c:y val="-5.5901735483758777E-2"/>
                </c:manualLayout>
              </c:layout>
              <c:dLblPos val="bestFit"/>
              <c:showLegendKey val="1"/>
              <c:showVal val="1"/>
              <c:showCatName val="1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AC7-4857-974F-197C1459AF0A}"/>
                </c:ext>
              </c:extLst>
            </c:dLbl>
            <c:dLbl>
              <c:idx val="2"/>
              <c:layout>
                <c:manualLayout>
                  <c:x val="5.7043011982595662E-2"/>
                  <c:y val="-3.9176423724232121E-2"/>
                </c:manualLayout>
              </c:layout>
              <c:dLblPos val="bestFit"/>
              <c:showLegendKey val="1"/>
              <c:showVal val="1"/>
              <c:showCatName val="1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1AC7-4857-974F-197C1459AF0A}"/>
                </c:ext>
              </c:extLst>
            </c:dLbl>
            <c:dLbl>
              <c:idx val="3"/>
              <c:layout>
                <c:manualLayout>
                  <c:x val="-0.44166411214867751"/>
                  <c:y val="0.22094031436486589"/>
                </c:manualLayout>
              </c:layout>
              <c:dLblPos val="bestFit"/>
              <c:showLegendKey val="1"/>
              <c:showVal val="1"/>
              <c:showCatName val="1"/>
              <c:separator>
</c:separator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C7-4857-974F-197C1459AF0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dLblPos val="bestFit"/>
            <c:showLegendKey val="1"/>
            <c:showVal val="1"/>
            <c:showCatName val="1"/>
            <c:separator>
</c:separator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'IDFCAAF-CP'!$I$8:$I$10</c:f>
              <c:strCache>
                <c:ptCount val="3"/>
                <c:pt idx="0">
                  <c:v>Debt </c:v>
                </c:pt>
                <c:pt idx="1">
                  <c:v>Equity </c:v>
                </c:pt>
                <c:pt idx="2">
                  <c:v>Net Current Asset</c:v>
                </c:pt>
              </c:strCache>
            </c:strRef>
          </c:cat>
          <c:val>
            <c:numRef>
              <c:f>'IDFCAAF-CP'!$J$8:$J$10</c:f>
              <c:numCache>
                <c:formatCode>0.00%</c:formatCode>
                <c:ptCount val="3"/>
                <c:pt idx="0">
                  <c:v>0.77194000000000007</c:v>
                </c:pt>
                <c:pt idx="1">
                  <c:v>0.23012099999999999</c:v>
                </c:pt>
                <c:pt idx="2">
                  <c:v>-2.0609999999999999E-3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AC7-4857-974F-197C1459AF0A}"/>
            </c:ext>
          </c:extLst>
        </c:ser>
        <c:dLbls>
          <c:showVal val="1"/>
        </c:dLbls>
      </c:pie3DChart>
      <c:spPr>
        <a:noFill/>
        <a:ln w="25400">
          <a:noFill/>
        </a:ln>
      </c:spPr>
    </c:plotArea>
    <c:plotVisOnly val="1"/>
    <c:dispBlanksAs val="zero"/>
  </c:chart>
  <c:txPr>
    <a:bodyPr/>
    <a:lstStyle/>
    <a:p>
      <a:pPr>
        <a:defRPr sz="1200" b="1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'IDFC-NIFTY'!$X$7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AD5-4584-81D7-4111D11CF0F2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AD5-4584-81D7-4111D11CF0F2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AD5-4584-81D7-4111D11CF0F2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AD5-4584-81D7-4111D11CF0F2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AD5-4584-81D7-4111D11CF0F2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AD5-4584-81D7-4111D11CF0F2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8AD5-4584-81D7-4111D11CF0F2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AD5-4584-81D7-4111D11CF0F2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8AD5-4584-81D7-4111D11CF0F2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8AD5-4584-81D7-4111D11CF0F2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8AD5-4584-81D7-4111D11CF0F2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8AD5-4584-81D7-4111D11CF0F2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8AD5-4584-81D7-4111D11CF0F2}"/>
                </c:ext>
              </c:extLst>
            </c:dLbl>
            <c:dLbl>
              <c:idx val="1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8AD5-4584-81D7-4111D11CF0F2}"/>
                </c:ext>
              </c:extLst>
            </c:dLbl>
            <c:dLbl>
              <c:idx val="1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AD5-4584-81D7-4111D11CF0F2}"/>
                </c:ext>
              </c:extLst>
            </c:dLbl>
            <c:dLbl>
              <c:idx val="1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8AD5-4584-81D7-4111D11CF0F2}"/>
                </c:ext>
              </c:extLst>
            </c:dLbl>
            <c:dLbl>
              <c:idx val="1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8AD5-4584-81D7-4111D11CF0F2}"/>
                </c:ext>
              </c:extLst>
            </c:dLbl>
            <c:dLbl>
              <c:idx val="1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8AD5-4584-81D7-4111D11CF0F2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'IDFC-NIFTY'!$W$8:$W$28</c:f>
              <c:strCache>
                <c:ptCount val="21"/>
                <c:pt idx="0">
                  <c:v>Banks</c:v>
                </c:pt>
                <c:pt idx="1">
                  <c:v>Software</c:v>
                </c:pt>
                <c:pt idx="2">
                  <c:v>Petroleum Products</c:v>
                </c:pt>
                <c:pt idx="3">
                  <c:v>Finance</c:v>
                </c:pt>
                <c:pt idx="4">
                  <c:v>Consumer Non Durables</c:v>
                </c:pt>
                <c:pt idx="5">
                  <c:v>Auto</c:v>
                </c:pt>
                <c:pt idx="6">
                  <c:v>Construction Project</c:v>
                </c:pt>
                <c:pt idx="7">
                  <c:v>Pharmaceuticals</c:v>
                </c:pt>
                <c:pt idx="8">
                  <c:v>Power</c:v>
                </c:pt>
                <c:pt idx="9">
                  <c:v>Cement</c:v>
                </c:pt>
                <c:pt idx="10">
                  <c:v>Ferrous Metals</c:v>
                </c:pt>
                <c:pt idx="11">
                  <c:v>Non - Ferrous Metals</c:v>
                </c:pt>
                <c:pt idx="12">
                  <c:v>Oil</c:v>
                </c:pt>
                <c:pt idx="13">
                  <c:v>Telecom - Services</c:v>
                </c:pt>
                <c:pt idx="14">
                  <c:v>Consumer Durables</c:v>
                </c:pt>
                <c:pt idx="15">
                  <c:v>Minerals/Mining</c:v>
                </c:pt>
                <c:pt idx="16">
                  <c:v>Gas</c:v>
                </c:pt>
                <c:pt idx="17">
                  <c:v>Transportation</c:v>
                </c:pt>
                <c:pt idx="18">
                  <c:v>Pesticides</c:v>
                </c:pt>
                <c:pt idx="19">
                  <c:v>Media &amp; Entertainment</c:v>
                </c:pt>
                <c:pt idx="20">
                  <c:v>Telecom -  Equipment &amp; Accessories</c:v>
                </c:pt>
              </c:strCache>
            </c:strRef>
          </c:cat>
          <c:val>
            <c:numRef>
              <c:f>'IDFC-NIFTY'!$X$8:$X$28</c:f>
              <c:numCache>
                <c:formatCode>0.00%</c:formatCode>
                <c:ptCount val="21"/>
                <c:pt idx="0">
                  <c:v>0.26790700000000001</c:v>
                </c:pt>
                <c:pt idx="1">
                  <c:v>0.13176299999999999</c:v>
                </c:pt>
                <c:pt idx="2">
                  <c:v>0.10350800000000002</c:v>
                </c:pt>
                <c:pt idx="3">
                  <c:v>0.10143199999999999</c:v>
                </c:pt>
                <c:pt idx="4">
                  <c:v>9.7068000000000002E-2</c:v>
                </c:pt>
                <c:pt idx="5">
                  <c:v>7.0809000000000011E-2</c:v>
                </c:pt>
                <c:pt idx="6">
                  <c:v>3.9759999999999997E-2</c:v>
                </c:pt>
                <c:pt idx="7">
                  <c:v>2.3755000000000002E-2</c:v>
                </c:pt>
                <c:pt idx="8">
                  <c:v>2.0692000000000002E-2</c:v>
                </c:pt>
                <c:pt idx="9">
                  <c:v>1.6759E-2</c:v>
                </c:pt>
                <c:pt idx="10">
                  <c:v>1.6050000000000002E-2</c:v>
                </c:pt>
                <c:pt idx="11">
                  <c:v>1.5859999999999999E-2</c:v>
                </c:pt>
                <c:pt idx="12">
                  <c:v>9.4619999999999999E-3</c:v>
                </c:pt>
                <c:pt idx="13">
                  <c:v>9.2849999999999999E-3</c:v>
                </c:pt>
                <c:pt idx="14">
                  <c:v>8.737E-3</c:v>
                </c:pt>
                <c:pt idx="15">
                  <c:v>7.3299999999999997E-3</c:v>
                </c:pt>
                <c:pt idx="16">
                  <c:v>7.2769999999999996E-3</c:v>
                </c:pt>
                <c:pt idx="17">
                  <c:v>6.8560000000000001E-3</c:v>
                </c:pt>
                <c:pt idx="18">
                  <c:v>6.2610000000000001E-3</c:v>
                </c:pt>
                <c:pt idx="19">
                  <c:v>5.9389999999999998E-3</c:v>
                </c:pt>
                <c:pt idx="20">
                  <c:v>4.9090000000000002E-3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8AD5-4584-81D7-4111D11CF0F2}"/>
            </c:ext>
          </c:extLst>
        </c:ser>
        <c:dLbls/>
        <c:axId val="131232128"/>
        <c:axId val="131233664"/>
      </c:barChart>
      <c:catAx>
        <c:axId val="131232128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31233664"/>
        <c:crosses val="autoZero"/>
        <c:auto val="1"/>
        <c:lblAlgn val="ctr"/>
        <c:lblOffset val="100"/>
        <c:tickLblSkip val="1"/>
      </c:catAx>
      <c:valAx>
        <c:axId val="131233664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31232128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'IDFC-Sensex ETF'!$X$7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B3A-4079-BA52-CC2D783DC226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B3A-4079-BA52-CC2D783DC226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B3A-4079-BA52-CC2D783DC226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B3A-4079-BA52-CC2D783DC226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B3A-4079-BA52-CC2D783DC226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B3A-4079-BA52-CC2D783DC226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0B3A-4079-BA52-CC2D783DC226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0B3A-4079-BA52-CC2D783DC226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0B3A-4079-BA52-CC2D783DC226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0B3A-4079-BA52-CC2D783DC226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0B3A-4079-BA52-CC2D783DC226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0B3A-4079-BA52-CC2D783DC226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0B3A-4079-BA52-CC2D783DC226}"/>
                </c:ext>
              </c:extLst>
            </c:dLbl>
            <c:dLbl>
              <c:idx val="1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0B3A-4079-BA52-CC2D783DC226}"/>
                </c:ext>
              </c:extLst>
            </c:dLbl>
            <c:dLbl>
              <c:idx val="14"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B3A-4079-BA52-CC2D783DC226}"/>
                </c:ext>
              </c:extLst>
            </c:dLbl>
            <c:dLbl>
              <c:idx val="15"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B3A-4079-BA52-CC2D783DC226}"/>
                </c:ext>
              </c:extLst>
            </c:dLbl>
            <c:dLbl>
              <c:idx val="16"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B3A-4079-BA52-CC2D783DC226}"/>
                </c:ext>
              </c:extLst>
            </c:dLbl>
            <c:dLbl>
              <c:idx val="17"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B3A-4079-BA52-CC2D783DC226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'IDFC-Sensex ETF'!$W$8:$W$21</c:f>
              <c:strCache>
                <c:ptCount val="14"/>
                <c:pt idx="0">
                  <c:v>Banks</c:v>
                </c:pt>
                <c:pt idx="1">
                  <c:v>Software</c:v>
                </c:pt>
                <c:pt idx="2">
                  <c:v>Consumer Non Durables</c:v>
                </c:pt>
                <c:pt idx="3">
                  <c:v>Finance</c:v>
                </c:pt>
                <c:pt idx="4">
                  <c:v>Petroleum Products</c:v>
                </c:pt>
                <c:pt idx="5">
                  <c:v>Auto</c:v>
                </c:pt>
                <c:pt idx="6">
                  <c:v>Construction Project</c:v>
                </c:pt>
                <c:pt idx="7">
                  <c:v>Power</c:v>
                </c:pt>
                <c:pt idx="8">
                  <c:v>Pharmaceuticals</c:v>
                </c:pt>
                <c:pt idx="9">
                  <c:v>Oil</c:v>
                </c:pt>
                <c:pt idx="10">
                  <c:v>Telecom - Services</c:v>
                </c:pt>
                <c:pt idx="11">
                  <c:v>Ferrous Metals</c:v>
                </c:pt>
                <c:pt idx="12">
                  <c:v>Non - Ferrous Metals</c:v>
                </c:pt>
                <c:pt idx="13">
                  <c:v>Minerals/Mining</c:v>
                </c:pt>
              </c:strCache>
            </c:strRef>
          </c:cat>
          <c:val>
            <c:numRef>
              <c:f>'IDFC-Sensex ETF'!$X$8:$X$21</c:f>
              <c:numCache>
                <c:formatCode>0.00%</c:formatCode>
                <c:ptCount val="14"/>
                <c:pt idx="0">
                  <c:v>0.31723299999999999</c:v>
                </c:pt>
                <c:pt idx="1">
                  <c:v>0.13647899999999999</c:v>
                </c:pt>
                <c:pt idx="2">
                  <c:v>0.117049</c:v>
                </c:pt>
                <c:pt idx="3">
                  <c:v>0.10869100000000001</c:v>
                </c:pt>
                <c:pt idx="4">
                  <c:v>9.8247000000000001E-2</c:v>
                </c:pt>
                <c:pt idx="5">
                  <c:v>7.7533000000000005E-2</c:v>
                </c:pt>
                <c:pt idx="6">
                  <c:v>4.7579000000000003E-2</c:v>
                </c:pt>
                <c:pt idx="7">
                  <c:v>2.5068E-2</c:v>
                </c:pt>
                <c:pt idx="8">
                  <c:v>1.2597000000000001E-2</c:v>
                </c:pt>
                <c:pt idx="9">
                  <c:v>1.1507E-2</c:v>
                </c:pt>
                <c:pt idx="10">
                  <c:v>1.1194000000000001E-2</c:v>
                </c:pt>
                <c:pt idx="11">
                  <c:v>1.0802000000000001E-2</c:v>
                </c:pt>
                <c:pt idx="12">
                  <c:v>1.0199E-2</c:v>
                </c:pt>
                <c:pt idx="13">
                  <c:v>8.9110000000000005E-3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0B3A-4079-BA52-CC2D783DC226}"/>
            </c:ext>
          </c:extLst>
        </c:ser>
        <c:dLbls/>
        <c:axId val="131543424"/>
        <c:axId val="131544960"/>
      </c:barChart>
      <c:catAx>
        <c:axId val="131543424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31544960"/>
        <c:crosses val="autoZero"/>
        <c:auto val="1"/>
        <c:lblAlgn val="ctr"/>
        <c:lblOffset val="100"/>
        <c:tickLblSkip val="1"/>
      </c:catAx>
      <c:valAx>
        <c:axId val="131544960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31543424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style val="1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'IDFC- Nifty ETF'!$X$7</c:f>
              <c:strCache>
                <c:ptCount val="1"/>
                <c:pt idx="0">
                  <c:v>(%) NAV</c:v>
                </c:pt>
              </c:strCache>
            </c:strRef>
          </c:tx>
          <c:dLbls>
            <c:dLbl>
              <c:idx val="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344-47EB-86E0-95B4320B4A70}"/>
                </c:ext>
              </c:extLst>
            </c:dLbl>
            <c:dLbl>
              <c:idx val="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A344-47EB-86E0-95B4320B4A70}"/>
                </c:ext>
              </c:extLst>
            </c:dLbl>
            <c:dLbl>
              <c:idx val="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344-47EB-86E0-95B4320B4A70}"/>
                </c:ext>
              </c:extLst>
            </c:dLbl>
            <c:dLbl>
              <c:idx val="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A344-47EB-86E0-95B4320B4A70}"/>
                </c:ext>
              </c:extLst>
            </c:dLbl>
            <c:dLbl>
              <c:idx val="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344-47EB-86E0-95B4320B4A70}"/>
                </c:ext>
              </c:extLst>
            </c:dLbl>
            <c:dLbl>
              <c:idx val="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344-47EB-86E0-95B4320B4A70}"/>
                </c:ext>
              </c:extLst>
            </c:dLbl>
            <c:dLbl>
              <c:idx val="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A344-47EB-86E0-95B4320B4A70}"/>
                </c:ext>
              </c:extLst>
            </c:dLbl>
            <c:dLbl>
              <c:idx val="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A344-47EB-86E0-95B4320B4A70}"/>
                </c:ext>
              </c:extLst>
            </c:dLbl>
            <c:dLbl>
              <c:idx val="8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A344-47EB-86E0-95B4320B4A70}"/>
                </c:ext>
              </c:extLst>
            </c:dLbl>
            <c:dLbl>
              <c:idx val="9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A344-47EB-86E0-95B4320B4A70}"/>
                </c:ext>
              </c:extLst>
            </c:dLbl>
            <c:dLbl>
              <c:idx val="10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A344-47EB-86E0-95B4320B4A70}"/>
                </c:ext>
              </c:extLst>
            </c:dLbl>
            <c:dLbl>
              <c:idx val="11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A344-47EB-86E0-95B4320B4A70}"/>
                </c:ext>
              </c:extLst>
            </c:dLbl>
            <c:dLbl>
              <c:idx val="12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A344-47EB-86E0-95B4320B4A70}"/>
                </c:ext>
              </c:extLst>
            </c:dLbl>
            <c:dLbl>
              <c:idx val="13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A344-47EB-86E0-95B4320B4A70}"/>
                </c:ext>
              </c:extLst>
            </c:dLbl>
            <c:dLbl>
              <c:idx val="14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A344-47EB-86E0-95B4320B4A70}"/>
                </c:ext>
              </c:extLst>
            </c:dLbl>
            <c:dLbl>
              <c:idx val="15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A344-47EB-86E0-95B4320B4A70}"/>
                </c:ext>
              </c:extLst>
            </c:dLbl>
            <c:dLbl>
              <c:idx val="16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A344-47EB-86E0-95B4320B4A70}"/>
                </c:ext>
              </c:extLst>
            </c:dLbl>
            <c:dLbl>
              <c:idx val="17"/>
              <c:layout/>
              <c:numFmt formatCode="0.0%" sourceLinked="0"/>
              <c:spPr/>
              <c:txPr>
                <a:bodyPr rot="0" vert="horz"/>
                <a:lstStyle/>
                <a:p>
                  <a:pPr>
                    <a:defRPr lang="en-IN"/>
                  </a:pPr>
                  <a:endParaRPr lang="en-US"/>
                </a:p>
              </c:txPr>
              <c:dLblPos val="outEnd"/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A344-47EB-86E0-95B4320B4A7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'IDFC- Nifty ETF'!$W$8:$W$28</c:f>
              <c:strCache>
                <c:ptCount val="21"/>
                <c:pt idx="0">
                  <c:v>Banks</c:v>
                </c:pt>
                <c:pt idx="1">
                  <c:v>Software</c:v>
                </c:pt>
                <c:pt idx="2">
                  <c:v>Petroleum Products</c:v>
                </c:pt>
                <c:pt idx="3">
                  <c:v>Finance</c:v>
                </c:pt>
                <c:pt idx="4">
                  <c:v>Consumer Non Durables</c:v>
                </c:pt>
                <c:pt idx="5">
                  <c:v>Auto</c:v>
                </c:pt>
                <c:pt idx="6">
                  <c:v>Construction Project</c:v>
                </c:pt>
                <c:pt idx="7">
                  <c:v>Pharmaceuticals</c:v>
                </c:pt>
                <c:pt idx="8">
                  <c:v>Power</c:v>
                </c:pt>
                <c:pt idx="9">
                  <c:v>Cement</c:v>
                </c:pt>
                <c:pt idx="10">
                  <c:v>Non - Ferrous Metals</c:v>
                </c:pt>
                <c:pt idx="11">
                  <c:v>Ferrous Metals</c:v>
                </c:pt>
                <c:pt idx="12">
                  <c:v>Oil</c:v>
                </c:pt>
                <c:pt idx="13">
                  <c:v>Telecom - Services</c:v>
                </c:pt>
                <c:pt idx="14">
                  <c:v>Minerals/Mining</c:v>
                </c:pt>
                <c:pt idx="15">
                  <c:v>Consumer Durables</c:v>
                </c:pt>
                <c:pt idx="16">
                  <c:v>Gas</c:v>
                </c:pt>
                <c:pt idx="17">
                  <c:v>Transportation</c:v>
                </c:pt>
                <c:pt idx="18">
                  <c:v>Pesticides</c:v>
                </c:pt>
                <c:pt idx="19">
                  <c:v>Media &amp; Entertainment</c:v>
                </c:pt>
                <c:pt idx="20">
                  <c:v>Telecom -  Equipment &amp; Accessories</c:v>
                </c:pt>
              </c:strCache>
            </c:strRef>
          </c:cat>
          <c:val>
            <c:numRef>
              <c:f>'IDFC- Nifty ETF'!$X$8:$X$28</c:f>
              <c:numCache>
                <c:formatCode>0.00%</c:formatCode>
                <c:ptCount val="21"/>
                <c:pt idx="0">
                  <c:v>0.272644</c:v>
                </c:pt>
                <c:pt idx="1">
                  <c:v>0.13391</c:v>
                </c:pt>
                <c:pt idx="2">
                  <c:v>0.10635699999999999</c:v>
                </c:pt>
                <c:pt idx="3">
                  <c:v>0.10366700000000001</c:v>
                </c:pt>
                <c:pt idx="4">
                  <c:v>9.8928000000000002E-2</c:v>
                </c:pt>
                <c:pt idx="5">
                  <c:v>7.0863999999999996E-2</c:v>
                </c:pt>
                <c:pt idx="6">
                  <c:v>4.0488000000000003E-2</c:v>
                </c:pt>
                <c:pt idx="7">
                  <c:v>2.4E-2</c:v>
                </c:pt>
                <c:pt idx="8">
                  <c:v>2.1984999999999998E-2</c:v>
                </c:pt>
                <c:pt idx="9">
                  <c:v>1.6701000000000001E-2</c:v>
                </c:pt>
                <c:pt idx="10">
                  <c:v>1.6143999999999999E-2</c:v>
                </c:pt>
                <c:pt idx="11">
                  <c:v>1.6102000000000002E-2</c:v>
                </c:pt>
                <c:pt idx="12">
                  <c:v>1.0562E-2</c:v>
                </c:pt>
                <c:pt idx="13">
                  <c:v>9.4369999999999992E-3</c:v>
                </c:pt>
                <c:pt idx="14">
                  <c:v>9.2270000000000008E-3</c:v>
                </c:pt>
                <c:pt idx="15">
                  <c:v>8.8310000000000003E-3</c:v>
                </c:pt>
                <c:pt idx="16">
                  <c:v>7.4279999999999997E-3</c:v>
                </c:pt>
                <c:pt idx="17">
                  <c:v>6.979E-3</c:v>
                </c:pt>
                <c:pt idx="18">
                  <c:v>6.3109999999999998E-3</c:v>
                </c:pt>
                <c:pt idx="19">
                  <c:v>6.0410000000000004E-3</c:v>
                </c:pt>
                <c:pt idx="20">
                  <c:v>5.0390000000000001E-3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A344-47EB-86E0-95B4320B4A70}"/>
            </c:ext>
          </c:extLst>
        </c:ser>
        <c:dLbls/>
        <c:axId val="131679360"/>
        <c:axId val="131680896"/>
      </c:barChart>
      <c:catAx>
        <c:axId val="131679360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868686"/>
            </a:solidFill>
            <a:prstDash val="solid"/>
          </a:ln>
        </c:spPr>
        <c:txPr>
          <a:bodyPr rot="-5400000" vert="horz"/>
          <a:lstStyle/>
          <a:p>
            <a:pPr>
              <a:defRPr lang="en-IN"/>
            </a:pPr>
            <a:endParaRPr lang="en-US"/>
          </a:p>
        </c:txPr>
        <c:crossAx val="131680896"/>
        <c:crosses val="autoZero"/>
        <c:auto val="1"/>
        <c:lblAlgn val="ctr"/>
        <c:lblOffset val="100"/>
        <c:tickLblSkip val="1"/>
      </c:catAx>
      <c:valAx>
        <c:axId val="131680896"/>
        <c:scaling>
          <c:orientation val="minMax"/>
        </c:scaling>
        <c:axPos val="l"/>
        <c:numFmt formatCode="0.00%" sourceLinked="1"/>
        <c:tickLblPos val="none"/>
        <c:spPr>
          <a:ln w="9525">
            <a:noFill/>
          </a:ln>
        </c:spPr>
        <c:txPr>
          <a:bodyPr/>
          <a:lstStyle/>
          <a:p>
            <a:pPr>
              <a:defRPr lang="en-IN"/>
            </a:pPr>
            <a:endParaRPr lang="en-US"/>
          </a:p>
        </c:txPr>
        <c:crossAx val="131679360"/>
        <c:crosses val="autoZero"/>
        <c:crossBetween val="between"/>
      </c:valAx>
      <c:spPr>
        <a:ln w="25400">
          <a:noFill/>
        </a:ln>
      </c:spPr>
    </c:plotArea>
    <c:plotVisOnly val="1"/>
    <c:dispBlanksAs val="gap"/>
  </c:chart>
  <c:txPr>
    <a:bodyPr/>
    <a:lstStyle/>
    <a:p>
      <a:pPr>
        <a:defRPr sz="1025" b="1">
          <a:latin typeface="Arial"/>
          <a:ea typeface="Arial"/>
          <a:cs typeface="Arial"/>
        </a:defRPr>
      </a:pPr>
      <a:endParaRPr lang="en-US"/>
    </a:p>
  </c:txPr>
  <c:printSettings>
    <c:headerFooter/>
    <c:pageMargins b="0.75000000000000555" l="0.70000000000000062" r="0.70000000000000062" t="0.750000000000005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6</xdr:row>
      <xdr:rowOff>0</xdr:rowOff>
    </xdr:from>
    <xdr:to>
      <xdr:col>19</xdr:col>
      <xdr:colOff>12700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6</xdr:row>
      <xdr:rowOff>0</xdr:rowOff>
    </xdr:from>
    <xdr:to>
      <xdr:col>19</xdr:col>
      <xdr:colOff>50800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5</xdr:row>
      <xdr:rowOff>0</xdr:rowOff>
    </xdr:from>
    <xdr:to>
      <xdr:col>19</xdr:col>
      <xdr:colOff>63500</xdr:colOff>
      <xdr:row>34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5</xdr:row>
      <xdr:rowOff>0</xdr:rowOff>
    </xdr:from>
    <xdr:to>
      <xdr:col>19</xdr:col>
      <xdr:colOff>38100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5</xdr:row>
      <xdr:rowOff>0</xdr:rowOff>
    </xdr:from>
    <xdr:to>
      <xdr:col>19</xdr:col>
      <xdr:colOff>12700</xdr:colOff>
      <xdr:row>30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5</xdr:row>
      <xdr:rowOff>114300</xdr:rowOff>
    </xdr:from>
    <xdr:to>
      <xdr:col>19</xdr:col>
      <xdr:colOff>50800</xdr:colOff>
      <xdr:row>32</xdr:row>
      <xdr:rowOff>101600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4</xdr:row>
      <xdr:rowOff>0</xdr:rowOff>
    </xdr:from>
    <xdr:to>
      <xdr:col>19</xdr:col>
      <xdr:colOff>38100</xdr:colOff>
      <xdr:row>35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5</xdr:row>
      <xdr:rowOff>82550</xdr:rowOff>
    </xdr:from>
    <xdr:to>
      <xdr:col>14</xdr:col>
      <xdr:colOff>438150</xdr:colOff>
      <xdr:row>18</xdr:row>
      <xdr:rowOff>101600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204573</xdr:colOff>
      <xdr:row>5</xdr:row>
      <xdr:rowOff>130518</xdr:rowOff>
    </xdr:from>
    <xdr:to>
      <xdr:col>18</xdr:col>
      <xdr:colOff>592095</xdr:colOff>
      <xdr:row>28</xdr:row>
      <xdr:rowOff>90101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30442</xdr:colOff>
      <xdr:row>8</xdr:row>
      <xdr:rowOff>81243</xdr:rowOff>
    </xdr:from>
    <xdr:to>
      <xdr:col>13</xdr:col>
      <xdr:colOff>723899</xdr:colOff>
      <xdr:row>19</xdr:row>
      <xdr:rowOff>112993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21478</xdr:colOff>
      <xdr:row>24</xdr:row>
      <xdr:rowOff>66674</xdr:rowOff>
    </xdr:from>
    <xdr:to>
      <xdr:col>13</xdr:col>
      <xdr:colOff>723900</xdr:colOff>
      <xdr:row>39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5042</xdr:colOff>
      <xdr:row>8</xdr:row>
      <xdr:rowOff>43143</xdr:rowOff>
    </xdr:from>
    <xdr:to>
      <xdr:col>13</xdr:col>
      <xdr:colOff>698499</xdr:colOff>
      <xdr:row>19</xdr:row>
      <xdr:rowOff>74893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8778</xdr:colOff>
      <xdr:row>24</xdr:row>
      <xdr:rowOff>104774</xdr:rowOff>
    </xdr:from>
    <xdr:to>
      <xdr:col>13</xdr:col>
      <xdr:colOff>711200</xdr:colOff>
      <xdr:row>40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9571</xdr:colOff>
      <xdr:row>24</xdr:row>
      <xdr:rowOff>54769</xdr:rowOff>
    </xdr:from>
    <xdr:to>
      <xdr:col>13</xdr:col>
      <xdr:colOff>711993</xdr:colOff>
      <xdr:row>39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23813</xdr:colOff>
      <xdr:row>8</xdr:row>
      <xdr:rowOff>59532</xdr:rowOff>
    </xdr:from>
    <xdr:to>
      <xdr:col>13</xdr:col>
      <xdr:colOff>717270</xdr:colOff>
      <xdr:row>19</xdr:row>
      <xdr:rowOff>119063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7</xdr:row>
      <xdr:rowOff>82550</xdr:rowOff>
    </xdr:from>
    <xdr:to>
      <xdr:col>12</xdr:col>
      <xdr:colOff>12700</xdr:colOff>
      <xdr:row>22</xdr:row>
      <xdr:rowOff>101600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7</xdr:row>
      <xdr:rowOff>130176</xdr:rowOff>
    </xdr:from>
    <xdr:to>
      <xdr:col>12</xdr:col>
      <xdr:colOff>457200</xdr:colOff>
      <xdr:row>24</xdr:row>
      <xdr:rowOff>63500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7</xdr:row>
      <xdr:rowOff>85725</xdr:rowOff>
    </xdr:from>
    <xdr:to>
      <xdr:col>12</xdr:col>
      <xdr:colOff>304800</xdr:colOff>
      <xdr:row>20</xdr:row>
      <xdr:rowOff>76201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5</xdr:row>
      <xdr:rowOff>0</xdr:rowOff>
    </xdr:from>
    <xdr:to>
      <xdr:col>19</xdr:col>
      <xdr:colOff>63500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4</xdr:row>
      <xdr:rowOff>0</xdr:rowOff>
    </xdr:from>
    <xdr:to>
      <xdr:col>19</xdr:col>
      <xdr:colOff>0</xdr:colOff>
      <xdr:row>35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4</xdr:row>
      <xdr:rowOff>0</xdr:rowOff>
    </xdr:from>
    <xdr:to>
      <xdr:col>19</xdr:col>
      <xdr:colOff>38100</xdr:colOff>
      <xdr:row>35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A66"/>
  <sheetViews>
    <sheetView showGridLines="0" tabSelected="1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29" customWidth="1"/>
    <col min="5" max="5" width="12" bestFit="1" customWidth="1"/>
    <col min="19" max="19" width="9.7109375" style="10" customWidth="1"/>
    <col min="20" max="20" width="9.140625" style="10"/>
    <col min="21" max="22" width="9.140625" style="69"/>
    <col min="23" max="23" width="46.42578125" style="69" bestFit="1" customWidth="1"/>
    <col min="24" max="25" width="9.140625" style="69"/>
    <col min="26" max="27" width="9.140625" style="141"/>
    <col min="28" max="16384" width="9.140625" style="10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144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20.25" customHeight="1">
      <c r="B4" s="6"/>
      <c r="C4" s="136"/>
      <c r="D4" s="133"/>
      <c r="E4" s="156" t="s">
        <v>155</v>
      </c>
      <c r="F4" s="156"/>
      <c r="G4" s="156"/>
      <c r="H4" s="156"/>
      <c r="I4" s="156"/>
      <c r="J4" s="156"/>
      <c r="K4" s="133"/>
      <c r="L4" s="133"/>
      <c r="M4" s="133"/>
      <c r="N4" s="133"/>
      <c r="O4" s="133"/>
      <c r="P4" s="133"/>
      <c r="Q4" s="133"/>
      <c r="R4" s="133"/>
      <c r="S4" s="134"/>
      <c r="T4" s="67"/>
    </row>
    <row r="5" spans="1:24" ht="15.75" customHeight="1">
      <c r="B5" s="6"/>
      <c r="C5" s="2" t="s">
        <v>201</v>
      </c>
      <c r="D5" s="1"/>
      <c r="E5" s="135"/>
      <c r="F5" s="135"/>
      <c r="G5" s="135"/>
      <c r="H5" s="135"/>
      <c r="I5" s="135"/>
      <c r="J5" s="135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8" customHeight="1">
      <c r="B6" s="6"/>
      <c r="C6" s="3" t="s">
        <v>202</v>
      </c>
      <c r="D6" s="155" t="s">
        <v>203</v>
      </c>
      <c r="E6" s="155"/>
      <c r="F6" s="1"/>
      <c r="G6" s="1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8"/>
    </row>
    <row r="7" spans="1:24" ht="15" customHeight="1">
      <c r="B7" s="6"/>
      <c r="C7" s="1"/>
      <c r="D7" s="1"/>
      <c r="E7" s="1"/>
      <c r="F7" s="1"/>
      <c r="G7" s="1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7"/>
      <c r="T7" s="98"/>
    </row>
    <row r="8" spans="1:24" ht="32.25" customHeight="1">
      <c r="B8" s="6"/>
      <c r="C8" s="169" t="s">
        <v>0</v>
      </c>
      <c r="D8" s="170" t="s">
        <v>1</v>
      </c>
      <c r="E8" s="171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69" t="s">
        <v>31</v>
      </c>
      <c r="X8" s="69" t="s">
        <v>2</v>
      </c>
    </row>
    <row r="9" spans="1:24" ht="15" customHeight="1">
      <c r="B9" s="6"/>
      <c r="C9" s="172" t="s">
        <v>45</v>
      </c>
      <c r="D9" s="172" t="s">
        <v>4</v>
      </c>
      <c r="E9" s="173">
        <v>6.2976000000000004E-2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4</v>
      </c>
      <c r="X9" s="71">
        <v>0.210926</v>
      </c>
    </row>
    <row r="10" spans="1:24" ht="15.75" customHeight="1">
      <c r="B10" s="6"/>
      <c r="C10" s="174" t="s">
        <v>44</v>
      </c>
      <c r="D10" s="174" t="s">
        <v>12</v>
      </c>
      <c r="E10" s="175">
        <v>4.2883999999999999E-2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9</v>
      </c>
      <c r="X10" s="71">
        <v>7.9524999999999998E-2</v>
      </c>
    </row>
    <row r="11" spans="1:24" ht="15" customHeight="1">
      <c r="B11" s="6"/>
      <c r="C11" s="174" t="s">
        <v>49</v>
      </c>
      <c r="D11" s="174" t="s">
        <v>4</v>
      </c>
      <c r="E11" s="175">
        <v>3.6151999999999997E-2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8</v>
      </c>
      <c r="X11" s="71">
        <v>7.8273000000000009E-2</v>
      </c>
    </row>
    <row r="12" spans="1:24" ht="15" customHeight="1">
      <c r="B12" s="6"/>
      <c r="C12" s="174" t="s">
        <v>48</v>
      </c>
      <c r="D12" s="174" t="s">
        <v>7</v>
      </c>
      <c r="E12" s="175">
        <v>3.4551999999999999E-2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5</v>
      </c>
      <c r="X12" s="71">
        <v>7.2749999999999995E-2</v>
      </c>
    </row>
    <row r="13" spans="1:24" ht="15" customHeight="1">
      <c r="B13" s="6"/>
      <c r="C13" s="174" t="s">
        <v>51</v>
      </c>
      <c r="D13" s="174" t="s">
        <v>10</v>
      </c>
      <c r="E13" s="175">
        <v>2.8284E-2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17</v>
      </c>
      <c r="X13" s="71">
        <v>6.6213999999999995E-2</v>
      </c>
    </row>
    <row r="14" spans="1:24" ht="15" customHeight="1">
      <c r="B14" s="6"/>
      <c r="C14" s="174" t="s">
        <v>20</v>
      </c>
      <c r="D14" s="174" t="s">
        <v>4</v>
      </c>
      <c r="E14" s="175">
        <v>2.5967E-2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12</v>
      </c>
      <c r="X14" s="71">
        <v>6.4185999999999993E-2</v>
      </c>
    </row>
    <row r="15" spans="1:24" ht="15" customHeight="1">
      <c r="B15" s="6"/>
      <c r="C15" s="174" t="s">
        <v>53</v>
      </c>
      <c r="D15" s="174" t="s">
        <v>4</v>
      </c>
      <c r="E15" s="175">
        <v>2.4839E-2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7</v>
      </c>
      <c r="X15" s="71">
        <v>4.9278999999999996E-2</v>
      </c>
    </row>
    <row r="16" spans="1:24" ht="15" customHeight="1">
      <c r="B16" s="6"/>
      <c r="C16" s="174" t="s">
        <v>65</v>
      </c>
      <c r="D16" s="174" t="s">
        <v>39</v>
      </c>
      <c r="E16" s="175">
        <v>2.4336E-2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10</v>
      </c>
      <c r="X16" s="71">
        <v>4.7622999999999999E-2</v>
      </c>
    </row>
    <row r="17" spans="2:24" ht="15" customHeight="1">
      <c r="B17" s="6"/>
      <c r="C17" s="174" t="s">
        <v>47</v>
      </c>
      <c r="D17" s="174" t="s">
        <v>8</v>
      </c>
      <c r="E17" s="175">
        <v>2.3562E-2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39</v>
      </c>
      <c r="X17" s="71">
        <v>4.3254000000000001E-2</v>
      </c>
    </row>
    <row r="18" spans="2:24" ht="15" customHeight="1">
      <c r="B18" s="6"/>
      <c r="C18" s="174" t="s">
        <v>132</v>
      </c>
      <c r="D18" s="174" t="s">
        <v>18</v>
      </c>
      <c r="E18" s="175">
        <v>2.1992999999999999E-2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11</v>
      </c>
      <c r="X18" s="71">
        <v>3.7083999999999999E-2</v>
      </c>
    </row>
    <row r="19" spans="2:24" ht="15" customHeight="1">
      <c r="B19" s="6"/>
      <c r="C19" s="174" t="s">
        <v>52</v>
      </c>
      <c r="D19" s="174" t="s">
        <v>4</v>
      </c>
      <c r="E19" s="175">
        <v>2.1510999999999999E-2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33</v>
      </c>
      <c r="X19" s="71">
        <v>3.6183E-2</v>
      </c>
    </row>
    <row r="20" spans="2:24" ht="15" customHeight="1">
      <c r="B20" s="6"/>
      <c r="C20" s="174" t="s">
        <v>135</v>
      </c>
      <c r="D20" s="174" t="s">
        <v>5</v>
      </c>
      <c r="E20" s="175">
        <v>2.0594999999999999E-2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  <c r="W20" s="70" t="s">
        <v>18</v>
      </c>
      <c r="X20" s="71">
        <v>2.8975000000000001E-2</v>
      </c>
    </row>
    <row r="21" spans="2:24" ht="15" customHeight="1">
      <c r="B21" s="6"/>
      <c r="C21" s="174" t="s">
        <v>101</v>
      </c>
      <c r="D21" s="174" t="s">
        <v>4</v>
      </c>
      <c r="E21" s="175">
        <v>2.0562E-2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  <c r="W21" s="70" t="s">
        <v>13</v>
      </c>
      <c r="X21" s="71">
        <v>2.6109E-2</v>
      </c>
    </row>
    <row r="22" spans="2:24" ht="27.75" customHeight="1">
      <c r="B22" s="6"/>
      <c r="C22" s="176" t="s">
        <v>163</v>
      </c>
      <c r="D22" s="177" t="s">
        <v>42</v>
      </c>
      <c r="E22" s="175">
        <v>1.9085999999999999E-2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  <c r="W22" s="70" t="s">
        <v>26</v>
      </c>
      <c r="X22" s="71">
        <v>2.0046000000000001E-2</v>
      </c>
    </row>
    <row r="23" spans="2:24" ht="15" customHeight="1">
      <c r="B23" s="6"/>
      <c r="C23" s="178" t="s">
        <v>118</v>
      </c>
      <c r="D23" s="178" t="s">
        <v>17</v>
      </c>
      <c r="E23" s="179">
        <v>1.7923999999999999E-2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 t="s">
        <v>42</v>
      </c>
      <c r="X23" s="71">
        <v>1.9085999999999999E-2</v>
      </c>
    </row>
    <row r="24" spans="2:24" ht="15" customHeight="1">
      <c r="B24" s="6"/>
      <c r="C24" s="180" t="s">
        <v>99</v>
      </c>
      <c r="D24" s="181"/>
      <c r="E24" s="182">
        <f>SUM(E9:E23)</f>
        <v>0.42522300000000002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 t="s">
        <v>14</v>
      </c>
      <c r="X24" s="71">
        <v>1.8703999999999998E-2</v>
      </c>
    </row>
    <row r="25" spans="2:24" ht="15" customHeight="1">
      <c r="B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 t="s">
        <v>24</v>
      </c>
      <c r="X25" s="71">
        <v>1.8391000000000001E-2</v>
      </c>
    </row>
    <row r="26" spans="2:24" ht="15" customHeight="1">
      <c r="B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 t="s">
        <v>21</v>
      </c>
      <c r="X26" s="71">
        <v>1.1199000000000001E-2</v>
      </c>
    </row>
    <row r="27" spans="2:24" ht="15" customHeight="1">
      <c r="B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70" t="s">
        <v>34</v>
      </c>
      <c r="X27" s="71">
        <v>1.0233000000000001E-2</v>
      </c>
    </row>
    <row r="28" spans="2:24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70" t="s">
        <v>90</v>
      </c>
      <c r="X28" s="71">
        <v>7.705E-3</v>
      </c>
    </row>
    <row r="29" spans="2:24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  <c r="W29" s="70" t="s">
        <v>23</v>
      </c>
      <c r="X29" s="71">
        <v>7.6920000000000001E-3</v>
      </c>
    </row>
    <row r="30" spans="2:24" ht="15" customHeight="1">
      <c r="B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67"/>
      <c r="W30" s="70"/>
      <c r="X30" s="71"/>
    </row>
    <row r="31" spans="2:24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67"/>
      <c r="W31" s="70"/>
      <c r="X31" s="71"/>
    </row>
    <row r="32" spans="2:24" ht="15" customHeight="1">
      <c r="B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67"/>
      <c r="W32" s="70"/>
      <c r="X32" s="71"/>
    </row>
    <row r="33" spans="2:24" ht="15" customHeight="1">
      <c r="B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7"/>
      <c r="W33" s="70"/>
      <c r="X33" s="71"/>
    </row>
    <row r="34" spans="2:24" ht="15" customHeight="1">
      <c r="B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8"/>
      <c r="T34" s="67"/>
      <c r="W34" s="70"/>
      <c r="X34" s="71"/>
    </row>
    <row r="35" spans="2:24" ht="15" customHeight="1">
      <c r="B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8"/>
      <c r="T35" s="67"/>
      <c r="W35" s="70"/>
      <c r="X35" s="112"/>
    </row>
    <row r="36" spans="2:24" ht="15" customHeight="1">
      <c r="B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8"/>
      <c r="T36" s="67"/>
    </row>
    <row r="37" spans="2:24" ht="15" customHeight="1">
      <c r="B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68"/>
      <c r="T37" s="67"/>
    </row>
    <row r="38" spans="2:24" ht="15" customHeight="1">
      <c r="B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68"/>
      <c r="T38" s="67"/>
    </row>
    <row r="39" spans="2:24" ht="15" customHeight="1" thickBot="1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72"/>
      <c r="T39" s="73"/>
    </row>
    <row r="40" spans="2:24" ht="15" customHeight="1"/>
    <row r="41" spans="2:24" ht="15" customHeight="1"/>
    <row r="42" spans="2:24" ht="15" customHeight="1"/>
    <row r="43" spans="2:24" ht="15" customHeight="1"/>
    <row r="44" spans="2:24" ht="15" customHeight="1"/>
    <row r="45" spans="2:24" ht="15" customHeight="1"/>
    <row r="46" spans="2:24" ht="15" customHeight="1"/>
    <row r="47" spans="2:24" ht="15" customHeight="1"/>
    <row r="48" spans="2:2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</sheetData>
  <sortState ref="W9:X29">
    <sortCondition descending="1" ref="X9:X29"/>
  </sortState>
  <mergeCells count="3">
    <mergeCell ref="C3:S3"/>
    <mergeCell ref="D6:E6"/>
    <mergeCell ref="E4:J4"/>
  </mergeCells>
  <pageMargins left="0.2" right="0.2" top="0.74803149606299213" bottom="0.74803149606299213" header="0.31496062992125984" footer="0.31496062992125984"/>
  <pageSetup scale="55" orientation="landscape" r:id="rId1"/>
  <colBreaks count="1" manualBreakCount="1">
    <brk id="20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G75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28.28515625" customWidth="1"/>
    <col min="5" max="5" width="12" bestFit="1" customWidth="1"/>
    <col min="19" max="19" width="9.85546875" style="10" customWidth="1"/>
    <col min="20" max="22" width="9.140625" style="10"/>
    <col min="23" max="23" width="46.42578125" style="10" bestFit="1" customWidth="1"/>
    <col min="24" max="26" width="9.140625" style="10"/>
    <col min="27" max="27" width="9.140625" style="92"/>
    <col min="28" max="28" width="9.140625" style="10"/>
    <col min="29" max="29" width="9.140625" style="92"/>
    <col min="30" max="33" width="9.140625" style="10"/>
    <col min="34" max="16384" width="9.140625" style="92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143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20.25" customHeight="1">
      <c r="B4" s="6"/>
      <c r="C4" s="137"/>
      <c r="D4" s="133"/>
      <c r="E4" s="156" t="s">
        <v>156</v>
      </c>
      <c r="F4" s="156"/>
      <c r="G4" s="156"/>
      <c r="H4" s="156"/>
      <c r="I4" s="156"/>
      <c r="J4" s="156"/>
      <c r="K4" s="133"/>
      <c r="L4" s="133"/>
      <c r="M4" s="133"/>
      <c r="N4" s="133"/>
      <c r="O4" s="133"/>
      <c r="P4" s="133"/>
      <c r="Q4" s="133"/>
      <c r="R4" s="133"/>
      <c r="S4" s="134"/>
      <c r="T4" s="67"/>
    </row>
    <row r="5" spans="1:24" ht="15.75" customHeight="1">
      <c r="B5" s="6"/>
      <c r="C5" s="2" t="s">
        <v>201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8" customHeight="1">
      <c r="B6" s="6"/>
      <c r="C6" s="3" t="s">
        <v>202</v>
      </c>
      <c r="D6" s="155" t="s">
        <v>204</v>
      </c>
      <c r="E6" s="155"/>
      <c r="F6" s="1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67"/>
    </row>
    <row r="7" spans="1:24" ht="15" customHeight="1">
      <c r="B7" s="6"/>
      <c r="C7" s="1"/>
      <c r="D7" s="1"/>
      <c r="E7" s="1"/>
      <c r="F7" s="1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7"/>
      <c r="T7" s="67"/>
    </row>
    <row r="8" spans="1:24" ht="32.25" customHeight="1">
      <c r="B8" s="6"/>
      <c r="C8" s="169" t="s">
        <v>0</v>
      </c>
      <c r="D8" s="170" t="s">
        <v>1</v>
      </c>
      <c r="E8" s="171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69" t="s">
        <v>31</v>
      </c>
      <c r="X8" s="69" t="s">
        <v>2</v>
      </c>
    </row>
    <row r="9" spans="1:24" ht="15" customHeight="1">
      <c r="B9" s="6"/>
      <c r="C9" s="82" t="s">
        <v>48</v>
      </c>
      <c r="D9" s="84" t="s">
        <v>7</v>
      </c>
      <c r="E9" s="86">
        <v>8.5507E-2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4</v>
      </c>
      <c r="X9" s="71">
        <v>0.27503500000000003</v>
      </c>
    </row>
    <row r="10" spans="1:24" ht="15.75" customHeight="1">
      <c r="B10" s="6"/>
      <c r="C10" s="83" t="s">
        <v>45</v>
      </c>
      <c r="D10" s="85" t="s">
        <v>4</v>
      </c>
      <c r="E10" s="87">
        <v>8.5194000000000006E-2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12</v>
      </c>
      <c r="X10" s="71">
        <v>0.17424400000000001</v>
      </c>
    </row>
    <row r="11" spans="1:24" ht="15" customHeight="1">
      <c r="B11" s="6"/>
      <c r="C11" s="83" t="s">
        <v>49</v>
      </c>
      <c r="D11" s="85" t="s">
        <v>4</v>
      </c>
      <c r="E11" s="87">
        <v>7.4735999999999997E-2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8</v>
      </c>
      <c r="X11" s="71">
        <v>0.16810800000000001</v>
      </c>
    </row>
    <row r="12" spans="1:24" ht="15" customHeight="1">
      <c r="B12" s="6"/>
      <c r="C12" s="83" t="s">
        <v>44</v>
      </c>
      <c r="D12" s="85" t="s">
        <v>12</v>
      </c>
      <c r="E12" s="87">
        <v>6.9054000000000004E-2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7</v>
      </c>
      <c r="X12" s="71">
        <v>8.5507E-2</v>
      </c>
    </row>
    <row r="13" spans="1:24" ht="15" customHeight="1">
      <c r="B13" s="6"/>
      <c r="C13" s="83" t="s">
        <v>47</v>
      </c>
      <c r="D13" s="85" t="s">
        <v>8</v>
      </c>
      <c r="E13" s="87">
        <v>5.9029999999999999E-2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9</v>
      </c>
      <c r="X13" s="71">
        <v>7.7016000000000001E-2</v>
      </c>
    </row>
    <row r="14" spans="1:24" ht="15" customHeight="1">
      <c r="B14" s="6"/>
      <c r="C14" s="83" t="s">
        <v>53</v>
      </c>
      <c r="D14" s="85" t="s">
        <v>4</v>
      </c>
      <c r="E14" s="87">
        <v>4.5665999999999998E-2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18</v>
      </c>
      <c r="X14" s="71">
        <v>5.4489999999999997E-2</v>
      </c>
    </row>
    <row r="15" spans="1:24" ht="15" customHeight="1">
      <c r="B15" s="6"/>
      <c r="C15" s="83" t="s">
        <v>50</v>
      </c>
      <c r="D15" s="85" t="s">
        <v>12</v>
      </c>
      <c r="E15" s="87">
        <v>4.3603999999999997E-2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17</v>
      </c>
      <c r="X15" s="71">
        <v>3.2120999999999997E-2</v>
      </c>
    </row>
    <row r="16" spans="1:24" ht="15" customHeight="1">
      <c r="B16" s="6"/>
      <c r="C16" s="83" t="s">
        <v>20</v>
      </c>
      <c r="D16" s="85" t="s">
        <v>4</v>
      </c>
      <c r="E16" s="87">
        <v>4.2061000000000001E-2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23</v>
      </c>
      <c r="X16" s="71">
        <v>2.6488999999999999E-2</v>
      </c>
    </row>
    <row r="17" spans="2:24" ht="15" customHeight="1">
      <c r="B17" s="6"/>
      <c r="C17" s="83" t="s">
        <v>183</v>
      </c>
      <c r="D17" s="85" t="s">
        <v>9</v>
      </c>
      <c r="E17" s="87">
        <v>3.5742999999999997E-2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24</v>
      </c>
      <c r="X17" s="71">
        <v>2.4184999999999998E-2</v>
      </c>
    </row>
    <row r="18" spans="2:24" ht="15" customHeight="1">
      <c r="B18" s="6"/>
      <c r="C18" s="83" t="s">
        <v>132</v>
      </c>
      <c r="D18" s="85" t="s">
        <v>18</v>
      </c>
      <c r="E18" s="87">
        <v>3.4195999999999997E-2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39</v>
      </c>
      <c r="X18" s="71">
        <v>1.6670000000000001E-2</v>
      </c>
    </row>
    <row r="19" spans="2:24" ht="15" customHeight="1">
      <c r="B19" s="6"/>
      <c r="C19" s="83" t="s">
        <v>52</v>
      </c>
      <c r="D19" s="85" t="s">
        <v>4</v>
      </c>
      <c r="E19" s="87">
        <v>2.7378E-2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10</v>
      </c>
      <c r="X19" s="71">
        <v>1.1259999999999999E-2</v>
      </c>
    </row>
    <row r="20" spans="2:24" ht="15" customHeight="1">
      <c r="B20" s="6"/>
      <c r="C20" s="83" t="s">
        <v>181</v>
      </c>
      <c r="D20" s="85" t="s">
        <v>9</v>
      </c>
      <c r="E20" s="87">
        <v>2.5669000000000001E-2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  <c r="W20" s="70" t="s">
        <v>5</v>
      </c>
      <c r="X20" s="71">
        <v>1.0834E-2</v>
      </c>
    </row>
    <row r="21" spans="2:24" ht="15" customHeight="1">
      <c r="B21" s="6"/>
      <c r="C21" s="83" t="s">
        <v>54</v>
      </c>
      <c r="D21" s="85" t="s">
        <v>8</v>
      </c>
      <c r="E21" s="87">
        <v>2.5488E-2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  <c r="W21" s="70" t="s">
        <v>11</v>
      </c>
      <c r="X21" s="71">
        <v>5.0179999999999999E-3</v>
      </c>
    </row>
    <row r="22" spans="2:24" ht="15" customHeight="1">
      <c r="B22" s="6"/>
      <c r="C22" s="83" t="s">
        <v>118</v>
      </c>
      <c r="D22" s="85" t="s">
        <v>17</v>
      </c>
      <c r="E22" s="87">
        <v>2.1683999999999998E-2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  <c r="W22" s="70"/>
      <c r="X22" s="71"/>
    </row>
    <row r="23" spans="2:24" ht="15" customHeight="1">
      <c r="B23" s="6"/>
      <c r="C23" s="83" t="s">
        <v>55</v>
      </c>
      <c r="D23" s="85" t="s">
        <v>18</v>
      </c>
      <c r="E23" s="87">
        <v>2.0294E-2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/>
      <c r="X23" s="71"/>
    </row>
    <row r="24" spans="2:24" ht="15" customHeight="1">
      <c r="B24" s="6"/>
      <c r="C24" s="178"/>
      <c r="D24" s="178"/>
      <c r="E24" s="18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/>
      <c r="X24" s="71"/>
    </row>
    <row r="25" spans="2:24" ht="15" customHeight="1">
      <c r="B25" s="6"/>
      <c r="C25" s="180" t="s">
        <v>99</v>
      </c>
      <c r="D25" s="181"/>
      <c r="E25" s="182">
        <f>SUM(E9:E24)</f>
        <v>0.69530400000000003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/>
      <c r="X25" s="71"/>
    </row>
    <row r="26" spans="2:24" ht="15" customHeight="1">
      <c r="B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/>
      <c r="X26" s="71"/>
    </row>
    <row r="27" spans="2:24" ht="15" customHeight="1">
      <c r="B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70"/>
      <c r="X27" s="71"/>
    </row>
    <row r="28" spans="2:24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70"/>
      <c r="X28" s="71"/>
    </row>
    <row r="29" spans="2:24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  <c r="W29" s="70"/>
      <c r="X29" s="71"/>
    </row>
    <row r="30" spans="2:24" ht="15" customHeight="1">
      <c r="B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67"/>
      <c r="W30" s="70"/>
      <c r="X30" s="112"/>
    </row>
    <row r="31" spans="2:24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67"/>
      <c r="W31" s="70"/>
      <c r="X31" s="71"/>
    </row>
    <row r="32" spans="2:24" ht="15" customHeight="1">
      <c r="B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67"/>
      <c r="W32" s="70"/>
      <c r="X32" s="71"/>
    </row>
    <row r="33" spans="2:24" ht="15" customHeight="1">
      <c r="B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7"/>
      <c r="W33" s="70"/>
      <c r="X33" s="71"/>
    </row>
    <row r="34" spans="2:24" ht="15" customHeight="1">
      <c r="B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8"/>
      <c r="T34" s="67"/>
      <c r="W34" s="69"/>
      <c r="X34" s="69"/>
    </row>
    <row r="35" spans="2:24" ht="15" customHeight="1">
      <c r="B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8"/>
      <c r="T35" s="67"/>
      <c r="W35" s="69"/>
      <c r="X35" s="69"/>
    </row>
    <row r="36" spans="2:24" ht="15" customHeight="1">
      <c r="B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8"/>
      <c r="T36" s="67"/>
      <c r="W36" s="69"/>
      <c r="X36" s="69"/>
    </row>
    <row r="37" spans="2:24" ht="15" customHeight="1">
      <c r="B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68"/>
      <c r="T37" s="67"/>
      <c r="W37" s="69"/>
      <c r="X37" s="69"/>
    </row>
    <row r="38" spans="2:24" ht="15.75" customHeight="1">
      <c r="B38" s="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68"/>
      <c r="T38" s="67"/>
    </row>
    <row r="39" spans="2:24" ht="15" hidden="1" customHeight="1">
      <c r="B39" s="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68"/>
      <c r="T39" s="67"/>
    </row>
    <row r="40" spans="2:24" ht="15" hidden="1" customHeight="1">
      <c r="B40" s="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68"/>
      <c r="T40" s="67"/>
    </row>
    <row r="41" spans="2:24" ht="15" hidden="1" customHeight="1"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8"/>
      <c r="T41" s="67"/>
    </row>
    <row r="42" spans="2:24" ht="15" hidden="1" customHeight="1">
      <c r="B42" s="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68"/>
      <c r="T42" s="67"/>
    </row>
    <row r="43" spans="2:24" ht="15" hidden="1" customHeight="1">
      <c r="B43" s="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68"/>
      <c r="T43" s="67"/>
    </row>
    <row r="44" spans="2:24" ht="15" hidden="1" customHeight="1"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68"/>
      <c r="T44" s="67"/>
    </row>
    <row r="45" spans="2:24" ht="15" hidden="1" customHeight="1">
      <c r="B45" s="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68"/>
      <c r="T45" s="67"/>
    </row>
    <row r="46" spans="2:24" ht="15" hidden="1" customHeight="1">
      <c r="B46" s="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68"/>
      <c r="T46" s="67"/>
    </row>
    <row r="47" spans="2:24" ht="15" hidden="1" customHeight="1">
      <c r="B47" s="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68"/>
      <c r="T47" s="67"/>
    </row>
    <row r="48" spans="2:24" ht="15" customHeight="1" thickBot="1">
      <c r="B48" s="244"/>
      <c r="C48" s="113"/>
      <c r="D48" s="113"/>
      <c r="E48" s="113"/>
      <c r="F48" s="113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72"/>
      <c r="T48" s="73"/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sortState ref="W9:X21">
    <sortCondition descending="1" ref="X9:X21"/>
  </sortState>
  <mergeCells count="3">
    <mergeCell ref="C3:S3"/>
    <mergeCell ref="D6:E6"/>
    <mergeCell ref="E4:J4"/>
  </mergeCells>
  <pageMargins left="0.7" right="0.7" top="0.75" bottom="0.75" header="0.3" footer="0.3"/>
  <pageSetup paperSize="9" scale="36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F75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33.85546875" bestFit="1" customWidth="1"/>
    <col min="5" max="5" width="12" bestFit="1" customWidth="1"/>
    <col min="19" max="19" width="9.85546875" style="10" customWidth="1"/>
    <col min="20" max="20" width="9.140625" style="10"/>
    <col min="21" max="25" width="9.140625" style="69"/>
    <col min="26" max="26" width="9.140625" style="10"/>
    <col min="27" max="32" width="9.140625" style="92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113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15.75" customHeight="1">
      <c r="B4" s="6"/>
      <c r="C4" s="2" t="s">
        <v>201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8"/>
      <c r="T4" s="67"/>
    </row>
    <row r="5" spans="1:24" ht="18" customHeight="1">
      <c r="B5" s="6"/>
      <c r="C5" s="3" t="s">
        <v>202</v>
      </c>
      <c r="D5" s="155" t="s">
        <v>205</v>
      </c>
      <c r="E5" s="155"/>
      <c r="F5" s="1"/>
      <c r="G5" s="9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5" customHeight="1"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8"/>
      <c r="T6" s="67"/>
    </row>
    <row r="7" spans="1:24" ht="32.25" customHeight="1">
      <c r="B7" s="6"/>
      <c r="C7" s="169" t="s">
        <v>0</v>
      </c>
      <c r="D7" s="170" t="s">
        <v>1</v>
      </c>
      <c r="E7" s="171" t="s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8"/>
      <c r="T7" s="67"/>
      <c r="W7" s="69" t="s">
        <v>31</v>
      </c>
      <c r="X7" s="81" t="s">
        <v>2</v>
      </c>
    </row>
    <row r="8" spans="1:24" ht="15" customHeight="1">
      <c r="B8" s="6"/>
      <c r="C8" s="82" t="s">
        <v>49</v>
      </c>
      <c r="D8" s="84" t="s">
        <v>4</v>
      </c>
      <c r="E8" s="86">
        <v>7.8992000000000007E-2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70" t="s">
        <v>4</v>
      </c>
      <c r="X8" s="71">
        <v>0.23783899999999999</v>
      </c>
    </row>
    <row r="9" spans="1:24" ht="15.75" customHeight="1">
      <c r="B9" s="6"/>
      <c r="C9" s="83" t="s">
        <v>20</v>
      </c>
      <c r="D9" s="85" t="s">
        <v>4</v>
      </c>
      <c r="E9" s="87">
        <v>6.9583000000000006E-2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8</v>
      </c>
      <c r="X9" s="71">
        <v>0.14003300000000002</v>
      </c>
    </row>
    <row r="10" spans="1:24" ht="15" customHeight="1">
      <c r="B10" s="6"/>
      <c r="C10" s="83" t="s">
        <v>44</v>
      </c>
      <c r="D10" s="85" t="s">
        <v>12</v>
      </c>
      <c r="E10" s="87">
        <v>6.4362000000000003E-2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12</v>
      </c>
      <c r="X10" s="71">
        <v>0.137129</v>
      </c>
    </row>
    <row r="11" spans="1:24" ht="15" customHeight="1">
      <c r="B11" s="6"/>
      <c r="C11" s="83" t="s">
        <v>53</v>
      </c>
      <c r="D11" s="85" t="s">
        <v>4</v>
      </c>
      <c r="E11" s="87">
        <v>5.7634999999999999E-2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5</v>
      </c>
      <c r="X11" s="71">
        <v>9.0842000000000006E-2</v>
      </c>
    </row>
    <row r="12" spans="1:24" ht="15" customHeight="1">
      <c r="B12" s="6"/>
      <c r="C12" s="83" t="s">
        <v>48</v>
      </c>
      <c r="D12" s="85" t="s">
        <v>7</v>
      </c>
      <c r="E12" s="87">
        <v>5.5451E-2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9</v>
      </c>
      <c r="X12" s="71">
        <v>8.5024000000000002E-2</v>
      </c>
    </row>
    <row r="13" spans="1:24" ht="15" customHeight="1">
      <c r="B13" s="6"/>
      <c r="C13" s="83" t="s">
        <v>145</v>
      </c>
      <c r="D13" s="85" t="s">
        <v>8</v>
      </c>
      <c r="E13" s="87">
        <v>5.1462000000000001E-2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18</v>
      </c>
      <c r="X13" s="71">
        <v>7.9854000000000008E-2</v>
      </c>
    </row>
    <row r="14" spans="1:24" ht="15" customHeight="1">
      <c r="B14" s="6"/>
      <c r="C14" s="83" t="s">
        <v>118</v>
      </c>
      <c r="D14" s="85" t="s">
        <v>17</v>
      </c>
      <c r="E14" s="87">
        <v>4.5086000000000001E-2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17</v>
      </c>
      <c r="X14" s="71">
        <v>5.867E-2</v>
      </c>
    </row>
    <row r="15" spans="1:24" ht="15" customHeight="1">
      <c r="B15" s="6"/>
      <c r="C15" s="83" t="s">
        <v>132</v>
      </c>
      <c r="D15" s="85" t="s">
        <v>18</v>
      </c>
      <c r="E15" s="87">
        <v>4.2934E-2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7</v>
      </c>
      <c r="X15" s="71">
        <v>5.5451E-2</v>
      </c>
    </row>
    <row r="16" spans="1:24" ht="15" customHeight="1">
      <c r="B16" s="6"/>
      <c r="C16" s="83" t="s">
        <v>187</v>
      </c>
      <c r="D16" s="85" t="s">
        <v>24</v>
      </c>
      <c r="E16" s="87">
        <v>4.2065999999999999E-2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24</v>
      </c>
      <c r="X16" s="71">
        <v>4.2065999999999999E-2</v>
      </c>
    </row>
    <row r="17" spans="2:24" ht="15" customHeight="1">
      <c r="B17" s="6"/>
      <c r="C17" s="83" t="s">
        <v>134</v>
      </c>
      <c r="D17" s="85" t="s">
        <v>8</v>
      </c>
      <c r="E17" s="87">
        <v>4.1662999999999999E-2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115</v>
      </c>
      <c r="X17" s="71">
        <v>3.2767999999999999E-2</v>
      </c>
    </row>
    <row r="18" spans="2:24" ht="15" customHeight="1">
      <c r="B18" s="6"/>
      <c r="C18" s="83" t="s">
        <v>55</v>
      </c>
      <c r="D18" s="85" t="s">
        <v>18</v>
      </c>
      <c r="E18" s="87">
        <v>3.6920000000000001E-2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39</v>
      </c>
      <c r="X18" s="71">
        <v>1.9889E-2</v>
      </c>
    </row>
    <row r="19" spans="2:24" ht="15" customHeight="1">
      <c r="B19" s="6"/>
      <c r="C19" s="83" t="s">
        <v>139</v>
      </c>
      <c r="D19" s="85" t="s">
        <v>115</v>
      </c>
      <c r="E19" s="87">
        <v>3.2767999999999999E-2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19</v>
      </c>
      <c r="X19" s="71">
        <v>1.1837E-2</v>
      </c>
    </row>
    <row r="20" spans="2:24" ht="15" customHeight="1">
      <c r="B20" s="6"/>
      <c r="C20" s="83" t="s">
        <v>101</v>
      </c>
      <c r="D20" s="85" t="s">
        <v>4</v>
      </c>
      <c r="E20" s="87">
        <v>3.1628999999999997E-2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</row>
    <row r="21" spans="2:24" ht="15" customHeight="1">
      <c r="B21" s="6"/>
      <c r="C21" s="83" t="s">
        <v>181</v>
      </c>
      <c r="D21" s="85" t="s">
        <v>9</v>
      </c>
      <c r="E21" s="87">
        <v>2.9596999999999998E-2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  <c r="W21" s="70"/>
      <c r="X21" s="71"/>
    </row>
    <row r="22" spans="2:24" ht="15" customHeight="1">
      <c r="B22" s="6"/>
      <c r="C22" s="83" t="s">
        <v>206</v>
      </c>
      <c r="D22" s="85" t="s">
        <v>12</v>
      </c>
      <c r="E22" s="87">
        <v>2.8863E-2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  <c r="W22" s="70"/>
      <c r="X22" s="71"/>
    </row>
    <row r="23" spans="2:24" ht="15" customHeight="1">
      <c r="B23" s="6"/>
      <c r="C23" s="178"/>
      <c r="D23" s="184"/>
      <c r="E23" s="18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/>
      <c r="X23" s="71"/>
    </row>
    <row r="24" spans="2:24" ht="15" customHeight="1">
      <c r="B24" s="6"/>
      <c r="C24" s="180" t="s">
        <v>99</v>
      </c>
      <c r="D24" s="181"/>
      <c r="E24" s="182">
        <f>SUM(E8:E22)</f>
        <v>0.70901100000000006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/>
      <c r="X24" s="71"/>
    </row>
    <row r="25" spans="2:24" ht="15" customHeight="1">
      <c r="B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/>
      <c r="X25" s="71"/>
    </row>
    <row r="26" spans="2:24" ht="15" customHeight="1">
      <c r="B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/>
      <c r="X26" s="71"/>
    </row>
    <row r="27" spans="2:24" ht="15" customHeight="1">
      <c r="B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115"/>
      <c r="X27" s="116"/>
    </row>
    <row r="28" spans="2:24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115"/>
      <c r="X28" s="81"/>
    </row>
    <row r="29" spans="2:24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</row>
    <row r="30" spans="2:24" ht="15" customHeight="1">
      <c r="B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67"/>
    </row>
    <row r="31" spans="2:24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67"/>
    </row>
    <row r="32" spans="2:24" ht="15" customHeight="1">
      <c r="B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67"/>
    </row>
    <row r="33" spans="2:20" ht="15.75" customHeight="1">
      <c r="B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7"/>
    </row>
    <row r="34" spans="2:20" ht="15.75" customHeight="1">
      <c r="B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8"/>
      <c r="T34" s="67"/>
    </row>
    <row r="35" spans="2:20" ht="15.75" customHeight="1">
      <c r="B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8"/>
      <c r="T35" s="67"/>
    </row>
    <row r="36" spans="2:20" ht="15.75" customHeight="1">
      <c r="B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8"/>
      <c r="T36" s="67"/>
    </row>
    <row r="37" spans="2:20" ht="15.75" customHeight="1">
      <c r="B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68"/>
      <c r="T37" s="67"/>
    </row>
    <row r="38" spans="2:20" ht="15.75" customHeight="1">
      <c r="B38" s="6"/>
      <c r="F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68"/>
      <c r="T38" s="67"/>
    </row>
    <row r="39" spans="2:20" ht="15" customHeight="1">
      <c r="B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68"/>
      <c r="T39" s="67"/>
    </row>
    <row r="40" spans="2:20" ht="15" customHeight="1">
      <c r="B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68"/>
      <c r="T40" s="67"/>
    </row>
    <row r="41" spans="2:20" ht="15" customHeight="1">
      <c r="B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68"/>
      <c r="T41" s="67"/>
    </row>
    <row r="42" spans="2:20" ht="15" customHeight="1">
      <c r="B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68"/>
      <c r="T42" s="67"/>
    </row>
    <row r="43" spans="2:20">
      <c r="B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68"/>
      <c r="T43" s="67"/>
    </row>
    <row r="44" spans="2:20" ht="15" customHeight="1">
      <c r="B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68"/>
      <c r="T44" s="67"/>
    </row>
    <row r="45" spans="2:20" ht="15" customHeight="1" thickBot="1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72"/>
      <c r="T45" s="73"/>
    </row>
    <row r="46" spans="2:20" ht="15" customHeight="1"/>
    <row r="47" spans="2:20" ht="15" customHeight="1"/>
    <row r="48" spans="2:20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sortState ref="W8:X19">
    <sortCondition descending="1" ref="X8:X19"/>
  </sortState>
  <mergeCells count="2">
    <mergeCell ref="C3:S3"/>
    <mergeCell ref="D5:E5"/>
  </mergeCells>
  <pageMargins left="0.19685039370078741" right="0.19685039370078741" top="0.74803149606299213" bottom="0.74803149606299213" header="0.31496062992125984" footer="0.31496062992125984"/>
  <pageSetup scale="52" orientation="landscape" r:id="rId1"/>
  <colBreaks count="1" manualBreakCount="1">
    <brk id="20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/>
  <dimension ref="A1:AH36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28.28515625" customWidth="1"/>
    <col min="5" max="5" width="11.5703125" bestFit="1" customWidth="1"/>
    <col min="19" max="19" width="9.85546875" style="10" customWidth="1"/>
    <col min="20" max="20" width="9.140625" style="10"/>
    <col min="21" max="25" width="9.140625" style="69"/>
    <col min="26" max="27" width="9.140625" style="141"/>
    <col min="28" max="33" width="9.140625" style="92"/>
    <col min="34" max="34" width="9.140625" style="10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147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20.25" customHeight="1">
      <c r="B4" s="6"/>
      <c r="C4" s="137"/>
      <c r="D4" s="133"/>
      <c r="E4" s="156" t="s">
        <v>158</v>
      </c>
      <c r="F4" s="156"/>
      <c r="G4" s="156"/>
      <c r="H4" s="156"/>
      <c r="I4" s="156"/>
      <c r="J4" s="156"/>
      <c r="K4" s="133"/>
      <c r="L4" s="133"/>
      <c r="M4" s="133"/>
      <c r="N4" s="133"/>
      <c r="O4" s="133"/>
      <c r="P4" s="133"/>
      <c r="Q4" s="133"/>
      <c r="R4" s="133"/>
      <c r="S4" s="134"/>
      <c r="T4" s="67"/>
    </row>
    <row r="5" spans="1:24" ht="15.75" customHeight="1">
      <c r="B5" s="6"/>
      <c r="C5" s="2" t="s">
        <v>201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8" customHeight="1">
      <c r="B6" s="6"/>
      <c r="C6" s="3" t="s">
        <v>202</v>
      </c>
      <c r="D6" s="157" t="s">
        <v>207</v>
      </c>
      <c r="E6" s="15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8"/>
      <c r="T6" s="67"/>
    </row>
    <row r="7" spans="1:24" ht="15" customHeight="1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8"/>
      <c r="T7" s="67"/>
    </row>
    <row r="8" spans="1:24" ht="32.25" customHeight="1">
      <c r="B8" s="6"/>
      <c r="C8" s="169" t="s">
        <v>0</v>
      </c>
      <c r="D8" s="170" t="s">
        <v>1</v>
      </c>
      <c r="E8" s="171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69" t="s">
        <v>31</v>
      </c>
      <c r="X8" s="69" t="s">
        <v>2</v>
      </c>
    </row>
    <row r="9" spans="1:24" ht="15" customHeight="1">
      <c r="B9" s="6"/>
      <c r="C9" s="82" t="s">
        <v>65</v>
      </c>
      <c r="D9" s="84" t="s">
        <v>39</v>
      </c>
      <c r="E9" s="86">
        <v>4.5118999999999999E-2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17</v>
      </c>
      <c r="X9" s="71">
        <v>0.11139600000000001</v>
      </c>
    </row>
    <row r="10" spans="1:24" ht="15.75" customHeight="1">
      <c r="B10" s="6"/>
      <c r="C10" s="83" t="s">
        <v>101</v>
      </c>
      <c r="D10" s="85" t="s">
        <v>4</v>
      </c>
      <c r="E10" s="87">
        <v>3.0381999999999999E-2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4</v>
      </c>
      <c r="X10" s="71">
        <v>0.10848699999999999</v>
      </c>
    </row>
    <row r="11" spans="1:24" ht="15" customHeight="1">
      <c r="B11" s="6"/>
      <c r="C11" s="83" t="s">
        <v>62</v>
      </c>
      <c r="D11" s="85" t="s">
        <v>11</v>
      </c>
      <c r="E11" s="87">
        <v>2.3220999999999999E-2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5</v>
      </c>
      <c r="X11" s="71">
        <v>8.9313000000000003E-2</v>
      </c>
    </row>
    <row r="12" spans="1:24" ht="15" customHeight="1">
      <c r="B12" s="6"/>
      <c r="C12" s="83" t="s">
        <v>163</v>
      </c>
      <c r="D12" s="85" t="s">
        <v>42</v>
      </c>
      <c r="E12" s="87">
        <v>2.0951999999999998E-2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39</v>
      </c>
      <c r="X12" s="71">
        <v>8.4657999999999997E-2</v>
      </c>
    </row>
    <row r="13" spans="1:24" ht="15" customHeight="1">
      <c r="B13" s="6"/>
      <c r="C13" s="83" t="s">
        <v>61</v>
      </c>
      <c r="D13" s="85" t="s">
        <v>10</v>
      </c>
      <c r="E13" s="87">
        <v>2.0386999999999999E-2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11</v>
      </c>
      <c r="X13" s="71">
        <v>6.7382999999999998E-2</v>
      </c>
    </row>
    <row r="14" spans="1:24" ht="15.75" customHeight="1">
      <c r="B14" s="6"/>
      <c r="C14" s="83" t="s">
        <v>173</v>
      </c>
      <c r="D14" s="85" t="s">
        <v>17</v>
      </c>
      <c r="E14" s="87">
        <v>2.0330999999999998E-2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9</v>
      </c>
      <c r="X14" s="71">
        <v>4.7650999999999999E-2</v>
      </c>
    </row>
    <row r="15" spans="1:24" ht="15" customHeight="1">
      <c r="B15" s="6"/>
      <c r="C15" s="83" t="s">
        <v>118</v>
      </c>
      <c r="D15" s="85" t="s">
        <v>17</v>
      </c>
      <c r="E15" s="87">
        <v>1.9224999999999999E-2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10</v>
      </c>
      <c r="X15" s="71">
        <v>4.6986E-2</v>
      </c>
    </row>
    <row r="16" spans="1:24" ht="15" customHeight="1">
      <c r="B16" s="6"/>
      <c r="C16" s="83" t="s">
        <v>53</v>
      </c>
      <c r="D16" s="85" t="s">
        <v>4</v>
      </c>
      <c r="E16" s="87">
        <v>1.8405000000000001E-2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12</v>
      </c>
      <c r="X16" s="71">
        <v>3.8584E-2</v>
      </c>
    </row>
    <row r="17" spans="2:24" ht="15" customHeight="1">
      <c r="B17" s="6"/>
      <c r="C17" s="83" t="s">
        <v>63</v>
      </c>
      <c r="D17" s="85" t="s">
        <v>36</v>
      </c>
      <c r="E17" s="87">
        <v>1.7982000000000001E-2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42</v>
      </c>
      <c r="X17" s="71">
        <v>3.5962000000000001E-2</v>
      </c>
    </row>
    <row r="18" spans="2:24" ht="15" customHeight="1">
      <c r="B18" s="6"/>
      <c r="C18" s="83" t="s">
        <v>135</v>
      </c>
      <c r="D18" s="85" t="s">
        <v>5</v>
      </c>
      <c r="E18" s="87">
        <v>1.7968999999999999E-2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14</v>
      </c>
      <c r="X18" s="71">
        <v>3.4603999999999996E-2</v>
      </c>
    </row>
    <row r="19" spans="2:24" ht="15" customHeight="1">
      <c r="B19" s="6"/>
      <c r="C19" s="83" t="s">
        <v>124</v>
      </c>
      <c r="D19" s="85" t="s">
        <v>17</v>
      </c>
      <c r="E19" s="87">
        <v>1.7125000000000001E-2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13</v>
      </c>
      <c r="X19" s="71">
        <v>3.3338999999999994E-2</v>
      </c>
    </row>
    <row r="20" spans="2:24" ht="15" customHeight="1">
      <c r="B20" s="6"/>
      <c r="C20" s="83" t="s">
        <v>183</v>
      </c>
      <c r="D20" s="85" t="s">
        <v>9</v>
      </c>
      <c r="E20" s="87">
        <v>1.6926E-2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  <c r="W20" s="70" t="s">
        <v>23</v>
      </c>
      <c r="X20" s="71">
        <v>2.9853000000000001E-2</v>
      </c>
    </row>
    <row r="21" spans="2:24" ht="15" customHeight="1">
      <c r="B21" s="6"/>
      <c r="C21" s="83" t="s">
        <v>208</v>
      </c>
      <c r="D21" s="85" t="s">
        <v>7</v>
      </c>
      <c r="E21" s="87">
        <v>1.5873999999999999E-2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  <c r="W21" s="70" t="s">
        <v>19</v>
      </c>
      <c r="X21" s="71">
        <v>2.9794000000000001E-2</v>
      </c>
    </row>
    <row r="22" spans="2:24" ht="15" customHeight="1">
      <c r="B22" s="6"/>
      <c r="C22" s="83" t="s">
        <v>188</v>
      </c>
      <c r="D22" s="85" t="s">
        <v>12</v>
      </c>
      <c r="E22" s="87">
        <v>1.5339999999999999E-2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  <c r="W22" s="70" t="s">
        <v>36</v>
      </c>
      <c r="X22" s="71">
        <v>2.9708999999999999E-2</v>
      </c>
    </row>
    <row r="23" spans="2:24" ht="15" customHeight="1">
      <c r="B23" s="6"/>
      <c r="C23" s="83" t="s">
        <v>64</v>
      </c>
      <c r="D23" s="85" t="s">
        <v>17</v>
      </c>
      <c r="E23" s="87">
        <v>1.4925000000000001E-2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 t="s">
        <v>26</v>
      </c>
      <c r="X23" s="71">
        <v>2.8863E-2</v>
      </c>
    </row>
    <row r="24" spans="2:24" ht="15" customHeight="1">
      <c r="B24" s="6"/>
      <c r="C24" s="174"/>
      <c r="D24" s="174"/>
      <c r="E24" s="18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 t="s">
        <v>8</v>
      </c>
      <c r="X24" s="71">
        <v>2.3895000000000003E-2</v>
      </c>
    </row>
    <row r="25" spans="2:24" ht="15" customHeight="1">
      <c r="B25" s="6"/>
      <c r="C25" s="180" t="s">
        <v>99</v>
      </c>
      <c r="D25" s="181"/>
      <c r="E25" s="186">
        <f>SUM(E9:E23)</f>
        <v>0.31416300000000003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 t="s">
        <v>33</v>
      </c>
      <c r="X25" s="71">
        <v>2.2015000000000003E-2</v>
      </c>
    </row>
    <row r="26" spans="2:24" ht="15" customHeight="1">
      <c r="B26" s="6"/>
      <c r="C26" s="96"/>
      <c r="D26" s="96"/>
      <c r="E26" s="9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 t="s">
        <v>37</v>
      </c>
      <c r="X26" s="71">
        <v>2.1853999999999998E-2</v>
      </c>
    </row>
    <row r="27" spans="2:24" ht="15" customHeight="1">
      <c r="B27" s="6"/>
      <c r="C27" s="106"/>
      <c r="D27" s="109"/>
      <c r="E27" s="1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70" t="s">
        <v>7</v>
      </c>
      <c r="X27" s="71">
        <v>1.5873999999999999E-2</v>
      </c>
    </row>
    <row r="28" spans="2:24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70" t="s">
        <v>24</v>
      </c>
      <c r="X28" s="71">
        <v>1.3129E-2</v>
      </c>
    </row>
    <row r="29" spans="2:24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  <c r="W29" s="70" t="s">
        <v>34</v>
      </c>
      <c r="X29" s="71">
        <v>1.1302E-2</v>
      </c>
    </row>
    <row r="30" spans="2:24" ht="15" customHeight="1" thickBot="1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72"/>
      <c r="T30" s="73"/>
    </row>
    <row r="31" spans="2:24" ht="15" customHeight="1"/>
    <row r="32" spans="2:24" ht="15" customHeight="1"/>
    <row r="33" ht="15" customHeight="1"/>
    <row r="34" ht="15" customHeight="1"/>
    <row r="35" ht="15" customHeight="1"/>
    <row r="36" ht="15" customHeight="1"/>
  </sheetData>
  <sortState ref="W9:X31">
    <sortCondition descending="1" ref="X9:X31"/>
  </sortState>
  <mergeCells count="3">
    <mergeCell ref="C3:S3"/>
    <mergeCell ref="D6:E6"/>
    <mergeCell ref="E4:J4"/>
  </mergeCells>
  <pageMargins left="0.2" right="0.27" top="0.74803149606299213" bottom="0.74803149606299213" header="0.31496062992125984" footer="0.31496062992125984"/>
  <pageSetup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AF60"/>
  <sheetViews>
    <sheetView showGridLines="0" view="pageBreakPreview" zoomScale="60" zoomScaleNormal="75" workbookViewId="0"/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33.85546875" bestFit="1" customWidth="1"/>
    <col min="5" max="5" width="15.140625" customWidth="1"/>
    <col min="9" max="9" width="11.85546875" customWidth="1"/>
    <col min="19" max="19" width="9.85546875" style="10" customWidth="1"/>
    <col min="20" max="20" width="9.140625" style="92"/>
    <col min="21" max="27" width="9.140625" style="10"/>
    <col min="28" max="32" width="9.140625" style="92"/>
  </cols>
  <sheetData>
    <row r="1" spans="1:25" ht="15.75" customHeight="1" thickBot="1">
      <c r="A1" s="10"/>
    </row>
    <row r="2" spans="1:25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117"/>
    </row>
    <row r="3" spans="1:25" ht="20.25" customHeight="1">
      <c r="B3" s="6"/>
      <c r="C3" s="152" t="s">
        <v>141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118"/>
    </row>
    <row r="4" spans="1:25" ht="20.25" customHeight="1">
      <c r="B4" s="6"/>
      <c r="C4" s="137"/>
      <c r="D4" s="133"/>
      <c r="E4" s="156" t="s">
        <v>157</v>
      </c>
      <c r="F4" s="156"/>
      <c r="G4" s="156"/>
      <c r="H4" s="156"/>
      <c r="I4" s="156"/>
      <c r="J4" s="133"/>
      <c r="K4" s="133"/>
      <c r="L4" s="133"/>
      <c r="M4" s="133"/>
      <c r="N4" s="133"/>
      <c r="O4" s="133"/>
      <c r="P4" s="133"/>
      <c r="Q4" s="133"/>
      <c r="R4" s="133"/>
      <c r="S4" s="134"/>
      <c r="T4" s="118"/>
    </row>
    <row r="5" spans="1:25" ht="15.75" customHeight="1">
      <c r="B5" s="6"/>
      <c r="C5" s="2" t="s">
        <v>201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118"/>
    </row>
    <row r="6" spans="1:25" ht="18" customHeight="1">
      <c r="B6" s="6"/>
      <c r="C6" s="3" t="s">
        <v>202</v>
      </c>
      <c r="D6" s="155" t="s">
        <v>209</v>
      </c>
      <c r="E6" s="15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8"/>
      <c r="T6" s="118"/>
      <c r="V6" s="94"/>
      <c r="W6" s="94"/>
      <c r="X6" s="94"/>
      <c r="Y6" s="94"/>
    </row>
    <row r="7" spans="1:25" ht="15" customHeight="1"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8"/>
      <c r="T7" s="118"/>
      <c r="V7" s="94"/>
      <c r="W7" s="94"/>
      <c r="X7" s="94"/>
      <c r="Y7" s="94"/>
    </row>
    <row r="8" spans="1:25" ht="32.25" customHeight="1">
      <c r="B8" s="6"/>
      <c r="C8" s="169" t="s">
        <v>0</v>
      </c>
      <c r="D8" s="170" t="s">
        <v>1</v>
      </c>
      <c r="E8" s="171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118"/>
      <c r="V8" s="94"/>
      <c r="W8" s="94" t="s">
        <v>31</v>
      </c>
      <c r="X8" s="95" t="s">
        <v>2</v>
      </c>
      <c r="Y8" s="94"/>
    </row>
    <row r="9" spans="1:25" ht="15" customHeight="1">
      <c r="B9" s="6"/>
      <c r="C9" s="82" t="s">
        <v>45</v>
      </c>
      <c r="D9" s="84" t="s">
        <v>4</v>
      </c>
      <c r="E9" s="187">
        <v>4.6621000000000003E-2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118"/>
      <c r="V9" s="94"/>
      <c r="W9" s="70" t="s">
        <v>4</v>
      </c>
      <c r="X9" s="71">
        <v>0.17414100000000002</v>
      </c>
      <c r="Y9" s="94"/>
    </row>
    <row r="10" spans="1:25" ht="15.75" customHeight="1">
      <c r="B10" s="6"/>
      <c r="C10" s="83" t="s">
        <v>120</v>
      </c>
      <c r="D10" s="85" t="s">
        <v>115</v>
      </c>
      <c r="E10" s="88">
        <v>3.7865000000000003E-2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118"/>
      <c r="V10" s="94"/>
      <c r="W10" s="70" t="s">
        <v>5</v>
      </c>
      <c r="X10" s="71">
        <v>0.10953599999999999</v>
      </c>
      <c r="Y10" s="94"/>
    </row>
    <row r="11" spans="1:25" ht="15" customHeight="1">
      <c r="B11" s="6"/>
      <c r="C11" s="83" t="s">
        <v>52</v>
      </c>
      <c r="D11" s="85" t="s">
        <v>4</v>
      </c>
      <c r="E11" s="88">
        <v>3.5347000000000003E-2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118"/>
      <c r="V11" s="94"/>
      <c r="W11" s="70" t="s">
        <v>24</v>
      </c>
      <c r="X11" s="71">
        <v>7.7563000000000007E-2</v>
      </c>
      <c r="Y11" s="94"/>
    </row>
    <row r="12" spans="1:25" ht="15" customHeight="1">
      <c r="B12" s="6"/>
      <c r="C12" s="83" t="s">
        <v>162</v>
      </c>
      <c r="D12" s="85" t="s">
        <v>23</v>
      </c>
      <c r="E12" s="88">
        <v>3.4460999999999999E-2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118"/>
      <c r="V12" s="94"/>
      <c r="W12" s="70" t="s">
        <v>8</v>
      </c>
      <c r="X12" s="71">
        <v>7.5474999999999987E-2</v>
      </c>
      <c r="Y12" s="94"/>
    </row>
    <row r="13" spans="1:25" ht="15" customHeight="1">
      <c r="B13" s="6"/>
      <c r="C13" s="83" t="s">
        <v>49</v>
      </c>
      <c r="D13" s="85" t="s">
        <v>4</v>
      </c>
      <c r="E13" s="88">
        <v>3.4002999999999999E-2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118"/>
      <c r="V13" s="94"/>
      <c r="W13" s="70" t="s">
        <v>33</v>
      </c>
      <c r="X13" s="71">
        <v>6.9523999999999989E-2</v>
      </c>
      <c r="Y13" s="94"/>
    </row>
    <row r="14" spans="1:25" ht="15" customHeight="1">
      <c r="B14" s="6"/>
      <c r="C14" s="83" t="s">
        <v>119</v>
      </c>
      <c r="D14" s="85" t="s">
        <v>33</v>
      </c>
      <c r="E14" s="88">
        <v>3.2243000000000001E-2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118"/>
      <c r="V14" s="94"/>
      <c r="W14" s="70" t="s">
        <v>9</v>
      </c>
      <c r="X14" s="71">
        <v>6.2842999999999996E-2</v>
      </c>
      <c r="Y14" s="94"/>
    </row>
    <row r="15" spans="1:25" ht="15" customHeight="1">
      <c r="B15" s="6"/>
      <c r="C15" s="83" t="s">
        <v>116</v>
      </c>
      <c r="D15" s="85" t="s">
        <v>11</v>
      </c>
      <c r="E15" s="88">
        <v>3.0672000000000001E-2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118"/>
      <c r="V15" s="94"/>
      <c r="W15" s="70" t="s">
        <v>23</v>
      </c>
      <c r="X15" s="71">
        <v>6.0680999999999992E-2</v>
      </c>
      <c r="Y15" s="94"/>
    </row>
    <row r="16" spans="1:25" ht="15.75" customHeight="1">
      <c r="B16" s="6"/>
      <c r="C16" s="83" t="s">
        <v>123</v>
      </c>
      <c r="D16" s="85" t="s">
        <v>24</v>
      </c>
      <c r="E16" s="88">
        <v>3.0251E-2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118"/>
      <c r="V16" s="94"/>
      <c r="W16" s="70" t="s">
        <v>10</v>
      </c>
      <c r="X16" s="71">
        <v>4.5481999999999995E-2</v>
      </c>
      <c r="Y16" s="94"/>
    </row>
    <row r="17" spans="2:25" ht="15" customHeight="1">
      <c r="B17" s="6"/>
      <c r="C17" s="83" t="s">
        <v>56</v>
      </c>
      <c r="D17" s="85" t="s">
        <v>8</v>
      </c>
      <c r="E17" s="88">
        <v>2.845E-2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118"/>
      <c r="V17" s="94"/>
      <c r="W17" s="70" t="s">
        <v>11</v>
      </c>
      <c r="X17" s="71">
        <v>4.4319999999999998E-2</v>
      </c>
      <c r="Y17" s="94"/>
    </row>
    <row r="18" spans="2:25" ht="15.75" customHeight="1">
      <c r="B18" s="6"/>
      <c r="C18" s="83" t="s">
        <v>57</v>
      </c>
      <c r="D18" s="85" t="s">
        <v>10</v>
      </c>
      <c r="E18" s="88">
        <v>2.7302E-2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118"/>
      <c r="V18" s="94"/>
      <c r="W18" s="70" t="s">
        <v>17</v>
      </c>
      <c r="X18" s="71">
        <v>4.3047000000000002E-2</v>
      </c>
      <c r="Y18" s="94"/>
    </row>
    <row r="19" spans="2:25" ht="15.75">
      <c r="B19" s="6"/>
      <c r="C19" s="83" t="s">
        <v>167</v>
      </c>
      <c r="D19" s="85" t="s">
        <v>9</v>
      </c>
      <c r="E19" s="88">
        <v>2.4372000000000001E-2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118"/>
      <c r="V19" s="94"/>
      <c r="W19" s="70" t="s">
        <v>39</v>
      </c>
      <c r="X19" s="71">
        <v>3.9550000000000002E-2</v>
      </c>
      <c r="Y19" s="94"/>
    </row>
    <row r="20" spans="2:25" ht="15.75" customHeight="1">
      <c r="B20" s="6"/>
      <c r="C20" s="83" t="s">
        <v>44</v>
      </c>
      <c r="D20" s="85" t="s">
        <v>12</v>
      </c>
      <c r="E20" s="88">
        <v>2.2998999999999999E-2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118"/>
      <c r="V20" s="94"/>
      <c r="W20" s="70" t="s">
        <v>115</v>
      </c>
      <c r="X20" s="71">
        <v>3.7865000000000003E-2</v>
      </c>
      <c r="Y20" s="94"/>
    </row>
    <row r="21" spans="2:25" ht="15" customHeight="1">
      <c r="B21" s="6"/>
      <c r="C21" s="83" t="s">
        <v>183</v>
      </c>
      <c r="D21" s="85" t="s">
        <v>9</v>
      </c>
      <c r="E21" s="88">
        <v>2.2970999999999998E-2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118"/>
      <c r="V21" s="94"/>
      <c r="W21" s="70" t="s">
        <v>12</v>
      </c>
      <c r="X21" s="71">
        <v>2.2998999999999999E-2</v>
      </c>
      <c r="Y21" s="94"/>
    </row>
    <row r="22" spans="2:25" ht="15" customHeight="1">
      <c r="B22" s="6"/>
      <c r="C22" s="83" t="s">
        <v>194</v>
      </c>
      <c r="D22" s="83" t="s">
        <v>24</v>
      </c>
      <c r="E22" s="88">
        <v>2.2610000000000002E-2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118"/>
      <c r="V22" s="94"/>
      <c r="W22" s="70" t="s">
        <v>114</v>
      </c>
      <c r="X22" s="71">
        <v>2.0206999999999999E-2</v>
      </c>
      <c r="Y22" s="94"/>
    </row>
    <row r="23" spans="2:25" ht="15" customHeight="1">
      <c r="B23" s="6"/>
      <c r="C23" s="83" t="s">
        <v>118</v>
      </c>
      <c r="D23" s="85" t="s">
        <v>17</v>
      </c>
      <c r="E23" s="88">
        <v>2.0257000000000001E-2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118"/>
      <c r="V23" s="94"/>
      <c r="W23" s="70" t="s">
        <v>36</v>
      </c>
      <c r="X23" s="71">
        <v>2.0069E-2</v>
      </c>
      <c r="Y23" s="94"/>
    </row>
    <row r="24" spans="2:25" ht="15" customHeight="1">
      <c r="B24" s="6"/>
      <c r="C24" s="178"/>
      <c r="D24" s="178"/>
      <c r="E24" s="188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118"/>
      <c r="V24" s="94"/>
      <c r="W24" s="70" t="s">
        <v>25</v>
      </c>
      <c r="X24" s="71">
        <v>1.8289E-2</v>
      </c>
      <c r="Y24" s="94"/>
    </row>
    <row r="25" spans="2:25" ht="15" customHeight="1">
      <c r="B25" s="6"/>
      <c r="C25" s="180" t="s">
        <v>99</v>
      </c>
      <c r="D25" s="181"/>
      <c r="E25" s="182">
        <f>SUM(E9:E23)</f>
        <v>0.45042400000000005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118"/>
      <c r="V25" s="94"/>
      <c r="W25" s="70" t="s">
        <v>26</v>
      </c>
      <c r="X25" s="71">
        <v>1.5252999999999999E-2</v>
      </c>
      <c r="Y25" s="94"/>
    </row>
    <row r="26" spans="2:25" ht="15" customHeight="1">
      <c r="B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118"/>
      <c r="V26" s="94"/>
      <c r="W26" s="70" t="s">
        <v>32</v>
      </c>
      <c r="X26" s="71">
        <v>1.3436E-2</v>
      </c>
      <c r="Y26" s="94"/>
    </row>
    <row r="27" spans="2:25" ht="15" customHeight="1">
      <c r="B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118"/>
      <c r="V27" s="94"/>
      <c r="W27" s="70" t="s">
        <v>37</v>
      </c>
      <c r="X27" s="71">
        <v>1.0422000000000001E-2</v>
      </c>
      <c r="Y27" s="94"/>
    </row>
    <row r="28" spans="2:25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118"/>
      <c r="V28" s="94"/>
      <c r="W28" s="70" t="s">
        <v>19</v>
      </c>
      <c r="X28" s="71">
        <v>7.5810000000000001E-3</v>
      </c>
      <c r="Y28" s="94"/>
    </row>
    <row r="29" spans="2:25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118"/>
      <c r="V29" s="94"/>
      <c r="W29" s="70" t="s">
        <v>18</v>
      </c>
      <c r="X29" s="71">
        <v>6.8649999999999996E-3</v>
      </c>
      <c r="Y29" s="94"/>
    </row>
    <row r="30" spans="2:25" ht="15" customHeight="1">
      <c r="B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118"/>
      <c r="V30" s="94"/>
      <c r="W30" s="70" t="s">
        <v>14</v>
      </c>
      <c r="X30" s="71">
        <v>5.9480000000000002E-3</v>
      </c>
      <c r="Y30" s="94"/>
    </row>
    <row r="31" spans="2:25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118"/>
      <c r="V31" s="94"/>
      <c r="W31" s="70"/>
      <c r="X31" s="71"/>
      <c r="Y31" s="94"/>
    </row>
    <row r="32" spans="2:25" ht="15" customHeight="1"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118"/>
    </row>
    <row r="33" spans="2:20" ht="15" customHeight="1" thickBot="1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72"/>
      <c r="T33" s="119"/>
    </row>
    <row r="34" spans="2:20" ht="15" customHeight="1"/>
    <row r="35" spans="2:20" ht="15" customHeight="1"/>
    <row r="36" spans="2:20" ht="15" customHeight="1"/>
    <row r="37" spans="2:20" ht="15" customHeight="1"/>
    <row r="38" spans="2:20" ht="15" customHeight="1"/>
    <row r="39" spans="2:20" ht="15" customHeight="1"/>
    <row r="40" spans="2:20" ht="15" customHeight="1"/>
    <row r="41" spans="2:20" ht="15" customHeight="1"/>
    <row r="42" spans="2:20" ht="15" customHeight="1"/>
    <row r="43" spans="2:20" ht="15" customHeight="1"/>
    <row r="44" spans="2:20" ht="15" customHeight="1"/>
    <row r="45" spans="2:20" ht="15" customHeight="1"/>
    <row r="46" spans="2:20" ht="15" customHeight="1"/>
    <row r="47" spans="2:20" ht="15" customHeight="1"/>
    <row r="48" spans="2:20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</sheetData>
  <sortState ref="W9:X30">
    <sortCondition descending="1" ref="X9:X30"/>
  </sortState>
  <mergeCells count="3">
    <mergeCell ref="C3:S3"/>
    <mergeCell ref="D6:E6"/>
    <mergeCell ref="E4:I4"/>
  </mergeCells>
  <pageMargins left="0.23622047244094491" right="0.19685039370078741" top="0.74803149606299213" bottom="0.74803149606299213" header="0.31496062992125984" footer="0.31496062992125984"/>
  <pageSetup scale="5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4"/>
  <dimension ref="A1:AF35"/>
  <sheetViews>
    <sheetView showGridLines="0" view="pageBreakPreview" zoomScale="60" zoomScaleNormal="75" workbookViewId="0">
      <selection activeCell="E63" sqref="E63"/>
    </sheetView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27.140625" customWidth="1"/>
    <col min="5" max="5" width="12" bestFit="1" customWidth="1"/>
    <col min="19" max="19" width="9.85546875" style="10" customWidth="1"/>
    <col min="20" max="20" width="9.140625" style="10"/>
    <col min="21" max="22" width="9.140625" style="69"/>
    <col min="23" max="23" width="46.42578125" style="69" bestFit="1" customWidth="1"/>
    <col min="24" max="24" width="9.140625" style="69" bestFit="1" customWidth="1"/>
    <col min="25" max="26" width="9.140625" style="69"/>
    <col min="27" max="28" width="9.140625" style="141"/>
    <col min="29" max="30" width="9.140625" style="92"/>
    <col min="31" max="32" width="9.140625" style="10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35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15.75" customHeight="1">
      <c r="B4" s="6"/>
      <c r="C4" s="2" t="s">
        <v>201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8"/>
      <c r="T4" s="67"/>
    </row>
    <row r="5" spans="1:24" ht="18" customHeight="1">
      <c r="B5" s="6"/>
      <c r="C5" s="3" t="s">
        <v>202</v>
      </c>
      <c r="D5" s="155" t="s">
        <v>210</v>
      </c>
      <c r="E5" s="155"/>
      <c r="F5" s="14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5" customHeight="1"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8"/>
      <c r="T6" s="67"/>
    </row>
    <row r="7" spans="1:24" ht="32.25" customHeight="1">
      <c r="B7" s="6"/>
      <c r="C7" s="189" t="s">
        <v>0</v>
      </c>
      <c r="D7" s="190" t="s">
        <v>1</v>
      </c>
      <c r="E7" s="189" t="s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8"/>
      <c r="T7" s="67"/>
      <c r="W7" s="69" t="s">
        <v>31</v>
      </c>
      <c r="X7" s="69" t="s">
        <v>2</v>
      </c>
    </row>
    <row r="8" spans="1:24" ht="15" customHeight="1">
      <c r="B8" s="6"/>
      <c r="C8" s="83" t="s">
        <v>51</v>
      </c>
      <c r="D8" s="85" t="s">
        <v>10</v>
      </c>
      <c r="E8" s="88">
        <v>7.0777999999999994E-2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70" t="s">
        <v>10</v>
      </c>
      <c r="X8" s="71">
        <v>0.19693999999999998</v>
      </c>
    </row>
    <row r="9" spans="1:24" ht="15.75" customHeight="1">
      <c r="B9" s="6"/>
      <c r="C9" s="83" t="s">
        <v>146</v>
      </c>
      <c r="D9" s="85" t="s">
        <v>36</v>
      </c>
      <c r="E9" s="88">
        <v>5.3365000000000003E-2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36</v>
      </c>
      <c r="X9" s="71">
        <v>0.15062</v>
      </c>
    </row>
    <row r="10" spans="1:24" ht="15" customHeight="1">
      <c r="B10" s="6"/>
      <c r="C10" s="83" t="s">
        <v>140</v>
      </c>
      <c r="D10" s="85" t="s">
        <v>11</v>
      </c>
      <c r="E10" s="88">
        <v>4.8594999999999999E-2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32</v>
      </c>
      <c r="X10" s="71">
        <v>0.12517500000000001</v>
      </c>
    </row>
    <row r="11" spans="1:24" ht="15" customHeight="1">
      <c r="B11" s="6"/>
      <c r="C11" s="83" t="s">
        <v>60</v>
      </c>
      <c r="D11" s="85" t="s">
        <v>36</v>
      </c>
      <c r="E11" s="88">
        <v>4.6164999999999998E-2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11</v>
      </c>
      <c r="X11" s="71">
        <v>0.10650599999999999</v>
      </c>
    </row>
    <row r="12" spans="1:24" ht="15" customHeight="1">
      <c r="B12" s="6"/>
      <c r="C12" s="83" t="s">
        <v>117</v>
      </c>
      <c r="D12" s="85" t="s">
        <v>13</v>
      </c>
      <c r="E12" s="88">
        <v>4.4188999999999999E-2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13</v>
      </c>
      <c r="X12" s="71">
        <v>9.4963000000000006E-2</v>
      </c>
    </row>
    <row r="13" spans="1:24" ht="15" customHeight="1">
      <c r="B13" s="6"/>
      <c r="C13" s="83" t="s">
        <v>185</v>
      </c>
      <c r="D13" s="85" t="s">
        <v>33</v>
      </c>
      <c r="E13" s="88">
        <v>4.0485E-2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34</v>
      </c>
      <c r="X13" s="71">
        <v>7.3566999999999994E-2</v>
      </c>
    </row>
    <row r="14" spans="1:24" ht="15" customHeight="1">
      <c r="B14" s="6"/>
      <c r="C14" s="83" t="s">
        <v>59</v>
      </c>
      <c r="D14" s="85" t="s">
        <v>10</v>
      </c>
      <c r="E14" s="88">
        <v>3.4758999999999998E-2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26</v>
      </c>
      <c r="X14" s="71">
        <v>6.1020999999999999E-2</v>
      </c>
    </row>
    <row r="15" spans="1:24" ht="15" customHeight="1">
      <c r="B15" s="6"/>
      <c r="C15" s="83" t="s">
        <v>121</v>
      </c>
      <c r="D15" s="85" t="s">
        <v>10</v>
      </c>
      <c r="E15" s="88">
        <v>3.2166E-2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33</v>
      </c>
      <c r="X15" s="71">
        <v>5.4546999999999998E-2</v>
      </c>
    </row>
    <row r="16" spans="1:24" ht="15" customHeight="1">
      <c r="B16" s="6"/>
      <c r="C16" s="83" t="s">
        <v>133</v>
      </c>
      <c r="D16" s="85" t="s">
        <v>32</v>
      </c>
      <c r="E16" s="88">
        <v>3.0619E-2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14</v>
      </c>
      <c r="X16" s="71">
        <v>4.5144999999999998E-2</v>
      </c>
    </row>
    <row r="17" spans="2:24" ht="15" customHeight="1">
      <c r="B17" s="6"/>
      <c r="C17" s="83" t="s">
        <v>171</v>
      </c>
      <c r="D17" s="85" t="s">
        <v>10</v>
      </c>
      <c r="E17" s="88">
        <v>2.6835000000000001E-2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43</v>
      </c>
      <c r="X17" s="71">
        <v>1.9219E-2</v>
      </c>
    </row>
    <row r="18" spans="2:24" ht="15" customHeight="1">
      <c r="B18" s="6"/>
      <c r="C18" s="83" t="s">
        <v>195</v>
      </c>
      <c r="D18" s="85" t="s">
        <v>13</v>
      </c>
      <c r="E18" s="88">
        <v>2.6334E-2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23</v>
      </c>
      <c r="X18" s="71">
        <v>1.8334E-2</v>
      </c>
    </row>
    <row r="19" spans="2:24" ht="15" customHeight="1">
      <c r="B19" s="6"/>
      <c r="C19" s="83" t="s">
        <v>182</v>
      </c>
      <c r="D19" s="85" t="s">
        <v>36</v>
      </c>
      <c r="E19" s="88">
        <v>2.6246999999999999E-2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42</v>
      </c>
      <c r="X19" s="71">
        <v>1.2048E-2</v>
      </c>
    </row>
    <row r="20" spans="2:24" ht="15" customHeight="1">
      <c r="B20" s="6"/>
      <c r="C20" s="83" t="s">
        <v>172</v>
      </c>
      <c r="D20" s="85" t="s">
        <v>34</v>
      </c>
      <c r="E20" s="88">
        <v>2.6067E-2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  <c r="W20" s="70" t="s">
        <v>5</v>
      </c>
      <c r="X20" s="71">
        <v>1.34E-3</v>
      </c>
    </row>
    <row r="21" spans="2:24" ht="15" customHeight="1">
      <c r="B21" s="6"/>
      <c r="C21" s="83" t="s">
        <v>102</v>
      </c>
      <c r="D21" s="85" t="s">
        <v>34</v>
      </c>
      <c r="E21" s="88">
        <v>2.4797E-2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</row>
    <row r="22" spans="2:24" ht="15" customHeight="1">
      <c r="B22" s="6"/>
      <c r="C22" s="83" t="s">
        <v>211</v>
      </c>
      <c r="D22" s="85" t="s">
        <v>13</v>
      </c>
      <c r="E22" s="88">
        <v>2.444E-2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  <c r="W22" s="70"/>
      <c r="X22" s="71"/>
    </row>
    <row r="23" spans="2:24" ht="15" customHeight="1">
      <c r="B23" s="6"/>
      <c r="C23" s="178"/>
      <c r="D23" s="178"/>
      <c r="E23" s="188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/>
      <c r="X23" s="71"/>
    </row>
    <row r="24" spans="2:24" ht="15" customHeight="1">
      <c r="B24" s="6"/>
      <c r="C24" s="180" t="s">
        <v>99</v>
      </c>
      <c r="D24" s="181"/>
      <c r="E24" s="182">
        <f>SUM(E8:E22)</f>
        <v>0.55584100000000003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/>
      <c r="X24" s="71"/>
    </row>
    <row r="25" spans="2:24" ht="15" customHeight="1">
      <c r="B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/>
      <c r="X25" s="71"/>
    </row>
    <row r="26" spans="2:24" ht="15" customHeight="1">
      <c r="B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/>
      <c r="X26" s="71"/>
    </row>
    <row r="27" spans="2:24" ht="15" customHeight="1">
      <c r="B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115"/>
      <c r="X27" s="81"/>
    </row>
    <row r="28" spans="2:24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115"/>
      <c r="X28" s="81"/>
    </row>
    <row r="29" spans="2:24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</row>
    <row r="30" spans="2:24" ht="15" customHeight="1">
      <c r="B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67"/>
    </row>
    <row r="31" spans="2:24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67"/>
    </row>
    <row r="32" spans="2:24" ht="15.75" customHeight="1">
      <c r="B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67"/>
    </row>
    <row r="33" spans="2:20" ht="15" customHeight="1">
      <c r="B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7"/>
    </row>
    <row r="34" spans="2:20" ht="15" customHeight="1" thickBot="1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72"/>
      <c r="T34" s="73"/>
    </row>
    <row r="35" spans="2:20" ht="15" customHeight="1"/>
  </sheetData>
  <sortState ref="W8:X20">
    <sortCondition descending="1" ref="X8:X20"/>
  </sortState>
  <mergeCells count="2">
    <mergeCell ref="C3:S3"/>
    <mergeCell ref="D5:E5"/>
  </mergeCells>
  <pageMargins left="0.70866141732283472" right="0.70866141732283472" top="0.74803149606299213" bottom="0.74803149606299213" header="0.31496062992125984" footer="0.31496062992125984"/>
  <pageSetup paperSize="9" scale="53" orientation="landscape" r:id="rId1"/>
  <colBreaks count="1" manualBreakCount="1">
    <brk id="2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AE64"/>
  <sheetViews>
    <sheetView showGridLines="0" view="pageBreakPreview" zoomScale="60" zoomScaleNormal="75" workbookViewId="0">
      <selection activeCell="K43" sqref="K43"/>
    </sheetView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28.28515625" bestFit="1" customWidth="1"/>
    <col min="5" max="5" width="12" bestFit="1" customWidth="1"/>
    <col min="19" max="19" width="9.85546875" style="10" customWidth="1"/>
    <col min="20" max="20" width="9.140625" style="10"/>
    <col min="21" max="21" width="8.42578125" style="10" customWidth="1"/>
    <col min="22" max="25" width="9.140625" style="10"/>
    <col min="26" max="31" width="9.140625" style="92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174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15.75" customHeight="1">
      <c r="B4" s="6"/>
      <c r="C4" s="2" t="s">
        <v>201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8"/>
      <c r="T4" s="67"/>
    </row>
    <row r="5" spans="1:24" ht="18" customHeight="1">
      <c r="B5" s="6"/>
      <c r="C5" s="3" t="s">
        <v>202</v>
      </c>
      <c r="D5" s="155" t="s">
        <v>212</v>
      </c>
      <c r="E5" s="15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5" customHeight="1"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8"/>
      <c r="T6" s="67"/>
    </row>
    <row r="7" spans="1:24" ht="32.25" customHeight="1">
      <c r="B7" s="6"/>
      <c r="C7" s="169" t="s">
        <v>0</v>
      </c>
      <c r="D7" s="170" t="s">
        <v>1</v>
      </c>
      <c r="E7" s="171" t="s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8"/>
      <c r="T7" s="67"/>
      <c r="W7" s="69" t="s">
        <v>31</v>
      </c>
      <c r="X7" s="69" t="s">
        <v>2</v>
      </c>
    </row>
    <row r="8" spans="1:24" ht="15" customHeight="1">
      <c r="B8" s="6"/>
      <c r="C8" s="82" t="s">
        <v>49</v>
      </c>
      <c r="D8" s="84" t="s">
        <v>4</v>
      </c>
      <c r="E8" s="86">
        <v>5.5106000000000002E-2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70" t="s">
        <v>4</v>
      </c>
      <c r="X8" s="71">
        <v>0.17671700000000001</v>
      </c>
    </row>
    <row r="9" spans="1:24" ht="15.75" customHeight="1">
      <c r="B9" s="6"/>
      <c r="C9" s="83" t="s">
        <v>45</v>
      </c>
      <c r="D9" s="85" t="s">
        <v>4</v>
      </c>
      <c r="E9" s="87">
        <v>4.2875999999999997E-2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12</v>
      </c>
      <c r="X9" s="71">
        <v>8.4682999999999994E-2</v>
      </c>
    </row>
    <row r="10" spans="1:24" ht="15" customHeight="1">
      <c r="B10" s="6"/>
      <c r="C10" s="83" t="s">
        <v>48</v>
      </c>
      <c r="D10" s="85" t="s">
        <v>7</v>
      </c>
      <c r="E10" s="87">
        <v>3.5607E-2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5</v>
      </c>
      <c r="X10" s="71">
        <v>7.3722999999999997E-2</v>
      </c>
    </row>
    <row r="11" spans="1:24" ht="15" customHeight="1">
      <c r="B11" s="6"/>
      <c r="C11" s="83" t="s">
        <v>20</v>
      </c>
      <c r="D11" s="85" t="s">
        <v>4</v>
      </c>
      <c r="E11" s="87">
        <v>3.2460999999999997E-2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8</v>
      </c>
      <c r="X11" s="71">
        <v>6.8448999999999996E-2</v>
      </c>
    </row>
    <row r="12" spans="1:24" ht="15" customHeight="1">
      <c r="B12" s="6"/>
      <c r="C12" s="83" t="s">
        <v>44</v>
      </c>
      <c r="D12" s="85" t="s">
        <v>12</v>
      </c>
      <c r="E12" s="87">
        <v>3.1389E-2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17</v>
      </c>
      <c r="X12" s="71">
        <v>5.7362000000000003E-2</v>
      </c>
    </row>
    <row r="13" spans="1:24" ht="15" customHeight="1">
      <c r="B13" s="6"/>
      <c r="C13" s="83" t="s">
        <v>65</v>
      </c>
      <c r="D13" s="85" t="s">
        <v>39</v>
      </c>
      <c r="E13" s="87">
        <v>2.9269E-2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9</v>
      </c>
      <c r="X13" s="71">
        <v>5.7266999999999998E-2</v>
      </c>
    </row>
    <row r="14" spans="1:24" ht="15" customHeight="1">
      <c r="B14" s="6"/>
      <c r="C14" s="83" t="s">
        <v>101</v>
      </c>
      <c r="D14" s="85" t="s">
        <v>4</v>
      </c>
      <c r="E14" s="87">
        <v>2.6588000000000001E-2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7</v>
      </c>
      <c r="X14" s="71">
        <v>5.6346E-2</v>
      </c>
    </row>
    <row r="15" spans="1:24" ht="15" customHeight="1">
      <c r="B15" s="6"/>
      <c r="C15" s="83" t="s">
        <v>53</v>
      </c>
      <c r="D15" s="85" t="s">
        <v>4</v>
      </c>
      <c r="E15" s="87">
        <v>1.9685999999999999E-2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39</v>
      </c>
      <c r="X15" s="71">
        <v>5.3532000000000003E-2</v>
      </c>
    </row>
    <row r="16" spans="1:24" ht="15" customHeight="1">
      <c r="B16" s="6"/>
      <c r="C16" s="83" t="s">
        <v>47</v>
      </c>
      <c r="D16" s="85" t="s">
        <v>8</v>
      </c>
      <c r="E16" s="87">
        <v>1.9515000000000001E-2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23</v>
      </c>
      <c r="X16" s="71">
        <v>3.6219000000000001E-2</v>
      </c>
    </row>
    <row r="17" spans="2:24" ht="15" customHeight="1">
      <c r="B17" s="6"/>
      <c r="C17" s="83" t="s">
        <v>134</v>
      </c>
      <c r="D17" s="85" t="s">
        <v>8</v>
      </c>
      <c r="E17" s="87">
        <v>1.9393000000000001E-2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11</v>
      </c>
      <c r="X17" s="71">
        <v>3.1049999999999998E-2</v>
      </c>
    </row>
    <row r="18" spans="2:24" ht="15" customHeight="1">
      <c r="B18" s="6"/>
      <c r="C18" s="83" t="s">
        <v>175</v>
      </c>
      <c r="D18" s="85" t="s">
        <v>8</v>
      </c>
      <c r="E18" s="87">
        <v>1.8648999999999999E-2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10</v>
      </c>
      <c r="X18" s="71">
        <v>2.5687999999999999E-2</v>
      </c>
    </row>
    <row r="19" spans="2:24" ht="15" customHeight="1">
      <c r="B19" s="6"/>
      <c r="C19" s="83" t="s">
        <v>189</v>
      </c>
      <c r="D19" s="85" t="s">
        <v>12</v>
      </c>
      <c r="E19" s="87">
        <v>1.6701000000000001E-2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18</v>
      </c>
      <c r="X19" s="71">
        <v>2.5293E-2</v>
      </c>
    </row>
    <row r="20" spans="2:24" ht="15" customHeight="1">
      <c r="B20" s="6"/>
      <c r="C20" s="83" t="s">
        <v>62</v>
      </c>
      <c r="D20" s="85" t="s">
        <v>11</v>
      </c>
      <c r="E20" s="87">
        <v>1.6625999999999998E-2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  <c r="W20" s="70" t="s">
        <v>26</v>
      </c>
      <c r="X20" s="71">
        <v>2.4812000000000001E-2</v>
      </c>
    </row>
    <row r="21" spans="2:24" ht="15" customHeight="1">
      <c r="B21" s="6"/>
      <c r="C21" s="83" t="s">
        <v>61</v>
      </c>
      <c r="D21" s="85" t="s">
        <v>10</v>
      </c>
      <c r="E21" s="87">
        <v>1.61E-2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  <c r="W21" s="70" t="s">
        <v>33</v>
      </c>
      <c r="X21" s="71">
        <v>2.4041E-2</v>
      </c>
    </row>
    <row r="22" spans="2:24" ht="15" customHeight="1">
      <c r="B22" s="6"/>
      <c r="C22" s="83" t="s">
        <v>183</v>
      </c>
      <c r="D22" s="85" t="s">
        <v>9</v>
      </c>
      <c r="E22" s="87">
        <v>1.6081000000000002E-2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  <c r="W22" s="70" t="s">
        <v>13</v>
      </c>
      <c r="X22" s="71">
        <v>2.1706E-2</v>
      </c>
    </row>
    <row r="23" spans="2:24" ht="15" customHeight="1">
      <c r="B23" s="6"/>
      <c r="C23" s="178"/>
      <c r="D23" s="178"/>
      <c r="E23" s="18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 t="s">
        <v>32</v>
      </c>
      <c r="X23" s="71">
        <v>1.9878E-2</v>
      </c>
    </row>
    <row r="24" spans="2:24" ht="15" customHeight="1">
      <c r="B24" s="6"/>
      <c r="C24" s="180" t="s">
        <v>99</v>
      </c>
      <c r="D24" s="181"/>
      <c r="E24" s="182">
        <f>SUM(E8:E22)</f>
        <v>0.39604699999999993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 t="s">
        <v>24</v>
      </c>
      <c r="X24" s="71">
        <v>1.9859999999999999E-2</v>
      </c>
    </row>
    <row r="25" spans="2:24" ht="15" customHeight="1">
      <c r="B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 t="s">
        <v>14</v>
      </c>
      <c r="X25" s="71">
        <v>1.9665000000000002E-2</v>
      </c>
    </row>
    <row r="26" spans="2:24" ht="15" customHeight="1">
      <c r="B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 t="s">
        <v>21</v>
      </c>
      <c r="X26" s="71">
        <v>1.9210000000000001E-2</v>
      </c>
    </row>
    <row r="27" spans="2:24" ht="15" customHeight="1">
      <c r="B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70" t="s">
        <v>36</v>
      </c>
      <c r="X27" s="71">
        <v>1.4805E-2</v>
      </c>
    </row>
    <row r="28" spans="2:24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70" t="s">
        <v>34</v>
      </c>
      <c r="X28" s="71">
        <v>1.4562E-2</v>
      </c>
    </row>
    <row r="29" spans="2:24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  <c r="W29" s="70" t="s">
        <v>42</v>
      </c>
      <c r="X29" s="71">
        <v>9.1430000000000001E-3</v>
      </c>
    </row>
    <row r="30" spans="2:24" ht="15" customHeight="1">
      <c r="B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67"/>
      <c r="W30" s="70"/>
      <c r="X30" s="71"/>
    </row>
    <row r="31" spans="2:24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67"/>
      <c r="W31" s="70"/>
      <c r="X31" s="71"/>
    </row>
    <row r="32" spans="2:24" ht="15" customHeight="1">
      <c r="B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67"/>
      <c r="W32" s="70"/>
      <c r="X32" s="71"/>
    </row>
    <row r="33" spans="2:24" ht="15" customHeight="1">
      <c r="B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7"/>
      <c r="W33" s="70"/>
      <c r="X33" s="71"/>
    </row>
    <row r="34" spans="2:24" ht="15" customHeight="1">
      <c r="B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8"/>
      <c r="T34" s="67"/>
    </row>
    <row r="35" spans="2:24" ht="15" customHeight="1">
      <c r="B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8"/>
      <c r="T35" s="67"/>
    </row>
    <row r="36" spans="2:24" ht="15" customHeight="1">
      <c r="B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8"/>
      <c r="T36" s="67"/>
    </row>
    <row r="37" spans="2:24" ht="15" customHeight="1" thickBot="1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72"/>
      <c r="T37" s="73"/>
    </row>
    <row r="38" spans="2:24" ht="15" customHeight="1"/>
    <row r="39" spans="2:24" ht="15" customHeight="1"/>
    <row r="40" spans="2:24" ht="15" customHeight="1"/>
    <row r="41" spans="2:24" ht="15" customHeight="1"/>
    <row r="42" spans="2:24" ht="15" customHeight="1"/>
    <row r="43" spans="2:24" ht="15" customHeight="1"/>
    <row r="44" spans="2:24" ht="15" customHeight="1"/>
    <row r="45" spans="2:24" ht="15" customHeight="1"/>
    <row r="46" spans="2:24" ht="15" customHeight="1"/>
    <row r="47" spans="2:24" ht="15" customHeight="1"/>
    <row r="48" spans="2:24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sortState ref="W8:X29">
    <sortCondition descending="1" ref="X8:X29"/>
  </sortState>
  <mergeCells count="2">
    <mergeCell ref="C3:S3"/>
    <mergeCell ref="D5:E5"/>
  </mergeCells>
  <pageMargins left="0.2" right="0.35" top="0.74803149606299213" bottom="0.74803149606299213" header="0.31496062992125984" footer="0.31496062992125984"/>
  <pageSetup scale="52" orientation="landscape" r:id="rId1"/>
  <colBreaks count="1" manualBreakCount="1">
    <brk id="20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pageSetUpPr fitToPage="1"/>
  </sheetPr>
  <dimension ref="A1:AQ1491"/>
  <sheetViews>
    <sheetView showGridLines="0" view="pageBreakPreview" zoomScale="60" zoomScaleNormal="75" workbookViewId="0">
      <selection activeCell="C37" sqref="C37"/>
    </sheetView>
  </sheetViews>
  <sheetFormatPr defaultRowHeight="15"/>
  <cols>
    <col min="1" max="1" width="2.85546875" style="12" customWidth="1"/>
    <col min="2" max="2" width="3.85546875" style="12" customWidth="1"/>
    <col min="3" max="3" width="56.7109375" style="12" bestFit="1" customWidth="1"/>
    <col min="4" max="4" width="41.140625" style="12" bestFit="1" customWidth="1"/>
    <col min="5" max="5" width="16.7109375" style="12" customWidth="1"/>
    <col min="6" max="6" width="3.85546875" style="12" customWidth="1"/>
    <col min="7" max="7" width="5.140625" style="12" customWidth="1"/>
    <col min="8" max="10" width="9.140625" style="12"/>
    <col min="11" max="11" width="9.85546875" style="12" bestFit="1" customWidth="1"/>
    <col min="12" max="15" width="9.140625" style="12"/>
    <col min="16" max="16" width="9.140625" style="12" customWidth="1"/>
    <col min="17" max="17" width="0.5703125" style="13" customWidth="1"/>
    <col min="18" max="18" width="9.140625" style="14"/>
    <col min="19" max="19" width="22.5703125" style="14" bestFit="1" customWidth="1"/>
    <col min="20" max="20" width="10.140625" style="14" bestFit="1" customWidth="1"/>
    <col min="21" max="22" width="9.140625" style="14"/>
    <col min="23" max="23" width="10.5703125" style="14" bestFit="1" customWidth="1"/>
    <col min="24" max="24" width="9.140625" style="14"/>
    <col min="25" max="26" width="9.140625" style="64"/>
    <col min="27" max="43" width="9.140625" style="14"/>
    <col min="44" max="16384" width="9.140625" style="12"/>
  </cols>
  <sheetData>
    <row r="1" spans="2:28" ht="15.75" thickBot="1"/>
    <row r="2" spans="2:28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7"/>
    </row>
    <row r="3" spans="2:28" ht="20.25" customHeight="1">
      <c r="B3" s="18"/>
      <c r="C3" s="159" t="s">
        <v>66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9"/>
    </row>
    <row r="4" spans="2:28" ht="15.75">
      <c r="B4" s="18"/>
      <c r="C4" s="2" t="s">
        <v>201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9"/>
    </row>
    <row r="5" spans="2:28" ht="20.25">
      <c r="B5" s="18"/>
      <c r="C5" s="3" t="s">
        <v>202</v>
      </c>
      <c r="D5" s="155" t="s">
        <v>213</v>
      </c>
      <c r="E5" s="155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9"/>
    </row>
    <row r="6" spans="2:28">
      <c r="B6" s="18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9"/>
      <c r="S6" s="21"/>
      <c r="T6" s="21"/>
    </row>
    <row r="7" spans="2:28" ht="32.25" customHeight="1">
      <c r="B7" s="18"/>
      <c r="C7" s="191" t="s">
        <v>0</v>
      </c>
      <c r="D7" s="191" t="s">
        <v>1</v>
      </c>
      <c r="E7" s="191" t="s">
        <v>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9"/>
      <c r="S7" s="76" t="s">
        <v>67</v>
      </c>
      <c r="T7" s="76" t="s">
        <v>68</v>
      </c>
      <c r="U7" s="76"/>
    </row>
    <row r="8" spans="2:28" ht="15.75">
      <c r="B8" s="18"/>
      <c r="C8" s="150"/>
      <c r="D8" s="150"/>
      <c r="E8" s="132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9"/>
      <c r="S8" s="76" t="s">
        <v>69</v>
      </c>
      <c r="T8" s="80">
        <f>E9</f>
        <v>0.67559100000000005</v>
      </c>
      <c r="U8" s="76"/>
      <c r="W8" s="70"/>
      <c r="X8" s="71"/>
      <c r="AA8" s="22"/>
      <c r="AB8" s="22"/>
    </row>
    <row r="9" spans="2:28" ht="15.75">
      <c r="B9" s="18"/>
      <c r="C9" s="192" t="s">
        <v>69</v>
      </c>
      <c r="D9" s="193"/>
      <c r="E9" s="194">
        <v>0.67559100000000005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9"/>
      <c r="S9" s="76" t="s">
        <v>70</v>
      </c>
      <c r="T9" s="78">
        <f>100%-T8</f>
        <v>0.32440899999999995</v>
      </c>
      <c r="U9" s="76"/>
      <c r="W9" s="70"/>
      <c r="X9" s="71"/>
      <c r="AA9" s="22"/>
      <c r="AB9" s="22"/>
    </row>
    <row r="10" spans="2:28" ht="15.75">
      <c r="B10" s="18"/>
      <c r="C10" s="150"/>
      <c r="D10" s="150"/>
      <c r="E10" s="15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9"/>
      <c r="S10" s="77"/>
      <c r="T10" s="76"/>
      <c r="U10" s="76"/>
      <c r="W10" s="70"/>
      <c r="X10" s="71"/>
      <c r="AA10" s="22"/>
      <c r="AB10" s="22"/>
    </row>
    <row r="11" spans="2:28" ht="15.75">
      <c r="B11" s="18"/>
      <c r="C11" s="192" t="s">
        <v>71</v>
      </c>
      <c r="D11" s="193"/>
      <c r="E11" s="194">
        <v>0.21716299999999999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9"/>
      <c r="S11" s="77"/>
      <c r="T11" s="76"/>
      <c r="U11" s="76"/>
      <c r="W11" s="70"/>
      <c r="X11" s="71"/>
      <c r="AA11" s="22"/>
      <c r="AB11" s="22"/>
    </row>
    <row r="12" spans="2:28" ht="15.75">
      <c r="B12" s="18"/>
      <c r="C12" s="150"/>
      <c r="D12" s="150"/>
      <c r="E12" s="15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9"/>
      <c r="S12" s="74"/>
      <c r="W12" s="70"/>
      <c r="X12" s="71"/>
      <c r="AA12" s="22"/>
      <c r="AB12" s="22"/>
    </row>
    <row r="13" spans="2:28" ht="15.75">
      <c r="B13" s="18"/>
      <c r="C13" s="192" t="s">
        <v>72</v>
      </c>
      <c r="D13" s="193"/>
      <c r="E13" s="194">
        <v>2.3251000000000001E-2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9"/>
      <c r="S13" s="74"/>
      <c r="W13" s="70"/>
      <c r="X13" s="71"/>
    </row>
    <row r="14" spans="2:28" ht="15.75">
      <c r="B14" s="18"/>
      <c r="C14" s="150"/>
      <c r="D14" s="150"/>
      <c r="E14" s="15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9"/>
      <c r="S14" s="74"/>
      <c r="W14" s="70"/>
      <c r="X14" s="71"/>
    </row>
    <row r="15" spans="2:28" ht="15.75">
      <c r="B15" s="18"/>
      <c r="C15" s="192" t="s">
        <v>126</v>
      </c>
      <c r="D15" s="193"/>
      <c r="E15" s="194">
        <v>2.2386E-2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9"/>
      <c r="S15" s="74"/>
      <c r="W15" s="70"/>
      <c r="X15" s="71"/>
    </row>
    <row r="16" spans="2:28" ht="15.75">
      <c r="B16" s="18"/>
      <c r="C16" s="150"/>
      <c r="D16" s="150"/>
      <c r="E16" s="15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9"/>
      <c r="S16" s="74"/>
      <c r="W16" s="70"/>
      <c r="X16" s="71"/>
    </row>
    <row r="17" spans="1:28" ht="15.75">
      <c r="B17" s="18"/>
      <c r="C17" s="192" t="s">
        <v>105</v>
      </c>
      <c r="D17" s="193"/>
      <c r="E17" s="194">
        <v>1.7922E-2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9"/>
      <c r="S17" s="74"/>
      <c r="W17" s="70"/>
      <c r="X17" s="71"/>
    </row>
    <row r="18" spans="1:28" ht="15.75">
      <c r="B18" s="18"/>
      <c r="C18" s="150"/>
      <c r="D18" s="150"/>
      <c r="E18" s="15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9"/>
      <c r="S18" s="74"/>
      <c r="W18" s="70"/>
      <c r="X18" s="71"/>
    </row>
    <row r="19" spans="1:28" ht="15.75">
      <c r="B19" s="18"/>
      <c r="C19" s="192" t="s">
        <v>127</v>
      </c>
      <c r="D19" s="193"/>
      <c r="E19" s="194">
        <v>1.3204E-2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9"/>
      <c r="S19" s="74"/>
      <c r="W19" s="70"/>
      <c r="X19" s="71"/>
    </row>
    <row r="20" spans="1:28" ht="15.75">
      <c r="B20" s="18"/>
      <c r="C20" s="150"/>
      <c r="D20" s="150"/>
      <c r="E20" s="15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19"/>
      <c r="S20" s="74"/>
      <c r="W20" s="70"/>
      <c r="X20" s="71"/>
    </row>
    <row r="21" spans="1:28" ht="15.75">
      <c r="B21" s="18"/>
      <c r="C21" s="192" t="s">
        <v>148</v>
      </c>
      <c r="D21" s="193"/>
      <c r="E21" s="194">
        <v>6.38E-4</v>
      </c>
      <c r="F21" s="20"/>
      <c r="G21" s="1"/>
      <c r="H21" s="1"/>
      <c r="I21" s="1"/>
      <c r="J21" s="1"/>
      <c r="K21" s="1"/>
      <c r="L21" s="1"/>
      <c r="M21" s="1"/>
      <c r="N21" s="1"/>
      <c r="O21" s="1"/>
      <c r="P21" s="1"/>
      <c r="Q21" s="19"/>
      <c r="S21" s="74"/>
    </row>
    <row r="22" spans="1:28" ht="15.75">
      <c r="B22" s="18"/>
      <c r="C22" s="150"/>
      <c r="D22" s="150"/>
      <c r="E22" s="150"/>
      <c r="F22" s="20"/>
      <c r="G22" s="1"/>
      <c r="H22" s="1"/>
      <c r="I22" s="1"/>
      <c r="J22" s="1"/>
      <c r="K22" s="1"/>
      <c r="L22" s="1"/>
      <c r="M22" s="1"/>
      <c r="N22" s="1"/>
      <c r="O22" s="1"/>
      <c r="P22" s="1"/>
      <c r="Q22" s="19"/>
      <c r="S22" s="74"/>
    </row>
    <row r="23" spans="1:28" ht="15.75">
      <c r="B23" s="18"/>
      <c r="C23" s="192" t="s">
        <v>73</v>
      </c>
      <c r="D23" s="193"/>
      <c r="E23" s="194">
        <v>5.31E-4</v>
      </c>
      <c r="F23" s="20"/>
      <c r="G23" s="1"/>
      <c r="H23" s="1"/>
      <c r="I23" s="1"/>
      <c r="J23" s="1"/>
      <c r="K23" s="1"/>
      <c r="L23" s="1"/>
      <c r="M23" s="1"/>
      <c r="N23" s="1"/>
      <c r="O23" s="1"/>
      <c r="P23" s="1"/>
      <c r="Q23" s="19"/>
      <c r="S23" s="74"/>
    </row>
    <row r="24" spans="1:28" ht="15.75">
      <c r="B24" s="18"/>
      <c r="C24" s="150"/>
      <c r="D24" s="150"/>
      <c r="E24" s="150"/>
      <c r="F24" s="20"/>
      <c r="G24" s="1"/>
      <c r="H24" s="1"/>
      <c r="I24" s="1"/>
      <c r="J24" s="1"/>
      <c r="K24" s="1"/>
      <c r="L24" s="1"/>
      <c r="M24" s="1"/>
      <c r="N24" s="1"/>
      <c r="O24" s="1"/>
      <c r="P24" s="1"/>
      <c r="Q24" s="19"/>
      <c r="S24" s="74"/>
    </row>
    <row r="25" spans="1:28" ht="15.75">
      <c r="B25" s="18"/>
      <c r="C25" s="192" t="s">
        <v>29</v>
      </c>
      <c r="D25" s="193"/>
      <c r="E25" s="194">
        <v>2.93E-2</v>
      </c>
      <c r="F25" s="20"/>
      <c r="G25" s="1"/>
      <c r="H25" s="1"/>
      <c r="I25" s="1"/>
      <c r="J25" s="1"/>
      <c r="K25" s="1"/>
      <c r="L25" s="1"/>
      <c r="M25" s="1"/>
      <c r="N25" s="1"/>
      <c r="O25" s="1"/>
      <c r="P25" s="1"/>
      <c r="Q25" s="19"/>
      <c r="S25" s="74"/>
    </row>
    <row r="26" spans="1:28" ht="15.75">
      <c r="B26" s="18"/>
      <c r="C26" s="150"/>
      <c r="D26" s="150"/>
      <c r="E26" s="150"/>
      <c r="F26" s="20"/>
      <c r="G26" s="1"/>
      <c r="H26" s="1"/>
      <c r="I26" s="1"/>
      <c r="J26" s="1"/>
      <c r="K26" s="1"/>
      <c r="L26" s="1"/>
      <c r="M26" s="1"/>
      <c r="N26" s="1"/>
      <c r="O26" s="1"/>
      <c r="P26" s="1"/>
      <c r="Q26" s="19"/>
      <c r="S26" s="74"/>
    </row>
    <row r="27" spans="1:28" ht="15.75">
      <c r="B27" s="18"/>
      <c r="C27" s="195" t="s">
        <v>30</v>
      </c>
      <c r="D27" s="196"/>
      <c r="E27" s="197">
        <f>SUM(E9:E25)</f>
        <v>0.99998600000000004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19"/>
      <c r="S27" s="74"/>
    </row>
    <row r="28" spans="1:28">
      <c r="B28" s="18"/>
      <c r="C28" s="28"/>
      <c r="D28" s="28"/>
      <c r="E28" s="2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19"/>
      <c r="S28" s="74"/>
    </row>
    <row r="29" spans="1:28" s="14" customFormat="1" ht="15.75" thickBot="1">
      <c r="A29" s="20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  <c r="R29" s="23"/>
      <c r="S29" s="79"/>
      <c r="T29" s="23"/>
      <c r="U29" s="23"/>
      <c r="V29" s="23"/>
      <c r="W29" s="23"/>
      <c r="X29" s="23"/>
      <c r="Y29" s="44"/>
      <c r="Z29" s="44"/>
      <c r="AA29" s="23"/>
      <c r="AB29" s="23"/>
    </row>
    <row r="30" spans="1:28" s="14" customForma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7"/>
      <c r="R30" s="23"/>
      <c r="S30" s="79"/>
      <c r="T30" s="23"/>
      <c r="U30" s="23"/>
      <c r="V30" s="23"/>
      <c r="W30" s="23"/>
      <c r="X30" s="23"/>
      <c r="Y30" s="44"/>
      <c r="Z30" s="44"/>
      <c r="AA30" s="23"/>
      <c r="AB30" s="23"/>
    </row>
    <row r="31" spans="1:28" s="14" customForma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7"/>
      <c r="R31" s="23"/>
      <c r="S31" s="79"/>
      <c r="T31" s="23"/>
      <c r="U31" s="23"/>
      <c r="V31" s="23"/>
      <c r="W31" s="23"/>
      <c r="X31" s="23"/>
      <c r="Y31" s="44"/>
      <c r="Z31" s="44"/>
      <c r="AA31" s="23"/>
      <c r="AB31" s="23"/>
    </row>
    <row r="32" spans="1:28" s="14" customForma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7"/>
      <c r="R32" s="23"/>
      <c r="S32" s="79"/>
      <c r="T32" s="23"/>
      <c r="U32" s="23"/>
      <c r="V32" s="23"/>
      <c r="W32" s="23"/>
      <c r="X32" s="23"/>
      <c r="Y32" s="44"/>
      <c r="Z32" s="44"/>
      <c r="AA32" s="23"/>
      <c r="AB32" s="23"/>
    </row>
    <row r="33" spans="1:28" s="14" customForma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7"/>
      <c r="R33" s="23"/>
      <c r="S33" s="79"/>
      <c r="T33" s="23"/>
      <c r="U33" s="23"/>
      <c r="V33" s="23"/>
      <c r="W33" s="23"/>
      <c r="X33" s="23"/>
      <c r="Y33" s="44"/>
      <c r="Z33" s="44"/>
      <c r="AA33" s="23"/>
      <c r="AB33" s="23"/>
    </row>
    <row r="34" spans="1:28" s="14" customForma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7"/>
      <c r="R34" s="23"/>
      <c r="S34" s="79"/>
      <c r="T34" s="23"/>
      <c r="U34" s="23"/>
      <c r="V34" s="23"/>
      <c r="W34" s="23"/>
      <c r="X34" s="23"/>
      <c r="Y34" s="44"/>
      <c r="Z34" s="44"/>
      <c r="AA34" s="23"/>
      <c r="AB34" s="23"/>
    </row>
    <row r="35" spans="1:28" s="14" customFormat="1">
      <c r="A35" s="20"/>
      <c r="B35" s="20"/>
      <c r="C35" s="12"/>
      <c r="D35" s="12"/>
      <c r="E35" s="12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7"/>
      <c r="R35" s="23"/>
      <c r="S35" s="79"/>
      <c r="T35" s="23"/>
      <c r="U35" s="23"/>
      <c r="V35" s="23"/>
      <c r="W35" s="23"/>
      <c r="X35" s="23"/>
      <c r="Y35" s="44"/>
      <c r="Z35" s="44"/>
      <c r="AA35" s="23"/>
      <c r="AB35" s="23"/>
    </row>
    <row r="36" spans="1:28" s="14" customFormat="1">
      <c r="A36" s="20"/>
      <c r="B36" s="20"/>
      <c r="C36" s="12"/>
      <c r="D36" s="12"/>
      <c r="E36" s="12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7"/>
      <c r="R36" s="23"/>
      <c r="S36" s="79"/>
      <c r="T36" s="23"/>
      <c r="U36" s="23"/>
      <c r="V36" s="23"/>
      <c r="W36" s="23"/>
      <c r="X36" s="23"/>
      <c r="Y36" s="44"/>
      <c r="Z36" s="44"/>
      <c r="AA36" s="23"/>
      <c r="AB36" s="23"/>
    </row>
    <row r="37" spans="1:28" s="14" customFormat="1">
      <c r="A37" s="20"/>
      <c r="B37" s="20"/>
      <c r="C37" s="12"/>
      <c r="D37" s="12"/>
      <c r="E37" s="12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7"/>
      <c r="R37" s="23"/>
      <c r="S37" s="79"/>
      <c r="T37" s="23"/>
      <c r="U37" s="23"/>
      <c r="V37" s="23"/>
      <c r="W37" s="23"/>
      <c r="X37" s="23"/>
      <c r="Y37" s="44"/>
      <c r="Z37" s="44"/>
      <c r="AA37" s="23"/>
      <c r="AB37" s="23"/>
    </row>
    <row r="38" spans="1:28" s="14" customFormat="1">
      <c r="A38" s="20"/>
      <c r="B38" s="20"/>
      <c r="C38" s="12"/>
      <c r="D38" s="12"/>
      <c r="E38" s="12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7"/>
      <c r="R38" s="23"/>
      <c r="S38" s="79"/>
      <c r="T38" s="23"/>
      <c r="U38" s="23"/>
      <c r="V38" s="23"/>
      <c r="W38" s="23"/>
      <c r="X38" s="23"/>
      <c r="Y38" s="44"/>
      <c r="Z38" s="44"/>
      <c r="AA38" s="23"/>
      <c r="AB38" s="23"/>
    </row>
    <row r="39" spans="1:28" s="14" customFormat="1">
      <c r="A39" s="20"/>
      <c r="B39" s="20"/>
      <c r="C39" s="12"/>
      <c r="D39" s="12"/>
      <c r="E39" s="1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7"/>
      <c r="R39" s="23"/>
      <c r="S39" s="79"/>
      <c r="T39" s="23"/>
      <c r="U39" s="23"/>
      <c r="V39" s="23"/>
      <c r="W39" s="23"/>
      <c r="X39" s="23"/>
      <c r="Y39" s="44"/>
      <c r="Z39" s="44"/>
      <c r="AA39" s="23"/>
      <c r="AB39" s="23"/>
    </row>
    <row r="40" spans="1:28" s="14" customFormat="1">
      <c r="A40" s="20"/>
      <c r="B40" s="20"/>
      <c r="C40" s="12"/>
      <c r="D40" s="12"/>
      <c r="E40" s="12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7"/>
      <c r="R40" s="23"/>
      <c r="S40" s="79"/>
      <c r="T40" s="23"/>
      <c r="U40" s="23"/>
      <c r="V40" s="23"/>
      <c r="W40" s="23"/>
      <c r="X40" s="23"/>
      <c r="Y40" s="44"/>
      <c r="Z40" s="44"/>
      <c r="AA40" s="23"/>
      <c r="AB40" s="23"/>
    </row>
    <row r="41" spans="1:28" s="14" customFormat="1">
      <c r="A41" s="20"/>
      <c r="B41" s="20"/>
      <c r="C41" s="12"/>
      <c r="D41" s="12"/>
      <c r="E41" s="12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7"/>
      <c r="R41" s="23"/>
      <c r="S41" s="79"/>
      <c r="T41" s="23"/>
      <c r="U41" s="23"/>
      <c r="V41" s="23"/>
      <c r="W41" s="23"/>
      <c r="X41" s="23"/>
      <c r="Y41" s="44"/>
      <c r="Z41" s="44"/>
      <c r="AA41" s="23"/>
      <c r="AB41" s="23"/>
    </row>
    <row r="42" spans="1:28" s="14" customFormat="1">
      <c r="A42" s="20"/>
      <c r="B42" s="20"/>
      <c r="C42" s="12"/>
      <c r="D42" s="12"/>
      <c r="E42" s="12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7"/>
      <c r="R42" s="23"/>
      <c r="S42" s="79"/>
      <c r="T42" s="23"/>
      <c r="U42" s="23"/>
      <c r="V42" s="23"/>
      <c r="W42" s="23"/>
      <c r="X42" s="23"/>
      <c r="Y42" s="44"/>
      <c r="Z42" s="44"/>
      <c r="AA42" s="23"/>
      <c r="AB42" s="23"/>
    </row>
    <row r="43" spans="1:28" s="14" customFormat="1">
      <c r="A43" s="20"/>
      <c r="B43" s="20"/>
      <c r="C43" s="12"/>
      <c r="D43" s="12"/>
      <c r="E43" s="12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7"/>
      <c r="R43" s="23"/>
      <c r="S43" s="79"/>
      <c r="T43" s="23"/>
      <c r="U43" s="23"/>
      <c r="V43" s="23"/>
      <c r="W43" s="23"/>
      <c r="X43" s="23"/>
      <c r="Y43" s="44"/>
      <c r="Z43" s="44"/>
      <c r="AA43" s="23"/>
      <c r="AB43" s="23"/>
    </row>
    <row r="44" spans="1:28" s="14" customFormat="1">
      <c r="A44" s="20"/>
      <c r="B44" s="20"/>
      <c r="C44" s="12"/>
      <c r="D44" s="12"/>
      <c r="E44" s="12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7"/>
      <c r="R44" s="23"/>
      <c r="S44" s="79"/>
      <c r="T44" s="23"/>
      <c r="U44" s="23"/>
      <c r="V44" s="23"/>
      <c r="W44" s="23"/>
      <c r="X44" s="23"/>
      <c r="Y44" s="44"/>
      <c r="Z44" s="44"/>
      <c r="AA44" s="23"/>
      <c r="AB44" s="23"/>
    </row>
    <row r="45" spans="1:28" s="14" customFormat="1">
      <c r="A45" s="20"/>
      <c r="B45" s="20"/>
      <c r="C45" s="12"/>
      <c r="D45" s="12"/>
      <c r="E45" s="12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7"/>
      <c r="R45" s="23"/>
      <c r="S45" s="79"/>
      <c r="T45" s="23"/>
      <c r="U45" s="23"/>
      <c r="V45" s="23"/>
      <c r="W45" s="23"/>
      <c r="X45" s="23"/>
      <c r="Y45" s="44"/>
      <c r="Z45" s="44"/>
      <c r="AA45" s="23"/>
      <c r="AB45" s="23"/>
    </row>
    <row r="46" spans="1:28" s="14" customFormat="1">
      <c r="A46" s="20"/>
      <c r="B46" s="20"/>
      <c r="C46" s="12"/>
      <c r="D46" s="12"/>
      <c r="E46" s="12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7"/>
      <c r="R46" s="23"/>
      <c r="S46" s="79"/>
      <c r="T46" s="23"/>
      <c r="U46" s="23"/>
      <c r="V46" s="23"/>
      <c r="W46" s="23"/>
      <c r="X46" s="23"/>
      <c r="Y46" s="44"/>
      <c r="Z46" s="44"/>
      <c r="AA46" s="23"/>
      <c r="AB46" s="23"/>
    </row>
    <row r="47" spans="1:28" s="14" customFormat="1">
      <c r="A47" s="20"/>
      <c r="B47" s="20"/>
      <c r="C47" s="12"/>
      <c r="D47" s="12"/>
      <c r="E47" s="12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7"/>
      <c r="R47" s="23"/>
      <c r="S47" s="79"/>
      <c r="T47" s="23"/>
      <c r="U47" s="23"/>
      <c r="V47" s="23"/>
      <c r="W47" s="23"/>
      <c r="X47" s="23"/>
      <c r="Y47" s="44"/>
      <c r="Z47" s="44"/>
      <c r="AA47" s="23"/>
      <c r="AB47" s="23"/>
    </row>
    <row r="48" spans="1:28" s="14" customForma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7"/>
      <c r="R48" s="23"/>
      <c r="S48" s="79"/>
      <c r="T48" s="23"/>
      <c r="U48" s="23"/>
      <c r="V48" s="23"/>
      <c r="W48" s="23"/>
      <c r="X48" s="23"/>
      <c r="Y48" s="44"/>
      <c r="Z48" s="44"/>
      <c r="AA48" s="23"/>
      <c r="AB48" s="23"/>
    </row>
    <row r="49" spans="1:28" s="14" customForma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7"/>
      <c r="R49" s="23"/>
      <c r="S49" s="79"/>
      <c r="T49" s="23"/>
      <c r="U49" s="23"/>
      <c r="V49" s="23"/>
      <c r="W49" s="23"/>
      <c r="X49" s="23"/>
      <c r="Y49" s="44"/>
      <c r="Z49" s="44"/>
      <c r="AA49" s="23"/>
      <c r="AB49" s="23"/>
    </row>
    <row r="50" spans="1:28" s="14" customForma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7"/>
      <c r="R50" s="23"/>
      <c r="S50" s="79"/>
      <c r="T50" s="23"/>
      <c r="U50" s="23"/>
      <c r="V50" s="23"/>
      <c r="W50" s="23"/>
      <c r="X50" s="23"/>
      <c r="Y50" s="44"/>
      <c r="Z50" s="44"/>
      <c r="AA50" s="23"/>
      <c r="AB50" s="23"/>
    </row>
    <row r="51" spans="1:28" s="14" customForma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7"/>
      <c r="R51" s="23"/>
      <c r="S51" s="79"/>
      <c r="T51" s="23"/>
      <c r="U51" s="23"/>
      <c r="V51" s="23"/>
      <c r="W51" s="23"/>
      <c r="X51" s="23"/>
      <c r="Y51" s="44"/>
      <c r="Z51" s="44"/>
      <c r="AA51" s="23"/>
      <c r="AB51" s="23"/>
    </row>
    <row r="52" spans="1:28" s="14" customForma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7"/>
      <c r="R52" s="23"/>
      <c r="S52" s="79"/>
      <c r="T52" s="23"/>
      <c r="U52" s="23"/>
      <c r="V52" s="23"/>
      <c r="W52" s="23"/>
      <c r="X52" s="23"/>
      <c r="Y52" s="44"/>
      <c r="Z52" s="44"/>
      <c r="AA52" s="23"/>
      <c r="AB52" s="23"/>
    </row>
    <row r="53" spans="1:28" s="14" customForma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7"/>
      <c r="R53" s="23"/>
      <c r="S53" s="79"/>
      <c r="T53" s="23"/>
      <c r="U53" s="23"/>
      <c r="V53" s="23"/>
      <c r="W53" s="23"/>
      <c r="X53" s="23"/>
      <c r="Y53" s="44"/>
      <c r="Z53" s="44"/>
      <c r="AA53" s="23"/>
      <c r="AB53" s="23"/>
    </row>
    <row r="54" spans="1:28" s="14" customForma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7"/>
      <c r="R54" s="23"/>
      <c r="S54" s="79"/>
      <c r="T54" s="23"/>
      <c r="U54" s="23"/>
      <c r="V54" s="23"/>
      <c r="W54" s="23"/>
      <c r="X54" s="23"/>
      <c r="Y54" s="44"/>
      <c r="Z54" s="44"/>
      <c r="AA54" s="23"/>
      <c r="AB54" s="23"/>
    </row>
    <row r="55" spans="1:28" s="14" customForma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7"/>
      <c r="R55" s="23"/>
      <c r="S55" s="79"/>
      <c r="T55" s="23"/>
      <c r="U55" s="23"/>
      <c r="V55" s="23"/>
      <c r="W55" s="23"/>
      <c r="X55" s="23"/>
      <c r="Y55" s="44"/>
      <c r="Z55" s="44"/>
      <c r="AA55" s="23"/>
      <c r="AB55" s="23"/>
    </row>
    <row r="56" spans="1:28" s="14" customForma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7"/>
      <c r="R56" s="23"/>
      <c r="S56" s="79"/>
      <c r="T56" s="23"/>
      <c r="U56" s="23"/>
      <c r="V56" s="23"/>
      <c r="W56" s="23"/>
      <c r="X56" s="23"/>
      <c r="Y56" s="44"/>
      <c r="Z56" s="44"/>
      <c r="AA56" s="23"/>
      <c r="AB56" s="23"/>
    </row>
    <row r="57" spans="1:28" s="14" customForma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7"/>
      <c r="R57" s="23"/>
      <c r="S57" s="79"/>
      <c r="T57" s="23"/>
      <c r="U57" s="23"/>
      <c r="V57" s="23"/>
      <c r="W57" s="23"/>
      <c r="X57" s="23"/>
      <c r="Y57" s="44"/>
      <c r="Z57" s="44"/>
      <c r="AA57" s="23"/>
      <c r="AB57" s="23"/>
    </row>
    <row r="58" spans="1:28" s="14" customForma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7"/>
      <c r="R58" s="23"/>
      <c r="S58" s="79"/>
      <c r="T58" s="23"/>
      <c r="U58" s="23"/>
      <c r="V58" s="23"/>
      <c r="W58" s="23"/>
      <c r="X58" s="23"/>
      <c r="Y58" s="44"/>
      <c r="Z58" s="44"/>
      <c r="AA58" s="23"/>
      <c r="AB58" s="23"/>
    </row>
    <row r="59" spans="1:28" s="14" customForma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7"/>
      <c r="R59" s="23"/>
      <c r="S59" s="79"/>
      <c r="T59" s="23"/>
      <c r="U59" s="23"/>
      <c r="V59" s="23"/>
      <c r="W59" s="23"/>
      <c r="X59" s="23"/>
      <c r="Y59" s="44"/>
      <c r="Z59" s="44"/>
      <c r="AA59" s="23"/>
      <c r="AB59" s="23"/>
    </row>
    <row r="60" spans="1:28" s="14" customForma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7"/>
      <c r="R60" s="23"/>
      <c r="S60" s="79"/>
      <c r="T60" s="23"/>
      <c r="U60" s="23"/>
      <c r="V60" s="23"/>
      <c r="W60" s="23"/>
      <c r="X60" s="23"/>
      <c r="Y60" s="44"/>
      <c r="Z60" s="44"/>
      <c r="AA60" s="23"/>
      <c r="AB60" s="23"/>
    </row>
    <row r="61" spans="1:28" s="14" customForma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7"/>
      <c r="R61" s="23"/>
      <c r="S61" s="79"/>
      <c r="T61" s="23"/>
      <c r="U61" s="23"/>
      <c r="V61" s="23"/>
      <c r="W61" s="23"/>
      <c r="X61" s="23"/>
      <c r="Y61" s="44"/>
      <c r="Z61" s="44"/>
      <c r="AA61" s="23"/>
      <c r="AB61" s="23"/>
    </row>
    <row r="62" spans="1:28" s="14" customForma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7"/>
      <c r="R62" s="23"/>
      <c r="S62" s="79"/>
      <c r="T62" s="23"/>
      <c r="U62" s="23"/>
      <c r="V62" s="23"/>
      <c r="W62" s="23"/>
      <c r="X62" s="23"/>
      <c r="Y62" s="44"/>
      <c r="Z62" s="44"/>
      <c r="AA62" s="23"/>
      <c r="AB62" s="23"/>
    </row>
    <row r="63" spans="1:28" s="14" customForma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7"/>
      <c r="R63" s="23"/>
      <c r="S63" s="79"/>
      <c r="T63" s="23"/>
      <c r="U63" s="23"/>
      <c r="V63" s="23"/>
      <c r="W63" s="23"/>
      <c r="X63" s="23"/>
      <c r="Y63" s="44"/>
      <c r="Z63" s="44"/>
      <c r="AA63" s="23"/>
      <c r="AB63" s="23"/>
    </row>
    <row r="64" spans="1:28" s="14" customForma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7"/>
      <c r="R64" s="23"/>
      <c r="S64" s="79"/>
      <c r="T64" s="23"/>
      <c r="U64" s="23"/>
      <c r="V64" s="23"/>
      <c r="W64" s="23"/>
      <c r="X64" s="23"/>
      <c r="Y64" s="44"/>
      <c r="Z64" s="44"/>
      <c r="AA64" s="23"/>
      <c r="AB64" s="23"/>
    </row>
    <row r="65" spans="1:28" s="14" customForma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7"/>
      <c r="R65" s="23"/>
      <c r="S65" s="79"/>
      <c r="T65" s="23"/>
      <c r="U65" s="23"/>
      <c r="V65" s="23"/>
      <c r="W65" s="23"/>
      <c r="X65" s="23"/>
      <c r="Y65" s="44"/>
      <c r="Z65" s="44"/>
      <c r="AA65" s="23"/>
      <c r="AB65" s="23"/>
    </row>
    <row r="66" spans="1:28" s="14" customForma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7"/>
      <c r="R66" s="23"/>
      <c r="S66" s="79"/>
      <c r="T66" s="23"/>
      <c r="U66" s="23"/>
      <c r="V66" s="23"/>
      <c r="W66" s="23"/>
      <c r="X66" s="23"/>
      <c r="Y66" s="44"/>
      <c r="Z66" s="44"/>
      <c r="AA66" s="23"/>
      <c r="AB66" s="23"/>
    </row>
    <row r="67" spans="1:28" s="14" customForma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7"/>
      <c r="R67" s="23"/>
      <c r="S67" s="79"/>
      <c r="T67" s="23"/>
      <c r="U67" s="23"/>
      <c r="V67" s="23"/>
      <c r="W67" s="23"/>
      <c r="X67" s="23"/>
      <c r="Y67" s="44"/>
      <c r="Z67" s="44"/>
      <c r="AA67" s="23"/>
      <c r="AB67" s="23"/>
    </row>
    <row r="68" spans="1:28" s="14" customForma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7"/>
      <c r="R68" s="23"/>
      <c r="S68" s="79"/>
      <c r="T68" s="23"/>
      <c r="U68" s="23"/>
      <c r="V68" s="23"/>
      <c r="W68" s="23"/>
      <c r="X68" s="23"/>
      <c r="Y68" s="44"/>
      <c r="Z68" s="44"/>
      <c r="AA68" s="23"/>
      <c r="AB68" s="23"/>
    </row>
    <row r="69" spans="1:28" s="14" customForma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7"/>
      <c r="R69" s="23"/>
      <c r="S69" s="79"/>
      <c r="T69" s="23"/>
      <c r="U69" s="23"/>
      <c r="V69" s="23"/>
      <c r="W69" s="23"/>
      <c r="X69" s="23"/>
      <c r="Y69" s="44"/>
      <c r="Z69" s="44"/>
      <c r="AA69" s="23"/>
      <c r="AB69" s="23"/>
    </row>
    <row r="70" spans="1:28" s="14" customForma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7"/>
      <c r="R70" s="23"/>
      <c r="S70" s="79"/>
      <c r="T70" s="23"/>
      <c r="U70" s="23"/>
      <c r="V70" s="23"/>
      <c r="W70" s="23"/>
      <c r="X70" s="23"/>
      <c r="Y70" s="44"/>
      <c r="Z70" s="44"/>
      <c r="AA70" s="23"/>
      <c r="AB70" s="23"/>
    </row>
    <row r="71" spans="1:28" s="14" customForma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7"/>
      <c r="R71" s="23"/>
      <c r="S71" s="79"/>
      <c r="T71" s="23"/>
      <c r="U71" s="23"/>
      <c r="V71" s="23"/>
      <c r="W71" s="23"/>
      <c r="X71" s="23"/>
      <c r="Y71" s="44"/>
      <c r="Z71" s="44"/>
      <c r="AA71" s="23"/>
      <c r="AB71" s="23"/>
    </row>
    <row r="72" spans="1:28" s="14" customForma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7"/>
      <c r="R72" s="23"/>
      <c r="S72" s="79"/>
      <c r="T72" s="23"/>
      <c r="U72" s="23"/>
      <c r="V72" s="23"/>
      <c r="W72" s="23"/>
      <c r="X72" s="23"/>
      <c r="Y72" s="44"/>
      <c r="Z72" s="44"/>
      <c r="AA72" s="23"/>
      <c r="AB72" s="23"/>
    </row>
    <row r="73" spans="1:28" s="14" customForma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7"/>
      <c r="R73" s="23"/>
      <c r="S73" s="79"/>
      <c r="T73" s="23"/>
      <c r="U73" s="23"/>
      <c r="V73" s="23"/>
      <c r="W73" s="23"/>
      <c r="X73" s="23"/>
      <c r="Y73" s="44"/>
      <c r="Z73" s="44"/>
      <c r="AA73" s="23"/>
      <c r="AB73" s="23"/>
    </row>
    <row r="74" spans="1:28" s="14" customForma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7"/>
      <c r="R74" s="23"/>
      <c r="S74" s="79"/>
      <c r="T74" s="23"/>
      <c r="U74" s="23"/>
      <c r="V74" s="23"/>
      <c r="W74" s="23"/>
      <c r="X74" s="23"/>
      <c r="Y74" s="44"/>
      <c r="Z74" s="44"/>
      <c r="AA74" s="23"/>
      <c r="AB74" s="23"/>
    </row>
    <row r="75" spans="1:28" s="14" customForma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7"/>
      <c r="R75" s="23"/>
      <c r="S75" s="79"/>
      <c r="T75" s="23"/>
      <c r="U75" s="23"/>
      <c r="V75" s="23"/>
      <c r="W75" s="23"/>
      <c r="X75" s="23"/>
      <c r="Y75" s="44"/>
      <c r="Z75" s="44"/>
      <c r="AA75" s="23"/>
      <c r="AB75" s="23"/>
    </row>
    <row r="76" spans="1:28" s="14" customForma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7"/>
      <c r="R76" s="23"/>
      <c r="S76" s="79"/>
      <c r="T76" s="23"/>
      <c r="U76" s="23"/>
      <c r="V76" s="23"/>
      <c r="W76" s="23"/>
      <c r="X76" s="23"/>
      <c r="Y76" s="44"/>
      <c r="Z76" s="44"/>
      <c r="AA76" s="23"/>
      <c r="AB76" s="23"/>
    </row>
    <row r="77" spans="1:28" s="14" customForma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7"/>
      <c r="R77" s="23"/>
      <c r="S77" s="79"/>
      <c r="T77" s="23"/>
      <c r="U77" s="23"/>
      <c r="V77" s="23"/>
      <c r="W77" s="23"/>
      <c r="X77" s="23"/>
      <c r="Y77" s="44"/>
      <c r="Z77" s="44"/>
      <c r="AA77" s="23"/>
      <c r="AB77" s="23"/>
    </row>
    <row r="78" spans="1:28" s="14" customForma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7"/>
      <c r="R78" s="23"/>
      <c r="S78" s="79"/>
      <c r="T78" s="23"/>
      <c r="U78" s="23"/>
      <c r="V78" s="23"/>
      <c r="W78" s="23"/>
      <c r="X78" s="23"/>
      <c r="Y78" s="44"/>
      <c r="Z78" s="44"/>
      <c r="AA78" s="23"/>
      <c r="AB78" s="23"/>
    </row>
    <row r="79" spans="1:28" s="14" customForma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7"/>
      <c r="R79" s="23"/>
      <c r="S79" s="79"/>
      <c r="T79" s="23"/>
      <c r="U79" s="23"/>
      <c r="V79" s="23"/>
      <c r="W79" s="23"/>
      <c r="X79" s="23"/>
      <c r="Y79" s="44"/>
      <c r="Z79" s="44"/>
      <c r="AA79" s="23"/>
      <c r="AB79" s="23"/>
    </row>
    <row r="80" spans="1:28" s="14" customForma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7"/>
      <c r="R80" s="23"/>
      <c r="S80" s="79"/>
      <c r="T80" s="23"/>
      <c r="U80" s="23"/>
      <c r="V80" s="23"/>
      <c r="W80" s="23"/>
      <c r="X80" s="23"/>
      <c r="Y80" s="44"/>
      <c r="Z80" s="44"/>
      <c r="AA80" s="23"/>
      <c r="AB80" s="23"/>
    </row>
    <row r="81" spans="1:28" s="14" customForma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7"/>
      <c r="R81" s="23"/>
      <c r="S81" s="79"/>
      <c r="T81" s="23"/>
      <c r="U81" s="23"/>
      <c r="V81" s="23"/>
      <c r="W81" s="23"/>
      <c r="X81" s="23"/>
      <c r="Y81" s="44"/>
      <c r="Z81" s="44"/>
      <c r="AA81" s="23"/>
      <c r="AB81" s="23"/>
    </row>
    <row r="82" spans="1:28" s="14" customForma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7"/>
      <c r="R82" s="23"/>
      <c r="S82" s="79"/>
      <c r="T82" s="23"/>
      <c r="U82" s="23"/>
      <c r="V82" s="23"/>
      <c r="W82" s="23"/>
      <c r="X82" s="23"/>
      <c r="Y82" s="44"/>
      <c r="Z82" s="44"/>
      <c r="AA82" s="23"/>
      <c r="AB82" s="23"/>
    </row>
    <row r="83" spans="1:28" s="14" customForma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7"/>
      <c r="R83" s="23"/>
      <c r="S83" s="79"/>
      <c r="T83" s="23"/>
      <c r="U83" s="23"/>
      <c r="V83" s="23"/>
      <c r="W83" s="23"/>
      <c r="X83" s="23"/>
      <c r="Y83" s="44"/>
      <c r="Z83" s="44"/>
      <c r="AA83" s="23"/>
      <c r="AB83" s="23"/>
    </row>
    <row r="84" spans="1:28" s="14" customForma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7"/>
      <c r="R84" s="23"/>
      <c r="S84" s="79"/>
      <c r="T84" s="23"/>
      <c r="U84" s="23"/>
      <c r="V84" s="23"/>
      <c r="W84" s="23"/>
      <c r="X84" s="23"/>
      <c r="Y84" s="44"/>
      <c r="Z84" s="44"/>
      <c r="AA84" s="23"/>
      <c r="AB84" s="23"/>
    </row>
    <row r="85" spans="1:28" s="14" customForma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7"/>
      <c r="R85" s="23"/>
      <c r="S85" s="79"/>
      <c r="T85" s="23"/>
      <c r="U85" s="23"/>
      <c r="V85" s="23"/>
      <c r="W85" s="23"/>
      <c r="X85" s="23"/>
      <c r="Y85" s="44"/>
      <c r="Z85" s="44"/>
      <c r="AA85" s="23"/>
      <c r="AB85" s="23"/>
    </row>
    <row r="86" spans="1:28" s="14" customForma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7"/>
      <c r="R86" s="23"/>
      <c r="S86" s="79"/>
      <c r="T86" s="23"/>
      <c r="U86" s="23"/>
      <c r="V86" s="23"/>
      <c r="W86" s="23"/>
      <c r="X86" s="23"/>
      <c r="Y86" s="44"/>
      <c r="Z86" s="44"/>
      <c r="AA86" s="23"/>
      <c r="AB86" s="23"/>
    </row>
    <row r="87" spans="1:28" s="14" customForma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7"/>
      <c r="R87" s="23"/>
      <c r="S87" s="79"/>
      <c r="T87" s="23"/>
      <c r="U87" s="23"/>
      <c r="V87" s="23"/>
      <c r="W87" s="23"/>
      <c r="X87" s="23"/>
      <c r="Y87" s="44"/>
      <c r="Z87" s="44"/>
      <c r="AA87" s="23"/>
      <c r="AB87" s="23"/>
    </row>
    <row r="88" spans="1:28" s="14" customForma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7"/>
      <c r="R88" s="23"/>
      <c r="S88" s="79"/>
      <c r="T88" s="23"/>
      <c r="U88" s="23"/>
      <c r="V88" s="23"/>
      <c r="W88" s="23"/>
      <c r="X88" s="23"/>
      <c r="Y88" s="44"/>
      <c r="Z88" s="44"/>
      <c r="AA88" s="23"/>
      <c r="AB88" s="23"/>
    </row>
    <row r="89" spans="1:28" s="14" customForma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7"/>
      <c r="R89" s="23"/>
      <c r="S89" s="79"/>
      <c r="T89" s="23"/>
      <c r="U89" s="23"/>
      <c r="V89" s="23"/>
      <c r="W89" s="23"/>
      <c r="X89" s="23"/>
      <c r="Y89" s="44"/>
      <c r="Z89" s="44"/>
      <c r="AA89" s="23"/>
      <c r="AB89" s="23"/>
    </row>
    <row r="90" spans="1:28" s="14" customForma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7"/>
      <c r="R90" s="23"/>
      <c r="S90" s="79"/>
      <c r="T90" s="23"/>
      <c r="U90" s="23"/>
      <c r="V90" s="23"/>
      <c r="W90" s="23"/>
      <c r="X90" s="23"/>
      <c r="Y90" s="44"/>
      <c r="Z90" s="44"/>
      <c r="AA90" s="23"/>
      <c r="AB90" s="23"/>
    </row>
    <row r="91" spans="1:28" s="14" customForma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7"/>
      <c r="R91" s="23"/>
      <c r="S91" s="79"/>
      <c r="T91" s="23"/>
      <c r="U91" s="23"/>
      <c r="V91" s="23"/>
      <c r="W91" s="23"/>
      <c r="X91" s="23"/>
      <c r="Y91" s="44"/>
      <c r="Z91" s="44"/>
      <c r="AA91" s="23"/>
      <c r="AB91" s="23"/>
    </row>
    <row r="92" spans="1:28" s="14" customForma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7"/>
      <c r="R92" s="23"/>
      <c r="S92" s="79"/>
      <c r="T92" s="23"/>
      <c r="U92" s="23"/>
      <c r="V92" s="23"/>
      <c r="W92" s="23"/>
      <c r="X92" s="23"/>
      <c r="Y92" s="44"/>
      <c r="Z92" s="44"/>
      <c r="AA92" s="23"/>
      <c r="AB92" s="23"/>
    </row>
    <row r="93" spans="1:28" s="14" customForma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7"/>
      <c r="R93" s="23"/>
      <c r="S93" s="79"/>
      <c r="T93" s="23"/>
      <c r="U93" s="23"/>
      <c r="V93" s="23"/>
      <c r="W93" s="23"/>
      <c r="X93" s="23"/>
      <c r="Y93" s="44"/>
      <c r="Z93" s="44"/>
      <c r="AA93" s="23"/>
      <c r="AB93" s="23"/>
    </row>
    <row r="94" spans="1:28" s="14" customForma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7"/>
      <c r="R94" s="23"/>
      <c r="S94" s="79"/>
      <c r="T94" s="23"/>
      <c r="U94" s="23"/>
      <c r="V94" s="23"/>
      <c r="W94" s="23"/>
      <c r="X94" s="23"/>
      <c r="Y94" s="44"/>
      <c r="Z94" s="44"/>
      <c r="AA94" s="23"/>
      <c r="AB94" s="23"/>
    </row>
    <row r="95" spans="1:28" s="14" customForma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7"/>
      <c r="R95" s="23"/>
      <c r="S95" s="79"/>
      <c r="T95" s="23"/>
      <c r="U95" s="23"/>
      <c r="V95" s="23"/>
      <c r="W95" s="23"/>
      <c r="X95" s="23"/>
      <c r="Y95" s="44"/>
      <c r="Z95" s="44"/>
      <c r="AA95" s="23"/>
      <c r="AB95" s="23"/>
    </row>
    <row r="96" spans="1:28" s="14" customForma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7"/>
      <c r="R96" s="23"/>
      <c r="S96" s="79"/>
      <c r="T96" s="23"/>
      <c r="U96" s="23"/>
      <c r="V96" s="23"/>
      <c r="W96" s="23"/>
      <c r="X96" s="23"/>
      <c r="Y96" s="44"/>
      <c r="Z96" s="44"/>
      <c r="AA96" s="23"/>
      <c r="AB96" s="23"/>
    </row>
    <row r="97" spans="1:28" s="14" customForma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7"/>
      <c r="R97" s="23"/>
      <c r="S97" s="79"/>
      <c r="T97" s="23"/>
      <c r="U97" s="23"/>
      <c r="V97" s="23"/>
      <c r="W97" s="23"/>
      <c r="X97" s="23"/>
      <c r="Y97" s="44"/>
      <c r="Z97" s="44"/>
      <c r="AA97" s="23"/>
      <c r="AB97" s="23"/>
    </row>
    <row r="98" spans="1:28" s="14" customForma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7"/>
      <c r="R98" s="23"/>
      <c r="S98" s="79"/>
      <c r="T98" s="23"/>
      <c r="U98" s="23"/>
      <c r="V98" s="23"/>
      <c r="W98" s="23"/>
      <c r="X98" s="23"/>
      <c r="Y98" s="44"/>
      <c r="Z98" s="44"/>
      <c r="AA98" s="23"/>
      <c r="AB98" s="23"/>
    </row>
    <row r="99" spans="1:28" s="14" customForma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7"/>
      <c r="R99" s="23"/>
      <c r="S99" s="79"/>
      <c r="T99" s="23"/>
      <c r="U99" s="23"/>
      <c r="V99" s="23"/>
      <c r="W99" s="23"/>
      <c r="X99" s="23"/>
      <c r="Y99" s="44"/>
      <c r="Z99" s="44"/>
      <c r="AA99" s="23"/>
      <c r="AB99" s="23"/>
    </row>
    <row r="100" spans="1:28" s="14" customFormat="1">
      <c r="A100" s="12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7"/>
      <c r="S100" s="74"/>
      <c r="Y100" s="64"/>
      <c r="Z100" s="64"/>
    </row>
    <row r="101" spans="1:28" s="14" customFormat="1">
      <c r="A101" s="12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7"/>
      <c r="S101" s="74"/>
      <c r="Y101" s="64"/>
      <c r="Z101" s="64"/>
    </row>
    <row r="102" spans="1:28" s="14" customFormat="1">
      <c r="A102" s="12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7"/>
      <c r="S102" s="74"/>
      <c r="Y102" s="64"/>
      <c r="Z102" s="64"/>
    </row>
    <row r="103" spans="1:28" s="14" customFormat="1">
      <c r="A103" s="12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7"/>
      <c r="S103" s="74"/>
      <c r="Y103" s="64"/>
      <c r="Z103" s="64"/>
    </row>
    <row r="104" spans="1:28" s="14" customForma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3"/>
      <c r="S104" s="74"/>
      <c r="Y104" s="64"/>
      <c r="Z104" s="64"/>
    </row>
    <row r="105" spans="1:28" s="14" customForma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3"/>
      <c r="S105" s="74"/>
      <c r="Y105" s="64"/>
      <c r="Z105" s="64"/>
    </row>
    <row r="106" spans="1:28" s="14" customForma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3"/>
      <c r="S106" s="74"/>
      <c r="Y106" s="64"/>
      <c r="Z106" s="64"/>
    </row>
    <row r="107" spans="1:28" s="14" customForma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3"/>
      <c r="S107" s="74"/>
      <c r="Y107" s="64"/>
      <c r="Z107" s="64"/>
    </row>
    <row r="108" spans="1:28" s="14" customForma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3"/>
      <c r="S108" s="74"/>
      <c r="Y108" s="64"/>
      <c r="Z108" s="64"/>
    </row>
    <row r="109" spans="1:28" s="14" customForma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3"/>
      <c r="S109" s="74"/>
      <c r="Y109" s="64"/>
      <c r="Z109" s="64"/>
    </row>
    <row r="110" spans="1:28" s="14" customForma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3"/>
      <c r="S110" s="74"/>
      <c r="Y110" s="64"/>
      <c r="Z110" s="64"/>
    </row>
    <row r="111" spans="1:28" s="14" customForma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3"/>
      <c r="S111" s="74"/>
      <c r="Y111" s="64"/>
      <c r="Z111" s="64"/>
    </row>
    <row r="112" spans="1:28" s="14" customForma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3"/>
      <c r="S112" s="74"/>
      <c r="Y112" s="64"/>
      <c r="Z112" s="64"/>
    </row>
    <row r="113" spans="1:26" s="14" customForma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3"/>
      <c r="S113" s="74"/>
      <c r="Y113" s="64"/>
      <c r="Z113" s="64"/>
    </row>
    <row r="114" spans="1:26" s="14" customForma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3"/>
      <c r="S114" s="74"/>
      <c r="Y114" s="64"/>
      <c r="Z114" s="64"/>
    </row>
    <row r="115" spans="1:26" s="14" customForma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3"/>
      <c r="S115" s="74"/>
      <c r="Y115" s="64"/>
      <c r="Z115" s="64"/>
    </row>
    <row r="116" spans="1:26" s="14" customForma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3"/>
      <c r="S116" s="74"/>
      <c r="Y116" s="64"/>
      <c r="Z116" s="64"/>
    </row>
    <row r="117" spans="1:26" s="14" customForma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3"/>
      <c r="S117" s="74"/>
      <c r="Y117" s="64"/>
      <c r="Z117" s="64"/>
    </row>
    <row r="118" spans="1:26" s="14" customForma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3"/>
      <c r="S118" s="74"/>
      <c r="Y118" s="64"/>
      <c r="Z118" s="64"/>
    </row>
    <row r="119" spans="1:26" s="14" customForma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3"/>
      <c r="S119" s="74"/>
      <c r="Y119" s="64"/>
      <c r="Z119" s="64"/>
    </row>
    <row r="120" spans="1:26" s="14" customForma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3"/>
      <c r="S120" s="74"/>
      <c r="Y120" s="64"/>
      <c r="Z120" s="64"/>
    </row>
    <row r="121" spans="1:26" s="14" customForma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3"/>
      <c r="S121" s="74"/>
      <c r="Y121" s="64"/>
      <c r="Z121" s="64"/>
    </row>
    <row r="122" spans="1:26" s="14" customForma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3"/>
      <c r="S122" s="74"/>
      <c r="Y122" s="64"/>
      <c r="Z122" s="64"/>
    </row>
    <row r="123" spans="1:26" s="14" customForma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3"/>
      <c r="S123" s="74"/>
      <c r="Y123" s="64"/>
      <c r="Z123" s="64"/>
    </row>
    <row r="124" spans="1:26" s="14" customForma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3"/>
      <c r="S124" s="74"/>
      <c r="Y124" s="64"/>
      <c r="Z124" s="64"/>
    </row>
    <row r="125" spans="1:26" s="14" customForma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3"/>
      <c r="S125" s="74"/>
      <c r="Y125" s="64"/>
      <c r="Z125" s="64"/>
    </row>
    <row r="126" spans="1:26" s="14" customForma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3"/>
      <c r="S126" s="74"/>
      <c r="Y126" s="64"/>
      <c r="Z126" s="64"/>
    </row>
    <row r="127" spans="1:26" s="14" customForma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3"/>
      <c r="S127" s="74"/>
      <c r="Y127" s="64"/>
      <c r="Z127" s="64"/>
    </row>
    <row r="128" spans="1:26" s="14" customForma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3"/>
      <c r="S128" s="74"/>
      <c r="Y128" s="64"/>
      <c r="Z128" s="64"/>
    </row>
    <row r="129" spans="1:26" s="14" customForma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3"/>
      <c r="S129" s="74"/>
      <c r="Y129" s="64"/>
      <c r="Z129" s="64"/>
    </row>
    <row r="130" spans="1:26" s="14" customForma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3"/>
      <c r="S130" s="74"/>
      <c r="Y130" s="64"/>
      <c r="Z130" s="64"/>
    </row>
    <row r="131" spans="1:26" s="14" customForma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3"/>
      <c r="S131" s="74"/>
      <c r="Y131" s="64"/>
      <c r="Z131" s="64"/>
    </row>
    <row r="132" spans="1:26" s="14" customForma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3"/>
      <c r="S132" s="74"/>
      <c r="Y132" s="64"/>
      <c r="Z132" s="64"/>
    </row>
    <row r="133" spans="1:26" s="14" customForma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3"/>
      <c r="S133" s="74"/>
      <c r="Y133" s="64"/>
      <c r="Z133" s="64"/>
    </row>
    <row r="134" spans="1:26" s="14" customForma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3"/>
      <c r="S134" s="74"/>
      <c r="Y134" s="64"/>
      <c r="Z134" s="64"/>
    </row>
    <row r="135" spans="1:26" s="14" customForma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3"/>
      <c r="S135" s="74"/>
      <c r="Y135" s="64"/>
      <c r="Z135" s="64"/>
    </row>
    <row r="136" spans="1:26" s="14" customForma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3"/>
      <c r="S136" s="74"/>
      <c r="Y136" s="64"/>
      <c r="Z136" s="64"/>
    </row>
    <row r="137" spans="1:26" s="14" customForma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3"/>
      <c r="S137" s="74"/>
      <c r="Y137" s="64"/>
      <c r="Z137" s="64"/>
    </row>
    <row r="138" spans="1:26" s="14" customForma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3"/>
      <c r="S138" s="74"/>
      <c r="Y138" s="64"/>
      <c r="Z138" s="64"/>
    </row>
    <row r="139" spans="1:26" s="14" customForma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3"/>
      <c r="S139" s="74"/>
      <c r="Y139" s="64"/>
      <c r="Z139" s="64"/>
    </row>
    <row r="140" spans="1:26" s="14" customForma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3"/>
      <c r="S140" s="74"/>
      <c r="Y140" s="64"/>
      <c r="Z140" s="64"/>
    </row>
    <row r="141" spans="1:26" s="14" customForma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3"/>
      <c r="S141" s="74"/>
      <c r="Y141" s="64"/>
      <c r="Z141" s="64"/>
    </row>
    <row r="142" spans="1:26" s="14" customForma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3"/>
      <c r="S142" s="74"/>
      <c r="Y142" s="64"/>
      <c r="Z142" s="64"/>
    </row>
    <row r="143" spans="1:26" s="14" customForma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3"/>
      <c r="S143" s="74"/>
      <c r="Y143" s="64"/>
      <c r="Z143" s="64"/>
    </row>
    <row r="144" spans="1:26" s="14" customForma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3"/>
      <c r="S144" s="74"/>
      <c r="Y144" s="64"/>
      <c r="Z144" s="64"/>
    </row>
    <row r="145" spans="1:26" s="14" customForma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3"/>
      <c r="S145" s="74"/>
      <c r="Y145" s="64"/>
      <c r="Z145" s="64"/>
    </row>
    <row r="146" spans="1:26" s="14" customForma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3"/>
      <c r="S146" s="74"/>
      <c r="Y146" s="64"/>
      <c r="Z146" s="64"/>
    </row>
    <row r="147" spans="1:26" s="14" customForma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3"/>
      <c r="S147" s="74"/>
      <c r="Y147" s="64"/>
      <c r="Z147" s="64"/>
    </row>
    <row r="148" spans="1:26" s="14" customForma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3"/>
      <c r="S148" s="74"/>
      <c r="Y148" s="64"/>
      <c r="Z148" s="64"/>
    </row>
    <row r="149" spans="1:26" s="14" customForma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3"/>
      <c r="S149" s="74"/>
      <c r="Y149" s="64"/>
      <c r="Z149" s="64"/>
    </row>
    <row r="150" spans="1:26" s="14" customForma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3"/>
      <c r="S150" s="74"/>
      <c r="Y150" s="64"/>
      <c r="Z150" s="64"/>
    </row>
    <row r="151" spans="1:26" s="14" customForma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3"/>
      <c r="S151" s="74"/>
      <c r="Y151" s="64"/>
      <c r="Z151" s="64"/>
    </row>
    <row r="152" spans="1:26" s="14" customForma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3"/>
      <c r="S152" s="74"/>
      <c r="Y152" s="64"/>
      <c r="Z152" s="64"/>
    </row>
    <row r="153" spans="1:26" s="14" customForma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3"/>
      <c r="S153" s="74"/>
      <c r="Y153" s="64"/>
      <c r="Z153" s="64"/>
    </row>
    <row r="154" spans="1:26" s="14" customForma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3"/>
      <c r="S154" s="74"/>
      <c r="Y154" s="64"/>
      <c r="Z154" s="64"/>
    </row>
    <row r="155" spans="1:26" s="14" customForma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3"/>
      <c r="S155" s="74"/>
      <c r="Y155" s="64"/>
      <c r="Z155" s="64"/>
    </row>
    <row r="156" spans="1:26" s="14" customForma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3"/>
      <c r="S156" s="74"/>
      <c r="Y156" s="64"/>
      <c r="Z156" s="64"/>
    </row>
    <row r="157" spans="1:26" s="14" customForma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3"/>
      <c r="S157" s="74"/>
      <c r="Y157" s="64"/>
      <c r="Z157" s="64"/>
    </row>
    <row r="158" spans="1:26" s="14" customForma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3"/>
      <c r="S158" s="74"/>
      <c r="Y158" s="64"/>
      <c r="Z158" s="64"/>
    </row>
    <row r="159" spans="1:26" s="14" customForma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3"/>
      <c r="S159" s="74"/>
      <c r="Y159" s="64"/>
      <c r="Z159" s="64"/>
    </row>
    <row r="160" spans="1:26" s="14" customForma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3"/>
      <c r="S160" s="74"/>
      <c r="Y160" s="64"/>
      <c r="Z160" s="64"/>
    </row>
    <row r="161" spans="1:26" s="14" customForma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3"/>
      <c r="S161" s="74"/>
      <c r="Y161" s="64"/>
      <c r="Z161" s="64"/>
    </row>
    <row r="162" spans="1:26" s="14" customForma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3"/>
      <c r="S162" s="74"/>
      <c r="Y162" s="64"/>
      <c r="Z162" s="64"/>
    </row>
    <row r="163" spans="1:26" s="14" customForma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3"/>
      <c r="S163" s="74"/>
      <c r="Y163" s="64"/>
      <c r="Z163" s="64"/>
    </row>
    <row r="164" spans="1:26" s="14" customForma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3"/>
      <c r="S164" s="74"/>
      <c r="Y164" s="64"/>
      <c r="Z164" s="64"/>
    </row>
    <row r="165" spans="1:26" s="14" customForma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3"/>
      <c r="S165" s="74"/>
      <c r="Y165" s="64"/>
      <c r="Z165" s="64"/>
    </row>
    <row r="166" spans="1:26" s="14" customForma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3"/>
      <c r="S166" s="74"/>
      <c r="Y166" s="64"/>
      <c r="Z166" s="64"/>
    </row>
    <row r="167" spans="1:26" s="14" customForma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3"/>
      <c r="S167" s="74"/>
      <c r="Y167" s="64"/>
      <c r="Z167" s="64"/>
    </row>
    <row r="168" spans="1:26" s="14" customForma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3"/>
      <c r="S168" s="74"/>
      <c r="Y168" s="64"/>
      <c r="Z168" s="64"/>
    </row>
    <row r="169" spans="1:26" s="14" customForma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3"/>
      <c r="S169" s="74"/>
      <c r="Y169" s="64"/>
      <c r="Z169" s="64"/>
    </row>
    <row r="170" spans="1:26" s="14" customForma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3"/>
      <c r="S170" s="74"/>
      <c r="Y170" s="64"/>
      <c r="Z170" s="64"/>
    </row>
    <row r="171" spans="1:26" s="14" customForma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3"/>
      <c r="S171" s="74"/>
      <c r="Y171" s="64"/>
      <c r="Z171" s="64"/>
    </row>
    <row r="172" spans="1:26" s="14" customForma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3"/>
      <c r="S172" s="74"/>
      <c r="Y172" s="64"/>
      <c r="Z172" s="64"/>
    </row>
    <row r="173" spans="1:26" s="14" customForma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3"/>
      <c r="S173" s="74"/>
      <c r="Y173" s="64"/>
      <c r="Z173" s="64"/>
    </row>
    <row r="174" spans="1:26" s="14" customForma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3"/>
      <c r="S174" s="74"/>
      <c r="Y174" s="64"/>
      <c r="Z174" s="64"/>
    </row>
    <row r="175" spans="1:26" s="14" customForma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3"/>
      <c r="S175" s="74"/>
      <c r="Y175" s="64"/>
      <c r="Z175" s="64"/>
    </row>
    <row r="176" spans="1:26" s="14" customForma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3"/>
      <c r="S176" s="74"/>
      <c r="Y176" s="64"/>
      <c r="Z176" s="64"/>
    </row>
    <row r="177" spans="1:26" s="14" customForma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3"/>
      <c r="S177" s="74"/>
      <c r="Y177" s="64"/>
      <c r="Z177" s="64"/>
    </row>
    <row r="178" spans="1:26" s="14" customForma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3"/>
      <c r="S178" s="74"/>
      <c r="Y178" s="64"/>
      <c r="Z178" s="64"/>
    </row>
    <row r="179" spans="1:26" s="14" customForma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3"/>
      <c r="S179" s="74"/>
      <c r="Y179" s="64"/>
      <c r="Z179" s="64"/>
    </row>
    <row r="180" spans="1:26" s="14" customForma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3"/>
      <c r="S180" s="74"/>
      <c r="Y180" s="64"/>
      <c r="Z180" s="64"/>
    </row>
    <row r="181" spans="1:26" s="14" customForma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3"/>
      <c r="S181" s="74"/>
      <c r="Y181" s="64"/>
      <c r="Z181" s="64"/>
    </row>
    <row r="182" spans="1:26" s="14" customForma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3"/>
      <c r="S182" s="74"/>
      <c r="Y182" s="64"/>
      <c r="Z182" s="64"/>
    </row>
    <row r="183" spans="1:26" s="14" customForma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3"/>
      <c r="S183" s="74"/>
      <c r="Y183" s="64"/>
      <c r="Z183" s="64"/>
    </row>
    <row r="184" spans="1:26" s="14" customForma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3"/>
      <c r="S184" s="74"/>
      <c r="Y184" s="64"/>
      <c r="Z184" s="64"/>
    </row>
    <row r="185" spans="1:26" s="14" customForma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3"/>
      <c r="S185" s="74"/>
      <c r="Y185" s="64"/>
      <c r="Z185" s="64"/>
    </row>
    <row r="186" spans="1:26" s="14" customForma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3"/>
      <c r="S186" s="74"/>
      <c r="Y186" s="64"/>
      <c r="Z186" s="64"/>
    </row>
    <row r="187" spans="1:26" s="14" customForma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3"/>
      <c r="S187" s="74"/>
      <c r="Y187" s="64"/>
      <c r="Z187" s="64"/>
    </row>
    <row r="188" spans="1:26" s="14" customForma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3"/>
      <c r="S188" s="74"/>
      <c r="Y188" s="64"/>
      <c r="Z188" s="64"/>
    </row>
    <row r="189" spans="1:26" s="14" customForma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3"/>
      <c r="S189" s="74"/>
      <c r="Y189" s="64"/>
      <c r="Z189" s="64"/>
    </row>
    <row r="190" spans="1:26" s="14" customForma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3"/>
      <c r="S190" s="74"/>
      <c r="Y190" s="64"/>
      <c r="Z190" s="64"/>
    </row>
    <row r="191" spans="1:26" s="14" customForma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3"/>
      <c r="S191" s="74"/>
      <c r="Y191" s="64"/>
      <c r="Z191" s="64"/>
    </row>
    <row r="192" spans="1:26" s="14" customForma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3"/>
      <c r="S192" s="74"/>
      <c r="Y192" s="64"/>
      <c r="Z192" s="64"/>
    </row>
    <row r="193" spans="1:26" s="14" customForma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3"/>
      <c r="S193" s="74"/>
      <c r="Y193" s="64"/>
      <c r="Z193" s="64"/>
    </row>
    <row r="194" spans="1:26" s="14" customForma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3"/>
      <c r="S194" s="74"/>
      <c r="Y194" s="64"/>
      <c r="Z194" s="64"/>
    </row>
    <row r="195" spans="1:26" s="14" customForma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3"/>
      <c r="S195" s="74"/>
      <c r="Y195" s="64"/>
      <c r="Z195" s="64"/>
    </row>
    <row r="196" spans="1:26" s="14" customForma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3"/>
      <c r="S196" s="74"/>
      <c r="Y196" s="64"/>
      <c r="Z196" s="64"/>
    </row>
    <row r="197" spans="1:26" s="14" customForma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3"/>
      <c r="S197" s="74"/>
      <c r="Y197" s="64"/>
      <c r="Z197" s="64"/>
    </row>
    <row r="198" spans="1:26" s="14" customForma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3"/>
      <c r="S198" s="74"/>
      <c r="Y198" s="64"/>
      <c r="Z198" s="64"/>
    </row>
    <row r="199" spans="1:26" s="14" customForma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3"/>
      <c r="S199" s="74"/>
      <c r="Y199" s="64"/>
      <c r="Z199" s="64"/>
    </row>
    <row r="200" spans="1:26" s="14" customForma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3"/>
      <c r="S200" s="74"/>
      <c r="Y200" s="64"/>
      <c r="Z200" s="64"/>
    </row>
    <row r="201" spans="1:26" s="14" customForma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3"/>
      <c r="S201" s="74"/>
      <c r="Y201" s="64"/>
      <c r="Z201" s="64"/>
    </row>
    <row r="202" spans="1:26" s="14" customForma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3"/>
      <c r="S202" s="74"/>
      <c r="Y202" s="64"/>
      <c r="Z202" s="64"/>
    </row>
    <row r="203" spans="1:26" s="14" customForma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3"/>
      <c r="S203" s="74"/>
      <c r="Y203" s="64"/>
      <c r="Z203" s="64"/>
    </row>
    <row r="204" spans="1:26" s="14" customForma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3"/>
      <c r="S204" s="74"/>
      <c r="Y204" s="64"/>
      <c r="Z204" s="64"/>
    </row>
    <row r="205" spans="1:26" s="14" customForma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3"/>
      <c r="S205" s="74"/>
      <c r="Y205" s="64"/>
      <c r="Z205" s="64"/>
    </row>
    <row r="206" spans="1:26" s="14" customForma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3"/>
      <c r="S206" s="74"/>
      <c r="Y206" s="64"/>
      <c r="Z206" s="64"/>
    </row>
    <row r="207" spans="1:26" s="14" customForma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3"/>
      <c r="S207" s="74"/>
      <c r="Y207" s="64"/>
      <c r="Z207" s="64"/>
    </row>
    <row r="208" spans="1:26" s="14" customForma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3"/>
      <c r="S208" s="74"/>
      <c r="Y208" s="64"/>
      <c r="Z208" s="64"/>
    </row>
    <row r="209" spans="1:26" s="14" customForma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3"/>
      <c r="S209" s="74"/>
      <c r="Y209" s="64"/>
      <c r="Z209" s="64"/>
    </row>
    <row r="210" spans="1:26" s="14" customForma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3"/>
      <c r="S210" s="74"/>
      <c r="Y210" s="64"/>
      <c r="Z210" s="64"/>
    </row>
    <row r="211" spans="1:26" s="14" customForma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3"/>
      <c r="S211" s="74"/>
      <c r="Y211" s="64"/>
      <c r="Z211" s="64"/>
    </row>
    <row r="212" spans="1:26" s="14" customForma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3"/>
      <c r="S212" s="74"/>
      <c r="Y212" s="64"/>
      <c r="Z212" s="64"/>
    </row>
    <row r="213" spans="1:26" s="14" customForma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3"/>
      <c r="S213" s="74"/>
      <c r="Y213" s="64"/>
      <c r="Z213" s="64"/>
    </row>
    <row r="214" spans="1:26" s="14" customForma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3"/>
      <c r="S214" s="74"/>
      <c r="Y214" s="64"/>
      <c r="Z214" s="64"/>
    </row>
    <row r="215" spans="1:26" s="14" customForma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3"/>
      <c r="S215" s="74"/>
      <c r="Y215" s="64"/>
      <c r="Z215" s="64"/>
    </row>
    <row r="216" spans="1:26" s="14" customForma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3"/>
      <c r="S216" s="74"/>
      <c r="Y216" s="64"/>
      <c r="Z216" s="64"/>
    </row>
    <row r="217" spans="1:26" s="14" customForma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3"/>
      <c r="S217" s="74"/>
      <c r="Y217" s="64"/>
      <c r="Z217" s="64"/>
    </row>
    <row r="218" spans="1:26" s="14" customForma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3"/>
      <c r="S218" s="74"/>
      <c r="Y218" s="64"/>
      <c r="Z218" s="64"/>
    </row>
    <row r="219" spans="1:26" s="14" customForma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3"/>
      <c r="S219" s="74"/>
      <c r="Y219" s="64"/>
      <c r="Z219" s="64"/>
    </row>
    <row r="220" spans="1:26" s="14" customForma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3"/>
      <c r="S220" s="74"/>
      <c r="Y220" s="64"/>
      <c r="Z220" s="64"/>
    </row>
    <row r="221" spans="1:26" s="14" customForma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3"/>
      <c r="S221" s="74"/>
      <c r="Y221" s="64"/>
      <c r="Z221" s="64"/>
    </row>
    <row r="222" spans="1:26" s="14" customForma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3"/>
      <c r="S222" s="74"/>
      <c r="Y222" s="64"/>
      <c r="Z222" s="64"/>
    </row>
    <row r="223" spans="1:26" s="14" customForma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3"/>
      <c r="S223" s="74"/>
      <c r="Y223" s="64"/>
      <c r="Z223" s="64"/>
    </row>
    <row r="224" spans="1:26" s="14" customForma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3"/>
      <c r="S224" s="74"/>
      <c r="Y224" s="64"/>
      <c r="Z224" s="64"/>
    </row>
    <row r="225" spans="1:26" s="14" customForma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3"/>
      <c r="S225" s="74"/>
      <c r="Y225" s="64"/>
      <c r="Z225" s="64"/>
    </row>
    <row r="226" spans="1:26" s="14" customForma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3"/>
      <c r="S226" s="74"/>
      <c r="Y226" s="64"/>
      <c r="Z226" s="64"/>
    </row>
    <row r="227" spans="1:26" s="14" customForma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3"/>
      <c r="S227" s="74"/>
      <c r="Y227" s="64"/>
      <c r="Z227" s="64"/>
    </row>
    <row r="228" spans="1:26" s="14" customForma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3"/>
      <c r="S228" s="74"/>
      <c r="Y228" s="64"/>
      <c r="Z228" s="64"/>
    </row>
    <row r="229" spans="1:26" s="14" customForma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3"/>
      <c r="S229" s="74"/>
      <c r="Y229" s="64"/>
      <c r="Z229" s="64"/>
    </row>
    <row r="230" spans="1:26" s="14" customForma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3"/>
      <c r="S230" s="74"/>
      <c r="Y230" s="64"/>
      <c r="Z230" s="64"/>
    </row>
    <row r="231" spans="1:26" s="14" customForma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3"/>
      <c r="S231" s="74"/>
      <c r="Y231" s="64"/>
      <c r="Z231" s="64"/>
    </row>
    <row r="232" spans="1:26" s="14" customForma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3"/>
      <c r="S232" s="74"/>
      <c r="Y232" s="64"/>
      <c r="Z232" s="64"/>
    </row>
    <row r="233" spans="1:26" s="14" customForma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3"/>
      <c r="S233" s="74"/>
      <c r="Y233" s="64"/>
      <c r="Z233" s="64"/>
    </row>
    <row r="234" spans="1:26" s="14" customForma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3"/>
      <c r="S234" s="74"/>
      <c r="Y234" s="64"/>
      <c r="Z234" s="64"/>
    </row>
    <row r="235" spans="1:26" s="14" customForma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3"/>
      <c r="S235" s="74"/>
      <c r="Y235" s="64"/>
      <c r="Z235" s="64"/>
    </row>
    <row r="236" spans="1:26" s="14" customForma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3"/>
      <c r="S236" s="74"/>
      <c r="Y236" s="64"/>
      <c r="Z236" s="64"/>
    </row>
    <row r="237" spans="1:26" s="14" customForma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3"/>
      <c r="S237" s="74"/>
      <c r="Y237" s="64"/>
      <c r="Z237" s="64"/>
    </row>
    <row r="238" spans="1:26" s="14" customForma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3"/>
      <c r="S238" s="74"/>
      <c r="Y238" s="64"/>
      <c r="Z238" s="64"/>
    </row>
    <row r="239" spans="1:26" s="14" customForma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3"/>
      <c r="S239" s="74"/>
      <c r="Y239" s="64"/>
      <c r="Z239" s="64"/>
    </row>
    <row r="240" spans="1:26" s="14" customForma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3"/>
      <c r="S240" s="74"/>
      <c r="Y240" s="64"/>
      <c r="Z240" s="64"/>
    </row>
    <row r="241" spans="1:26" s="14" customForma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3"/>
      <c r="S241" s="74"/>
      <c r="Y241" s="64"/>
      <c r="Z241" s="64"/>
    </row>
    <row r="242" spans="1:26" s="14" customForma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3"/>
      <c r="S242" s="74"/>
      <c r="Y242" s="64"/>
      <c r="Z242" s="64"/>
    </row>
    <row r="243" spans="1:26" s="14" customForma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3"/>
      <c r="S243" s="74"/>
      <c r="Y243" s="64"/>
      <c r="Z243" s="64"/>
    </row>
    <row r="244" spans="1:26" s="14" customForma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3"/>
      <c r="S244" s="74"/>
      <c r="Y244" s="64"/>
      <c r="Z244" s="64"/>
    </row>
    <row r="245" spans="1:26" s="14" customForma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3"/>
      <c r="S245" s="74"/>
      <c r="Y245" s="64"/>
      <c r="Z245" s="64"/>
    </row>
    <row r="246" spans="1:26" s="14" customForma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3"/>
      <c r="S246" s="74"/>
      <c r="Y246" s="64"/>
      <c r="Z246" s="64"/>
    </row>
    <row r="247" spans="1:26" s="14" customForma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3"/>
      <c r="S247" s="74"/>
      <c r="Y247" s="64"/>
      <c r="Z247" s="64"/>
    </row>
    <row r="248" spans="1:26" s="14" customForma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3"/>
      <c r="S248" s="74"/>
      <c r="Y248" s="64"/>
      <c r="Z248" s="64"/>
    </row>
    <row r="249" spans="1:26" s="14" customForma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3"/>
      <c r="S249" s="74"/>
      <c r="Y249" s="64"/>
      <c r="Z249" s="64"/>
    </row>
    <row r="250" spans="1:26" s="14" customForma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3"/>
      <c r="S250" s="74"/>
      <c r="Y250" s="64"/>
      <c r="Z250" s="64"/>
    </row>
    <row r="251" spans="1:26" s="14" customForma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3"/>
      <c r="S251" s="74"/>
      <c r="Y251" s="64"/>
      <c r="Z251" s="64"/>
    </row>
    <row r="252" spans="1:26" s="14" customForma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3"/>
      <c r="S252" s="74"/>
      <c r="Y252" s="64"/>
      <c r="Z252" s="64"/>
    </row>
    <row r="253" spans="1:26" s="14" customForma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3"/>
      <c r="S253" s="74"/>
      <c r="Y253" s="64"/>
      <c r="Z253" s="64"/>
    </row>
    <row r="254" spans="1:26" s="14" customForma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3"/>
      <c r="S254" s="74"/>
      <c r="Y254" s="64"/>
      <c r="Z254" s="64"/>
    </row>
    <row r="255" spans="1:26" s="14" customForma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3"/>
      <c r="S255" s="74"/>
      <c r="Y255" s="64"/>
      <c r="Z255" s="64"/>
    </row>
    <row r="256" spans="1:26" s="14" customForma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3"/>
      <c r="S256" s="74"/>
      <c r="Y256" s="64"/>
      <c r="Z256" s="64"/>
    </row>
    <row r="257" spans="1:26" s="14" customForma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3"/>
      <c r="S257" s="74"/>
      <c r="Y257" s="64"/>
      <c r="Z257" s="64"/>
    </row>
    <row r="258" spans="1:26" s="14" customForma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3"/>
      <c r="S258" s="74"/>
      <c r="Y258" s="64"/>
      <c r="Z258" s="64"/>
    </row>
    <row r="259" spans="1:26" s="14" customForma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3"/>
      <c r="S259" s="74"/>
      <c r="Y259" s="64"/>
      <c r="Z259" s="64"/>
    </row>
    <row r="260" spans="1:26" s="14" customForma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3"/>
      <c r="S260" s="74"/>
      <c r="Y260" s="64"/>
      <c r="Z260" s="64"/>
    </row>
    <row r="261" spans="1:26" s="14" customForma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3"/>
      <c r="S261" s="74"/>
      <c r="Y261" s="64"/>
      <c r="Z261" s="64"/>
    </row>
    <row r="262" spans="1:26" s="14" customForma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3"/>
      <c r="S262" s="74"/>
      <c r="Y262" s="64"/>
      <c r="Z262" s="64"/>
    </row>
    <row r="263" spans="1:26" s="14" customForma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3"/>
      <c r="S263" s="74"/>
      <c r="Y263" s="64"/>
      <c r="Z263" s="64"/>
    </row>
    <row r="264" spans="1:26" s="14" customForma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3"/>
      <c r="S264" s="74"/>
      <c r="Y264" s="64"/>
      <c r="Z264" s="64"/>
    </row>
    <row r="265" spans="1:26" s="14" customForma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3"/>
      <c r="S265" s="74"/>
      <c r="Y265" s="64"/>
      <c r="Z265" s="64"/>
    </row>
    <row r="266" spans="1:26" s="14" customForma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3"/>
      <c r="S266" s="74"/>
      <c r="Y266" s="64"/>
      <c r="Z266" s="64"/>
    </row>
    <row r="267" spans="1:26" s="14" customForma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3"/>
      <c r="S267" s="74"/>
      <c r="Y267" s="64"/>
      <c r="Z267" s="64"/>
    </row>
    <row r="268" spans="1:26" s="14" customForma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3"/>
      <c r="S268" s="74"/>
      <c r="Y268" s="64"/>
      <c r="Z268" s="64"/>
    </row>
    <row r="269" spans="1:26" s="14" customForma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3"/>
      <c r="S269" s="74"/>
      <c r="Y269" s="64"/>
      <c r="Z269" s="64"/>
    </row>
    <row r="270" spans="1:26" s="14" customForma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3"/>
      <c r="S270" s="74"/>
      <c r="Y270" s="64"/>
      <c r="Z270" s="64"/>
    </row>
    <row r="271" spans="1:26" s="14" customForma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3"/>
      <c r="S271" s="74"/>
      <c r="Y271" s="64"/>
      <c r="Z271" s="64"/>
    </row>
    <row r="272" spans="1:26" s="14" customForma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3"/>
      <c r="S272" s="74"/>
      <c r="Y272" s="64"/>
      <c r="Z272" s="64"/>
    </row>
    <row r="273" spans="1:26" s="14" customForma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3"/>
      <c r="S273" s="74"/>
      <c r="Y273" s="64"/>
      <c r="Z273" s="64"/>
    </row>
    <row r="274" spans="1:26" s="14" customForma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3"/>
      <c r="S274" s="74"/>
      <c r="Y274" s="64"/>
      <c r="Z274" s="64"/>
    </row>
    <row r="275" spans="1:26" s="14" customForma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3"/>
      <c r="S275" s="74"/>
      <c r="Y275" s="64"/>
      <c r="Z275" s="64"/>
    </row>
    <row r="276" spans="1:26" s="14" customForma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3"/>
      <c r="S276" s="74"/>
      <c r="Y276" s="64"/>
      <c r="Z276" s="64"/>
    </row>
    <row r="277" spans="1:26" s="14" customForma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3"/>
      <c r="S277" s="74"/>
      <c r="Y277" s="64"/>
      <c r="Z277" s="64"/>
    </row>
    <row r="278" spans="1:26" s="14" customForma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3"/>
      <c r="S278" s="74"/>
      <c r="Y278" s="64"/>
      <c r="Z278" s="64"/>
    </row>
    <row r="279" spans="1:26" s="14" customForma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3"/>
      <c r="S279" s="74"/>
      <c r="Y279" s="64"/>
      <c r="Z279" s="64"/>
    </row>
    <row r="280" spans="1:26" s="14" customForma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3"/>
      <c r="S280" s="74"/>
      <c r="Y280" s="64"/>
      <c r="Z280" s="64"/>
    </row>
    <row r="281" spans="1:26" s="14" customForma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3"/>
      <c r="S281" s="74"/>
      <c r="Y281" s="64"/>
      <c r="Z281" s="64"/>
    </row>
    <row r="282" spans="1:26" s="14" customForma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3"/>
      <c r="S282" s="74"/>
      <c r="Y282" s="64"/>
      <c r="Z282" s="64"/>
    </row>
    <row r="283" spans="1:26" s="14" customForma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3"/>
      <c r="S283" s="74"/>
      <c r="Y283" s="64"/>
      <c r="Z283" s="64"/>
    </row>
    <row r="284" spans="1:26" s="14" customForma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3"/>
      <c r="S284" s="74"/>
      <c r="Y284" s="64"/>
      <c r="Z284" s="64"/>
    </row>
    <row r="285" spans="1:26" s="14" customForma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3"/>
      <c r="S285" s="74"/>
      <c r="Y285" s="64"/>
      <c r="Z285" s="64"/>
    </row>
    <row r="286" spans="1:26" s="14" customForma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3"/>
      <c r="S286" s="74"/>
      <c r="Y286" s="64"/>
      <c r="Z286" s="64"/>
    </row>
    <row r="287" spans="1:26" s="14" customForma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3"/>
      <c r="S287" s="74"/>
      <c r="Y287" s="64"/>
      <c r="Z287" s="64"/>
    </row>
    <row r="288" spans="1:26" s="14" customForma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3"/>
      <c r="S288" s="74"/>
      <c r="Y288" s="64"/>
      <c r="Z288" s="64"/>
    </row>
    <row r="289" spans="1:26" s="14" customForma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3"/>
      <c r="S289" s="74"/>
      <c r="Y289" s="64"/>
      <c r="Z289" s="64"/>
    </row>
    <row r="290" spans="1:26" s="14" customForma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3"/>
      <c r="S290" s="74"/>
      <c r="Y290" s="64"/>
      <c r="Z290" s="64"/>
    </row>
    <row r="291" spans="1:26" s="14" customForma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3"/>
      <c r="S291" s="74"/>
      <c r="Y291" s="64"/>
      <c r="Z291" s="64"/>
    </row>
    <row r="292" spans="1:26" s="14" customForma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3"/>
      <c r="S292" s="74"/>
      <c r="Y292" s="64"/>
      <c r="Z292" s="64"/>
    </row>
    <row r="293" spans="1:26" s="14" customForma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3"/>
      <c r="S293" s="74"/>
      <c r="Y293" s="64"/>
      <c r="Z293" s="64"/>
    </row>
    <row r="294" spans="1:26" s="14" customForma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3"/>
      <c r="S294" s="74"/>
      <c r="Y294" s="64"/>
      <c r="Z294" s="64"/>
    </row>
    <row r="295" spans="1:26" s="14" customForma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3"/>
      <c r="S295" s="74"/>
      <c r="Y295" s="64"/>
      <c r="Z295" s="64"/>
    </row>
    <row r="296" spans="1:26" s="14" customForma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3"/>
      <c r="S296" s="74"/>
      <c r="Y296" s="64"/>
      <c r="Z296" s="64"/>
    </row>
    <row r="297" spans="1:26" s="14" customForma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3"/>
      <c r="S297" s="74"/>
      <c r="Y297" s="64"/>
      <c r="Z297" s="64"/>
    </row>
    <row r="298" spans="1:26" s="14" customForma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3"/>
      <c r="S298" s="74"/>
      <c r="Y298" s="64"/>
      <c r="Z298" s="64"/>
    </row>
    <row r="299" spans="1:26" s="14" customForma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3"/>
      <c r="S299" s="74"/>
      <c r="Y299" s="64"/>
      <c r="Z299" s="64"/>
    </row>
    <row r="300" spans="1:26" s="14" customForma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3"/>
      <c r="S300" s="74"/>
      <c r="Y300" s="64"/>
      <c r="Z300" s="64"/>
    </row>
    <row r="301" spans="1:26" s="14" customForma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3"/>
      <c r="S301" s="74"/>
      <c r="Y301" s="64"/>
      <c r="Z301" s="64"/>
    </row>
    <row r="302" spans="1:26" s="14" customForma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3"/>
      <c r="S302" s="74"/>
      <c r="Y302" s="64"/>
      <c r="Z302" s="64"/>
    </row>
    <row r="303" spans="1:26" s="14" customForma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3"/>
      <c r="S303" s="74"/>
      <c r="Y303" s="64"/>
      <c r="Z303" s="64"/>
    </row>
    <row r="304" spans="1:26" s="14" customForma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3"/>
      <c r="S304" s="74"/>
      <c r="Y304" s="64"/>
      <c r="Z304" s="64"/>
    </row>
    <row r="305" spans="1:26" s="14" customForma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3"/>
      <c r="S305" s="74"/>
      <c r="Y305" s="64"/>
      <c r="Z305" s="64"/>
    </row>
    <row r="306" spans="1:26" s="14" customForma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3"/>
      <c r="S306" s="74"/>
      <c r="Y306" s="64"/>
      <c r="Z306" s="64"/>
    </row>
    <row r="307" spans="1:26" s="14" customForma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3"/>
      <c r="S307" s="74"/>
      <c r="Y307" s="64"/>
      <c r="Z307" s="64"/>
    </row>
    <row r="308" spans="1:26" s="14" customForma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3"/>
      <c r="S308" s="74"/>
      <c r="Y308" s="64"/>
      <c r="Z308" s="64"/>
    </row>
    <row r="309" spans="1:26" s="14" customForma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3"/>
      <c r="S309" s="74"/>
      <c r="Y309" s="64"/>
      <c r="Z309" s="64"/>
    </row>
    <row r="310" spans="1:26" s="14" customForma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3"/>
      <c r="S310" s="74"/>
      <c r="Y310" s="64"/>
      <c r="Z310" s="64"/>
    </row>
    <row r="311" spans="1:26" s="14" customForma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3"/>
      <c r="S311" s="74"/>
      <c r="Y311" s="64"/>
      <c r="Z311" s="64"/>
    </row>
    <row r="312" spans="1:26" s="14" customForma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3"/>
      <c r="S312" s="74"/>
      <c r="Y312" s="64"/>
      <c r="Z312" s="64"/>
    </row>
    <row r="313" spans="1:26" s="14" customForma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3"/>
      <c r="S313" s="74"/>
      <c r="Y313" s="64"/>
      <c r="Z313" s="64"/>
    </row>
    <row r="314" spans="1:26" s="14" customForma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3"/>
      <c r="S314" s="74"/>
      <c r="Y314" s="64"/>
      <c r="Z314" s="64"/>
    </row>
    <row r="315" spans="1:26" s="14" customForma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3"/>
      <c r="S315" s="74"/>
      <c r="Y315" s="64"/>
      <c r="Z315" s="64"/>
    </row>
    <row r="316" spans="1:26" s="14" customForma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3"/>
      <c r="S316" s="74"/>
      <c r="Y316" s="64"/>
      <c r="Z316" s="64"/>
    </row>
    <row r="317" spans="1:26" s="14" customForma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3"/>
      <c r="S317" s="74"/>
      <c r="Y317" s="64"/>
      <c r="Z317" s="64"/>
    </row>
    <row r="318" spans="1:26" s="14" customForma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3"/>
      <c r="S318" s="74"/>
      <c r="Y318" s="64"/>
      <c r="Z318" s="64"/>
    </row>
    <row r="319" spans="1:26" s="14" customForma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3"/>
      <c r="S319" s="74"/>
      <c r="Y319" s="64"/>
      <c r="Z319" s="64"/>
    </row>
    <row r="320" spans="1:26" s="14" customForma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3"/>
      <c r="S320" s="74"/>
      <c r="Y320" s="64"/>
      <c r="Z320" s="64"/>
    </row>
    <row r="321" spans="1:26" s="14" customForma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3"/>
      <c r="S321" s="74"/>
      <c r="Y321" s="64"/>
      <c r="Z321" s="64"/>
    </row>
    <row r="322" spans="1:26" s="14" customForma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3"/>
      <c r="S322" s="74"/>
      <c r="Y322" s="64"/>
      <c r="Z322" s="64"/>
    </row>
    <row r="323" spans="1:26" s="14" customForma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3"/>
      <c r="S323" s="74"/>
      <c r="Y323" s="64"/>
      <c r="Z323" s="64"/>
    </row>
    <row r="324" spans="1:26" s="14" customForma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3"/>
      <c r="S324" s="74"/>
      <c r="Y324" s="64"/>
      <c r="Z324" s="64"/>
    </row>
    <row r="325" spans="1:26" s="14" customForma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3"/>
      <c r="S325" s="74"/>
      <c r="Y325" s="64"/>
      <c r="Z325" s="64"/>
    </row>
    <row r="326" spans="1:26" s="14" customForma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3"/>
      <c r="S326" s="74"/>
      <c r="Y326" s="64"/>
      <c r="Z326" s="64"/>
    </row>
    <row r="327" spans="1:26" s="14" customForma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3"/>
      <c r="S327" s="74"/>
      <c r="Y327" s="64"/>
      <c r="Z327" s="64"/>
    </row>
    <row r="328" spans="1:26" s="14" customForma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3"/>
      <c r="S328" s="74"/>
      <c r="Y328" s="64"/>
      <c r="Z328" s="64"/>
    </row>
    <row r="329" spans="1:26" s="14" customForma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3"/>
      <c r="S329" s="74"/>
      <c r="Y329" s="64"/>
      <c r="Z329" s="64"/>
    </row>
    <row r="330" spans="1:26" s="14" customForma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3"/>
      <c r="S330" s="74"/>
      <c r="Y330" s="64"/>
      <c r="Z330" s="64"/>
    </row>
    <row r="331" spans="1:26" s="14" customForma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3"/>
      <c r="S331" s="74"/>
      <c r="Y331" s="64"/>
      <c r="Z331" s="64"/>
    </row>
    <row r="332" spans="1:26" s="14" customForma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3"/>
      <c r="S332" s="74"/>
      <c r="Y332" s="64"/>
      <c r="Z332" s="64"/>
    </row>
    <row r="333" spans="1:26" s="14" customForma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3"/>
      <c r="S333" s="74"/>
      <c r="Y333" s="64"/>
      <c r="Z333" s="64"/>
    </row>
    <row r="334" spans="1:26" s="14" customForma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3"/>
      <c r="S334" s="74"/>
      <c r="Y334" s="64"/>
      <c r="Z334" s="64"/>
    </row>
    <row r="335" spans="1:26" s="14" customForma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3"/>
      <c r="S335" s="74"/>
      <c r="Y335" s="64"/>
      <c r="Z335" s="64"/>
    </row>
    <row r="336" spans="1:26" s="14" customForma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3"/>
      <c r="S336" s="74"/>
      <c r="Y336" s="64"/>
      <c r="Z336" s="64"/>
    </row>
    <row r="337" spans="1:26" s="14" customForma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3"/>
      <c r="S337" s="74"/>
      <c r="Y337" s="64"/>
      <c r="Z337" s="64"/>
    </row>
    <row r="338" spans="1:26" s="14" customForma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3"/>
      <c r="S338" s="74"/>
      <c r="Y338" s="64"/>
      <c r="Z338" s="64"/>
    </row>
    <row r="339" spans="1:26" s="14" customForma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3"/>
      <c r="S339" s="74"/>
      <c r="Y339" s="64"/>
      <c r="Z339" s="64"/>
    </row>
    <row r="340" spans="1:26" s="14" customForma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3"/>
      <c r="S340" s="74"/>
      <c r="Y340" s="64"/>
      <c r="Z340" s="64"/>
    </row>
    <row r="341" spans="1:26" s="14" customForma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3"/>
      <c r="S341" s="74"/>
      <c r="Y341" s="64"/>
      <c r="Z341" s="64"/>
    </row>
    <row r="342" spans="1:26" s="14" customForma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3"/>
      <c r="S342" s="74"/>
      <c r="Y342" s="64"/>
      <c r="Z342" s="64"/>
    </row>
    <row r="343" spans="1:26" s="14" customForma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3"/>
      <c r="S343" s="74"/>
      <c r="Y343" s="64"/>
      <c r="Z343" s="64"/>
    </row>
    <row r="344" spans="1:26" s="14" customForma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3"/>
      <c r="S344" s="74"/>
      <c r="Y344" s="64"/>
      <c r="Z344" s="64"/>
    </row>
    <row r="345" spans="1:26" s="14" customForma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3"/>
      <c r="S345" s="74"/>
      <c r="Y345" s="64"/>
      <c r="Z345" s="64"/>
    </row>
    <row r="346" spans="1:26" s="14" customForma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3"/>
      <c r="S346" s="74"/>
      <c r="Y346" s="64"/>
      <c r="Z346" s="64"/>
    </row>
    <row r="347" spans="1:26" s="14" customForma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3"/>
      <c r="S347" s="74"/>
      <c r="Y347" s="64"/>
      <c r="Z347" s="64"/>
    </row>
    <row r="348" spans="1:26" s="14" customForma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3"/>
      <c r="S348" s="74"/>
      <c r="Y348" s="64"/>
      <c r="Z348" s="64"/>
    </row>
    <row r="349" spans="1:26" s="14" customForma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3"/>
      <c r="S349" s="74"/>
      <c r="Y349" s="64"/>
      <c r="Z349" s="64"/>
    </row>
    <row r="350" spans="1:26" s="14" customForma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3"/>
      <c r="S350" s="74"/>
      <c r="Y350" s="64"/>
      <c r="Z350" s="64"/>
    </row>
    <row r="351" spans="1:26" s="14" customForma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3"/>
      <c r="S351" s="74"/>
      <c r="Y351" s="64"/>
      <c r="Z351" s="64"/>
    </row>
    <row r="352" spans="1:26" s="14" customForma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3"/>
      <c r="S352" s="74"/>
      <c r="Y352" s="64"/>
      <c r="Z352" s="64"/>
    </row>
    <row r="353" spans="1:26" s="14" customForma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3"/>
      <c r="S353" s="74"/>
      <c r="Y353" s="64"/>
      <c r="Z353" s="64"/>
    </row>
    <row r="354" spans="1:26" s="14" customForma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3"/>
      <c r="S354" s="74"/>
      <c r="Y354" s="64"/>
      <c r="Z354" s="64"/>
    </row>
    <row r="355" spans="1:26" s="14" customForma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3"/>
      <c r="S355" s="74"/>
      <c r="Y355" s="64"/>
      <c r="Z355" s="64"/>
    </row>
    <row r="356" spans="1:26" s="14" customForma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3"/>
      <c r="S356" s="74"/>
      <c r="Y356" s="64"/>
      <c r="Z356" s="64"/>
    </row>
    <row r="357" spans="1:26" s="14" customForma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3"/>
      <c r="S357" s="74"/>
      <c r="Y357" s="64"/>
      <c r="Z357" s="64"/>
    </row>
    <row r="358" spans="1:26" s="14" customForma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3"/>
      <c r="S358" s="74"/>
      <c r="Y358" s="64"/>
      <c r="Z358" s="64"/>
    </row>
    <row r="359" spans="1:26" s="14" customForma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3"/>
      <c r="S359" s="74"/>
      <c r="Y359" s="64"/>
      <c r="Z359" s="64"/>
    </row>
    <row r="360" spans="1:26" s="14" customForma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3"/>
      <c r="S360" s="74"/>
      <c r="Y360" s="64"/>
      <c r="Z360" s="64"/>
    </row>
    <row r="361" spans="1:26" s="14" customForma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3"/>
      <c r="S361" s="74"/>
      <c r="Y361" s="64"/>
      <c r="Z361" s="64"/>
    </row>
    <row r="362" spans="1:26" s="14" customForma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3"/>
      <c r="S362" s="74"/>
      <c r="Y362" s="64"/>
      <c r="Z362" s="64"/>
    </row>
    <row r="363" spans="1:26" s="14" customForma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3"/>
      <c r="S363" s="74"/>
      <c r="Y363" s="64"/>
      <c r="Z363" s="64"/>
    </row>
    <row r="364" spans="1:26" s="14" customForma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3"/>
      <c r="S364" s="74"/>
      <c r="Y364" s="64"/>
      <c r="Z364" s="64"/>
    </row>
    <row r="365" spans="1:26" s="14" customForma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3"/>
      <c r="S365" s="74"/>
      <c r="Y365" s="64"/>
      <c r="Z365" s="64"/>
    </row>
    <row r="366" spans="1:26" s="14" customForma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3"/>
      <c r="S366" s="74"/>
      <c r="Y366" s="64"/>
      <c r="Z366" s="64"/>
    </row>
    <row r="367" spans="1:26" s="14" customForma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3"/>
      <c r="S367" s="74"/>
      <c r="Y367" s="64"/>
      <c r="Z367" s="64"/>
    </row>
    <row r="368" spans="1:26" s="14" customForma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3"/>
      <c r="S368" s="74"/>
      <c r="Y368" s="64"/>
      <c r="Z368" s="64"/>
    </row>
    <row r="369" spans="1:26" s="14" customForma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3"/>
      <c r="S369" s="74"/>
      <c r="Y369" s="64"/>
      <c r="Z369" s="64"/>
    </row>
    <row r="370" spans="1:26" s="14" customForma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3"/>
      <c r="S370" s="74"/>
      <c r="Y370" s="64"/>
      <c r="Z370" s="64"/>
    </row>
    <row r="371" spans="1:26" s="14" customForma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3"/>
      <c r="S371" s="74"/>
      <c r="Y371" s="64"/>
      <c r="Z371" s="64"/>
    </row>
    <row r="372" spans="1:26" s="14" customForma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3"/>
      <c r="S372" s="74"/>
      <c r="Y372" s="64"/>
      <c r="Z372" s="64"/>
    </row>
    <row r="373" spans="1:26" s="14" customForma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3"/>
      <c r="S373" s="74"/>
      <c r="Y373" s="64"/>
      <c r="Z373" s="64"/>
    </row>
    <row r="374" spans="1:26" s="14" customForma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3"/>
      <c r="S374" s="74"/>
      <c r="Y374" s="64"/>
      <c r="Z374" s="64"/>
    </row>
    <row r="375" spans="1:26" s="14" customForma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3"/>
      <c r="S375" s="74"/>
      <c r="Y375" s="64"/>
      <c r="Z375" s="64"/>
    </row>
    <row r="376" spans="1:26" s="14" customForma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3"/>
      <c r="S376" s="74"/>
      <c r="Y376" s="64"/>
      <c r="Z376" s="64"/>
    </row>
    <row r="377" spans="1:26" s="14" customForma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3"/>
      <c r="S377" s="74"/>
      <c r="Y377" s="64"/>
      <c r="Z377" s="64"/>
    </row>
    <row r="378" spans="1:26" s="14" customForma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3"/>
      <c r="S378" s="74"/>
      <c r="Y378" s="64"/>
      <c r="Z378" s="64"/>
    </row>
    <row r="379" spans="1:26" s="14" customForma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3"/>
      <c r="S379" s="74"/>
      <c r="Y379" s="64"/>
      <c r="Z379" s="64"/>
    </row>
    <row r="380" spans="1:26" s="14" customForma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3"/>
      <c r="S380" s="74"/>
      <c r="Y380" s="64"/>
      <c r="Z380" s="64"/>
    </row>
    <row r="381" spans="1:26" s="14" customForma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3"/>
      <c r="S381" s="74"/>
      <c r="Y381" s="64"/>
      <c r="Z381" s="64"/>
    </row>
    <row r="382" spans="1:26" s="14" customForma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3"/>
      <c r="S382" s="74"/>
      <c r="Y382" s="64"/>
      <c r="Z382" s="64"/>
    </row>
    <row r="383" spans="1:26" s="14" customForma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3"/>
      <c r="S383" s="74"/>
      <c r="Y383" s="64"/>
      <c r="Z383" s="64"/>
    </row>
    <row r="384" spans="1:26" s="14" customForma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3"/>
      <c r="S384" s="74"/>
      <c r="Y384" s="64"/>
      <c r="Z384" s="64"/>
    </row>
    <row r="385" spans="1:26" s="14" customForma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3"/>
      <c r="S385" s="74"/>
      <c r="Y385" s="64"/>
      <c r="Z385" s="64"/>
    </row>
    <row r="386" spans="1:26" s="14" customForma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3"/>
      <c r="S386" s="74"/>
      <c r="Y386" s="64"/>
      <c r="Z386" s="64"/>
    </row>
    <row r="387" spans="1:26" s="14" customForma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3"/>
      <c r="S387" s="74"/>
      <c r="Y387" s="64"/>
      <c r="Z387" s="64"/>
    </row>
    <row r="388" spans="1:26" s="14" customForma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3"/>
      <c r="S388" s="74"/>
      <c r="Y388" s="64"/>
      <c r="Z388" s="64"/>
    </row>
    <row r="389" spans="1:26" s="14" customForma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3"/>
      <c r="S389" s="74"/>
      <c r="Y389" s="64"/>
      <c r="Z389" s="64"/>
    </row>
    <row r="390" spans="1:26" s="14" customForma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3"/>
      <c r="S390" s="74"/>
      <c r="Y390" s="64"/>
      <c r="Z390" s="64"/>
    </row>
    <row r="391" spans="1:26" s="14" customForma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3"/>
      <c r="S391" s="74"/>
      <c r="Y391" s="64"/>
      <c r="Z391" s="64"/>
    </row>
    <row r="392" spans="1:26" s="14" customForma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3"/>
      <c r="S392" s="74"/>
      <c r="Y392" s="64"/>
      <c r="Z392" s="64"/>
    </row>
    <row r="393" spans="1:26" s="14" customForma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3"/>
      <c r="S393" s="74"/>
      <c r="Y393" s="64"/>
      <c r="Z393" s="64"/>
    </row>
    <row r="394" spans="1:26" s="14" customForma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3"/>
      <c r="S394" s="74"/>
      <c r="Y394" s="64"/>
      <c r="Z394" s="64"/>
    </row>
    <row r="395" spans="1:26" s="14" customForma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3"/>
      <c r="S395" s="74"/>
      <c r="Y395" s="64"/>
      <c r="Z395" s="64"/>
    </row>
    <row r="396" spans="1:26" s="14" customForma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3"/>
      <c r="S396" s="74"/>
      <c r="Y396" s="64"/>
      <c r="Z396" s="64"/>
    </row>
    <row r="397" spans="1:26" s="14" customForma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3"/>
      <c r="S397" s="74"/>
      <c r="Y397" s="64"/>
      <c r="Z397" s="64"/>
    </row>
    <row r="398" spans="1:26" s="14" customForma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3"/>
      <c r="S398" s="74"/>
      <c r="Y398" s="64"/>
      <c r="Z398" s="64"/>
    </row>
    <row r="399" spans="1:26" s="14" customForma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3"/>
      <c r="S399" s="74"/>
      <c r="Y399" s="64"/>
      <c r="Z399" s="64"/>
    </row>
    <row r="400" spans="1:26" s="14" customForma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3"/>
      <c r="S400" s="74"/>
      <c r="Y400" s="64"/>
      <c r="Z400" s="64"/>
    </row>
    <row r="401" spans="1:26" s="14" customForma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3"/>
      <c r="S401" s="74"/>
      <c r="Y401" s="64"/>
      <c r="Z401" s="64"/>
    </row>
    <row r="402" spans="1:26" s="14" customForma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3"/>
      <c r="S402" s="74"/>
      <c r="Y402" s="64"/>
      <c r="Z402" s="64"/>
    </row>
    <row r="403" spans="1:26" s="14" customForma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3"/>
      <c r="S403" s="74"/>
      <c r="Y403" s="64"/>
      <c r="Z403" s="64"/>
    </row>
    <row r="404" spans="1:26" s="14" customForma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3"/>
      <c r="S404" s="74"/>
      <c r="Y404" s="64"/>
      <c r="Z404" s="64"/>
    </row>
    <row r="405" spans="1:26" s="14" customForma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3"/>
      <c r="S405" s="74"/>
      <c r="Y405" s="64"/>
      <c r="Z405" s="64"/>
    </row>
    <row r="406" spans="1:26" s="14" customForma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3"/>
      <c r="S406" s="74"/>
      <c r="Y406" s="64"/>
      <c r="Z406" s="64"/>
    </row>
    <row r="407" spans="1:26" s="14" customForma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3"/>
      <c r="S407" s="74"/>
      <c r="Y407" s="64"/>
      <c r="Z407" s="64"/>
    </row>
    <row r="408" spans="1:26" s="14" customForma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3"/>
      <c r="S408" s="74"/>
      <c r="Y408" s="64"/>
      <c r="Z408" s="64"/>
    </row>
    <row r="409" spans="1:26" s="14" customForma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3"/>
      <c r="S409" s="74"/>
      <c r="Y409" s="64"/>
      <c r="Z409" s="64"/>
    </row>
    <row r="410" spans="1:26" s="14" customForma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3"/>
      <c r="S410" s="74"/>
      <c r="Y410" s="64"/>
      <c r="Z410" s="64"/>
    </row>
    <row r="411" spans="1:26" s="14" customForma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3"/>
      <c r="S411" s="74"/>
      <c r="Y411" s="64"/>
      <c r="Z411" s="64"/>
    </row>
    <row r="412" spans="1:26" s="14" customForma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3"/>
      <c r="S412" s="74"/>
      <c r="Y412" s="64"/>
      <c r="Z412" s="64"/>
    </row>
    <row r="413" spans="1:26" s="14" customForma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3"/>
      <c r="S413" s="74"/>
      <c r="Y413" s="64"/>
      <c r="Z413" s="64"/>
    </row>
    <row r="414" spans="1:26" s="14" customForma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3"/>
      <c r="S414" s="74"/>
      <c r="Y414" s="64"/>
      <c r="Z414" s="64"/>
    </row>
    <row r="415" spans="1:26" s="14" customForma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3"/>
      <c r="S415" s="74"/>
      <c r="Y415" s="64"/>
      <c r="Z415" s="64"/>
    </row>
    <row r="416" spans="1:26" s="14" customForma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3"/>
      <c r="S416" s="74"/>
      <c r="Y416" s="64"/>
      <c r="Z416" s="64"/>
    </row>
    <row r="417" spans="1:26" s="14" customForma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3"/>
      <c r="S417" s="74"/>
      <c r="Y417" s="64"/>
      <c r="Z417" s="64"/>
    </row>
    <row r="418" spans="1:26" s="14" customForma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3"/>
      <c r="S418" s="74"/>
      <c r="Y418" s="64"/>
      <c r="Z418" s="64"/>
    </row>
    <row r="419" spans="1:26" s="14" customForma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3"/>
      <c r="S419" s="74"/>
      <c r="Y419" s="64"/>
      <c r="Z419" s="64"/>
    </row>
    <row r="420" spans="1:26" s="14" customForma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3"/>
      <c r="S420" s="74"/>
      <c r="Y420" s="64"/>
      <c r="Z420" s="64"/>
    </row>
    <row r="421" spans="1:26" s="14" customForma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3"/>
      <c r="S421" s="74"/>
      <c r="Y421" s="64"/>
      <c r="Z421" s="64"/>
    </row>
    <row r="422" spans="1:26" s="14" customForma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3"/>
      <c r="S422" s="74"/>
      <c r="Y422" s="64"/>
      <c r="Z422" s="64"/>
    </row>
    <row r="423" spans="1:26" s="14" customForma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3"/>
      <c r="S423" s="74"/>
      <c r="Y423" s="64"/>
      <c r="Z423" s="64"/>
    </row>
    <row r="424" spans="1:26" s="14" customForma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3"/>
      <c r="S424" s="74"/>
      <c r="Y424" s="64"/>
      <c r="Z424" s="64"/>
    </row>
    <row r="425" spans="1:26" s="14" customForma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3"/>
      <c r="S425" s="74"/>
      <c r="Y425" s="64"/>
      <c r="Z425" s="64"/>
    </row>
    <row r="426" spans="1:26" s="14" customForma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3"/>
      <c r="S426" s="74"/>
      <c r="Y426" s="64"/>
      <c r="Z426" s="64"/>
    </row>
    <row r="427" spans="1:26" s="14" customForma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3"/>
      <c r="S427" s="74"/>
      <c r="Y427" s="64"/>
      <c r="Z427" s="64"/>
    </row>
    <row r="428" spans="1:26" s="14" customForma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3"/>
      <c r="S428" s="74"/>
      <c r="Y428" s="64"/>
      <c r="Z428" s="64"/>
    </row>
    <row r="429" spans="1:26" s="14" customForma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3"/>
      <c r="S429" s="74"/>
      <c r="Y429" s="64"/>
      <c r="Z429" s="64"/>
    </row>
    <row r="430" spans="1:26" s="14" customForma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3"/>
      <c r="S430" s="74"/>
      <c r="Y430" s="64"/>
      <c r="Z430" s="64"/>
    </row>
    <row r="431" spans="1:26" s="14" customForma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3"/>
      <c r="S431" s="74"/>
      <c r="Y431" s="64"/>
      <c r="Z431" s="64"/>
    </row>
    <row r="432" spans="1:26" s="14" customForma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3"/>
      <c r="S432" s="74"/>
      <c r="Y432" s="64"/>
      <c r="Z432" s="64"/>
    </row>
    <row r="433" spans="1:26" s="14" customForma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3"/>
      <c r="S433" s="74"/>
      <c r="Y433" s="64"/>
      <c r="Z433" s="64"/>
    </row>
    <row r="434" spans="1:26" s="14" customForma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3"/>
      <c r="S434" s="74"/>
      <c r="Y434" s="64"/>
      <c r="Z434" s="64"/>
    </row>
    <row r="435" spans="1:26" s="14" customForma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3"/>
      <c r="S435" s="74"/>
      <c r="Y435" s="64"/>
      <c r="Z435" s="64"/>
    </row>
    <row r="436" spans="1:26" s="14" customForma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3"/>
      <c r="S436" s="74"/>
      <c r="Y436" s="64"/>
      <c r="Z436" s="64"/>
    </row>
    <row r="437" spans="1:26" s="14" customForma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3"/>
      <c r="S437" s="74"/>
      <c r="Y437" s="64"/>
      <c r="Z437" s="64"/>
    </row>
    <row r="438" spans="1:26" s="14" customForma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3"/>
      <c r="S438" s="74"/>
      <c r="Y438" s="64"/>
      <c r="Z438" s="64"/>
    </row>
    <row r="439" spans="1:26" s="14" customForma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3"/>
      <c r="S439" s="74"/>
      <c r="Y439" s="64"/>
      <c r="Z439" s="64"/>
    </row>
    <row r="440" spans="1:26" s="14" customForma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3"/>
      <c r="S440" s="74"/>
      <c r="Y440" s="64"/>
      <c r="Z440" s="64"/>
    </row>
    <row r="441" spans="1:26" s="14" customForma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3"/>
      <c r="S441" s="74"/>
      <c r="Y441" s="64"/>
      <c r="Z441" s="64"/>
    </row>
    <row r="442" spans="1:26" s="14" customForma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3"/>
      <c r="S442" s="74"/>
      <c r="Y442" s="64"/>
      <c r="Z442" s="64"/>
    </row>
    <row r="443" spans="1:26" s="14" customForma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3"/>
      <c r="S443" s="74"/>
      <c r="Y443" s="64"/>
      <c r="Z443" s="64"/>
    </row>
    <row r="444" spans="1:26" s="14" customForma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3"/>
      <c r="S444" s="74"/>
      <c r="Y444" s="64"/>
      <c r="Z444" s="64"/>
    </row>
    <row r="445" spans="1:26" s="14" customForma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3"/>
      <c r="S445" s="74"/>
      <c r="Y445" s="64"/>
      <c r="Z445" s="64"/>
    </row>
    <row r="446" spans="1:26" s="14" customForma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3"/>
      <c r="S446" s="74"/>
      <c r="Y446" s="64"/>
      <c r="Z446" s="64"/>
    </row>
    <row r="447" spans="1:26" s="14" customForma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3"/>
      <c r="S447" s="74"/>
      <c r="Y447" s="64"/>
      <c r="Z447" s="64"/>
    </row>
    <row r="448" spans="1:26" s="14" customForma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3"/>
      <c r="S448" s="74"/>
      <c r="Y448" s="64"/>
      <c r="Z448" s="64"/>
    </row>
    <row r="449" spans="1:26" s="14" customForma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3"/>
      <c r="S449" s="74"/>
      <c r="Y449" s="64"/>
      <c r="Z449" s="64"/>
    </row>
    <row r="450" spans="1:26" s="14" customForma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3"/>
      <c r="S450" s="74"/>
      <c r="Y450" s="64"/>
      <c r="Z450" s="64"/>
    </row>
    <row r="451" spans="1:26" s="14" customForma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3"/>
      <c r="S451" s="74"/>
      <c r="Y451" s="64"/>
      <c r="Z451" s="64"/>
    </row>
    <row r="452" spans="1:26" s="14" customForma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3"/>
      <c r="S452" s="74"/>
      <c r="Y452" s="64"/>
      <c r="Z452" s="64"/>
    </row>
    <row r="453" spans="1:26" s="14" customForma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3"/>
      <c r="S453" s="74"/>
      <c r="Y453" s="64"/>
      <c r="Z453" s="64"/>
    </row>
    <row r="454" spans="1:26" s="14" customForma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3"/>
      <c r="S454" s="74"/>
      <c r="Y454" s="64"/>
      <c r="Z454" s="64"/>
    </row>
    <row r="455" spans="1:26" s="14" customForma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3"/>
      <c r="S455" s="74"/>
      <c r="Y455" s="64"/>
      <c r="Z455" s="64"/>
    </row>
    <row r="456" spans="1:26" s="14" customForma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3"/>
      <c r="S456" s="74"/>
      <c r="Y456" s="64"/>
      <c r="Z456" s="64"/>
    </row>
    <row r="457" spans="1:26" s="14" customForma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3"/>
      <c r="S457" s="74"/>
      <c r="Y457" s="64"/>
      <c r="Z457" s="64"/>
    </row>
    <row r="458" spans="1:26" s="14" customForma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3"/>
      <c r="S458" s="74"/>
      <c r="Y458" s="64"/>
      <c r="Z458" s="64"/>
    </row>
    <row r="459" spans="1:26" s="14" customForma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3"/>
      <c r="S459" s="74"/>
      <c r="Y459" s="64"/>
      <c r="Z459" s="64"/>
    </row>
    <row r="460" spans="1:26" s="14" customForma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3"/>
      <c r="S460" s="74"/>
      <c r="Y460" s="64"/>
      <c r="Z460" s="64"/>
    </row>
    <row r="461" spans="1:26" s="14" customForma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3"/>
      <c r="S461" s="74"/>
      <c r="Y461" s="64"/>
      <c r="Z461" s="64"/>
    </row>
    <row r="462" spans="1:26" s="14" customForma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3"/>
      <c r="S462" s="74"/>
      <c r="Y462" s="64"/>
      <c r="Z462" s="64"/>
    </row>
    <row r="463" spans="1:26" s="14" customForma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3"/>
      <c r="S463" s="74"/>
      <c r="Y463" s="64"/>
      <c r="Z463" s="64"/>
    </row>
    <row r="464" spans="1:26" s="14" customForma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3"/>
      <c r="S464" s="74"/>
      <c r="Y464" s="64"/>
      <c r="Z464" s="64"/>
    </row>
    <row r="465" spans="1:26" s="14" customForma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3"/>
      <c r="S465" s="74"/>
      <c r="Y465" s="64"/>
      <c r="Z465" s="64"/>
    </row>
    <row r="466" spans="1:26" s="14" customForma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3"/>
      <c r="S466" s="74"/>
      <c r="Y466" s="64"/>
      <c r="Z466" s="64"/>
    </row>
    <row r="467" spans="1:26" s="14" customForma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3"/>
      <c r="S467" s="74"/>
      <c r="Y467" s="64"/>
      <c r="Z467" s="64"/>
    </row>
    <row r="468" spans="1:26" s="14" customForma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3"/>
      <c r="S468" s="74"/>
      <c r="Y468" s="64"/>
      <c r="Z468" s="64"/>
    </row>
    <row r="469" spans="1:26" s="14" customForma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3"/>
      <c r="S469" s="74"/>
      <c r="Y469" s="64"/>
      <c r="Z469" s="64"/>
    </row>
    <row r="470" spans="1:26" s="14" customForma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3"/>
      <c r="S470" s="74"/>
      <c r="Y470" s="64"/>
      <c r="Z470" s="64"/>
    </row>
    <row r="471" spans="1:26" s="14" customForma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3"/>
      <c r="S471" s="74"/>
      <c r="Y471" s="64"/>
      <c r="Z471" s="64"/>
    </row>
    <row r="472" spans="1:26" s="14" customForma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3"/>
      <c r="S472" s="74"/>
      <c r="Y472" s="64"/>
      <c r="Z472" s="64"/>
    </row>
    <row r="473" spans="1:26" s="14" customForma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3"/>
      <c r="S473" s="74"/>
      <c r="Y473" s="64"/>
      <c r="Z473" s="64"/>
    </row>
    <row r="474" spans="1:26" s="14" customForma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3"/>
      <c r="S474" s="74"/>
      <c r="Y474" s="64"/>
      <c r="Z474" s="64"/>
    </row>
    <row r="475" spans="1:26" s="14" customForma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3"/>
      <c r="S475" s="74"/>
      <c r="Y475" s="64"/>
      <c r="Z475" s="64"/>
    </row>
    <row r="476" spans="1:26" s="14" customForma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3"/>
      <c r="S476" s="74"/>
      <c r="Y476" s="64"/>
      <c r="Z476" s="64"/>
    </row>
    <row r="477" spans="1:26" s="14" customForma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3"/>
      <c r="S477" s="74"/>
      <c r="Y477" s="64"/>
      <c r="Z477" s="64"/>
    </row>
    <row r="478" spans="1:26" s="14" customForma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3"/>
      <c r="S478" s="74"/>
      <c r="Y478" s="64"/>
      <c r="Z478" s="64"/>
    </row>
    <row r="479" spans="1:26" s="14" customForma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3"/>
      <c r="S479" s="74"/>
      <c r="Y479" s="64"/>
      <c r="Z479" s="64"/>
    </row>
    <row r="480" spans="1:26" s="14" customForma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3"/>
      <c r="S480" s="74"/>
      <c r="Y480" s="64"/>
      <c r="Z480" s="64"/>
    </row>
    <row r="481" spans="1:26" s="14" customForma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3"/>
      <c r="S481" s="74"/>
      <c r="Y481" s="64"/>
      <c r="Z481" s="64"/>
    </row>
    <row r="482" spans="1:26" s="14" customForma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3"/>
      <c r="S482" s="74"/>
      <c r="Y482" s="64"/>
      <c r="Z482" s="64"/>
    </row>
    <row r="483" spans="1:26" s="14" customForma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3"/>
      <c r="S483" s="74"/>
      <c r="Y483" s="64"/>
      <c r="Z483" s="64"/>
    </row>
    <row r="484" spans="1:26" s="14" customForma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3"/>
      <c r="S484" s="74"/>
      <c r="Y484" s="64"/>
      <c r="Z484" s="64"/>
    </row>
    <row r="485" spans="1:26" s="14" customForma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3"/>
      <c r="S485" s="74"/>
      <c r="Y485" s="64"/>
      <c r="Z485" s="64"/>
    </row>
    <row r="486" spans="1:26" s="14" customForma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3"/>
      <c r="S486" s="74"/>
      <c r="Y486" s="64"/>
      <c r="Z486" s="64"/>
    </row>
    <row r="487" spans="1:26" s="14" customForma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3"/>
      <c r="S487" s="74"/>
      <c r="Y487" s="64"/>
      <c r="Z487" s="64"/>
    </row>
    <row r="488" spans="1:26" s="14" customForma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3"/>
      <c r="S488" s="74"/>
      <c r="Y488" s="64"/>
      <c r="Z488" s="64"/>
    </row>
    <row r="489" spans="1:26" s="14" customForma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3"/>
      <c r="S489" s="74"/>
      <c r="Y489" s="64"/>
      <c r="Z489" s="64"/>
    </row>
    <row r="490" spans="1:26" s="14" customForma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3"/>
      <c r="S490" s="74"/>
      <c r="Y490" s="64"/>
      <c r="Z490" s="64"/>
    </row>
    <row r="491" spans="1:26" s="14" customForma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3"/>
      <c r="S491" s="74"/>
      <c r="Y491" s="64"/>
      <c r="Z491" s="64"/>
    </row>
    <row r="492" spans="1:26" s="14" customForma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3"/>
      <c r="S492" s="74"/>
      <c r="Y492" s="64"/>
      <c r="Z492" s="64"/>
    </row>
    <row r="493" spans="1:26" s="14" customForma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3"/>
      <c r="S493" s="74"/>
      <c r="Y493" s="64"/>
      <c r="Z493" s="64"/>
    </row>
    <row r="494" spans="1:26" s="14" customForma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3"/>
      <c r="S494" s="74"/>
      <c r="Y494" s="64"/>
      <c r="Z494" s="64"/>
    </row>
    <row r="495" spans="1:26" s="14" customForma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3"/>
      <c r="S495" s="74"/>
      <c r="Y495" s="64"/>
      <c r="Z495" s="64"/>
    </row>
    <row r="496" spans="1:26" s="14" customForma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3"/>
      <c r="S496" s="74"/>
      <c r="Y496" s="64"/>
      <c r="Z496" s="64"/>
    </row>
    <row r="497" spans="1:26" s="14" customForma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3"/>
      <c r="S497" s="74"/>
      <c r="Y497" s="64"/>
      <c r="Z497" s="64"/>
    </row>
    <row r="498" spans="1:26" s="14" customForma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3"/>
      <c r="S498" s="74"/>
      <c r="Y498" s="64"/>
      <c r="Z498" s="64"/>
    </row>
    <row r="499" spans="1:26" s="14" customForma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3"/>
      <c r="S499" s="74"/>
      <c r="Y499" s="64"/>
      <c r="Z499" s="64"/>
    </row>
    <row r="500" spans="1:26" s="14" customForma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3"/>
      <c r="S500" s="74"/>
      <c r="Y500" s="64"/>
      <c r="Z500" s="64"/>
    </row>
    <row r="501" spans="1:26" s="14" customForma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3"/>
      <c r="S501" s="74"/>
      <c r="Y501" s="64"/>
      <c r="Z501" s="64"/>
    </row>
    <row r="502" spans="1:26" s="14" customForma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3"/>
      <c r="S502" s="74"/>
      <c r="Y502" s="64"/>
      <c r="Z502" s="64"/>
    </row>
    <row r="503" spans="1:26" s="14" customForma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3"/>
      <c r="S503" s="74"/>
      <c r="Y503" s="64"/>
      <c r="Z503" s="64"/>
    </row>
    <row r="504" spans="1:26" s="14" customForma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3"/>
      <c r="S504" s="74"/>
      <c r="Y504" s="64"/>
      <c r="Z504" s="64"/>
    </row>
    <row r="505" spans="1:26" s="14" customForma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3"/>
      <c r="S505" s="74"/>
      <c r="Y505" s="64"/>
      <c r="Z505" s="64"/>
    </row>
    <row r="506" spans="1:26" s="14" customForma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3"/>
      <c r="S506" s="74"/>
      <c r="Y506" s="64"/>
      <c r="Z506" s="64"/>
    </row>
    <row r="507" spans="1:26" s="14" customForma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3"/>
      <c r="S507" s="74"/>
      <c r="Y507" s="64"/>
      <c r="Z507" s="64"/>
    </row>
    <row r="508" spans="1:26" s="14" customForma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3"/>
      <c r="S508" s="74"/>
      <c r="Y508" s="64"/>
      <c r="Z508" s="64"/>
    </row>
    <row r="509" spans="1:26" s="14" customForma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3"/>
      <c r="S509" s="74"/>
      <c r="Y509" s="64"/>
      <c r="Z509" s="64"/>
    </row>
    <row r="510" spans="1:26" s="14" customForma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3"/>
      <c r="S510" s="74"/>
      <c r="Y510" s="64"/>
      <c r="Z510" s="64"/>
    </row>
    <row r="511" spans="1:26" s="14" customForma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3"/>
      <c r="S511" s="74"/>
      <c r="Y511" s="64"/>
      <c r="Z511" s="64"/>
    </row>
    <row r="512" spans="1:26" s="14" customForma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3"/>
      <c r="S512" s="74"/>
      <c r="Y512" s="64"/>
      <c r="Z512" s="64"/>
    </row>
    <row r="513" spans="1:26" s="14" customForma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3"/>
      <c r="S513" s="74"/>
      <c r="Y513" s="64"/>
      <c r="Z513" s="64"/>
    </row>
    <row r="514" spans="1:26" s="14" customForma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3"/>
      <c r="S514" s="74"/>
      <c r="Y514" s="64"/>
      <c r="Z514" s="64"/>
    </row>
    <row r="515" spans="1:26" s="14" customForma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3"/>
      <c r="S515" s="74"/>
      <c r="Y515" s="64"/>
      <c r="Z515" s="64"/>
    </row>
    <row r="516" spans="1:26" s="14" customForma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3"/>
      <c r="S516" s="74"/>
      <c r="Y516" s="64"/>
      <c r="Z516" s="64"/>
    </row>
    <row r="517" spans="1:26" s="14" customForma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3"/>
      <c r="S517" s="74"/>
      <c r="Y517" s="64"/>
      <c r="Z517" s="64"/>
    </row>
    <row r="518" spans="1:26" s="14" customForma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3"/>
      <c r="S518" s="74"/>
      <c r="Y518" s="64"/>
      <c r="Z518" s="64"/>
    </row>
    <row r="519" spans="1:26" s="14" customForma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3"/>
      <c r="S519" s="74"/>
      <c r="Y519" s="64"/>
      <c r="Z519" s="64"/>
    </row>
    <row r="520" spans="1:26" s="14" customForma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3"/>
      <c r="S520" s="74"/>
      <c r="Y520" s="64"/>
      <c r="Z520" s="64"/>
    </row>
    <row r="521" spans="1:26" s="14" customForma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3"/>
      <c r="S521" s="74"/>
      <c r="Y521" s="64"/>
      <c r="Z521" s="64"/>
    </row>
    <row r="522" spans="1:26" s="14" customForma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3"/>
      <c r="S522" s="74"/>
      <c r="Y522" s="64"/>
      <c r="Z522" s="64"/>
    </row>
    <row r="523" spans="1:26" s="14" customForma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3"/>
      <c r="S523" s="74"/>
      <c r="Y523" s="64"/>
      <c r="Z523" s="64"/>
    </row>
    <row r="524" spans="1:26" s="14" customForma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3"/>
      <c r="S524" s="74"/>
      <c r="Y524" s="64"/>
      <c r="Z524" s="64"/>
    </row>
    <row r="525" spans="1:26" s="14" customForma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3"/>
      <c r="S525" s="74"/>
      <c r="Y525" s="64"/>
      <c r="Z525" s="64"/>
    </row>
    <row r="526" spans="1:26" s="14" customForma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3"/>
      <c r="S526" s="74"/>
      <c r="Y526" s="64"/>
      <c r="Z526" s="64"/>
    </row>
    <row r="527" spans="1:26" s="14" customForma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3"/>
      <c r="S527" s="74"/>
      <c r="Y527" s="64"/>
      <c r="Z527" s="64"/>
    </row>
    <row r="528" spans="1:26" s="14" customForma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3"/>
      <c r="S528" s="74"/>
      <c r="Y528" s="64"/>
      <c r="Z528" s="64"/>
    </row>
    <row r="529" spans="1:26" s="14" customForma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3"/>
      <c r="S529" s="74"/>
      <c r="Y529" s="64"/>
      <c r="Z529" s="64"/>
    </row>
    <row r="530" spans="1:26" s="14" customForma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3"/>
      <c r="S530" s="74"/>
      <c r="Y530" s="64"/>
      <c r="Z530" s="64"/>
    </row>
    <row r="531" spans="1:26" s="14" customForma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3"/>
      <c r="S531" s="74"/>
      <c r="Y531" s="64"/>
      <c r="Z531" s="64"/>
    </row>
    <row r="532" spans="1:26" s="14" customForma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3"/>
      <c r="S532" s="74"/>
      <c r="Y532" s="64"/>
      <c r="Z532" s="64"/>
    </row>
    <row r="533" spans="1:26" s="14" customForma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3"/>
      <c r="S533" s="74"/>
      <c r="Y533" s="64"/>
      <c r="Z533" s="64"/>
    </row>
    <row r="534" spans="1:26" s="14" customForma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3"/>
      <c r="S534" s="74"/>
      <c r="Y534" s="64"/>
      <c r="Z534" s="64"/>
    </row>
    <row r="535" spans="1:26" s="14" customForma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3"/>
      <c r="S535" s="74"/>
      <c r="Y535" s="64"/>
      <c r="Z535" s="64"/>
    </row>
    <row r="536" spans="1:26" s="14" customForma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3"/>
      <c r="S536" s="74"/>
      <c r="Y536" s="64"/>
      <c r="Z536" s="64"/>
    </row>
    <row r="537" spans="1:26" s="14" customForma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3"/>
      <c r="S537" s="74"/>
      <c r="Y537" s="64"/>
      <c r="Z537" s="64"/>
    </row>
    <row r="538" spans="1:26" s="14" customForma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3"/>
      <c r="S538" s="74"/>
      <c r="Y538" s="64"/>
      <c r="Z538" s="64"/>
    </row>
    <row r="539" spans="1:26" s="14" customForma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3"/>
      <c r="S539" s="74"/>
      <c r="Y539" s="64"/>
      <c r="Z539" s="64"/>
    </row>
    <row r="540" spans="1:26" s="14" customForma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3"/>
      <c r="S540" s="74"/>
      <c r="Y540" s="64"/>
      <c r="Z540" s="64"/>
    </row>
    <row r="541" spans="1:26" s="14" customForma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3"/>
      <c r="S541" s="74"/>
      <c r="Y541" s="64"/>
      <c r="Z541" s="64"/>
    </row>
    <row r="542" spans="1:26" s="14" customForma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3"/>
      <c r="S542" s="74"/>
      <c r="Y542" s="64"/>
      <c r="Z542" s="64"/>
    </row>
    <row r="543" spans="1:26" s="14" customForma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3"/>
      <c r="S543" s="74"/>
      <c r="Y543" s="64"/>
      <c r="Z543" s="64"/>
    </row>
    <row r="544" spans="1:26" s="14" customForma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3"/>
      <c r="S544" s="74"/>
      <c r="Y544" s="64"/>
      <c r="Z544" s="64"/>
    </row>
    <row r="545" spans="1:26" s="14" customForma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3"/>
      <c r="S545" s="74"/>
      <c r="Y545" s="64"/>
      <c r="Z545" s="64"/>
    </row>
    <row r="546" spans="1:26" s="14" customForma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3"/>
      <c r="S546" s="74"/>
      <c r="Y546" s="64"/>
      <c r="Z546" s="64"/>
    </row>
    <row r="547" spans="1:26" s="14" customForma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3"/>
      <c r="S547" s="74"/>
      <c r="Y547" s="64"/>
      <c r="Z547" s="64"/>
    </row>
    <row r="548" spans="1:26" s="14" customForma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3"/>
      <c r="S548" s="74"/>
      <c r="Y548" s="64"/>
      <c r="Z548" s="64"/>
    </row>
    <row r="549" spans="1:26" s="14" customForma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3"/>
      <c r="S549" s="74"/>
      <c r="Y549" s="64"/>
      <c r="Z549" s="64"/>
    </row>
    <row r="550" spans="1:26" s="14" customForma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3"/>
      <c r="S550" s="74"/>
      <c r="Y550" s="64"/>
      <c r="Z550" s="64"/>
    </row>
    <row r="551" spans="1:26" s="14" customForma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3"/>
      <c r="S551" s="74"/>
      <c r="Y551" s="64"/>
      <c r="Z551" s="64"/>
    </row>
    <row r="552" spans="1:26" s="14" customForma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3"/>
      <c r="S552" s="74"/>
      <c r="Y552" s="64"/>
      <c r="Z552" s="64"/>
    </row>
    <row r="553" spans="1:26" s="14" customForma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3"/>
      <c r="S553" s="74"/>
      <c r="Y553" s="64"/>
      <c r="Z553" s="64"/>
    </row>
    <row r="554" spans="1:26" s="14" customForma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3"/>
      <c r="S554" s="74"/>
      <c r="Y554" s="64"/>
      <c r="Z554" s="64"/>
    </row>
    <row r="555" spans="1:26" s="14" customForma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3"/>
      <c r="S555" s="74"/>
      <c r="Y555" s="64"/>
      <c r="Z555" s="64"/>
    </row>
    <row r="556" spans="1:26" s="14" customForma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3"/>
      <c r="S556" s="74"/>
      <c r="Y556" s="64"/>
      <c r="Z556" s="64"/>
    </row>
    <row r="557" spans="1:26" s="14" customForma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3"/>
      <c r="S557" s="74"/>
      <c r="Y557" s="64"/>
      <c r="Z557" s="64"/>
    </row>
    <row r="558" spans="1:26" s="14" customForma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3"/>
      <c r="S558" s="74"/>
      <c r="Y558" s="64"/>
      <c r="Z558" s="64"/>
    </row>
    <row r="559" spans="1:26" s="14" customForma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3"/>
      <c r="S559" s="74"/>
      <c r="Y559" s="64"/>
      <c r="Z559" s="64"/>
    </row>
    <row r="560" spans="1:26" s="14" customForma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3"/>
      <c r="S560" s="74"/>
      <c r="Y560" s="64"/>
      <c r="Z560" s="64"/>
    </row>
    <row r="561" spans="1:26" s="14" customForma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3"/>
      <c r="S561" s="74"/>
      <c r="Y561" s="64"/>
      <c r="Z561" s="64"/>
    </row>
    <row r="562" spans="1:26" s="14" customForma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3"/>
      <c r="S562" s="74"/>
      <c r="Y562" s="64"/>
      <c r="Z562" s="64"/>
    </row>
    <row r="563" spans="1:26" s="14" customForma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3"/>
      <c r="S563" s="74"/>
      <c r="Y563" s="64"/>
      <c r="Z563" s="64"/>
    </row>
    <row r="564" spans="1:26" s="14" customForma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3"/>
      <c r="S564" s="74"/>
      <c r="Y564" s="64"/>
      <c r="Z564" s="64"/>
    </row>
    <row r="565" spans="1:26" s="14" customForma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3"/>
      <c r="S565" s="74"/>
      <c r="Y565" s="64"/>
      <c r="Z565" s="64"/>
    </row>
    <row r="566" spans="1:26" s="14" customForma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3"/>
      <c r="S566" s="74"/>
      <c r="Y566" s="64"/>
      <c r="Z566" s="64"/>
    </row>
    <row r="567" spans="1:26" s="14" customForma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3"/>
      <c r="S567" s="74"/>
      <c r="Y567" s="64"/>
      <c r="Z567" s="64"/>
    </row>
    <row r="568" spans="1:26" s="14" customForma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3"/>
      <c r="S568" s="74"/>
      <c r="Y568" s="64"/>
      <c r="Z568" s="64"/>
    </row>
    <row r="569" spans="1:26" s="14" customForma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3"/>
      <c r="S569" s="74"/>
      <c r="Y569" s="64"/>
      <c r="Z569" s="64"/>
    </row>
    <row r="570" spans="1:26" s="14" customForma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3"/>
      <c r="S570" s="74"/>
      <c r="Y570" s="64"/>
      <c r="Z570" s="64"/>
    </row>
    <row r="571" spans="1:26" s="14" customForma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3"/>
      <c r="S571" s="74"/>
      <c r="Y571" s="64"/>
      <c r="Z571" s="64"/>
    </row>
    <row r="572" spans="1:26" s="14" customForma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3"/>
      <c r="S572" s="74"/>
      <c r="Y572" s="64"/>
      <c r="Z572" s="64"/>
    </row>
    <row r="573" spans="1:26" s="14" customForma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3"/>
      <c r="S573" s="74"/>
      <c r="Y573" s="64"/>
      <c r="Z573" s="64"/>
    </row>
    <row r="574" spans="1:26" s="14" customForma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3"/>
      <c r="S574" s="74"/>
      <c r="Y574" s="64"/>
      <c r="Z574" s="64"/>
    </row>
    <row r="575" spans="1:26" s="14" customForma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3"/>
      <c r="S575" s="74"/>
      <c r="Y575" s="64"/>
      <c r="Z575" s="64"/>
    </row>
    <row r="576" spans="1:26" s="14" customForma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3"/>
      <c r="S576" s="74"/>
      <c r="Y576" s="64"/>
      <c r="Z576" s="64"/>
    </row>
    <row r="577" spans="1:26" s="14" customForma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3"/>
      <c r="S577" s="74"/>
      <c r="Y577" s="64"/>
      <c r="Z577" s="64"/>
    </row>
    <row r="578" spans="1:26" s="14" customForma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3"/>
      <c r="S578" s="74"/>
      <c r="Y578" s="64"/>
      <c r="Z578" s="64"/>
    </row>
    <row r="579" spans="1:26" s="14" customForma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3"/>
      <c r="S579" s="74"/>
      <c r="Y579" s="64"/>
      <c r="Z579" s="64"/>
    </row>
    <row r="580" spans="1:26" s="14" customForma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3"/>
      <c r="S580" s="74"/>
      <c r="Y580" s="64"/>
      <c r="Z580" s="64"/>
    </row>
    <row r="581" spans="1:26" s="14" customForma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3"/>
      <c r="S581" s="74"/>
      <c r="Y581" s="64"/>
      <c r="Z581" s="64"/>
    </row>
    <row r="582" spans="1:26" s="14" customForma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3"/>
      <c r="S582" s="74"/>
      <c r="Y582" s="64"/>
      <c r="Z582" s="64"/>
    </row>
    <row r="583" spans="1:26" s="14" customForma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3"/>
      <c r="S583" s="74"/>
      <c r="Y583" s="64"/>
      <c r="Z583" s="64"/>
    </row>
    <row r="584" spans="1:26" s="14" customForma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3"/>
      <c r="S584" s="74"/>
      <c r="Y584" s="64"/>
      <c r="Z584" s="64"/>
    </row>
    <row r="585" spans="1:26" s="14" customForma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3"/>
      <c r="S585" s="74"/>
      <c r="Y585" s="64"/>
      <c r="Z585" s="64"/>
    </row>
    <row r="586" spans="1:26" s="14" customForma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3"/>
      <c r="S586" s="74"/>
      <c r="Y586" s="64"/>
      <c r="Z586" s="64"/>
    </row>
    <row r="587" spans="1:26" s="14" customForma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3"/>
      <c r="S587" s="74"/>
      <c r="Y587" s="64"/>
      <c r="Z587" s="64"/>
    </row>
    <row r="588" spans="1:26" s="14" customForma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3"/>
      <c r="S588" s="74"/>
      <c r="Y588" s="64"/>
      <c r="Z588" s="64"/>
    </row>
    <row r="589" spans="1:26" s="14" customForma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3"/>
      <c r="S589" s="74"/>
      <c r="Y589" s="64"/>
      <c r="Z589" s="64"/>
    </row>
    <row r="590" spans="1:26" s="14" customForma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3"/>
      <c r="S590" s="74"/>
      <c r="Y590" s="64"/>
      <c r="Z590" s="64"/>
    </row>
    <row r="591" spans="1:26" s="14" customForma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3"/>
      <c r="S591" s="74"/>
      <c r="Y591" s="64"/>
      <c r="Z591" s="64"/>
    </row>
    <row r="592" spans="1:26" s="14" customForma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3"/>
      <c r="S592" s="74"/>
      <c r="Y592" s="64"/>
      <c r="Z592" s="64"/>
    </row>
    <row r="593" spans="1:26" s="14" customForma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3"/>
      <c r="S593" s="74"/>
      <c r="Y593" s="64"/>
      <c r="Z593" s="64"/>
    </row>
    <row r="594" spans="1:26" s="14" customForma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3"/>
      <c r="S594" s="74"/>
      <c r="Y594" s="64"/>
      <c r="Z594" s="64"/>
    </row>
    <row r="595" spans="1:26" s="14" customForma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3"/>
      <c r="S595" s="74"/>
      <c r="Y595" s="64"/>
      <c r="Z595" s="64"/>
    </row>
    <row r="596" spans="1:26" s="14" customForma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3"/>
      <c r="S596" s="74"/>
      <c r="Y596" s="64"/>
      <c r="Z596" s="64"/>
    </row>
    <row r="597" spans="1:26" s="14" customForma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3"/>
      <c r="S597" s="74"/>
      <c r="Y597" s="64"/>
      <c r="Z597" s="64"/>
    </row>
    <row r="598" spans="1:26" s="14" customForma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3"/>
      <c r="S598" s="74"/>
      <c r="Y598" s="64"/>
      <c r="Z598" s="64"/>
    </row>
    <row r="599" spans="1:26" s="14" customForma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3"/>
      <c r="S599" s="74"/>
      <c r="Y599" s="64"/>
      <c r="Z599" s="64"/>
    </row>
    <row r="600" spans="1:26" s="14" customForma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3"/>
      <c r="S600" s="74"/>
      <c r="Y600" s="64"/>
      <c r="Z600" s="64"/>
    </row>
    <row r="601" spans="1:26" s="14" customForma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3"/>
      <c r="S601" s="74"/>
      <c r="Y601" s="64"/>
      <c r="Z601" s="64"/>
    </row>
    <row r="602" spans="1:26" s="14" customForma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3"/>
      <c r="S602" s="74"/>
      <c r="Y602" s="64"/>
      <c r="Z602" s="64"/>
    </row>
    <row r="603" spans="1:26" s="14" customForma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3"/>
      <c r="S603" s="74"/>
      <c r="Y603" s="64"/>
      <c r="Z603" s="64"/>
    </row>
    <row r="604" spans="1:26" s="14" customForma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3"/>
      <c r="S604" s="74"/>
      <c r="Y604" s="64"/>
      <c r="Z604" s="64"/>
    </row>
    <row r="605" spans="1:26" s="14" customForma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3"/>
      <c r="S605" s="74"/>
      <c r="Y605" s="64"/>
      <c r="Z605" s="64"/>
    </row>
    <row r="606" spans="1:26" s="14" customForma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3"/>
      <c r="S606" s="74"/>
      <c r="Y606" s="64"/>
      <c r="Z606" s="64"/>
    </row>
    <row r="607" spans="1:26" s="14" customForma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3"/>
      <c r="S607" s="74"/>
      <c r="Y607" s="64"/>
      <c r="Z607" s="64"/>
    </row>
    <row r="608" spans="1:26" s="14" customForma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3"/>
      <c r="S608" s="74"/>
      <c r="Y608" s="64"/>
      <c r="Z608" s="64"/>
    </row>
    <row r="609" spans="1:26" s="14" customForma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3"/>
      <c r="S609" s="74"/>
      <c r="Y609" s="64"/>
      <c r="Z609" s="64"/>
    </row>
    <row r="610" spans="1:26" s="14" customForma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3"/>
      <c r="S610" s="74"/>
      <c r="Y610" s="64"/>
      <c r="Z610" s="64"/>
    </row>
    <row r="611" spans="1:26" s="14" customForma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3"/>
      <c r="S611" s="74"/>
      <c r="Y611" s="64"/>
      <c r="Z611" s="64"/>
    </row>
    <row r="612" spans="1:26" s="14" customForma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3"/>
      <c r="S612" s="74"/>
      <c r="Y612" s="64"/>
      <c r="Z612" s="64"/>
    </row>
    <row r="613" spans="1:26" s="14" customForma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3"/>
      <c r="S613" s="74"/>
      <c r="Y613" s="64"/>
      <c r="Z613" s="64"/>
    </row>
    <row r="614" spans="1:26" s="14" customForma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3"/>
      <c r="S614" s="74"/>
      <c r="Y614" s="64"/>
      <c r="Z614" s="64"/>
    </row>
    <row r="615" spans="1:26" s="14" customForma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3"/>
      <c r="S615" s="74"/>
      <c r="Y615" s="64"/>
      <c r="Z615" s="64"/>
    </row>
    <row r="616" spans="1:26" s="14" customForma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3"/>
      <c r="S616" s="74"/>
      <c r="Y616" s="64"/>
      <c r="Z616" s="64"/>
    </row>
    <row r="617" spans="1:26" s="14" customForma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3"/>
      <c r="S617" s="74"/>
      <c r="Y617" s="64"/>
      <c r="Z617" s="64"/>
    </row>
    <row r="618" spans="1:26" s="14" customForma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3"/>
      <c r="S618" s="74"/>
      <c r="Y618" s="64"/>
      <c r="Z618" s="64"/>
    </row>
    <row r="619" spans="1:26" s="14" customForma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3"/>
      <c r="S619" s="74"/>
      <c r="Y619" s="64"/>
      <c r="Z619" s="64"/>
    </row>
    <row r="620" spans="1:26" s="14" customForma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3"/>
      <c r="S620" s="74"/>
      <c r="Y620" s="64"/>
      <c r="Z620" s="64"/>
    </row>
    <row r="621" spans="1:26" s="14" customForma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3"/>
      <c r="S621" s="74"/>
      <c r="Y621" s="64"/>
      <c r="Z621" s="64"/>
    </row>
    <row r="622" spans="1:26" s="14" customForma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3"/>
      <c r="S622" s="74"/>
      <c r="Y622" s="64"/>
      <c r="Z622" s="64"/>
    </row>
    <row r="623" spans="1:26" s="14" customForma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3"/>
      <c r="S623" s="74"/>
      <c r="Y623" s="64"/>
      <c r="Z623" s="64"/>
    </row>
    <row r="624" spans="1:26" s="14" customForma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3"/>
      <c r="S624" s="74"/>
      <c r="Y624" s="64"/>
      <c r="Z624" s="64"/>
    </row>
    <row r="625" spans="1:26" s="14" customForma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3"/>
      <c r="S625" s="74"/>
      <c r="Y625" s="64"/>
      <c r="Z625" s="64"/>
    </row>
    <row r="626" spans="1:26" s="14" customForma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3"/>
      <c r="S626" s="74"/>
      <c r="Y626" s="64"/>
      <c r="Z626" s="64"/>
    </row>
    <row r="627" spans="1:26" s="14" customForma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3"/>
      <c r="S627" s="74"/>
      <c r="Y627" s="64"/>
      <c r="Z627" s="64"/>
    </row>
    <row r="628" spans="1:26" s="14" customForma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3"/>
      <c r="S628" s="74"/>
      <c r="Y628" s="64"/>
      <c r="Z628" s="64"/>
    </row>
    <row r="629" spans="1:26" s="14" customForma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3"/>
      <c r="S629" s="74"/>
      <c r="Y629" s="64"/>
      <c r="Z629" s="64"/>
    </row>
    <row r="630" spans="1:26" s="14" customForma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3"/>
      <c r="S630" s="74"/>
      <c r="Y630" s="64"/>
      <c r="Z630" s="64"/>
    </row>
    <row r="631" spans="1:26" s="14" customForma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3"/>
      <c r="S631" s="74"/>
      <c r="Y631" s="64"/>
      <c r="Z631" s="64"/>
    </row>
    <row r="632" spans="1:26" s="14" customForma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3"/>
      <c r="S632" s="74"/>
      <c r="Y632" s="64"/>
      <c r="Z632" s="64"/>
    </row>
    <row r="633" spans="1:26" s="14" customForma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3"/>
      <c r="S633" s="74"/>
      <c r="Y633" s="64"/>
      <c r="Z633" s="64"/>
    </row>
    <row r="634" spans="1:26" s="14" customForma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3"/>
      <c r="S634" s="74"/>
      <c r="Y634" s="64"/>
      <c r="Z634" s="64"/>
    </row>
    <row r="635" spans="1:26" s="14" customForma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3"/>
      <c r="S635" s="74"/>
      <c r="Y635" s="64"/>
      <c r="Z635" s="64"/>
    </row>
    <row r="636" spans="1:26" s="14" customForma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3"/>
      <c r="S636" s="74"/>
      <c r="Y636" s="64"/>
      <c r="Z636" s="64"/>
    </row>
    <row r="637" spans="1:26" s="14" customForma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3"/>
      <c r="S637" s="74"/>
      <c r="Y637" s="64"/>
      <c r="Z637" s="64"/>
    </row>
    <row r="638" spans="1:26" s="14" customForma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3"/>
      <c r="S638" s="74"/>
      <c r="Y638" s="64"/>
      <c r="Z638" s="64"/>
    </row>
    <row r="639" spans="1:26" s="14" customForma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3"/>
      <c r="S639" s="74"/>
      <c r="Y639" s="64"/>
      <c r="Z639" s="64"/>
    </row>
    <row r="640" spans="1:26" s="14" customForma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3"/>
      <c r="S640" s="74"/>
      <c r="Y640" s="64"/>
      <c r="Z640" s="64"/>
    </row>
    <row r="641" spans="1:26" s="14" customForma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3"/>
      <c r="S641" s="74"/>
      <c r="Y641" s="64"/>
      <c r="Z641" s="64"/>
    </row>
    <row r="642" spans="1:26" s="14" customForma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3"/>
      <c r="S642" s="74"/>
      <c r="Y642" s="64"/>
      <c r="Z642" s="64"/>
    </row>
    <row r="643" spans="1:26" s="14" customForma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3"/>
      <c r="S643" s="74"/>
      <c r="Y643" s="64"/>
      <c r="Z643" s="64"/>
    </row>
    <row r="644" spans="1:26" s="14" customForma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3"/>
      <c r="S644" s="74"/>
      <c r="Y644" s="64"/>
      <c r="Z644" s="64"/>
    </row>
    <row r="645" spans="1:26" s="14" customForma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3"/>
      <c r="S645" s="74"/>
      <c r="Y645" s="64"/>
      <c r="Z645" s="64"/>
    </row>
    <row r="646" spans="1:26" s="14" customForma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3"/>
      <c r="S646" s="74"/>
      <c r="Y646" s="64"/>
      <c r="Z646" s="64"/>
    </row>
    <row r="647" spans="1:26" s="14" customForma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3"/>
      <c r="S647" s="74"/>
      <c r="Y647" s="64"/>
      <c r="Z647" s="64"/>
    </row>
    <row r="648" spans="1:26" s="14" customForma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3"/>
      <c r="S648" s="74"/>
      <c r="Y648" s="64"/>
      <c r="Z648" s="64"/>
    </row>
    <row r="649" spans="1:26" s="14" customForma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3"/>
      <c r="S649" s="74"/>
      <c r="Y649" s="64"/>
      <c r="Z649" s="64"/>
    </row>
    <row r="650" spans="1:26" s="14" customForma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3"/>
      <c r="S650" s="74"/>
      <c r="Y650" s="64"/>
      <c r="Z650" s="64"/>
    </row>
    <row r="651" spans="1:26" s="14" customForma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3"/>
      <c r="S651" s="74"/>
      <c r="Y651" s="64"/>
      <c r="Z651" s="64"/>
    </row>
    <row r="652" spans="1:26" s="14" customForma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3"/>
      <c r="S652" s="74"/>
      <c r="Y652" s="64"/>
      <c r="Z652" s="64"/>
    </row>
    <row r="653" spans="1:26" s="14" customForma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3"/>
      <c r="S653" s="74"/>
      <c r="Y653" s="64"/>
      <c r="Z653" s="64"/>
    </row>
    <row r="654" spans="1:26" s="14" customForma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3"/>
      <c r="S654" s="74"/>
      <c r="Y654" s="64"/>
      <c r="Z654" s="64"/>
    </row>
    <row r="655" spans="1:26" s="14" customForma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3"/>
      <c r="S655" s="74"/>
      <c r="Y655" s="64"/>
      <c r="Z655" s="64"/>
    </row>
    <row r="656" spans="1:26" s="14" customForma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3"/>
      <c r="S656" s="74"/>
      <c r="Y656" s="64"/>
      <c r="Z656" s="64"/>
    </row>
    <row r="657" spans="1:26" s="14" customForma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3"/>
      <c r="S657" s="74"/>
      <c r="Y657" s="64"/>
      <c r="Z657" s="64"/>
    </row>
    <row r="658" spans="1:26" s="14" customForma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3"/>
      <c r="S658" s="74"/>
      <c r="Y658" s="64"/>
      <c r="Z658" s="64"/>
    </row>
    <row r="659" spans="1:26" s="14" customForma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3"/>
      <c r="S659" s="74"/>
      <c r="Y659" s="64"/>
      <c r="Z659" s="64"/>
    </row>
    <row r="660" spans="1:26" s="14" customForma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3"/>
      <c r="S660" s="74"/>
      <c r="Y660" s="64"/>
      <c r="Z660" s="64"/>
    </row>
    <row r="661" spans="1:26" s="14" customForma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3"/>
      <c r="S661" s="74"/>
      <c r="Y661" s="64"/>
      <c r="Z661" s="64"/>
    </row>
    <row r="662" spans="1:26" s="14" customForma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3"/>
      <c r="S662" s="74"/>
      <c r="Y662" s="64"/>
      <c r="Z662" s="64"/>
    </row>
    <row r="663" spans="1:26" s="14" customForma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3"/>
      <c r="S663" s="74"/>
      <c r="Y663" s="64"/>
      <c r="Z663" s="64"/>
    </row>
    <row r="664" spans="1:26" s="14" customForma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3"/>
      <c r="S664" s="74"/>
      <c r="Y664" s="64"/>
      <c r="Z664" s="64"/>
    </row>
    <row r="665" spans="1:26" s="14" customForma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3"/>
      <c r="S665" s="74"/>
      <c r="Y665" s="64"/>
      <c r="Z665" s="64"/>
    </row>
    <row r="666" spans="1:26" s="14" customForma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3"/>
      <c r="S666" s="74"/>
      <c r="Y666" s="64"/>
      <c r="Z666" s="64"/>
    </row>
    <row r="667" spans="1:26" s="14" customForma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3"/>
      <c r="S667" s="74"/>
      <c r="Y667" s="64"/>
      <c r="Z667" s="64"/>
    </row>
    <row r="668" spans="1:26" s="14" customForma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3"/>
      <c r="S668" s="74"/>
      <c r="Y668" s="64"/>
      <c r="Z668" s="64"/>
    </row>
    <row r="669" spans="1:26" s="14" customForma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3"/>
      <c r="S669" s="74"/>
      <c r="Y669" s="64"/>
      <c r="Z669" s="64"/>
    </row>
    <row r="670" spans="1:26" s="14" customForma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3"/>
      <c r="S670" s="74"/>
      <c r="Y670" s="64"/>
      <c r="Z670" s="64"/>
    </row>
    <row r="671" spans="1:26" s="14" customForma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3"/>
      <c r="S671" s="74"/>
      <c r="Y671" s="64"/>
      <c r="Z671" s="64"/>
    </row>
    <row r="672" spans="1:26" s="14" customForma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3"/>
      <c r="S672" s="74"/>
      <c r="Y672" s="64"/>
      <c r="Z672" s="64"/>
    </row>
    <row r="673" spans="1:26" s="14" customForma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3"/>
      <c r="S673" s="74"/>
      <c r="Y673" s="64"/>
      <c r="Z673" s="64"/>
    </row>
    <row r="674" spans="1:26" s="14" customForma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3"/>
      <c r="S674" s="74"/>
      <c r="Y674" s="64"/>
      <c r="Z674" s="64"/>
    </row>
    <row r="675" spans="1:26" s="14" customForma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3"/>
      <c r="S675" s="74"/>
      <c r="Y675" s="64"/>
      <c r="Z675" s="64"/>
    </row>
    <row r="676" spans="1:26" s="14" customForma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3"/>
      <c r="S676" s="74"/>
      <c r="Y676" s="64"/>
      <c r="Z676" s="64"/>
    </row>
    <row r="677" spans="1:26" s="14" customForma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3"/>
      <c r="S677" s="74"/>
      <c r="Y677" s="64"/>
      <c r="Z677" s="64"/>
    </row>
    <row r="678" spans="1:26" s="14" customForma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3"/>
      <c r="S678" s="74"/>
      <c r="Y678" s="64"/>
      <c r="Z678" s="64"/>
    </row>
    <row r="679" spans="1:26" s="14" customForma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3"/>
      <c r="S679" s="74"/>
      <c r="Y679" s="64"/>
      <c r="Z679" s="64"/>
    </row>
    <row r="680" spans="1:26" s="14" customForma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3"/>
      <c r="S680" s="74"/>
      <c r="Y680" s="64"/>
      <c r="Z680" s="64"/>
    </row>
    <row r="681" spans="1:26" s="14" customForma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3"/>
      <c r="S681" s="74"/>
      <c r="Y681" s="64"/>
      <c r="Z681" s="64"/>
    </row>
    <row r="682" spans="1:26" s="14" customForma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3"/>
      <c r="S682" s="74"/>
      <c r="Y682" s="64"/>
      <c r="Z682" s="64"/>
    </row>
    <row r="683" spans="1:26" s="14" customForma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3"/>
      <c r="S683" s="74"/>
      <c r="Y683" s="64"/>
      <c r="Z683" s="64"/>
    </row>
    <row r="684" spans="1:26" s="14" customForma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3"/>
      <c r="S684" s="74"/>
      <c r="Y684" s="64"/>
      <c r="Z684" s="64"/>
    </row>
    <row r="685" spans="1:26" s="14" customForma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3"/>
      <c r="S685" s="74"/>
      <c r="Y685" s="64"/>
      <c r="Z685" s="64"/>
    </row>
    <row r="686" spans="1:26" s="14" customForma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3"/>
      <c r="S686" s="74"/>
      <c r="Y686" s="64"/>
      <c r="Z686" s="64"/>
    </row>
    <row r="687" spans="1:26" s="14" customForma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3"/>
      <c r="S687" s="74"/>
      <c r="Y687" s="64"/>
      <c r="Z687" s="64"/>
    </row>
    <row r="688" spans="1:26" s="14" customForma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3"/>
      <c r="S688" s="74"/>
      <c r="Y688" s="64"/>
      <c r="Z688" s="64"/>
    </row>
    <row r="689" spans="1:26" s="14" customForma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3"/>
      <c r="S689" s="74"/>
      <c r="Y689" s="64"/>
      <c r="Z689" s="64"/>
    </row>
    <row r="690" spans="1:26" s="14" customForma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3"/>
      <c r="S690" s="74"/>
      <c r="Y690" s="64"/>
      <c r="Z690" s="64"/>
    </row>
    <row r="691" spans="1:26" s="14" customForma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3"/>
      <c r="S691" s="74"/>
      <c r="Y691" s="64"/>
      <c r="Z691" s="64"/>
    </row>
    <row r="692" spans="1:26" s="14" customForma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3"/>
      <c r="S692" s="74"/>
      <c r="Y692" s="64"/>
      <c r="Z692" s="64"/>
    </row>
    <row r="693" spans="1:26" s="14" customForma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3"/>
      <c r="S693" s="74"/>
      <c r="Y693" s="64"/>
      <c r="Z693" s="64"/>
    </row>
    <row r="694" spans="1:26" s="14" customForma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3"/>
      <c r="S694" s="74"/>
      <c r="Y694" s="64"/>
      <c r="Z694" s="64"/>
    </row>
    <row r="695" spans="1:26" s="14" customForma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3"/>
      <c r="S695" s="74"/>
      <c r="Y695" s="64"/>
      <c r="Z695" s="64"/>
    </row>
    <row r="696" spans="1:26" s="14" customForma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3"/>
      <c r="S696" s="74"/>
      <c r="Y696" s="64"/>
      <c r="Z696" s="64"/>
    </row>
    <row r="697" spans="1:26" s="14" customForma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3"/>
      <c r="S697" s="74"/>
      <c r="Y697" s="64"/>
      <c r="Z697" s="64"/>
    </row>
    <row r="698" spans="1:26" s="14" customForma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3"/>
      <c r="S698" s="74"/>
      <c r="Y698" s="64"/>
      <c r="Z698" s="64"/>
    </row>
    <row r="699" spans="1:26" s="14" customForma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3"/>
      <c r="S699" s="74"/>
      <c r="Y699" s="64"/>
      <c r="Z699" s="64"/>
    </row>
    <row r="700" spans="1:26" s="14" customForma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3"/>
      <c r="S700" s="74"/>
      <c r="Y700" s="64"/>
      <c r="Z700" s="64"/>
    </row>
    <row r="701" spans="1:26" s="14" customForma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3"/>
      <c r="S701" s="74"/>
      <c r="Y701" s="64"/>
      <c r="Z701" s="64"/>
    </row>
    <row r="702" spans="1:26" s="14" customForma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3"/>
      <c r="S702" s="74"/>
      <c r="Y702" s="64"/>
      <c r="Z702" s="64"/>
    </row>
    <row r="703" spans="1:26" s="14" customForma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3"/>
      <c r="S703" s="74"/>
      <c r="Y703" s="64"/>
      <c r="Z703" s="64"/>
    </row>
    <row r="704" spans="1:26" s="14" customForma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3"/>
      <c r="S704" s="74"/>
      <c r="Y704" s="64"/>
      <c r="Z704" s="64"/>
    </row>
    <row r="705" spans="1:26" s="14" customForma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3"/>
      <c r="S705" s="74"/>
      <c r="Y705" s="64"/>
      <c r="Z705" s="64"/>
    </row>
    <row r="706" spans="1:26" s="14" customForma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3"/>
      <c r="S706" s="74"/>
      <c r="Y706" s="64"/>
      <c r="Z706" s="64"/>
    </row>
    <row r="707" spans="1:26" s="14" customForma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3"/>
      <c r="S707" s="74"/>
      <c r="Y707" s="64"/>
      <c r="Z707" s="64"/>
    </row>
    <row r="708" spans="1:26" s="14" customForma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3"/>
      <c r="S708" s="74"/>
      <c r="Y708" s="64"/>
      <c r="Z708" s="64"/>
    </row>
    <row r="709" spans="1:26" s="14" customForma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3"/>
      <c r="S709" s="74"/>
      <c r="Y709" s="64"/>
      <c r="Z709" s="64"/>
    </row>
    <row r="710" spans="1:26" s="14" customForma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3"/>
      <c r="S710" s="74"/>
      <c r="Y710" s="64"/>
      <c r="Z710" s="64"/>
    </row>
    <row r="711" spans="1:26" s="14" customForma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3"/>
      <c r="S711" s="74"/>
      <c r="Y711" s="64"/>
      <c r="Z711" s="64"/>
    </row>
    <row r="712" spans="1:26" s="14" customForma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3"/>
      <c r="S712" s="74"/>
      <c r="Y712" s="64"/>
      <c r="Z712" s="64"/>
    </row>
    <row r="713" spans="1:26" s="14" customForma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3"/>
      <c r="S713" s="74"/>
      <c r="Y713" s="64"/>
      <c r="Z713" s="64"/>
    </row>
    <row r="714" spans="1:26" s="14" customForma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3"/>
      <c r="S714" s="74"/>
      <c r="Y714" s="64"/>
      <c r="Z714" s="64"/>
    </row>
    <row r="715" spans="1:26" s="14" customForma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3"/>
      <c r="S715" s="74"/>
      <c r="Y715" s="64"/>
      <c r="Z715" s="64"/>
    </row>
    <row r="716" spans="1:26" s="14" customForma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3"/>
      <c r="S716" s="74"/>
      <c r="Y716" s="64"/>
      <c r="Z716" s="64"/>
    </row>
    <row r="717" spans="1:26" s="14" customForma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3"/>
      <c r="S717" s="74"/>
      <c r="Y717" s="64"/>
      <c r="Z717" s="64"/>
    </row>
    <row r="718" spans="1:26" s="14" customForma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3"/>
      <c r="S718" s="74"/>
      <c r="Y718" s="64"/>
      <c r="Z718" s="64"/>
    </row>
    <row r="719" spans="1:26" s="14" customForma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3"/>
      <c r="S719" s="74"/>
      <c r="Y719" s="64"/>
      <c r="Z719" s="64"/>
    </row>
    <row r="720" spans="1:26" s="14" customForma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3"/>
      <c r="S720" s="74"/>
      <c r="Y720" s="64"/>
      <c r="Z720" s="64"/>
    </row>
    <row r="721" spans="1:26" s="14" customForma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3"/>
      <c r="S721" s="74"/>
      <c r="Y721" s="64"/>
      <c r="Z721" s="64"/>
    </row>
    <row r="722" spans="1:26" s="14" customForma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3"/>
      <c r="S722" s="74"/>
      <c r="Y722" s="64"/>
      <c r="Z722" s="64"/>
    </row>
    <row r="723" spans="1:26" s="14" customForma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3"/>
      <c r="S723" s="74"/>
      <c r="Y723" s="64"/>
      <c r="Z723" s="64"/>
    </row>
    <row r="724" spans="1:26" s="14" customForma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3"/>
      <c r="S724" s="74"/>
      <c r="Y724" s="64"/>
      <c r="Z724" s="64"/>
    </row>
    <row r="725" spans="1:26" s="14" customForma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3"/>
      <c r="S725" s="74"/>
      <c r="Y725" s="64"/>
      <c r="Z725" s="64"/>
    </row>
    <row r="726" spans="1:26" s="14" customForma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3"/>
      <c r="S726" s="74"/>
      <c r="Y726" s="64"/>
      <c r="Z726" s="64"/>
    </row>
    <row r="727" spans="1:26" s="14" customForma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3"/>
      <c r="S727" s="74"/>
      <c r="Y727" s="64"/>
      <c r="Z727" s="64"/>
    </row>
    <row r="728" spans="1:26" s="14" customForma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3"/>
      <c r="S728" s="74"/>
      <c r="Y728" s="64"/>
      <c r="Z728" s="64"/>
    </row>
    <row r="729" spans="1:26" s="14" customForma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3"/>
      <c r="S729" s="74"/>
      <c r="Y729" s="64"/>
      <c r="Z729" s="64"/>
    </row>
    <row r="730" spans="1:26" s="14" customForma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3"/>
      <c r="S730" s="74"/>
      <c r="Y730" s="64"/>
      <c r="Z730" s="64"/>
    </row>
    <row r="731" spans="1:26" s="14" customForma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3"/>
      <c r="S731" s="74"/>
      <c r="Y731" s="64"/>
      <c r="Z731" s="64"/>
    </row>
    <row r="732" spans="1:26" s="14" customForma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3"/>
      <c r="S732" s="74"/>
      <c r="Y732" s="64"/>
      <c r="Z732" s="64"/>
    </row>
    <row r="733" spans="1:26" s="14" customForma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3"/>
      <c r="S733" s="74"/>
      <c r="Y733" s="64"/>
      <c r="Z733" s="64"/>
    </row>
    <row r="734" spans="1:26" s="14" customForma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3"/>
      <c r="S734" s="74"/>
      <c r="Y734" s="64"/>
      <c r="Z734" s="64"/>
    </row>
    <row r="735" spans="1:26" s="14" customForma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3"/>
      <c r="S735" s="74"/>
      <c r="Y735" s="64"/>
      <c r="Z735" s="64"/>
    </row>
    <row r="736" spans="1:26" s="14" customForma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3"/>
      <c r="S736" s="74"/>
      <c r="Y736" s="64"/>
      <c r="Z736" s="64"/>
    </row>
    <row r="737" spans="1:26" s="14" customForma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3"/>
      <c r="S737" s="74"/>
      <c r="Y737" s="64"/>
      <c r="Z737" s="64"/>
    </row>
    <row r="738" spans="1:26" s="14" customForma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3"/>
      <c r="S738" s="74"/>
      <c r="Y738" s="64"/>
      <c r="Z738" s="64"/>
    </row>
    <row r="739" spans="1:26" s="14" customForma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3"/>
      <c r="S739" s="74"/>
      <c r="Y739" s="64"/>
      <c r="Z739" s="64"/>
    </row>
    <row r="740" spans="1:26" s="14" customForma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3"/>
      <c r="S740" s="74"/>
      <c r="Y740" s="64"/>
      <c r="Z740" s="64"/>
    </row>
    <row r="741" spans="1:26" s="14" customForma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3"/>
      <c r="S741" s="74"/>
      <c r="Y741" s="64"/>
      <c r="Z741" s="64"/>
    </row>
    <row r="742" spans="1:26" s="14" customForma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3"/>
      <c r="S742" s="74"/>
      <c r="Y742" s="64"/>
      <c r="Z742" s="64"/>
    </row>
    <row r="743" spans="1:26" s="14" customForma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3"/>
      <c r="S743" s="74"/>
      <c r="Y743" s="64"/>
      <c r="Z743" s="64"/>
    </row>
    <row r="744" spans="1:26" s="14" customForma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3"/>
      <c r="S744" s="74"/>
      <c r="Y744" s="64"/>
      <c r="Z744" s="64"/>
    </row>
    <row r="745" spans="1:26" s="14" customForma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3"/>
      <c r="S745" s="74"/>
      <c r="Y745" s="64"/>
      <c r="Z745" s="64"/>
    </row>
    <row r="746" spans="1:26" s="14" customForma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3"/>
      <c r="S746" s="74"/>
      <c r="Y746" s="64"/>
      <c r="Z746" s="64"/>
    </row>
    <row r="747" spans="1:26" s="14" customForma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3"/>
      <c r="S747" s="74"/>
      <c r="Y747" s="64"/>
      <c r="Z747" s="64"/>
    </row>
    <row r="748" spans="1:26" s="14" customForma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3"/>
      <c r="S748" s="74"/>
      <c r="Y748" s="64"/>
      <c r="Z748" s="64"/>
    </row>
    <row r="749" spans="1:26" s="14" customForma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3"/>
      <c r="S749" s="74"/>
      <c r="Y749" s="64"/>
      <c r="Z749" s="64"/>
    </row>
    <row r="750" spans="1:26" s="14" customForma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3"/>
      <c r="S750" s="74"/>
      <c r="Y750" s="64"/>
      <c r="Z750" s="64"/>
    </row>
    <row r="751" spans="1:26" s="14" customForma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3"/>
      <c r="S751" s="74"/>
      <c r="Y751" s="64"/>
      <c r="Z751" s="64"/>
    </row>
    <row r="752" spans="1:26" s="14" customForma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3"/>
      <c r="S752" s="74"/>
      <c r="Y752" s="64"/>
      <c r="Z752" s="64"/>
    </row>
    <row r="753" spans="1:26" s="14" customForma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3"/>
      <c r="S753" s="74"/>
      <c r="Y753" s="64"/>
      <c r="Z753" s="64"/>
    </row>
    <row r="754" spans="1:26" s="14" customForma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3"/>
      <c r="S754" s="74"/>
      <c r="Y754" s="64"/>
      <c r="Z754" s="64"/>
    </row>
    <row r="755" spans="1:26" s="14" customForma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3"/>
      <c r="S755" s="74"/>
      <c r="Y755" s="64"/>
      <c r="Z755" s="64"/>
    </row>
    <row r="756" spans="1:26" s="14" customForma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3"/>
      <c r="S756" s="74"/>
      <c r="Y756" s="64"/>
      <c r="Z756" s="64"/>
    </row>
    <row r="757" spans="1:26" s="14" customForma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3"/>
      <c r="S757" s="74"/>
      <c r="Y757" s="64"/>
      <c r="Z757" s="64"/>
    </row>
    <row r="758" spans="1:26" s="14" customForma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3"/>
      <c r="S758" s="74"/>
      <c r="Y758" s="64"/>
      <c r="Z758" s="64"/>
    </row>
    <row r="759" spans="1:26" s="14" customForma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3"/>
      <c r="S759" s="74"/>
      <c r="Y759" s="64"/>
      <c r="Z759" s="64"/>
    </row>
    <row r="760" spans="1:26" s="14" customForma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3"/>
      <c r="S760" s="74"/>
      <c r="Y760" s="64"/>
      <c r="Z760" s="64"/>
    </row>
    <row r="761" spans="1:26" s="14" customForma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3"/>
      <c r="S761" s="74"/>
      <c r="Y761" s="64"/>
      <c r="Z761" s="64"/>
    </row>
    <row r="762" spans="1:26" s="14" customForma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3"/>
      <c r="S762" s="74"/>
      <c r="Y762" s="64"/>
      <c r="Z762" s="64"/>
    </row>
    <row r="763" spans="1:26" s="14" customForma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3"/>
      <c r="S763" s="74"/>
      <c r="Y763" s="64"/>
      <c r="Z763" s="64"/>
    </row>
    <row r="764" spans="1:26" s="14" customForma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3"/>
      <c r="S764" s="74"/>
      <c r="Y764" s="64"/>
      <c r="Z764" s="64"/>
    </row>
    <row r="765" spans="1:26" s="14" customForma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3"/>
      <c r="S765" s="74"/>
      <c r="Y765" s="64"/>
      <c r="Z765" s="64"/>
    </row>
    <row r="766" spans="1:26" s="14" customForma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3"/>
      <c r="S766" s="74"/>
      <c r="Y766" s="64"/>
      <c r="Z766" s="64"/>
    </row>
    <row r="767" spans="1:26" s="14" customForma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3"/>
      <c r="S767" s="74"/>
      <c r="Y767" s="64"/>
      <c r="Z767" s="64"/>
    </row>
    <row r="768" spans="1:26" s="14" customForma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3"/>
      <c r="S768" s="74"/>
      <c r="Y768" s="64"/>
      <c r="Z768" s="64"/>
    </row>
    <row r="769" spans="1:26" s="14" customForma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3"/>
      <c r="S769" s="74"/>
      <c r="Y769" s="64"/>
      <c r="Z769" s="64"/>
    </row>
    <row r="770" spans="1:26" s="14" customForma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3"/>
      <c r="S770" s="74"/>
      <c r="Y770" s="64"/>
      <c r="Z770" s="64"/>
    </row>
    <row r="771" spans="1:26" s="14" customForma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3"/>
      <c r="S771" s="74"/>
      <c r="Y771" s="64"/>
      <c r="Z771" s="64"/>
    </row>
    <row r="772" spans="1:26" s="14" customForma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3"/>
      <c r="S772" s="74"/>
      <c r="Y772" s="64"/>
      <c r="Z772" s="64"/>
    </row>
    <row r="773" spans="1:26" s="14" customForma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3"/>
      <c r="S773" s="74"/>
      <c r="Y773" s="64"/>
      <c r="Z773" s="64"/>
    </row>
    <row r="774" spans="1:26" s="14" customForma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3"/>
      <c r="S774" s="74"/>
      <c r="Y774" s="64"/>
      <c r="Z774" s="64"/>
    </row>
    <row r="775" spans="1:26" s="14" customForma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3"/>
      <c r="S775" s="74"/>
      <c r="Y775" s="64"/>
      <c r="Z775" s="64"/>
    </row>
    <row r="776" spans="1:26" s="14" customForma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3"/>
      <c r="S776" s="74"/>
      <c r="Y776" s="64"/>
      <c r="Z776" s="64"/>
    </row>
    <row r="777" spans="1:26" s="14" customForma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3"/>
      <c r="S777" s="74"/>
      <c r="Y777" s="64"/>
      <c r="Z777" s="64"/>
    </row>
    <row r="778" spans="1:26" s="14" customForma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3"/>
      <c r="S778" s="74"/>
      <c r="Y778" s="64"/>
      <c r="Z778" s="64"/>
    </row>
    <row r="779" spans="1:26" s="14" customForma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3"/>
      <c r="S779" s="74"/>
      <c r="Y779" s="64"/>
      <c r="Z779" s="64"/>
    </row>
    <row r="780" spans="1:26" s="14" customForma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3"/>
      <c r="S780" s="74"/>
      <c r="Y780" s="64"/>
      <c r="Z780" s="64"/>
    </row>
    <row r="781" spans="1:26" s="14" customForma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3"/>
      <c r="S781" s="74"/>
      <c r="Y781" s="64"/>
      <c r="Z781" s="64"/>
    </row>
    <row r="782" spans="1:26" s="14" customForma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3"/>
      <c r="S782" s="74"/>
      <c r="Y782" s="64"/>
      <c r="Z782" s="64"/>
    </row>
    <row r="783" spans="1:26" s="14" customForma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3"/>
      <c r="S783" s="74"/>
      <c r="Y783" s="64"/>
      <c r="Z783" s="64"/>
    </row>
    <row r="784" spans="1:26" s="14" customForma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3"/>
      <c r="S784" s="74"/>
      <c r="Y784" s="64"/>
      <c r="Z784" s="64"/>
    </row>
    <row r="785" spans="1:26" s="14" customForma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3"/>
      <c r="S785" s="74"/>
      <c r="Y785" s="64"/>
      <c r="Z785" s="64"/>
    </row>
    <row r="786" spans="1:26" s="14" customForma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3"/>
      <c r="S786" s="74"/>
      <c r="Y786" s="64"/>
      <c r="Z786" s="64"/>
    </row>
    <row r="787" spans="1:26" s="14" customForma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3"/>
      <c r="S787" s="74"/>
      <c r="Y787" s="64"/>
      <c r="Z787" s="64"/>
    </row>
    <row r="788" spans="1:26" s="14" customForma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3"/>
      <c r="S788" s="74"/>
      <c r="Y788" s="64"/>
      <c r="Z788" s="64"/>
    </row>
    <row r="789" spans="1:26" s="14" customForma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3"/>
      <c r="S789" s="74"/>
      <c r="Y789" s="64"/>
      <c r="Z789" s="64"/>
    </row>
    <row r="790" spans="1:26" s="14" customForma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3"/>
      <c r="S790" s="74"/>
      <c r="Y790" s="64"/>
      <c r="Z790" s="64"/>
    </row>
    <row r="791" spans="1:26" s="14" customForma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3"/>
      <c r="S791" s="74"/>
      <c r="Y791" s="64"/>
      <c r="Z791" s="64"/>
    </row>
    <row r="792" spans="1:26" s="14" customForma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3"/>
      <c r="S792" s="74"/>
      <c r="Y792" s="64"/>
      <c r="Z792" s="64"/>
    </row>
    <row r="793" spans="1:26" s="14" customForma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3"/>
      <c r="S793" s="74"/>
      <c r="Y793" s="64"/>
      <c r="Z793" s="64"/>
    </row>
    <row r="794" spans="1:26" s="14" customForma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3"/>
      <c r="S794" s="74"/>
      <c r="Y794" s="64"/>
      <c r="Z794" s="64"/>
    </row>
    <row r="795" spans="1:26" s="14" customForma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3"/>
      <c r="S795" s="74"/>
      <c r="Y795" s="64"/>
      <c r="Z795" s="64"/>
    </row>
    <row r="796" spans="1:26" s="14" customForma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3"/>
      <c r="S796" s="74"/>
      <c r="Y796" s="64"/>
      <c r="Z796" s="64"/>
    </row>
    <row r="797" spans="1:26" s="14" customForma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3"/>
      <c r="S797" s="74"/>
      <c r="Y797" s="64"/>
      <c r="Z797" s="64"/>
    </row>
    <row r="798" spans="1:26" s="14" customForma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3"/>
      <c r="S798" s="74"/>
      <c r="Y798" s="64"/>
      <c r="Z798" s="64"/>
    </row>
    <row r="799" spans="1:26" s="14" customForma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3"/>
      <c r="S799" s="74"/>
      <c r="Y799" s="64"/>
      <c r="Z799" s="64"/>
    </row>
    <row r="800" spans="1:26" s="14" customForma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3"/>
      <c r="S800" s="74"/>
      <c r="Y800" s="64"/>
      <c r="Z800" s="64"/>
    </row>
    <row r="801" spans="1:26" s="14" customForma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3"/>
      <c r="S801" s="74"/>
      <c r="Y801" s="64"/>
      <c r="Z801" s="64"/>
    </row>
    <row r="802" spans="1:26" s="14" customForma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3"/>
      <c r="S802" s="74"/>
      <c r="Y802" s="64"/>
      <c r="Z802" s="64"/>
    </row>
    <row r="803" spans="1:26" s="14" customForma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3"/>
      <c r="S803" s="74"/>
      <c r="Y803" s="64"/>
      <c r="Z803" s="64"/>
    </row>
    <row r="804" spans="1:26" s="14" customForma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3"/>
      <c r="S804" s="74"/>
      <c r="Y804" s="64"/>
      <c r="Z804" s="64"/>
    </row>
    <row r="805" spans="1:26" s="14" customForma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3"/>
      <c r="S805" s="74"/>
      <c r="Y805" s="64"/>
      <c r="Z805" s="64"/>
    </row>
    <row r="806" spans="1:26" s="14" customForma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3"/>
      <c r="S806" s="74"/>
      <c r="Y806" s="64"/>
      <c r="Z806" s="64"/>
    </row>
    <row r="807" spans="1:26" s="14" customForma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3"/>
      <c r="S807" s="74"/>
      <c r="Y807" s="64"/>
      <c r="Z807" s="64"/>
    </row>
    <row r="808" spans="1:26" s="14" customForma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3"/>
      <c r="S808" s="74"/>
      <c r="Y808" s="64"/>
      <c r="Z808" s="64"/>
    </row>
    <row r="809" spans="1:26" s="14" customForma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3"/>
      <c r="S809" s="74"/>
      <c r="Y809" s="64"/>
      <c r="Z809" s="64"/>
    </row>
    <row r="810" spans="1:26" s="14" customForma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3"/>
      <c r="S810" s="74"/>
      <c r="Y810" s="64"/>
      <c r="Z810" s="64"/>
    </row>
    <row r="811" spans="1:26" s="14" customForma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3"/>
      <c r="S811" s="74"/>
      <c r="Y811" s="64"/>
      <c r="Z811" s="64"/>
    </row>
    <row r="812" spans="1:26" s="14" customForma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3"/>
      <c r="S812" s="74"/>
      <c r="Y812" s="64"/>
      <c r="Z812" s="64"/>
    </row>
    <row r="813" spans="1:26" s="14" customForma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3"/>
      <c r="S813" s="74"/>
      <c r="Y813" s="64"/>
      <c r="Z813" s="64"/>
    </row>
    <row r="814" spans="1:26" s="14" customForma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3"/>
      <c r="S814" s="74"/>
      <c r="Y814" s="64"/>
      <c r="Z814" s="64"/>
    </row>
    <row r="815" spans="1:26" s="14" customForma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3"/>
      <c r="S815" s="74"/>
      <c r="Y815" s="64"/>
      <c r="Z815" s="64"/>
    </row>
    <row r="816" spans="1:26" s="14" customForma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3"/>
      <c r="S816" s="74"/>
      <c r="Y816" s="64"/>
      <c r="Z816" s="64"/>
    </row>
    <row r="817" spans="1:26" s="14" customForma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3"/>
      <c r="S817" s="74"/>
      <c r="Y817" s="64"/>
      <c r="Z817" s="64"/>
    </row>
    <row r="818" spans="1:26" s="14" customForma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3"/>
      <c r="S818" s="74"/>
      <c r="Y818" s="64"/>
      <c r="Z818" s="64"/>
    </row>
    <row r="819" spans="1:26" s="14" customForma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3"/>
      <c r="S819" s="74"/>
      <c r="Y819" s="64"/>
      <c r="Z819" s="64"/>
    </row>
    <row r="820" spans="1:26" s="14" customForma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3"/>
      <c r="S820" s="74"/>
      <c r="Y820" s="64"/>
      <c r="Z820" s="64"/>
    </row>
    <row r="821" spans="1:26" s="14" customForma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3"/>
      <c r="S821" s="74"/>
      <c r="Y821" s="64"/>
      <c r="Z821" s="64"/>
    </row>
    <row r="822" spans="1:26" s="14" customForma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3"/>
      <c r="S822" s="74"/>
      <c r="Y822" s="64"/>
      <c r="Z822" s="64"/>
    </row>
    <row r="823" spans="1:26" s="14" customForma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3"/>
      <c r="S823" s="74"/>
      <c r="Y823" s="64"/>
      <c r="Z823" s="64"/>
    </row>
    <row r="824" spans="1:26" s="14" customForma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3"/>
      <c r="S824" s="74"/>
      <c r="Y824" s="64"/>
      <c r="Z824" s="64"/>
    </row>
    <row r="825" spans="1:26" s="14" customForma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3"/>
      <c r="S825" s="74"/>
      <c r="Y825" s="64"/>
      <c r="Z825" s="64"/>
    </row>
    <row r="826" spans="1:26" s="14" customForma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3"/>
      <c r="S826" s="74"/>
      <c r="Y826" s="64"/>
      <c r="Z826" s="64"/>
    </row>
    <row r="827" spans="1:26" s="14" customForma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3"/>
      <c r="S827" s="74"/>
      <c r="Y827" s="64"/>
      <c r="Z827" s="64"/>
    </row>
    <row r="828" spans="1:26" s="14" customForma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3"/>
      <c r="S828" s="74"/>
      <c r="Y828" s="64"/>
      <c r="Z828" s="64"/>
    </row>
    <row r="829" spans="1:26" s="14" customForma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3"/>
      <c r="S829" s="74"/>
      <c r="Y829" s="64"/>
      <c r="Z829" s="64"/>
    </row>
    <row r="830" spans="1:26" s="14" customForma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3"/>
      <c r="S830" s="74"/>
      <c r="Y830" s="64"/>
      <c r="Z830" s="64"/>
    </row>
    <row r="831" spans="1:26" s="14" customForma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3"/>
      <c r="S831" s="74"/>
      <c r="Y831" s="64"/>
      <c r="Z831" s="64"/>
    </row>
    <row r="832" spans="1:26" s="14" customForma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3"/>
      <c r="S832" s="74"/>
      <c r="Y832" s="64"/>
      <c r="Z832" s="64"/>
    </row>
    <row r="833" spans="1:26" s="14" customForma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3"/>
      <c r="S833" s="74"/>
      <c r="Y833" s="64"/>
      <c r="Z833" s="64"/>
    </row>
    <row r="834" spans="1:26" s="14" customForma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3"/>
      <c r="S834" s="74"/>
      <c r="Y834" s="64"/>
      <c r="Z834" s="64"/>
    </row>
    <row r="835" spans="1:26" s="14" customForma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3"/>
      <c r="S835" s="74"/>
      <c r="Y835" s="64"/>
      <c r="Z835" s="64"/>
    </row>
    <row r="836" spans="1:26" s="14" customForma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3"/>
      <c r="S836" s="74"/>
      <c r="Y836" s="64"/>
      <c r="Z836" s="64"/>
    </row>
    <row r="837" spans="1:26" s="14" customForma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3"/>
      <c r="S837" s="74"/>
      <c r="Y837" s="64"/>
      <c r="Z837" s="64"/>
    </row>
    <row r="838" spans="1:26" s="14" customForma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3"/>
      <c r="S838" s="74"/>
      <c r="Y838" s="64"/>
      <c r="Z838" s="64"/>
    </row>
    <row r="839" spans="1:26" s="14" customForma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3"/>
      <c r="S839" s="74"/>
      <c r="Y839" s="64"/>
      <c r="Z839" s="64"/>
    </row>
    <row r="840" spans="1:26" s="14" customForma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3"/>
      <c r="S840" s="74"/>
      <c r="Y840" s="64"/>
      <c r="Z840" s="64"/>
    </row>
    <row r="841" spans="1:26" s="14" customForma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3"/>
      <c r="S841" s="74"/>
      <c r="Y841" s="64"/>
      <c r="Z841" s="64"/>
    </row>
    <row r="842" spans="1:26" s="14" customForma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3"/>
      <c r="S842" s="74"/>
      <c r="Y842" s="64"/>
      <c r="Z842" s="64"/>
    </row>
    <row r="843" spans="1:26" s="14" customForma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3"/>
      <c r="S843" s="74"/>
      <c r="Y843" s="64"/>
      <c r="Z843" s="64"/>
    </row>
    <row r="844" spans="1:26" s="14" customForma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3"/>
      <c r="S844" s="74"/>
      <c r="Y844" s="64"/>
      <c r="Z844" s="64"/>
    </row>
    <row r="845" spans="1:26" s="14" customForma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3"/>
      <c r="S845" s="74"/>
      <c r="Y845" s="64"/>
      <c r="Z845" s="64"/>
    </row>
    <row r="846" spans="1:26" s="14" customForma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3"/>
      <c r="S846" s="74"/>
      <c r="Y846" s="64"/>
      <c r="Z846" s="64"/>
    </row>
    <row r="847" spans="1:26" s="14" customForma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3"/>
      <c r="S847" s="74"/>
      <c r="Y847" s="64"/>
      <c r="Z847" s="64"/>
    </row>
    <row r="848" spans="1:26" s="14" customForma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3"/>
      <c r="S848" s="74"/>
      <c r="Y848" s="64"/>
      <c r="Z848" s="64"/>
    </row>
    <row r="849" spans="1:26" s="14" customForma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3"/>
      <c r="S849" s="74"/>
      <c r="Y849" s="64"/>
      <c r="Z849" s="64"/>
    </row>
    <row r="850" spans="1:26" s="14" customForma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3"/>
      <c r="S850" s="74"/>
      <c r="Y850" s="64"/>
      <c r="Z850" s="64"/>
    </row>
    <row r="851" spans="1:26" s="14" customForma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3"/>
      <c r="S851" s="74"/>
      <c r="Y851" s="64"/>
      <c r="Z851" s="64"/>
    </row>
    <row r="852" spans="1:26" s="14" customForma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3"/>
      <c r="S852" s="74"/>
      <c r="Y852" s="64"/>
      <c r="Z852" s="64"/>
    </row>
    <row r="853" spans="1:26" s="14" customForma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3"/>
      <c r="S853" s="74"/>
      <c r="Y853" s="64"/>
      <c r="Z853" s="64"/>
    </row>
    <row r="854" spans="1:26" s="14" customForma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3"/>
      <c r="S854" s="74"/>
      <c r="Y854" s="64"/>
      <c r="Z854" s="64"/>
    </row>
    <row r="855" spans="1:26" s="14" customForma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3"/>
      <c r="S855" s="74"/>
      <c r="Y855" s="64"/>
      <c r="Z855" s="64"/>
    </row>
    <row r="856" spans="1:26" s="14" customForma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3"/>
      <c r="S856" s="74"/>
      <c r="Y856" s="64"/>
      <c r="Z856" s="64"/>
    </row>
    <row r="857" spans="1:26" s="14" customForma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3"/>
      <c r="S857" s="74"/>
      <c r="Y857" s="64"/>
      <c r="Z857" s="64"/>
    </row>
    <row r="858" spans="1:26" s="14" customForma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3"/>
      <c r="S858" s="74"/>
      <c r="Y858" s="64"/>
      <c r="Z858" s="64"/>
    </row>
    <row r="859" spans="1:26" s="14" customForma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3"/>
      <c r="S859" s="74"/>
      <c r="Y859" s="64"/>
      <c r="Z859" s="64"/>
    </row>
    <row r="860" spans="1:26" s="14" customForma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3"/>
      <c r="S860" s="74"/>
      <c r="Y860" s="64"/>
      <c r="Z860" s="64"/>
    </row>
    <row r="861" spans="1:26" s="14" customForma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3"/>
      <c r="S861" s="74"/>
      <c r="Y861" s="64"/>
      <c r="Z861" s="64"/>
    </row>
    <row r="862" spans="1:26" s="14" customForma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3"/>
      <c r="S862" s="74"/>
      <c r="Y862" s="64"/>
      <c r="Z862" s="64"/>
    </row>
    <row r="863" spans="1:26" s="14" customForma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3"/>
      <c r="S863" s="74"/>
      <c r="Y863" s="64"/>
      <c r="Z863" s="64"/>
    </row>
    <row r="864" spans="1:26" s="14" customForma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3"/>
      <c r="S864" s="74"/>
      <c r="Y864" s="64"/>
      <c r="Z864" s="64"/>
    </row>
    <row r="865" spans="1:26" s="14" customForma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3"/>
      <c r="S865" s="74"/>
      <c r="Y865" s="64"/>
      <c r="Z865" s="64"/>
    </row>
    <row r="866" spans="1:26" s="14" customForma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3"/>
      <c r="S866" s="74"/>
      <c r="Y866" s="64"/>
      <c r="Z866" s="64"/>
    </row>
    <row r="867" spans="1:26" s="14" customForma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3"/>
      <c r="S867" s="74"/>
      <c r="Y867" s="64"/>
      <c r="Z867" s="64"/>
    </row>
    <row r="868" spans="1:26" s="14" customForma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3"/>
      <c r="S868" s="74"/>
      <c r="Y868" s="64"/>
      <c r="Z868" s="64"/>
    </row>
    <row r="869" spans="1:26" s="14" customForma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3"/>
      <c r="S869" s="74"/>
      <c r="Y869" s="64"/>
      <c r="Z869" s="64"/>
    </row>
    <row r="870" spans="1:26" s="14" customForma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3"/>
      <c r="S870" s="74"/>
      <c r="Y870" s="64"/>
      <c r="Z870" s="64"/>
    </row>
    <row r="871" spans="1:26" s="14" customForma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3"/>
      <c r="S871" s="74"/>
      <c r="Y871" s="64"/>
      <c r="Z871" s="64"/>
    </row>
    <row r="872" spans="1:26" s="14" customForma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3"/>
      <c r="S872" s="74"/>
      <c r="Y872" s="64"/>
      <c r="Z872" s="64"/>
    </row>
    <row r="873" spans="1:26" s="14" customForma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3"/>
      <c r="S873" s="74"/>
      <c r="Y873" s="64"/>
      <c r="Z873" s="64"/>
    </row>
    <row r="874" spans="1:26" s="14" customForma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3"/>
      <c r="S874" s="74"/>
      <c r="Y874" s="64"/>
      <c r="Z874" s="64"/>
    </row>
    <row r="875" spans="1:26" s="14" customForma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3"/>
      <c r="S875" s="74"/>
      <c r="Y875" s="64"/>
      <c r="Z875" s="64"/>
    </row>
    <row r="876" spans="1:26" s="14" customForma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3"/>
      <c r="S876" s="74"/>
      <c r="Y876" s="64"/>
      <c r="Z876" s="64"/>
    </row>
    <row r="877" spans="1:26" s="14" customForma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3"/>
      <c r="S877" s="74"/>
      <c r="Y877" s="64"/>
      <c r="Z877" s="64"/>
    </row>
    <row r="878" spans="1:26" s="14" customForma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3"/>
      <c r="S878" s="74"/>
      <c r="Y878" s="64"/>
      <c r="Z878" s="64"/>
    </row>
    <row r="879" spans="1:26" s="14" customForma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3"/>
      <c r="S879" s="74"/>
      <c r="Y879" s="64"/>
      <c r="Z879" s="64"/>
    </row>
    <row r="880" spans="1:26" s="14" customForma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3"/>
      <c r="S880" s="74"/>
      <c r="Y880" s="64"/>
      <c r="Z880" s="64"/>
    </row>
    <row r="881" spans="1:26" s="14" customForma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3"/>
      <c r="S881" s="74"/>
      <c r="Y881" s="64"/>
      <c r="Z881" s="64"/>
    </row>
    <row r="882" spans="1:26" s="14" customForma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3"/>
      <c r="S882" s="74"/>
      <c r="Y882" s="64"/>
      <c r="Z882" s="64"/>
    </row>
    <row r="883" spans="1:26" s="14" customForma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3"/>
      <c r="S883" s="74"/>
      <c r="Y883" s="64"/>
      <c r="Z883" s="64"/>
    </row>
    <row r="884" spans="1:26" s="14" customForma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3"/>
      <c r="S884" s="74"/>
      <c r="Y884" s="64"/>
      <c r="Z884" s="64"/>
    </row>
    <row r="885" spans="1:26" s="14" customForma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3"/>
      <c r="S885" s="74"/>
      <c r="Y885" s="64"/>
      <c r="Z885" s="64"/>
    </row>
    <row r="886" spans="1:26" s="14" customForma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3"/>
      <c r="S886" s="74"/>
      <c r="Y886" s="64"/>
      <c r="Z886" s="64"/>
    </row>
    <row r="887" spans="1:26" s="14" customForma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3"/>
      <c r="S887" s="74"/>
      <c r="Y887" s="64"/>
      <c r="Z887" s="64"/>
    </row>
    <row r="888" spans="1:26" s="14" customForma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3"/>
      <c r="S888" s="74"/>
      <c r="Y888" s="64"/>
      <c r="Z888" s="64"/>
    </row>
    <row r="889" spans="1:26" s="14" customForma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3"/>
      <c r="S889" s="74"/>
      <c r="Y889" s="64"/>
      <c r="Z889" s="64"/>
    </row>
    <row r="890" spans="1:26" s="14" customForma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3"/>
      <c r="S890" s="74"/>
      <c r="Y890" s="64"/>
      <c r="Z890" s="64"/>
    </row>
    <row r="891" spans="1:26" s="14" customForma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3"/>
      <c r="S891" s="74"/>
      <c r="Y891" s="64"/>
      <c r="Z891" s="64"/>
    </row>
    <row r="892" spans="1:26" s="14" customForma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3"/>
      <c r="S892" s="74"/>
      <c r="Y892" s="64"/>
      <c r="Z892" s="64"/>
    </row>
    <row r="893" spans="1:26" s="14" customForma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3"/>
      <c r="S893" s="74"/>
      <c r="Y893" s="64"/>
      <c r="Z893" s="64"/>
    </row>
    <row r="894" spans="1:26" s="14" customForma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3"/>
      <c r="S894" s="74"/>
      <c r="Y894" s="64"/>
      <c r="Z894" s="64"/>
    </row>
    <row r="895" spans="1:26" s="14" customForma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3"/>
      <c r="S895" s="74"/>
      <c r="Y895" s="64"/>
      <c r="Z895" s="64"/>
    </row>
    <row r="896" spans="1:26" s="14" customForma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3"/>
      <c r="S896" s="74"/>
      <c r="Y896" s="64"/>
      <c r="Z896" s="64"/>
    </row>
    <row r="897" spans="1:26" s="14" customForma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3"/>
      <c r="S897" s="74"/>
      <c r="Y897" s="64"/>
      <c r="Z897" s="64"/>
    </row>
    <row r="898" spans="1:26" s="14" customForma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3"/>
      <c r="S898" s="74"/>
      <c r="Y898" s="64"/>
      <c r="Z898" s="64"/>
    </row>
    <row r="899" spans="1:26" s="14" customForma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3"/>
      <c r="S899" s="74"/>
      <c r="Y899" s="64"/>
      <c r="Z899" s="64"/>
    </row>
    <row r="900" spans="1:26" s="14" customForma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3"/>
      <c r="S900" s="74"/>
      <c r="Y900" s="64"/>
      <c r="Z900" s="64"/>
    </row>
    <row r="901" spans="1:26" s="14" customForma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3"/>
      <c r="S901" s="74"/>
      <c r="Y901" s="64"/>
      <c r="Z901" s="64"/>
    </row>
    <row r="902" spans="1:26" s="14" customForma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3"/>
      <c r="S902" s="74"/>
      <c r="Y902" s="64"/>
      <c r="Z902" s="64"/>
    </row>
    <row r="903" spans="1:26" s="14" customForma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3"/>
      <c r="S903" s="74"/>
      <c r="Y903" s="64"/>
      <c r="Z903" s="64"/>
    </row>
    <row r="904" spans="1:26" s="14" customForma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3"/>
      <c r="S904" s="74"/>
      <c r="Y904" s="64"/>
      <c r="Z904" s="64"/>
    </row>
    <row r="905" spans="1:26" s="14" customForma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3"/>
      <c r="S905" s="74"/>
      <c r="Y905" s="64"/>
      <c r="Z905" s="64"/>
    </row>
    <row r="906" spans="1:26" s="14" customForma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3"/>
      <c r="S906" s="74"/>
      <c r="Y906" s="64"/>
      <c r="Z906" s="64"/>
    </row>
    <row r="907" spans="1:26" s="14" customForma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3"/>
      <c r="S907" s="74"/>
      <c r="Y907" s="64"/>
      <c r="Z907" s="64"/>
    </row>
    <row r="908" spans="1:26" s="14" customForma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3"/>
      <c r="S908" s="74"/>
      <c r="Y908" s="64"/>
      <c r="Z908" s="64"/>
    </row>
    <row r="909" spans="1:26" s="14" customForma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3"/>
      <c r="S909" s="74"/>
      <c r="Y909" s="64"/>
      <c r="Z909" s="64"/>
    </row>
    <row r="910" spans="1:26" s="14" customForma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3"/>
      <c r="S910" s="74"/>
      <c r="Y910" s="64"/>
      <c r="Z910" s="64"/>
    </row>
    <row r="911" spans="1:26" s="14" customForma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3"/>
      <c r="S911" s="74"/>
      <c r="Y911" s="64"/>
      <c r="Z911" s="64"/>
    </row>
    <row r="912" spans="1:26" s="14" customForma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3"/>
      <c r="S912" s="74"/>
      <c r="Y912" s="64"/>
      <c r="Z912" s="64"/>
    </row>
    <row r="913" spans="1:26" s="14" customForma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3"/>
      <c r="S913" s="74"/>
      <c r="Y913" s="64"/>
      <c r="Z913" s="64"/>
    </row>
    <row r="914" spans="1:26" s="14" customForma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3"/>
      <c r="S914" s="74"/>
      <c r="Y914" s="64"/>
      <c r="Z914" s="64"/>
    </row>
    <row r="915" spans="1:26" s="14" customForma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3"/>
      <c r="S915" s="74"/>
      <c r="Y915" s="64"/>
      <c r="Z915" s="64"/>
    </row>
    <row r="916" spans="1:26" s="14" customForma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3"/>
      <c r="S916" s="74"/>
      <c r="Y916" s="64"/>
      <c r="Z916" s="64"/>
    </row>
    <row r="917" spans="1:26" s="14" customForma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3"/>
      <c r="S917" s="74"/>
      <c r="Y917" s="64"/>
      <c r="Z917" s="64"/>
    </row>
    <row r="918" spans="1:26" s="14" customForma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3"/>
      <c r="S918" s="74"/>
      <c r="Y918" s="64"/>
      <c r="Z918" s="64"/>
    </row>
    <row r="919" spans="1:26" s="14" customForma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3"/>
      <c r="S919" s="74"/>
      <c r="Y919" s="64"/>
      <c r="Z919" s="64"/>
    </row>
    <row r="920" spans="1:26" s="14" customForma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3"/>
      <c r="S920" s="74"/>
      <c r="Y920" s="64"/>
      <c r="Z920" s="64"/>
    </row>
    <row r="921" spans="1:26" s="14" customForma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3"/>
      <c r="S921" s="74"/>
      <c r="Y921" s="64"/>
      <c r="Z921" s="64"/>
    </row>
    <row r="922" spans="1:26" s="14" customForma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3"/>
      <c r="S922" s="74"/>
      <c r="Y922" s="64"/>
      <c r="Z922" s="64"/>
    </row>
    <row r="923" spans="1:26" s="14" customForma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3"/>
      <c r="S923" s="74"/>
      <c r="Y923" s="64"/>
      <c r="Z923" s="64"/>
    </row>
    <row r="924" spans="1:26" s="14" customForma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3"/>
      <c r="S924" s="74"/>
      <c r="Y924" s="64"/>
      <c r="Z924" s="64"/>
    </row>
    <row r="925" spans="1:26" s="14" customForma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3"/>
      <c r="S925" s="74"/>
      <c r="Y925" s="64"/>
      <c r="Z925" s="64"/>
    </row>
    <row r="926" spans="1:26" s="14" customForma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3"/>
      <c r="S926" s="74"/>
      <c r="Y926" s="64"/>
      <c r="Z926" s="64"/>
    </row>
    <row r="927" spans="1:26" s="14" customForma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3"/>
      <c r="S927" s="74"/>
      <c r="Y927" s="64"/>
      <c r="Z927" s="64"/>
    </row>
    <row r="928" spans="1:26" s="14" customForma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3"/>
      <c r="S928" s="74"/>
      <c r="Y928" s="64"/>
      <c r="Z928" s="64"/>
    </row>
    <row r="929" spans="1:26" s="14" customForma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3"/>
      <c r="S929" s="74"/>
      <c r="Y929" s="64"/>
      <c r="Z929" s="64"/>
    </row>
    <row r="930" spans="1:26" s="14" customForma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3"/>
      <c r="S930" s="74"/>
      <c r="Y930" s="64"/>
      <c r="Z930" s="64"/>
    </row>
    <row r="931" spans="1:26" s="14" customForma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3"/>
      <c r="S931" s="74"/>
      <c r="Y931" s="64"/>
      <c r="Z931" s="64"/>
    </row>
    <row r="932" spans="1:26" s="14" customForma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3"/>
      <c r="S932" s="74"/>
      <c r="Y932" s="64"/>
      <c r="Z932" s="64"/>
    </row>
    <row r="933" spans="1:26" s="14" customForma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3"/>
      <c r="S933" s="74"/>
      <c r="Y933" s="64"/>
      <c r="Z933" s="64"/>
    </row>
    <row r="934" spans="1:26" s="14" customForma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3"/>
      <c r="S934" s="74"/>
      <c r="Y934" s="64"/>
      <c r="Z934" s="64"/>
    </row>
    <row r="935" spans="1:26" s="14" customForma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3"/>
      <c r="S935" s="74"/>
      <c r="Y935" s="64"/>
      <c r="Z935" s="64"/>
    </row>
    <row r="936" spans="1:26" s="14" customForma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3"/>
      <c r="S936" s="74"/>
      <c r="Y936" s="64"/>
      <c r="Z936" s="64"/>
    </row>
    <row r="937" spans="1:26" s="14" customForma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3"/>
      <c r="S937" s="74"/>
      <c r="Y937" s="64"/>
      <c r="Z937" s="64"/>
    </row>
    <row r="938" spans="1:26" s="14" customForma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3"/>
      <c r="S938" s="74"/>
      <c r="Y938" s="64"/>
      <c r="Z938" s="64"/>
    </row>
    <row r="939" spans="1:26" s="14" customForma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3"/>
      <c r="S939" s="74"/>
      <c r="Y939" s="64"/>
      <c r="Z939" s="64"/>
    </row>
    <row r="940" spans="1:26" s="14" customForma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3"/>
      <c r="S940" s="74"/>
      <c r="Y940" s="64"/>
      <c r="Z940" s="64"/>
    </row>
    <row r="941" spans="1:26" s="14" customForma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3"/>
      <c r="S941" s="74"/>
      <c r="Y941" s="64"/>
      <c r="Z941" s="64"/>
    </row>
    <row r="942" spans="1:26" s="14" customForma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3"/>
      <c r="S942" s="74"/>
      <c r="Y942" s="64"/>
      <c r="Z942" s="64"/>
    </row>
    <row r="943" spans="1:26" s="14" customForma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3"/>
      <c r="S943" s="74"/>
      <c r="Y943" s="64"/>
      <c r="Z943" s="64"/>
    </row>
    <row r="944" spans="1:26" s="14" customForma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3"/>
      <c r="S944" s="74"/>
      <c r="Y944" s="64"/>
      <c r="Z944" s="64"/>
    </row>
    <row r="945" spans="1:26" s="14" customForma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3"/>
      <c r="S945" s="74"/>
      <c r="Y945" s="64"/>
      <c r="Z945" s="64"/>
    </row>
    <row r="946" spans="1:26" s="14" customForma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3"/>
      <c r="S946" s="74"/>
      <c r="Y946" s="64"/>
      <c r="Z946" s="64"/>
    </row>
    <row r="947" spans="1:26" s="14" customForma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3"/>
      <c r="S947" s="74"/>
      <c r="Y947" s="64"/>
      <c r="Z947" s="64"/>
    </row>
    <row r="948" spans="1:26" s="14" customForma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3"/>
      <c r="S948" s="74"/>
      <c r="Y948" s="64"/>
      <c r="Z948" s="64"/>
    </row>
    <row r="949" spans="1:26" s="14" customForma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3"/>
      <c r="S949" s="74"/>
      <c r="Y949" s="64"/>
      <c r="Z949" s="64"/>
    </row>
    <row r="950" spans="1:26" s="14" customForma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3"/>
      <c r="S950" s="74"/>
      <c r="Y950" s="64"/>
      <c r="Z950" s="64"/>
    </row>
    <row r="951" spans="1:26" s="14" customForma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3"/>
      <c r="S951" s="74"/>
      <c r="Y951" s="64"/>
      <c r="Z951" s="64"/>
    </row>
    <row r="952" spans="1:26" s="14" customForma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3"/>
      <c r="S952" s="74"/>
      <c r="Y952" s="64"/>
      <c r="Z952" s="64"/>
    </row>
    <row r="953" spans="1:26" s="14" customForma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3"/>
      <c r="S953" s="74"/>
      <c r="Y953" s="64"/>
      <c r="Z953" s="64"/>
    </row>
    <row r="954" spans="1:26" s="14" customForma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3"/>
      <c r="S954" s="74"/>
      <c r="Y954" s="64"/>
      <c r="Z954" s="64"/>
    </row>
    <row r="955" spans="1:26" s="14" customForma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3"/>
      <c r="S955" s="74"/>
      <c r="Y955" s="64"/>
      <c r="Z955" s="64"/>
    </row>
    <row r="956" spans="1:26" s="14" customForma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3"/>
      <c r="S956" s="74"/>
      <c r="Y956" s="64"/>
      <c r="Z956" s="64"/>
    </row>
    <row r="957" spans="1:26" s="14" customForma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3"/>
      <c r="S957" s="74"/>
      <c r="Y957" s="64"/>
      <c r="Z957" s="64"/>
    </row>
    <row r="958" spans="1:26" s="14" customForma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3"/>
      <c r="S958" s="74"/>
      <c r="Y958" s="64"/>
      <c r="Z958" s="64"/>
    </row>
    <row r="959" spans="1:26" s="14" customForma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3"/>
      <c r="S959" s="74"/>
      <c r="Y959" s="64"/>
      <c r="Z959" s="64"/>
    </row>
    <row r="960" spans="1:26" s="14" customForma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3"/>
      <c r="S960" s="74"/>
      <c r="Y960" s="64"/>
      <c r="Z960" s="64"/>
    </row>
    <row r="961" spans="1:26" s="14" customForma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3"/>
      <c r="S961" s="74"/>
      <c r="Y961" s="64"/>
      <c r="Z961" s="64"/>
    </row>
    <row r="962" spans="1:26" s="14" customForma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3"/>
      <c r="S962" s="74"/>
      <c r="Y962" s="64"/>
      <c r="Z962" s="64"/>
    </row>
    <row r="963" spans="1:26" s="14" customForma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3"/>
      <c r="S963" s="74"/>
      <c r="Y963" s="64"/>
      <c r="Z963" s="64"/>
    </row>
    <row r="964" spans="1:26" s="14" customForma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3"/>
      <c r="S964" s="74"/>
      <c r="Y964" s="64"/>
      <c r="Z964" s="64"/>
    </row>
    <row r="965" spans="1:26" s="14" customForma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3"/>
      <c r="S965" s="74"/>
      <c r="Y965" s="64"/>
      <c r="Z965" s="64"/>
    </row>
    <row r="966" spans="1:26" s="14" customForma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3"/>
      <c r="S966" s="74"/>
      <c r="Y966" s="64"/>
      <c r="Z966" s="64"/>
    </row>
    <row r="967" spans="1:26" s="14" customForma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3"/>
      <c r="S967" s="74"/>
      <c r="Y967" s="64"/>
      <c r="Z967" s="64"/>
    </row>
    <row r="968" spans="1:26" s="14" customForma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3"/>
      <c r="S968" s="74"/>
      <c r="Y968" s="64"/>
      <c r="Z968" s="64"/>
    </row>
    <row r="969" spans="1:26" s="14" customForma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3"/>
      <c r="S969" s="74"/>
      <c r="Y969" s="64"/>
      <c r="Z969" s="64"/>
    </row>
    <row r="970" spans="1:26" s="14" customForma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3"/>
      <c r="S970" s="74"/>
      <c r="Y970" s="64"/>
      <c r="Z970" s="64"/>
    </row>
    <row r="971" spans="1:26" s="14" customForma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3"/>
      <c r="S971" s="74"/>
      <c r="Y971" s="64"/>
      <c r="Z971" s="64"/>
    </row>
    <row r="972" spans="1:26" s="14" customForma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3"/>
      <c r="S972" s="74"/>
      <c r="Y972" s="64"/>
      <c r="Z972" s="64"/>
    </row>
    <row r="973" spans="1:26" s="14" customForma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3"/>
      <c r="S973" s="74"/>
      <c r="Y973" s="64"/>
      <c r="Z973" s="64"/>
    </row>
    <row r="974" spans="1:26" s="14" customForma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3"/>
      <c r="S974" s="74"/>
      <c r="Y974" s="64"/>
      <c r="Z974" s="64"/>
    </row>
    <row r="975" spans="1:26" s="14" customForma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3"/>
      <c r="S975" s="74"/>
      <c r="Y975" s="64"/>
      <c r="Z975" s="64"/>
    </row>
    <row r="976" spans="1:26" s="14" customForma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3"/>
      <c r="S976" s="74"/>
      <c r="Y976" s="64"/>
      <c r="Z976" s="64"/>
    </row>
    <row r="977" spans="1:26" s="14" customForma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3"/>
      <c r="S977" s="74"/>
      <c r="Y977" s="64"/>
      <c r="Z977" s="64"/>
    </row>
    <row r="978" spans="1:26" s="14" customForma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3"/>
      <c r="S978" s="74"/>
      <c r="Y978" s="64"/>
      <c r="Z978" s="64"/>
    </row>
    <row r="979" spans="1:26" s="14" customForma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3"/>
      <c r="S979" s="74"/>
      <c r="Y979" s="64"/>
      <c r="Z979" s="64"/>
    </row>
    <row r="980" spans="1:26" s="14" customForma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3"/>
      <c r="S980" s="74"/>
      <c r="Y980" s="64"/>
      <c r="Z980" s="64"/>
    </row>
    <row r="981" spans="1:26" s="14" customForma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3"/>
      <c r="S981" s="74"/>
      <c r="Y981" s="64"/>
      <c r="Z981" s="64"/>
    </row>
    <row r="982" spans="1:26" s="14" customForma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3"/>
      <c r="S982" s="74"/>
      <c r="Y982" s="64"/>
      <c r="Z982" s="64"/>
    </row>
    <row r="983" spans="1:26" s="14" customForma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3"/>
      <c r="S983" s="74"/>
      <c r="Y983" s="64"/>
      <c r="Z983" s="64"/>
    </row>
    <row r="984" spans="1:26" s="14" customForma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3"/>
      <c r="S984" s="74"/>
      <c r="Y984" s="64"/>
      <c r="Z984" s="64"/>
    </row>
    <row r="985" spans="1:26" s="14" customForma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3"/>
      <c r="S985" s="74"/>
      <c r="Y985" s="64"/>
      <c r="Z985" s="64"/>
    </row>
    <row r="986" spans="1:26" s="14" customForma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3"/>
      <c r="S986" s="74"/>
      <c r="Y986" s="64"/>
      <c r="Z986" s="64"/>
    </row>
    <row r="987" spans="1:26" s="14" customForma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3"/>
      <c r="S987" s="74"/>
      <c r="Y987" s="64"/>
      <c r="Z987" s="64"/>
    </row>
    <row r="988" spans="1:26" s="14" customForma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3"/>
      <c r="S988" s="74"/>
      <c r="Y988" s="64"/>
      <c r="Z988" s="64"/>
    </row>
    <row r="989" spans="1:26" s="14" customForma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3"/>
      <c r="S989" s="74"/>
      <c r="Y989" s="64"/>
      <c r="Z989" s="64"/>
    </row>
    <row r="990" spans="1:26" s="14" customForma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3"/>
      <c r="S990" s="74"/>
      <c r="Y990" s="64"/>
      <c r="Z990" s="64"/>
    </row>
    <row r="991" spans="1:26" s="14" customForma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3"/>
      <c r="S991" s="74"/>
      <c r="Y991" s="64"/>
      <c r="Z991" s="64"/>
    </row>
    <row r="992" spans="1:26" s="14" customForma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3"/>
      <c r="S992" s="74"/>
      <c r="Y992" s="64"/>
      <c r="Z992" s="64"/>
    </row>
    <row r="993" spans="1:26" s="14" customForma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3"/>
      <c r="S993" s="74"/>
      <c r="Y993" s="64"/>
      <c r="Z993" s="64"/>
    </row>
    <row r="994" spans="1:26" s="14" customForma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3"/>
      <c r="S994" s="74"/>
      <c r="Y994" s="64"/>
      <c r="Z994" s="64"/>
    </row>
    <row r="995" spans="1:26" s="14" customForma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3"/>
      <c r="S995" s="74"/>
      <c r="Y995" s="64"/>
      <c r="Z995" s="64"/>
    </row>
    <row r="996" spans="1:26" s="14" customForma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3"/>
      <c r="S996" s="74"/>
      <c r="Y996" s="64"/>
      <c r="Z996" s="64"/>
    </row>
    <row r="997" spans="1:26" s="14" customForma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3"/>
      <c r="S997" s="74"/>
      <c r="Y997" s="64"/>
      <c r="Z997" s="64"/>
    </row>
    <row r="998" spans="1:26" s="14" customForma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3"/>
      <c r="S998" s="74"/>
      <c r="Y998" s="64"/>
      <c r="Z998" s="64"/>
    </row>
    <row r="999" spans="1:26" s="14" customForma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3"/>
      <c r="S999" s="74"/>
      <c r="Y999" s="64"/>
      <c r="Z999" s="64"/>
    </row>
    <row r="1000" spans="1:26" s="14" customForma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3"/>
      <c r="S1000" s="74"/>
      <c r="Y1000" s="64"/>
      <c r="Z1000" s="64"/>
    </row>
    <row r="1001" spans="1:26" s="14" customForma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3"/>
      <c r="S1001" s="74"/>
      <c r="Y1001" s="64"/>
      <c r="Z1001" s="64"/>
    </row>
    <row r="1002" spans="1:26" s="14" customForma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3"/>
      <c r="S1002" s="74"/>
      <c r="Y1002" s="64"/>
      <c r="Z1002" s="64"/>
    </row>
    <row r="1003" spans="1:26" s="14" customForma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3"/>
      <c r="S1003" s="74"/>
      <c r="Y1003" s="64"/>
      <c r="Z1003" s="64"/>
    </row>
    <row r="1004" spans="1:26" s="14" customForma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3"/>
      <c r="S1004" s="74"/>
      <c r="Y1004" s="64"/>
      <c r="Z1004" s="64"/>
    </row>
    <row r="1005" spans="1:26" s="14" customForma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3"/>
      <c r="S1005" s="74"/>
      <c r="Y1005" s="64"/>
      <c r="Z1005" s="64"/>
    </row>
    <row r="1006" spans="1:26" s="14" customForma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3"/>
      <c r="S1006" s="74"/>
      <c r="Y1006" s="64"/>
      <c r="Z1006" s="64"/>
    </row>
    <row r="1007" spans="1:26" s="14" customForma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3"/>
      <c r="S1007" s="74"/>
      <c r="Y1007" s="64"/>
      <c r="Z1007" s="64"/>
    </row>
    <row r="1008" spans="1:26" s="14" customForma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3"/>
      <c r="S1008" s="74"/>
      <c r="Y1008" s="64"/>
      <c r="Z1008" s="64"/>
    </row>
    <row r="1009" spans="1:26" s="14" customForma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3"/>
      <c r="S1009" s="74"/>
      <c r="Y1009" s="64"/>
      <c r="Z1009" s="64"/>
    </row>
    <row r="1010" spans="1:26" s="14" customForma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3"/>
      <c r="S1010" s="74"/>
      <c r="Y1010" s="64"/>
      <c r="Z1010" s="64"/>
    </row>
    <row r="1011" spans="1:26" s="14" customForma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3"/>
      <c r="S1011" s="74"/>
      <c r="Y1011" s="64"/>
      <c r="Z1011" s="64"/>
    </row>
    <row r="1012" spans="1:26" s="14" customForma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3"/>
      <c r="S1012" s="74"/>
      <c r="Y1012" s="64"/>
      <c r="Z1012" s="64"/>
    </row>
    <row r="1013" spans="1:26" s="14" customForma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3"/>
      <c r="S1013" s="74"/>
      <c r="Y1013" s="64"/>
      <c r="Z1013" s="64"/>
    </row>
    <row r="1014" spans="1:26" s="14" customForma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3"/>
      <c r="S1014" s="74"/>
      <c r="Y1014" s="64"/>
      <c r="Z1014" s="64"/>
    </row>
    <row r="1015" spans="1:26" s="14" customForma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3"/>
      <c r="S1015" s="74"/>
      <c r="Y1015" s="64"/>
      <c r="Z1015" s="64"/>
    </row>
    <row r="1016" spans="1:26" s="14" customForma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3"/>
      <c r="S1016" s="74"/>
      <c r="Y1016" s="64"/>
      <c r="Z1016" s="64"/>
    </row>
    <row r="1017" spans="1:26" s="14" customForma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3"/>
      <c r="S1017" s="74"/>
      <c r="Y1017" s="64"/>
      <c r="Z1017" s="64"/>
    </row>
    <row r="1018" spans="1:26" s="14" customForma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3"/>
      <c r="S1018" s="74"/>
      <c r="Y1018" s="64"/>
      <c r="Z1018" s="64"/>
    </row>
    <row r="1019" spans="1:26" s="14" customForma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3"/>
      <c r="S1019" s="74"/>
      <c r="Y1019" s="64"/>
      <c r="Z1019" s="64"/>
    </row>
    <row r="1020" spans="1:26" s="14" customForma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3"/>
      <c r="S1020" s="74"/>
      <c r="Y1020" s="64"/>
      <c r="Z1020" s="64"/>
    </row>
    <row r="1021" spans="1:26" s="14" customForma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3"/>
      <c r="S1021" s="74"/>
      <c r="Y1021" s="64"/>
      <c r="Z1021" s="64"/>
    </row>
    <row r="1022" spans="1:26" s="14" customForma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3"/>
      <c r="S1022" s="74"/>
      <c r="Y1022" s="64"/>
      <c r="Z1022" s="64"/>
    </row>
    <row r="1023" spans="1:26" s="14" customForma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3"/>
      <c r="S1023" s="74"/>
      <c r="Y1023" s="64"/>
      <c r="Z1023" s="64"/>
    </row>
    <row r="1024" spans="1:26" s="14" customForma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3"/>
      <c r="S1024" s="74"/>
      <c r="Y1024" s="64"/>
      <c r="Z1024" s="64"/>
    </row>
    <row r="1025" spans="1:26" s="14" customForma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3"/>
      <c r="S1025" s="74"/>
      <c r="Y1025" s="64"/>
      <c r="Z1025" s="64"/>
    </row>
    <row r="1026" spans="1:26" s="14" customForma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3"/>
      <c r="S1026" s="74"/>
      <c r="Y1026" s="64"/>
      <c r="Z1026" s="64"/>
    </row>
    <row r="1027" spans="1:26" s="14" customForma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3"/>
      <c r="S1027" s="74"/>
      <c r="Y1027" s="64"/>
      <c r="Z1027" s="64"/>
    </row>
    <row r="1028" spans="1:26" s="14" customForma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3"/>
      <c r="S1028" s="74"/>
      <c r="Y1028" s="64"/>
      <c r="Z1028" s="64"/>
    </row>
    <row r="1029" spans="1:26" s="14" customForma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3"/>
      <c r="S1029" s="74"/>
      <c r="Y1029" s="64"/>
      <c r="Z1029" s="64"/>
    </row>
    <row r="1030" spans="1:26" s="14" customForma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3"/>
      <c r="S1030" s="74"/>
      <c r="Y1030" s="64"/>
      <c r="Z1030" s="64"/>
    </row>
    <row r="1031" spans="1:26" s="14" customForma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3"/>
      <c r="S1031" s="74"/>
      <c r="Y1031" s="64"/>
      <c r="Z1031" s="64"/>
    </row>
    <row r="1032" spans="1:26" s="14" customForma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3"/>
      <c r="S1032" s="74"/>
      <c r="Y1032" s="64"/>
      <c r="Z1032" s="64"/>
    </row>
    <row r="1033" spans="1:26" s="14" customForma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3"/>
      <c r="S1033" s="74"/>
      <c r="Y1033" s="64"/>
      <c r="Z1033" s="64"/>
    </row>
    <row r="1034" spans="1:26" s="14" customForma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3"/>
      <c r="S1034" s="74"/>
      <c r="Y1034" s="64"/>
      <c r="Z1034" s="64"/>
    </row>
    <row r="1035" spans="1:26" s="14" customForma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3"/>
      <c r="S1035" s="74"/>
      <c r="Y1035" s="64"/>
      <c r="Z1035" s="64"/>
    </row>
    <row r="1036" spans="1:26" s="14" customForma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3"/>
      <c r="S1036" s="74"/>
      <c r="Y1036" s="64"/>
      <c r="Z1036" s="64"/>
    </row>
    <row r="1037" spans="1:26" s="14" customForma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3"/>
      <c r="S1037" s="74"/>
      <c r="Y1037" s="64"/>
      <c r="Z1037" s="64"/>
    </row>
    <row r="1038" spans="1:26" s="14" customForma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3"/>
      <c r="S1038" s="74"/>
      <c r="Y1038" s="64"/>
      <c r="Z1038" s="64"/>
    </row>
    <row r="1039" spans="1:26" s="14" customForma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3"/>
      <c r="S1039" s="74"/>
      <c r="Y1039" s="64"/>
      <c r="Z1039" s="64"/>
    </row>
    <row r="1040" spans="1:26" s="14" customForma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3"/>
      <c r="S1040" s="74"/>
      <c r="Y1040" s="64"/>
      <c r="Z1040" s="64"/>
    </row>
    <row r="1041" spans="1:26" s="14" customForma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3"/>
      <c r="S1041" s="74"/>
      <c r="Y1041" s="64"/>
      <c r="Z1041" s="64"/>
    </row>
    <row r="1042" spans="1:26" s="14" customForma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3"/>
      <c r="S1042" s="74"/>
      <c r="Y1042" s="64"/>
      <c r="Z1042" s="64"/>
    </row>
    <row r="1043" spans="1:26" s="14" customForma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3"/>
      <c r="S1043" s="74"/>
      <c r="Y1043" s="64"/>
      <c r="Z1043" s="64"/>
    </row>
    <row r="1044" spans="1:26" s="14" customForma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3"/>
      <c r="S1044" s="74"/>
      <c r="Y1044" s="64"/>
      <c r="Z1044" s="64"/>
    </row>
    <row r="1045" spans="1:26" s="14" customForma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3"/>
      <c r="S1045" s="74"/>
      <c r="Y1045" s="64"/>
      <c r="Z1045" s="64"/>
    </row>
    <row r="1046" spans="1:26" s="14" customFormat="1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3"/>
      <c r="S1046" s="74"/>
      <c r="Y1046" s="64"/>
      <c r="Z1046" s="64"/>
    </row>
    <row r="1047" spans="1:26" s="14" customFormat="1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3"/>
      <c r="S1047" s="74"/>
      <c r="Y1047" s="64"/>
      <c r="Z1047" s="64"/>
    </row>
    <row r="1048" spans="1:26" s="14" customFormat="1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3"/>
      <c r="S1048" s="74"/>
      <c r="Y1048" s="64"/>
      <c r="Z1048" s="64"/>
    </row>
    <row r="1049" spans="1:26" s="14" customFormat="1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3"/>
      <c r="S1049" s="74"/>
      <c r="Y1049" s="64"/>
      <c r="Z1049" s="64"/>
    </row>
    <row r="1050" spans="1:26" s="14" customFormat="1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3"/>
      <c r="S1050" s="74"/>
      <c r="Y1050" s="64"/>
      <c r="Z1050" s="64"/>
    </row>
    <row r="1051" spans="1:26" s="14" customFormat="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3"/>
      <c r="S1051" s="74"/>
      <c r="Y1051" s="64"/>
      <c r="Z1051" s="64"/>
    </row>
    <row r="1052" spans="1:26" s="14" customFormat="1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3"/>
      <c r="S1052" s="74"/>
      <c r="Y1052" s="64"/>
      <c r="Z1052" s="64"/>
    </row>
    <row r="1053" spans="1:26" s="14" customFormat="1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3"/>
      <c r="S1053" s="74"/>
      <c r="Y1053" s="64"/>
      <c r="Z1053" s="64"/>
    </row>
    <row r="1054" spans="1:26" s="14" customFormat="1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3"/>
      <c r="S1054" s="74"/>
      <c r="Y1054" s="64"/>
      <c r="Z1054" s="64"/>
    </row>
    <row r="1055" spans="1:26" s="14" customFormat="1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3"/>
      <c r="S1055" s="74"/>
      <c r="Y1055" s="64"/>
      <c r="Z1055" s="64"/>
    </row>
    <row r="1056" spans="1:26" s="14" customFormat="1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3"/>
      <c r="S1056" s="74"/>
      <c r="Y1056" s="64"/>
      <c r="Z1056" s="64"/>
    </row>
    <row r="1057" spans="1:26" s="14" customFormat="1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3"/>
      <c r="S1057" s="74"/>
      <c r="Y1057" s="64"/>
      <c r="Z1057" s="64"/>
    </row>
    <row r="1058" spans="1:26" s="14" customFormat="1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3"/>
      <c r="S1058" s="74"/>
      <c r="Y1058" s="64"/>
      <c r="Z1058" s="64"/>
    </row>
    <row r="1059" spans="1:26" s="14" customFormat="1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3"/>
      <c r="S1059" s="74"/>
      <c r="Y1059" s="64"/>
      <c r="Z1059" s="64"/>
    </row>
    <row r="1060" spans="1:26" s="14" customFormat="1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3"/>
      <c r="S1060" s="74"/>
      <c r="Y1060" s="64"/>
      <c r="Z1060" s="64"/>
    </row>
    <row r="1061" spans="1:26" s="14" customFormat="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3"/>
      <c r="S1061" s="74"/>
      <c r="Y1061" s="64"/>
      <c r="Z1061" s="64"/>
    </row>
    <row r="1062" spans="1:26" s="14" customFormat="1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3"/>
      <c r="S1062" s="74"/>
      <c r="Y1062" s="64"/>
      <c r="Z1062" s="64"/>
    </row>
    <row r="1063" spans="1:26" s="14" customFormat="1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3"/>
      <c r="S1063" s="74"/>
      <c r="Y1063" s="64"/>
      <c r="Z1063" s="64"/>
    </row>
    <row r="1064" spans="1:26" s="14" customFormat="1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3"/>
      <c r="S1064" s="74"/>
      <c r="Y1064" s="64"/>
      <c r="Z1064" s="64"/>
    </row>
    <row r="1065" spans="1:26" s="14" customFormat="1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3"/>
      <c r="S1065" s="74"/>
      <c r="Y1065" s="64"/>
      <c r="Z1065" s="64"/>
    </row>
    <row r="1066" spans="1:26" s="14" customFormat="1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3"/>
      <c r="S1066" s="74"/>
      <c r="Y1066" s="64"/>
      <c r="Z1066" s="64"/>
    </row>
    <row r="1067" spans="1:26" s="14" customFormat="1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3"/>
      <c r="S1067" s="74"/>
      <c r="Y1067" s="64"/>
      <c r="Z1067" s="64"/>
    </row>
    <row r="1068" spans="1:26" s="14" customFormat="1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3"/>
      <c r="S1068" s="74"/>
      <c r="Y1068" s="64"/>
      <c r="Z1068" s="64"/>
    </row>
    <row r="1069" spans="1:26" s="14" customFormat="1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3"/>
      <c r="S1069" s="74"/>
      <c r="Y1069" s="64"/>
      <c r="Z1069" s="64"/>
    </row>
    <row r="1070" spans="1:26" s="14" customFormat="1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3"/>
      <c r="S1070" s="74"/>
      <c r="Y1070" s="64"/>
      <c r="Z1070" s="64"/>
    </row>
    <row r="1071" spans="1:26" s="14" customFormat="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3"/>
      <c r="S1071" s="74"/>
      <c r="Y1071" s="64"/>
      <c r="Z1071" s="64"/>
    </row>
    <row r="1072" spans="1:26" s="14" customFormat="1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3"/>
      <c r="S1072" s="74"/>
      <c r="Y1072" s="64"/>
      <c r="Z1072" s="64"/>
    </row>
    <row r="1073" spans="1:26" s="14" customFormat="1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3"/>
      <c r="S1073" s="74"/>
      <c r="Y1073" s="64"/>
      <c r="Z1073" s="64"/>
    </row>
    <row r="1074" spans="1:26" s="14" customFormat="1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3"/>
      <c r="S1074" s="74"/>
      <c r="Y1074" s="64"/>
      <c r="Z1074" s="64"/>
    </row>
    <row r="1075" spans="1:26" s="14" customFormat="1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3"/>
      <c r="S1075" s="74"/>
      <c r="Y1075" s="64"/>
      <c r="Z1075" s="64"/>
    </row>
    <row r="1076" spans="1:26" s="14" customFormat="1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3"/>
      <c r="S1076" s="74"/>
      <c r="Y1076" s="64"/>
      <c r="Z1076" s="64"/>
    </row>
    <row r="1077" spans="1:26" s="14" customFormat="1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3"/>
      <c r="S1077" s="74"/>
      <c r="Y1077" s="64"/>
      <c r="Z1077" s="64"/>
    </row>
    <row r="1078" spans="1:26" s="14" customFormat="1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3"/>
      <c r="S1078" s="74"/>
      <c r="Y1078" s="64"/>
      <c r="Z1078" s="64"/>
    </row>
    <row r="1079" spans="1:26" s="14" customFormat="1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3"/>
      <c r="S1079" s="74"/>
      <c r="Y1079" s="64"/>
      <c r="Z1079" s="64"/>
    </row>
    <row r="1080" spans="1:26" s="14" customFormat="1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3"/>
      <c r="S1080" s="74"/>
      <c r="Y1080" s="64"/>
      <c r="Z1080" s="64"/>
    </row>
    <row r="1081" spans="1:26" s="14" customFormat="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3"/>
      <c r="S1081" s="74"/>
      <c r="Y1081" s="64"/>
      <c r="Z1081" s="64"/>
    </row>
    <row r="1082" spans="1:26" s="14" customFormat="1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3"/>
      <c r="S1082" s="74"/>
      <c r="Y1082" s="64"/>
      <c r="Z1082" s="64"/>
    </row>
    <row r="1083" spans="1:26" s="14" customFormat="1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3"/>
      <c r="S1083" s="74"/>
      <c r="Y1083" s="64"/>
      <c r="Z1083" s="64"/>
    </row>
    <row r="1084" spans="1:26" s="14" customFormat="1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3"/>
      <c r="S1084" s="74"/>
      <c r="Y1084" s="64"/>
      <c r="Z1084" s="64"/>
    </row>
    <row r="1085" spans="1:26" s="14" customFormat="1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3"/>
      <c r="S1085" s="74"/>
      <c r="Y1085" s="64"/>
      <c r="Z1085" s="64"/>
    </row>
    <row r="1086" spans="1:26" s="14" customFormat="1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3"/>
      <c r="S1086" s="74"/>
      <c r="Y1086" s="64"/>
      <c r="Z1086" s="64"/>
    </row>
    <row r="1087" spans="1:26" s="14" customFormat="1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3"/>
      <c r="S1087" s="74"/>
      <c r="Y1087" s="64"/>
      <c r="Z1087" s="64"/>
    </row>
    <row r="1088" spans="1:26" s="14" customFormat="1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3"/>
      <c r="S1088" s="74"/>
      <c r="Y1088" s="64"/>
      <c r="Z1088" s="64"/>
    </row>
    <row r="1089" spans="1:26" s="14" customFormat="1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3"/>
      <c r="S1089" s="74"/>
      <c r="Y1089" s="64"/>
      <c r="Z1089" s="64"/>
    </row>
    <row r="1090" spans="1:26" s="14" customFormat="1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3"/>
      <c r="S1090" s="74"/>
      <c r="Y1090" s="64"/>
      <c r="Z1090" s="64"/>
    </row>
    <row r="1091" spans="1:26" s="14" customFormat="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3"/>
      <c r="S1091" s="74"/>
      <c r="Y1091" s="64"/>
      <c r="Z1091" s="64"/>
    </row>
    <row r="1092" spans="1:26" s="14" customFormat="1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3"/>
      <c r="S1092" s="74"/>
      <c r="Y1092" s="64"/>
      <c r="Z1092" s="64"/>
    </row>
    <row r="1093" spans="1:26" s="14" customFormat="1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3"/>
      <c r="S1093" s="74"/>
      <c r="Y1093" s="64"/>
      <c r="Z1093" s="64"/>
    </row>
    <row r="1094" spans="1:26" s="14" customFormat="1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3"/>
      <c r="S1094" s="74"/>
      <c r="Y1094" s="64"/>
      <c r="Z1094" s="64"/>
    </row>
    <row r="1095" spans="1:26" s="14" customFormat="1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3"/>
      <c r="S1095" s="74"/>
      <c r="Y1095" s="64"/>
      <c r="Z1095" s="64"/>
    </row>
    <row r="1096" spans="1:26" s="14" customFormat="1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3"/>
      <c r="S1096" s="74"/>
      <c r="Y1096" s="64"/>
      <c r="Z1096" s="64"/>
    </row>
    <row r="1097" spans="1:26" s="14" customFormat="1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3"/>
      <c r="S1097" s="74"/>
      <c r="Y1097" s="64"/>
      <c r="Z1097" s="64"/>
    </row>
    <row r="1098" spans="1:26" s="14" customFormat="1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3"/>
      <c r="S1098" s="74"/>
      <c r="Y1098" s="64"/>
      <c r="Z1098" s="64"/>
    </row>
    <row r="1099" spans="1:26" s="14" customFormat="1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3"/>
      <c r="S1099" s="74"/>
      <c r="Y1099" s="64"/>
      <c r="Z1099" s="64"/>
    </row>
    <row r="1100" spans="1:26" s="14" customFormat="1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3"/>
      <c r="S1100" s="74"/>
      <c r="Y1100" s="64"/>
      <c r="Z1100" s="64"/>
    </row>
    <row r="1101" spans="1:26" s="14" customFormat="1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3"/>
      <c r="S1101" s="74"/>
      <c r="Y1101" s="64"/>
      <c r="Z1101" s="64"/>
    </row>
    <row r="1102" spans="1:26" s="14" customFormat="1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3"/>
      <c r="S1102" s="74"/>
      <c r="Y1102" s="64"/>
      <c r="Z1102" s="64"/>
    </row>
    <row r="1103" spans="1:26" s="14" customFormat="1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3"/>
      <c r="S1103" s="74"/>
      <c r="Y1103" s="64"/>
      <c r="Z1103" s="64"/>
    </row>
    <row r="1104" spans="1:26" s="14" customFormat="1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3"/>
      <c r="S1104" s="74"/>
      <c r="Y1104" s="64"/>
      <c r="Z1104" s="64"/>
    </row>
    <row r="1105" spans="1:26" s="14" customFormat="1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3"/>
      <c r="S1105" s="74"/>
      <c r="Y1105" s="64"/>
      <c r="Z1105" s="64"/>
    </row>
    <row r="1106" spans="1:26" s="14" customFormat="1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3"/>
      <c r="S1106" s="74"/>
      <c r="Y1106" s="64"/>
      <c r="Z1106" s="64"/>
    </row>
    <row r="1107" spans="1:26" s="14" customFormat="1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3"/>
      <c r="S1107" s="74"/>
      <c r="Y1107" s="64"/>
      <c r="Z1107" s="64"/>
    </row>
    <row r="1108" spans="1:26" s="14" customFormat="1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3"/>
      <c r="S1108" s="74"/>
      <c r="Y1108" s="64"/>
      <c r="Z1108" s="64"/>
    </row>
    <row r="1109" spans="1:26" s="14" customFormat="1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3"/>
      <c r="S1109" s="74"/>
      <c r="Y1109" s="64"/>
      <c r="Z1109" s="64"/>
    </row>
    <row r="1110" spans="1:26" s="14" customFormat="1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3"/>
      <c r="S1110" s="74"/>
      <c r="Y1110" s="64"/>
      <c r="Z1110" s="64"/>
    </row>
    <row r="1111" spans="1:26" s="14" customFormat="1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3"/>
      <c r="S1111" s="74"/>
      <c r="Y1111" s="64"/>
      <c r="Z1111" s="64"/>
    </row>
    <row r="1112" spans="1:26" s="14" customFormat="1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3"/>
      <c r="S1112" s="74"/>
      <c r="Y1112" s="64"/>
      <c r="Z1112" s="64"/>
    </row>
    <row r="1113" spans="1:26" s="14" customFormat="1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3"/>
      <c r="S1113" s="74"/>
      <c r="Y1113" s="64"/>
      <c r="Z1113" s="64"/>
    </row>
    <row r="1114" spans="1:26" s="14" customFormat="1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3"/>
      <c r="S1114" s="74"/>
      <c r="Y1114" s="64"/>
      <c r="Z1114" s="64"/>
    </row>
    <row r="1115" spans="1:26" s="14" customFormat="1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3"/>
      <c r="S1115" s="74"/>
      <c r="Y1115" s="64"/>
      <c r="Z1115" s="64"/>
    </row>
    <row r="1116" spans="1:26" s="14" customFormat="1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3"/>
      <c r="S1116" s="74"/>
      <c r="Y1116" s="64"/>
      <c r="Z1116" s="64"/>
    </row>
    <row r="1117" spans="1:26" s="14" customFormat="1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3"/>
      <c r="S1117" s="74"/>
      <c r="Y1117" s="64"/>
      <c r="Z1117" s="64"/>
    </row>
    <row r="1118" spans="1:26" s="14" customFormat="1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3"/>
      <c r="S1118" s="74"/>
      <c r="Y1118" s="64"/>
      <c r="Z1118" s="64"/>
    </row>
    <row r="1119" spans="1:26" s="14" customFormat="1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3"/>
      <c r="S1119" s="74"/>
      <c r="Y1119" s="64"/>
      <c r="Z1119" s="64"/>
    </row>
    <row r="1120" spans="1:26" s="14" customFormat="1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3"/>
      <c r="S1120" s="74"/>
      <c r="Y1120" s="64"/>
      <c r="Z1120" s="64"/>
    </row>
    <row r="1121" spans="1:26" s="14" customFormat="1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3"/>
      <c r="S1121" s="74"/>
      <c r="Y1121" s="64"/>
      <c r="Z1121" s="64"/>
    </row>
    <row r="1122" spans="1:26" s="14" customFormat="1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3"/>
      <c r="S1122" s="74"/>
      <c r="Y1122" s="64"/>
      <c r="Z1122" s="64"/>
    </row>
    <row r="1123" spans="1:26" s="14" customFormat="1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3"/>
      <c r="S1123" s="74"/>
      <c r="Y1123" s="64"/>
      <c r="Z1123" s="64"/>
    </row>
    <row r="1124" spans="1:26" s="14" customFormat="1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3"/>
      <c r="S1124" s="74"/>
      <c r="Y1124" s="64"/>
      <c r="Z1124" s="64"/>
    </row>
    <row r="1125" spans="1:26" s="14" customFormat="1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3"/>
      <c r="S1125" s="74"/>
      <c r="Y1125" s="64"/>
      <c r="Z1125" s="64"/>
    </row>
    <row r="1126" spans="1:26" s="14" customFormat="1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3"/>
      <c r="S1126" s="74"/>
      <c r="Y1126" s="64"/>
      <c r="Z1126" s="64"/>
    </row>
    <row r="1127" spans="1:26" s="14" customFormat="1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3"/>
      <c r="S1127" s="74"/>
      <c r="Y1127" s="64"/>
      <c r="Z1127" s="64"/>
    </row>
    <row r="1128" spans="1:26" s="14" customFormat="1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3"/>
      <c r="S1128" s="74"/>
      <c r="Y1128" s="64"/>
      <c r="Z1128" s="64"/>
    </row>
    <row r="1129" spans="1:26" s="14" customFormat="1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3"/>
      <c r="S1129" s="74"/>
      <c r="Y1129" s="64"/>
      <c r="Z1129" s="64"/>
    </row>
    <row r="1130" spans="1:26" s="14" customFormat="1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3"/>
      <c r="S1130" s="74"/>
      <c r="Y1130" s="64"/>
      <c r="Z1130" s="64"/>
    </row>
    <row r="1131" spans="1:26" s="14" customFormat="1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3"/>
      <c r="S1131" s="74"/>
      <c r="Y1131" s="64"/>
      <c r="Z1131" s="64"/>
    </row>
    <row r="1132" spans="1:26" s="14" customFormat="1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3"/>
      <c r="S1132" s="74"/>
      <c r="Y1132" s="64"/>
      <c r="Z1132" s="64"/>
    </row>
    <row r="1133" spans="1:26" s="14" customFormat="1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3"/>
      <c r="S1133" s="74"/>
      <c r="Y1133" s="64"/>
      <c r="Z1133" s="64"/>
    </row>
    <row r="1134" spans="1:26" s="14" customFormat="1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3"/>
      <c r="S1134" s="74"/>
      <c r="Y1134" s="64"/>
      <c r="Z1134" s="64"/>
    </row>
    <row r="1135" spans="1:26" s="14" customFormat="1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3"/>
      <c r="S1135" s="74"/>
      <c r="Y1135" s="64"/>
      <c r="Z1135" s="64"/>
    </row>
    <row r="1136" spans="1:26" s="14" customFormat="1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3"/>
      <c r="S1136" s="74"/>
      <c r="Y1136" s="64"/>
      <c r="Z1136" s="64"/>
    </row>
    <row r="1137" spans="1:26" s="14" customFormat="1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3"/>
      <c r="S1137" s="74"/>
      <c r="Y1137" s="64"/>
      <c r="Z1137" s="64"/>
    </row>
    <row r="1138" spans="1:26" s="14" customFormat="1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3"/>
      <c r="S1138" s="74"/>
      <c r="Y1138" s="64"/>
      <c r="Z1138" s="64"/>
    </row>
    <row r="1139" spans="1:26" s="14" customFormat="1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3"/>
      <c r="S1139" s="74"/>
      <c r="Y1139" s="64"/>
      <c r="Z1139" s="64"/>
    </row>
    <row r="1140" spans="1:26" s="14" customFormat="1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3"/>
      <c r="S1140" s="74"/>
      <c r="Y1140" s="64"/>
      <c r="Z1140" s="64"/>
    </row>
    <row r="1141" spans="1:26" s="14" customFormat="1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3"/>
      <c r="S1141" s="74"/>
      <c r="Y1141" s="64"/>
      <c r="Z1141" s="64"/>
    </row>
    <row r="1142" spans="1:26" s="14" customFormat="1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3"/>
      <c r="S1142" s="74"/>
      <c r="Y1142" s="64"/>
      <c r="Z1142" s="64"/>
    </row>
    <row r="1143" spans="1:26" s="14" customFormat="1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3"/>
      <c r="S1143" s="74"/>
      <c r="Y1143" s="64"/>
      <c r="Z1143" s="64"/>
    </row>
    <row r="1144" spans="1:26" s="14" customFormat="1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3"/>
      <c r="S1144" s="74"/>
      <c r="Y1144" s="64"/>
      <c r="Z1144" s="64"/>
    </row>
    <row r="1145" spans="1:26" s="14" customFormat="1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3"/>
      <c r="S1145" s="74"/>
      <c r="Y1145" s="64"/>
      <c r="Z1145" s="64"/>
    </row>
    <row r="1146" spans="1:26" s="14" customFormat="1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3"/>
      <c r="S1146" s="74"/>
      <c r="Y1146" s="64"/>
      <c r="Z1146" s="64"/>
    </row>
    <row r="1147" spans="1:26" s="14" customFormat="1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3"/>
      <c r="S1147" s="74"/>
      <c r="Y1147" s="64"/>
      <c r="Z1147" s="64"/>
    </row>
    <row r="1148" spans="1:26" s="14" customFormat="1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3"/>
      <c r="S1148" s="74"/>
      <c r="Y1148" s="64"/>
      <c r="Z1148" s="64"/>
    </row>
    <row r="1149" spans="1:26" s="14" customFormat="1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3"/>
      <c r="S1149" s="74"/>
      <c r="Y1149" s="64"/>
      <c r="Z1149" s="64"/>
    </row>
    <row r="1150" spans="1:26" s="14" customFormat="1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3"/>
      <c r="S1150" s="74"/>
      <c r="Y1150" s="64"/>
      <c r="Z1150" s="64"/>
    </row>
    <row r="1151" spans="1:26" s="14" customFormat="1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3"/>
      <c r="S1151" s="74"/>
      <c r="Y1151" s="64"/>
      <c r="Z1151" s="64"/>
    </row>
    <row r="1152" spans="1:26" s="14" customFormat="1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3"/>
      <c r="S1152" s="74"/>
      <c r="Y1152" s="64"/>
      <c r="Z1152" s="64"/>
    </row>
    <row r="1153" spans="1:26" s="14" customFormat="1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3"/>
      <c r="S1153" s="74"/>
      <c r="Y1153" s="64"/>
      <c r="Z1153" s="64"/>
    </row>
    <row r="1154" spans="1:26" s="14" customFormat="1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3"/>
      <c r="S1154" s="74"/>
      <c r="Y1154" s="64"/>
      <c r="Z1154" s="64"/>
    </row>
    <row r="1155" spans="1:26" s="14" customFormat="1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3"/>
      <c r="S1155" s="74"/>
      <c r="Y1155" s="64"/>
      <c r="Z1155" s="64"/>
    </row>
    <row r="1156" spans="1:26" s="14" customFormat="1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3"/>
      <c r="S1156" s="74"/>
      <c r="Y1156" s="64"/>
      <c r="Z1156" s="64"/>
    </row>
    <row r="1157" spans="1:26" s="14" customFormat="1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3"/>
      <c r="S1157" s="74"/>
      <c r="Y1157" s="64"/>
      <c r="Z1157" s="64"/>
    </row>
    <row r="1158" spans="1:26" s="14" customFormat="1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3"/>
      <c r="S1158" s="74"/>
      <c r="Y1158" s="64"/>
      <c r="Z1158" s="64"/>
    </row>
    <row r="1159" spans="1:26" s="14" customFormat="1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3"/>
      <c r="S1159" s="74"/>
      <c r="Y1159" s="64"/>
      <c r="Z1159" s="64"/>
    </row>
    <row r="1160" spans="1:26" s="14" customFormat="1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3"/>
      <c r="S1160" s="74"/>
      <c r="Y1160" s="64"/>
      <c r="Z1160" s="64"/>
    </row>
    <row r="1161" spans="1:26" s="14" customFormat="1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3"/>
      <c r="S1161" s="74"/>
      <c r="Y1161" s="64"/>
      <c r="Z1161" s="64"/>
    </row>
    <row r="1162" spans="1:26" s="14" customFormat="1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3"/>
      <c r="S1162" s="74"/>
      <c r="Y1162" s="64"/>
      <c r="Z1162" s="64"/>
    </row>
    <row r="1163" spans="1:26" s="14" customFormat="1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3"/>
      <c r="S1163" s="74"/>
      <c r="Y1163" s="64"/>
      <c r="Z1163" s="64"/>
    </row>
    <row r="1164" spans="1:26" s="14" customFormat="1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3"/>
      <c r="S1164" s="74"/>
      <c r="Y1164" s="64"/>
      <c r="Z1164" s="64"/>
    </row>
    <row r="1165" spans="1:26" s="14" customFormat="1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3"/>
      <c r="S1165" s="74"/>
      <c r="Y1165" s="64"/>
      <c r="Z1165" s="64"/>
    </row>
    <row r="1166" spans="1:26" s="14" customFormat="1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3"/>
      <c r="S1166" s="74"/>
      <c r="Y1166" s="64"/>
      <c r="Z1166" s="64"/>
    </row>
    <row r="1167" spans="1:26" s="14" customFormat="1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3"/>
      <c r="S1167" s="74"/>
      <c r="Y1167" s="64"/>
      <c r="Z1167" s="64"/>
    </row>
    <row r="1168" spans="1:26" s="14" customFormat="1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3"/>
      <c r="S1168" s="74"/>
      <c r="Y1168" s="64"/>
      <c r="Z1168" s="64"/>
    </row>
    <row r="1169" spans="1:26" s="14" customFormat="1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3"/>
      <c r="S1169" s="74"/>
      <c r="Y1169" s="64"/>
      <c r="Z1169" s="64"/>
    </row>
    <row r="1170" spans="1:26" s="14" customFormat="1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3"/>
      <c r="S1170" s="74"/>
      <c r="Y1170" s="64"/>
      <c r="Z1170" s="64"/>
    </row>
    <row r="1171" spans="1:26" s="14" customFormat="1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3"/>
      <c r="S1171" s="74"/>
      <c r="Y1171" s="64"/>
      <c r="Z1171" s="64"/>
    </row>
    <row r="1172" spans="1:26" s="14" customFormat="1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3"/>
      <c r="S1172" s="74"/>
      <c r="Y1172" s="64"/>
      <c r="Z1172" s="64"/>
    </row>
    <row r="1173" spans="1:26" s="14" customFormat="1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3"/>
      <c r="S1173" s="74"/>
      <c r="Y1173" s="64"/>
      <c r="Z1173" s="64"/>
    </row>
    <row r="1174" spans="1:26" s="14" customFormat="1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3"/>
      <c r="S1174" s="74"/>
      <c r="Y1174" s="64"/>
      <c r="Z1174" s="64"/>
    </row>
    <row r="1175" spans="1:26" s="14" customFormat="1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3"/>
      <c r="S1175" s="74"/>
      <c r="Y1175" s="64"/>
      <c r="Z1175" s="64"/>
    </row>
    <row r="1176" spans="1:26" s="14" customFormat="1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3"/>
      <c r="S1176" s="74"/>
      <c r="Y1176" s="64"/>
      <c r="Z1176" s="64"/>
    </row>
    <row r="1177" spans="1:26" s="14" customFormat="1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3"/>
      <c r="S1177" s="74"/>
      <c r="Y1177" s="64"/>
      <c r="Z1177" s="64"/>
    </row>
    <row r="1178" spans="1:26" s="14" customFormat="1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3"/>
      <c r="S1178" s="74"/>
      <c r="Y1178" s="64"/>
      <c r="Z1178" s="64"/>
    </row>
    <row r="1179" spans="1:26" s="14" customFormat="1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3"/>
      <c r="S1179" s="74"/>
      <c r="Y1179" s="64"/>
      <c r="Z1179" s="64"/>
    </row>
    <row r="1180" spans="1:26" s="14" customFormat="1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3"/>
      <c r="S1180" s="74"/>
      <c r="Y1180" s="64"/>
      <c r="Z1180" s="64"/>
    </row>
    <row r="1181" spans="1:26" s="14" customFormat="1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3"/>
      <c r="S1181" s="74"/>
      <c r="Y1181" s="64"/>
      <c r="Z1181" s="64"/>
    </row>
    <row r="1182" spans="1:26" s="14" customFormat="1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3"/>
      <c r="S1182" s="74"/>
      <c r="Y1182" s="64"/>
      <c r="Z1182" s="64"/>
    </row>
    <row r="1183" spans="1:26" s="14" customFormat="1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3"/>
      <c r="S1183" s="74"/>
      <c r="Y1183" s="64"/>
      <c r="Z1183" s="64"/>
    </row>
    <row r="1184" spans="1:26" s="14" customFormat="1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3"/>
      <c r="S1184" s="74"/>
      <c r="Y1184" s="64"/>
      <c r="Z1184" s="64"/>
    </row>
    <row r="1185" spans="1:26" s="14" customFormat="1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3"/>
      <c r="S1185" s="74"/>
      <c r="Y1185" s="64"/>
      <c r="Z1185" s="64"/>
    </row>
    <row r="1186" spans="1:26" s="14" customFormat="1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3"/>
      <c r="S1186" s="74"/>
      <c r="Y1186" s="64"/>
      <c r="Z1186" s="64"/>
    </row>
    <row r="1187" spans="1:26" s="14" customFormat="1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3"/>
      <c r="S1187" s="74"/>
      <c r="Y1187" s="64"/>
      <c r="Z1187" s="64"/>
    </row>
    <row r="1188" spans="1:26" s="14" customFormat="1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3"/>
      <c r="S1188" s="74"/>
      <c r="Y1188" s="64"/>
      <c r="Z1188" s="64"/>
    </row>
    <row r="1189" spans="1:26" s="14" customFormat="1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3"/>
      <c r="S1189" s="74"/>
      <c r="Y1189" s="64"/>
      <c r="Z1189" s="64"/>
    </row>
    <row r="1190" spans="1:26" s="14" customFormat="1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3"/>
      <c r="S1190" s="74"/>
      <c r="Y1190" s="64"/>
      <c r="Z1190" s="64"/>
    </row>
    <row r="1191" spans="1:26" s="14" customFormat="1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3"/>
      <c r="S1191" s="74"/>
      <c r="Y1191" s="64"/>
      <c r="Z1191" s="64"/>
    </row>
    <row r="1192" spans="1:26" s="14" customFormat="1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3"/>
      <c r="S1192" s="74"/>
      <c r="Y1192" s="64"/>
      <c r="Z1192" s="64"/>
    </row>
    <row r="1193" spans="1:26" s="14" customFormat="1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3"/>
      <c r="S1193" s="74"/>
      <c r="Y1193" s="64"/>
      <c r="Z1193" s="64"/>
    </row>
    <row r="1194" spans="1:26" s="14" customFormat="1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3"/>
      <c r="S1194" s="74"/>
      <c r="Y1194" s="64"/>
      <c r="Z1194" s="64"/>
    </row>
    <row r="1195" spans="1:26" s="14" customFormat="1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3"/>
      <c r="S1195" s="74"/>
      <c r="Y1195" s="64"/>
      <c r="Z1195" s="64"/>
    </row>
    <row r="1196" spans="1:26" s="14" customFormat="1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3"/>
      <c r="S1196" s="74"/>
      <c r="Y1196" s="64"/>
      <c r="Z1196" s="64"/>
    </row>
    <row r="1197" spans="1:26" s="14" customFormat="1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3"/>
      <c r="S1197" s="74"/>
      <c r="Y1197" s="64"/>
      <c r="Z1197" s="64"/>
    </row>
    <row r="1198" spans="1:26" s="14" customFormat="1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3"/>
      <c r="S1198" s="74"/>
      <c r="Y1198" s="64"/>
      <c r="Z1198" s="64"/>
    </row>
    <row r="1199" spans="1:26" s="14" customFormat="1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3"/>
      <c r="S1199" s="74"/>
      <c r="Y1199" s="64"/>
      <c r="Z1199" s="64"/>
    </row>
    <row r="1200" spans="1:26" s="14" customFormat="1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3"/>
      <c r="S1200" s="74"/>
      <c r="Y1200" s="64"/>
      <c r="Z1200" s="64"/>
    </row>
    <row r="1201" spans="1:26" s="14" customFormat="1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3"/>
      <c r="S1201" s="74"/>
      <c r="Y1201" s="64"/>
      <c r="Z1201" s="64"/>
    </row>
    <row r="1202" spans="1:26" s="14" customFormat="1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3"/>
      <c r="S1202" s="74"/>
      <c r="Y1202" s="64"/>
      <c r="Z1202" s="64"/>
    </row>
    <row r="1203" spans="1:26" s="14" customFormat="1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3"/>
      <c r="S1203" s="74"/>
      <c r="Y1203" s="64"/>
      <c r="Z1203" s="64"/>
    </row>
    <row r="1204" spans="1:26" s="14" customFormat="1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3"/>
      <c r="S1204" s="74"/>
      <c r="Y1204" s="64"/>
      <c r="Z1204" s="64"/>
    </row>
    <row r="1205" spans="1:26" s="14" customFormat="1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3"/>
      <c r="S1205" s="74"/>
      <c r="Y1205" s="64"/>
      <c r="Z1205" s="64"/>
    </row>
    <row r="1206" spans="1:26" s="14" customFormat="1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3"/>
      <c r="S1206" s="74"/>
      <c r="Y1206" s="64"/>
      <c r="Z1206" s="64"/>
    </row>
    <row r="1207" spans="1:26" s="14" customFormat="1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3"/>
      <c r="S1207" s="74"/>
      <c r="Y1207" s="64"/>
      <c r="Z1207" s="64"/>
    </row>
    <row r="1208" spans="1:26" s="14" customFormat="1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3"/>
      <c r="S1208" s="74"/>
      <c r="Y1208" s="64"/>
      <c r="Z1208" s="64"/>
    </row>
    <row r="1209" spans="1:26" s="14" customFormat="1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3"/>
      <c r="S1209" s="74"/>
      <c r="Y1209" s="64"/>
      <c r="Z1209" s="64"/>
    </row>
    <row r="1210" spans="1:26" s="14" customFormat="1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3"/>
      <c r="S1210" s="74"/>
      <c r="Y1210" s="64"/>
      <c r="Z1210" s="64"/>
    </row>
    <row r="1211" spans="1:26" s="14" customFormat="1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3"/>
      <c r="S1211" s="74"/>
      <c r="Y1211" s="64"/>
      <c r="Z1211" s="64"/>
    </row>
    <row r="1212" spans="1:26" s="14" customFormat="1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3"/>
      <c r="S1212" s="74"/>
      <c r="Y1212" s="64"/>
      <c r="Z1212" s="64"/>
    </row>
    <row r="1213" spans="1:26" s="14" customFormat="1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3"/>
      <c r="S1213" s="74"/>
      <c r="Y1213" s="64"/>
      <c r="Z1213" s="64"/>
    </row>
    <row r="1214" spans="1:26" s="14" customFormat="1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3"/>
      <c r="S1214" s="74"/>
      <c r="Y1214" s="64"/>
      <c r="Z1214" s="64"/>
    </row>
    <row r="1215" spans="1:26" s="14" customFormat="1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3"/>
      <c r="S1215" s="74"/>
      <c r="Y1215" s="64"/>
      <c r="Z1215" s="64"/>
    </row>
    <row r="1216" spans="1:26" s="14" customFormat="1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3"/>
      <c r="S1216" s="74"/>
      <c r="Y1216" s="64"/>
      <c r="Z1216" s="64"/>
    </row>
    <row r="1217" spans="1:26" s="14" customFormat="1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3"/>
      <c r="S1217" s="74"/>
      <c r="Y1217" s="64"/>
      <c r="Z1217" s="64"/>
    </row>
    <row r="1218" spans="1:26" s="14" customFormat="1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3"/>
      <c r="S1218" s="74"/>
      <c r="Y1218" s="64"/>
      <c r="Z1218" s="64"/>
    </row>
    <row r="1219" spans="1:26" s="14" customFormat="1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3"/>
      <c r="S1219" s="74"/>
      <c r="Y1219" s="64"/>
      <c r="Z1219" s="64"/>
    </row>
    <row r="1220" spans="1:26" s="14" customFormat="1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3"/>
      <c r="S1220" s="74"/>
      <c r="Y1220" s="64"/>
      <c r="Z1220" s="64"/>
    </row>
    <row r="1221" spans="1:26" s="14" customFormat="1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3"/>
      <c r="S1221" s="74"/>
      <c r="Y1221" s="64"/>
      <c r="Z1221" s="64"/>
    </row>
    <row r="1222" spans="1:26" s="14" customFormat="1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3"/>
      <c r="S1222" s="74"/>
      <c r="Y1222" s="64"/>
      <c r="Z1222" s="64"/>
    </row>
    <row r="1223" spans="1:26" s="14" customFormat="1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3"/>
      <c r="S1223" s="74"/>
      <c r="Y1223" s="64"/>
      <c r="Z1223" s="64"/>
    </row>
    <row r="1224" spans="1:26" s="14" customFormat="1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3"/>
      <c r="S1224" s="74"/>
      <c r="Y1224" s="64"/>
      <c r="Z1224" s="64"/>
    </row>
    <row r="1225" spans="1:26" s="14" customFormat="1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3"/>
      <c r="S1225" s="74"/>
      <c r="Y1225" s="64"/>
      <c r="Z1225" s="64"/>
    </row>
    <row r="1226" spans="1:26" s="14" customFormat="1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3"/>
      <c r="S1226" s="74"/>
      <c r="Y1226" s="64"/>
      <c r="Z1226" s="64"/>
    </row>
    <row r="1227" spans="1:26" s="14" customFormat="1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3"/>
      <c r="S1227" s="74"/>
      <c r="Y1227" s="64"/>
      <c r="Z1227" s="64"/>
    </row>
    <row r="1228" spans="1:26" s="14" customFormat="1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3"/>
      <c r="S1228" s="74"/>
      <c r="Y1228" s="64"/>
      <c r="Z1228" s="64"/>
    </row>
    <row r="1229" spans="1:26" s="14" customFormat="1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3"/>
      <c r="S1229" s="74"/>
      <c r="Y1229" s="64"/>
      <c r="Z1229" s="64"/>
    </row>
    <row r="1230" spans="1:26" s="14" customFormat="1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3"/>
      <c r="S1230" s="74"/>
      <c r="Y1230" s="64"/>
      <c r="Z1230" s="64"/>
    </row>
    <row r="1231" spans="1:26" s="14" customFormat="1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3"/>
      <c r="S1231" s="74"/>
      <c r="Y1231" s="64"/>
      <c r="Z1231" s="64"/>
    </row>
    <row r="1232" spans="1:26" s="14" customFormat="1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3"/>
      <c r="S1232" s="74"/>
      <c r="Y1232" s="64"/>
      <c r="Z1232" s="64"/>
    </row>
    <row r="1233" spans="1:26" s="14" customFormat="1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3"/>
      <c r="S1233" s="74"/>
      <c r="Y1233" s="64"/>
      <c r="Z1233" s="64"/>
    </row>
    <row r="1234" spans="1:26" s="14" customFormat="1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3"/>
      <c r="S1234" s="74"/>
      <c r="Y1234" s="64"/>
      <c r="Z1234" s="64"/>
    </row>
    <row r="1235" spans="1:26" s="14" customFormat="1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3"/>
      <c r="S1235" s="74"/>
      <c r="Y1235" s="64"/>
      <c r="Z1235" s="64"/>
    </row>
    <row r="1236" spans="1:26" s="14" customFormat="1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3"/>
      <c r="S1236" s="74"/>
      <c r="Y1236" s="64"/>
      <c r="Z1236" s="64"/>
    </row>
    <row r="1237" spans="1:26" s="14" customFormat="1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3"/>
      <c r="S1237" s="74"/>
      <c r="Y1237" s="64"/>
      <c r="Z1237" s="64"/>
    </row>
    <row r="1238" spans="1:26" s="14" customFormat="1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3"/>
      <c r="S1238" s="74"/>
      <c r="Y1238" s="64"/>
      <c r="Z1238" s="64"/>
    </row>
    <row r="1239" spans="1:26" s="14" customFormat="1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3"/>
      <c r="S1239" s="74"/>
      <c r="Y1239" s="64"/>
      <c r="Z1239" s="64"/>
    </row>
    <row r="1240" spans="1:26" s="14" customFormat="1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3"/>
      <c r="S1240" s="74"/>
      <c r="Y1240" s="64"/>
      <c r="Z1240" s="64"/>
    </row>
    <row r="1241" spans="1:26" s="14" customFormat="1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3"/>
      <c r="S1241" s="74"/>
      <c r="Y1241" s="64"/>
      <c r="Z1241" s="64"/>
    </row>
    <row r="1242" spans="1:26" s="14" customFormat="1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3"/>
      <c r="S1242" s="74"/>
      <c r="Y1242" s="64"/>
      <c r="Z1242" s="64"/>
    </row>
    <row r="1243" spans="1:26" s="14" customFormat="1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3"/>
      <c r="S1243" s="74"/>
      <c r="Y1243" s="64"/>
      <c r="Z1243" s="64"/>
    </row>
    <row r="1244" spans="1:26" s="14" customFormat="1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3"/>
      <c r="S1244" s="74"/>
      <c r="Y1244" s="64"/>
      <c r="Z1244" s="64"/>
    </row>
    <row r="1245" spans="1:26" s="14" customFormat="1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3"/>
      <c r="S1245" s="74"/>
      <c r="Y1245" s="64"/>
      <c r="Z1245" s="64"/>
    </row>
    <row r="1246" spans="1:26" s="14" customFormat="1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3"/>
      <c r="S1246" s="74"/>
      <c r="Y1246" s="64"/>
      <c r="Z1246" s="64"/>
    </row>
    <row r="1247" spans="1:26" s="14" customFormat="1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3"/>
      <c r="S1247" s="74"/>
      <c r="Y1247" s="64"/>
      <c r="Z1247" s="64"/>
    </row>
    <row r="1248" spans="1:26" s="14" customFormat="1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3"/>
      <c r="S1248" s="74"/>
      <c r="Y1248" s="64"/>
      <c r="Z1248" s="64"/>
    </row>
    <row r="1249" spans="1:26" s="14" customFormat="1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3"/>
      <c r="S1249" s="74"/>
      <c r="Y1249" s="64"/>
      <c r="Z1249" s="64"/>
    </row>
    <row r="1250" spans="1:26" s="14" customFormat="1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3"/>
      <c r="S1250" s="74"/>
      <c r="Y1250" s="64"/>
      <c r="Z1250" s="64"/>
    </row>
    <row r="1251" spans="1:26" s="14" customFormat="1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3"/>
      <c r="S1251" s="74"/>
      <c r="Y1251" s="64"/>
      <c r="Z1251" s="64"/>
    </row>
    <row r="1252" spans="1:26" s="14" customFormat="1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3"/>
      <c r="S1252" s="74"/>
      <c r="Y1252" s="64"/>
      <c r="Z1252" s="64"/>
    </row>
    <row r="1253" spans="1:26" s="14" customFormat="1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3"/>
      <c r="S1253" s="74"/>
      <c r="Y1253" s="64"/>
      <c r="Z1253" s="64"/>
    </row>
    <row r="1254" spans="1:26" s="14" customFormat="1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3"/>
      <c r="S1254" s="74"/>
      <c r="Y1254" s="64"/>
      <c r="Z1254" s="64"/>
    </row>
    <row r="1255" spans="1:26" s="14" customFormat="1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3"/>
      <c r="S1255" s="74"/>
      <c r="Y1255" s="64"/>
      <c r="Z1255" s="64"/>
    </row>
    <row r="1256" spans="1:26" s="14" customFormat="1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3"/>
      <c r="S1256" s="74"/>
      <c r="Y1256" s="64"/>
      <c r="Z1256" s="64"/>
    </row>
    <row r="1257" spans="1:26" s="14" customFormat="1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3"/>
      <c r="S1257" s="74"/>
      <c r="Y1257" s="64"/>
      <c r="Z1257" s="64"/>
    </row>
    <row r="1258" spans="1:26" s="14" customFormat="1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3"/>
      <c r="S1258" s="74"/>
      <c r="Y1258" s="64"/>
      <c r="Z1258" s="64"/>
    </row>
    <row r="1259" spans="1:26" s="14" customFormat="1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3"/>
      <c r="S1259" s="74"/>
      <c r="Y1259" s="64"/>
      <c r="Z1259" s="64"/>
    </row>
    <row r="1260" spans="1:26" s="14" customFormat="1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3"/>
      <c r="S1260" s="74"/>
      <c r="Y1260" s="64"/>
      <c r="Z1260" s="64"/>
    </row>
    <row r="1261" spans="1:26" s="14" customFormat="1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3"/>
      <c r="S1261" s="74"/>
      <c r="Y1261" s="64"/>
      <c r="Z1261" s="64"/>
    </row>
    <row r="1262" spans="1:26" s="14" customFormat="1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3"/>
      <c r="S1262" s="74"/>
      <c r="Y1262" s="64"/>
      <c r="Z1262" s="64"/>
    </row>
    <row r="1263" spans="1:26" s="14" customFormat="1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3"/>
      <c r="S1263" s="74"/>
      <c r="Y1263" s="64"/>
      <c r="Z1263" s="64"/>
    </row>
    <row r="1264" spans="1:26" s="14" customFormat="1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3"/>
      <c r="S1264" s="74"/>
      <c r="Y1264" s="64"/>
      <c r="Z1264" s="64"/>
    </row>
    <row r="1265" spans="1:26" s="14" customFormat="1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3"/>
      <c r="S1265" s="74"/>
      <c r="Y1265" s="64"/>
      <c r="Z1265" s="64"/>
    </row>
    <row r="1266" spans="1:26" s="14" customFormat="1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3"/>
      <c r="S1266" s="74"/>
      <c r="Y1266" s="64"/>
      <c r="Z1266" s="64"/>
    </row>
    <row r="1267" spans="1:26" s="14" customFormat="1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3"/>
      <c r="S1267" s="74"/>
      <c r="Y1267" s="64"/>
      <c r="Z1267" s="64"/>
    </row>
    <row r="1268" spans="1:26" s="14" customFormat="1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3"/>
      <c r="S1268" s="74"/>
      <c r="Y1268" s="64"/>
      <c r="Z1268" s="64"/>
    </row>
    <row r="1269" spans="1:26" s="14" customFormat="1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3"/>
      <c r="S1269" s="74"/>
      <c r="Y1269" s="64"/>
      <c r="Z1269" s="64"/>
    </row>
    <row r="1270" spans="1:26" s="14" customFormat="1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3"/>
      <c r="S1270" s="74"/>
      <c r="Y1270" s="64"/>
      <c r="Z1270" s="64"/>
    </row>
    <row r="1271" spans="1:26" s="14" customFormat="1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3"/>
      <c r="S1271" s="74"/>
      <c r="Y1271" s="64"/>
      <c r="Z1271" s="64"/>
    </row>
    <row r="1272" spans="1:26" s="14" customFormat="1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3"/>
      <c r="S1272" s="74"/>
      <c r="Y1272" s="64"/>
      <c r="Z1272" s="64"/>
    </row>
    <row r="1273" spans="1:26" s="14" customFormat="1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3"/>
      <c r="S1273" s="74"/>
      <c r="Y1273" s="64"/>
      <c r="Z1273" s="64"/>
    </row>
    <row r="1274" spans="1:26" s="14" customFormat="1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3"/>
      <c r="S1274" s="74"/>
      <c r="Y1274" s="64"/>
      <c r="Z1274" s="64"/>
    </row>
    <row r="1275" spans="1:26" s="14" customFormat="1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3"/>
      <c r="S1275" s="74"/>
      <c r="Y1275" s="64"/>
      <c r="Z1275" s="64"/>
    </row>
    <row r="1276" spans="1:26" s="14" customFormat="1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3"/>
      <c r="S1276" s="74"/>
      <c r="Y1276" s="64"/>
      <c r="Z1276" s="64"/>
    </row>
    <row r="1277" spans="1:26" s="14" customFormat="1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3"/>
      <c r="S1277" s="74"/>
      <c r="Y1277" s="64"/>
      <c r="Z1277" s="64"/>
    </row>
    <row r="1278" spans="1:26" s="14" customFormat="1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3"/>
      <c r="S1278" s="74"/>
      <c r="Y1278" s="64"/>
      <c r="Z1278" s="64"/>
    </row>
    <row r="1279" spans="1:26" s="14" customFormat="1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3"/>
      <c r="S1279" s="74"/>
      <c r="Y1279" s="64"/>
      <c r="Z1279" s="64"/>
    </row>
    <row r="1280" spans="1:26" s="14" customFormat="1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3"/>
      <c r="S1280" s="74"/>
      <c r="Y1280" s="64"/>
      <c r="Z1280" s="64"/>
    </row>
    <row r="1281" spans="1:26" s="14" customFormat="1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3"/>
      <c r="S1281" s="74"/>
      <c r="Y1281" s="64"/>
      <c r="Z1281" s="64"/>
    </row>
    <row r="1282" spans="1:26" s="14" customFormat="1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3"/>
      <c r="S1282" s="74"/>
      <c r="Y1282" s="64"/>
      <c r="Z1282" s="64"/>
    </row>
    <row r="1283" spans="1:26" s="14" customFormat="1">
      <c r="A1283" s="12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3"/>
      <c r="S1283" s="74"/>
      <c r="Y1283" s="64"/>
      <c r="Z1283" s="64"/>
    </row>
    <row r="1284" spans="1:26" s="14" customFormat="1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3"/>
      <c r="S1284" s="74"/>
      <c r="Y1284" s="64"/>
      <c r="Z1284" s="64"/>
    </row>
    <row r="1285" spans="1:26" s="14" customFormat="1">
      <c r="A1285" s="12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3"/>
      <c r="S1285" s="74"/>
      <c r="Y1285" s="64"/>
      <c r="Z1285" s="64"/>
    </row>
    <row r="1286" spans="1:26" s="14" customFormat="1">
      <c r="A1286" s="12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3"/>
      <c r="S1286" s="74"/>
      <c r="Y1286" s="64"/>
      <c r="Z1286" s="64"/>
    </row>
    <row r="1287" spans="1:26" s="14" customFormat="1">
      <c r="A1287" s="12"/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3"/>
      <c r="S1287" s="74"/>
      <c r="Y1287" s="64"/>
      <c r="Z1287" s="64"/>
    </row>
    <row r="1288" spans="1:26" s="14" customFormat="1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3"/>
      <c r="S1288" s="74"/>
      <c r="Y1288" s="64"/>
      <c r="Z1288" s="64"/>
    </row>
    <row r="1289" spans="1:26" s="14" customFormat="1">
      <c r="A1289" s="12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3"/>
      <c r="S1289" s="74"/>
      <c r="Y1289" s="64"/>
      <c r="Z1289" s="64"/>
    </row>
    <row r="1290" spans="1:26" s="14" customFormat="1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3"/>
      <c r="S1290" s="74"/>
      <c r="Y1290" s="64"/>
      <c r="Z1290" s="64"/>
    </row>
    <row r="1291" spans="1:26" s="14" customFormat="1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3"/>
      <c r="S1291" s="74"/>
      <c r="Y1291" s="64"/>
      <c r="Z1291" s="64"/>
    </row>
    <row r="1292" spans="1:26" s="14" customFormat="1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3"/>
      <c r="S1292" s="74"/>
      <c r="Y1292" s="64"/>
      <c r="Z1292" s="64"/>
    </row>
    <row r="1293" spans="1:26" s="14" customFormat="1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3"/>
      <c r="S1293" s="74"/>
      <c r="Y1293" s="64"/>
      <c r="Z1293" s="64"/>
    </row>
    <row r="1294" spans="1:26" s="14" customFormat="1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3"/>
      <c r="S1294" s="74"/>
      <c r="Y1294" s="64"/>
      <c r="Z1294" s="64"/>
    </row>
    <row r="1295" spans="1:26" s="14" customFormat="1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3"/>
      <c r="S1295" s="74"/>
      <c r="Y1295" s="64"/>
      <c r="Z1295" s="64"/>
    </row>
    <row r="1296" spans="1:26" s="14" customFormat="1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3"/>
      <c r="S1296" s="74"/>
      <c r="Y1296" s="64"/>
      <c r="Z1296" s="64"/>
    </row>
    <row r="1297" spans="1:26" s="14" customFormat="1">
      <c r="A1297" s="12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3"/>
      <c r="S1297" s="74"/>
      <c r="Y1297" s="64"/>
      <c r="Z1297" s="64"/>
    </row>
    <row r="1298" spans="1:26" s="14" customFormat="1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3"/>
      <c r="S1298" s="74"/>
      <c r="Y1298" s="64"/>
      <c r="Z1298" s="64"/>
    </row>
    <row r="1299" spans="1:26" s="14" customFormat="1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3"/>
      <c r="S1299" s="74"/>
      <c r="Y1299" s="64"/>
      <c r="Z1299" s="64"/>
    </row>
    <row r="1300" spans="1:26" s="14" customFormat="1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3"/>
      <c r="S1300" s="74"/>
      <c r="Y1300" s="64"/>
      <c r="Z1300" s="64"/>
    </row>
    <row r="1301" spans="1:26" s="14" customFormat="1">
      <c r="A1301" s="12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3"/>
      <c r="S1301" s="74"/>
      <c r="Y1301" s="64"/>
      <c r="Z1301" s="64"/>
    </row>
    <row r="1302" spans="1:26" s="14" customFormat="1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3"/>
      <c r="S1302" s="74"/>
      <c r="Y1302" s="64"/>
      <c r="Z1302" s="64"/>
    </row>
    <row r="1303" spans="1:26" s="14" customFormat="1">
      <c r="A1303" s="12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3"/>
      <c r="S1303" s="74"/>
      <c r="Y1303" s="64"/>
      <c r="Z1303" s="64"/>
    </row>
    <row r="1304" spans="1:26" s="14" customFormat="1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3"/>
      <c r="S1304" s="74"/>
      <c r="Y1304" s="64"/>
      <c r="Z1304" s="64"/>
    </row>
    <row r="1305" spans="1:26" s="14" customFormat="1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3"/>
      <c r="S1305" s="74"/>
      <c r="Y1305" s="64"/>
      <c r="Z1305" s="64"/>
    </row>
    <row r="1306" spans="1:26" s="14" customFormat="1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3"/>
      <c r="S1306" s="74"/>
      <c r="Y1306" s="64"/>
      <c r="Z1306" s="64"/>
    </row>
    <row r="1307" spans="1:26" s="14" customFormat="1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3"/>
      <c r="S1307" s="74"/>
      <c r="Y1307" s="64"/>
      <c r="Z1307" s="64"/>
    </row>
    <row r="1308" spans="1:26" s="14" customFormat="1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3"/>
      <c r="S1308" s="74"/>
      <c r="Y1308" s="64"/>
      <c r="Z1308" s="64"/>
    </row>
    <row r="1309" spans="1:26" s="14" customFormat="1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3"/>
      <c r="S1309" s="74"/>
      <c r="Y1309" s="64"/>
      <c r="Z1309" s="64"/>
    </row>
    <row r="1310" spans="1:26" s="14" customFormat="1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3"/>
      <c r="S1310" s="74"/>
      <c r="Y1310" s="64"/>
      <c r="Z1310" s="64"/>
    </row>
    <row r="1311" spans="1:26" s="14" customFormat="1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3"/>
      <c r="S1311" s="74"/>
      <c r="Y1311" s="64"/>
      <c r="Z1311" s="64"/>
    </row>
    <row r="1312" spans="1:26" s="14" customFormat="1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3"/>
      <c r="S1312" s="74"/>
      <c r="Y1312" s="64"/>
      <c r="Z1312" s="64"/>
    </row>
    <row r="1313" spans="1:26" s="14" customFormat="1">
      <c r="A1313" s="12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3"/>
      <c r="S1313" s="74"/>
      <c r="Y1313" s="64"/>
      <c r="Z1313" s="64"/>
    </row>
    <row r="1314" spans="1:26" s="14" customFormat="1">
      <c r="A1314" s="12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3"/>
      <c r="S1314" s="74"/>
      <c r="Y1314" s="64"/>
      <c r="Z1314" s="64"/>
    </row>
    <row r="1315" spans="1:26" s="14" customFormat="1">
      <c r="A1315" s="12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3"/>
      <c r="S1315" s="74"/>
      <c r="Y1315" s="64"/>
      <c r="Z1315" s="64"/>
    </row>
    <row r="1316" spans="1:26" s="14" customFormat="1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3"/>
      <c r="S1316" s="74"/>
      <c r="Y1316" s="64"/>
      <c r="Z1316" s="64"/>
    </row>
    <row r="1317" spans="1:26" s="14" customFormat="1">
      <c r="A1317" s="12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3"/>
      <c r="S1317" s="74"/>
      <c r="Y1317" s="64"/>
      <c r="Z1317" s="64"/>
    </row>
    <row r="1318" spans="1:26" s="14" customFormat="1">
      <c r="A1318" s="12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3"/>
      <c r="S1318" s="74"/>
      <c r="Y1318" s="64"/>
      <c r="Z1318" s="64"/>
    </row>
    <row r="1319" spans="1:26" s="14" customFormat="1">
      <c r="A1319" s="12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3"/>
      <c r="S1319" s="74"/>
      <c r="Y1319" s="64"/>
      <c r="Z1319" s="64"/>
    </row>
    <row r="1320" spans="1:26" s="14" customFormat="1">
      <c r="A1320" s="12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3"/>
      <c r="S1320" s="74"/>
      <c r="Y1320" s="64"/>
      <c r="Z1320" s="64"/>
    </row>
    <row r="1321" spans="1:26" s="14" customFormat="1">
      <c r="A1321" s="12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3"/>
      <c r="S1321" s="74"/>
      <c r="Y1321" s="64"/>
      <c r="Z1321" s="64"/>
    </row>
    <row r="1322" spans="1:26" s="14" customFormat="1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3"/>
      <c r="S1322" s="74"/>
      <c r="Y1322" s="64"/>
      <c r="Z1322" s="64"/>
    </row>
    <row r="1323" spans="1:26" s="14" customFormat="1">
      <c r="A1323" s="12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3"/>
      <c r="S1323" s="74"/>
      <c r="Y1323" s="64"/>
      <c r="Z1323" s="64"/>
    </row>
    <row r="1324" spans="1:26" s="14" customFormat="1">
      <c r="A1324" s="12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3"/>
      <c r="S1324" s="74"/>
      <c r="Y1324" s="64"/>
      <c r="Z1324" s="64"/>
    </row>
    <row r="1325" spans="1:26" s="14" customFormat="1">
      <c r="A1325" s="12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3"/>
      <c r="S1325" s="74"/>
      <c r="Y1325" s="64"/>
      <c r="Z1325" s="64"/>
    </row>
    <row r="1326" spans="1:26" s="14" customFormat="1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3"/>
      <c r="S1326" s="74"/>
      <c r="Y1326" s="64"/>
      <c r="Z1326" s="64"/>
    </row>
    <row r="1327" spans="1:26" s="14" customFormat="1">
      <c r="A1327" s="12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3"/>
      <c r="S1327" s="74"/>
      <c r="Y1327" s="64"/>
      <c r="Z1327" s="64"/>
    </row>
    <row r="1328" spans="1:26" s="14" customFormat="1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3"/>
      <c r="S1328" s="74"/>
      <c r="Y1328" s="64"/>
      <c r="Z1328" s="64"/>
    </row>
    <row r="1329" spans="1:26" s="14" customFormat="1">
      <c r="A1329" s="12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3"/>
      <c r="S1329" s="74"/>
      <c r="Y1329" s="64"/>
      <c r="Z1329" s="64"/>
    </row>
    <row r="1330" spans="1:26" s="14" customFormat="1">
      <c r="A1330" s="12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3"/>
      <c r="S1330" s="74"/>
      <c r="Y1330" s="64"/>
      <c r="Z1330" s="64"/>
    </row>
    <row r="1331" spans="1:26" s="14" customFormat="1">
      <c r="A1331" s="12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3"/>
      <c r="S1331" s="74"/>
      <c r="Y1331" s="64"/>
      <c r="Z1331" s="64"/>
    </row>
    <row r="1332" spans="1:26" s="14" customFormat="1">
      <c r="A1332" s="12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3"/>
      <c r="S1332" s="74"/>
      <c r="Y1332" s="64"/>
      <c r="Z1332" s="64"/>
    </row>
    <row r="1333" spans="1:26" s="14" customFormat="1">
      <c r="A1333" s="12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3"/>
      <c r="S1333" s="74"/>
      <c r="Y1333" s="64"/>
      <c r="Z1333" s="64"/>
    </row>
    <row r="1334" spans="1:26" s="14" customFormat="1">
      <c r="A1334" s="12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3"/>
      <c r="S1334" s="74"/>
      <c r="Y1334" s="64"/>
      <c r="Z1334" s="64"/>
    </row>
    <row r="1335" spans="1:26" s="14" customFormat="1">
      <c r="A1335" s="12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3"/>
      <c r="S1335" s="74"/>
      <c r="Y1335" s="64"/>
      <c r="Z1335" s="64"/>
    </row>
    <row r="1336" spans="1:26" s="14" customFormat="1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3"/>
      <c r="S1336" s="74"/>
      <c r="Y1336" s="64"/>
      <c r="Z1336" s="64"/>
    </row>
    <row r="1337" spans="1:26" s="14" customFormat="1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3"/>
      <c r="S1337" s="74"/>
      <c r="Y1337" s="64"/>
      <c r="Z1337" s="64"/>
    </row>
    <row r="1338" spans="1:26" s="14" customFormat="1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3"/>
      <c r="S1338" s="74"/>
      <c r="Y1338" s="64"/>
      <c r="Z1338" s="64"/>
    </row>
    <row r="1339" spans="1:26" s="14" customFormat="1">
      <c r="A1339" s="12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3"/>
      <c r="S1339" s="74"/>
      <c r="Y1339" s="64"/>
      <c r="Z1339" s="64"/>
    </row>
    <row r="1340" spans="1:26" s="14" customFormat="1">
      <c r="A1340" s="12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3"/>
      <c r="S1340" s="74"/>
      <c r="Y1340" s="64"/>
      <c r="Z1340" s="64"/>
    </row>
    <row r="1341" spans="1:26" s="14" customFormat="1">
      <c r="A1341" s="12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3"/>
      <c r="S1341" s="74"/>
      <c r="Y1341" s="64"/>
      <c r="Z1341" s="64"/>
    </row>
    <row r="1342" spans="1:26" s="14" customFormat="1">
      <c r="A1342" s="12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3"/>
      <c r="S1342" s="74"/>
      <c r="Y1342" s="64"/>
      <c r="Z1342" s="64"/>
    </row>
    <row r="1343" spans="1:26" s="14" customFormat="1">
      <c r="A1343" s="12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3"/>
      <c r="S1343" s="74"/>
      <c r="Y1343" s="64"/>
      <c r="Z1343" s="64"/>
    </row>
    <row r="1344" spans="1:26" s="14" customFormat="1">
      <c r="A1344" s="12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3"/>
      <c r="S1344" s="74"/>
      <c r="Y1344" s="64"/>
      <c r="Z1344" s="64"/>
    </row>
    <row r="1345" spans="1:26" s="14" customFormat="1">
      <c r="A1345" s="12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3"/>
      <c r="S1345" s="74"/>
      <c r="Y1345" s="64"/>
      <c r="Z1345" s="64"/>
    </row>
    <row r="1346" spans="1:26" s="14" customFormat="1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3"/>
      <c r="S1346" s="74"/>
      <c r="Y1346" s="64"/>
      <c r="Z1346" s="64"/>
    </row>
    <row r="1347" spans="1:26" s="14" customFormat="1">
      <c r="A1347" s="12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3"/>
      <c r="S1347" s="74"/>
      <c r="Y1347" s="64"/>
      <c r="Z1347" s="64"/>
    </row>
    <row r="1348" spans="1:26" s="14" customFormat="1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3"/>
      <c r="S1348" s="74"/>
      <c r="Y1348" s="64"/>
      <c r="Z1348" s="64"/>
    </row>
    <row r="1349" spans="1:26" s="14" customFormat="1">
      <c r="A1349" s="12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3"/>
      <c r="S1349" s="74"/>
      <c r="Y1349" s="64"/>
      <c r="Z1349" s="64"/>
    </row>
    <row r="1350" spans="1:26" s="14" customFormat="1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3"/>
      <c r="S1350" s="74"/>
      <c r="Y1350" s="64"/>
      <c r="Z1350" s="64"/>
    </row>
    <row r="1351" spans="1:26" s="14" customFormat="1">
      <c r="A1351" s="12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3"/>
      <c r="S1351" s="74"/>
      <c r="Y1351" s="64"/>
      <c r="Z1351" s="64"/>
    </row>
    <row r="1352" spans="1:26" s="14" customFormat="1">
      <c r="A1352" s="12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3"/>
      <c r="S1352" s="74"/>
      <c r="Y1352" s="64"/>
      <c r="Z1352" s="64"/>
    </row>
    <row r="1353" spans="1:26" s="14" customFormat="1">
      <c r="A1353" s="12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3"/>
      <c r="S1353" s="74"/>
      <c r="Y1353" s="64"/>
      <c r="Z1353" s="64"/>
    </row>
    <row r="1354" spans="1:26" s="14" customFormat="1">
      <c r="A1354" s="12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3"/>
      <c r="S1354" s="74"/>
      <c r="Y1354" s="64"/>
      <c r="Z1354" s="64"/>
    </row>
    <row r="1355" spans="1:26" s="14" customFormat="1">
      <c r="A1355" s="12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3"/>
      <c r="S1355" s="74"/>
      <c r="Y1355" s="64"/>
      <c r="Z1355" s="64"/>
    </row>
    <row r="1356" spans="1:26" s="14" customFormat="1">
      <c r="A1356" s="12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3"/>
      <c r="S1356" s="74"/>
      <c r="Y1356" s="64"/>
      <c r="Z1356" s="64"/>
    </row>
    <row r="1357" spans="1:26" s="14" customFormat="1">
      <c r="A1357" s="12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3"/>
      <c r="S1357" s="74"/>
      <c r="Y1357" s="64"/>
      <c r="Z1357" s="64"/>
    </row>
    <row r="1358" spans="1:26" s="14" customFormat="1">
      <c r="A1358" s="12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3"/>
      <c r="S1358" s="74"/>
      <c r="Y1358" s="64"/>
      <c r="Z1358" s="64"/>
    </row>
    <row r="1359" spans="1:26" s="14" customFormat="1">
      <c r="A1359" s="12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3"/>
      <c r="S1359" s="74"/>
      <c r="Y1359" s="64"/>
      <c r="Z1359" s="64"/>
    </row>
    <row r="1360" spans="1:26" s="14" customFormat="1">
      <c r="A1360" s="12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3"/>
      <c r="S1360" s="74"/>
      <c r="Y1360" s="64"/>
      <c r="Z1360" s="64"/>
    </row>
    <row r="1361" spans="1:26" s="14" customFormat="1">
      <c r="A1361" s="12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3"/>
      <c r="S1361" s="74"/>
      <c r="Y1361" s="64"/>
      <c r="Z1361" s="64"/>
    </row>
    <row r="1362" spans="1:26" s="14" customFormat="1">
      <c r="A1362" s="12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3"/>
      <c r="S1362" s="74"/>
      <c r="Y1362" s="64"/>
      <c r="Z1362" s="64"/>
    </row>
    <row r="1363" spans="1:26" s="14" customFormat="1">
      <c r="A1363" s="12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3"/>
      <c r="S1363" s="74"/>
      <c r="Y1363" s="64"/>
      <c r="Z1363" s="64"/>
    </row>
    <row r="1364" spans="1:26" s="14" customFormat="1">
      <c r="A1364" s="12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3"/>
      <c r="S1364" s="74"/>
      <c r="Y1364" s="64"/>
      <c r="Z1364" s="64"/>
    </row>
    <row r="1365" spans="1:26" s="14" customFormat="1">
      <c r="A1365" s="12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3"/>
      <c r="S1365" s="74"/>
      <c r="Y1365" s="64"/>
      <c r="Z1365" s="64"/>
    </row>
    <row r="1366" spans="1:26" s="14" customFormat="1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3"/>
      <c r="S1366" s="74"/>
      <c r="Y1366" s="64"/>
      <c r="Z1366" s="64"/>
    </row>
    <row r="1367" spans="1:26" s="14" customFormat="1">
      <c r="A1367" s="12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3"/>
      <c r="S1367" s="74"/>
      <c r="Y1367" s="64"/>
      <c r="Z1367" s="64"/>
    </row>
    <row r="1368" spans="1:26" s="14" customFormat="1">
      <c r="A1368" s="12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3"/>
      <c r="S1368" s="74"/>
      <c r="Y1368" s="64"/>
      <c r="Z1368" s="64"/>
    </row>
    <row r="1369" spans="1:26" s="14" customFormat="1">
      <c r="A1369" s="12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3"/>
      <c r="S1369" s="74"/>
      <c r="Y1369" s="64"/>
      <c r="Z1369" s="64"/>
    </row>
    <row r="1370" spans="1:26" s="14" customFormat="1">
      <c r="A1370" s="12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3"/>
      <c r="S1370" s="74"/>
      <c r="Y1370" s="64"/>
      <c r="Z1370" s="64"/>
    </row>
    <row r="1371" spans="1:26" s="14" customFormat="1">
      <c r="A1371" s="12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3"/>
      <c r="S1371" s="74"/>
      <c r="Y1371" s="64"/>
      <c r="Z1371" s="64"/>
    </row>
    <row r="1372" spans="1:26" s="14" customFormat="1">
      <c r="A1372" s="12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3"/>
      <c r="S1372" s="74"/>
      <c r="Y1372" s="64"/>
      <c r="Z1372" s="64"/>
    </row>
    <row r="1373" spans="1:26" s="14" customFormat="1">
      <c r="A1373" s="12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3"/>
      <c r="S1373" s="74"/>
      <c r="Y1373" s="64"/>
      <c r="Z1373" s="64"/>
    </row>
    <row r="1374" spans="1:26" s="14" customFormat="1">
      <c r="A1374" s="12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3"/>
      <c r="S1374" s="74"/>
      <c r="Y1374" s="64"/>
      <c r="Z1374" s="64"/>
    </row>
    <row r="1375" spans="1:26" s="14" customFormat="1">
      <c r="A1375" s="12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3"/>
      <c r="S1375" s="74"/>
      <c r="Y1375" s="64"/>
      <c r="Z1375" s="64"/>
    </row>
    <row r="1376" spans="1:26" s="14" customFormat="1">
      <c r="A1376" s="12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3"/>
      <c r="S1376" s="74"/>
      <c r="Y1376" s="64"/>
      <c r="Z1376" s="64"/>
    </row>
    <row r="1377" spans="1:26" s="14" customFormat="1">
      <c r="A1377" s="12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3"/>
      <c r="S1377" s="74"/>
      <c r="Y1377" s="64"/>
      <c r="Z1377" s="64"/>
    </row>
    <row r="1378" spans="1:26" s="14" customFormat="1">
      <c r="A1378" s="12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3"/>
      <c r="S1378" s="74"/>
      <c r="Y1378" s="64"/>
      <c r="Z1378" s="64"/>
    </row>
    <row r="1379" spans="1:26" s="14" customFormat="1">
      <c r="A1379" s="12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3"/>
      <c r="S1379" s="74"/>
      <c r="Y1379" s="64"/>
      <c r="Z1379" s="64"/>
    </row>
    <row r="1380" spans="1:26" s="14" customFormat="1">
      <c r="A1380" s="12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3"/>
      <c r="S1380" s="74"/>
      <c r="Y1380" s="64"/>
      <c r="Z1380" s="64"/>
    </row>
    <row r="1381" spans="1:26" s="14" customFormat="1">
      <c r="A1381" s="12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3"/>
      <c r="S1381" s="74"/>
      <c r="Y1381" s="64"/>
      <c r="Z1381" s="64"/>
    </row>
    <row r="1382" spans="1:26" s="14" customFormat="1">
      <c r="A1382" s="12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3"/>
      <c r="S1382" s="74"/>
      <c r="Y1382" s="64"/>
      <c r="Z1382" s="64"/>
    </row>
    <row r="1383" spans="1:26" s="14" customFormat="1">
      <c r="A1383" s="12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3"/>
      <c r="S1383" s="74"/>
      <c r="Y1383" s="64"/>
      <c r="Z1383" s="64"/>
    </row>
    <row r="1384" spans="1:26" s="14" customFormat="1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3"/>
      <c r="S1384" s="74"/>
      <c r="Y1384" s="64"/>
      <c r="Z1384" s="64"/>
    </row>
    <row r="1385" spans="1:26" s="14" customFormat="1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3"/>
      <c r="S1385" s="74"/>
      <c r="Y1385" s="64"/>
      <c r="Z1385" s="64"/>
    </row>
    <row r="1386" spans="1:26" s="14" customFormat="1">
      <c r="A1386" s="12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3"/>
      <c r="S1386" s="74"/>
      <c r="Y1386" s="64"/>
      <c r="Z1386" s="64"/>
    </row>
    <row r="1387" spans="1:26" s="14" customFormat="1">
      <c r="A1387" s="12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3"/>
      <c r="S1387" s="74"/>
      <c r="Y1387" s="64"/>
      <c r="Z1387" s="64"/>
    </row>
    <row r="1388" spans="1:26" s="14" customFormat="1">
      <c r="A1388" s="12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3"/>
      <c r="S1388" s="74"/>
      <c r="Y1388" s="64"/>
      <c r="Z1388" s="64"/>
    </row>
    <row r="1389" spans="1:26" s="14" customFormat="1">
      <c r="A1389" s="12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3"/>
      <c r="S1389" s="74"/>
      <c r="Y1389" s="64"/>
      <c r="Z1389" s="64"/>
    </row>
    <row r="1390" spans="1:26" s="14" customFormat="1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3"/>
      <c r="S1390" s="74"/>
      <c r="Y1390" s="64"/>
      <c r="Z1390" s="64"/>
    </row>
    <row r="1391" spans="1:26" s="14" customFormat="1">
      <c r="A1391" s="12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3"/>
      <c r="S1391" s="74"/>
      <c r="Y1391" s="64"/>
      <c r="Z1391" s="64"/>
    </row>
    <row r="1392" spans="1:26" s="14" customFormat="1">
      <c r="A1392" s="12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3"/>
      <c r="S1392" s="74"/>
      <c r="Y1392" s="64"/>
      <c r="Z1392" s="64"/>
    </row>
    <row r="1393" spans="1:26" s="14" customFormat="1">
      <c r="A1393" s="12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3"/>
      <c r="S1393" s="74"/>
      <c r="Y1393" s="64"/>
      <c r="Z1393" s="64"/>
    </row>
    <row r="1394" spans="1:26" s="14" customFormat="1">
      <c r="A1394" s="12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3"/>
      <c r="S1394" s="74"/>
      <c r="Y1394" s="64"/>
      <c r="Z1394" s="64"/>
    </row>
    <row r="1395" spans="1:26" s="14" customFormat="1">
      <c r="A1395" s="12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3"/>
      <c r="S1395" s="74"/>
      <c r="Y1395" s="64"/>
      <c r="Z1395" s="64"/>
    </row>
    <row r="1396" spans="1:26" s="14" customFormat="1">
      <c r="A1396" s="12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3"/>
      <c r="S1396" s="74"/>
      <c r="Y1396" s="64"/>
      <c r="Z1396" s="64"/>
    </row>
    <row r="1397" spans="1:26" s="14" customFormat="1">
      <c r="A1397" s="12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3"/>
      <c r="S1397" s="74"/>
      <c r="Y1397" s="64"/>
      <c r="Z1397" s="64"/>
    </row>
    <row r="1398" spans="1:26" s="14" customFormat="1">
      <c r="A1398" s="12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3"/>
      <c r="S1398" s="74"/>
      <c r="Y1398" s="64"/>
      <c r="Z1398" s="64"/>
    </row>
    <row r="1399" spans="1:26" s="14" customFormat="1">
      <c r="A1399" s="12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3"/>
      <c r="S1399" s="74"/>
      <c r="Y1399" s="64"/>
      <c r="Z1399" s="64"/>
    </row>
    <row r="1400" spans="1:26" s="14" customFormat="1">
      <c r="A1400" s="12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3"/>
      <c r="S1400" s="74"/>
      <c r="Y1400" s="64"/>
      <c r="Z1400" s="64"/>
    </row>
    <row r="1401" spans="1:26" s="14" customFormat="1">
      <c r="A1401" s="12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3"/>
      <c r="S1401" s="74"/>
      <c r="Y1401" s="64"/>
      <c r="Z1401" s="64"/>
    </row>
    <row r="1402" spans="1:26" s="14" customFormat="1">
      <c r="A1402" s="12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3"/>
      <c r="S1402" s="74"/>
      <c r="Y1402" s="64"/>
      <c r="Z1402" s="64"/>
    </row>
    <row r="1403" spans="1:26" s="14" customFormat="1">
      <c r="A1403" s="12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3"/>
      <c r="S1403" s="74"/>
      <c r="Y1403" s="64"/>
      <c r="Z1403" s="64"/>
    </row>
    <row r="1404" spans="1:26" s="14" customFormat="1">
      <c r="A1404" s="12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3"/>
      <c r="S1404" s="74"/>
      <c r="Y1404" s="64"/>
      <c r="Z1404" s="64"/>
    </row>
    <row r="1405" spans="1:26" s="14" customFormat="1">
      <c r="A1405" s="12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3"/>
      <c r="S1405" s="74"/>
      <c r="Y1405" s="64"/>
      <c r="Z1405" s="64"/>
    </row>
    <row r="1406" spans="1:26" s="14" customFormat="1">
      <c r="A1406" s="12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3"/>
      <c r="S1406" s="74"/>
      <c r="Y1406" s="64"/>
      <c r="Z1406" s="64"/>
    </row>
    <row r="1407" spans="1:26" s="14" customFormat="1">
      <c r="A1407" s="12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3"/>
      <c r="S1407" s="74"/>
      <c r="Y1407" s="64"/>
      <c r="Z1407" s="64"/>
    </row>
    <row r="1408" spans="1:26" s="14" customFormat="1">
      <c r="A1408" s="12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3"/>
      <c r="S1408" s="74"/>
      <c r="Y1408" s="64"/>
      <c r="Z1408" s="64"/>
    </row>
    <row r="1409" spans="1:26" s="14" customFormat="1">
      <c r="A1409" s="12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3"/>
      <c r="S1409" s="74"/>
      <c r="Y1409" s="64"/>
      <c r="Z1409" s="64"/>
    </row>
    <row r="1410" spans="1:26" s="14" customFormat="1">
      <c r="A1410" s="12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3"/>
      <c r="S1410" s="74"/>
      <c r="Y1410" s="64"/>
      <c r="Z1410" s="64"/>
    </row>
    <row r="1411" spans="1:26" s="14" customFormat="1">
      <c r="A1411" s="12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3"/>
      <c r="S1411" s="74"/>
      <c r="Y1411" s="64"/>
      <c r="Z1411" s="64"/>
    </row>
    <row r="1412" spans="1:26" s="14" customFormat="1">
      <c r="A1412" s="12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3"/>
      <c r="S1412" s="74"/>
      <c r="Y1412" s="64"/>
      <c r="Z1412" s="64"/>
    </row>
    <row r="1413" spans="1:26" s="14" customFormat="1">
      <c r="A1413" s="12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3"/>
      <c r="S1413" s="74"/>
      <c r="Y1413" s="64"/>
      <c r="Z1413" s="64"/>
    </row>
    <row r="1414" spans="1:26" s="14" customFormat="1">
      <c r="A1414" s="12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3"/>
      <c r="S1414" s="74"/>
      <c r="Y1414" s="64"/>
      <c r="Z1414" s="64"/>
    </row>
    <row r="1415" spans="1:26" s="14" customFormat="1">
      <c r="A1415" s="12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3"/>
      <c r="S1415" s="74"/>
      <c r="Y1415" s="64"/>
      <c r="Z1415" s="64"/>
    </row>
    <row r="1416" spans="1:26" s="14" customFormat="1">
      <c r="A1416" s="12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3"/>
      <c r="S1416" s="74"/>
      <c r="Y1416" s="64"/>
      <c r="Z1416" s="64"/>
    </row>
    <row r="1417" spans="1:26" s="14" customFormat="1">
      <c r="A1417" s="12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3"/>
      <c r="S1417" s="74"/>
      <c r="Y1417" s="64"/>
      <c r="Z1417" s="64"/>
    </row>
    <row r="1418" spans="1:26" s="14" customFormat="1">
      <c r="A1418" s="12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3"/>
      <c r="S1418" s="74"/>
      <c r="Y1418" s="64"/>
      <c r="Z1418" s="64"/>
    </row>
    <row r="1419" spans="1:26" s="14" customFormat="1">
      <c r="A1419" s="12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3"/>
      <c r="S1419" s="74"/>
      <c r="Y1419" s="64"/>
      <c r="Z1419" s="64"/>
    </row>
    <row r="1420" spans="1:26" s="14" customFormat="1">
      <c r="A1420" s="12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3"/>
      <c r="S1420" s="74"/>
      <c r="Y1420" s="64"/>
      <c r="Z1420" s="64"/>
    </row>
    <row r="1421" spans="1:26" s="14" customFormat="1">
      <c r="A1421" s="12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3"/>
      <c r="S1421" s="74"/>
      <c r="Y1421" s="64"/>
      <c r="Z1421" s="64"/>
    </row>
    <row r="1422" spans="1:26" s="14" customFormat="1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3"/>
      <c r="S1422" s="74"/>
      <c r="Y1422" s="64"/>
      <c r="Z1422" s="64"/>
    </row>
    <row r="1423" spans="1:26" s="14" customFormat="1">
      <c r="A1423" s="12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3"/>
      <c r="S1423" s="74"/>
      <c r="Y1423" s="64"/>
      <c r="Z1423" s="64"/>
    </row>
    <row r="1424" spans="1:26" s="14" customFormat="1">
      <c r="A1424" s="12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3"/>
      <c r="S1424" s="74"/>
      <c r="Y1424" s="64"/>
      <c r="Z1424" s="64"/>
    </row>
    <row r="1425" spans="1:26" s="14" customFormat="1">
      <c r="A1425" s="12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3"/>
      <c r="S1425" s="74"/>
      <c r="Y1425" s="64"/>
      <c r="Z1425" s="64"/>
    </row>
    <row r="1426" spans="1:26" s="14" customFormat="1">
      <c r="A1426" s="12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3"/>
      <c r="S1426" s="74"/>
      <c r="Y1426" s="64"/>
      <c r="Z1426" s="64"/>
    </row>
    <row r="1427" spans="1:26" s="14" customFormat="1">
      <c r="A1427" s="12"/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3"/>
      <c r="S1427" s="74"/>
      <c r="Y1427" s="64"/>
      <c r="Z1427" s="64"/>
    </row>
    <row r="1428" spans="1:26" s="14" customFormat="1">
      <c r="A1428" s="12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3"/>
      <c r="S1428" s="74"/>
      <c r="Y1428" s="64"/>
      <c r="Z1428" s="64"/>
    </row>
    <row r="1429" spans="1:26" s="14" customFormat="1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3"/>
      <c r="S1429" s="74"/>
      <c r="Y1429" s="64"/>
      <c r="Z1429" s="64"/>
    </row>
    <row r="1430" spans="1:26" s="14" customFormat="1">
      <c r="A1430" s="12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3"/>
      <c r="S1430" s="74"/>
      <c r="Y1430" s="64"/>
      <c r="Z1430" s="64"/>
    </row>
    <row r="1431" spans="1:26" s="14" customFormat="1">
      <c r="A1431" s="12"/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3"/>
      <c r="S1431" s="74"/>
      <c r="Y1431" s="64"/>
      <c r="Z1431" s="64"/>
    </row>
    <row r="1432" spans="1:26" s="14" customFormat="1">
      <c r="A1432" s="12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3"/>
      <c r="S1432" s="74"/>
      <c r="Y1432" s="64"/>
      <c r="Z1432" s="64"/>
    </row>
    <row r="1433" spans="1:26" s="14" customFormat="1">
      <c r="A1433" s="12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3"/>
      <c r="S1433" s="74"/>
      <c r="Y1433" s="64"/>
      <c r="Z1433" s="64"/>
    </row>
    <row r="1434" spans="1:26" s="14" customFormat="1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3"/>
      <c r="S1434" s="74"/>
      <c r="Y1434" s="64"/>
      <c r="Z1434" s="64"/>
    </row>
    <row r="1435" spans="1:26" s="14" customFormat="1">
      <c r="A1435" s="12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3"/>
      <c r="S1435" s="74"/>
      <c r="Y1435" s="64"/>
      <c r="Z1435" s="64"/>
    </row>
    <row r="1436" spans="1:26" s="14" customFormat="1">
      <c r="A1436" s="12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3"/>
      <c r="S1436" s="74"/>
      <c r="Y1436" s="64"/>
      <c r="Z1436" s="64"/>
    </row>
    <row r="1437" spans="1:26" s="14" customFormat="1">
      <c r="A1437" s="12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3"/>
      <c r="S1437" s="74"/>
      <c r="Y1437" s="64"/>
      <c r="Z1437" s="64"/>
    </row>
    <row r="1438" spans="1:26" s="14" customFormat="1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3"/>
      <c r="S1438" s="74"/>
      <c r="Y1438" s="64"/>
      <c r="Z1438" s="64"/>
    </row>
    <row r="1439" spans="1:26" s="14" customFormat="1">
      <c r="A1439" s="12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3"/>
      <c r="S1439" s="74"/>
      <c r="Y1439" s="64"/>
      <c r="Z1439" s="64"/>
    </row>
    <row r="1440" spans="1:26" s="14" customFormat="1">
      <c r="A1440" s="12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3"/>
      <c r="S1440" s="74"/>
      <c r="Y1440" s="64"/>
      <c r="Z1440" s="64"/>
    </row>
    <row r="1441" spans="1:26" s="14" customFormat="1">
      <c r="A1441" s="12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3"/>
      <c r="S1441" s="74"/>
      <c r="Y1441" s="64"/>
      <c r="Z1441" s="64"/>
    </row>
    <row r="1442" spans="1:26" s="14" customFormat="1">
      <c r="A1442" s="12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3"/>
      <c r="S1442" s="74"/>
      <c r="Y1442" s="64"/>
      <c r="Z1442" s="64"/>
    </row>
    <row r="1443" spans="1:26" s="14" customFormat="1">
      <c r="A1443" s="12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3"/>
      <c r="S1443" s="74"/>
      <c r="Y1443" s="64"/>
      <c r="Z1443" s="64"/>
    </row>
    <row r="1444" spans="1:26" s="14" customFormat="1">
      <c r="A1444" s="1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3"/>
      <c r="S1444" s="74"/>
      <c r="Y1444" s="64"/>
      <c r="Z1444" s="64"/>
    </row>
    <row r="1445" spans="1:26" s="14" customFormat="1">
      <c r="A1445" s="12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3"/>
      <c r="S1445" s="74"/>
      <c r="Y1445" s="64"/>
      <c r="Z1445" s="64"/>
    </row>
    <row r="1446" spans="1:26" s="14" customFormat="1">
      <c r="A1446" s="1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3"/>
      <c r="S1446" s="74"/>
      <c r="Y1446" s="64"/>
      <c r="Z1446" s="64"/>
    </row>
    <row r="1447" spans="1:26" s="14" customFormat="1">
      <c r="A1447" s="1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3"/>
      <c r="S1447" s="74"/>
      <c r="Y1447" s="64"/>
      <c r="Z1447" s="64"/>
    </row>
    <row r="1448" spans="1:26" s="14" customFormat="1">
      <c r="A1448" s="1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3"/>
      <c r="S1448" s="74"/>
      <c r="Y1448" s="64"/>
      <c r="Z1448" s="64"/>
    </row>
    <row r="1449" spans="1:26" s="14" customFormat="1">
      <c r="A1449" s="1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3"/>
      <c r="S1449" s="74"/>
      <c r="Y1449" s="64"/>
      <c r="Z1449" s="64"/>
    </row>
    <row r="1450" spans="1:26" s="14" customFormat="1">
      <c r="A1450" s="12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3"/>
      <c r="S1450" s="74"/>
      <c r="Y1450" s="64"/>
      <c r="Z1450" s="64"/>
    </row>
    <row r="1451" spans="1:26" s="14" customFormat="1">
      <c r="A1451" s="12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3"/>
      <c r="S1451" s="74"/>
      <c r="Y1451" s="64"/>
      <c r="Z1451" s="64"/>
    </row>
    <row r="1452" spans="1:26" s="14" customFormat="1">
      <c r="A1452" s="1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3"/>
      <c r="S1452" s="74"/>
      <c r="Y1452" s="64"/>
      <c r="Z1452" s="64"/>
    </row>
    <row r="1453" spans="1:26" s="14" customFormat="1">
      <c r="A1453" s="12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3"/>
      <c r="S1453" s="74"/>
      <c r="Y1453" s="64"/>
      <c r="Z1453" s="64"/>
    </row>
    <row r="1454" spans="1:26" s="14" customFormat="1">
      <c r="A1454" s="1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3"/>
      <c r="S1454" s="74"/>
      <c r="Y1454" s="64"/>
      <c r="Z1454" s="64"/>
    </row>
    <row r="1455" spans="1:26" s="14" customFormat="1">
      <c r="A1455" s="12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3"/>
      <c r="S1455" s="74"/>
      <c r="Y1455" s="64"/>
      <c r="Z1455" s="64"/>
    </row>
    <row r="1456" spans="1:26" s="14" customFormat="1">
      <c r="A1456" s="1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3"/>
      <c r="S1456" s="74"/>
      <c r="Y1456" s="64"/>
      <c r="Z1456" s="64"/>
    </row>
    <row r="1457" spans="1:26" s="14" customFormat="1">
      <c r="A1457" s="12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3"/>
      <c r="S1457" s="74"/>
      <c r="Y1457" s="64"/>
      <c r="Z1457" s="64"/>
    </row>
    <row r="1458" spans="1:26" s="14" customFormat="1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3"/>
      <c r="S1458" s="74"/>
      <c r="Y1458" s="64"/>
      <c r="Z1458" s="64"/>
    </row>
    <row r="1459" spans="1:26" s="14" customFormat="1">
      <c r="A1459" s="12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3"/>
      <c r="S1459" s="74"/>
      <c r="Y1459" s="64"/>
      <c r="Z1459" s="64"/>
    </row>
    <row r="1460" spans="1:26" s="14" customFormat="1">
      <c r="A1460" s="12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3"/>
      <c r="S1460" s="74"/>
      <c r="Y1460" s="64"/>
      <c r="Z1460" s="64"/>
    </row>
    <row r="1461" spans="1:26" s="14" customFormat="1">
      <c r="A1461" s="12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3"/>
      <c r="S1461" s="74"/>
      <c r="Y1461" s="64"/>
      <c r="Z1461" s="64"/>
    </row>
    <row r="1462" spans="1:26" s="14" customFormat="1">
      <c r="A1462" s="12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3"/>
      <c r="S1462" s="74"/>
      <c r="Y1462" s="64"/>
      <c r="Z1462" s="64"/>
    </row>
    <row r="1463" spans="1:26" s="14" customFormat="1">
      <c r="A1463" s="12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3"/>
      <c r="S1463" s="74"/>
      <c r="Y1463" s="64"/>
      <c r="Z1463" s="64"/>
    </row>
    <row r="1464" spans="1:26" s="14" customFormat="1">
      <c r="A1464" s="12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3"/>
      <c r="S1464" s="74"/>
      <c r="Y1464" s="64"/>
      <c r="Z1464" s="64"/>
    </row>
    <row r="1465" spans="1:26" s="14" customFormat="1">
      <c r="A1465" s="12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3"/>
      <c r="S1465" s="74"/>
      <c r="Y1465" s="64"/>
      <c r="Z1465" s="64"/>
    </row>
    <row r="1466" spans="1:26" s="14" customFormat="1">
      <c r="A1466" s="12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3"/>
      <c r="S1466" s="74"/>
      <c r="Y1466" s="64"/>
      <c r="Z1466" s="64"/>
    </row>
    <row r="1467" spans="1:26" s="14" customFormat="1">
      <c r="A1467" s="12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3"/>
      <c r="S1467" s="74"/>
      <c r="Y1467" s="64"/>
      <c r="Z1467" s="64"/>
    </row>
    <row r="1468" spans="1:26" s="14" customFormat="1">
      <c r="A1468" s="12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3"/>
      <c r="S1468" s="74"/>
      <c r="Y1468" s="64"/>
      <c r="Z1468" s="64"/>
    </row>
    <row r="1469" spans="1:26" s="14" customFormat="1">
      <c r="A1469" s="12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3"/>
      <c r="S1469" s="74"/>
      <c r="Y1469" s="64"/>
      <c r="Z1469" s="64"/>
    </row>
    <row r="1470" spans="1:26" s="14" customFormat="1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3"/>
      <c r="S1470" s="74"/>
      <c r="Y1470" s="64"/>
      <c r="Z1470" s="64"/>
    </row>
    <row r="1471" spans="1:26" s="14" customFormat="1">
      <c r="A1471" s="12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3"/>
      <c r="S1471" s="74"/>
      <c r="Y1471" s="64"/>
      <c r="Z1471" s="64"/>
    </row>
    <row r="1472" spans="1:26" s="14" customFormat="1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3"/>
      <c r="S1472" s="74"/>
      <c r="Y1472" s="64"/>
      <c r="Z1472" s="64"/>
    </row>
    <row r="1473" spans="1:26" s="14" customFormat="1">
      <c r="A1473" s="12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3"/>
      <c r="S1473" s="74"/>
      <c r="Y1473" s="64"/>
      <c r="Z1473" s="64"/>
    </row>
    <row r="1474" spans="1:26" s="14" customFormat="1">
      <c r="A1474" s="12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3"/>
      <c r="S1474" s="74"/>
      <c r="Y1474" s="64"/>
      <c r="Z1474" s="64"/>
    </row>
    <row r="1475" spans="1:26" s="14" customFormat="1">
      <c r="A1475" s="12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3"/>
      <c r="S1475" s="74"/>
      <c r="Y1475" s="64"/>
      <c r="Z1475" s="64"/>
    </row>
    <row r="1476" spans="1:26" s="14" customFormat="1">
      <c r="A1476" s="12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3"/>
      <c r="S1476" s="74"/>
      <c r="Y1476" s="64"/>
      <c r="Z1476" s="64"/>
    </row>
    <row r="1477" spans="1:26" s="14" customFormat="1">
      <c r="A1477" s="12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3"/>
      <c r="S1477" s="74"/>
      <c r="Y1477" s="64"/>
      <c r="Z1477" s="64"/>
    </row>
    <row r="1478" spans="1:26" s="14" customFormat="1">
      <c r="A1478" s="1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3"/>
      <c r="S1478" s="74"/>
      <c r="Y1478" s="64"/>
      <c r="Z1478" s="64"/>
    </row>
    <row r="1479" spans="1:26" s="14" customFormat="1">
      <c r="A1479" s="1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3"/>
      <c r="S1479" s="74"/>
      <c r="Y1479" s="64"/>
      <c r="Z1479" s="64"/>
    </row>
    <row r="1480" spans="1:26" s="14" customFormat="1">
      <c r="A1480" s="1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3"/>
      <c r="S1480" s="74"/>
      <c r="Y1480" s="64"/>
      <c r="Z1480" s="64"/>
    </row>
    <row r="1481" spans="1:26" s="14" customFormat="1">
      <c r="A1481" s="12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3"/>
      <c r="S1481" s="74"/>
      <c r="Y1481" s="64"/>
      <c r="Z1481" s="64"/>
    </row>
    <row r="1482" spans="1:26" s="14" customFormat="1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3"/>
      <c r="S1482" s="74"/>
      <c r="Y1482" s="64"/>
      <c r="Z1482" s="64"/>
    </row>
    <row r="1483" spans="1:26" s="14" customFormat="1">
      <c r="A1483" s="12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3"/>
      <c r="S1483" s="74"/>
      <c r="Y1483" s="64"/>
      <c r="Z1483" s="64"/>
    </row>
    <row r="1484" spans="1:26" s="14" customFormat="1">
      <c r="A1484" s="1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3"/>
      <c r="S1484" s="74"/>
      <c r="Y1484" s="64"/>
      <c r="Z1484" s="64"/>
    </row>
    <row r="1485" spans="1:26" s="14" customFormat="1">
      <c r="A1485" s="1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3"/>
      <c r="S1485" s="74"/>
      <c r="Y1485" s="64"/>
      <c r="Z1485" s="64"/>
    </row>
    <row r="1486" spans="1:26" s="14" customFormat="1">
      <c r="A1486" s="1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3"/>
      <c r="S1486" s="74"/>
      <c r="Y1486" s="64"/>
      <c r="Z1486" s="64"/>
    </row>
    <row r="1487" spans="1:26" s="14" customFormat="1">
      <c r="A1487" s="12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3"/>
      <c r="S1487" s="74"/>
      <c r="Y1487" s="64"/>
      <c r="Z1487" s="64"/>
    </row>
    <row r="1488" spans="1:26" s="14" customFormat="1">
      <c r="A1488" s="12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3"/>
      <c r="S1488" s="74"/>
      <c r="Y1488" s="64"/>
      <c r="Z1488" s="64"/>
    </row>
    <row r="1489" spans="1:26" s="14" customFormat="1">
      <c r="A1489" s="12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3"/>
      <c r="S1489" s="74"/>
      <c r="Y1489" s="64"/>
      <c r="Z1489" s="64"/>
    </row>
    <row r="1490" spans="1:26" s="14" customFormat="1">
      <c r="A1490" s="12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3"/>
      <c r="S1490" s="74"/>
      <c r="Y1490" s="64"/>
      <c r="Z1490" s="64"/>
    </row>
    <row r="1491" spans="1:26" s="14" customFormat="1">
      <c r="A1491" s="12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3"/>
      <c r="S1491" s="74"/>
      <c r="Y1491" s="64"/>
      <c r="Z1491" s="64"/>
    </row>
  </sheetData>
  <mergeCells count="2">
    <mergeCell ref="C3:P3"/>
    <mergeCell ref="D5:E5"/>
  </mergeCells>
  <pageMargins left="0.7" right="0.7" top="0.75" bottom="0.75" header="0.3" footer="0.3"/>
  <pageSetup scale="4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B1:Y69"/>
  <sheetViews>
    <sheetView showGridLines="0" view="pageBreakPreview" zoomScale="60" zoomScaleNormal="80" workbookViewId="0">
      <selection activeCell="A52" sqref="A52:XFD54"/>
    </sheetView>
  </sheetViews>
  <sheetFormatPr defaultRowHeight="15"/>
  <cols>
    <col min="1" max="1" width="2.85546875" style="92" customWidth="1"/>
    <col min="2" max="2" width="3.85546875" style="92" customWidth="1"/>
    <col min="3" max="3" width="57" style="92" bestFit="1" customWidth="1"/>
    <col min="4" max="4" width="28.28515625" style="92" customWidth="1"/>
    <col min="5" max="5" width="13.28515625" style="92" bestFit="1" customWidth="1"/>
    <col min="6" max="18" width="9.140625" style="92"/>
    <col min="19" max="19" width="9.85546875" style="92" customWidth="1"/>
    <col min="20" max="22" width="9.140625" style="92"/>
    <col min="23" max="23" width="47" style="92" bestFit="1" customWidth="1"/>
    <col min="24" max="24" width="9.85546875" style="92" bestFit="1" customWidth="1"/>
    <col min="25" max="16384" width="9.140625" style="92"/>
  </cols>
  <sheetData>
    <row r="1" spans="2:25" ht="15.75" customHeight="1" thickBot="1"/>
    <row r="2" spans="2:25" ht="15" customHeight="1">
      <c r="B2" s="19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1"/>
    </row>
    <row r="3" spans="2:25" ht="20.25" customHeight="1">
      <c r="B3" s="199"/>
      <c r="C3" s="200" t="s">
        <v>41</v>
      </c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122"/>
    </row>
    <row r="4" spans="2:25" ht="15.75" customHeight="1">
      <c r="B4" s="199"/>
      <c r="C4" s="202" t="s">
        <v>201</v>
      </c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2"/>
    </row>
    <row r="5" spans="2:25" ht="18" customHeight="1">
      <c r="B5" s="199"/>
      <c r="C5" s="203" t="s">
        <v>202</v>
      </c>
      <c r="D5" s="204" t="s">
        <v>214</v>
      </c>
      <c r="E5" s="204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2"/>
    </row>
    <row r="6" spans="2:25" ht="15" customHeight="1">
      <c r="B6" s="19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2"/>
      <c r="W6" s="141"/>
      <c r="X6" s="141"/>
      <c r="Y6" s="141"/>
    </row>
    <row r="7" spans="2:25" ht="32.25" customHeight="1">
      <c r="B7" s="199"/>
      <c r="C7" s="169" t="s">
        <v>0</v>
      </c>
      <c r="D7" s="170" t="s">
        <v>77</v>
      </c>
      <c r="E7" s="169" t="s">
        <v>2</v>
      </c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2"/>
      <c r="W7" s="141" t="s">
        <v>31</v>
      </c>
      <c r="X7" s="141" t="s">
        <v>2</v>
      </c>
      <c r="Y7" s="141"/>
    </row>
    <row r="8" spans="2:25" ht="15" customHeight="1">
      <c r="B8" s="199"/>
      <c r="C8" s="83" t="s">
        <v>45</v>
      </c>
      <c r="D8" s="85" t="s">
        <v>4</v>
      </c>
      <c r="E8" s="185">
        <v>4.0648999999999998E-2</v>
      </c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2"/>
      <c r="W8" s="205" t="s">
        <v>4</v>
      </c>
      <c r="X8" s="206">
        <v>0.14862199999999998</v>
      </c>
      <c r="Y8" s="141"/>
    </row>
    <row r="9" spans="2:25" ht="15.75" customHeight="1">
      <c r="B9" s="199"/>
      <c r="C9" s="83" t="s">
        <v>48</v>
      </c>
      <c r="D9" s="85" t="s">
        <v>7</v>
      </c>
      <c r="E9" s="185">
        <v>3.0889E-2</v>
      </c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2"/>
      <c r="W9" s="205" t="s">
        <v>12</v>
      </c>
      <c r="X9" s="206">
        <v>8.1076000000000009E-2</v>
      </c>
      <c r="Y9" s="141"/>
    </row>
    <row r="10" spans="2:25" ht="15" customHeight="1">
      <c r="B10" s="199"/>
      <c r="C10" s="83" t="s">
        <v>44</v>
      </c>
      <c r="D10" s="85" t="s">
        <v>12</v>
      </c>
      <c r="E10" s="185">
        <v>3.0630000000000001E-2</v>
      </c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2"/>
      <c r="W10" s="205" t="s">
        <v>5</v>
      </c>
      <c r="X10" s="206">
        <v>7.8851000000000004E-2</v>
      </c>
      <c r="Y10" s="141"/>
    </row>
    <row r="11" spans="2:25" ht="15" customHeight="1">
      <c r="B11" s="199"/>
      <c r="C11" s="83" t="s">
        <v>49</v>
      </c>
      <c r="D11" s="85" t="s">
        <v>4</v>
      </c>
      <c r="E11" s="185">
        <v>2.6041000000000002E-2</v>
      </c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2"/>
      <c r="W11" s="205" t="s">
        <v>8</v>
      </c>
      <c r="X11" s="206">
        <v>7.8532999999999992E-2</v>
      </c>
      <c r="Y11" s="141"/>
    </row>
    <row r="12" spans="2:25" ht="15" customHeight="1">
      <c r="B12" s="199"/>
      <c r="C12" s="83" t="s">
        <v>134</v>
      </c>
      <c r="D12" s="85" t="s">
        <v>8</v>
      </c>
      <c r="E12" s="185">
        <v>1.6220999999999999E-2</v>
      </c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2"/>
      <c r="W12" s="205" t="s">
        <v>17</v>
      </c>
      <c r="X12" s="206">
        <v>5.3506000000000005E-2</v>
      </c>
      <c r="Y12" s="141"/>
    </row>
    <row r="13" spans="2:25" ht="15" customHeight="1">
      <c r="B13" s="199"/>
      <c r="C13" s="83" t="s">
        <v>132</v>
      </c>
      <c r="D13" s="85" t="s">
        <v>18</v>
      </c>
      <c r="E13" s="185">
        <v>1.5873999999999999E-2</v>
      </c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2"/>
      <c r="W13" s="205" t="s">
        <v>9</v>
      </c>
      <c r="X13" s="206">
        <v>4.8869000000000003E-2</v>
      </c>
      <c r="Y13" s="141"/>
    </row>
    <row r="14" spans="2:25" ht="15.75" customHeight="1">
      <c r="B14" s="199"/>
      <c r="C14" s="83" t="s">
        <v>47</v>
      </c>
      <c r="D14" s="85" t="s">
        <v>8</v>
      </c>
      <c r="E14" s="185">
        <v>1.5739E-2</v>
      </c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  <c r="T14" s="122"/>
      <c r="W14" s="205" t="s">
        <v>7</v>
      </c>
      <c r="X14" s="206">
        <v>4.0614999999999998E-2</v>
      </c>
      <c r="Y14" s="141"/>
    </row>
    <row r="15" spans="2:25" ht="15.75">
      <c r="B15" s="199"/>
      <c r="C15" s="83" t="s">
        <v>183</v>
      </c>
      <c r="D15" s="85" t="s">
        <v>9</v>
      </c>
      <c r="E15" s="185">
        <v>1.489E-2</v>
      </c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2"/>
      <c r="W15" s="205" t="s">
        <v>10</v>
      </c>
      <c r="X15" s="206">
        <v>3.2111000000000001E-2</v>
      </c>
      <c r="Y15" s="141"/>
    </row>
    <row r="16" spans="2:25" ht="15.75" customHeight="1">
      <c r="B16" s="199"/>
      <c r="C16" s="83" t="s">
        <v>189</v>
      </c>
      <c r="D16" s="85" t="s">
        <v>12</v>
      </c>
      <c r="E16" s="185">
        <v>1.3665E-2</v>
      </c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2"/>
      <c r="W16" s="205" t="s">
        <v>18</v>
      </c>
      <c r="X16" s="206">
        <v>2.9915999999999998E-2</v>
      </c>
      <c r="Y16" s="141"/>
    </row>
    <row r="17" spans="2:25" ht="15" customHeight="1">
      <c r="B17" s="199"/>
      <c r="C17" s="83" t="s">
        <v>51</v>
      </c>
      <c r="D17" s="85" t="s">
        <v>10</v>
      </c>
      <c r="E17" s="185">
        <v>1.3464000000000002E-2</v>
      </c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2"/>
      <c r="W17" s="205" t="s">
        <v>23</v>
      </c>
      <c r="X17" s="206">
        <v>1.9049999999999997E-2</v>
      </c>
      <c r="Y17" s="141"/>
    </row>
    <row r="18" spans="2:25" ht="15" customHeight="1">
      <c r="B18" s="199"/>
      <c r="C18" s="83" t="s">
        <v>124</v>
      </c>
      <c r="D18" s="85" t="s">
        <v>17</v>
      </c>
      <c r="E18" s="185">
        <v>1.3202E-2</v>
      </c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2"/>
      <c r="W18" s="205" t="s">
        <v>33</v>
      </c>
      <c r="X18" s="206">
        <v>1.6375000000000001E-2</v>
      </c>
      <c r="Y18" s="141"/>
    </row>
    <row r="19" spans="2:25" ht="15" customHeight="1">
      <c r="B19" s="199"/>
      <c r="C19" s="83" t="s">
        <v>145</v>
      </c>
      <c r="D19" s="85" t="s">
        <v>8</v>
      </c>
      <c r="E19" s="185">
        <v>1.3162E-2</v>
      </c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2"/>
      <c r="W19" s="205" t="s">
        <v>11</v>
      </c>
      <c r="X19" s="206">
        <v>1.0982E-2</v>
      </c>
      <c r="Y19" s="141"/>
    </row>
    <row r="20" spans="2:25" ht="15" customHeight="1">
      <c r="B20" s="199"/>
      <c r="C20" s="83" t="s">
        <v>50</v>
      </c>
      <c r="D20" s="85" t="s">
        <v>12</v>
      </c>
      <c r="E20" s="185">
        <v>1.2371999999999999E-2</v>
      </c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2"/>
      <c r="W20" s="205" t="s">
        <v>14</v>
      </c>
      <c r="X20" s="206">
        <v>5.9649999999999998E-3</v>
      </c>
      <c r="Y20" s="141"/>
    </row>
    <row r="21" spans="2:25" ht="15" customHeight="1">
      <c r="B21" s="199"/>
      <c r="C21" s="83" t="s">
        <v>215</v>
      </c>
      <c r="D21" s="83" t="s">
        <v>5</v>
      </c>
      <c r="E21" s="185">
        <v>1.2261999999999999E-2</v>
      </c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2"/>
      <c r="W21" s="205" t="s">
        <v>42</v>
      </c>
      <c r="X21" s="206">
        <v>5.5570000000000003E-3</v>
      </c>
      <c r="Y21" s="141"/>
    </row>
    <row r="22" spans="2:25" ht="15" customHeight="1">
      <c r="B22" s="199"/>
      <c r="C22" s="83" t="s">
        <v>135</v>
      </c>
      <c r="D22" s="83" t="s">
        <v>5</v>
      </c>
      <c r="E22" s="185">
        <v>1.201E-2</v>
      </c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2"/>
      <c r="W22" s="205" t="s">
        <v>32</v>
      </c>
      <c r="X22" s="206">
        <v>5.548E-3</v>
      </c>
      <c r="Y22" s="141"/>
    </row>
    <row r="23" spans="2:25" ht="16.5" customHeight="1">
      <c r="B23" s="199"/>
      <c r="C23" s="192" t="s">
        <v>142</v>
      </c>
      <c r="D23" s="207"/>
      <c r="E23" s="208">
        <f>SUM(E8:E22)</f>
        <v>0.28107000000000004</v>
      </c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2"/>
      <c r="W23" s="205" t="s">
        <v>21</v>
      </c>
      <c r="X23" s="206">
        <v>4.7210000000000004E-3</v>
      </c>
      <c r="Y23" s="141"/>
    </row>
    <row r="24" spans="2:25" ht="15" customHeight="1">
      <c r="B24" s="199"/>
      <c r="C24" s="174"/>
      <c r="D24" s="174"/>
      <c r="E24" s="185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2"/>
      <c r="W24" s="205" t="s">
        <v>3</v>
      </c>
      <c r="X24" s="206">
        <v>4.0289999999999996E-3</v>
      </c>
      <c r="Y24" s="141"/>
    </row>
    <row r="25" spans="2:25" ht="15" customHeight="1">
      <c r="B25" s="199"/>
      <c r="C25" s="192" t="s">
        <v>108</v>
      </c>
      <c r="D25" s="207"/>
      <c r="E25" s="208">
        <v>0.2621</v>
      </c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2"/>
      <c r="W25" s="205" t="s">
        <v>34</v>
      </c>
      <c r="X25" s="206">
        <v>3.6879999999999999E-3</v>
      </c>
      <c r="Y25" s="141"/>
    </row>
    <row r="26" spans="2:25" ht="15" customHeight="1">
      <c r="B26" s="199"/>
      <c r="C26" s="174"/>
      <c r="D26" s="174"/>
      <c r="E26" s="185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2"/>
      <c r="W26" s="205" t="s">
        <v>13</v>
      </c>
      <c r="X26" s="206">
        <v>2.7950000000000002E-3</v>
      </c>
      <c r="Y26" s="141"/>
    </row>
    <row r="27" spans="2:25" ht="18" customHeight="1">
      <c r="B27" s="199"/>
      <c r="C27" s="192" t="s">
        <v>106</v>
      </c>
      <c r="D27" s="192"/>
      <c r="E27" s="194">
        <v>0.119075</v>
      </c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2"/>
      <c r="W27" s="205" t="s">
        <v>39</v>
      </c>
      <c r="X27" s="206">
        <v>2.287E-3</v>
      </c>
    </row>
    <row r="28" spans="2:25" ht="18" customHeight="1">
      <c r="B28" s="199"/>
      <c r="C28" s="83" t="s">
        <v>48</v>
      </c>
      <c r="D28" s="83" t="s">
        <v>131</v>
      </c>
      <c r="E28" s="185">
        <v>4.3830000000000001E-2</v>
      </c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2"/>
      <c r="W28" s="205"/>
      <c r="X28" s="206"/>
    </row>
    <row r="29" spans="2:25" ht="15" customHeight="1">
      <c r="B29" s="199"/>
      <c r="C29" s="83" t="s">
        <v>190</v>
      </c>
      <c r="D29" s="83" t="s">
        <v>131</v>
      </c>
      <c r="E29" s="185">
        <v>4.1986999999999997E-2</v>
      </c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2"/>
      <c r="W29" s="205"/>
      <c r="X29" s="206"/>
    </row>
    <row r="30" spans="2:25" ht="15" customHeight="1">
      <c r="B30" s="199"/>
      <c r="C30" s="83" t="s">
        <v>46</v>
      </c>
      <c r="D30" s="83" t="s">
        <v>131</v>
      </c>
      <c r="E30" s="185">
        <v>2.1524999999999999E-2</v>
      </c>
      <c r="F30" s="129"/>
      <c r="G30" s="20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2"/>
      <c r="W30" s="205"/>
      <c r="X30" s="206"/>
    </row>
    <row r="31" spans="2:25" ht="15" customHeight="1">
      <c r="B31" s="199"/>
      <c r="C31" s="83" t="s">
        <v>128</v>
      </c>
      <c r="D31" s="83" t="s">
        <v>131</v>
      </c>
      <c r="E31" s="185">
        <v>2.1434000000000002E-2</v>
      </c>
      <c r="F31" s="129"/>
      <c r="G31" s="210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2"/>
      <c r="W31" s="205"/>
      <c r="X31" s="206"/>
    </row>
    <row r="32" spans="2:25" ht="15" customHeight="1">
      <c r="B32" s="199"/>
      <c r="C32" s="83" t="s">
        <v>184</v>
      </c>
      <c r="D32" s="83" t="s">
        <v>131</v>
      </c>
      <c r="E32" s="185">
        <v>2.1111999999999999E-2</v>
      </c>
      <c r="F32" s="129"/>
      <c r="G32" s="210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2"/>
      <c r="W32" s="205"/>
      <c r="X32" s="206"/>
    </row>
    <row r="33" spans="2:24" ht="15" customHeight="1">
      <c r="B33" s="199"/>
      <c r="C33" s="83" t="s">
        <v>190</v>
      </c>
      <c r="D33" s="83" t="s">
        <v>131</v>
      </c>
      <c r="E33" s="185">
        <v>2.1099E-2</v>
      </c>
      <c r="F33" s="129"/>
      <c r="G33" s="210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2"/>
      <c r="W33" s="205"/>
      <c r="X33" s="206"/>
    </row>
    <row r="34" spans="2:24" ht="15" customHeight="1">
      <c r="B34" s="199"/>
      <c r="C34" s="83" t="s">
        <v>186</v>
      </c>
      <c r="D34" s="83" t="s">
        <v>131</v>
      </c>
      <c r="E34" s="185">
        <v>2.1011999999999999E-2</v>
      </c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2"/>
    </row>
    <row r="35" spans="2:24" ht="15" customHeight="1">
      <c r="B35" s="199"/>
      <c r="C35" s="83" t="s">
        <v>48</v>
      </c>
      <c r="D35" s="83" t="s">
        <v>131</v>
      </c>
      <c r="E35" s="185">
        <v>2.1004999999999999E-2</v>
      </c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2"/>
      <c r="W35" s="205"/>
      <c r="X35" s="206"/>
    </row>
    <row r="36" spans="2:24" ht="15" customHeight="1">
      <c r="B36" s="199"/>
      <c r="C36" s="83" t="s">
        <v>190</v>
      </c>
      <c r="D36" s="83" t="s">
        <v>131</v>
      </c>
      <c r="E36" s="185">
        <v>1.235E-2</v>
      </c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2"/>
      <c r="W36" s="205"/>
      <c r="X36" s="206"/>
    </row>
    <row r="37" spans="2:24" ht="15" customHeight="1">
      <c r="B37" s="199"/>
      <c r="C37" s="83" t="s">
        <v>130</v>
      </c>
      <c r="D37" s="83" t="s">
        <v>131</v>
      </c>
      <c r="E37" s="185">
        <v>8.5380000000000005E-3</v>
      </c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2"/>
      <c r="W37" s="205"/>
      <c r="X37" s="206"/>
    </row>
    <row r="38" spans="2:24" ht="15" customHeight="1">
      <c r="B38" s="199"/>
      <c r="C38" s="83" t="s">
        <v>190</v>
      </c>
      <c r="D38" s="83" t="s">
        <v>131</v>
      </c>
      <c r="E38" s="185">
        <v>8.5240000000000003E-3</v>
      </c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2"/>
    </row>
    <row r="39" spans="2:24" ht="15" customHeight="1">
      <c r="B39" s="199"/>
      <c r="C39" s="83" t="s">
        <v>129</v>
      </c>
      <c r="D39" s="83" t="s">
        <v>131</v>
      </c>
      <c r="E39" s="185">
        <v>4.2849999999999997E-3</v>
      </c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2"/>
    </row>
    <row r="40" spans="2:24" ht="15" customHeight="1">
      <c r="B40" s="199"/>
      <c r="C40" s="83" t="s">
        <v>117</v>
      </c>
      <c r="D40" s="83" t="s">
        <v>131</v>
      </c>
      <c r="E40" s="185">
        <v>2.1699999999999999E-4</v>
      </c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2"/>
    </row>
    <row r="41" spans="2:24" ht="15" customHeight="1">
      <c r="B41" s="199"/>
      <c r="C41" s="211" t="s">
        <v>6</v>
      </c>
      <c r="D41" s="207"/>
      <c r="E41" s="208">
        <v>0.246918</v>
      </c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2"/>
    </row>
    <row r="42" spans="2:24" ht="15" customHeight="1">
      <c r="B42" s="199"/>
      <c r="C42" s="174"/>
      <c r="D42" s="174"/>
      <c r="E42" s="185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2"/>
    </row>
    <row r="43" spans="2:24" ht="15" customHeight="1">
      <c r="B43" s="199"/>
      <c r="C43" s="83" t="s">
        <v>45</v>
      </c>
      <c r="D43" s="83" t="s">
        <v>180</v>
      </c>
      <c r="E43" s="185">
        <v>2.1257000000000002E-2</v>
      </c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2"/>
    </row>
    <row r="44" spans="2:24" ht="15" customHeight="1">
      <c r="B44" s="199"/>
      <c r="C44" s="211" t="s">
        <v>196</v>
      </c>
      <c r="D44" s="207"/>
      <c r="E44" s="208">
        <v>2.1257000000000002E-2</v>
      </c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2"/>
    </row>
    <row r="45" spans="2:24" ht="15" customHeight="1">
      <c r="B45" s="199"/>
      <c r="C45" s="212"/>
      <c r="D45" s="212"/>
      <c r="E45" s="213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2"/>
    </row>
    <row r="46" spans="2:24" ht="15" customHeight="1">
      <c r="B46" s="199"/>
      <c r="C46" s="211" t="s">
        <v>28</v>
      </c>
      <c r="D46" s="207"/>
      <c r="E46" s="208">
        <v>2.1090000000000001E-2</v>
      </c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2"/>
    </row>
    <row r="47" spans="2:24" ht="15" customHeight="1">
      <c r="B47" s="199"/>
      <c r="C47" s="214"/>
      <c r="D47" s="215"/>
      <c r="E47" s="216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2"/>
    </row>
    <row r="48" spans="2:24" ht="15" customHeight="1">
      <c r="B48" s="199"/>
      <c r="C48" s="217" t="s">
        <v>176</v>
      </c>
      <c r="D48" s="218"/>
      <c r="E48" s="219">
        <v>4.8500000000000001E-2</v>
      </c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2"/>
    </row>
    <row r="49" spans="2:20" ht="15" customHeight="1">
      <c r="B49" s="199"/>
      <c r="C49" s="220"/>
      <c r="D49" s="221"/>
      <c r="E49" s="222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2"/>
    </row>
    <row r="50" spans="2:20" ht="15" customHeight="1">
      <c r="B50" s="199"/>
      <c r="C50" s="180" t="s">
        <v>30</v>
      </c>
      <c r="D50" s="181"/>
      <c r="E50" s="186">
        <v>1</v>
      </c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2"/>
    </row>
    <row r="51" spans="2:20" ht="15" customHeight="1">
      <c r="B51" s="19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2"/>
    </row>
    <row r="52" spans="2:20" ht="15" customHeight="1" thickBot="1">
      <c r="B52" s="223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23"/>
    </row>
    <row r="53" spans="2:20" ht="15" customHeight="1"/>
    <row r="54" spans="2:20" ht="15" customHeight="1"/>
    <row r="55" spans="2:20" ht="15" customHeight="1"/>
    <row r="56" spans="2:20" ht="15" customHeight="1"/>
    <row r="57" spans="2:20" ht="15" customHeight="1"/>
    <row r="58" spans="2:20" ht="15" customHeight="1"/>
    <row r="59" spans="2:20" ht="15" customHeight="1"/>
    <row r="60" spans="2:20" ht="15" customHeight="1"/>
    <row r="61" spans="2:20" ht="15" customHeight="1"/>
    <row r="62" spans="2:20" ht="15" customHeight="1"/>
    <row r="63" spans="2:20" ht="15" customHeight="1"/>
    <row r="64" spans="2:20" ht="15" customHeight="1"/>
    <row r="65" ht="15" customHeight="1"/>
    <row r="66" ht="15" customHeight="1"/>
    <row r="67" ht="15" customHeight="1"/>
    <row r="68" ht="15" customHeight="1"/>
    <row r="69" ht="15" customHeight="1"/>
  </sheetData>
  <sortState ref="W8:X31">
    <sortCondition descending="1" ref="X8:X31"/>
  </sortState>
  <mergeCells count="2">
    <mergeCell ref="C3:S3"/>
    <mergeCell ref="D5:E5"/>
  </mergeCells>
  <pageMargins left="0.2" right="0.7" top="0.75" bottom="0.75" header="0.3" footer="0.3"/>
  <pageSetup scale="5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pageSetUpPr fitToPage="1"/>
  </sheetPr>
  <dimension ref="A1:AQ684"/>
  <sheetViews>
    <sheetView showGridLines="0" view="pageBreakPreview" topLeftCell="A25" zoomScale="76" zoomScaleNormal="75" zoomScaleSheetLayoutView="76" workbookViewId="0"/>
  </sheetViews>
  <sheetFormatPr defaultRowHeight="15"/>
  <cols>
    <col min="1" max="1" width="2.85546875" style="12" customWidth="1"/>
    <col min="2" max="2" width="3.85546875" style="12" customWidth="1"/>
    <col min="3" max="3" width="65.7109375" style="12" bestFit="1" customWidth="1"/>
    <col min="4" max="4" width="33.7109375" style="12" customWidth="1"/>
    <col min="5" max="5" width="16.7109375" style="12" customWidth="1"/>
    <col min="6" max="6" width="9.140625" style="12"/>
    <col min="7" max="14" width="12" style="12" customWidth="1"/>
    <col min="15" max="17" width="9.140625" style="12"/>
    <col min="18" max="18" width="9.140625" style="14"/>
    <col min="19" max="19" width="9.85546875" style="14" customWidth="1"/>
    <col min="20" max="20" width="13.140625" style="14" bestFit="1" customWidth="1"/>
    <col min="21" max="21" width="9.28515625" style="14" bestFit="1" customWidth="1"/>
    <col min="22" max="24" width="9.140625" style="14"/>
    <col min="25" max="26" width="9.140625" style="64"/>
    <col min="27" max="43" width="9.140625" style="14"/>
    <col min="44" max="16384" width="9.140625" style="12"/>
  </cols>
  <sheetData>
    <row r="1" spans="2:26" s="14" customFormat="1" ht="15.75" thickBo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Y1" s="64"/>
      <c r="Z1" s="64"/>
    </row>
    <row r="2" spans="2:26" s="14" customFormat="1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29"/>
      <c r="O2" s="12"/>
      <c r="P2" s="12"/>
      <c r="Q2" s="12"/>
      <c r="Y2" s="64"/>
      <c r="Z2" s="64"/>
    </row>
    <row r="3" spans="2:26" s="14" customFormat="1" ht="20.25" customHeight="1">
      <c r="B3" s="18"/>
      <c r="C3" s="159" t="s">
        <v>137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0"/>
      <c r="O3" s="12"/>
      <c r="P3" s="12"/>
      <c r="Q3" s="12"/>
      <c r="Y3" s="64"/>
      <c r="Z3" s="64"/>
    </row>
    <row r="4" spans="2:26" s="14" customFormat="1" ht="20.25" customHeight="1">
      <c r="B4" s="18"/>
      <c r="C4" s="138"/>
      <c r="D4" s="163" t="s">
        <v>159</v>
      </c>
      <c r="E4" s="163"/>
      <c r="F4" s="163"/>
      <c r="G4" s="163"/>
      <c r="H4" s="163"/>
      <c r="I4" s="163"/>
      <c r="J4" s="139"/>
      <c r="K4" s="139"/>
      <c r="L4" s="139"/>
      <c r="M4" s="139"/>
      <c r="N4" s="140"/>
      <c r="O4" s="12"/>
      <c r="P4" s="12"/>
      <c r="Q4" s="12"/>
      <c r="Y4" s="64"/>
      <c r="Z4" s="64"/>
    </row>
    <row r="5" spans="2:26" s="14" customFormat="1" ht="15.75">
      <c r="B5" s="18"/>
      <c r="C5" s="2" t="s">
        <v>201</v>
      </c>
      <c r="D5" s="1"/>
      <c r="E5" s="1"/>
      <c r="F5" s="20"/>
      <c r="G5" s="20"/>
      <c r="H5" s="20"/>
      <c r="I5" s="20"/>
      <c r="J5" s="20"/>
      <c r="K5" s="20"/>
      <c r="L5" s="20"/>
      <c r="M5" s="20"/>
      <c r="N5" s="30"/>
      <c r="O5" s="12"/>
      <c r="P5" s="12"/>
      <c r="Q5" s="12"/>
      <c r="Y5" s="64"/>
      <c r="Z5" s="64"/>
    </row>
    <row r="6" spans="2:26" s="14" customFormat="1" ht="20.25" customHeight="1">
      <c r="B6" s="18"/>
      <c r="C6" s="3" t="s">
        <v>202</v>
      </c>
      <c r="D6" s="155" t="s">
        <v>216</v>
      </c>
      <c r="E6" s="155"/>
      <c r="F6" s="20"/>
      <c r="G6" s="20"/>
      <c r="H6" s="20"/>
      <c r="I6" s="20"/>
      <c r="J6" s="20"/>
      <c r="K6" s="20"/>
      <c r="L6" s="20"/>
      <c r="M6" s="20"/>
      <c r="N6" s="30"/>
      <c r="O6" s="12"/>
      <c r="P6" s="12"/>
      <c r="Q6" s="12"/>
      <c r="Y6" s="64"/>
      <c r="Z6" s="64"/>
    </row>
    <row r="7" spans="2:26" s="14" customFormat="1" ht="15.75">
      <c r="B7" s="18"/>
      <c r="C7" s="1"/>
      <c r="D7" s="1"/>
      <c r="E7" s="1"/>
      <c r="F7" s="20"/>
      <c r="G7" s="20"/>
      <c r="H7" s="20"/>
      <c r="I7" s="20"/>
      <c r="J7" s="20"/>
      <c r="K7" s="20"/>
      <c r="L7" s="20"/>
      <c r="M7" s="20"/>
      <c r="N7" s="30"/>
      <c r="O7" s="12"/>
      <c r="P7" s="12"/>
      <c r="Q7" s="12"/>
      <c r="Y7" s="64"/>
      <c r="Z7" s="64"/>
    </row>
    <row r="8" spans="2:26" s="14" customFormat="1" ht="32.25" customHeight="1">
      <c r="B8" s="18"/>
      <c r="C8" s="191" t="s">
        <v>76</v>
      </c>
      <c r="D8" s="224" t="s">
        <v>77</v>
      </c>
      <c r="E8" s="224" t="s">
        <v>78</v>
      </c>
      <c r="F8" s="20"/>
      <c r="G8" s="161" t="s">
        <v>79</v>
      </c>
      <c r="H8" s="161"/>
      <c r="I8" s="161"/>
      <c r="J8" s="161"/>
      <c r="K8" s="161"/>
      <c r="L8" s="161"/>
      <c r="M8" s="161"/>
      <c r="N8" s="162"/>
      <c r="O8" s="12"/>
      <c r="P8" s="12"/>
      <c r="Q8" s="12"/>
      <c r="Y8" s="64"/>
      <c r="Z8" s="64"/>
    </row>
    <row r="9" spans="2:26" s="14" customFormat="1">
      <c r="B9" s="18"/>
      <c r="C9" s="225" t="s">
        <v>49</v>
      </c>
      <c r="D9" s="226" t="s">
        <v>4</v>
      </c>
      <c r="E9" s="227">
        <v>2.5628999999999999E-2</v>
      </c>
      <c r="F9" s="23"/>
      <c r="G9" s="23" t="s">
        <v>80</v>
      </c>
      <c r="H9" s="39">
        <v>0.28289999999999998</v>
      </c>
      <c r="I9" s="40">
        <f>H9/SUM($H$9:$H$11)</f>
        <v>0.8720150668421589</v>
      </c>
      <c r="J9" s="23"/>
      <c r="K9" s="39"/>
      <c r="L9" s="23"/>
      <c r="M9" s="43"/>
      <c r="N9" s="93"/>
      <c r="O9" s="12"/>
      <c r="P9" s="12"/>
      <c r="Q9" s="12"/>
      <c r="T9" s="74"/>
      <c r="Y9" s="64"/>
      <c r="Z9" s="64"/>
    </row>
    <row r="10" spans="2:26" s="14" customFormat="1" ht="15.75" customHeight="1">
      <c r="B10" s="18"/>
      <c r="C10" s="228" t="s">
        <v>45</v>
      </c>
      <c r="D10" s="43" t="s">
        <v>4</v>
      </c>
      <c r="E10" s="229">
        <v>2.5489999999999999E-2</v>
      </c>
      <c r="F10" s="23"/>
      <c r="G10" s="23" t="s">
        <v>103</v>
      </c>
      <c r="H10" s="114">
        <v>4.1521000000000002E-2</v>
      </c>
      <c r="I10" s="40">
        <f>H10/SUM($H$9:$H$11)</f>
        <v>0.12798493315784124</v>
      </c>
      <c r="J10" s="23" t="s">
        <v>109</v>
      </c>
      <c r="K10" s="39">
        <f>E25+E27</f>
        <v>0.35546299999999997</v>
      </c>
      <c r="L10" s="23"/>
      <c r="M10" s="43"/>
      <c r="N10" s="93"/>
      <c r="O10" s="12"/>
      <c r="P10" s="12"/>
      <c r="Q10" s="12"/>
      <c r="T10" s="74"/>
      <c r="Y10" s="64"/>
      <c r="Z10" s="64"/>
    </row>
    <row r="11" spans="2:26" s="14" customFormat="1">
      <c r="B11" s="18"/>
      <c r="C11" s="228" t="s">
        <v>47</v>
      </c>
      <c r="D11" s="43" t="s">
        <v>8</v>
      </c>
      <c r="E11" s="229">
        <v>1.8863999999999999E-2</v>
      </c>
      <c r="F11" s="39"/>
      <c r="G11" s="23" t="s">
        <v>81</v>
      </c>
      <c r="H11" s="114">
        <v>0</v>
      </c>
      <c r="I11" s="40">
        <f>H11/SUM($H$9:$H$11)</f>
        <v>0</v>
      </c>
      <c r="J11" s="23" t="s">
        <v>73</v>
      </c>
      <c r="K11" s="39">
        <f>E32</f>
        <v>2.8094999999999998E-2</v>
      </c>
      <c r="L11" s="23"/>
      <c r="M11" s="43"/>
      <c r="N11" s="93"/>
      <c r="O11" s="12"/>
      <c r="P11" s="12"/>
      <c r="Q11" s="12"/>
      <c r="T11" s="74"/>
      <c r="Y11" s="64"/>
      <c r="Z11" s="64"/>
    </row>
    <row r="12" spans="2:26" s="14" customFormat="1">
      <c r="B12" s="18"/>
      <c r="C12" s="228" t="s">
        <v>46</v>
      </c>
      <c r="D12" s="43" t="s">
        <v>5</v>
      </c>
      <c r="E12" s="229">
        <v>1.8845000000000004E-2</v>
      </c>
      <c r="F12" s="23"/>
      <c r="G12" s="43"/>
      <c r="H12" s="43"/>
      <c r="I12" s="43"/>
      <c r="J12" s="23" t="s">
        <v>29</v>
      </c>
      <c r="K12" s="39">
        <f>E42</f>
        <v>2.46E-2</v>
      </c>
      <c r="L12" s="23"/>
      <c r="M12" s="43"/>
      <c r="N12" s="93"/>
      <c r="O12" s="12"/>
      <c r="P12" s="12"/>
      <c r="Q12" s="12"/>
      <c r="T12" s="74"/>
      <c r="Y12" s="64"/>
      <c r="Z12" s="64"/>
    </row>
    <row r="13" spans="2:26" s="14" customFormat="1" ht="15.75" customHeight="1">
      <c r="B13" s="18"/>
      <c r="C13" s="228" t="s">
        <v>48</v>
      </c>
      <c r="D13" s="43" t="s">
        <v>7</v>
      </c>
      <c r="E13" s="229">
        <v>1.7814E-2</v>
      </c>
      <c r="F13" s="39"/>
      <c r="G13" s="43"/>
      <c r="H13" s="131"/>
      <c r="I13" s="43"/>
      <c r="J13" s="14" t="s">
        <v>104</v>
      </c>
      <c r="K13" s="22">
        <f>E40</f>
        <v>0.18837100000000001</v>
      </c>
      <c r="L13" s="23"/>
      <c r="M13" s="43"/>
      <c r="N13" s="93"/>
      <c r="O13" s="12"/>
      <c r="P13" s="12"/>
      <c r="Q13" s="12"/>
      <c r="T13" s="74"/>
      <c r="Y13" s="64"/>
      <c r="Z13" s="64"/>
    </row>
    <row r="14" spans="2:26" s="14" customFormat="1">
      <c r="B14" s="18"/>
      <c r="C14" s="228" t="s">
        <v>44</v>
      </c>
      <c r="D14" s="43" t="s">
        <v>12</v>
      </c>
      <c r="E14" s="229">
        <v>1.7654E-2</v>
      </c>
      <c r="F14" s="105"/>
      <c r="G14" s="43"/>
      <c r="H14" s="43"/>
      <c r="I14" s="43"/>
      <c r="J14" s="23" t="s">
        <v>110</v>
      </c>
      <c r="K14" s="22">
        <f>E29</f>
        <v>0.32013399999999997</v>
      </c>
      <c r="L14" s="23"/>
      <c r="M14" s="43"/>
      <c r="N14" s="93"/>
      <c r="O14" s="12"/>
      <c r="P14" s="12"/>
      <c r="Q14" s="12"/>
      <c r="T14" s="74"/>
      <c r="Y14" s="64"/>
      <c r="Z14" s="64"/>
    </row>
    <row r="15" spans="2:26" s="14" customFormat="1">
      <c r="B15" s="18"/>
      <c r="C15" s="228" t="s">
        <v>20</v>
      </c>
      <c r="D15" s="43" t="s">
        <v>4</v>
      </c>
      <c r="E15" s="229">
        <v>1.7340999999999999E-2</v>
      </c>
      <c r="F15" s="105"/>
      <c r="G15" s="23"/>
      <c r="H15" s="23"/>
      <c r="I15" s="23"/>
      <c r="J15" s="14" t="s">
        <v>72</v>
      </c>
      <c r="K15" s="39">
        <f>E38</f>
        <v>4.1521000000000002E-2</v>
      </c>
      <c r="L15" s="23"/>
      <c r="M15" s="43"/>
      <c r="N15" s="93"/>
      <c r="O15" s="12"/>
      <c r="P15" s="12"/>
      <c r="Q15" s="12"/>
      <c r="T15" s="74"/>
      <c r="Y15" s="64"/>
      <c r="Z15" s="64"/>
    </row>
    <row r="16" spans="2:26" s="14" customFormat="1">
      <c r="B16" s="18"/>
      <c r="C16" s="228" t="s">
        <v>125</v>
      </c>
      <c r="D16" s="43" t="s">
        <v>5</v>
      </c>
      <c r="E16" s="229">
        <v>1.5757E-2</v>
      </c>
      <c r="F16" s="20"/>
      <c r="G16" s="23"/>
      <c r="H16" s="23"/>
      <c r="I16" s="23"/>
      <c r="J16" s="23" t="s">
        <v>105</v>
      </c>
      <c r="L16" s="23"/>
      <c r="M16" s="43"/>
      <c r="N16" s="93"/>
      <c r="O16" s="12"/>
      <c r="P16" s="12"/>
      <c r="Q16" s="12"/>
      <c r="T16" s="74"/>
      <c r="Y16" s="64"/>
      <c r="Z16" s="64"/>
    </row>
    <row r="17" spans="1:43" s="14" customFormat="1">
      <c r="B17" s="18"/>
      <c r="C17" s="228" t="s">
        <v>140</v>
      </c>
      <c r="D17" s="43" t="s">
        <v>11</v>
      </c>
      <c r="E17" s="229">
        <v>1.3698999999999999E-2</v>
      </c>
      <c r="F17" s="20"/>
      <c r="G17" s="23"/>
      <c r="H17" s="23"/>
      <c r="I17" s="23"/>
      <c r="L17" s="23"/>
      <c r="M17" s="43"/>
      <c r="N17" s="93"/>
      <c r="O17" s="12"/>
      <c r="P17" s="12"/>
      <c r="Q17" s="12"/>
      <c r="T17" s="74"/>
      <c r="Y17" s="64"/>
      <c r="Z17" s="64"/>
    </row>
    <row r="18" spans="1:43">
      <c r="B18" s="18"/>
      <c r="C18" s="230" t="s">
        <v>117</v>
      </c>
      <c r="D18" s="231" t="s">
        <v>13</v>
      </c>
      <c r="E18" s="229">
        <v>1.1231E-2</v>
      </c>
      <c r="F18" s="20"/>
      <c r="G18" s="23"/>
      <c r="H18" s="23"/>
      <c r="I18" s="23"/>
      <c r="J18" s="43"/>
      <c r="K18" s="43"/>
      <c r="L18" s="43"/>
      <c r="M18" s="43"/>
      <c r="N18" s="93"/>
      <c r="T18" s="74"/>
    </row>
    <row r="19" spans="1:43">
      <c r="B19" s="18"/>
      <c r="C19" s="228" t="s">
        <v>181</v>
      </c>
      <c r="D19" s="43" t="s">
        <v>9</v>
      </c>
      <c r="E19" s="229">
        <v>1.013E-2</v>
      </c>
      <c r="F19" s="20"/>
      <c r="G19" s="43"/>
      <c r="H19" s="43"/>
      <c r="I19" s="43"/>
      <c r="J19" s="43"/>
      <c r="K19" s="43"/>
      <c r="L19" s="43"/>
      <c r="M19" s="43"/>
      <c r="N19" s="93"/>
      <c r="T19" s="74"/>
    </row>
    <row r="20" spans="1:43">
      <c r="B20" s="18"/>
      <c r="C20" s="228" t="s">
        <v>135</v>
      </c>
      <c r="D20" s="43" t="s">
        <v>5</v>
      </c>
      <c r="E20" s="229">
        <v>9.9139999999999992E-3</v>
      </c>
      <c r="F20" s="20"/>
      <c r="G20" s="20"/>
      <c r="H20" s="20"/>
      <c r="I20" s="20"/>
      <c r="J20" s="20"/>
      <c r="K20" s="20"/>
      <c r="L20" s="20"/>
      <c r="M20" s="20"/>
      <c r="N20" s="30"/>
      <c r="T20" s="74"/>
    </row>
    <row r="21" spans="1:43" ht="15.75" customHeight="1">
      <c r="B21" s="18"/>
      <c r="C21" s="228" t="s">
        <v>191</v>
      </c>
      <c r="D21" s="43" t="s">
        <v>21</v>
      </c>
      <c r="E21" s="229">
        <v>9.8480000000000009E-3</v>
      </c>
      <c r="F21" s="20"/>
      <c r="G21" s="161" t="s">
        <v>84</v>
      </c>
      <c r="H21" s="161"/>
      <c r="I21" s="161"/>
      <c r="J21" s="161"/>
      <c r="K21" s="161"/>
      <c r="L21" s="126"/>
      <c r="M21" s="120">
        <v>2.2999999999999998</v>
      </c>
      <c r="N21" s="127"/>
      <c r="Q21"/>
      <c r="T21" s="74"/>
    </row>
    <row r="22" spans="1:43" ht="15.75">
      <c r="B22" s="18"/>
      <c r="C22" s="228" t="s">
        <v>51</v>
      </c>
      <c r="D22" s="43" t="s">
        <v>10</v>
      </c>
      <c r="E22" s="229">
        <v>9.7630000000000008E-3</v>
      </c>
      <c r="F22" s="20"/>
      <c r="G22" s="27" t="s">
        <v>85</v>
      </c>
      <c r="H22" s="27" t="s">
        <v>86</v>
      </c>
      <c r="I22" s="27" t="s">
        <v>87</v>
      </c>
      <c r="J22" s="27"/>
      <c r="K22" s="27" t="s">
        <v>88</v>
      </c>
      <c r="L22" s="20"/>
      <c r="M22" s="20"/>
      <c r="N22" s="19"/>
      <c r="O22" s="13"/>
      <c r="P22" s="13"/>
      <c r="Q22"/>
      <c r="T22" s="74"/>
    </row>
    <row r="23" spans="1:43" ht="15.75">
      <c r="B23" s="18"/>
      <c r="C23" s="228" t="s">
        <v>124</v>
      </c>
      <c r="D23" s="43" t="s">
        <v>17</v>
      </c>
      <c r="E23" s="229">
        <v>9.2840000000000006E-3</v>
      </c>
      <c r="F23" s="20"/>
      <c r="G23" s="46">
        <v>0.26190000000000002</v>
      </c>
      <c r="H23" s="46">
        <v>2.0999999999999999E-3</v>
      </c>
      <c r="I23" s="46">
        <v>2.0000000000000001E-4</v>
      </c>
      <c r="J23" s="27"/>
      <c r="K23" s="46">
        <v>0.73550000000000004</v>
      </c>
      <c r="L23" s="20"/>
      <c r="M23" s="20"/>
      <c r="N23" s="19"/>
      <c r="O23" s="13"/>
      <c r="P23" s="13"/>
      <c r="Q23"/>
      <c r="T23" s="74"/>
    </row>
    <row r="24" spans="1:43" ht="15.75" customHeight="1">
      <c r="B24" s="18"/>
      <c r="C24" s="150"/>
      <c r="D24" s="104"/>
      <c r="E24" s="50"/>
      <c r="F24" s="20"/>
      <c r="G24" s="161" t="s">
        <v>89</v>
      </c>
      <c r="H24" s="161"/>
      <c r="I24" s="161"/>
      <c r="J24" s="161"/>
      <c r="K24" s="161"/>
      <c r="L24" s="161"/>
      <c r="M24" s="161"/>
      <c r="N24" s="162"/>
      <c r="O24" s="13"/>
      <c r="P24" s="13"/>
      <c r="Q24"/>
      <c r="T24" s="74"/>
    </row>
    <row r="25" spans="1:43" ht="15.75">
      <c r="B25" s="18"/>
      <c r="C25" s="192" t="s">
        <v>107</v>
      </c>
      <c r="D25" s="232"/>
      <c r="E25" s="194">
        <f>SUM(E9:E23)</f>
        <v>0.23126299999999994</v>
      </c>
      <c r="F25" s="20"/>
      <c r="G25" s="20"/>
      <c r="H25" s="20"/>
      <c r="I25" s="20"/>
      <c r="J25" s="20"/>
      <c r="K25" s="20"/>
      <c r="L25" s="20"/>
      <c r="M25" s="20"/>
      <c r="N25" s="19"/>
      <c r="O25" s="13"/>
      <c r="P25" s="13"/>
      <c r="Q25"/>
      <c r="T25" s="74"/>
    </row>
    <row r="26" spans="1:43" ht="15.75">
      <c r="B26" s="18"/>
      <c r="C26" s="31"/>
      <c r="D26" s="104"/>
      <c r="E26" s="50"/>
      <c r="F26" s="20"/>
      <c r="G26" s="20"/>
      <c r="H26" s="20"/>
      <c r="I26" s="20"/>
      <c r="J26" s="20"/>
      <c r="K26" s="20"/>
      <c r="L26" s="20"/>
      <c r="M26" s="20"/>
      <c r="N26" s="19"/>
      <c r="O26" s="13"/>
      <c r="P26" s="13"/>
      <c r="Q26"/>
      <c r="T26" s="74"/>
    </row>
    <row r="27" spans="1:43" ht="15.75">
      <c r="B27" s="18"/>
      <c r="C27" s="192" t="s">
        <v>108</v>
      </c>
      <c r="D27" s="232"/>
      <c r="E27" s="194">
        <v>0.1242</v>
      </c>
      <c r="F27" s="105"/>
      <c r="G27" s="20"/>
      <c r="H27" s="20"/>
      <c r="I27" s="20"/>
      <c r="J27" s="20"/>
      <c r="K27" s="20"/>
      <c r="L27" s="20"/>
      <c r="M27" s="20"/>
      <c r="N27" s="19"/>
      <c r="O27" s="13"/>
      <c r="P27" s="13"/>
      <c r="Q27"/>
      <c r="T27" s="74"/>
    </row>
    <row r="28" spans="1:43" ht="15.75">
      <c r="B28" s="18"/>
      <c r="C28" s="31"/>
      <c r="D28" s="104"/>
      <c r="E28" s="50"/>
      <c r="F28" s="20"/>
      <c r="G28" s="20"/>
      <c r="H28" s="20"/>
      <c r="I28" s="20"/>
      <c r="J28" s="20"/>
      <c r="K28" s="20"/>
      <c r="L28" s="20"/>
      <c r="M28" s="20"/>
      <c r="N28" s="19"/>
      <c r="O28" s="13"/>
      <c r="P28" s="13"/>
      <c r="Q28"/>
      <c r="T28" s="74"/>
    </row>
    <row r="29" spans="1:43" ht="15" customHeight="1">
      <c r="B29" s="18"/>
      <c r="C29" s="192" t="s">
        <v>106</v>
      </c>
      <c r="D29" s="232"/>
      <c r="E29" s="194">
        <v>0.32013399999999997</v>
      </c>
      <c r="F29" s="20"/>
      <c r="G29" s="20"/>
      <c r="H29" s="20"/>
      <c r="I29" s="20"/>
      <c r="J29" s="20"/>
      <c r="K29" s="20"/>
      <c r="L29" s="20"/>
      <c r="M29" s="20"/>
      <c r="N29" s="19"/>
      <c r="O29" s="13"/>
      <c r="P29" s="13"/>
      <c r="Q29"/>
      <c r="T29" s="74"/>
    </row>
    <row r="30" spans="1:43" s="35" customFormat="1" ht="13.5" customHeight="1">
      <c r="B30" s="36"/>
      <c r="C30" s="221"/>
      <c r="D30" s="233"/>
      <c r="E30" s="234"/>
      <c r="F30" s="34"/>
      <c r="G30" s="34"/>
      <c r="H30" s="34"/>
      <c r="I30" s="34"/>
      <c r="J30" s="34"/>
      <c r="K30" s="34"/>
      <c r="L30" s="34"/>
      <c r="M30" s="34"/>
      <c r="N30" s="48"/>
      <c r="O30" s="49"/>
      <c r="P30" s="49"/>
      <c r="Q30" s="125"/>
      <c r="R30" s="21"/>
      <c r="S30" s="21"/>
      <c r="T30" s="75"/>
      <c r="U30" s="21"/>
      <c r="V30" s="21"/>
      <c r="W30" s="21"/>
      <c r="X30" s="21"/>
      <c r="Y30" s="101"/>
      <c r="Z30" s="10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</row>
    <row r="31" spans="1:43" ht="15.75">
      <c r="B31" s="18"/>
      <c r="C31" s="31" t="s">
        <v>170</v>
      </c>
      <c r="D31" s="104" t="s">
        <v>112</v>
      </c>
      <c r="E31" s="50">
        <v>2.8094999999999998E-2</v>
      </c>
      <c r="F31" s="20"/>
      <c r="G31" s="20"/>
      <c r="H31" s="20"/>
      <c r="I31" s="20"/>
      <c r="J31" s="20"/>
      <c r="K31" s="20"/>
      <c r="L31" s="20"/>
      <c r="M31" s="20"/>
      <c r="N31" s="19"/>
      <c r="O31" s="13"/>
      <c r="P31" s="13"/>
      <c r="Q31"/>
      <c r="T31" s="74"/>
    </row>
    <row r="32" spans="1:43" s="64" customFormat="1" ht="15.75">
      <c r="A32" s="12"/>
      <c r="B32" s="18"/>
      <c r="C32" s="192" t="s">
        <v>73</v>
      </c>
      <c r="D32" s="232"/>
      <c r="E32" s="194">
        <v>2.8094999999999998E-2</v>
      </c>
      <c r="F32" s="20"/>
      <c r="G32" s="20"/>
      <c r="H32" s="20"/>
      <c r="I32" s="20"/>
      <c r="J32" s="20"/>
      <c r="K32" s="20"/>
      <c r="L32" s="20"/>
      <c r="M32" s="20"/>
      <c r="N32" s="19"/>
      <c r="O32" s="13"/>
      <c r="P32" s="13"/>
      <c r="Q32"/>
      <c r="R32" s="14"/>
      <c r="S32" s="14"/>
      <c r="T32" s="74"/>
      <c r="U32" s="14"/>
      <c r="V32" s="14"/>
      <c r="W32" s="14"/>
      <c r="X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s="64" customFormat="1" ht="15.75">
      <c r="A33" s="12"/>
      <c r="B33" s="18"/>
      <c r="C33" s="221"/>
      <c r="D33" s="233"/>
      <c r="E33" s="234"/>
      <c r="F33" s="20"/>
      <c r="G33" s="20"/>
      <c r="H33" s="20"/>
      <c r="I33" s="20"/>
      <c r="J33" s="20"/>
      <c r="K33" s="20"/>
      <c r="L33" s="20"/>
      <c r="M33" s="20"/>
      <c r="N33" s="19"/>
      <c r="O33" s="13"/>
      <c r="P33" s="13"/>
      <c r="Q33"/>
      <c r="R33" s="14"/>
      <c r="S33" s="14"/>
      <c r="T33" s="74"/>
      <c r="U33" s="14"/>
      <c r="V33" s="14"/>
      <c r="W33" s="14"/>
      <c r="X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s="64" customFormat="1" ht="15.75">
      <c r="A34" s="12"/>
      <c r="B34" s="18"/>
      <c r="C34" s="31" t="s">
        <v>217</v>
      </c>
      <c r="D34" s="104" t="s">
        <v>112</v>
      </c>
      <c r="E34" s="50">
        <v>4.1797000000000001E-2</v>
      </c>
      <c r="F34" s="20"/>
      <c r="G34" s="20"/>
      <c r="H34" s="20"/>
      <c r="I34" s="20"/>
      <c r="J34" s="20"/>
      <c r="K34" s="20"/>
      <c r="L34" s="20"/>
      <c r="M34" s="20"/>
      <c r="N34" s="19"/>
      <c r="O34" s="13"/>
      <c r="P34" s="13"/>
      <c r="Q34"/>
      <c r="R34" s="14"/>
      <c r="S34" s="14"/>
      <c r="T34" s="74"/>
      <c r="U34" s="14"/>
      <c r="V34" s="14"/>
      <c r="W34" s="14"/>
      <c r="X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 s="64" customFormat="1" ht="15.75">
      <c r="A35" s="12"/>
      <c r="B35" s="18"/>
      <c r="C35" s="192" t="s">
        <v>105</v>
      </c>
      <c r="D35" s="232"/>
      <c r="E35" s="194">
        <v>4.1797000000000001E-2</v>
      </c>
      <c r="F35" s="20"/>
      <c r="G35" s="20"/>
      <c r="H35" s="20"/>
      <c r="I35" s="20"/>
      <c r="J35" s="20"/>
      <c r="K35" s="20"/>
      <c r="L35" s="20"/>
      <c r="M35" s="20"/>
      <c r="N35" s="19"/>
      <c r="O35" s="13"/>
      <c r="P35" s="13"/>
      <c r="Q35"/>
      <c r="R35" s="14"/>
      <c r="S35" s="14"/>
      <c r="T35" s="74"/>
      <c r="U35" s="14"/>
      <c r="V35" s="14"/>
      <c r="W35" s="14"/>
      <c r="X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s="64" customFormat="1" ht="15.75">
      <c r="A36" s="12"/>
      <c r="B36" s="18"/>
      <c r="C36" s="150"/>
      <c r="D36" s="28"/>
      <c r="E36" s="150"/>
      <c r="F36" s="20"/>
      <c r="G36" s="20"/>
      <c r="H36" s="20"/>
      <c r="I36" s="20"/>
      <c r="J36" s="20"/>
      <c r="K36" s="20"/>
      <c r="L36" s="20"/>
      <c r="M36" s="20"/>
      <c r="N36" s="19"/>
      <c r="O36" s="13"/>
      <c r="P36" s="13"/>
      <c r="Q36"/>
      <c r="R36" s="14"/>
      <c r="S36" s="14"/>
      <c r="T36" s="74"/>
      <c r="U36" s="14"/>
      <c r="V36" s="14"/>
      <c r="W36" s="14"/>
      <c r="X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 spans="1:43" s="64" customFormat="1" ht="15.75">
      <c r="A37" s="12"/>
      <c r="B37" s="18"/>
      <c r="C37" s="124" t="s">
        <v>153</v>
      </c>
      <c r="D37" s="104" t="s">
        <v>136</v>
      </c>
      <c r="E37" s="50">
        <v>4.1521000000000002E-2</v>
      </c>
      <c r="F37" s="20"/>
      <c r="G37" s="20"/>
      <c r="H37" s="20"/>
      <c r="I37" s="20"/>
      <c r="J37" s="20"/>
      <c r="K37" s="20"/>
      <c r="L37" s="20"/>
      <c r="M37" s="20"/>
      <c r="N37" s="19"/>
      <c r="O37" s="13"/>
      <c r="P37" s="13"/>
      <c r="Q37"/>
      <c r="R37" s="14"/>
      <c r="S37" s="14"/>
      <c r="T37" s="74"/>
      <c r="U37" s="14"/>
      <c r="V37" s="14"/>
      <c r="W37" s="14"/>
      <c r="X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s="64" customFormat="1" ht="15.75">
      <c r="A38" s="12"/>
      <c r="B38" s="18"/>
      <c r="C38" s="192" t="s">
        <v>83</v>
      </c>
      <c r="D38" s="232"/>
      <c r="E38" s="194">
        <v>4.1521000000000002E-2</v>
      </c>
      <c r="F38" s="20"/>
      <c r="G38" s="20"/>
      <c r="H38" s="20"/>
      <c r="I38" s="20"/>
      <c r="J38" s="20"/>
      <c r="K38" s="20"/>
      <c r="L38" s="20"/>
      <c r="M38" s="20"/>
      <c r="N38" s="19"/>
      <c r="O38" s="13"/>
      <c r="P38" s="13"/>
      <c r="Q38"/>
      <c r="R38" s="14"/>
      <c r="S38" s="14"/>
      <c r="T38" s="74"/>
      <c r="U38" s="14"/>
      <c r="V38" s="14"/>
      <c r="W38" s="14"/>
      <c r="X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 s="14" customFormat="1" ht="15.75">
      <c r="A39" s="12"/>
      <c r="B39" s="18"/>
      <c r="C39" s="221"/>
      <c r="D39" s="233"/>
      <c r="E39" s="234"/>
      <c r="F39" s="20"/>
      <c r="G39" s="20"/>
      <c r="H39" s="20"/>
      <c r="I39" s="20"/>
      <c r="J39" s="20"/>
      <c r="K39" s="20"/>
      <c r="L39" s="20"/>
      <c r="M39" s="20"/>
      <c r="N39" s="19"/>
      <c r="O39" s="13"/>
      <c r="P39" s="13"/>
      <c r="Q39"/>
      <c r="T39" s="74"/>
      <c r="Y39" s="64"/>
      <c r="Z39" s="64"/>
    </row>
    <row r="40" spans="1:43" s="14" customFormat="1" ht="15.75">
      <c r="A40" s="12"/>
      <c r="B40" s="18"/>
      <c r="C40" s="192" t="s">
        <v>104</v>
      </c>
      <c r="D40" s="232"/>
      <c r="E40" s="194">
        <v>0.18837100000000001</v>
      </c>
      <c r="F40" s="20"/>
      <c r="G40" s="20"/>
      <c r="H40" s="20"/>
      <c r="I40" s="20"/>
      <c r="J40" s="20"/>
      <c r="K40" s="20"/>
      <c r="L40" s="20"/>
      <c r="M40" s="20"/>
      <c r="N40" s="19"/>
      <c r="O40" s="13"/>
      <c r="P40" s="13"/>
      <c r="Q40"/>
      <c r="T40" s="74"/>
      <c r="Y40" s="64"/>
      <c r="Z40" s="64"/>
    </row>
    <row r="41" spans="1:43" s="14" customFormat="1" ht="15.75">
      <c r="A41" s="12"/>
      <c r="B41" s="18"/>
      <c r="C41" s="31"/>
      <c r="D41" s="104"/>
      <c r="E41" s="50"/>
      <c r="F41" s="20"/>
      <c r="G41" s="20"/>
      <c r="H41" s="20"/>
      <c r="I41" s="20"/>
      <c r="J41" s="20"/>
      <c r="K41" s="20"/>
      <c r="L41" s="20"/>
      <c r="M41" s="20"/>
      <c r="N41" s="19"/>
      <c r="O41" s="13"/>
      <c r="P41" s="13"/>
      <c r="Q41"/>
      <c r="T41" s="74"/>
      <c r="Y41" s="64"/>
      <c r="Z41" s="64"/>
    </row>
    <row r="42" spans="1:43" s="14" customFormat="1" ht="15.75">
      <c r="A42" s="12"/>
      <c r="B42" s="18"/>
      <c r="C42" s="192" t="s">
        <v>29</v>
      </c>
      <c r="D42" s="232"/>
      <c r="E42" s="194">
        <v>2.46E-2</v>
      </c>
      <c r="F42" s="20"/>
      <c r="G42" s="20"/>
      <c r="H42" s="20"/>
      <c r="I42" s="20"/>
      <c r="J42" s="20"/>
      <c r="K42" s="20"/>
      <c r="L42" s="20"/>
      <c r="M42" s="20"/>
      <c r="N42" s="19"/>
      <c r="O42" s="13"/>
      <c r="P42" s="13"/>
      <c r="Q42"/>
      <c r="T42" s="74"/>
      <c r="Y42" s="64"/>
      <c r="Z42" s="64"/>
    </row>
    <row r="43" spans="1:43" s="14" customFormat="1" ht="15.75">
      <c r="A43" s="12"/>
      <c r="B43" s="18"/>
      <c r="C43" s="31"/>
      <c r="D43" s="104"/>
      <c r="E43" s="132"/>
      <c r="F43" s="20"/>
      <c r="G43" s="20"/>
      <c r="H43" s="20"/>
      <c r="I43" s="20"/>
      <c r="J43" s="20"/>
      <c r="K43" s="20"/>
      <c r="L43" s="20"/>
      <c r="M43" s="20"/>
      <c r="N43" s="19"/>
      <c r="O43" s="13"/>
      <c r="P43" s="13"/>
      <c r="Q43"/>
      <c r="T43" s="74"/>
      <c r="Y43" s="64"/>
      <c r="Z43" s="64"/>
    </row>
    <row r="44" spans="1:43" s="14" customFormat="1" ht="15.75">
      <c r="A44" s="12"/>
      <c r="B44" s="18"/>
      <c r="C44" s="195" t="s">
        <v>30</v>
      </c>
      <c r="D44" s="235"/>
      <c r="E44" s="197">
        <f>SUM(E25:E29)+E32+E38+E40+E42+E35</f>
        <v>0.9999809999999999</v>
      </c>
      <c r="F44" s="20"/>
      <c r="G44" s="20"/>
      <c r="H44" s="20"/>
      <c r="I44" s="20"/>
      <c r="J44" s="20"/>
      <c r="K44" s="20"/>
      <c r="L44" s="20"/>
      <c r="M44" s="20"/>
      <c r="N44" s="19"/>
      <c r="O44" s="13"/>
      <c r="P44" s="13"/>
      <c r="Q44"/>
      <c r="T44" s="74"/>
      <c r="Y44" s="64"/>
      <c r="Z44" s="64"/>
    </row>
    <row r="45" spans="1:43" s="14" customFormat="1">
      <c r="A45" s="12"/>
      <c r="B45" s="18"/>
      <c r="F45" s="20"/>
      <c r="G45" s="20"/>
      <c r="H45" s="20"/>
      <c r="I45" s="20"/>
      <c r="J45" s="20"/>
      <c r="K45" s="20"/>
      <c r="L45" s="20"/>
      <c r="M45" s="20"/>
      <c r="N45" s="19"/>
      <c r="O45" s="13"/>
      <c r="P45" s="13"/>
      <c r="Q45" s="13"/>
      <c r="T45" s="74"/>
      <c r="Y45" s="64"/>
      <c r="Z45" s="64"/>
    </row>
    <row r="46" spans="1:43" s="14" customFormat="1" hidden="1">
      <c r="A46" s="20"/>
      <c r="B46" s="18"/>
      <c r="F46" s="20"/>
      <c r="G46" s="20"/>
      <c r="H46" s="20"/>
      <c r="I46" s="20"/>
      <c r="J46" s="20"/>
      <c r="K46" s="20"/>
      <c r="L46" s="20"/>
      <c r="M46" s="20"/>
      <c r="N46" s="19"/>
      <c r="O46" s="27"/>
      <c r="P46" s="27"/>
      <c r="Q46" s="13"/>
      <c r="T46" s="74"/>
      <c r="Y46" s="64"/>
      <c r="Z46" s="64"/>
    </row>
    <row r="47" spans="1:43" s="14" customFormat="1" hidden="1">
      <c r="A47" s="20"/>
      <c r="B47" s="18"/>
      <c r="F47" s="20"/>
      <c r="G47" s="20"/>
      <c r="H47" s="20"/>
      <c r="I47" s="20"/>
      <c r="J47" s="20"/>
      <c r="K47" s="20"/>
      <c r="L47" s="20"/>
      <c r="M47" s="20"/>
      <c r="N47" s="19"/>
      <c r="O47" s="27"/>
      <c r="P47" s="27"/>
      <c r="Q47" s="13"/>
      <c r="T47" s="74"/>
      <c r="Y47" s="64"/>
      <c r="Z47" s="64"/>
    </row>
    <row r="48" spans="1:43" s="14" customFormat="1" hidden="1">
      <c r="A48" s="20"/>
      <c r="B48" s="18"/>
      <c r="F48" s="20"/>
      <c r="G48" s="20"/>
      <c r="H48" s="20"/>
      <c r="I48" s="20"/>
      <c r="J48" s="20"/>
      <c r="K48" s="20"/>
      <c r="L48" s="20"/>
      <c r="M48" s="20"/>
      <c r="N48" s="19"/>
      <c r="O48" s="27"/>
      <c r="P48" s="27"/>
      <c r="Q48" s="13"/>
      <c r="T48" s="74"/>
      <c r="Y48" s="64"/>
      <c r="Z48" s="64"/>
    </row>
    <row r="49" spans="1:26" s="14" customFormat="1" hidden="1">
      <c r="A49" s="20"/>
      <c r="B49" s="18"/>
      <c r="F49" s="20"/>
      <c r="G49" s="20"/>
      <c r="H49" s="20"/>
      <c r="I49" s="20"/>
      <c r="J49" s="20"/>
      <c r="K49" s="20"/>
      <c r="L49" s="20"/>
      <c r="M49" s="20"/>
      <c r="N49" s="19"/>
      <c r="O49" s="27"/>
      <c r="P49" s="27"/>
      <c r="Q49" s="13"/>
      <c r="T49" s="74"/>
      <c r="Y49" s="64"/>
      <c r="Z49" s="64"/>
    </row>
    <row r="50" spans="1:26" s="14" customFormat="1" hidden="1">
      <c r="A50" s="20"/>
      <c r="B50" s="18"/>
      <c r="F50" s="20"/>
      <c r="G50" s="20"/>
      <c r="H50" s="20"/>
      <c r="I50" s="20"/>
      <c r="J50" s="20"/>
      <c r="K50" s="20"/>
      <c r="L50" s="20"/>
      <c r="M50" s="20"/>
      <c r="N50" s="19"/>
      <c r="O50" s="27"/>
      <c r="P50" s="27"/>
      <c r="Q50" s="13"/>
      <c r="T50" s="74"/>
      <c r="Y50" s="64"/>
      <c r="Z50" s="64"/>
    </row>
    <row r="51" spans="1:26" s="14" customFormat="1" hidden="1">
      <c r="A51" s="20"/>
      <c r="B51" s="18"/>
      <c r="F51" s="20"/>
      <c r="G51" s="20"/>
      <c r="H51" s="20"/>
      <c r="I51" s="20"/>
      <c r="J51" s="20"/>
      <c r="K51" s="20"/>
      <c r="L51" s="20"/>
      <c r="M51" s="20"/>
      <c r="N51" s="19"/>
      <c r="O51" s="27"/>
      <c r="P51" s="27"/>
      <c r="Q51" s="13"/>
      <c r="T51" s="74"/>
      <c r="Y51" s="64"/>
      <c r="Z51" s="64"/>
    </row>
    <row r="52" spans="1:26" s="14" customFormat="1" hidden="1">
      <c r="A52" s="20"/>
      <c r="B52" s="18"/>
      <c r="F52" s="20"/>
      <c r="G52" s="20"/>
      <c r="H52" s="20"/>
      <c r="I52" s="20"/>
      <c r="J52" s="20"/>
      <c r="K52" s="20"/>
      <c r="L52" s="20"/>
      <c r="M52" s="20"/>
      <c r="N52" s="19"/>
      <c r="O52" s="27"/>
      <c r="P52" s="27"/>
      <c r="Q52" s="13"/>
      <c r="T52" s="74"/>
      <c r="Y52" s="64"/>
      <c r="Z52" s="64"/>
    </row>
    <row r="53" spans="1:26" s="14" customFormat="1" hidden="1">
      <c r="A53" s="20"/>
      <c r="B53" s="18"/>
      <c r="F53" s="20"/>
      <c r="G53" s="20"/>
      <c r="H53" s="20"/>
      <c r="I53" s="20"/>
      <c r="J53" s="20"/>
      <c r="K53" s="20"/>
      <c r="L53" s="20"/>
      <c r="M53" s="20"/>
      <c r="N53" s="19"/>
      <c r="O53" s="27"/>
      <c r="P53" s="27"/>
      <c r="Q53" s="13"/>
      <c r="T53" s="74"/>
      <c r="Y53" s="64"/>
      <c r="Z53" s="64"/>
    </row>
    <row r="54" spans="1:26" s="14" customFormat="1" hidden="1">
      <c r="A54" s="20"/>
      <c r="B54" s="18"/>
      <c r="F54" s="20"/>
      <c r="G54" s="20"/>
      <c r="H54" s="20"/>
      <c r="I54" s="20"/>
      <c r="J54" s="20"/>
      <c r="K54" s="20"/>
      <c r="L54" s="20"/>
      <c r="M54" s="20"/>
      <c r="N54" s="19"/>
      <c r="O54" s="27"/>
      <c r="P54" s="27"/>
      <c r="Q54" s="13"/>
      <c r="T54" s="74"/>
      <c r="Y54" s="64"/>
      <c r="Z54" s="64"/>
    </row>
    <row r="55" spans="1:26" s="14" customFormat="1" hidden="1">
      <c r="A55" s="20"/>
      <c r="B55" s="18"/>
      <c r="C55" s="12"/>
      <c r="D55" s="12"/>
      <c r="E55" s="12"/>
      <c r="F55" s="20"/>
      <c r="G55" s="20"/>
      <c r="H55" s="20"/>
      <c r="I55" s="20"/>
      <c r="J55" s="20"/>
      <c r="K55" s="20"/>
      <c r="L55" s="20"/>
      <c r="M55" s="20"/>
      <c r="N55" s="19"/>
      <c r="O55" s="27"/>
      <c r="P55" s="27"/>
      <c r="Q55" s="13"/>
      <c r="T55" s="74"/>
      <c r="Y55" s="64"/>
      <c r="Z55" s="64"/>
    </row>
    <row r="56" spans="1:26" s="14" customFormat="1" hidden="1">
      <c r="A56" s="12"/>
      <c r="B56" s="18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30"/>
      <c r="O56" s="12"/>
      <c r="P56" s="12"/>
      <c r="Q56" s="12"/>
      <c r="T56" s="74"/>
      <c r="Y56" s="64"/>
      <c r="Z56" s="64"/>
    </row>
    <row r="57" spans="1:26" s="14" customFormat="1" hidden="1">
      <c r="A57" s="12"/>
      <c r="B57" s="18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30"/>
      <c r="O57" s="12"/>
      <c r="P57" s="12"/>
      <c r="Q57" s="12"/>
      <c r="T57" s="74"/>
      <c r="Y57" s="64"/>
      <c r="Z57" s="64"/>
    </row>
    <row r="58" spans="1:26" s="14" customFormat="1" hidden="1">
      <c r="A58" s="12"/>
      <c r="B58" s="18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30"/>
      <c r="O58" s="12"/>
      <c r="P58" s="12"/>
      <c r="Q58" s="12"/>
      <c r="T58" s="74"/>
      <c r="Y58" s="64"/>
      <c r="Z58" s="64"/>
    </row>
    <row r="59" spans="1:26" s="14" customFormat="1" hidden="1">
      <c r="A59" s="12"/>
      <c r="B59" s="18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30"/>
      <c r="O59" s="12"/>
      <c r="P59" s="12"/>
      <c r="Q59" s="12"/>
      <c r="T59" s="74"/>
      <c r="Y59" s="64"/>
      <c r="Z59" s="64"/>
    </row>
    <row r="60" spans="1:26" s="14" customFormat="1" hidden="1">
      <c r="A60" s="12"/>
      <c r="B60" s="18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30"/>
      <c r="O60" s="12"/>
      <c r="P60" s="12"/>
      <c r="Q60" s="12"/>
      <c r="T60" s="74"/>
      <c r="Y60" s="64"/>
      <c r="Z60" s="64"/>
    </row>
    <row r="61" spans="1:26" s="14" customFormat="1" hidden="1">
      <c r="A61" s="12"/>
      <c r="B61" s="18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30"/>
      <c r="O61" s="12"/>
      <c r="P61" s="12"/>
      <c r="Q61" s="12"/>
      <c r="T61" s="74"/>
      <c r="Y61" s="64"/>
      <c r="Z61" s="64"/>
    </row>
    <row r="62" spans="1:26" s="14" customFormat="1" hidden="1">
      <c r="A62" s="12"/>
      <c r="B62" s="18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30"/>
      <c r="O62" s="12"/>
      <c r="P62" s="12"/>
      <c r="Q62" s="12"/>
      <c r="T62" s="74"/>
      <c r="Y62" s="64"/>
      <c r="Z62" s="64"/>
    </row>
    <row r="63" spans="1:26" s="14" customFormat="1" hidden="1">
      <c r="A63" s="12"/>
      <c r="B63" s="18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30"/>
      <c r="O63" s="12"/>
      <c r="P63" s="12"/>
      <c r="Q63" s="12"/>
      <c r="T63" s="74"/>
      <c r="Y63" s="64"/>
      <c r="Z63" s="64"/>
    </row>
    <row r="64" spans="1:26" s="14" customFormat="1" hidden="1">
      <c r="A64" s="12"/>
      <c r="B64" s="18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30"/>
      <c r="O64" s="12"/>
      <c r="P64" s="12"/>
      <c r="Q64" s="12"/>
      <c r="T64" s="74"/>
      <c r="Y64" s="64"/>
      <c r="Z64" s="64"/>
    </row>
    <row r="65" spans="1:26" s="14" customFormat="1" ht="15.75" thickBot="1">
      <c r="A65" s="12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37"/>
      <c r="O65" s="12"/>
      <c r="P65" s="12"/>
      <c r="Q65" s="12"/>
      <c r="T65" s="74"/>
      <c r="Y65" s="64"/>
      <c r="Z65" s="64"/>
    </row>
    <row r="66" spans="1:26" s="14" customForma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T66" s="74"/>
      <c r="Y66" s="64"/>
      <c r="Z66" s="64"/>
    </row>
    <row r="67" spans="1:26" s="14" customForma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T67" s="74"/>
      <c r="Y67" s="64"/>
      <c r="Z67" s="64"/>
    </row>
    <row r="68" spans="1:26" s="14" customForma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T68" s="74"/>
      <c r="Y68" s="64"/>
      <c r="Z68" s="64"/>
    </row>
    <row r="69" spans="1:26" s="14" customForma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T69" s="74"/>
      <c r="Y69" s="64"/>
      <c r="Z69" s="64"/>
    </row>
    <row r="70" spans="1:26" s="14" customForma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T70" s="74"/>
      <c r="Y70" s="64"/>
      <c r="Z70" s="64"/>
    </row>
    <row r="71" spans="1:26" s="14" customForma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T71" s="74"/>
      <c r="Y71" s="64"/>
      <c r="Z71" s="64"/>
    </row>
    <row r="72" spans="1:26" s="14" customForma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T72" s="74"/>
      <c r="Y72" s="64"/>
      <c r="Z72" s="64"/>
    </row>
    <row r="73" spans="1:26" s="14" customForma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T73" s="74"/>
      <c r="Y73" s="64"/>
      <c r="Z73" s="64"/>
    </row>
    <row r="74" spans="1:26" s="14" customForma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T74" s="74"/>
      <c r="Y74" s="64"/>
      <c r="Z74" s="64"/>
    </row>
    <row r="75" spans="1:26" s="14" customForma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T75" s="74"/>
      <c r="Y75" s="64"/>
      <c r="Z75" s="64"/>
    </row>
    <row r="76" spans="1:26" s="14" customForma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T76" s="74"/>
      <c r="Y76" s="64"/>
      <c r="Z76" s="64"/>
    </row>
    <row r="77" spans="1:26" s="14" customForma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T77" s="74"/>
      <c r="Y77" s="64"/>
      <c r="Z77" s="64"/>
    </row>
    <row r="78" spans="1:26" s="14" customForma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T78" s="74"/>
      <c r="Y78" s="64"/>
      <c r="Z78" s="64"/>
    </row>
    <row r="79" spans="1:26" s="14" customForma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T79" s="74"/>
      <c r="Y79" s="64"/>
      <c r="Z79" s="64"/>
    </row>
    <row r="80" spans="1:26" s="14" customForma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T80" s="74"/>
      <c r="Y80" s="64"/>
      <c r="Z80" s="64"/>
    </row>
    <row r="81" spans="1:26" s="14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T81" s="74"/>
      <c r="Y81" s="64"/>
      <c r="Z81" s="64"/>
    </row>
    <row r="82" spans="1:26" s="14" customForma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T82" s="74"/>
      <c r="Y82" s="64"/>
      <c r="Z82" s="64"/>
    </row>
    <row r="83" spans="1:26" s="14" customForma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T83" s="74"/>
      <c r="Y83" s="64"/>
      <c r="Z83" s="64"/>
    </row>
    <row r="84" spans="1:26" s="14" customForma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T84" s="74"/>
      <c r="Y84" s="64"/>
      <c r="Z84" s="64"/>
    </row>
    <row r="85" spans="1:26" s="14" customForma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T85" s="74"/>
      <c r="Y85" s="64"/>
      <c r="Z85" s="64"/>
    </row>
    <row r="86" spans="1:26" s="14" customForma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T86" s="74"/>
      <c r="Y86" s="64"/>
      <c r="Z86" s="64"/>
    </row>
    <row r="87" spans="1:26" s="1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T87" s="74"/>
      <c r="Y87" s="64"/>
      <c r="Z87" s="64"/>
    </row>
    <row r="88" spans="1:26" s="1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T88" s="74"/>
      <c r="Y88" s="64"/>
      <c r="Z88" s="64"/>
    </row>
    <row r="89" spans="1:26" s="14" customForma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T89" s="74"/>
      <c r="Y89" s="64"/>
      <c r="Z89" s="64"/>
    </row>
    <row r="90" spans="1:26" s="14" customForma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T90" s="74"/>
      <c r="Y90" s="64"/>
      <c r="Z90" s="64"/>
    </row>
    <row r="91" spans="1:26" s="14" customForma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T91" s="74"/>
      <c r="Y91" s="64"/>
      <c r="Z91" s="64"/>
    </row>
    <row r="92" spans="1:26" s="14" customForma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T92" s="74"/>
      <c r="Y92" s="64"/>
      <c r="Z92" s="64"/>
    </row>
    <row r="93" spans="1:26" s="14" customForma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T93" s="74"/>
      <c r="Y93" s="64"/>
      <c r="Z93" s="64"/>
    </row>
    <row r="94" spans="1:26" s="14" customForma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T94" s="74"/>
      <c r="Y94" s="64"/>
      <c r="Z94" s="64"/>
    </row>
    <row r="95" spans="1:26" s="14" customForma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T95" s="74"/>
      <c r="Y95" s="64"/>
      <c r="Z95" s="64"/>
    </row>
    <row r="96" spans="1:26" s="14" customForma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T96" s="74"/>
      <c r="Y96" s="64"/>
      <c r="Z96" s="64"/>
    </row>
    <row r="97" spans="1:26" s="14" customForma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T97" s="74"/>
      <c r="Y97" s="64"/>
      <c r="Z97" s="64"/>
    </row>
    <row r="98" spans="1:26" s="14" customForma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T98" s="74"/>
      <c r="Y98" s="64"/>
      <c r="Z98" s="64"/>
    </row>
    <row r="99" spans="1:26" s="14" customForma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T99" s="74"/>
      <c r="Y99" s="64"/>
      <c r="Z99" s="64"/>
    </row>
    <row r="100" spans="1:26" s="14" customForma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T100" s="74"/>
      <c r="Y100" s="64"/>
      <c r="Z100" s="64"/>
    </row>
    <row r="101" spans="1:26" s="14" customForma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T101" s="74"/>
      <c r="Y101" s="64"/>
      <c r="Z101" s="64"/>
    </row>
    <row r="102" spans="1:26" s="14" customForma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T102" s="74"/>
      <c r="Y102" s="64"/>
      <c r="Z102" s="64"/>
    </row>
    <row r="103" spans="1:26" s="14" customForma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T103" s="74"/>
      <c r="Y103" s="64"/>
      <c r="Z103" s="64"/>
    </row>
    <row r="104" spans="1:26" s="14" customForma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T104" s="74"/>
      <c r="Y104" s="64"/>
      <c r="Z104" s="64"/>
    </row>
    <row r="105" spans="1:26" s="14" customForma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T105" s="74"/>
      <c r="Y105" s="64"/>
      <c r="Z105" s="64"/>
    </row>
    <row r="106" spans="1:26" s="14" customForma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T106" s="74"/>
      <c r="Y106" s="64"/>
      <c r="Z106" s="64"/>
    </row>
    <row r="107" spans="1:26" s="14" customForma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T107" s="74"/>
      <c r="Y107" s="64"/>
      <c r="Z107" s="64"/>
    </row>
    <row r="108" spans="1:26" s="14" customForma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T108" s="74"/>
      <c r="Y108" s="64"/>
      <c r="Z108" s="64"/>
    </row>
    <row r="109" spans="1:26" s="14" customForma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T109" s="74"/>
      <c r="Y109" s="64"/>
      <c r="Z109" s="64"/>
    </row>
    <row r="110" spans="1:26" s="14" customForma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T110" s="74"/>
      <c r="Y110" s="64"/>
      <c r="Z110" s="64"/>
    </row>
    <row r="111" spans="1:26" s="14" customForma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T111" s="74"/>
      <c r="Y111" s="64"/>
      <c r="Z111" s="64"/>
    </row>
    <row r="112" spans="1:26" s="14" customForma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T112" s="74"/>
      <c r="Y112" s="64"/>
      <c r="Z112" s="64"/>
    </row>
    <row r="113" spans="1:26" s="14" customForma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T113" s="74"/>
      <c r="Y113" s="64"/>
      <c r="Z113" s="64"/>
    </row>
    <row r="114" spans="1:26" s="14" customForma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T114" s="74"/>
      <c r="Y114" s="64"/>
      <c r="Z114" s="64"/>
    </row>
    <row r="115" spans="1:26" s="14" customForma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T115" s="74"/>
      <c r="Y115" s="64"/>
      <c r="Z115" s="64"/>
    </row>
    <row r="116" spans="1:26" s="14" customForma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T116" s="74"/>
      <c r="Y116" s="64"/>
      <c r="Z116" s="64"/>
    </row>
    <row r="117" spans="1:26" s="14" customForma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T117" s="74"/>
      <c r="Y117" s="64"/>
      <c r="Z117" s="64"/>
    </row>
    <row r="118" spans="1:26" s="14" customForma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T118" s="74"/>
      <c r="Y118" s="64"/>
      <c r="Z118" s="64"/>
    </row>
    <row r="119" spans="1:26" s="14" customForma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T119" s="74"/>
      <c r="Y119" s="64"/>
      <c r="Z119" s="64"/>
    </row>
    <row r="120" spans="1:26" s="14" customForma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T120" s="74"/>
      <c r="Y120" s="64"/>
      <c r="Z120" s="64"/>
    </row>
    <row r="121" spans="1:26" s="14" customForma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T121" s="74"/>
      <c r="Y121" s="64"/>
      <c r="Z121" s="64"/>
    </row>
    <row r="122" spans="1:26" s="14" customForma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T122" s="74"/>
      <c r="Y122" s="64"/>
      <c r="Z122" s="64"/>
    </row>
    <row r="123" spans="1:26" s="14" customForma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T123" s="74"/>
      <c r="Y123" s="64"/>
      <c r="Z123" s="64"/>
    </row>
    <row r="124" spans="1:26" s="14" customForma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T124" s="74"/>
      <c r="Y124" s="64"/>
      <c r="Z124" s="64"/>
    </row>
    <row r="125" spans="1:26" s="14" customForma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T125" s="74"/>
      <c r="Y125" s="64"/>
      <c r="Z125" s="64"/>
    </row>
    <row r="126" spans="1:26" s="14" customForma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T126" s="74"/>
      <c r="Y126" s="64"/>
      <c r="Z126" s="64"/>
    </row>
    <row r="127" spans="1:26" s="14" customForma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T127" s="74"/>
      <c r="Y127" s="64"/>
      <c r="Z127" s="64"/>
    </row>
    <row r="128" spans="1:26" s="14" customForma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T128" s="74"/>
      <c r="Y128" s="64"/>
      <c r="Z128" s="64"/>
    </row>
    <row r="129" spans="1:26" s="14" customForma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T129" s="74"/>
      <c r="Y129" s="64"/>
      <c r="Z129" s="64"/>
    </row>
    <row r="130" spans="1:26" s="14" customForma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T130" s="74"/>
      <c r="Y130" s="64"/>
      <c r="Z130" s="64"/>
    </row>
    <row r="131" spans="1:26" s="14" customForma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T131" s="74"/>
      <c r="Y131" s="64"/>
      <c r="Z131" s="64"/>
    </row>
    <row r="132" spans="1:26" s="14" customForma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T132" s="74"/>
      <c r="Y132" s="64"/>
      <c r="Z132" s="64"/>
    </row>
    <row r="133" spans="1:26" s="14" customForma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T133" s="74"/>
      <c r="Y133" s="64"/>
      <c r="Z133" s="64"/>
    </row>
    <row r="134" spans="1:26" s="14" customForma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T134" s="74"/>
      <c r="Y134" s="64"/>
      <c r="Z134" s="64"/>
    </row>
    <row r="135" spans="1:26" s="14" customForma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T135" s="74"/>
      <c r="Y135" s="64"/>
      <c r="Z135" s="64"/>
    </row>
    <row r="136" spans="1:26" s="14" customForma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T136" s="74"/>
      <c r="Y136" s="64"/>
      <c r="Z136" s="64"/>
    </row>
    <row r="137" spans="1:26" s="14" customForma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T137" s="74"/>
      <c r="Y137" s="64"/>
      <c r="Z137" s="64"/>
    </row>
    <row r="138" spans="1:26" s="14" customForma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T138" s="74"/>
      <c r="Y138" s="64"/>
      <c r="Z138" s="64"/>
    </row>
    <row r="139" spans="1:26" s="14" customForma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T139" s="74"/>
      <c r="Y139" s="64"/>
      <c r="Z139" s="64"/>
    </row>
    <row r="140" spans="1:26" s="14" customForma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T140" s="74"/>
      <c r="Y140" s="64"/>
      <c r="Z140" s="64"/>
    </row>
    <row r="141" spans="1:26" s="14" customForma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T141" s="74"/>
      <c r="Y141" s="64"/>
      <c r="Z141" s="64"/>
    </row>
    <row r="142" spans="1:26" s="14" customForma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T142" s="74"/>
      <c r="Y142" s="64"/>
      <c r="Z142" s="64"/>
    </row>
    <row r="143" spans="1:26" s="14" customForma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T143" s="74"/>
      <c r="Y143" s="64"/>
      <c r="Z143" s="64"/>
    </row>
    <row r="144" spans="1:26" s="14" customForma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T144" s="74"/>
      <c r="Y144" s="64"/>
      <c r="Z144" s="64"/>
    </row>
    <row r="145" spans="1:26" s="14" customForma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T145" s="74"/>
      <c r="Y145" s="64"/>
      <c r="Z145" s="64"/>
    </row>
    <row r="146" spans="1:26" s="14" customForma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T146" s="74"/>
      <c r="Y146" s="64"/>
      <c r="Z146" s="64"/>
    </row>
    <row r="147" spans="1:26" s="14" customForma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T147" s="74"/>
      <c r="Y147" s="64"/>
      <c r="Z147" s="64"/>
    </row>
    <row r="148" spans="1:26" s="14" customForma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T148" s="74"/>
      <c r="Y148" s="64"/>
      <c r="Z148" s="64"/>
    </row>
    <row r="149" spans="1:26" s="14" customForma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T149" s="74"/>
      <c r="Y149" s="64"/>
      <c r="Z149" s="64"/>
    </row>
    <row r="150" spans="1:26" s="14" customForma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T150" s="74"/>
      <c r="Y150" s="64"/>
      <c r="Z150" s="64"/>
    </row>
    <row r="151" spans="1:26" s="14" customForma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T151" s="74"/>
      <c r="Y151" s="64"/>
      <c r="Z151" s="64"/>
    </row>
    <row r="152" spans="1:26" s="14" customForma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T152" s="74"/>
      <c r="Y152" s="64"/>
      <c r="Z152" s="64"/>
    </row>
    <row r="153" spans="1:26" s="14" customForma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T153" s="74"/>
      <c r="Y153" s="64"/>
      <c r="Z153" s="64"/>
    </row>
    <row r="154" spans="1:26" s="14" customForma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T154" s="74"/>
      <c r="Y154" s="64"/>
      <c r="Z154" s="64"/>
    </row>
    <row r="155" spans="1:26" s="14" customForma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T155" s="74"/>
      <c r="Y155" s="64"/>
      <c r="Z155" s="64"/>
    </row>
    <row r="156" spans="1:26" s="14" customForma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T156" s="74"/>
      <c r="Y156" s="64"/>
      <c r="Z156" s="64"/>
    </row>
    <row r="157" spans="1:26" s="14" customForma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T157" s="74"/>
      <c r="Y157" s="64"/>
      <c r="Z157" s="64"/>
    </row>
    <row r="158" spans="1:26" s="14" customForma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T158" s="74"/>
      <c r="Y158" s="64"/>
      <c r="Z158" s="64"/>
    </row>
    <row r="159" spans="1:26" s="14" customForma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T159" s="74"/>
      <c r="Y159" s="64"/>
      <c r="Z159" s="64"/>
    </row>
    <row r="160" spans="1:26" s="14" customForma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T160" s="74"/>
      <c r="Y160" s="64"/>
      <c r="Z160" s="64"/>
    </row>
    <row r="161" spans="1:26" s="14" customForma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T161" s="74"/>
      <c r="Y161" s="64"/>
      <c r="Z161" s="64"/>
    </row>
    <row r="162" spans="1:26" s="14" customForma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T162" s="74"/>
      <c r="Y162" s="64"/>
      <c r="Z162" s="64"/>
    </row>
    <row r="163" spans="1:26" s="14" customForma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T163" s="74"/>
      <c r="Y163" s="64"/>
      <c r="Z163" s="64"/>
    </row>
    <row r="164" spans="1:26" s="14" customForma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T164" s="74"/>
      <c r="Y164" s="64"/>
      <c r="Z164" s="64"/>
    </row>
    <row r="165" spans="1:26" s="14" customForma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T165" s="74"/>
      <c r="Y165" s="64"/>
      <c r="Z165" s="64"/>
    </row>
    <row r="166" spans="1:26" s="14" customForma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T166" s="74"/>
      <c r="Y166" s="64"/>
      <c r="Z166" s="64"/>
    </row>
    <row r="167" spans="1:26" s="14" customForma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T167" s="74"/>
      <c r="Y167" s="64"/>
      <c r="Z167" s="64"/>
    </row>
    <row r="168" spans="1:26" s="14" customForma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T168" s="74"/>
      <c r="Y168" s="64"/>
      <c r="Z168" s="64"/>
    </row>
    <row r="169" spans="1:26" s="14" customForma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T169" s="74"/>
      <c r="Y169" s="64"/>
      <c r="Z169" s="64"/>
    </row>
    <row r="170" spans="1:26" s="14" customForma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T170" s="74"/>
      <c r="Y170" s="64"/>
      <c r="Z170" s="64"/>
    </row>
    <row r="171" spans="1:26" s="14" customForma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T171" s="74"/>
      <c r="Y171" s="64"/>
      <c r="Z171" s="64"/>
    </row>
    <row r="172" spans="1:26" s="14" customForma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T172" s="74"/>
      <c r="Y172" s="64"/>
      <c r="Z172" s="64"/>
    </row>
    <row r="173" spans="1:26" s="14" customForma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T173" s="74"/>
      <c r="Y173" s="64"/>
      <c r="Z173" s="64"/>
    </row>
    <row r="174" spans="1:26" s="14" customForma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T174" s="74"/>
      <c r="Y174" s="64"/>
      <c r="Z174" s="64"/>
    </row>
    <row r="175" spans="1:26" s="14" customForma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T175" s="74"/>
      <c r="Y175" s="64"/>
      <c r="Z175" s="64"/>
    </row>
    <row r="176" spans="1:26" s="14" customForma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T176" s="74"/>
      <c r="Y176" s="64"/>
      <c r="Z176" s="64"/>
    </row>
    <row r="177" spans="1:26" s="14" customForma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T177" s="74"/>
      <c r="Y177" s="64"/>
      <c r="Z177" s="64"/>
    </row>
    <row r="178" spans="1:26" s="14" customForma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T178" s="74"/>
      <c r="Y178" s="64"/>
      <c r="Z178" s="64"/>
    </row>
    <row r="179" spans="1:26" s="14" customForma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T179" s="74"/>
      <c r="Y179" s="64"/>
      <c r="Z179" s="64"/>
    </row>
    <row r="180" spans="1:26" s="14" customForma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T180" s="74"/>
      <c r="Y180" s="64"/>
      <c r="Z180" s="64"/>
    </row>
    <row r="181" spans="1:26" s="14" customForma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T181" s="74"/>
      <c r="Y181" s="64"/>
      <c r="Z181" s="64"/>
    </row>
    <row r="182" spans="1:26" s="14" customForma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T182" s="74"/>
      <c r="Y182" s="64"/>
      <c r="Z182" s="64"/>
    </row>
    <row r="183" spans="1:26" s="14" customForma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T183" s="74"/>
      <c r="Y183" s="64"/>
      <c r="Z183" s="64"/>
    </row>
    <row r="184" spans="1:26" s="14" customForma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T184" s="74"/>
      <c r="Y184" s="64"/>
      <c r="Z184" s="64"/>
    </row>
    <row r="185" spans="1:26" s="14" customForma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T185" s="74"/>
      <c r="Y185" s="64"/>
      <c r="Z185" s="64"/>
    </row>
    <row r="186" spans="1:26" s="14" customForma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T186" s="74"/>
      <c r="Y186" s="64"/>
      <c r="Z186" s="64"/>
    </row>
    <row r="187" spans="1:26" s="14" customForma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T187" s="74"/>
      <c r="Y187" s="64"/>
      <c r="Z187" s="64"/>
    </row>
    <row r="188" spans="1:26" s="14" customForma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T188" s="74"/>
      <c r="Y188" s="64"/>
      <c r="Z188" s="64"/>
    </row>
    <row r="189" spans="1:26" s="14" customForma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T189" s="74"/>
      <c r="Y189" s="64"/>
      <c r="Z189" s="64"/>
    </row>
    <row r="190" spans="1:26" s="14" customForma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T190" s="74"/>
      <c r="Y190" s="64"/>
      <c r="Z190" s="64"/>
    </row>
    <row r="191" spans="1:26" s="14" customForma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T191" s="74"/>
      <c r="Y191" s="64"/>
      <c r="Z191" s="64"/>
    </row>
    <row r="192" spans="1:26" s="14" customForma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T192" s="74"/>
      <c r="Y192" s="64"/>
      <c r="Z192" s="64"/>
    </row>
    <row r="193" spans="1:26" s="14" customForma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T193" s="74"/>
      <c r="Y193" s="64"/>
      <c r="Z193" s="64"/>
    </row>
    <row r="194" spans="1:26" s="14" customForma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T194" s="74"/>
      <c r="Y194" s="64"/>
      <c r="Z194" s="64"/>
    </row>
    <row r="195" spans="1:26" s="14" customForma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T195" s="74"/>
      <c r="Y195" s="64"/>
      <c r="Z195" s="64"/>
    </row>
    <row r="196" spans="1:26" s="14" customForma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T196" s="74"/>
      <c r="Y196" s="64"/>
      <c r="Z196" s="64"/>
    </row>
    <row r="197" spans="1:26" s="14" customForma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T197" s="74"/>
      <c r="Y197" s="64"/>
      <c r="Z197" s="64"/>
    </row>
    <row r="198" spans="1:26" s="14" customForma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T198" s="74"/>
      <c r="Y198" s="64"/>
      <c r="Z198" s="64"/>
    </row>
    <row r="199" spans="1:26" s="14" customForma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T199" s="74"/>
      <c r="Y199" s="64"/>
      <c r="Z199" s="64"/>
    </row>
    <row r="200" spans="1:26" s="14" customForma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T200" s="74"/>
      <c r="Y200" s="64"/>
      <c r="Z200" s="64"/>
    </row>
    <row r="201" spans="1:26" s="14" customForma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T201" s="74"/>
      <c r="Y201" s="64"/>
      <c r="Z201" s="64"/>
    </row>
    <row r="202" spans="1:26" s="14" customForma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T202" s="74"/>
      <c r="Y202" s="64"/>
      <c r="Z202" s="64"/>
    </row>
    <row r="203" spans="1:26" s="14" customForma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T203" s="74"/>
      <c r="Y203" s="64"/>
      <c r="Z203" s="64"/>
    </row>
    <row r="204" spans="1:26" s="14" customForma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T204" s="74"/>
      <c r="Y204" s="64"/>
      <c r="Z204" s="64"/>
    </row>
    <row r="205" spans="1:26" s="14" customForma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T205" s="74"/>
      <c r="Y205" s="64"/>
      <c r="Z205" s="64"/>
    </row>
    <row r="206" spans="1:26" s="14" customForma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T206" s="74"/>
      <c r="Y206" s="64"/>
      <c r="Z206" s="64"/>
    </row>
    <row r="207" spans="1:26" s="14" customForma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T207" s="74"/>
      <c r="Y207" s="64"/>
      <c r="Z207" s="64"/>
    </row>
    <row r="208" spans="1:26" s="14" customForma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T208" s="74"/>
      <c r="Y208" s="64"/>
      <c r="Z208" s="64"/>
    </row>
    <row r="209" spans="1:26" s="14" customForma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T209" s="74"/>
      <c r="Y209" s="64"/>
      <c r="Z209" s="64"/>
    </row>
    <row r="210" spans="1:26" s="14" customForma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T210" s="74"/>
      <c r="Y210" s="64"/>
      <c r="Z210" s="64"/>
    </row>
    <row r="211" spans="1:26" s="14" customForma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T211" s="74"/>
      <c r="Y211" s="64"/>
      <c r="Z211" s="64"/>
    </row>
    <row r="212" spans="1:26" s="14" customForma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T212" s="74"/>
      <c r="Y212" s="64"/>
      <c r="Z212" s="64"/>
    </row>
    <row r="213" spans="1:26" s="14" customForma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T213" s="74"/>
      <c r="Y213" s="64"/>
      <c r="Z213" s="64"/>
    </row>
    <row r="214" spans="1:26" s="14" customForma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T214" s="74"/>
      <c r="Y214" s="64"/>
      <c r="Z214" s="64"/>
    </row>
    <row r="215" spans="1:26" s="14" customForma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T215" s="74"/>
      <c r="Y215" s="64"/>
      <c r="Z215" s="64"/>
    </row>
    <row r="216" spans="1:26" s="14" customForma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T216" s="74"/>
      <c r="Y216" s="64"/>
      <c r="Z216" s="64"/>
    </row>
    <row r="217" spans="1:26" s="14" customForma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T217" s="74"/>
      <c r="Y217" s="64"/>
      <c r="Z217" s="64"/>
    </row>
    <row r="218" spans="1:26" s="14" customForma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T218" s="74"/>
      <c r="Y218" s="64"/>
      <c r="Z218" s="64"/>
    </row>
    <row r="219" spans="1:26" s="14" customForma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T219" s="74"/>
      <c r="Y219" s="64"/>
      <c r="Z219" s="64"/>
    </row>
    <row r="220" spans="1:26" s="14" customForma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T220" s="74"/>
      <c r="Y220" s="64"/>
      <c r="Z220" s="64"/>
    </row>
    <row r="221" spans="1:26" s="14" customForma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T221" s="74"/>
      <c r="Y221" s="64"/>
      <c r="Z221" s="64"/>
    </row>
    <row r="222" spans="1:26" s="14" customForma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T222" s="74"/>
      <c r="Y222" s="64"/>
      <c r="Z222" s="64"/>
    </row>
    <row r="223" spans="1:26" s="14" customForma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T223" s="74"/>
      <c r="Y223" s="64"/>
      <c r="Z223" s="64"/>
    </row>
    <row r="224" spans="1:26" s="14" customForma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T224" s="74"/>
      <c r="Y224" s="64"/>
      <c r="Z224" s="64"/>
    </row>
    <row r="225" spans="1:26" s="14" customForma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T225" s="74"/>
      <c r="Y225" s="64"/>
      <c r="Z225" s="64"/>
    </row>
    <row r="226" spans="1:26" s="14" customForma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T226" s="74"/>
      <c r="Y226" s="64"/>
      <c r="Z226" s="64"/>
    </row>
    <row r="227" spans="1:26" s="14" customForma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T227" s="74"/>
      <c r="Y227" s="64"/>
      <c r="Z227" s="64"/>
    </row>
    <row r="228" spans="1:26" s="14" customForma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T228" s="74"/>
      <c r="Y228" s="64"/>
      <c r="Z228" s="64"/>
    </row>
    <row r="229" spans="1:26" s="14" customForma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T229" s="74"/>
      <c r="Y229" s="64"/>
      <c r="Z229" s="64"/>
    </row>
    <row r="230" spans="1:26" s="14" customForma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T230" s="74"/>
      <c r="Y230" s="64"/>
      <c r="Z230" s="64"/>
    </row>
    <row r="231" spans="1:26" s="14" customForma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T231" s="74"/>
      <c r="Y231" s="64"/>
      <c r="Z231" s="64"/>
    </row>
    <row r="232" spans="1:26" s="14" customForma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T232" s="74"/>
      <c r="Y232" s="64"/>
      <c r="Z232" s="64"/>
    </row>
    <row r="233" spans="1:26" s="14" customForma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T233" s="74"/>
      <c r="Y233" s="64"/>
      <c r="Z233" s="64"/>
    </row>
    <row r="234" spans="1:26" s="14" customForma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T234" s="74"/>
      <c r="Y234" s="64"/>
      <c r="Z234" s="64"/>
    </row>
    <row r="235" spans="1:26" s="14" customForma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T235" s="74"/>
      <c r="Y235" s="64"/>
      <c r="Z235" s="64"/>
    </row>
    <row r="236" spans="1:26" s="14" customForma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T236" s="74"/>
      <c r="Y236" s="64"/>
      <c r="Z236" s="64"/>
    </row>
    <row r="237" spans="1:26" s="14" customForma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T237" s="74"/>
      <c r="Y237" s="64"/>
      <c r="Z237" s="64"/>
    </row>
    <row r="238" spans="1:26" s="14" customForma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T238" s="74"/>
      <c r="Y238" s="64"/>
      <c r="Z238" s="64"/>
    </row>
    <row r="239" spans="1:26" s="14" customForma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T239" s="74"/>
      <c r="Y239" s="64"/>
      <c r="Z239" s="64"/>
    </row>
    <row r="240" spans="1:26" s="14" customForma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T240" s="74"/>
      <c r="Y240" s="64"/>
      <c r="Z240" s="64"/>
    </row>
    <row r="241" spans="1:26" s="14" customForma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T241" s="74"/>
      <c r="Y241" s="64"/>
      <c r="Z241" s="64"/>
    </row>
    <row r="242" spans="1:26" s="14" customForma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T242" s="74"/>
      <c r="Y242" s="64"/>
      <c r="Z242" s="64"/>
    </row>
    <row r="243" spans="1:26" s="14" customForma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T243" s="74"/>
      <c r="Y243" s="64"/>
      <c r="Z243" s="64"/>
    </row>
    <row r="244" spans="1:26" s="14" customForma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T244" s="74"/>
      <c r="Y244" s="64"/>
      <c r="Z244" s="64"/>
    </row>
    <row r="245" spans="1:26" s="14" customForma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T245" s="74"/>
      <c r="Y245" s="64"/>
      <c r="Z245" s="64"/>
    </row>
    <row r="246" spans="1:26" s="14" customForma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T246" s="74"/>
      <c r="Y246" s="64"/>
      <c r="Z246" s="64"/>
    </row>
    <row r="247" spans="1:26" s="14" customForma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T247" s="74"/>
      <c r="Y247" s="64"/>
      <c r="Z247" s="64"/>
    </row>
    <row r="248" spans="1:26" s="14" customForma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T248" s="74"/>
      <c r="Y248" s="64"/>
      <c r="Z248" s="64"/>
    </row>
    <row r="249" spans="1:26" s="14" customForma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T249" s="74"/>
      <c r="Y249" s="64"/>
      <c r="Z249" s="64"/>
    </row>
    <row r="250" spans="1:26" s="14" customForma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T250" s="74"/>
      <c r="Y250" s="64"/>
      <c r="Z250" s="64"/>
    </row>
    <row r="251" spans="1:26" s="14" customForma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T251" s="74"/>
      <c r="Y251" s="64"/>
      <c r="Z251" s="64"/>
    </row>
    <row r="252" spans="1:26" s="14" customForma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T252" s="74"/>
      <c r="Y252" s="64"/>
      <c r="Z252" s="64"/>
    </row>
    <row r="253" spans="1:26" s="14" customForma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T253" s="74"/>
      <c r="Y253" s="64"/>
      <c r="Z253" s="64"/>
    </row>
    <row r="254" spans="1:26" s="14" customForma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T254" s="74"/>
      <c r="Y254" s="64"/>
      <c r="Z254" s="64"/>
    </row>
    <row r="255" spans="1:26" s="14" customForma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T255" s="74"/>
      <c r="Y255" s="64"/>
      <c r="Z255" s="64"/>
    </row>
    <row r="256" spans="1:26" s="14" customForma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T256" s="74"/>
      <c r="Y256" s="64"/>
      <c r="Z256" s="64"/>
    </row>
    <row r="257" spans="1:26" s="14" customForma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T257" s="74"/>
      <c r="Y257" s="64"/>
      <c r="Z257" s="64"/>
    </row>
    <row r="258" spans="1:26" s="14" customForma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T258" s="74"/>
      <c r="Y258" s="64"/>
      <c r="Z258" s="64"/>
    </row>
    <row r="259" spans="1:26" s="14" customForma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T259" s="74"/>
      <c r="Y259" s="64"/>
      <c r="Z259" s="64"/>
    </row>
    <row r="260" spans="1:26" s="14" customForma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T260" s="74"/>
      <c r="Y260" s="64"/>
      <c r="Z260" s="64"/>
    </row>
    <row r="261" spans="1:26" s="14" customForma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T261" s="74"/>
      <c r="Y261" s="64"/>
      <c r="Z261" s="64"/>
    </row>
    <row r="262" spans="1:26" s="14" customForma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T262" s="74"/>
      <c r="Y262" s="64"/>
      <c r="Z262" s="64"/>
    </row>
    <row r="263" spans="1:26" s="14" customForma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T263" s="74"/>
      <c r="Y263" s="64"/>
      <c r="Z263" s="64"/>
    </row>
    <row r="264" spans="1:26" s="14" customForma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T264" s="74"/>
      <c r="Y264" s="64"/>
      <c r="Z264" s="64"/>
    </row>
    <row r="265" spans="1:26" s="14" customForma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T265" s="74"/>
      <c r="Y265" s="64"/>
      <c r="Z265" s="64"/>
    </row>
    <row r="266" spans="1:26" s="14" customForma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T266" s="74"/>
      <c r="Y266" s="64"/>
      <c r="Z266" s="64"/>
    </row>
    <row r="267" spans="1:26" s="14" customForma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T267" s="74"/>
      <c r="Y267" s="64"/>
      <c r="Z267" s="64"/>
    </row>
    <row r="268" spans="1:26" s="14" customForma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T268" s="74"/>
      <c r="Y268" s="64"/>
      <c r="Z268" s="64"/>
    </row>
    <row r="269" spans="1:26" s="14" customForma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T269" s="74"/>
      <c r="Y269" s="64"/>
      <c r="Z269" s="64"/>
    </row>
    <row r="270" spans="1:26" s="14" customForma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T270" s="74"/>
      <c r="Y270" s="64"/>
      <c r="Z270" s="64"/>
    </row>
    <row r="271" spans="1:26" s="14" customForma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T271" s="74"/>
      <c r="Y271" s="64"/>
      <c r="Z271" s="64"/>
    </row>
    <row r="272" spans="1:26" s="14" customForma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T272" s="74"/>
      <c r="Y272" s="64"/>
      <c r="Z272" s="64"/>
    </row>
    <row r="273" spans="1:26" s="14" customForma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T273" s="74"/>
      <c r="Y273" s="64"/>
      <c r="Z273" s="64"/>
    </row>
    <row r="274" spans="1:26" s="14" customForma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T274" s="74"/>
      <c r="Y274" s="64"/>
      <c r="Z274" s="64"/>
    </row>
    <row r="275" spans="1:26" s="14" customForma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T275" s="74"/>
      <c r="Y275" s="64"/>
      <c r="Z275" s="64"/>
    </row>
    <row r="276" spans="1:26" s="14" customForma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T276" s="74"/>
      <c r="Y276" s="64"/>
      <c r="Z276" s="64"/>
    </row>
    <row r="277" spans="1:26" s="14" customForma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T277" s="74"/>
      <c r="Y277" s="64"/>
      <c r="Z277" s="64"/>
    </row>
    <row r="278" spans="1:26" s="14" customForma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T278" s="74"/>
      <c r="Y278" s="64"/>
      <c r="Z278" s="64"/>
    </row>
    <row r="279" spans="1:26" s="14" customForma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T279" s="74"/>
      <c r="Y279" s="64"/>
      <c r="Z279" s="64"/>
    </row>
    <row r="280" spans="1:26" s="14" customForma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T280" s="74"/>
      <c r="Y280" s="64"/>
      <c r="Z280" s="64"/>
    </row>
    <row r="281" spans="1:26" s="14" customForma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T281" s="74"/>
      <c r="Y281" s="64"/>
      <c r="Z281" s="64"/>
    </row>
    <row r="282" spans="1:26" s="14" customForma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T282" s="74"/>
      <c r="Y282" s="64"/>
      <c r="Z282" s="64"/>
    </row>
    <row r="283" spans="1:26" s="14" customForma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T283" s="74"/>
      <c r="Y283" s="64"/>
      <c r="Z283" s="64"/>
    </row>
    <row r="284" spans="1:26" s="14" customForma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T284" s="74"/>
      <c r="Y284" s="64"/>
      <c r="Z284" s="64"/>
    </row>
    <row r="285" spans="1:26" s="14" customForma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T285" s="74"/>
      <c r="Y285" s="64"/>
      <c r="Z285" s="64"/>
    </row>
    <row r="286" spans="1:26" s="14" customForma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T286" s="74"/>
      <c r="Y286" s="64"/>
      <c r="Z286" s="64"/>
    </row>
    <row r="287" spans="1:26" s="14" customForma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T287" s="74"/>
      <c r="Y287" s="64"/>
      <c r="Z287" s="64"/>
    </row>
    <row r="288" spans="1:26" s="14" customForma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T288" s="74"/>
      <c r="Y288" s="64"/>
      <c r="Z288" s="64"/>
    </row>
    <row r="289" spans="1:26" s="14" customForma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T289" s="74"/>
      <c r="Y289" s="64"/>
      <c r="Z289" s="64"/>
    </row>
    <row r="290" spans="1:26" s="14" customForma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T290" s="74"/>
      <c r="Y290" s="64"/>
      <c r="Z290" s="64"/>
    </row>
    <row r="291" spans="1:26" s="14" customForma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T291" s="74"/>
      <c r="Y291" s="64"/>
      <c r="Z291" s="64"/>
    </row>
    <row r="292" spans="1:26" s="14" customForma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T292" s="74"/>
      <c r="Y292" s="64"/>
      <c r="Z292" s="64"/>
    </row>
    <row r="293" spans="1:26" s="14" customForma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T293" s="74"/>
      <c r="Y293" s="64"/>
      <c r="Z293" s="64"/>
    </row>
    <row r="294" spans="1:26" s="14" customForma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T294" s="74"/>
      <c r="Y294" s="64"/>
      <c r="Z294" s="64"/>
    </row>
    <row r="295" spans="1:26" s="14" customForma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T295" s="74"/>
      <c r="Y295" s="64"/>
      <c r="Z295" s="64"/>
    </row>
    <row r="296" spans="1:26" s="14" customForma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T296" s="74"/>
      <c r="Y296" s="64"/>
      <c r="Z296" s="64"/>
    </row>
    <row r="297" spans="1:26" s="14" customForma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T297" s="74"/>
      <c r="Y297" s="64"/>
      <c r="Z297" s="64"/>
    </row>
    <row r="298" spans="1:26" s="14" customForma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T298" s="74"/>
      <c r="Y298" s="64"/>
      <c r="Z298" s="64"/>
    </row>
    <row r="299" spans="1:26" s="14" customForma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T299" s="74"/>
      <c r="Y299" s="64"/>
      <c r="Z299" s="64"/>
    </row>
    <row r="300" spans="1:26" s="14" customForma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T300" s="74"/>
      <c r="Y300" s="64"/>
      <c r="Z300" s="64"/>
    </row>
    <row r="301" spans="1:26" s="14" customForma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T301" s="74"/>
      <c r="Y301" s="64"/>
      <c r="Z301" s="64"/>
    </row>
    <row r="302" spans="1:26" s="14" customForma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T302" s="74"/>
      <c r="Y302" s="64"/>
      <c r="Z302" s="64"/>
    </row>
    <row r="303" spans="1:26" s="14" customForma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T303" s="74"/>
      <c r="Y303" s="64"/>
      <c r="Z303" s="64"/>
    </row>
    <row r="304" spans="1:26" s="14" customForma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T304" s="74"/>
      <c r="Y304" s="64"/>
      <c r="Z304" s="64"/>
    </row>
    <row r="305" spans="1:26" s="14" customForma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T305" s="74"/>
      <c r="Y305" s="64"/>
      <c r="Z305" s="64"/>
    </row>
    <row r="306" spans="1:26" s="14" customForma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T306" s="74"/>
      <c r="Y306" s="64"/>
      <c r="Z306" s="64"/>
    </row>
    <row r="307" spans="1:26" s="14" customForma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T307" s="74"/>
      <c r="Y307" s="64"/>
      <c r="Z307" s="64"/>
    </row>
    <row r="308" spans="1:26" s="14" customForma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T308" s="74"/>
      <c r="Y308" s="64"/>
      <c r="Z308" s="64"/>
    </row>
    <row r="309" spans="1:26" s="14" customForma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T309" s="74"/>
      <c r="Y309" s="64"/>
      <c r="Z309" s="64"/>
    </row>
    <row r="310" spans="1:26" s="14" customForma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T310" s="74"/>
      <c r="Y310" s="64"/>
      <c r="Z310" s="64"/>
    </row>
    <row r="311" spans="1:26" s="14" customForma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T311" s="74"/>
      <c r="Y311" s="64"/>
      <c r="Z311" s="64"/>
    </row>
    <row r="312" spans="1:26" s="14" customForma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T312" s="74"/>
      <c r="Y312" s="64"/>
      <c r="Z312" s="64"/>
    </row>
    <row r="313" spans="1:26" s="14" customForma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T313" s="74"/>
      <c r="Y313" s="64"/>
      <c r="Z313" s="64"/>
    </row>
    <row r="314" spans="1:26" s="14" customForma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T314" s="74"/>
      <c r="Y314" s="64"/>
      <c r="Z314" s="64"/>
    </row>
    <row r="315" spans="1:26" s="14" customForma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T315" s="74"/>
      <c r="Y315" s="64"/>
      <c r="Z315" s="64"/>
    </row>
    <row r="316" spans="1:26" s="14" customForma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T316" s="74"/>
      <c r="Y316" s="64"/>
      <c r="Z316" s="64"/>
    </row>
    <row r="317" spans="1:26" s="14" customForma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T317" s="74"/>
      <c r="Y317" s="64"/>
      <c r="Z317" s="64"/>
    </row>
    <row r="318" spans="1:26" s="14" customForma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T318" s="74"/>
      <c r="Y318" s="64"/>
      <c r="Z318" s="64"/>
    </row>
    <row r="319" spans="1:26" s="14" customForma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T319" s="74"/>
      <c r="Y319" s="64"/>
      <c r="Z319" s="64"/>
    </row>
    <row r="320" spans="1:26" s="14" customForma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T320" s="74"/>
      <c r="Y320" s="64"/>
      <c r="Z320" s="64"/>
    </row>
    <row r="321" spans="1:26" s="14" customForma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T321" s="74"/>
      <c r="Y321" s="64"/>
      <c r="Z321" s="64"/>
    </row>
    <row r="322" spans="1:26" s="14" customForma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T322" s="74"/>
      <c r="Y322" s="64"/>
      <c r="Z322" s="64"/>
    </row>
    <row r="323" spans="1:26" s="14" customForma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T323" s="74"/>
      <c r="Y323" s="64"/>
      <c r="Z323" s="64"/>
    </row>
    <row r="324" spans="1:26" s="14" customForma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T324" s="74"/>
      <c r="Y324" s="64"/>
      <c r="Z324" s="64"/>
    </row>
    <row r="325" spans="1:26" s="14" customForma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T325" s="74"/>
      <c r="Y325" s="64"/>
      <c r="Z325" s="64"/>
    </row>
    <row r="326" spans="1:26" s="14" customForma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T326" s="74"/>
      <c r="Y326" s="64"/>
      <c r="Z326" s="64"/>
    </row>
    <row r="327" spans="1:26" s="14" customForma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T327" s="74"/>
      <c r="Y327" s="64"/>
      <c r="Z327" s="64"/>
    </row>
    <row r="328" spans="1:26" s="14" customForma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T328" s="74"/>
      <c r="Y328" s="64"/>
      <c r="Z328" s="64"/>
    </row>
    <row r="329" spans="1:26" s="14" customForma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T329" s="74"/>
      <c r="Y329" s="64"/>
      <c r="Z329" s="64"/>
    </row>
    <row r="330" spans="1:26" s="14" customForma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T330" s="74"/>
      <c r="Y330" s="64"/>
      <c r="Z330" s="64"/>
    </row>
    <row r="331" spans="1:26" s="14" customForma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T331" s="74"/>
      <c r="Y331" s="64"/>
      <c r="Z331" s="64"/>
    </row>
    <row r="332" spans="1:26" s="14" customForma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T332" s="74"/>
      <c r="Y332" s="64"/>
      <c r="Z332" s="64"/>
    </row>
    <row r="333" spans="1:26" s="14" customForma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T333" s="74"/>
      <c r="Y333" s="64"/>
      <c r="Z333" s="64"/>
    </row>
    <row r="334" spans="1:26" s="14" customForma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T334" s="74"/>
      <c r="Y334" s="64"/>
      <c r="Z334" s="64"/>
    </row>
    <row r="335" spans="1:26" s="14" customForma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T335" s="74"/>
      <c r="Y335" s="64"/>
      <c r="Z335" s="64"/>
    </row>
    <row r="336" spans="1:26" s="14" customForma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T336" s="74"/>
      <c r="Y336" s="64"/>
      <c r="Z336" s="64"/>
    </row>
    <row r="337" spans="1:26" s="14" customForma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T337" s="74"/>
      <c r="Y337" s="64"/>
      <c r="Z337" s="64"/>
    </row>
    <row r="338" spans="1:26" s="14" customForma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T338" s="74"/>
      <c r="Y338" s="64"/>
      <c r="Z338" s="64"/>
    </row>
    <row r="339" spans="1:26" s="14" customForma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T339" s="74"/>
      <c r="Y339" s="64"/>
      <c r="Z339" s="64"/>
    </row>
    <row r="340" spans="1:26" s="14" customForma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T340" s="74"/>
      <c r="Y340" s="64"/>
      <c r="Z340" s="64"/>
    </row>
    <row r="341" spans="1:26" s="14" customForma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T341" s="74"/>
      <c r="Y341" s="64"/>
      <c r="Z341" s="64"/>
    </row>
    <row r="342" spans="1:26" s="14" customForma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T342" s="74"/>
      <c r="Y342" s="64"/>
      <c r="Z342" s="64"/>
    </row>
    <row r="343" spans="1:26" s="14" customForma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T343" s="74"/>
      <c r="Y343" s="64"/>
      <c r="Z343" s="64"/>
    </row>
    <row r="344" spans="1:26" s="14" customForma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T344" s="74"/>
      <c r="Y344" s="64"/>
      <c r="Z344" s="64"/>
    </row>
    <row r="345" spans="1:26" s="14" customForma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T345" s="74"/>
      <c r="Y345" s="64"/>
      <c r="Z345" s="64"/>
    </row>
    <row r="346" spans="1:26" s="14" customForma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T346" s="74"/>
      <c r="Y346" s="64"/>
      <c r="Z346" s="64"/>
    </row>
    <row r="347" spans="1:26" s="14" customForma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T347" s="74"/>
      <c r="Y347" s="64"/>
      <c r="Z347" s="64"/>
    </row>
    <row r="348" spans="1:26" s="14" customForma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T348" s="74"/>
      <c r="Y348" s="64"/>
      <c r="Z348" s="64"/>
    </row>
    <row r="349" spans="1:26" s="14" customForma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T349" s="74"/>
      <c r="Y349" s="64"/>
      <c r="Z349" s="64"/>
    </row>
    <row r="350" spans="1:26" s="14" customForma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T350" s="74"/>
      <c r="Y350" s="64"/>
      <c r="Z350" s="64"/>
    </row>
    <row r="351" spans="1:26" s="14" customForma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T351" s="74"/>
      <c r="Y351" s="64"/>
      <c r="Z351" s="64"/>
    </row>
    <row r="352" spans="1:26" s="14" customForma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T352" s="74"/>
      <c r="Y352" s="64"/>
      <c r="Z352" s="64"/>
    </row>
    <row r="353" spans="1:26" s="14" customForma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T353" s="74"/>
      <c r="Y353" s="64"/>
      <c r="Z353" s="64"/>
    </row>
    <row r="354" spans="1:26" s="14" customForma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T354" s="74"/>
      <c r="Y354" s="64"/>
      <c r="Z354" s="64"/>
    </row>
    <row r="355" spans="1:26" s="14" customForma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T355" s="74"/>
      <c r="Y355" s="64"/>
      <c r="Z355" s="64"/>
    </row>
    <row r="356" spans="1:26" s="14" customForma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T356" s="74"/>
      <c r="Y356" s="64"/>
      <c r="Z356" s="64"/>
    </row>
    <row r="357" spans="1:26" s="14" customForma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T357" s="74"/>
      <c r="Y357" s="64"/>
      <c r="Z357" s="64"/>
    </row>
    <row r="358" spans="1:26" s="14" customForma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T358" s="74"/>
      <c r="Y358" s="64"/>
      <c r="Z358" s="64"/>
    </row>
    <row r="359" spans="1:26" s="14" customForma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T359" s="74"/>
      <c r="Y359" s="64"/>
      <c r="Z359" s="64"/>
    </row>
    <row r="360" spans="1:26" s="14" customForma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T360" s="74"/>
      <c r="Y360" s="64"/>
      <c r="Z360" s="64"/>
    </row>
    <row r="361" spans="1:26" s="14" customForma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T361" s="74"/>
      <c r="Y361" s="64"/>
      <c r="Z361" s="64"/>
    </row>
    <row r="362" spans="1:26" s="14" customForma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T362" s="74"/>
      <c r="Y362" s="64"/>
      <c r="Z362" s="64"/>
    </row>
    <row r="363" spans="1:26" s="14" customForma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T363" s="74"/>
      <c r="Y363" s="64"/>
      <c r="Z363" s="64"/>
    </row>
    <row r="364" spans="1:26" s="14" customForma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T364" s="74"/>
      <c r="Y364" s="64"/>
      <c r="Z364" s="64"/>
    </row>
    <row r="365" spans="1:26" s="14" customForma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T365" s="74"/>
      <c r="Y365" s="64"/>
      <c r="Z365" s="64"/>
    </row>
    <row r="366" spans="1:26" s="14" customForma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T366" s="74"/>
      <c r="Y366" s="64"/>
      <c r="Z366" s="64"/>
    </row>
    <row r="367" spans="1:26" s="14" customForma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T367" s="74"/>
      <c r="Y367" s="64"/>
      <c r="Z367" s="64"/>
    </row>
    <row r="368" spans="1:26" s="14" customForma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T368" s="74"/>
      <c r="Y368" s="64"/>
      <c r="Z368" s="64"/>
    </row>
    <row r="369" spans="1:26" s="14" customForma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T369" s="74"/>
      <c r="Y369" s="64"/>
      <c r="Z369" s="64"/>
    </row>
    <row r="370" spans="1:26" s="14" customForma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T370" s="74"/>
      <c r="Y370" s="64"/>
      <c r="Z370" s="64"/>
    </row>
    <row r="371" spans="1:26" s="14" customForma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T371" s="74"/>
      <c r="Y371" s="64"/>
      <c r="Z371" s="64"/>
    </row>
    <row r="372" spans="1:26" s="14" customForma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T372" s="74"/>
      <c r="Y372" s="64"/>
      <c r="Z372" s="64"/>
    </row>
    <row r="373" spans="1:26" s="14" customForma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T373" s="74"/>
      <c r="Y373" s="64"/>
      <c r="Z373" s="64"/>
    </row>
    <row r="374" spans="1:26" s="14" customForma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T374" s="74"/>
      <c r="Y374" s="64"/>
      <c r="Z374" s="64"/>
    </row>
    <row r="375" spans="1:26" s="14" customForma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T375" s="74"/>
      <c r="Y375" s="64"/>
      <c r="Z375" s="64"/>
    </row>
    <row r="376" spans="1:26" s="14" customForma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T376" s="74"/>
      <c r="Y376" s="64"/>
      <c r="Z376" s="64"/>
    </row>
    <row r="377" spans="1:26" s="14" customForma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T377" s="74"/>
      <c r="Y377" s="64"/>
      <c r="Z377" s="64"/>
    </row>
    <row r="378" spans="1:26" s="14" customForma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T378" s="74"/>
      <c r="Y378" s="64"/>
      <c r="Z378" s="64"/>
    </row>
    <row r="379" spans="1:26" s="14" customForma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T379" s="74"/>
      <c r="Y379" s="64"/>
      <c r="Z379" s="64"/>
    </row>
    <row r="380" spans="1:26" s="14" customForma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T380" s="74"/>
      <c r="Y380" s="64"/>
      <c r="Z380" s="64"/>
    </row>
    <row r="381" spans="1:26" s="14" customForma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T381" s="74"/>
      <c r="Y381" s="64"/>
      <c r="Z381" s="64"/>
    </row>
    <row r="382" spans="1:26" s="14" customForma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T382" s="74"/>
      <c r="Y382" s="64"/>
      <c r="Z382" s="64"/>
    </row>
    <row r="383" spans="1:26" s="14" customForma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T383" s="74"/>
      <c r="Y383" s="64"/>
      <c r="Z383" s="64"/>
    </row>
    <row r="384" spans="1:26" s="14" customForma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T384" s="74"/>
      <c r="Y384" s="64"/>
      <c r="Z384" s="64"/>
    </row>
    <row r="385" spans="1:26" s="14" customForma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T385" s="74"/>
      <c r="Y385" s="64"/>
      <c r="Z385" s="64"/>
    </row>
    <row r="386" spans="1:26" s="14" customForma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T386" s="74"/>
      <c r="Y386" s="64"/>
      <c r="Z386" s="64"/>
    </row>
    <row r="387" spans="1:26" s="14" customForma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T387" s="74"/>
      <c r="Y387" s="64"/>
      <c r="Z387" s="64"/>
    </row>
    <row r="388" spans="1:26" s="14" customForma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T388" s="74"/>
      <c r="Y388" s="64"/>
      <c r="Z388" s="64"/>
    </row>
    <row r="389" spans="1:26" s="14" customForma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T389" s="74"/>
      <c r="Y389" s="64"/>
      <c r="Z389" s="64"/>
    </row>
    <row r="390" spans="1:26" s="14" customForma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T390" s="74"/>
      <c r="Y390" s="64"/>
      <c r="Z390" s="64"/>
    </row>
    <row r="391" spans="1:26" s="14" customForma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T391" s="74"/>
      <c r="Y391" s="64"/>
      <c r="Z391" s="64"/>
    </row>
    <row r="392" spans="1:26" s="14" customForma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T392" s="74"/>
      <c r="Y392" s="64"/>
      <c r="Z392" s="64"/>
    </row>
    <row r="393" spans="1:26" s="14" customForma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T393" s="74"/>
      <c r="Y393" s="64"/>
      <c r="Z393" s="64"/>
    </row>
    <row r="394" spans="1:26" s="14" customForma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T394" s="74"/>
      <c r="Y394" s="64"/>
      <c r="Z394" s="64"/>
    </row>
    <row r="395" spans="1:26" s="14" customForma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T395" s="74"/>
      <c r="Y395" s="64"/>
      <c r="Z395" s="64"/>
    </row>
    <row r="396" spans="1:26" s="14" customForma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T396" s="74"/>
      <c r="Y396" s="64"/>
      <c r="Z396" s="64"/>
    </row>
    <row r="397" spans="1:26" s="14" customForma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T397" s="74"/>
      <c r="Y397" s="64"/>
      <c r="Z397" s="64"/>
    </row>
    <row r="398" spans="1:26" s="14" customForma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T398" s="74"/>
      <c r="Y398" s="64"/>
      <c r="Z398" s="64"/>
    </row>
    <row r="399" spans="1:26" s="14" customForma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T399" s="74"/>
      <c r="Y399" s="64"/>
      <c r="Z399" s="64"/>
    </row>
    <row r="400" spans="1:26" s="14" customForma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T400" s="74"/>
      <c r="Y400" s="64"/>
      <c r="Z400" s="64"/>
    </row>
    <row r="401" spans="1:26" s="14" customForma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T401" s="74"/>
      <c r="Y401" s="64"/>
      <c r="Z401" s="64"/>
    </row>
    <row r="402" spans="1:26" s="14" customForma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T402" s="74"/>
      <c r="Y402" s="64"/>
      <c r="Z402" s="64"/>
    </row>
    <row r="403" spans="1:26" s="14" customForma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T403" s="74"/>
      <c r="Y403" s="64"/>
      <c r="Z403" s="64"/>
    </row>
    <row r="404" spans="1:26" s="14" customForma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T404" s="74"/>
      <c r="Y404" s="64"/>
      <c r="Z404" s="64"/>
    </row>
    <row r="405" spans="1:26" s="14" customForma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T405" s="74"/>
      <c r="Y405" s="64"/>
      <c r="Z405" s="64"/>
    </row>
    <row r="406" spans="1:26" s="14" customForma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T406" s="74"/>
      <c r="Y406" s="64"/>
      <c r="Z406" s="64"/>
    </row>
    <row r="407" spans="1:26" s="14" customForma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T407" s="74"/>
      <c r="Y407" s="64"/>
      <c r="Z407" s="64"/>
    </row>
    <row r="408" spans="1:26" s="14" customForma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T408" s="74"/>
      <c r="Y408" s="64"/>
      <c r="Z408" s="64"/>
    </row>
    <row r="409" spans="1:26" s="14" customForma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T409" s="74"/>
      <c r="Y409" s="64"/>
      <c r="Z409" s="64"/>
    </row>
    <row r="410" spans="1:26" s="14" customForma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T410" s="74"/>
      <c r="Y410" s="64"/>
      <c r="Z410" s="64"/>
    </row>
    <row r="411" spans="1:26" s="14" customForma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T411" s="74"/>
      <c r="Y411" s="64"/>
      <c r="Z411" s="64"/>
    </row>
    <row r="412" spans="1:26" s="14" customForma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T412" s="74"/>
      <c r="Y412" s="64"/>
      <c r="Z412" s="64"/>
    </row>
    <row r="413" spans="1:26" s="14" customForma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T413" s="74"/>
      <c r="Y413" s="64"/>
      <c r="Z413" s="64"/>
    </row>
    <row r="414" spans="1:26" s="14" customForma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T414" s="74"/>
      <c r="Y414" s="64"/>
      <c r="Z414" s="64"/>
    </row>
    <row r="415" spans="1:26" s="14" customForma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T415" s="74"/>
      <c r="Y415" s="64"/>
      <c r="Z415" s="64"/>
    </row>
    <row r="416" spans="1:26" s="14" customForma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T416" s="74"/>
      <c r="Y416" s="64"/>
      <c r="Z416" s="64"/>
    </row>
    <row r="417" spans="1:26" s="14" customForma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T417" s="74"/>
      <c r="Y417" s="64"/>
      <c r="Z417" s="64"/>
    </row>
    <row r="418" spans="1:26" s="14" customForma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T418" s="74"/>
      <c r="Y418" s="64"/>
      <c r="Z418" s="64"/>
    </row>
    <row r="419" spans="1:26" s="14" customForma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T419" s="74"/>
      <c r="Y419" s="64"/>
      <c r="Z419" s="64"/>
    </row>
    <row r="420" spans="1:26" s="14" customForma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T420" s="74"/>
      <c r="Y420" s="64"/>
      <c r="Z420" s="64"/>
    </row>
    <row r="421" spans="1:26" s="14" customForma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T421" s="74"/>
      <c r="Y421" s="64"/>
      <c r="Z421" s="64"/>
    </row>
    <row r="422" spans="1:26" s="14" customForma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T422" s="74"/>
      <c r="Y422" s="64"/>
      <c r="Z422" s="64"/>
    </row>
    <row r="423" spans="1:26" s="14" customForma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T423" s="74"/>
      <c r="Y423" s="64"/>
      <c r="Z423" s="64"/>
    </row>
    <row r="424" spans="1:26" s="14" customForma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T424" s="74"/>
      <c r="Y424" s="64"/>
      <c r="Z424" s="64"/>
    </row>
    <row r="425" spans="1:26" s="14" customForma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T425" s="74"/>
      <c r="Y425" s="64"/>
      <c r="Z425" s="64"/>
    </row>
    <row r="426" spans="1:26" s="14" customForma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T426" s="74"/>
      <c r="Y426" s="64"/>
      <c r="Z426" s="64"/>
    </row>
    <row r="427" spans="1:26" s="14" customForma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T427" s="74"/>
      <c r="Y427" s="64"/>
      <c r="Z427" s="64"/>
    </row>
    <row r="428" spans="1:26" s="14" customForma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T428" s="74"/>
      <c r="Y428" s="64"/>
      <c r="Z428" s="64"/>
    </row>
    <row r="429" spans="1:26" s="14" customForma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T429" s="74"/>
      <c r="Y429" s="64"/>
      <c r="Z429" s="64"/>
    </row>
    <row r="430" spans="1:26" s="14" customForma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T430" s="74"/>
      <c r="Y430" s="64"/>
      <c r="Z430" s="64"/>
    </row>
    <row r="431" spans="1:26" s="14" customForma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T431" s="74"/>
      <c r="Y431" s="64"/>
      <c r="Z431" s="64"/>
    </row>
    <row r="432" spans="1:26" s="14" customForma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T432" s="74"/>
      <c r="Y432" s="64"/>
      <c r="Z432" s="64"/>
    </row>
    <row r="433" spans="1:26" s="14" customForma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T433" s="74"/>
      <c r="Y433" s="64"/>
      <c r="Z433" s="64"/>
    </row>
    <row r="434" spans="1:26" s="14" customForma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T434" s="74"/>
      <c r="Y434" s="64"/>
      <c r="Z434" s="64"/>
    </row>
    <row r="435" spans="1:26" s="14" customForma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T435" s="74"/>
      <c r="Y435" s="64"/>
      <c r="Z435" s="64"/>
    </row>
    <row r="436" spans="1:26" s="14" customForma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T436" s="74"/>
      <c r="Y436" s="64"/>
      <c r="Z436" s="64"/>
    </row>
    <row r="437" spans="1:26" s="14" customForma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T437" s="74"/>
      <c r="Y437" s="64"/>
      <c r="Z437" s="64"/>
    </row>
    <row r="438" spans="1:26" s="14" customForma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T438" s="74"/>
      <c r="Y438" s="64"/>
      <c r="Z438" s="64"/>
    </row>
    <row r="439" spans="1:26" s="14" customForma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T439" s="74"/>
      <c r="Y439" s="64"/>
      <c r="Z439" s="64"/>
    </row>
    <row r="440" spans="1:26" s="14" customForma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T440" s="74"/>
      <c r="Y440" s="64"/>
      <c r="Z440" s="64"/>
    </row>
    <row r="441" spans="1:26" s="14" customForma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T441" s="74"/>
      <c r="Y441" s="64"/>
      <c r="Z441" s="64"/>
    </row>
    <row r="442" spans="1:26" s="14" customForma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T442" s="74"/>
      <c r="Y442" s="64"/>
      <c r="Z442" s="64"/>
    </row>
    <row r="443" spans="1:26" s="14" customForma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T443" s="74"/>
      <c r="Y443" s="64"/>
      <c r="Z443" s="64"/>
    </row>
    <row r="444" spans="1:26" s="14" customForma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T444" s="74"/>
      <c r="Y444" s="64"/>
      <c r="Z444" s="64"/>
    </row>
    <row r="445" spans="1:26" s="14" customForma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T445" s="74"/>
      <c r="Y445" s="64"/>
      <c r="Z445" s="64"/>
    </row>
    <row r="446" spans="1:26" s="14" customForma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T446" s="74"/>
      <c r="Y446" s="64"/>
      <c r="Z446" s="64"/>
    </row>
    <row r="447" spans="1:26" s="14" customForma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T447" s="74"/>
      <c r="Y447" s="64"/>
      <c r="Z447" s="64"/>
    </row>
    <row r="448" spans="1:26" s="14" customForma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T448" s="74"/>
      <c r="Y448" s="64"/>
      <c r="Z448" s="64"/>
    </row>
    <row r="449" spans="1:26" s="14" customForma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T449" s="74"/>
      <c r="Y449" s="64"/>
      <c r="Z449" s="64"/>
    </row>
    <row r="450" spans="1:26" s="14" customForma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T450" s="74"/>
      <c r="Y450" s="64"/>
      <c r="Z450" s="64"/>
    </row>
    <row r="451" spans="1:26" s="14" customForma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T451" s="74"/>
      <c r="Y451" s="64"/>
      <c r="Z451" s="64"/>
    </row>
    <row r="452" spans="1:26" s="14" customForma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T452" s="74"/>
      <c r="Y452" s="64"/>
      <c r="Z452" s="64"/>
    </row>
    <row r="453" spans="1:26" s="14" customForma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T453" s="74"/>
      <c r="Y453" s="64"/>
      <c r="Z453" s="64"/>
    </row>
    <row r="454" spans="1:26" s="14" customForma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T454" s="74"/>
      <c r="Y454" s="64"/>
      <c r="Z454" s="64"/>
    </row>
    <row r="455" spans="1:26" s="14" customForma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T455" s="74"/>
      <c r="Y455" s="64"/>
      <c r="Z455" s="64"/>
    </row>
    <row r="456" spans="1:26" s="14" customForma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T456" s="74"/>
      <c r="Y456" s="64"/>
      <c r="Z456" s="64"/>
    </row>
    <row r="457" spans="1:26" s="14" customForma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T457" s="74"/>
      <c r="Y457" s="64"/>
      <c r="Z457" s="64"/>
    </row>
    <row r="458" spans="1:26" s="14" customForma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T458" s="74"/>
      <c r="Y458" s="64"/>
      <c r="Z458" s="64"/>
    </row>
    <row r="459" spans="1:26" s="14" customForma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T459" s="74"/>
      <c r="Y459" s="64"/>
      <c r="Z459" s="64"/>
    </row>
    <row r="460" spans="1:26" s="14" customForma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T460" s="74"/>
      <c r="Y460" s="64"/>
      <c r="Z460" s="64"/>
    </row>
    <row r="461" spans="1:26" s="14" customForma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T461" s="74"/>
      <c r="Y461" s="64"/>
      <c r="Z461" s="64"/>
    </row>
    <row r="462" spans="1:26" s="14" customForma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T462" s="74"/>
      <c r="Y462" s="64"/>
      <c r="Z462" s="64"/>
    </row>
    <row r="463" spans="1:26" s="14" customForma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T463" s="74"/>
      <c r="Y463" s="64"/>
      <c r="Z463" s="64"/>
    </row>
    <row r="464" spans="1:26" s="14" customForma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T464" s="74"/>
      <c r="Y464" s="64"/>
      <c r="Z464" s="64"/>
    </row>
    <row r="465" spans="1:26" s="14" customForma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T465" s="74"/>
      <c r="Y465" s="64"/>
      <c r="Z465" s="64"/>
    </row>
    <row r="466" spans="1:26" s="14" customForma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T466" s="74"/>
      <c r="Y466" s="64"/>
      <c r="Z466" s="64"/>
    </row>
    <row r="467" spans="1:26" s="14" customForma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T467" s="74"/>
      <c r="Y467" s="64"/>
      <c r="Z467" s="64"/>
    </row>
    <row r="468" spans="1:26" s="14" customForma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T468" s="74"/>
      <c r="Y468" s="64"/>
      <c r="Z468" s="64"/>
    </row>
    <row r="469" spans="1:26" s="14" customForma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T469" s="74"/>
      <c r="Y469" s="64"/>
      <c r="Z469" s="64"/>
    </row>
    <row r="470" spans="1:26" s="14" customForma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T470" s="74"/>
      <c r="Y470" s="64"/>
      <c r="Z470" s="64"/>
    </row>
    <row r="471" spans="1:26" s="14" customForma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T471" s="74"/>
      <c r="Y471" s="64"/>
      <c r="Z471" s="64"/>
    </row>
    <row r="472" spans="1:26" s="14" customForma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T472" s="74"/>
      <c r="Y472" s="64"/>
      <c r="Z472" s="64"/>
    </row>
    <row r="473" spans="1:26" s="14" customForma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T473" s="74"/>
      <c r="Y473" s="64"/>
      <c r="Z473" s="64"/>
    </row>
    <row r="474" spans="1:26" s="14" customForma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T474" s="74"/>
      <c r="Y474" s="64"/>
      <c r="Z474" s="64"/>
    </row>
    <row r="475" spans="1:26" s="14" customForma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T475" s="74"/>
      <c r="Y475" s="64"/>
      <c r="Z475" s="64"/>
    </row>
    <row r="476" spans="1:26" s="14" customForma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T476" s="74"/>
      <c r="Y476" s="64"/>
      <c r="Z476" s="64"/>
    </row>
    <row r="477" spans="1:26" s="14" customForma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T477" s="74"/>
      <c r="Y477" s="64"/>
      <c r="Z477" s="64"/>
    </row>
    <row r="478" spans="1:26" s="14" customForma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T478" s="74"/>
      <c r="Y478" s="64"/>
      <c r="Z478" s="64"/>
    </row>
    <row r="479" spans="1:26" s="14" customForma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T479" s="74"/>
      <c r="Y479" s="64"/>
      <c r="Z479" s="64"/>
    </row>
    <row r="480" spans="1:26" s="14" customForma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T480" s="74"/>
      <c r="Y480" s="64"/>
      <c r="Z480" s="64"/>
    </row>
    <row r="481" spans="1:26" s="14" customForma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T481" s="74"/>
      <c r="Y481" s="64"/>
      <c r="Z481" s="64"/>
    </row>
    <row r="482" spans="1:26" s="14" customForma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T482" s="74"/>
      <c r="Y482" s="64"/>
      <c r="Z482" s="64"/>
    </row>
    <row r="483" spans="1:26" s="14" customForma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T483" s="74"/>
      <c r="Y483" s="64"/>
      <c r="Z483" s="64"/>
    </row>
    <row r="484" spans="1:26" s="14" customForma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T484" s="74"/>
      <c r="Y484" s="64"/>
      <c r="Z484" s="64"/>
    </row>
    <row r="485" spans="1:26" s="14" customForma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T485" s="74"/>
      <c r="Y485" s="64"/>
      <c r="Z485" s="64"/>
    </row>
    <row r="486" spans="1:26" s="14" customForma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T486" s="74"/>
      <c r="Y486" s="64"/>
      <c r="Z486" s="64"/>
    </row>
    <row r="487" spans="1:26" s="14" customForma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T487" s="74"/>
      <c r="Y487" s="64"/>
      <c r="Z487" s="64"/>
    </row>
    <row r="488" spans="1:26" s="14" customForma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T488" s="74"/>
      <c r="Y488" s="64"/>
      <c r="Z488" s="64"/>
    </row>
    <row r="489" spans="1:26" s="14" customForma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T489" s="74"/>
      <c r="Y489" s="64"/>
      <c r="Z489" s="64"/>
    </row>
    <row r="490" spans="1:26" s="14" customForma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T490" s="74"/>
      <c r="Y490" s="64"/>
      <c r="Z490" s="64"/>
    </row>
    <row r="491" spans="1:26" s="14" customForma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T491" s="74"/>
      <c r="Y491" s="64"/>
      <c r="Z491" s="64"/>
    </row>
    <row r="492" spans="1:26" s="14" customForma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T492" s="74"/>
      <c r="Y492" s="64"/>
      <c r="Z492" s="64"/>
    </row>
    <row r="493" spans="1:26" s="14" customForma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T493" s="74"/>
      <c r="Y493" s="64"/>
      <c r="Z493" s="64"/>
    </row>
    <row r="494" spans="1:26" s="14" customForma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T494" s="74"/>
      <c r="Y494" s="64"/>
      <c r="Z494" s="64"/>
    </row>
    <row r="495" spans="1:26" s="14" customForma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T495" s="74"/>
      <c r="Y495" s="64"/>
      <c r="Z495" s="64"/>
    </row>
    <row r="496" spans="1:26" s="14" customForma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T496" s="74"/>
      <c r="Y496" s="64"/>
      <c r="Z496" s="64"/>
    </row>
    <row r="497" spans="1:26" s="14" customForma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T497" s="74"/>
      <c r="Y497" s="64"/>
      <c r="Z497" s="64"/>
    </row>
    <row r="498" spans="1:26" s="14" customForma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T498" s="74"/>
      <c r="Y498" s="64"/>
      <c r="Z498" s="64"/>
    </row>
    <row r="499" spans="1:26" s="14" customForma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T499" s="74"/>
      <c r="Y499" s="64"/>
      <c r="Z499" s="64"/>
    </row>
    <row r="500" spans="1:26" s="14" customForma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T500" s="74"/>
      <c r="Y500" s="64"/>
      <c r="Z500" s="64"/>
    </row>
    <row r="501" spans="1:26" s="14" customForma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T501" s="74"/>
      <c r="Y501" s="64"/>
      <c r="Z501" s="64"/>
    </row>
    <row r="502" spans="1:26" s="14" customForma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T502" s="74"/>
      <c r="Y502" s="64"/>
      <c r="Z502" s="64"/>
    </row>
    <row r="503" spans="1:26" s="14" customForma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T503" s="74"/>
      <c r="Y503" s="64"/>
      <c r="Z503" s="64"/>
    </row>
    <row r="504" spans="1:26" s="14" customForma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T504" s="74"/>
      <c r="Y504" s="64"/>
      <c r="Z504" s="64"/>
    </row>
    <row r="505" spans="1:26" s="14" customForma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T505" s="74"/>
      <c r="Y505" s="64"/>
      <c r="Z505" s="64"/>
    </row>
    <row r="506" spans="1:26" s="14" customForma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T506" s="74"/>
      <c r="Y506" s="64"/>
      <c r="Z506" s="64"/>
    </row>
    <row r="507" spans="1:26" s="14" customForma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T507" s="74"/>
      <c r="Y507" s="64"/>
      <c r="Z507" s="64"/>
    </row>
    <row r="508" spans="1:26" s="14" customForma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T508" s="74"/>
      <c r="Y508" s="64"/>
      <c r="Z508" s="64"/>
    </row>
    <row r="509" spans="1:26" s="14" customForma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T509" s="74"/>
      <c r="Y509" s="64"/>
      <c r="Z509" s="64"/>
    </row>
    <row r="510" spans="1:26" s="14" customForma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T510" s="74"/>
      <c r="Y510" s="64"/>
      <c r="Z510" s="64"/>
    </row>
    <row r="511" spans="1:26" s="14" customForma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T511" s="74"/>
      <c r="Y511" s="64"/>
      <c r="Z511" s="64"/>
    </row>
    <row r="512" spans="1:26" s="14" customForma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T512" s="74"/>
      <c r="Y512" s="64"/>
      <c r="Z512" s="64"/>
    </row>
    <row r="513" spans="1:26" s="14" customForma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T513" s="74"/>
      <c r="Y513" s="64"/>
      <c r="Z513" s="64"/>
    </row>
    <row r="514" spans="1:26" s="14" customForma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T514" s="74"/>
      <c r="Y514" s="64"/>
      <c r="Z514" s="64"/>
    </row>
    <row r="515" spans="1:26" s="14" customForma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T515" s="74"/>
      <c r="Y515" s="64"/>
      <c r="Z515" s="64"/>
    </row>
    <row r="516" spans="1:26" s="14" customForma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T516" s="74"/>
      <c r="Y516" s="64"/>
      <c r="Z516" s="64"/>
    </row>
    <row r="517" spans="1:26" s="14" customForma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T517" s="74"/>
      <c r="Y517" s="64"/>
      <c r="Z517" s="64"/>
    </row>
    <row r="518" spans="1:26" s="14" customForma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T518" s="74"/>
      <c r="Y518" s="64"/>
      <c r="Z518" s="64"/>
    </row>
    <row r="519" spans="1:26" s="14" customForma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T519" s="74"/>
      <c r="Y519" s="64"/>
      <c r="Z519" s="64"/>
    </row>
    <row r="520" spans="1:26" s="14" customForma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T520" s="74"/>
      <c r="Y520" s="64"/>
      <c r="Z520" s="64"/>
    </row>
    <row r="521" spans="1:26" s="14" customForma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T521" s="74"/>
      <c r="Y521" s="64"/>
      <c r="Z521" s="64"/>
    </row>
    <row r="522" spans="1:26" s="14" customForma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T522" s="74"/>
      <c r="Y522" s="64"/>
      <c r="Z522" s="64"/>
    </row>
    <row r="523" spans="1:26" s="14" customForma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T523" s="74"/>
      <c r="Y523" s="64"/>
      <c r="Z523" s="64"/>
    </row>
    <row r="524" spans="1:26" s="14" customForma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T524" s="74"/>
      <c r="Y524" s="64"/>
      <c r="Z524" s="64"/>
    </row>
    <row r="525" spans="1:26" s="14" customForma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T525" s="74"/>
      <c r="Y525" s="64"/>
      <c r="Z525" s="64"/>
    </row>
    <row r="526" spans="1:26" s="14" customForma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T526" s="74"/>
      <c r="Y526" s="64"/>
      <c r="Z526" s="64"/>
    </row>
    <row r="527" spans="1:26" s="14" customForma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T527" s="74"/>
      <c r="Y527" s="64"/>
      <c r="Z527" s="64"/>
    </row>
    <row r="528" spans="1:26" s="14" customForma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T528" s="74"/>
      <c r="Y528" s="64"/>
      <c r="Z528" s="64"/>
    </row>
    <row r="529" spans="1:26" s="14" customForma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T529" s="74"/>
      <c r="Y529" s="64"/>
      <c r="Z529" s="64"/>
    </row>
    <row r="530" spans="1:26" s="14" customForma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T530" s="74"/>
      <c r="Y530" s="64"/>
      <c r="Z530" s="64"/>
    </row>
    <row r="531" spans="1:26" s="14" customForma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T531" s="74"/>
      <c r="Y531" s="64"/>
      <c r="Z531" s="64"/>
    </row>
    <row r="532" spans="1:26" s="14" customForma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T532" s="74"/>
      <c r="Y532" s="64"/>
      <c r="Z532" s="64"/>
    </row>
    <row r="533" spans="1:26" s="14" customForma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T533" s="74"/>
      <c r="Y533" s="64"/>
      <c r="Z533" s="64"/>
    </row>
    <row r="534" spans="1:26" s="14" customForma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T534" s="74"/>
      <c r="Y534" s="64"/>
      <c r="Z534" s="64"/>
    </row>
    <row r="535" spans="1:26" s="14" customForma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T535" s="74"/>
      <c r="Y535" s="64"/>
      <c r="Z535" s="64"/>
    </row>
    <row r="536" spans="1:26" s="14" customForma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T536" s="74"/>
      <c r="Y536" s="64"/>
      <c r="Z536" s="64"/>
    </row>
    <row r="537" spans="1:26" s="14" customForma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T537" s="74"/>
      <c r="Y537" s="64"/>
      <c r="Z537" s="64"/>
    </row>
    <row r="538" spans="1:26" s="14" customForma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T538" s="74"/>
      <c r="Y538" s="64"/>
      <c r="Z538" s="64"/>
    </row>
    <row r="539" spans="1:26" s="14" customForma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T539" s="74"/>
      <c r="Y539" s="64"/>
      <c r="Z539" s="64"/>
    </row>
    <row r="540" spans="1:26" s="14" customForma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T540" s="74"/>
      <c r="Y540" s="64"/>
      <c r="Z540" s="64"/>
    </row>
    <row r="541" spans="1:26" s="14" customForma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T541" s="74"/>
      <c r="Y541" s="64"/>
      <c r="Z541" s="64"/>
    </row>
    <row r="542" spans="1:26" s="14" customForma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T542" s="74"/>
      <c r="Y542" s="64"/>
      <c r="Z542" s="64"/>
    </row>
    <row r="543" spans="1:26" s="14" customForma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T543" s="74"/>
      <c r="Y543" s="64"/>
      <c r="Z543" s="64"/>
    </row>
    <row r="544" spans="1:26" s="14" customForma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T544" s="74"/>
      <c r="Y544" s="64"/>
      <c r="Z544" s="64"/>
    </row>
    <row r="545" spans="1:26" s="14" customForma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T545" s="74"/>
      <c r="Y545" s="64"/>
      <c r="Z545" s="64"/>
    </row>
    <row r="546" spans="1:26" s="14" customForma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T546" s="74"/>
      <c r="Y546" s="64"/>
      <c r="Z546" s="64"/>
    </row>
    <row r="547" spans="1:26" s="14" customForma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T547" s="74"/>
      <c r="Y547" s="64"/>
      <c r="Z547" s="64"/>
    </row>
    <row r="548" spans="1:26" s="14" customForma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T548" s="74"/>
      <c r="Y548" s="64"/>
      <c r="Z548" s="64"/>
    </row>
    <row r="549" spans="1:26" s="14" customForma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T549" s="74"/>
      <c r="Y549" s="64"/>
      <c r="Z549" s="64"/>
    </row>
    <row r="550" spans="1:26" s="14" customForma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T550" s="74"/>
      <c r="Y550" s="64"/>
      <c r="Z550" s="64"/>
    </row>
    <row r="551" spans="1:26" s="14" customForma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T551" s="74"/>
      <c r="Y551" s="64"/>
      <c r="Z551" s="64"/>
    </row>
    <row r="552" spans="1:26" s="14" customForma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T552" s="74"/>
      <c r="Y552" s="64"/>
      <c r="Z552" s="64"/>
    </row>
    <row r="553" spans="1:26" s="14" customForma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T553" s="74"/>
      <c r="Y553" s="64"/>
      <c r="Z553" s="64"/>
    </row>
    <row r="554" spans="1:26" s="14" customForma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T554" s="74"/>
      <c r="Y554" s="64"/>
      <c r="Z554" s="64"/>
    </row>
    <row r="555" spans="1:26" s="14" customForma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T555" s="74"/>
      <c r="Y555" s="64"/>
      <c r="Z555" s="64"/>
    </row>
    <row r="556" spans="1:26" s="14" customForma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T556" s="74"/>
      <c r="Y556" s="64"/>
      <c r="Z556" s="64"/>
    </row>
    <row r="557" spans="1:26" s="14" customForma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T557" s="74"/>
      <c r="Y557" s="64"/>
      <c r="Z557" s="64"/>
    </row>
    <row r="558" spans="1:26" s="14" customForma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T558" s="74"/>
      <c r="Y558" s="64"/>
      <c r="Z558" s="64"/>
    </row>
    <row r="559" spans="1:26" s="14" customForma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T559" s="74"/>
      <c r="Y559" s="64"/>
      <c r="Z559" s="64"/>
    </row>
    <row r="560" spans="1:26" s="14" customForma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T560" s="74"/>
      <c r="Y560" s="64"/>
      <c r="Z560" s="64"/>
    </row>
    <row r="561" spans="1:26" s="14" customForma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T561" s="74"/>
      <c r="Y561" s="64"/>
      <c r="Z561" s="64"/>
    </row>
    <row r="562" spans="1:26" s="14" customForma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T562" s="74"/>
      <c r="Y562" s="64"/>
      <c r="Z562" s="64"/>
    </row>
    <row r="563" spans="1:26" s="14" customForma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T563" s="74"/>
      <c r="Y563" s="64"/>
      <c r="Z563" s="64"/>
    </row>
    <row r="564" spans="1:26" s="14" customForma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T564" s="74"/>
      <c r="Y564" s="64"/>
      <c r="Z564" s="64"/>
    </row>
    <row r="565" spans="1:26" s="14" customForma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T565" s="74"/>
      <c r="Y565" s="64"/>
      <c r="Z565" s="64"/>
    </row>
    <row r="566" spans="1:26" s="14" customForma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T566" s="74"/>
      <c r="Y566" s="64"/>
      <c r="Z566" s="64"/>
    </row>
    <row r="567" spans="1:26" s="14" customForma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T567" s="74"/>
      <c r="Y567" s="64"/>
      <c r="Z567" s="64"/>
    </row>
    <row r="568" spans="1:26" s="14" customForma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T568" s="74"/>
      <c r="Y568" s="64"/>
      <c r="Z568" s="64"/>
    </row>
    <row r="569" spans="1:26" s="14" customForma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T569" s="74"/>
      <c r="Y569" s="64"/>
      <c r="Z569" s="64"/>
    </row>
    <row r="570" spans="1:26" s="14" customForma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T570" s="74"/>
      <c r="Y570" s="64"/>
      <c r="Z570" s="64"/>
    </row>
    <row r="571" spans="1:26" s="14" customForma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T571" s="74"/>
      <c r="Y571" s="64"/>
      <c r="Z571" s="64"/>
    </row>
    <row r="572" spans="1:26" s="14" customForma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T572" s="74"/>
      <c r="Y572" s="64"/>
      <c r="Z572" s="64"/>
    </row>
    <row r="573" spans="1:26" s="14" customForma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T573" s="74"/>
      <c r="Y573" s="64"/>
      <c r="Z573" s="64"/>
    </row>
    <row r="574" spans="1:26" s="14" customForma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T574" s="74"/>
      <c r="Y574" s="64"/>
      <c r="Z574" s="64"/>
    </row>
    <row r="575" spans="1:26" s="14" customForma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T575" s="74"/>
      <c r="Y575" s="64"/>
      <c r="Z575" s="64"/>
    </row>
    <row r="576" spans="1:26" s="14" customForma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T576" s="74"/>
      <c r="Y576" s="64"/>
      <c r="Z576" s="64"/>
    </row>
    <row r="577" spans="1:26" s="14" customForma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T577" s="74"/>
      <c r="Y577" s="64"/>
      <c r="Z577" s="64"/>
    </row>
    <row r="578" spans="1:26" s="14" customForma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T578" s="74"/>
      <c r="Y578" s="64"/>
      <c r="Z578" s="64"/>
    </row>
    <row r="579" spans="1:26" s="14" customForma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T579" s="74"/>
      <c r="Y579" s="64"/>
      <c r="Z579" s="64"/>
    </row>
    <row r="580" spans="1:26" s="14" customForma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T580" s="74"/>
      <c r="Y580" s="64"/>
      <c r="Z580" s="64"/>
    </row>
    <row r="581" spans="1:26" s="14" customForma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T581" s="74"/>
      <c r="Y581" s="64"/>
      <c r="Z581" s="64"/>
    </row>
    <row r="582" spans="1:26" s="14" customForma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T582" s="74"/>
      <c r="Y582" s="64"/>
      <c r="Z582" s="64"/>
    </row>
    <row r="583" spans="1:26" s="14" customForma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T583" s="74"/>
      <c r="Y583" s="64"/>
      <c r="Z583" s="64"/>
    </row>
    <row r="584" spans="1:26" s="14" customForma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T584" s="74"/>
      <c r="Y584" s="64"/>
      <c r="Z584" s="64"/>
    </row>
    <row r="585" spans="1:26" s="14" customForma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T585" s="74"/>
      <c r="Y585" s="64"/>
      <c r="Z585" s="64"/>
    </row>
    <row r="586" spans="1:26" s="14" customForma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T586" s="74"/>
      <c r="Y586" s="64"/>
      <c r="Z586" s="64"/>
    </row>
    <row r="587" spans="1:26" s="14" customForma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T587" s="74"/>
      <c r="Y587" s="64"/>
      <c r="Z587" s="64"/>
    </row>
    <row r="588" spans="1:26" s="14" customForma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T588" s="74"/>
      <c r="Y588" s="64"/>
      <c r="Z588" s="64"/>
    </row>
    <row r="589" spans="1:26" s="14" customForma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T589" s="74"/>
      <c r="Y589" s="64"/>
      <c r="Z589" s="64"/>
    </row>
    <row r="590" spans="1:26" s="14" customForma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T590" s="74"/>
      <c r="Y590" s="64"/>
      <c r="Z590" s="64"/>
    </row>
    <row r="591" spans="1:26" s="14" customForma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T591" s="74"/>
      <c r="Y591" s="64"/>
      <c r="Z591" s="64"/>
    </row>
    <row r="592" spans="1:26" s="14" customForma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T592" s="74"/>
      <c r="Y592" s="64"/>
      <c r="Z592" s="64"/>
    </row>
    <row r="593" spans="1:26" s="14" customForma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T593" s="74"/>
      <c r="Y593" s="64"/>
      <c r="Z593" s="64"/>
    </row>
    <row r="594" spans="1:26" s="14" customForma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T594" s="74"/>
      <c r="Y594" s="64"/>
      <c r="Z594" s="64"/>
    </row>
    <row r="595" spans="1:26" s="14" customForma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T595" s="74"/>
      <c r="Y595" s="64"/>
      <c r="Z595" s="64"/>
    </row>
    <row r="596" spans="1:26" s="14" customForma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T596" s="74"/>
      <c r="Y596" s="64"/>
      <c r="Z596" s="64"/>
    </row>
    <row r="597" spans="1:26" s="14" customForma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T597" s="74"/>
      <c r="Y597" s="64"/>
      <c r="Z597" s="64"/>
    </row>
    <row r="598" spans="1:26" s="14" customForma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T598" s="74"/>
      <c r="Y598" s="64"/>
      <c r="Z598" s="64"/>
    </row>
    <row r="599" spans="1:26" s="14" customForma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T599" s="74"/>
      <c r="Y599" s="64"/>
      <c r="Z599" s="64"/>
    </row>
    <row r="600" spans="1:26" s="14" customForma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T600" s="74"/>
      <c r="Y600" s="64"/>
      <c r="Z600" s="64"/>
    </row>
    <row r="601" spans="1:26" s="14" customForma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T601" s="74"/>
      <c r="Y601" s="64"/>
      <c r="Z601" s="64"/>
    </row>
    <row r="602" spans="1:26" s="14" customForma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T602" s="74"/>
      <c r="Y602" s="64"/>
      <c r="Z602" s="64"/>
    </row>
    <row r="603" spans="1:26" s="14" customForma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T603" s="74"/>
      <c r="Y603" s="64"/>
      <c r="Z603" s="64"/>
    </row>
    <row r="604" spans="1:26" s="14" customForma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T604" s="74"/>
      <c r="Y604" s="64"/>
      <c r="Z604" s="64"/>
    </row>
    <row r="605" spans="1:26" s="14" customForma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T605" s="74"/>
      <c r="Y605" s="64"/>
      <c r="Z605" s="64"/>
    </row>
    <row r="606" spans="1:26" s="14" customForma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T606" s="74"/>
      <c r="Y606" s="64"/>
      <c r="Z606" s="64"/>
    </row>
    <row r="607" spans="1:26" s="14" customForma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T607" s="74"/>
      <c r="Y607" s="64"/>
      <c r="Z607" s="64"/>
    </row>
    <row r="608" spans="1:26" s="14" customForma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T608" s="74"/>
      <c r="Y608" s="64"/>
      <c r="Z608" s="64"/>
    </row>
    <row r="609" spans="1:26" s="14" customForma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T609" s="74"/>
      <c r="Y609" s="64"/>
      <c r="Z609" s="64"/>
    </row>
    <row r="610" spans="1:26" s="14" customForma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T610" s="74"/>
      <c r="Y610" s="64"/>
      <c r="Z610" s="64"/>
    </row>
    <row r="611" spans="1:26" s="14" customForma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T611" s="74"/>
      <c r="Y611" s="64"/>
      <c r="Z611" s="64"/>
    </row>
    <row r="612" spans="1:26" s="14" customForma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T612" s="74"/>
      <c r="Y612" s="64"/>
      <c r="Z612" s="64"/>
    </row>
    <row r="613" spans="1:26" s="14" customForma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T613" s="74"/>
      <c r="Y613" s="64"/>
      <c r="Z613" s="64"/>
    </row>
    <row r="614" spans="1:26" s="14" customForma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T614" s="74"/>
      <c r="Y614" s="64"/>
      <c r="Z614" s="64"/>
    </row>
    <row r="615" spans="1:26" s="14" customForma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T615" s="74"/>
      <c r="Y615" s="64"/>
      <c r="Z615" s="64"/>
    </row>
    <row r="616" spans="1:26" s="14" customForma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T616" s="74"/>
      <c r="Y616" s="64"/>
      <c r="Z616" s="64"/>
    </row>
    <row r="617" spans="1:26" s="14" customForma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T617" s="74"/>
      <c r="Y617" s="64"/>
      <c r="Z617" s="64"/>
    </row>
    <row r="618" spans="1:26" s="14" customForma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T618" s="74"/>
      <c r="Y618" s="64"/>
      <c r="Z618" s="64"/>
    </row>
    <row r="619" spans="1:26" s="14" customForma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T619" s="74"/>
      <c r="Y619" s="64"/>
      <c r="Z619" s="64"/>
    </row>
    <row r="620" spans="1:26" s="14" customForma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T620" s="74"/>
      <c r="Y620" s="64"/>
      <c r="Z620" s="64"/>
    </row>
    <row r="621" spans="1:26" s="14" customForma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T621" s="74"/>
      <c r="Y621" s="64"/>
      <c r="Z621" s="64"/>
    </row>
    <row r="622" spans="1:26" s="14" customForma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T622" s="74"/>
      <c r="Y622" s="64"/>
      <c r="Z622" s="64"/>
    </row>
    <row r="623" spans="1:26" s="14" customForma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T623" s="74"/>
      <c r="Y623" s="64"/>
      <c r="Z623" s="64"/>
    </row>
    <row r="624" spans="1:26" s="14" customForma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T624" s="74"/>
      <c r="Y624" s="64"/>
      <c r="Z624" s="64"/>
    </row>
    <row r="625" spans="1:26" s="14" customForma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T625" s="74"/>
      <c r="Y625" s="64"/>
      <c r="Z625" s="64"/>
    </row>
    <row r="626" spans="1:26" s="14" customForma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T626" s="74"/>
      <c r="Y626" s="64"/>
      <c r="Z626" s="64"/>
    </row>
    <row r="627" spans="1:26" s="14" customForma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T627" s="74"/>
      <c r="Y627" s="64"/>
      <c r="Z627" s="64"/>
    </row>
    <row r="628" spans="1:26" s="14" customForma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T628" s="74"/>
      <c r="Y628" s="64"/>
      <c r="Z628" s="64"/>
    </row>
    <row r="629" spans="1:26" s="14" customForma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T629" s="74"/>
      <c r="Y629" s="64"/>
      <c r="Z629" s="64"/>
    </row>
    <row r="630" spans="1:26" s="14" customForma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T630" s="74"/>
      <c r="Y630" s="64"/>
      <c r="Z630" s="64"/>
    </row>
    <row r="631" spans="1:26" s="14" customForma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T631" s="74"/>
      <c r="Y631" s="64"/>
      <c r="Z631" s="64"/>
    </row>
    <row r="632" spans="1:26" s="14" customForma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T632" s="74"/>
      <c r="Y632" s="64"/>
      <c r="Z632" s="64"/>
    </row>
    <row r="633" spans="1:26" s="14" customForma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T633" s="74"/>
      <c r="Y633" s="64"/>
      <c r="Z633" s="64"/>
    </row>
    <row r="634" spans="1:26" s="14" customForma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T634" s="74"/>
      <c r="Y634" s="64"/>
      <c r="Z634" s="64"/>
    </row>
    <row r="635" spans="1:26" s="14" customForma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T635" s="74"/>
      <c r="Y635" s="64"/>
      <c r="Z635" s="64"/>
    </row>
    <row r="636" spans="1:26" s="14" customForma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T636" s="74"/>
      <c r="Y636" s="64"/>
      <c r="Z636" s="64"/>
    </row>
    <row r="637" spans="1:26" s="14" customForma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T637" s="74"/>
      <c r="Y637" s="64"/>
      <c r="Z637" s="64"/>
    </row>
    <row r="638" spans="1:26" s="14" customForma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T638" s="74"/>
      <c r="Y638" s="64"/>
      <c r="Z638" s="64"/>
    </row>
    <row r="639" spans="1:26" s="14" customForma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T639" s="74"/>
      <c r="Y639" s="64"/>
      <c r="Z639" s="64"/>
    </row>
    <row r="640" spans="1:26" s="14" customForma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T640" s="74"/>
      <c r="Y640" s="64"/>
      <c r="Z640" s="64"/>
    </row>
    <row r="641" spans="1:26" s="14" customForma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T641" s="74"/>
      <c r="Y641" s="64"/>
      <c r="Z641" s="64"/>
    </row>
    <row r="642" spans="1:26" s="14" customForma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T642" s="74"/>
      <c r="Y642" s="64"/>
      <c r="Z642" s="64"/>
    </row>
    <row r="643" spans="1:26" s="14" customForma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T643" s="74"/>
      <c r="Y643" s="64"/>
      <c r="Z643" s="64"/>
    </row>
    <row r="644" spans="1:26" s="14" customForma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T644" s="74"/>
      <c r="Y644" s="64"/>
      <c r="Z644" s="64"/>
    </row>
    <row r="645" spans="1:26" s="14" customForma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T645" s="74"/>
      <c r="Y645" s="64"/>
      <c r="Z645" s="64"/>
    </row>
    <row r="646" spans="1:26" s="14" customForma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T646" s="74"/>
      <c r="Y646" s="64"/>
      <c r="Z646" s="64"/>
    </row>
    <row r="647" spans="1:26" s="14" customForma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T647" s="74"/>
      <c r="Y647" s="64"/>
      <c r="Z647" s="64"/>
    </row>
    <row r="648" spans="1:26" s="14" customForma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T648" s="74"/>
      <c r="Y648" s="64"/>
      <c r="Z648" s="64"/>
    </row>
    <row r="649" spans="1:26" s="14" customForma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T649" s="74"/>
      <c r="Y649" s="64"/>
      <c r="Z649" s="64"/>
    </row>
    <row r="650" spans="1:26" s="14" customForma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T650" s="74"/>
      <c r="Y650" s="64"/>
      <c r="Z650" s="64"/>
    </row>
    <row r="651" spans="1:26" s="14" customForma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T651" s="74"/>
      <c r="Y651" s="64"/>
      <c r="Z651" s="64"/>
    </row>
    <row r="652" spans="1:26" s="14" customForma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T652" s="74"/>
      <c r="Y652" s="64"/>
      <c r="Z652" s="64"/>
    </row>
    <row r="653" spans="1:26" s="14" customForma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T653" s="74"/>
      <c r="Y653" s="64"/>
      <c r="Z653" s="64"/>
    </row>
    <row r="654" spans="1:26" s="14" customForma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T654" s="74"/>
      <c r="Y654" s="64"/>
      <c r="Z654" s="64"/>
    </row>
    <row r="655" spans="1:26" s="14" customForma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T655" s="74"/>
      <c r="Y655" s="64"/>
      <c r="Z655" s="64"/>
    </row>
    <row r="656" spans="1:26" s="14" customForma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T656" s="74"/>
      <c r="Y656" s="64"/>
      <c r="Z656" s="64"/>
    </row>
    <row r="657" spans="1:26" s="14" customForma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T657" s="74"/>
      <c r="Y657" s="64"/>
      <c r="Z657" s="64"/>
    </row>
    <row r="658" spans="1:26" s="14" customForma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T658" s="74"/>
      <c r="Y658" s="64"/>
      <c r="Z658" s="64"/>
    </row>
    <row r="659" spans="1:26" s="14" customForma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T659" s="74"/>
      <c r="Y659" s="64"/>
      <c r="Z659" s="64"/>
    </row>
    <row r="660" spans="1:26" s="14" customForma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T660" s="74"/>
      <c r="Y660" s="64"/>
      <c r="Z660" s="64"/>
    </row>
    <row r="661" spans="1:26" s="14" customForma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T661" s="74"/>
      <c r="Y661" s="64"/>
      <c r="Z661" s="64"/>
    </row>
    <row r="662" spans="1:26" s="14" customForma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T662" s="74"/>
      <c r="Y662" s="64"/>
      <c r="Z662" s="64"/>
    </row>
    <row r="663" spans="1:26" s="14" customForma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T663" s="74"/>
      <c r="Y663" s="64"/>
      <c r="Z663" s="64"/>
    </row>
    <row r="664" spans="1:26" s="14" customForma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T664" s="74"/>
      <c r="Y664" s="64"/>
      <c r="Z664" s="64"/>
    </row>
    <row r="665" spans="1:26" s="14" customForma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T665" s="74"/>
      <c r="Y665" s="64"/>
      <c r="Z665" s="64"/>
    </row>
    <row r="666" spans="1:26" s="14" customForma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T666" s="74"/>
      <c r="Y666" s="64"/>
      <c r="Z666" s="64"/>
    </row>
    <row r="667" spans="1:26" s="14" customForma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T667" s="74"/>
      <c r="Y667" s="64"/>
      <c r="Z667" s="64"/>
    </row>
    <row r="668" spans="1:26" s="14" customForma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T668" s="74"/>
      <c r="Y668" s="64"/>
      <c r="Z668" s="64"/>
    </row>
    <row r="669" spans="1:26" s="14" customForma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T669" s="74"/>
      <c r="Y669" s="64"/>
      <c r="Z669" s="64"/>
    </row>
    <row r="670" spans="1:26" s="14" customForma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T670" s="74"/>
      <c r="Y670" s="64"/>
      <c r="Z670" s="64"/>
    </row>
    <row r="671" spans="1:26" s="14" customForma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T671" s="74"/>
      <c r="Y671" s="64"/>
      <c r="Z671" s="64"/>
    </row>
    <row r="672" spans="1:26" s="14" customForma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T672" s="74"/>
      <c r="Y672" s="64"/>
      <c r="Z672" s="64"/>
    </row>
    <row r="673" spans="1:26" s="14" customForma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T673" s="74"/>
      <c r="Y673" s="64"/>
      <c r="Z673" s="64"/>
    </row>
    <row r="674" spans="1:26" s="14" customForma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T674" s="74"/>
      <c r="Y674" s="64"/>
      <c r="Z674" s="64"/>
    </row>
    <row r="675" spans="1:26" s="14" customForma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T675" s="74"/>
      <c r="Y675" s="64"/>
      <c r="Z675" s="64"/>
    </row>
    <row r="676" spans="1:26" s="14" customForma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T676" s="74"/>
      <c r="Y676" s="64"/>
      <c r="Z676" s="64"/>
    </row>
    <row r="677" spans="1:26" s="14" customForma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T677" s="74"/>
      <c r="Y677" s="64"/>
      <c r="Z677" s="64"/>
    </row>
    <row r="678" spans="1:26" s="14" customForma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T678" s="74"/>
      <c r="Y678" s="64"/>
      <c r="Z678" s="64"/>
    </row>
    <row r="679" spans="1:26" s="14" customForma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T679" s="74"/>
      <c r="Y679" s="64"/>
      <c r="Z679" s="64"/>
    </row>
    <row r="680" spans="1:26" s="14" customForma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T680" s="74"/>
      <c r="Y680" s="64"/>
      <c r="Z680" s="64"/>
    </row>
    <row r="681" spans="1:26" s="14" customForma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T681" s="74"/>
      <c r="Y681" s="64"/>
      <c r="Z681" s="64"/>
    </row>
    <row r="682" spans="1:26" s="14" customForma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T682" s="74"/>
      <c r="Y682" s="64"/>
      <c r="Z682" s="64"/>
    </row>
    <row r="683" spans="1:26" s="14" customForma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T683" s="74"/>
      <c r="Y683" s="64"/>
      <c r="Z683" s="64"/>
    </row>
    <row r="684" spans="1:26" s="14" customForma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T684" s="74"/>
      <c r="Y684" s="64"/>
      <c r="Z684" s="64"/>
    </row>
  </sheetData>
  <sortState ref="C37:E38">
    <sortCondition descending="1" ref="E35:E36"/>
  </sortState>
  <mergeCells count="6">
    <mergeCell ref="C3:N3"/>
    <mergeCell ref="D6:E6"/>
    <mergeCell ref="G8:N8"/>
    <mergeCell ref="G21:K21"/>
    <mergeCell ref="G24:N24"/>
    <mergeCell ref="D4:I4"/>
  </mergeCells>
  <pageMargins left="0.2" right="0.2" top="0.75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9">
    <pageSetUpPr fitToPage="1"/>
  </sheetPr>
  <dimension ref="A1:AQ701"/>
  <sheetViews>
    <sheetView showGridLines="0" view="pageBreakPreview" topLeftCell="A31" zoomScale="76" zoomScaleNormal="75" zoomScaleSheetLayoutView="76" workbookViewId="0"/>
  </sheetViews>
  <sheetFormatPr defaultRowHeight="15"/>
  <cols>
    <col min="1" max="1" width="2.85546875" style="12" customWidth="1"/>
    <col min="2" max="2" width="3.85546875" style="12" customWidth="1"/>
    <col min="3" max="3" width="56.7109375" style="12" bestFit="1" customWidth="1"/>
    <col min="4" max="4" width="28.42578125" style="12" customWidth="1"/>
    <col min="5" max="5" width="16.7109375" style="12" customWidth="1"/>
    <col min="6" max="6" width="9.140625" style="12"/>
    <col min="7" max="14" width="12" style="12" customWidth="1"/>
    <col min="15" max="17" width="9.140625" style="12"/>
    <col min="18" max="18" width="9.140625" style="14"/>
    <col min="19" max="19" width="9.85546875" style="14" customWidth="1"/>
    <col min="20" max="20" width="13.140625" style="14" bestFit="1" customWidth="1"/>
    <col min="21" max="21" width="9.28515625" style="14" bestFit="1" customWidth="1"/>
    <col min="22" max="24" width="9.140625" style="14"/>
    <col min="25" max="26" width="9.140625" style="64"/>
    <col min="27" max="43" width="9.140625" style="14"/>
    <col min="44" max="16384" width="9.140625" style="12"/>
  </cols>
  <sheetData>
    <row r="1" spans="2:26" s="14" customFormat="1" ht="15.75" thickBo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Y1" s="64"/>
      <c r="Z1" s="64"/>
    </row>
    <row r="2" spans="2:26" s="14" customFormat="1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29"/>
      <c r="O2" s="12"/>
      <c r="P2" s="12"/>
      <c r="Q2" s="12"/>
      <c r="Y2" s="64"/>
      <c r="Z2" s="64"/>
    </row>
    <row r="3" spans="2:26" s="14" customFormat="1" ht="20.25" customHeight="1">
      <c r="B3" s="18"/>
      <c r="C3" s="159" t="s">
        <v>138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0"/>
      <c r="O3" s="12"/>
      <c r="P3" s="12"/>
      <c r="Q3" s="12"/>
      <c r="Y3" s="64"/>
      <c r="Z3" s="64"/>
    </row>
    <row r="4" spans="2:26" s="14" customFormat="1" ht="20.25" customHeight="1">
      <c r="B4" s="18"/>
      <c r="C4" s="138"/>
      <c r="D4" s="163" t="s">
        <v>160</v>
      </c>
      <c r="E4" s="163"/>
      <c r="F4" s="163"/>
      <c r="G4" s="163"/>
      <c r="H4" s="163"/>
      <c r="I4" s="163"/>
      <c r="J4" s="139"/>
      <c r="K4" s="139"/>
      <c r="L4" s="139"/>
      <c r="M4" s="139"/>
      <c r="N4" s="140"/>
      <c r="O4" s="12"/>
      <c r="P4" s="12"/>
      <c r="Q4" s="12"/>
      <c r="Y4" s="64"/>
      <c r="Z4" s="64"/>
    </row>
    <row r="5" spans="2:26" s="14" customFormat="1" ht="15.75">
      <c r="B5" s="18"/>
      <c r="C5" s="2" t="s">
        <v>201</v>
      </c>
      <c r="D5" s="1"/>
      <c r="E5" s="1"/>
      <c r="F5" s="20"/>
      <c r="G5" s="20"/>
      <c r="H5" s="20"/>
      <c r="I5" s="20"/>
      <c r="J5" s="20"/>
      <c r="K5" s="20"/>
      <c r="L5" s="20"/>
      <c r="M5" s="20"/>
      <c r="N5" s="30"/>
      <c r="O5" s="12"/>
      <c r="P5" s="12"/>
      <c r="Q5" s="12"/>
      <c r="Y5" s="64"/>
      <c r="Z5" s="64"/>
    </row>
    <row r="6" spans="2:26" s="14" customFormat="1" ht="20.25" customHeight="1">
      <c r="B6" s="18"/>
      <c r="C6" s="3" t="s">
        <v>202</v>
      </c>
      <c r="D6" s="155" t="s">
        <v>220</v>
      </c>
      <c r="E6" s="155"/>
      <c r="F6" s="20"/>
      <c r="G6" s="20"/>
      <c r="H6" s="20"/>
      <c r="I6" s="20"/>
      <c r="J6" s="20"/>
      <c r="K6" s="20"/>
      <c r="L6" s="20"/>
      <c r="M6" s="20"/>
      <c r="N6" s="30"/>
      <c r="O6" s="12"/>
      <c r="P6" s="12"/>
      <c r="Q6" s="12"/>
      <c r="Y6" s="64"/>
      <c r="Z6" s="64"/>
    </row>
    <row r="7" spans="2:26" s="14" customFormat="1" ht="15.75">
      <c r="B7" s="18"/>
      <c r="C7" s="1"/>
      <c r="D7" s="1"/>
      <c r="E7" s="1"/>
      <c r="F7" s="20"/>
      <c r="G7" s="20"/>
      <c r="H7" s="20"/>
      <c r="I7" s="20"/>
      <c r="J7" s="20"/>
      <c r="K7" s="20"/>
      <c r="L7" s="20"/>
      <c r="M7" s="20"/>
      <c r="N7" s="30"/>
      <c r="O7" s="12"/>
      <c r="P7" s="12"/>
      <c r="Q7" s="12"/>
      <c r="Y7" s="64"/>
      <c r="Z7" s="64"/>
    </row>
    <row r="8" spans="2:26" s="14" customFormat="1" ht="32.25" customHeight="1">
      <c r="B8" s="18"/>
      <c r="C8" s="191" t="s">
        <v>76</v>
      </c>
      <c r="D8" s="191" t="s">
        <v>77</v>
      </c>
      <c r="E8" s="191" t="s">
        <v>78</v>
      </c>
      <c r="F8" s="20"/>
      <c r="G8" s="161" t="s">
        <v>79</v>
      </c>
      <c r="H8" s="161"/>
      <c r="I8" s="161"/>
      <c r="J8" s="161"/>
      <c r="K8" s="161"/>
      <c r="L8" s="161"/>
      <c r="M8" s="161"/>
      <c r="N8" s="162"/>
      <c r="O8" s="12"/>
      <c r="P8" s="12"/>
      <c r="Q8" s="12"/>
      <c r="Y8" s="64"/>
      <c r="Z8" s="64"/>
    </row>
    <row r="9" spans="2:26" s="14" customFormat="1">
      <c r="B9" s="18"/>
      <c r="C9" s="225" t="s">
        <v>45</v>
      </c>
      <c r="D9" s="236" t="s">
        <v>4</v>
      </c>
      <c r="E9" s="227">
        <v>5.9959999999999999E-2</v>
      </c>
      <c r="F9" s="43"/>
      <c r="G9" s="23" t="s">
        <v>80</v>
      </c>
      <c r="H9" s="39">
        <v>0.3206</v>
      </c>
      <c r="I9" s="40">
        <f>H9/SUM($H$9:$H$11)</f>
        <v>0.95486007696065001</v>
      </c>
      <c r="J9" s="23"/>
      <c r="K9" s="39"/>
      <c r="L9" s="23"/>
      <c r="M9" s="43"/>
      <c r="N9" s="93"/>
      <c r="O9" s="12"/>
      <c r="P9" s="12"/>
      <c r="Q9" s="12"/>
      <c r="T9" s="74"/>
      <c r="Y9" s="64"/>
      <c r="Z9" s="64"/>
    </row>
    <row r="10" spans="2:26" s="14" customFormat="1" ht="15.75" customHeight="1">
      <c r="B10" s="18"/>
      <c r="C10" s="228" t="s">
        <v>48</v>
      </c>
      <c r="D10" s="150" t="s">
        <v>7</v>
      </c>
      <c r="E10" s="229">
        <v>3.4602000000000001E-2</v>
      </c>
      <c r="F10" s="43"/>
      <c r="G10" s="23" t="s">
        <v>103</v>
      </c>
      <c r="H10" s="114">
        <v>1.5155999999999999E-2</v>
      </c>
      <c r="I10" s="40">
        <f>H10/SUM($H$9:$H$11)</f>
        <v>4.5139923039350001E-2</v>
      </c>
      <c r="J10" s="23" t="s">
        <v>82</v>
      </c>
      <c r="K10" s="39">
        <f>E25+E27</f>
        <v>0.66428100000000001</v>
      </c>
      <c r="L10" s="23"/>
      <c r="M10" s="43"/>
      <c r="N10" s="93"/>
      <c r="O10" s="12"/>
      <c r="P10" s="12"/>
      <c r="Q10" s="12"/>
      <c r="T10" s="74"/>
      <c r="Y10" s="64"/>
      <c r="Z10" s="64"/>
    </row>
    <row r="11" spans="2:26" s="14" customFormat="1">
      <c r="B11" s="18"/>
      <c r="C11" s="228" t="s">
        <v>53</v>
      </c>
      <c r="D11" s="150" t="s">
        <v>4</v>
      </c>
      <c r="E11" s="229">
        <v>2.7254E-2</v>
      </c>
      <c r="F11" s="131"/>
      <c r="G11" s="23" t="s">
        <v>81</v>
      </c>
      <c r="H11" s="114">
        <v>0</v>
      </c>
      <c r="I11" s="40">
        <f>H11/SUM($H$9:$H$11)</f>
        <v>0</v>
      </c>
      <c r="J11" s="23" t="s">
        <v>73</v>
      </c>
      <c r="K11" s="39">
        <f>E31</f>
        <v>2.2599999999999999E-4</v>
      </c>
      <c r="L11" s="23"/>
      <c r="M11" s="43"/>
      <c r="N11" s="93"/>
      <c r="O11" s="12"/>
      <c r="P11" s="12"/>
      <c r="Q11" s="12"/>
      <c r="T11" s="74"/>
      <c r="Y11" s="64"/>
      <c r="Z11" s="64"/>
    </row>
    <row r="12" spans="2:26" s="14" customFormat="1">
      <c r="B12" s="18"/>
      <c r="C12" s="228" t="s">
        <v>20</v>
      </c>
      <c r="D12" s="150" t="s">
        <v>4</v>
      </c>
      <c r="E12" s="229">
        <v>2.7215E-2</v>
      </c>
      <c r="F12" s="43"/>
      <c r="G12" s="43"/>
      <c r="H12" s="43"/>
      <c r="I12" s="43"/>
      <c r="J12" s="23" t="s">
        <v>29</v>
      </c>
      <c r="K12" s="39">
        <f>E58</f>
        <v>8.7099999999999997E-2</v>
      </c>
      <c r="L12" s="23"/>
      <c r="M12" s="43"/>
      <c r="N12" s="93"/>
      <c r="O12" s="12"/>
      <c r="P12" s="12"/>
      <c r="Q12" s="12"/>
      <c r="T12" s="74"/>
      <c r="Y12" s="64"/>
      <c r="Z12" s="64"/>
    </row>
    <row r="13" spans="2:26" s="14" customFormat="1" ht="15.75" customHeight="1">
      <c r="B13" s="18"/>
      <c r="C13" s="228" t="s">
        <v>44</v>
      </c>
      <c r="D13" s="150" t="s">
        <v>12</v>
      </c>
      <c r="E13" s="229">
        <v>2.6279E-2</v>
      </c>
      <c r="F13" s="131"/>
      <c r="G13" s="43"/>
      <c r="H13" s="131"/>
      <c r="I13" s="43"/>
      <c r="J13" s="14" t="s">
        <v>104</v>
      </c>
      <c r="K13" s="22" t="e">
        <f>#REF!</f>
        <v>#REF!</v>
      </c>
      <c r="L13" s="23"/>
      <c r="M13" s="43"/>
      <c r="N13" s="93"/>
      <c r="O13" s="12"/>
      <c r="P13" s="12"/>
      <c r="Q13" s="12"/>
      <c r="T13" s="74"/>
      <c r="Y13" s="64"/>
      <c r="Z13" s="64"/>
    </row>
    <row r="14" spans="2:26" s="14" customFormat="1">
      <c r="B14" s="18"/>
      <c r="C14" s="228" t="s">
        <v>49</v>
      </c>
      <c r="D14" s="150" t="s">
        <v>4</v>
      </c>
      <c r="E14" s="229">
        <v>2.2716E-2</v>
      </c>
      <c r="F14" s="131"/>
      <c r="G14" s="43"/>
      <c r="H14" s="43"/>
      <c r="I14" s="43"/>
      <c r="J14" s="23" t="s">
        <v>111</v>
      </c>
      <c r="K14" s="39">
        <f>E48</f>
        <v>0.15682399999999999</v>
      </c>
      <c r="L14" s="23"/>
      <c r="M14" s="43"/>
      <c r="N14" s="93"/>
      <c r="O14" s="12"/>
      <c r="P14" s="12"/>
      <c r="Q14" s="12"/>
      <c r="T14" s="74"/>
      <c r="Y14" s="64"/>
      <c r="Z14" s="64"/>
    </row>
    <row r="15" spans="2:26" s="14" customFormat="1">
      <c r="B15" s="18"/>
      <c r="C15" s="228" t="s">
        <v>102</v>
      </c>
      <c r="D15" s="150" t="s">
        <v>34</v>
      </c>
      <c r="E15" s="229">
        <v>1.7526E-2</v>
      </c>
      <c r="F15" s="131"/>
      <c r="G15" s="23"/>
      <c r="H15" s="23"/>
      <c r="I15" s="23"/>
      <c r="J15" s="23"/>
      <c r="K15" s="39"/>
      <c r="L15" s="23"/>
      <c r="M15" s="43"/>
      <c r="N15" s="93"/>
      <c r="O15" s="12"/>
      <c r="P15" s="12"/>
      <c r="Q15" s="12"/>
      <c r="T15" s="74"/>
      <c r="Y15" s="64"/>
      <c r="Z15" s="64"/>
    </row>
    <row r="16" spans="2:26" s="14" customFormat="1">
      <c r="B16" s="18"/>
      <c r="C16" s="228" t="s">
        <v>50</v>
      </c>
      <c r="D16" s="150" t="s">
        <v>12</v>
      </c>
      <c r="E16" s="229">
        <v>1.5904999999999999E-2</v>
      </c>
      <c r="F16" s="43"/>
      <c r="G16" s="23"/>
      <c r="H16" s="23"/>
      <c r="I16" s="23"/>
      <c r="L16" s="23"/>
      <c r="M16" s="43"/>
      <c r="N16" s="93"/>
      <c r="O16" s="12"/>
      <c r="P16" s="12"/>
      <c r="Q16" s="12"/>
      <c r="T16" s="74"/>
      <c r="Y16" s="64"/>
      <c r="Z16" s="64"/>
    </row>
    <row r="17" spans="1:43" s="14" customFormat="1">
      <c r="B17" s="18"/>
      <c r="C17" s="228" t="s">
        <v>167</v>
      </c>
      <c r="D17" s="150" t="s">
        <v>9</v>
      </c>
      <c r="E17" s="229">
        <v>1.5499000000000001E-2</v>
      </c>
      <c r="F17" s="20"/>
      <c r="G17" s="23"/>
      <c r="H17" s="23"/>
      <c r="I17" s="23"/>
      <c r="L17" s="23"/>
      <c r="M17" s="43"/>
      <c r="N17" s="93"/>
      <c r="O17" s="12"/>
      <c r="P17" s="12"/>
      <c r="Q17" s="12"/>
      <c r="T17" s="74"/>
      <c r="Y17" s="64"/>
      <c r="Z17" s="64"/>
    </row>
    <row r="18" spans="1:43">
      <c r="B18" s="18"/>
      <c r="C18" s="230" t="s">
        <v>46</v>
      </c>
      <c r="D18" s="237" t="s">
        <v>5</v>
      </c>
      <c r="E18" s="229">
        <v>1.5186E-2</v>
      </c>
      <c r="F18" s="20"/>
      <c r="G18" s="43"/>
      <c r="H18" s="43"/>
      <c r="I18" s="43"/>
      <c r="J18" s="43"/>
      <c r="K18" s="43"/>
      <c r="L18" s="43"/>
      <c r="M18" s="43"/>
      <c r="N18" s="93"/>
      <c r="T18" s="74"/>
    </row>
    <row r="19" spans="1:43">
      <c r="B19" s="18"/>
      <c r="C19" s="228" t="s">
        <v>51</v>
      </c>
      <c r="D19" s="150" t="s">
        <v>10</v>
      </c>
      <c r="E19" s="229">
        <v>1.4826000000000001E-2</v>
      </c>
      <c r="F19" s="20"/>
      <c r="G19" s="43"/>
      <c r="H19" s="43"/>
      <c r="I19" s="43"/>
      <c r="J19" s="43"/>
      <c r="K19" s="43"/>
      <c r="L19" s="43"/>
      <c r="M19" s="43"/>
      <c r="N19" s="93"/>
      <c r="T19" s="74"/>
    </row>
    <row r="20" spans="1:43">
      <c r="B20" s="18"/>
      <c r="C20" s="228" t="s">
        <v>65</v>
      </c>
      <c r="D20" s="150" t="s">
        <v>39</v>
      </c>
      <c r="E20" s="229">
        <v>1.4553999999999999E-2</v>
      </c>
      <c r="F20" s="20"/>
      <c r="G20" s="20"/>
      <c r="H20" s="20"/>
      <c r="I20" s="20"/>
      <c r="J20" s="20"/>
      <c r="K20" s="20"/>
      <c r="L20" s="20"/>
      <c r="M20" s="20"/>
      <c r="N20" s="30"/>
      <c r="T20" s="74"/>
    </row>
    <row r="21" spans="1:43" ht="15.75" customHeight="1">
      <c r="B21" s="18"/>
      <c r="C21" s="228" t="s">
        <v>197</v>
      </c>
      <c r="D21" s="150" t="s">
        <v>42</v>
      </c>
      <c r="E21" s="229">
        <v>1.4513E-2</v>
      </c>
      <c r="F21" s="20"/>
      <c r="G21" s="161" t="s">
        <v>84</v>
      </c>
      <c r="H21" s="161"/>
      <c r="I21" s="161"/>
      <c r="J21" s="161"/>
      <c r="K21" s="161"/>
      <c r="L21" s="147"/>
      <c r="M21" s="120">
        <v>3.67</v>
      </c>
      <c r="N21" s="148"/>
      <c r="Q21"/>
      <c r="T21" s="74"/>
    </row>
    <row r="22" spans="1:43" ht="15.75">
      <c r="B22" s="18"/>
      <c r="C22" s="228" t="s">
        <v>175</v>
      </c>
      <c r="D22" s="150" t="s">
        <v>8</v>
      </c>
      <c r="E22" s="229">
        <v>1.4087000000000001E-2</v>
      </c>
      <c r="F22" s="20"/>
      <c r="G22" s="27" t="s">
        <v>85</v>
      </c>
      <c r="H22" s="27" t="s">
        <v>86</v>
      </c>
      <c r="I22" s="27" t="s">
        <v>87</v>
      </c>
      <c r="J22" s="27"/>
      <c r="K22" s="27" t="s">
        <v>88</v>
      </c>
      <c r="L22" s="20"/>
      <c r="M22" s="20"/>
      <c r="N22" s="19"/>
      <c r="O22" s="13"/>
      <c r="P22" s="13"/>
      <c r="Q22"/>
      <c r="T22" s="74"/>
    </row>
    <row r="23" spans="1:43" ht="15.75">
      <c r="B23" s="18"/>
      <c r="C23" s="228" t="s">
        <v>52</v>
      </c>
      <c r="D23" s="150" t="s">
        <v>4</v>
      </c>
      <c r="E23" s="229">
        <v>1.3958999999999999E-2</v>
      </c>
      <c r="F23" s="20"/>
      <c r="G23" s="46">
        <v>0.26190000000000002</v>
      </c>
      <c r="H23" s="46">
        <v>2.0999999999999999E-3</v>
      </c>
      <c r="I23" s="46">
        <v>2.0000000000000001E-4</v>
      </c>
      <c r="J23" s="27"/>
      <c r="K23" s="46">
        <v>0.73550000000000004</v>
      </c>
      <c r="L23" s="20"/>
      <c r="M23" s="20"/>
      <c r="N23" s="19"/>
      <c r="O23" s="13"/>
      <c r="P23" s="13"/>
      <c r="Q23"/>
      <c r="T23" s="74"/>
    </row>
    <row r="24" spans="1:43" ht="15.75" customHeight="1">
      <c r="B24" s="18"/>
      <c r="C24" s="150"/>
      <c r="D24" s="31"/>
      <c r="E24" s="50"/>
      <c r="F24" s="20"/>
      <c r="G24" s="161" t="s">
        <v>89</v>
      </c>
      <c r="H24" s="161"/>
      <c r="I24" s="161"/>
      <c r="J24" s="161"/>
      <c r="K24" s="161"/>
      <c r="L24" s="161"/>
      <c r="M24" s="161"/>
      <c r="N24" s="162"/>
      <c r="O24" s="13"/>
      <c r="P24" s="13"/>
      <c r="Q24"/>
      <c r="T24" s="74"/>
    </row>
    <row r="25" spans="1:43" ht="15.75">
      <c r="B25" s="18"/>
      <c r="C25" s="192" t="s">
        <v>100</v>
      </c>
      <c r="D25" s="192"/>
      <c r="E25" s="194">
        <f>SUM(E9:E23)</f>
        <v>0.33408100000000002</v>
      </c>
      <c r="F25" s="20"/>
      <c r="G25" s="20"/>
      <c r="H25" s="20"/>
      <c r="I25" s="20"/>
      <c r="J25" s="20"/>
      <c r="K25" s="20"/>
      <c r="L25" s="20"/>
      <c r="M25" s="20"/>
      <c r="N25" s="19"/>
      <c r="O25" s="13"/>
      <c r="P25" s="13"/>
      <c r="Q25"/>
      <c r="T25" s="74"/>
    </row>
    <row r="26" spans="1:43" ht="15.75">
      <c r="B26" s="18"/>
      <c r="C26" s="31"/>
      <c r="D26" s="31"/>
      <c r="E26" s="50"/>
      <c r="F26" s="20"/>
      <c r="G26" s="20"/>
      <c r="H26" s="20"/>
      <c r="I26" s="20"/>
      <c r="J26" s="20"/>
      <c r="K26" s="20"/>
      <c r="L26" s="20"/>
      <c r="M26" s="20"/>
      <c r="N26" s="19"/>
      <c r="O26" s="13"/>
      <c r="P26" s="13"/>
      <c r="Q26"/>
      <c r="T26" s="74"/>
    </row>
    <row r="27" spans="1:43" ht="15.75">
      <c r="B27" s="18"/>
      <c r="C27" s="192" t="s">
        <v>168</v>
      </c>
      <c r="D27" s="192"/>
      <c r="E27" s="194">
        <v>0.33019999999999999</v>
      </c>
      <c r="F27" s="105"/>
      <c r="G27" s="20"/>
      <c r="H27" s="20"/>
      <c r="I27" s="20"/>
      <c r="J27" s="20"/>
      <c r="K27" s="20"/>
      <c r="L27" s="20"/>
      <c r="M27" s="20"/>
      <c r="N27" s="19"/>
      <c r="O27" s="13"/>
      <c r="P27" s="13"/>
      <c r="Q27"/>
      <c r="T27" s="74"/>
    </row>
    <row r="28" spans="1:43" ht="15.75">
      <c r="B28" s="18"/>
      <c r="C28" s="31"/>
      <c r="D28" s="31"/>
      <c r="E28" s="50"/>
      <c r="F28" s="20"/>
      <c r="G28" s="20"/>
      <c r="H28" s="20"/>
      <c r="I28" s="20"/>
      <c r="J28" s="20"/>
      <c r="K28" s="20"/>
      <c r="L28" s="20"/>
      <c r="M28" s="20"/>
      <c r="N28" s="19"/>
      <c r="O28" s="13"/>
      <c r="P28" s="13"/>
      <c r="Q28"/>
      <c r="T28" s="74"/>
    </row>
    <row r="29" spans="1:43" ht="15" customHeight="1">
      <c r="B29" s="18"/>
      <c r="C29" s="31" t="s">
        <v>169</v>
      </c>
      <c r="D29" s="31" t="s">
        <v>112</v>
      </c>
      <c r="E29" s="50">
        <v>1.2400000000000001E-4</v>
      </c>
      <c r="F29" s="20"/>
      <c r="G29" s="20"/>
      <c r="H29" s="20"/>
      <c r="I29" s="20"/>
      <c r="J29" s="20"/>
      <c r="K29" s="20"/>
      <c r="L29" s="20"/>
      <c r="M29" s="20"/>
      <c r="N29" s="19"/>
      <c r="O29" s="13"/>
      <c r="P29" s="13"/>
      <c r="Q29"/>
      <c r="T29" s="74"/>
    </row>
    <row r="30" spans="1:43" s="35" customFormat="1" ht="13.5" customHeight="1">
      <c r="B30" s="36"/>
      <c r="C30" s="31" t="s">
        <v>170</v>
      </c>
      <c r="D30" s="31" t="s">
        <v>112</v>
      </c>
      <c r="E30" s="50">
        <v>1.02E-4</v>
      </c>
      <c r="F30" s="34"/>
      <c r="G30" s="34"/>
      <c r="H30" s="34"/>
      <c r="I30" s="34"/>
      <c r="J30" s="34"/>
      <c r="K30" s="34"/>
      <c r="L30" s="34"/>
      <c r="M30" s="34"/>
      <c r="N30" s="48"/>
      <c r="O30" s="49"/>
      <c r="P30" s="49"/>
      <c r="Q30" s="125"/>
      <c r="R30" s="21"/>
      <c r="S30" s="21"/>
      <c r="T30" s="75"/>
      <c r="U30" s="21"/>
      <c r="V30" s="21"/>
      <c r="W30" s="21"/>
      <c r="X30" s="21"/>
      <c r="Y30" s="101"/>
      <c r="Z30" s="10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</row>
    <row r="31" spans="1:43" ht="15.75">
      <c r="B31" s="18"/>
      <c r="C31" s="192" t="s">
        <v>73</v>
      </c>
      <c r="D31" s="192"/>
      <c r="E31" s="194">
        <v>2.2599999999999999E-4</v>
      </c>
      <c r="F31" s="20"/>
      <c r="G31" s="20"/>
      <c r="H31" s="20"/>
      <c r="I31" s="20"/>
      <c r="J31" s="20"/>
      <c r="K31" s="20"/>
      <c r="L31" s="20"/>
      <c r="M31" s="20"/>
      <c r="N31" s="19"/>
      <c r="O31" s="13"/>
      <c r="P31" s="13"/>
      <c r="Q31"/>
      <c r="T31" s="74"/>
    </row>
    <row r="32" spans="1:43" s="64" customFormat="1" ht="15.75">
      <c r="A32" s="12"/>
      <c r="B32" s="18"/>
      <c r="C32" s="221"/>
      <c r="D32" s="221"/>
      <c r="E32" s="234"/>
      <c r="F32" s="20"/>
      <c r="G32" s="20"/>
      <c r="H32" s="20"/>
      <c r="I32" s="20"/>
      <c r="J32" s="20"/>
      <c r="K32" s="20"/>
      <c r="L32" s="20"/>
      <c r="M32" s="20"/>
      <c r="N32" s="19"/>
      <c r="O32" s="13"/>
      <c r="P32" s="13"/>
      <c r="Q32"/>
      <c r="R32" s="14"/>
      <c r="S32" s="14"/>
      <c r="T32" s="74"/>
      <c r="U32" s="14"/>
      <c r="V32" s="14"/>
      <c r="W32" s="14"/>
      <c r="X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</row>
    <row r="33" spans="1:43" s="64" customFormat="1" ht="15.75">
      <c r="A33" s="12"/>
      <c r="B33" s="18"/>
      <c r="C33" s="150" t="s">
        <v>48</v>
      </c>
      <c r="D33" s="31" t="s">
        <v>131</v>
      </c>
      <c r="E33" s="50">
        <v>2.5765E-2</v>
      </c>
      <c r="F33" s="20"/>
      <c r="G33" s="20"/>
      <c r="H33" s="20"/>
      <c r="I33" s="20"/>
      <c r="J33" s="20"/>
      <c r="K33" s="20"/>
      <c r="L33" s="20"/>
      <c r="M33" s="20"/>
      <c r="N33" s="19"/>
      <c r="O33" s="13"/>
      <c r="P33" s="13"/>
      <c r="Q33"/>
      <c r="R33" s="14"/>
      <c r="S33" s="14"/>
      <c r="T33" s="74"/>
      <c r="U33" s="14"/>
      <c r="V33" s="14"/>
      <c r="W33" s="14"/>
      <c r="X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s="64" customFormat="1" ht="15.75">
      <c r="A34" s="12"/>
      <c r="B34" s="18"/>
      <c r="C34" s="124" t="s">
        <v>198</v>
      </c>
      <c r="D34" s="31" t="s">
        <v>131</v>
      </c>
      <c r="E34" s="50">
        <v>2.4694000000000001E-2</v>
      </c>
      <c r="F34" s="20"/>
      <c r="G34" s="20"/>
      <c r="H34" s="20"/>
      <c r="I34" s="20"/>
      <c r="J34" s="20"/>
      <c r="K34" s="20"/>
      <c r="L34" s="20"/>
      <c r="M34" s="20"/>
      <c r="N34" s="19"/>
      <c r="O34" s="13"/>
      <c r="P34" s="13"/>
      <c r="Q34"/>
      <c r="R34" s="14"/>
      <c r="S34" s="14"/>
      <c r="T34" s="74"/>
      <c r="U34" s="14"/>
      <c r="V34" s="14"/>
      <c r="W34" s="14"/>
      <c r="X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</row>
    <row r="35" spans="1:43" s="64" customFormat="1" ht="15.75">
      <c r="A35" s="12"/>
      <c r="B35" s="18"/>
      <c r="C35" s="124" t="s">
        <v>190</v>
      </c>
      <c r="D35" s="31" t="s">
        <v>131</v>
      </c>
      <c r="E35" s="50">
        <v>2.4597999999999998E-2</v>
      </c>
      <c r="F35" s="20"/>
      <c r="G35" s="20"/>
      <c r="H35" s="20"/>
      <c r="I35" s="20"/>
      <c r="J35" s="20"/>
      <c r="K35" s="20"/>
      <c r="L35" s="20"/>
      <c r="M35" s="20"/>
      <c r="N35" s="19"/>
      <c r="O35" s="13"/>
      <c r="P35" s="13"/>
      <c r="Q35"/>
      <c r="R35" s="14"/>
      <c r="S35" s="14"/>
      <c r="T35" s="74"/>
      <c r="U35" s="14"/>
      <c r="V35" s="14"/>
      <c r="W35" s="14"/>
      <c r="X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s="64" customFormat="1" ht="15.75">
      <c r="A36" s="12"/>
      <c r="B36" s="18"/>
      <c r="C36" s="124" t="s">
        <v>184</v>
      </c>
      <c r="D36" s="31" t="s">
        <v>131</v>
      </c>
      <c r="E36" s="50">
        <v>1.5417999999999999E-2</v>
      </c>
      <c r="F36" s="20"/>
      <c r="G36" s="20"/>
      <c r="H36" s="20"/>
      <c r="I36" s="20"/>
      <c r="J36" s="20"/>
      <c r="K36" s="20"/>
      <c r="L36" s="20"/>
      <c r="M36" s="20"/>
      <c r="N36" s="19"/>
      <c r="O36" s="13"/>
      <c r="P36" s="13"/>
      <c r="Q36"/>
      <c r="R36" s="14"/>
      <c r="S36" s="14"/>
      <c r="T36" s="74"/>
      <c r="U36" s="14"/>
      <c r="V36" s="14"/>
      <c r="W36" s="14"/>
      <c r="X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</row>
    <row r="37" spans="1:43" s="64" customFormat="1" ht="15.75">
      <c r="A37" s="12"/>
      <c r="B37" s="18"/>
      <c r="C37" s="124" t="s">
        <v>49</v>
      </c>
      <c r="D37" s="31" t="s">
        <v>136</v>
      </c>
      <c r="E37" s="50">
        <v>1.5155999999999999E-2</v>
      </c>
      <c r="F37" s="20"/>
      <c r="G37" s="20"/>
      <c r="H37" s="20"/>
      <c r="I37" s="20"/>
      <c r="J37" s="20"/>
      <c r="K37" s="20"/>
      <c r="L37" s="20"/>
      <c r="M37" s="20"/>
      <c r="N37" s="19"/>
      <c r="O37" s="13"/>
      <c r="P37" s="13"/>
      <c r="Q37"/>
      <c r="R37" s="14"/>
      <c r="S37" s="14"/>
      <c r="T37" s="74"/>
      <c r="U37" s="14"/>
      <c r="V37" s="14"/>
      <c r="W37" s="14"/>
      <c r="X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s="64" customFormat="1" ht="15.75">
      <c r="A38" s="12"/>
      <c r="B38" s="18"/>
      <c r="C38" s="124" t="s">
        <v>129</v>
      </c>
      <c r="D38" s="31" t="s">
        <v>131</v>
      </c>
      <c r="E38" s="50">
        <v>1.0473E-2</v>
      </c>
      <c r="F38" s="20"/>
      <c r="G38" s="20"/>
      <c r="H38" s="20"/>
      <c r="I38" s="20"/>
      <c r="J38" s="20"/>
      <c r="K38" s="20"/>
      <c r="L38" s="20"/>
      <c r="M38" s="20"/>
      <c r="N38" s="19"/>
      <c r="O38" s="13"/>
      <c r="P38" s="13"/>
      <c r="Q38"/>
      <c r="R38" s="14"/>
      <c r="S38" s="14"/>
      <c r="T38" s="74"/>
      <c r="U38" s="14"/>
      <c r="V38" s="14"/>
      <c r="W38" s="14"/>
      <c r="X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</row>
    <row r="39" spans="1:43" s="14" customFormat="1" ht="15.75">
      <c r="A39" s="12"/>
      <c r="B39" s="18"/>
      <c r="C39" s="124" t="s">
        <v>46</v>
      </c>
      <c r="D39" s="31" t="s">
        <v>131</v>
      </c>
      <c r="E39" s="50">
        <v>1.0298E-2</v>
      </c>
      <c r="F39" s="20"/>
      <c r="G39" s="20"/>
      <c r="H39" s="20"/>
      <c r="I39" s="20"/>
      <c r="J39" s="20"/>
      <c r="K39" s="20"/>
      <c r="L39" s="20"/>
      <c r="M39" s="20"/>
      <c r="N39" s="19"/>
      <c r="O39" s="13"/>
      <c r="P39" s="13"/>
      <c r="Q39"/>
      <c r="T39" s="74"/>
      <c r="Y39" s="64"/>
      <c r="Z39" s="64"/>
    </row>
    <row r="40" spans="1:43" s="14" customFormat="1" ht="15.75">
      <c r="A40" s="12"/>
      <c r="B40" s="18"/>
      <c r="C40" s="124" t="s">
        <v>222</v>
      </c>
      <c r="D40" s="31" t="s">
        <v>131</v>
      </c>
      <c r="E40" s="50">
        <v>1.0087E-2</v>
      </c>
      <c r="F40" s="20"/>
      <c r="G40" s="20"/>
      <c r="H40" s="20"/>
      <c r="I40" s="20"/>
      <c r="J40" s="20"/>
      <c r="K40" s="20"/>
      <c r="L40" s="20"/>
      <c r="M40" s="20"/>
      <c r="N40" s="19"/>
      <c r="O40" s="13"/>
      <c r="P40" s="13"/>
      <c r="Q40"/>
      <c r="T40" s="74"/>
      <c r="Y40" s="64"/>
      <c r="Z40" s="64"/>
    </row>
    <row r="41" spans="1:43" s="14" customFormat="1" ht="15.75">
      <c r="A41" s="12"/>
      <c r="B41" s="18"/>
      <c r="C41" s="124" t="s">
        <v>198</v>
      </c>
      <c r="D41" s="31" t="s">
        <v>131</v>
      </c>
      <c r="E41" s="50">
        <v>6.0390000000000001E-3</v>
      </c>
      <c r="F41" s="20"/>
      <c r="G41" s="20"/>
      <c r="H41" s="20"/>
      <c r="I41" s="20"/>
      <c r="J41" s="20"/>
      <c r="K41" s="20"/>
      <c r="L41" s="20"/>
      <c r="M41" s="20"/>
      <c r="N41" s="19"/>
      <c r="O41" s="13"/>
      <c r="P41" s="13"/>
      <c r="Q41"/>
      <c r="T41" s="74"/>
      <c r="Y41" s="64"/>
      <c r="Z41" s="64"/>
    </row>
    <row r="42" spans="1:43" s="14" customFormat="1" ht="15.75">
      <c r="A42" s="12"/>
      <c r="B42" s="18"/>
      <c r="C42" s="124" t="s">
        <v>190</v>
      </c>
      <c r="D42" s="31" t="s">
        <v>131</v>
      </c>
      <c r="E42" s="50">
        <v>5.143E-3</v>
      </c>
      <c r="F42" s="20"/>
      <c r="G42" s="20"/>
      <c r="H42" s="20"/>
      <c r="I42" s="20"/>
      <c r="J42" s="20"/>
      <c r="K42" s="20"/>
      <c r="L42" s="20"/>
      <c r="M42" s="20"/>
      <c r="N42" s="19"/>
      <c r="O42" s="13"/>
      <c r="P42" s="13"/>
      <c r="Q42"/>
      <c r="T42" s="74"/>
      <c r="Y42" s="64"/>
      <c r="Z42" s="64"/>
    </row>
    <row r="43" spans="1:43" s="14" customFormat="1" ht="15.75">
      <c r="A43" s="12"/>
      <c r="B43" s="18"/>
      <c r="C43" s="124" t="s">
        <v>190</v>
      </c>
      <c r="D43" s="31" t="s">
        <v>131</v>
      </c>
      <c r="E43" s="50">
        <v>4.0530000000000002E-3</v>
      </c>
      <c r="F43" s="20"/>
      <c r="G43" s="20"/>
      <c r="H43" s="20"/>
      <c r="I43" s="20"/>
      <c r="J43" s="20"/>
      <c r="K43" s="20"/>
      <c r="L43" s="20"/>
      <c r="M43" s="20"/>
      <c r="N43" s="19"/>
      <c r="O43" s="13"/>
      <c r="P43" s="13"/>
      <c r="Q43"/>
      <c r="T43" s="74"/>
      <c r="Y43" s="64"/>
      <c r="Z43" s="64"/>
    </row>
    <row r="44" spans="1:43" s="14" customFormat="1" ht="15.75">
      <c r="A44" s="12"/>
      <c r="B44" s="18"/>
      <c r="C44" s="124" t="s">
        <v>198</v>
      </c>
      <c r="D44" s="31" t="s">
        <v>131</v>
      </c>
      <c r="E44" s="50">
        <v>1.8619999999999999E-3</v>
      </c>
      <c r="F44" s="20"/>
      <c r="G44" s="20"/>
      <c r="H44" s="20"/>
      <c r="I44" s="20"/>
      <c r="J44" s="20"/>
      <c r="K44" s="20"/>
      <c r="L44" s="20"/>
      <c r="M44" s="20"/>
      <c r="N44" s="19"/>
      <c r="O44" s="13"/>
      <c r="P44" s="13"/>
      <c r="Q44"/>
      <c r="T44" s="74"/>
      <c r="Y44" s="64"/>
      <c r="Z44" s="64"/>
    </row>
    <row r="45" spans="1:43" s="14" customFormat="1" ht="15.75">
      <c r="A45" s="12"/>
      <c r="B45" s="18"/>
      <c r="C45" s="124" t="s">
        <v>178</v>
      </c>
      <c r="D45" s="31" t="s">
        <v>131</v>
      </c>
      <c r="E45" s="50">
        <v>1.5120000000000001E-3</v>
      </c>
      <c r="F45" s="20"/>
      <c r="G45" s="20"/>
      <c r="H45" s="20"/>
      <c r="I45" s="20"/>
      <c r="J45" s="20"/>
      <c r="K45" s="20"/>
      <c r="L45" s="20"/>
      <c r="M45" s="20"/>
      <c r="N45" s="19"/>
      <c r="O45" s="13"/>
      <c r="P45" s="13"/>
      <c r="Q45"/>
      <c r="T45" s="74"/>
      <c r="Y45" s="64"/>
      <c r="Z45" s="64"/>
    </row>
    <row r="46" spans="1:43" s="14" customFormat="1">
      <c r="A46" s="12"/>
      <c r="B46" s="18"/>
      <c r="C46" s="124" t="s">
        <v>184</v>
      </c>
      <c r="D46" s="31" t="s">
        <v>131</v>
      </c>
      <c r="E46" s="50">
        <v>1.031E-3</v>
      </c>
      <c r="F46" s="20"/>
      <c r="G46" s="20"/>
      <c r="H46" s="20"/>
      <c r="I46" s="20"/>
      <c r="J46" s="20"/>
      <c r="K46" s="20"/>
      <c r="L46" s="20"/>
      <c r="M46" s="20"/>
      <c r="N46" s="19"/>
      <c r="O46" s="13"/>
      <c r="P46" s="13"/>
      <c r="Q46" s="13"/>
      <c r="T46" s="74"/>
      <c r="Y46" s="64"/>
      <c r="Z46" s="64"/>
    </row>
    <row r="47" spans="1:43" s="14" customFormat="1">
      <c r="A47" s="12"/>
      <c r="B47" s="18"/>
      <c r="C47" s="124" t="s">
        <v>177</v>
      </c>
      <c r="D47" s="31" t="s">
        <v>131</v>
      </c>
      <c r="E47" s="50">
        <v>6.9499999999999998E-4</v>
      </c>
      <c r="F47" s="20"/>
      <c r="G47" s="20"/>
      <c r="H47" s="20"/>
      <c r="I47" s="20"/>
      <c r="J47" s="20"/>
      <c r="K47" s="20"/>
      <c r="L47" s="20"/>
      <c r="M47" s="20"/>
      <c r="N47" s="19"/>
      <c r="O47" s="13"/>
      <c r="P47" s="13"/>
      <c r="Q47" s="13"/>
      <c r="T47" s="74"/>
      <c r="Y47" s="64"/>
      <c r="Z47" s="64"/>
    </row>
    <row r="48" spans="1:43" s="14" customFormat="1" ht="15.75">
      <c r="A48" s="12"/>
      <c r="B48" s="18"/>
      <c r="C48" s="192" t="s">
        <v>83</v>
      </c>
      <c r="D48" s="192"/>
      <c r="E48" s="194">
        <v>0.15682399999999999</v>
      </c>
      <c r="F48" s="20"/>
      <c r="G48" s="20"/>
      <c r="H48" s="20"/>
      <c r="I48" s="20"/>
      <c r="J48" s="20"/>
      <c r="K48" s="20"/>
      <c r="L48" s="20"/>
      <c r="M48" s="20"/>
      <c r="N48" s="19"/>
      <c r="O48" s="13"/>
      <c r="P48" s="13"/>
      <c r="Q48" s="13"/>
      <c r="T48" s="74"/>
      <c r="Y48" s="64"/>
      <c r="Z48" s="64"/>
    </row>
    <row r="49" spans="1:26" s="14" customFormat="1" ht="15.75">
      <c r="A49" s="12"/>
      <c r="B49" s="18"/>
      <c r="C49" s="221"/>
      <c r="D49" s="221"/>
      <c r="E49" s="234"/>
      <c r="F49" s="20"/>
      <c r="G49" s="20"/>
      <c r="H49" s="20"/>
      <c r="I49" s="20"/>
      <c r="J49" s="20"/>
      <c r="K49" s="20"/>
      <c r="L49" s="20"/>
      <c r="M49" s="20"/>
      <c r="N49" s="19"/>
      <c r="O49" s="13"/>
      <c r="P49" s="13"/>
      <c r="Q49" s="13"/>
      <c r="T49" s="74"/>
      <c r="Y49" s="64"/>
      <c r="Z49" s="64"/>
    </row>
    <row r="50" spans="1:26" s="14" customFormat="1">
      <c r="A50" s="12"/>
      <c r="B50" s="18"/>
      <c r="C50" s="150" t="s">
        <v>221</v>
      </c>
      <c r="D50" s="31" t="s">
        <v>112</v>
      </c>
      <c r="E50" s="50">
        <v>1.0501E-2</v>
      </c>
      <c r="F50" s="20"/>
      <c r="G50" s="20"/>
      <c r="H50" s="20"/>
      <c r="I50" s="20"/>
      <c r="J50" s="20"/>
      <c r="K50" s="20"/>
      <c r="L50" s="20"/>
      <c r="M50" s="20"/>
      <c r="N50" s="19"/>
      <c r="O50" s="13"/>
      <c r="P50" s="13"/>
      <c r="Q50" s="13"/>
      <c r="T50" s="74"/>
      <c r="Y50" s="64"/>
      <c r="Z50" s="64"/>
    </row>
    <row r="51" spans="1:26" s="21" customFormat="1">
      <c r="A51" s="35"/>
      <c r="B51" s="36"/>
      <c r="C51" s="150" t="s">
        <v>179</v>
      </c>
      <c r="D51" s="31" t="s">
        <v>112</v>
      </c>
      <c r="E51" s="50">
        <v>1.4729999999999999E-3</v>
      </c>
      <c r="F51" s="34"/>
      <c r="G51" s="34"/>
      <c r="H51" s="34"/>
      <c r="I51" s="34"/>
      <c r="J51" s="34"/>
      <c r="K51" s="34"/>
      <c r="L51" s="34"/>
      <c r="M51" s="34"/>
      <c r="N51" s="48"/>
      <c r="O51" s="49"/>
      <c r="P51" s="49"/>
      <c r="Q51" s="49"/>
      <c r="T51" s="75"/>
      <c r="Y51" s="101"/>
      <c r="Z51" s="101"/>
    </row>
    <row r="52" spans="1:26" s="14" customFormat="1" ht="15.75">
      <c r="A52" s="12"/>
      <c r="B52" s="18"/>
      <c r="C52" s="192" t="s">
        <v>105</v>
      </c>
      <c r="D52" s="192"/>
      <c r="E52" s="194">
        <v>1.1974E-2</v>
      </c>
      <c r="F52" s="20"/>
      <c r="G52" s="47"/>
      <c r="H52" s="20"/>
      <c r="I52" s="20"/>
      <c r="J52" s="20"/>
      <c r="K52" s="20"/>
      <c r="L52" s="20"/>
      <c r="M52" s="20"/>
      <c r="N52" s="19"/>
      <c r="O52" s="13"/>
      <c r="P52" s="13"/>
      <c r="Q52" s="13"/>
      <c r="T52" s="74"/>
      <c r="Y52" s="64"/>
      <c r="Z52" s="64"/>
    </row>
    <row r="53" spans="1:26" s="14" customFormat="1" ht="15.75">
      <c r="A53" s="20"/>
      <c r="B53" s="18"/>
      <c r="C53" s="221"/>
      <c r="D53" s="221"/>
      <c r="E53" s="234"/>
      <c r="F53" s="20"/>
      <c r="G53" s="20"/>
      <c r="H53" s="20"/>
      <c r="I53" s="20"/>
      <c r="J53" s="20"/>
      <c r="K53" s="20"/>
      <c r="L53" s="20"/>
      <c r="M53" s="20"/>
      <c r="N53" s="19"/>
      <c r="O53" s="27"/>
      <c r="P53" s="27"/>
      <c r="Q53" s="13"/>
      <c r="T53" s="74"/>
      <c r="Y53" s="64"/>
      <c r="Z53" s="64"/>
    </row>
    <row r="54" spans="1:26" s="14" customFormat="1" ht="15.75">
      <c r="A54" s="20"/>
      <c r="B54" s="18"/>
      <c r="C54" s="192" t="s">
        <v>126</v>
      </c>
      <c r="D54" s="192"/>
      <c r="E54" s="194">
        <v>5.1090999999999998E-2</v>
      </c>
      <c r="F54" s="20"/>
      <c r="G54" s="20"/>
      <c r="H54" s="20"/>
      <c r="I54" s="20"/>
      <c r="J54" s="20"/>
      <c r="K54" s="20"/>
      <c r="L54" s="20"/>
      <c r="M54" s="20"/>
      <c r="N54" s="19"/>
      <c r="O54" s="27"/>
      <c r="P54" s="27"/>
      <c r="Q54" s="13"/>
      <c r="T54" s="74"/>
      <c r="Y54" s="64"/>
      <c r="Z54" s="64"/>
    </row>
    <row r="55" spans="1:26" s="14" customFormat="1" ht="15.75">
      <c r="A55" s="20"/>
      <c r="B55" s="18"/>
      <c r="C55" s="221"/>
      <c r="D55" s="221"/>
      <c r="E55" s="234"/>
      <c r="F55" s="20"/>
      <c r="G55" s="20"/>
      <c r="H55" s="20"/>
      <c r="I55" s="20"/>
      <c r="J55" s="20"/>
      <c r="K55" s="20"/>
      <c r="L55" s="20"/>
      <c r="M55" s="20"/>
      <c r="N55" s="19"/>
      <c r="O55" s="27"/>
      <c r="P55" s="27"/>
      <c r="Q55" s="13"/>
      <c r="T55" s="74"/>
      <c r="Y55" s="64"/>
      <c r="Z55" s="64"/>
    </row>
    <row r="56" spans="1:26" s="14" customFormat="1" ht="15.75">
      <c r="A56" s="20"/>
      <c r="B56" s="18"/>
      <c r="C56" s="192" t="s">
        <v>127</v>
      </c>
      <c r="D56" s="192"/>
      <c r="E56" s="194">
        <v>2.8545000000000001E-2</v>
      </c>
      <c r="F56" s="20"/>
      <c r="G56" s="20"/>
      <c r="H56" s="20"/>
      <c r="I56" s="20"/>
      <c r="J56" s="20"/>
      <c r="K56" s="20"/>
      <c r="L56" s="20"/>
      <c r="M56" s="20"/>
      <c r="N56" s="19"/>
      <c r="O56" s="27"/>
      <c r="P56" s="27"/>
      <c r="Q56" s="13"/>
      <c r="T56" s="74"/>
      <c r="Y56" s="64"/>
      <c r="Z56" s="64"/>
    </row>
    <row r="57" spans="1:26" s="14" customFormat="1">
      <c r="A57" s="20"/>
      <c r="B57" s="18"/>
      <c r="C57" s="150"/>
      <c r="D57" s="150"/>
      <c r="E57" s="150"/>
      <c r="F57" s="20"/>
      <c r="G57" s="20"/>
      <c r="H57" s="20"/>
      <c r="I57" s="20"/>
      <c r="J57" s="20"/>
      <c r="K57" s="20"/>
      <c r="L57" s="20"/>
      <c r="M57" s="20"/>
      <c r="N57" s="19"/>
      <c r="O57" s="27"/>
      <c r="P57" s="27"/>
      <c r="Q57" s="13"/>
      <c r="T57" s="74"/>
      <c r="Y57" s="64"/>
      <c r="Z57" s="64"/>
    </row>
    <row r="58" spans="1:26" s="14" customFormat="1" ht="15.75">
      <c r="A58" s="20"/>
      <c r="B58" s="18"/>
      <c r="C58" s="192" t="s">
        <v>29</v>
      </c>
      <c r="D58" s="192"/>
      <c r="E58" s="194">
        <v>8.7099999999999997E-2</v>
      </c>
      <c r="F58" s="20"/>
      <c r="G58" s="20"/>
      <c r="H58" s="20"/>
      <c r="I58" s="20"/>
      <c r="J58" s="20"/>
      <c r="K58" s="20"/>
      <c r="L58" s="20"/>
      <c r="M58" s="20"/>
      <c r="N58" s="19"/>
      <c r="O58" s="27"/>
      <c r="P58" s="27"/>
      <c r="Q58" s="13"/>
      <c r="T58" s="74"/>
      <c r="Y58" s="64"/>
      <c r="Z58" s="64"/>
    </row>
    <row r="59" spans="1:26" s="14" customFormat="1">
      <c r="A59" s="20"/>
      <c r="B59" s="18"/>
      <c r="C59" s="31"/>
      <c r="D59" s="31"/>
      <c r="E59" s="132"/>
      <c r="F59" s="20"/>
      <c r="G59" s="20"/>
      <c r="H59" s="20"/>
      <c r="I59" s="20"/>
      <c r="J59" s="20"/>
      <c r="K59" s="20"/>
      <c r="L59" s="20"/>
      <c r="M59" s="20"/>
      <c r="N59" s="19"/>
      <c r="O59" s="27"/>
      <c r="P59" s="27"/>
      <c r="Q59" s="13"/>
      <c r="T59" s="74"/>
      <c r="Y59" s="64"/>
      <c r="Z59" s="64"/>
    </row>
    <row r="60" spans="1:26" s="14" customFormat="1" ht="15.75">
      <c r="A60" s="20"/>
      <c r="B60" s="18"/>
      <c r="C60" s="195" t="s">
        <v>30</v>
      </c>
      <c r="D60" s="195"/>
      <c r="E60" s="197">
        <f>SUM(E25:E27)+E31+E48+E58+E56+E52+E54</f>
        <v>1.000041</v>
      </c>
      <c r="F60" s="20"/>
      <c r="G60" s="20"/>
      <c r="H60" s="20"/>
      <c r="I60" s="20"/>
      <c r="J60" s="20"/>
      <c r="K60" s="20"/>
      <c r="L60" s="20"/>
      <c r="M60" s="20"/>
      <c r="N60" s="19"/>
      <c r="O60" s="27"/>
      <c r="P60" s="27"/>
      <c r="Q60" s="13"/>
      <c r="T60" s="74"/>
      <c r="Y60" s="64"/>
      <c r="Z60" s="64"/>
    </row>
    <row r="61" spans="1:26" s="14" customFormat="1">
      <c r="A61" s="20"/>
      <c r="B61" s="18"/>
      <c r="F61" s="20"/>
      <c r="G61" s="20"/>
      <c r="H61" s="20"/>
      <c r="I61" s="20"/>
      <c r="J61" s="20"/>
      <c r="K61" s="20"/>
      <c r="L61" s="20"/>
      <c r="M61" s="20"/>
      <c r="N61" s="19"/>
      <c r="O61" s="27"/>
      <c r="P61" s="27"/>
      <c r="Q61" s="13"/>
      <c r="T61" s="74"/>
      <c r="Y61" s="64"/>
      <c r="Z61" s="64"/>
    </row>
    <row r="62" spans="1:26" s="14" customFormat="1">
      <c r="A62" s="20"/>
      <c r="B62" s="18"/>
      <c r="C62" s="28"/>
      <c r="F62" s="20"/>
      <c r="G62" s="20"/>
      <c r="H62" s="20"/>
      <c r="I62" s="20"/>
      <c r="J62" s="20"/>
      <c r="K62" s="20"/>
      <c r="L62" s="20"/>
      <c r="M62" s="20"/>
      <c r="N62" s="19"/>
      <c r="O62" s="27"/>
      <c r="P62" s="27"/>
      <c r="Q62" s="13"/>
      <c r="T62" s="74"/>
      <c r="Y62" s="64"/>
      <c r="Z62" s="64"/>
    </row>
    <row r="63" spans="1:26" s="14" customFormat="1" hidden="1">
      <c r="A63" s="20"/>
      <c r="B63" s="18"/>
      <c r="F63" s="20"/>
      <c r="G63" s="20"/>
      <c r="H63" s="20"/>
      <c r="I63" s="20"/>
      <c r="J63" s="20"/>
      <c r="K63" s="20"/>
      <c r="L63" s="20"/>
      <c r="M63" s="20"/>
      <c r="N63" s="19"/>
      <c r="O63" s="27"/>
      <c r="P63" s="27"/>
      <c r="Q63" s="13"/>
      <c r="T63" s="74"/>
      <c r="Y63" s="64"/>
      <c r="Z63" s="64"/>
    </row>
    <row r="64" spans="1:26" s="14" customFormat="1" hidden="1">
      <c r="A64" s="20"/>
      <c r="B64" s="18"/>
      <c r="F64" s="20"/>
      <c r="G64" s="20"/>
      <c r="H64" s="20"/>
      <c r="I64" s="20"/>
      <c r="J64" s="20"/>
      <c r="K64" s="20"/>
      <c r="L64" s="20"/>
      <c r="M64" s="20"/>
      <c r="N64" s="19"/>
      <c r="O64" s="27"/>
      <c r="P64" s="27"/>
      <c r="Q64" s="13"/>
      <c r="T64" s="74"/>
      <c r="Y64" s="64"/>
      <c r="Z64" s="64"/>
    </row>
    <row r="65" spans="1:26" s="14" customFormat="1" hidden="1">
      <c r="A65" s="20"/>
      <c r="B65" s="18"/>
      <c r="F65" s="20"/>
      <c r="G65" s="20"/>
      <c r="H65" s="20"/>
      <c r="I65" s="20"/>
      <c r="J65" s="20"/>
      <c r="K65" s="20"/>
      <c r="L65" s="20"/>
      <c r="M65" s="20"/>
      <c r="N65" s="19"/>
      <c r="O65" s="27"/>
      <c r="P65" s="27"/>
      <c r="Q65" s="13"/>
      <c r="T65" s="74"/>
      <c r="Y65" s="64"/>
      <c r="Z65" s="64"/>
    </row>
    <row r="66" spans="1:26" s="14" customFormat="1" hidden="1">
      <c r="A66" s="20"/>
      <c r="B66" s="18"/>
      <c r="F66" s="20"/>
      <c r="G66" s="20"/>
      <c r="H66" s="20"/>
      <c r="I66" s="20"/>
      <c r="J66" s="20"/>
      <c r="K66" s="20"/>
      <c r="L66" s="20"/>
      <c r="M66" s="20"/>
      <c r="N66" s="19"/>
      <c r="O66" s="27"/>
      <c r="P66" s="27"/>
      <c r="Q66" s="13"/>
      <c r="T66" s="74"/>
      <c r="Y66" s="64"/>
      <c r="Z66" s="64"/>
    </row>
    <row r="67" spans="1:26" s="14" customFormat="1" hidden="1">
      <c r="A67" s="20"/>
      <c r="B67" s="18"/>
      <c r="F67" s="20"/>
      <c r="G67" s="20"/>
      <c r="H67" s="20"/>
      <c r="I67" s="20"/>
      <c r="J67" s="20"/>
      <c r="K67" s="20"/>
      <c r="L67" s="20"/>
      <c r="M67" s="20"/>
      <c r="N67" s="19"/>
      <c r="O67" s="27"/>
      <c r="P67" s="27"/>
      <c r="Q67" s="13"/>
      <c r="T67" s="74"/>
      <c r="Y67" s="64"/>
      <c r="Z67" s="64"/>
    </row>
    <row r="68" spans="1:26" s="14" customFormat="1" hidden="1">
      <c r="A68" s="20"/>
      <c r="B68" s="18"/>
      <c r="F68" s="20"/>
      <c r="G68" s="20"/>
      <c r="H68" s="20"/>
      <c r="I68" s="20"/>
      <c r="J68" s="20"/>
      <c r="K68" s="20"/>
      <c r="L68" s="20"/>
      <c r="M68" s="20"/>
      <c r="N68" s="19"/>
      <c r="O68" s="27"/>
      <c r="P68" s="27"/>
      <c r="Q68" s="13"/>
      <c r="T68" s="74"/>
      <c r="Y68" s="64"/>
      <c r="Z68" s="64"/>
    </row>
    <row r="69" spans="1:26" s="14" customFormat="1" hidden="1">
      <c r="A69" s="20"/>
      <c r="B69" s="18"/>
      <c r="F69" s="20"/>
      <c r="G69" s="20"/>
      <c r="H69" s="20"/>
      <c r="I69" s="20"/>
      <c r="J69" s="20"/>
      <c r="K69" s="20"/>
      <c r="L69" s="20"/>
      <c r="M69" s="20"/>
      <c r="N69" s="19"/>
      <c r="O69" s="27"/>
      <c r="P69" s="27"/>
      <c r="Q69" s="13"/>
      <c r="T69" s="74"/>
      <c r="Y69" s="64"/>
      <c r="Z69" s="64"/>
    </row>
    <row r="70" spans="1:26" s="14" customFormat="1" hidden="1">
      <c r="A70" s="20"/>
      <c r="B70" s="18"/>
      <c r="F70" s="20"/>
      <c r="G70" s="20"/>
      <c r="H70" s="20"/>
      <c r="I70" s="20"/>
      <c r="J70" s="20"/>
      <c r="K70" s="20"/>
      <c r="L70" s="20"/>
      <c r="M70" s="20"/>
      <c r="N70" s="19"/>
      <c r="O70" s="27"/>
      <c r="P70" s="27"/>
      <c r="Q70" s="13"/>
      <c r="T70" s="74"/>
      <c r="Y70" s="64"/>
      <c r="Z70" s="64"/>
    </row>
    <row r="71" spans="1:26" s="14" customFormat="1" hidden="1">
      <c r="A71" s="20"/>
      <c r="B71" s="18"/>
      <c r="F71" s="20"/>
      <c r="G71" s="20"/>
      <c r="H71" s="20"/>
      <c r="I71" s="20"/>
      <c r="J71" s="20"/>
      <c r="K71" s="20"/>
      <c r="L71" s="20"/>
      <c r="M71" s="20"/>
      <c r="N71" s="19"/>
      <c r="O71" s="27"/>
      <c r="P71" s="27"/>
      <c r="Q71" s="13"/>
      <c r="T71" s="74"/>
      <c r="Y71" s="64"/>
      <c r="Z71" s="64"/>
    </row>
    <row r="72" spans="1:26" s="14" customFormat="1" hidden="1">
      <c r="A72" s="20"/>
      <c r="B72" s="18"/>
      <c r="C72" s="12"/>
      <c r="D72" s="12"/>
      <c r="E72" s="12"/>
      <c r="F72" s="20"/>
      <c r="G72" s="20"/>
      <c r="H72" s="20"/>
      <c r="I72" s="20"/>
      <c r="J72" s="20"/>
      <c r="K72" s="20"/>
      <c r="L72" s="20"/>
      <c r="M72" s="20"/>
      <c r="N72" s="19"/>
      <c r="O72" s="27"/>
      <c r="P72" s="27"/>
      <c r="Q72" s="13"/>
      <c r="T72" s="74"/>
      <c r="Y72" s="64"/>
      <c r="Z72" s="64"/>
    </row>
    <row r="73" spans="1:26" s="14" customFormat="1" hidden="1">
      <c r="A73" s="12"/>
      <c r="B73" s="18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30"/>
      <c r="O73" s="12"/>
      <c r="P73" s="12"/>
      <c r="Q73" s="12"/>
      <c r="T73" s="74"/>
      <c r="Y73" s="64"/>
      <c r="Z73" s="64"/>
    </row>
    <row r="74" spans="1:26" s="14" customFormat="1" hidden="1">
      <c r="A74" s="12"/>
      <c r="B74" s="18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30"/>
      <c r="O74" s="12"/>
      <c r="P74" s="12"/>
      <c r="Q74" s="12"/>
      <c r="T74" s="74"/>
      <c r="Y74" s="64"/>
      <c r="Z74" s="64"/>
    </row>
    <row r="75" spans="1:26" s="14" customFormat="1" hidden="1">
      <c r="A75" s="12"/>
      <c r="B75" s="18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30"/>
      <c r="O75" s="12"/>
      <c r="P75" s="12"/>
      <c r="Q75" s="12"/>
      <c r="T75" s="74"/>
      <c r="Y75" s="64"/>
      <c r="Z75" s="64"/>
    </row>
    <row r="76" spans="1:26" s="14" customFormat="1" hidden="1">
      <c r="A76" s="12"/>
      <c r="B76" s="18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30"/>
      <c r="O76" s="12"/>
      <c r="P76" s="12"/>
      <c r="Q76" s="12"/>
      <c r="T76" s="74"/>
      <c r="Y76" s="64"/>
      <c r="Z76" s="64"/>
    </row>
    <row r="77" spans="1:26" s="14" customFormat="1" hidden="1">
      <c r="A77" s="12"/>
      <c r="B77" s="18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30"/>
      <c r="O77" s="12"/>
      <c r="P77" s="12"/>
      <c r="Q77" s="12"/>
      <c r="T77" s="74"/>
      <c r="Y77" s="64"/>
      <c r="Z77" s="64"/>
    </row>
    <row r="78" spans="1:26" s="14" customFormat="1" hidden="1">
      <c r="A78" s="12"/>
      <c r="B78" s="18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30"/>
      <c r="O78" s="12"/>
      <c r="P78" s="12"/>
      <c r="Q78" s="12"/>
      <c r="T78" s="74"/>
      <c r="Y78" s="64"/>
      <c r="Z78" s="64"/>
    </row>
    <row r="79" spans="1:26" s="14" customFormat="1" hidden="1">
      <c r="A79" s="12"/>
      <c r="B79" s="18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30"/>
      <c r="O79" s="12"/>
      <c r="P79" s="12"/>
      <c r="Q79" s="12"/>
      <c r="T79" s="74"/>
      <c r="Y79" s="64"/>
      <c r="Z79" s="64"/>
    </row>
    <row r="80" spans="1:26" s="14" customFormat="1" hidden="1">
      <c r="A80" s="12"/>
      <c r="B80" s="18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30"/>
      <c r="O80" s="12"/>
      <c r="P80" s="12"/>
      <c r="Q80" s="12"/>
      <c r="T80" s="74"/>
      <c r="Y80" s="64"/>
      <c r="Z80" s="64"/>
    </row>
    <row r="81" spans="1:26" s="14" customFormat="1" hidden="1">
      <c r="A81" s="12"/>
      <c r="B81" s="18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30"/>
      <c r="O81" s="12"/>
      <c r="P81" s="12"/>
      <c r="Q81" s="12"/>
      <c r="T81" s="74"/>
      <c r="Y81" s="64"/>
      <c r="Z81" s="64"/>
    </row>
    <row r="82" spans="1:26" s="14" customFormat="1" ht="15.75" thickBot="1">
      <c r="A82" s="12"/>
      <c r="B82" s="24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37"/>
      <c r="O82" s="12"/>
      <c r="P82" s="12"/>
      <c r="Q82" s="12"/>
      <c r="T82" s="74"/>
      <c r="Y82" s="64"/>
      <c r="Z82" s="64"/>
    </row>
    <row r="83" spans="1:26" s="14" customForma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T83" s="74"/>
      <c r="Y83" s="64"/>
      <c r="Z83" s="64"/>
    </row>
    <row r="84" spans="1:26" s="14" customForma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T84" s="74"/>
      <c r="Y84" s="64"/>
      <c r="Z84" s="64"/>
    </row>
    <row r="85" spans="1:26" s="14" customForma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T85" s="74"/>
      <c r="Y85" s="64"/>
      <c r="Z85" s="64"/>
    </row>
    <row r="86" spans="1:26" s="14" customForma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T86" s="74"/>
      <c r="Y86" s="64"/>
      <c r="Z86" s="64"/>
    </row>
    <row r="87" spans="1:26" s="1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T87" s="74"/>
      <c r="Y87" s="64"/>
      <c r="Z87" s="64"/>
    </row>
    <row r="88" spans="1:26" s="1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T88" s="74"/>
      <c r="Y88" s="64"/>
      <c r="Z88" s="64"/>
    </row>
    <row r="89" spans="1:26" s="14" customForma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T89" s="74"/>
      <c r="Y89" s="64"/>
      <c r="Z89" s="64"/>
    </row>
    <row r="90" spans="1:26" s="14" customForma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T90" s="74"/>
      <c r="Y90" s="64"/>
      <c r="Z90" s="64"/>
    </row>
    <row r="91" spans="1:26" s="14" customForma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T91" s="74"/>
      <c r="Y91" s="64"/>
      <c r="Z91" s="64"/>
    </row>
    <row r="92" spans="1:26" s="14" customForma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T92" s="74"/>
      <c r="Y92" s="64"/>
      <c r="Z92" s="64"/>
    </row>
    <row r="93" spans="1:26" s="14" customForma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T93" s="74"/>
      <c r="Y93" s="64"/>
      <c r="Z93" s="64"/>
    </row>
    <row r="94" spans="1:26" s="14" customForma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T94" s="74"/>
      <c r="Y94" s="64"/>
      <c r="Z94" s="64"/>
    </row>
    <row r="95" spans="1:26" s="14" customForma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T95" s="74"/>
      <c r="Y95" s="64"/>
      <c r="Z95" s="64"/>
    </row>
    <row r="96" spans="1:26" s="14" customForma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T96" s="74"/>
      <c r="Y96" s="64"/>
      <c r="Z96" s="64"/>
    </row>
    <row r="97" spans="1:26" s="14" customForma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T97" s="74"/>
      <c r="Y97" s="64"/>
      <c r="Z97" s="64"/>
    </row>
    <row r="98" spans="1:26" s="14" customForma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T98" s="74"/>
      <c r="Y98" s="64"/>
      <c r="Z98" s="64"/>
    </row>
    <row r="99" spans="1:26" s="14" customForma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T99" s="74"/>
      <c r="Y99" s="64"/>
      <c r="Z99" s="64"/>
    </row>
    <row r="100" spans="1:26" s="14" customForma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T100" s="74"/>
      <c r="Y100" s="64"/>
      <c r="Z100" s="64"/>
    </row>
    <row r="101" spans="1:26" s="14" customForma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T101" s="74"/>
      <c r="Y101" s="64"/>
      <c r="Z101" s="64"/>
    </row>
    <row r="102" spans="1:26" s="14" customForma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T102" s="74"/>
      <c r="Y102" s="64"/>
      <c r="Z102" s="64"/>
    </row>
    <row r="103" spans="1:26" s="14" customForma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T103" s="74"/>
      <c r="Y103" s="64"/>
      <c r="Z103" s="64"/>
    </row>
    <row r="104" spans="1:26" s="14" customForma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T104" s="74"/>
      <c r="Y104" s="64"/>
      <c r="Z104" s="64"/>
    </row>
    <row r="105" spans="1:26" s="14" customForma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T105" s="74"/>
      <c r="Y105" s="64"/>
      <c r="Z105" s="64"/>
    </row>
    <row r="106" spans="1:26" s="14" customForma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T106" s="74"/>
      <c r="Y106" s="64"/>
      <c r="Z106" s="64"/>
    </row>
    <row r="107" spans="1:26" s="14" customForma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T107" s="74"/>
      <c r="Y107" s="64"/>
      <c r="Z107" s="64"/>
    </row>
    <row r="108" spans="1:26" s="14" customForma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T108" s="74"/>
      <c r="Y108" s="64"/>
      <c r="Z108" s="64"/>
    </row>
    <row r="109" spans="1:26" s="14" customForma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T109" s="74"/>
      <c r="Y109" s="64"/>
      <c r="Z109" s="64"/>
    </row>
    <row r="110" spans="1:26" s="14" customForma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T110" s="74"/>
      <c r="Y110" s="64"/>
      <c r="Z110" s="64"/>
    </row>
    <row r="111" spans="1:26" s="14" customForma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T111" s="74"/>
      <c r="Y111" s="64"/>
      <c r="Z111" s="64"/>
    </row>
    <row r="112" spans="1:26" s="14" customForma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T112" s="74"/>
      <c r="Y112" s="64"/>
      <c r="Z112" s="64"/>
    </row>
    <row r="113" spans="1:26" s="14" customForma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T113" s="74"/>
      <c r="Y113" s="64"/>
      <c r="Z113" s="64"/>
    </row>
    <row r="114" spans="1:26" s="14" customForma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T114" s="74"/>
      <c r="Y114" s="64"/>
      <c r="Z114" s="64"/>
    </row>
    <row r="115" spans="1:26" s="14" customForma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T115" s="74"/>
      <c r="Y115" s="64"/>
      <c r="Z115" s="64"/>
    </row>
    <row r="116" spans="1:26" s="14" customForma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T116" s="74"/>
      <c r="Y116" s="64"/>
      <c r="Z116" s="64"/>
    </row>
    <row r="117" spans="1:26" s="14" customForma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T117" s="74"/>
      <c r="Y117" s="64"/>
      <c r="Z117" s="64"/>
    </row>
    <row r="118" spans="1:26" s="14" customForma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T118" s="74"/>
      <c r="Y118" s="64"/>
      <c r="Z118" s="64"/>
    </row>
    <row r="119" spans="1:26" s="14" customForma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T119" s="74"/>
      <c r="Y119" s="64"/>
      <c r="Z119" s="64"/>
    </row>
    <row r="120" spans="1:26" s="14" customForma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T120" s="74"/>
      <c r="Y120" s="64"/>
      <c r="Z120" s="64"/>
    </row>
    <row r="121" spans="1:26" s="14" customForma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T121" s="74"/>
      <c r="Y121" s="64"/>
      <c r="Z121" s="64"/>
    </row>
    <row r="122" spans="1:26" s="14" customForma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T122" s="74"/>
      <c r="Y122" s="64"/>
      <c r="Z122" s="64"/>
    </row>
    <row r="123" spans="1:26" s="14" customForma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T123" s="74"/>
      <c r="Y123" s="64"/>
      <c r="Z123" s="64"/>
    </row>
    <row r="124" spans="1:26" s="14" customForma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T124" s="74"/>
      <c r="Y124" s="64"/>
      <c r="Z124" s="64"/>
    </row>
    <row r="125" spans="1:26" s="14" customForma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T125" s="74"/>
      <c r="Y125" s="64"/>
      <c r="Z125" s="64"/>
    </row>
    <row r="126" spans="1:26" s="14" customForma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T126" s="74"/>
      <c r="Y126" s="64"/>
      <c r="Z126" s="64"/>
    </row>
    <row r="127" spans="1:26" s="14" customForma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T127" s="74"/>
      <c r="Y127" s="64"/>
      <c r="Z127" s="64"/>
    </row>
    <row r="128" spans="1:26" s="14" customForma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T128" s="74"/>
      <c r="Y128" s="64"/>
      <c r="Z128" s="64"/>
    </row>
    <row r="129" spans="1:26" s="14" customForma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T129" s="74"/>
      <c r="Y129" s="64"/>
      <c r="Z129" s="64"/>
    </row>
    <row r="130" spans="1:26" s="14" customForma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T130" s="74"/>
      <c r="Y130" s="64"/>
      <c r="Z130" s="64"/>
    </row>
    <row r="131" spans="1:26" s="14" customForma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T131" s="74"/>
      <c r="Y131" s="64"/>
      <c r="Z131" s="64"/>
    </row>
    <row r="132" spans="1:26" s="14" customForma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T132" s="74"/>
      <c r="Y132" s="64"/>
      <c r="Z132" s="64"/>
    </row>
    <row r="133" spans="1:26" s="14" customForma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T133" s="74"/>
      <c r="Y133" s="64"/>
      <c r="Z133" s="64"/>
    </row>
    <row r="134" spans="1:26" s="14" customForma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T134" s="74"/>
      <c r="Y134" s="64"/>
      <c r="Z134" s="64"/>
    </row>
    <row r="135" spans="1:26" s="14" customForma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T135" s="74"/>
      <c r="Y135" s="64"/>
      <c r="Z135" s="64"/>
    </row>
    <row r="136" spans="1:26" s="14" customForma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T136" s="74"/>
      <c r="Y136" s="64"/>
      <c r="Z136" s="64"/>
    </row>
    <row r="137" spans="1:26" s="14" customForma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T137" s="74"/>
      <c r="Y137" s="64"/>
      <c r="Z137" s="64"/>
    </row>
    <row r="138" spans="1:26" s="14" customForma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T138" s="74"/>
      <c r="Y138" s="64"/>
      <c r="Z138" s="64"/>
    </row>
    <row r="139" spans="1:26" s="14" customForma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T139" s="74"/>
      <c r="Y139" s="64"/>
      <c r="Z139" s="64"/>
    </row>
    <row r="140" spans="1:26" s="14" customForma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T140" s="74"/>
      <c r="Y140" s="64"/>
      <c r="Z140" s="64"/>
    </row>
    <row r="141" spans="1:26" s="14" customForma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T141" s="74"/>
      <c r="Y141" s="64"/>
      <c r="Z141" s="64"/>
    </row>
    <row r="142" spans="1:26" s="14" customForma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T142" s="74"/>
      <c r="Y142" s="64"/>
      <c r="Z142" s="64"/>
    </row>
    <row r="143" spans="1:26" s="14" customForma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T143" s="74"/>
      <c r="Y143" s="64"/>
      <c r="Z143" s="64"/>
    </row>
    <row r="144" spans="1:26" s="14" customForma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T144" s="74"/>
      <c r="Y144" s="64"/>
      <c r="Z144" s="64"/>
    </row>
    <row r="145" spans="1:26" s="14" customForma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T145" s="74"/>
      <c r="Y145" s="64"/>
      <c r="Z145" s="64"/>
    </row>
    <row r="146" spans="1:26" s="14" customForma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T146" s="74"/>
      <c r="Y146" s="64"/>
      <c r="Z146" s="64"/>
    </row>
    <row r="147" spans="1:26" s="14" customForma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T147" s="74"/>
      <c r="Y147" s="64"/>
      <c r="Z147" s="64"/>
    </row>
    <row r="148" spans="1:26" s="14" customForma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T148" s="74"/>
      <c r="Y148" s="64"/>
      <c r="Z148" s="64"/>
    </row>
    <row r="149" spans="1:26" s="14" customForma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T149" s="74"/>
      <c r="Y149" s="64"/>
      <c r="Z149" s="64"/>
    </row>
    <row r="150" spans="1:26" s="14" customForma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T150" s="74"/>
      <c r="Y150" s="64"/>
      <c r="Z150" s="64"/>
    </row>
    <row r="151" spans="1:26" s="14" customForma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T151" s="74"/>
      <c r="Y151" s="64"/>
      <c r="Z151" s="64"/>
    </row>
    <row r="152" spans="1:26" s="14" customForma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T152" s="74"/>
      <c r="Y152" s="64"/>
      <c r="Z152" s="64"/>
    </row>
    <row r="153" spans="1:26" s="14" customForma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T153" s="74"/>
      <c r="Y153" s="64"/>
      <c r="Z153" s="64"/>
    </row>
    <row r="154" spans="1:26" s="14" customForma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T154" s="74"/>
      <c r="Y154" s="64"/>
      <c r="Z154" s="64"/>
    </row>
    <row r="155" spans="1:26" s="14" customForma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T155" s="74"/>
      <c r="Y155" s="64"/>
      <c r="Z155" s="64"/>
    </row>
    <row r="156" spans="1:26" s="14" customForma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T156" s="74"/>
      <c r="Y156" s="64"/>
      <c r="Z156" s="64"/>
    </row>
    <row r="157" spans="1:26" s="14" customForma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T157" s="74"/>
      <c r="Y157" s="64"/>
      <c r="Z157" s="64"/>
    </row>
    <row r="158" spans="1:26" s="14" customForma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T158" s="74"/>
      <c r="Y158" s="64"/>
      <c r="Z158" s="64"/>
    </row>
    <row r="159" spans="1:26" s="14" customForma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T159" s="74"/>
      <c r="Y159" s="64"/>
      <c r="Z159" s="64"/>
    </row>
    <row r="160" spans="1:26" s="14" customForma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T160" s="74"/>
      <c r="Y160" s="64"/>
      <c r="Z160" s="64"/>
    </row>
    <row r="161" spans="1:26" s="14" customForma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T161" s="74"/>
      <c r="Y161" s="64"/>
      <c r="Z161" s="64"/>
    </row>
    <row r="162" spans="1:26" s="14" customForma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T162" s="74"/>
      <c r="Y162" s="64"/>
      <c r="Z162" s="64"/>
    </row>
    <row r="163" spans="1:26" s="14" customForma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T163" s="74"/>
      <c r="Y163" s="64"/>
      <c r="Z163" s="64"/>
    </row>
    <row r="164" spans="1:26" s="14" customForma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T164" s="74"/>
      <c r="Y164" s="64"/>
      <c r="Z164" s="64"/>
    </row>
    <row r="165" spans="1:26" s="14" customForma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T165" s="74"/>
      <c r="Y165" s="64"/>
      <c r="Z165" s="64"/>
    </row>
    <row r="166" spans="1:26" s="14" customForma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T166" s="74"/>
      <c r="Y166" s="64"/>
      <c r="Z166" s="64"/>
    </row>
    <row r="167" spans="1:26" s="14" customForma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T167" s="74"/>
      <c r="Y167" s="64"/>
      <c r="Z167" s="64"/>
    </row>
    <row r="168" spans="1:26" s="14" customForma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T168" s="74"/>
      <c r="Y168" s="64"/>
      <c r="Z168" s="64"/>
    </row>
    <row r="169" spans="1:26" s="14" customForma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T169" s="74"/>
      <c r="Y169" s="64"/>
      <c r="Z169" s="64"/>
    </row>
    <row r="170" spans="1:26" s="14" customForma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T170" s="74"/>
      <c r="Y170" s="64"/>
      <c r="Z170" s="64"/>
    </row>
    <row r="171" spans="1:26" s="14" customForma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T171" s="74"/>
      <c r="Y171" s="64"/>
      <c r="Z171" s="64"/>
    </row>
    <row r="172" spans="1:26" s="14" customForma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T172" s="74"/>
      <c r="Y172" s="64"/>
      <c r="Z172" s="64"/>
    </row>
    <row r="173" spans="1:26" s="14" customForma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T173" s="74"/>
      <c r="Y173" s="64"/>
      <c r="Z173" s="64"/>
    </row>
    <row r="174" spans="1:26" s="14" customForma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T174" s="74"/>
      <c r="Y174" s="64"/>
      <c r="Z174" s="64"/>
    </row>
    <row r="175" spans="1:26" s="14" customForma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T175" s="74"/>
      <c r="Y175" s="64"/>
      <c r="Z175" s="64"/>
    </row>
    <row r="176" spans="1:26" s="14" customForma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T176" s="74"/>
      <c r="Y176" s="64"/>
      <c r="Z176" s="64"/>
    </row>
    <row r="177" spans="1:26" s="14" customForma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T177" s="74"/>
      <c r="Y177" s="64"/>
      <c r="Z177" s="64"/>
    </row>
    <row r="178" spans="1:26" s="14" customForma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T178" s="74"/>
      <c r="Y178" s="64"/>
      <c r="Z178" s="64"/>
    </row>
    <row r="179" spans="1:26" s="14" customForma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T179" s="74"/>
      <c r="Y179" s="64"/>
      <c r="Z179" s="64"/>
    </row>
    <row r="180" spans="1:26" s="14" customForma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T180" s="74"/>
      <c r="Y180" s="64"/>
      <c r="Z180" s="64"/>
    </row>
    <row r="181" spans="1:26" s="14" customForma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T181" s="74"/>
      <c r="Y181" s="64"/>
      <c r="Z181" s="64"/>
    </row>
    <row r="182" spans="1:26" s="14" customForma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T182" s="74"/>
      <c r="Y182" s="64"/>
      <c r="Z182" s="64"/>
    </row>
    <row r="183" spans="1:26" s="14" customForma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T183" s="74"/>
      <c r="Y183" s="64"/>
      <c r="Z183" s="64"/>
    </row>
    <row r="184" spans="1:26" s="14" customForma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T184" s="74"/>
      <c r="Y184" s="64"/>
      <c r="Z184" s="64"/>
    </row>
    <row r="185" spans="1:26" s="14" customForma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T185" s="74"/>
      <c r="Y185" s="64"/>
      <c r="Z185" s="64"/>
    </row>
    <row r="186" spans="1:26" s="14" customForma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T186" s="74"/>
      <c r="Y186" s="64"/>
      <c r="Z186" s="64"/>
    </row>
    <row r="187" spans="1:26" s="14" customForma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T187" s="74"/>
      <c r="Y187" s="64"/>
      <c r="Z187" s="64"/>
    </row>
    <row r="188" spans="1:26" s="14" customForma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T188" s="74"/>
      <c r="Y188" s="64"/>
      <c r="Z188" s="64"/>
    </row>
    <row r="189" spans="1:26" s="14" customForma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T189" s="74"/>
      <c r="Y189" s="64"/>
      <c r="Z189" s="64"/>
    </row>
    <row r="190" spans="1:26" s="14" customForma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T190" s="74"/>
      <c r="Y190" s="64"/>
      <c r="Z190" s="64"/>
    </row>
    <row r="191" spans="1:26" s="14" customForma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T191" s="74"/>
      <c r="Y191" s="64"/>
      <c r="Z191" s="64"/>
    </row>
    <row r="192" spans="1:26" s="14" customForma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T192" s="74"/>
      <c r="Y192" s="64"/>
      <c r="Z192" s="64"/>
    </row>
    <row r="193" spans="1:26" s="14" customForma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T193" s="74"/>
      <c r="Y193" s="64"/>
      <c r="Z193" s="64"/>
    </row>
    <row r="194" spans="1:26" s="14" customForma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T194" s="74"/>
      <c r="Y194" s="64"/>
      <c r="Z194" s="64"/>
    </row>
    <row r="195" spans="1:26" s="14" customForma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T195" s="74"/>
      <c r="Y195" s="64"/>
      <c r="Z195" s="64"/>
    </row>
    <row r="196" spans="1:26" s="14" customForma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T196" s="74"/>
      <c r="Y196" s="64"/>
      <c r="Z196" s="64"/>
    </row>
    <row r="197" spans="1:26" s="14" customForma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T197" s="74"/>
      <c r="Y197" s="64"/>
      <c r="Z197" s="64"/>
    </row>
    <row r="198" spans="1:26" s="14" customForma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T198" s="74"/>
      <c r="Y198" s="64"/>
      <c r="Z198" s="64"/>
    </row>
    <row r="199" spans="1:26" s="14" customForma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T199" s="74"/>
      <c r="Y199" s="64"/>
      <c r="Z199" s="64"/>
    </row>
    <row r="200" spans="1:26" s="14" customForma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T200" s="74"/>
      <c r="Y200" s="64"/>
      <c r="Z200" s="64"/>
    </row>
    <row r="201" spans="1:26" s="14" customForma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T201" s="74"/>
      <c r="Y201" s="64"/>
      <c r="Z201" s="64"/>
    </row>
    <row r="202" spans="1:26" s="14" customForma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T202" s="74"/>
      <c r="Y202" s="64"/>
      <c r="Z202" s="64"/>
    </row>
    <row r="203" spans="1:26" s="14" customForma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T203" s="74"/>
      <c r="Y203" s="64"/>
      <c r="Z203" s="64"/>
    </row>
    <row r="204" spans="1:26" s="14" customForma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T204" s="74"/>
      <c r="Y204" s="64"/>
      <c r="Z204" s="64"/>
    </row>
    <row r="205" spans="1:26" s="14" customForma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T205" s="74"/>
      <c r="Y205" s="64"/>
      <c r="Z205" s="64"/>
    </row>
    <row r="206" spans="1:26" s="14" customForma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T206" s="74"/>
      <c r="Y206" s="64"/>
      <c r="Z206" s="64"/>
    </row>
    <row r="207" spans="1:26" s="14" customForma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T207" s="74"/>
      <c r="Y207" s="64"/>
      <c r="Z207" s="64"/>
    </row>
    <row r="208" spans="1:26" s="14" customForma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T208" s="74"/>
      <c r="Y208" s="64"/>
      <c r="Z208" s="64"/>
    </row>
    <row r="209" spans="1:26" s="14" customForma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T209" s="74"/>
      <c r="Y209" s="64"/>
      <c r="Z209" s="64"/>
    </row>
    <row r="210" spans="1:26" s="14" customForma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T210" s="74"/>
      <c r="Y210" s="64"/>
      <c r="Z210" s="64"/>
    </row>
    <row r="211" spans="1:26" s="14" customForma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T211" s="74"/>
      <c r="Y211" s="64"/>
      <c r="Z211" s="64"/>
    </row>
    <row r="212" spans="1:26" s="14" customForma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T212" s="74"/>
      <c r="Y212" s="64"/>
      <c r="Z212" s="64"/>
    </row>
    <row r="213" spans="1:26" s="14" customForma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T213" s="74"/>
      <c r="Y213" s="64"/>
      <c r="Z213" s="64"/>
    </row>
    <row r="214" spans="1:26" s="14" customForma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T214" s="74"/>
      <c r="Y214" s="64"/>
      <c r="Z214" s="64"/>
    </row>
    <row r="215" spans="1:26" s="14" customForma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T215" s="74"/>
      <c r="Y215" s="64"/>
      <c r="Z215" s="64"/>
    </row>
    <row r="216" spans="1:26" s="14" customForma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T216" s="74"/>
      <c r="Y216" s="64"/>
      <c r="Z216" s="64"/>
    </row>
    <row r="217" spans="1:26" s="14" customForma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T217" s="74"/>
      <c r="Y217" s="64"/>
      <c r="Z217" s="64"/>
    </row>
    <row r="218" spans="1:26" s="14" customForma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T218" s="74"/>
      <c r="Y218" s="64"/>
      <c r="Z218" s="64"/>
    </row>
    <row r="219" spans="1:26" s="14" customForma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T219" s="74"/>
      <c r="Y219" s="64"/>
      <c r="Z219" s="64"/>
    </row>
    <row r="220" spans="1:26" s="14" customForma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T220" s="74"/>
      <c r="Y220" s="64"/>
      <c r="Z220" s="64"/>
    </row>
    <row r="221" spans="1:26" s="14" customForma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T221" s="74"/>
      <c r="Y221" s="64"/>
      <c r="Z221" s="64"/>
    </row>
    <row r="222" spans="1:26" s="14" customForma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T222" s="74"/>
      <c r="Y222" s="64"/>
      <c r="Z222" s="64"/>
    </row>
    <row r="223" spans="1:26" s="14" customForma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T223" s="74"/>
      <c r="Y223" s="64"/>
      <c r="Z223" s="64"/>
    </row>
    <row r="224" spans="1:26" s="14" customForma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T224" s="74"/>
      <c r="Y224" s="64"/>
      <c r="Z224" s="64"/>
    </row>
    <row r="225" spans="1:26" s="14" customForma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T225" s="74"/>
      <c r="Y225" s="64"/>
      <c r="Z225" s="64"/>
    </row>
    <row r="226" spans="1:26" s="14" customForma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T226" s="74"/>
      <c r="Y226" s="64"/>
      <c r="Z226" s="64"/>
    </row>
    <row r="227" spans="1:26" s="14" customForma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T227" s="74"/>
      <c r="Y227" s="64"/>
      <c r="Z227" s="64"/>
    </row>
    <row r="228" spans="1:26" s="14" customForma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T228" s="74"/>
      <c r="Y228" s="64"/>
      <c r="Z228" s="64"/>
    </row>
    <row r="229" spans="1:26" s="14" customForma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T229" s="74"/>
      <c r="Y229" s="64"/>
      <c r="Z229" s="64"/>
    </row>
    <row r="230" spans="1:26" s="14" customForma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T230" s="74"/>
      <c r="Y230" s="64"/>
      <c r="Z230" s="64"/>
    </row>
    <row r="231" spans="1:26" s="14" customForma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T231" s="74"/>
      <c r="Y231" s="64"/>
      <c r="Z231" s="64"/>
    </row>
    <row r="232" spans="1:26" s="14" customForma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T232" s="74"/>
      <c r="Y232" s="64"/>
      <c r="Z232" s="64"/>
    </row>
    <row r="233" spans="1:26" s="14" customForma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T233" s="74"/>
      <c r="Y233" s="64"/>
      <c r="Z233" s="64"/>
    </row>
    <row r="234" spans="1:26" s="14" customForma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T234" s="74"/>
      <c r="Y234" s="64"/>
      <c r="Z234" s="64"/>
    </row>
    <row r="235" spans="1:26" s="14" customForma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T235" s="74"/>
      <c r="Y235" s="64"/>
      <c r="Z235" s="64"/>
    </row>
    <row r="236" spans="1:26" s="14" customForma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T236" s="74"/>
      <c r="Y236" s="64"/>
      <c r="Z236" s="64"/>
    </row>
    <row r="237" spans="1:26" s="14" customForma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T237" s="74"/>
      <c r="Y237" s="64"/>
      <c r="Z237" s="64"/>
    </row>
    <row r="238" spans="1:26" s="14" customForma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T238" s="74"/>
      <c r="Y238" s="64"/>
      <c r="Z238" s="64"/>
    </row>
    <row r="239" spans="1:26" s="14" customForma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T239" s="74"/>
      <c r="Y239" s="64"/>
      <c r="Z239" s="64"/>
    </row>
    <row r="240" spans="1:26" s="14" customForma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T240" s="74"/>
      <c r="Y240" s="64"/>
      <c r="Z240" s="64"/>
    </row>
    <row r="241" spans="1:26" s="14" customForma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T241" s="74"/>
      <c r="Y241" s="64"/>
      <c r="Z241" s="64"/>
    </row>
    <row r="242" spans="1:26" s="14" customForma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T242" s="74"/>
      <c r="Y242" s="64"/>
      <c r="Z242" s="64"/>
    </row>
    <row r="243" spans="1:26" s="14" customForma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T243" s="74"/>
      <c r="Y243" s="64"/>
      <c r="Z243" s="64"/>
    </row>
    <row r="244" spans="1:26" s="14" customForma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T244" s="74"/>
      <c r="Y244" s="64"/>
      <c r="Z244" s="64"/>
    </row>
    <row r="245" spans="1:26" s="14" customForma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T245" s="74"/>
      <c r="Y245" s="64"/>
      <c r="Z245" s="64"/>
    </row>
    <row r="246" spans="1:26" s="14" customForma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T246" s="74"/>
      <c r="Y246" s="64"/>
      <c r="Z246" s="64"/>
    </row>
    <row r="247" spans="1:26" s="14" customForma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T247" s="74"/>
      <c r="Y247" s="64"/>
      <c r="Z247" s="64"/>
    </row>
    <row r="248" spans="1:26" s="14" customForma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T248" s="74"/>
      <c r="Y248" s="64"/>
      <c r="Z248" s="64"/>
    </row>
    <row r="249" spans="1:26" s="14" customForma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T249" s="74"/>
      <c r="Y249" s="64"/>
      <c r="Z249" s="64"/>
    </row>
    <row r="250" spans="1:26" s="14" customForma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T250" s="74"/>
      <c r="Y250" s="64"/>
      <c r="Z250" s="64"/>
    </row>
    <row r="251" spans="1:26" s="14" customForma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T251" s="74"/>
      <c r="Y251" s="64"/>
      <c r="Z251" s="64"/>
    </row>
    <row r="252" spans="1:26" s="14" customForma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T252" s="74"/>
      <c r="Y252" s="64"/>
      <c r="Z252" s="64"/>
    </row>
    <row r="253" spans="1:26" s="14" customForma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T253" s="74"/>
      <c r="Y253" s="64"/>
      <c r="Z253" s="64"/>
    </row>
    <row r="254" spans="1:26" s="14" customForma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T254" s="74"/>
      <c r="Y254" s="64"/>
      <c r="Z254" s="64"/>
    </row>
    <row r="255" spans="1:26" s="14" customForma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T255" s="74"/>
      <c r="Y255" s="64"/>
      <c r="Z255" s="64"/>
    </row>
    <row r="256" spans="1:26" s="14" customForma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T256" s="74"/>
      <c r="Y256" s="64"/>
      <c r="Z256" s="64"/>
    </row>
    <row r="257" spans="1:26" s="14" customForma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T257" s="74"/>
      <c r="Y257" s="64"/>
      <c r="Z257" s="64"/>
    </row>
    <row r="258" spans="1:26" s="14" customForma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T258" s="74"/>
      <c r="Y258" s="64"/>
      <c r="Z258" s="64"/>
    </row>
    <row r="259" spans="1:26" s="14" customForma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T259" s="74"/>
      <c r="Y259" s="64"/>
      <c r="Z259" s="64"/>
    </row>
    <row r="260" spans="1:26" s="14" customForma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T260" s="74"/>
      <c r="Y260" s="64"/>
      <c r="Z260" s="64"/>
    </row>
    <row r="261" spans="1:26" s="14" customForma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T261" s="74"/>
      <c r="Y261" s="64"/>
      <c r="Z261" s="64"/>
    </row>
    <row r="262" spans="1:26" s="14" customForma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T262" s="74"/>
      <c r="Y262" s="64"/>
      <c r="Z262" s="64"/>
    </row>
    <row r="263" spans="1:26" s="14" customForma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T263" s="74"/>
      <c r="Y263" s="64"/>
      <c r="Z263" s="64"/>
    </row>
    <row r="264" spans="1:26" s="14" customForma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T264" s="74"/>
      <c r="Y264" s="64"/>
      <c r="Z264" s="64"/>
    </row>
    <row r="265" spans="1:26" s="14" customForma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T265" s="74"/>
      <c r="Y265" s="64"/>
      <c r="Z265" s="64"/>
    </row>
    <row r="266" spans="1:26" s="14" customForma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T266" s="74"/>
      <c r="Y266" s="64"/>
      <c r="Z266" s="64"/>
    </row>
    <row r="267" spans="1:26" s="14" customForma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T267" s="74"/>
      <c r="Y267" s="64"/>
      <c r="Z267" s="64"/>
    </row>
    <row r="268" spans="1:26" s="14" customForma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T268" s="74"/>
      <c r="Y268" s="64"/>
      <c r="Z268" s="64"/>
    </row>
    <row r="269" spans="1:26" s="14" customForma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T269" s="74"/>
      <c r="Y269" s="64"/>
      <c r="Z269" s="64"/>
    </row>
    <row r="270" spans="1:26" s="14" customForma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T270" s="74"/>
      <c r="Y270" s="64"/>
      <c r="Z270" s="64"/>
    </row>
    <row r="271" spans="1:26" s="14" customForma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T271" s="74"/>
      <c r="Y271" s="64"/>
      <c r="Z271" s="64"/>
    </row>
    <row r="272" spans="1:26" s="14" customForma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T272" s="74"/>
      <c r="Y272" s="64"/>
      <c r="Z272" s="64"/>
    </row>
    <row r="273" spans="1:26" s="14" customForma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T273" s="74"/>
      <c r="Y273" s="64"/>
      <c r="Z273" s="64"/>
    </row>
    <row r="274" spans="1:26" s="14" customForma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T274" s="74"/>
      <c r="Y274" s="64"/>
      <c r="Z274" s="64"/>
    </row>
    <row r="275" spans="1:26" s="14" customForma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T275" s="74"/>
      <c r="Y275" s="64"/>
      <c r="Z275" s="64"/>
    </row>
    <row r="276" spans="1:26" s="14" customForma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T276" s="74"/>
      <c r="Y276" s="64"/>
      <c r="Z276" s="64"/>
    </row>
    <row r="277" spans="1:26" s="14" customForma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T277" s="74"/>
      <c r="Y277" s="64"/>
      <c r="Z277" s="64"/>
    </row>
    <row r="278" spans="1:26" s="14" customForma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T278" s="74"/>
      <c r="Y278" s="64"/>
      <c r="Z278" s="64"/>
    </row>
    <row r="279" spans="1:26" s="14" customForma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T279" s="74"/>
      <c r="Y279" s="64"/>
      <c r="Z279" s="64"/>
    </row>
    <row r="280" spans="1:26" s="14" customForma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T280" s="74"/>
      <c r="Y280" s="64"/>
      <c r="Z280" s="64"/>
    </row>
    <row r="281" spans="1:26" s="14" customForma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T281" s="74"/>
      <c r="Y281" s="64"/>
      <c r="Z281" s="64"/>
    </row>
    <row r="282" spans="1:26" s="14" customForma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T282" s="74"/>
      <c r="Y282" s="64"/>
      <c r="Z282" s="64"/>
    </row>
    <row r="283" spans="1:26" s="14" customForma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T283" s="74"/>
      <c r="Y283" s="64"/>
      <c r="Z283" s="64"/>
    </row>
    <row r="284" spans="1:26" s="14" customForma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T284" s="74"/>
      <c r="Y284" s="64"/>
      <c r="Z284" s="64"/>
    </row>
    <row r="285" spans="1:26" s="14" customForma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T285" s="74"/>
      <c r="Y285" s="64"/>
      <c r="Z285" s="64"/>
    </row>
    <row r="286" spans="1:26" s="14" customForma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T286" s="74"/>
      <c r="Y286" s="64"/>
      <c r="Z286" s="64"/>
    </row>
    <row r="287" spans="1:26" s="14" customForma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T287" s="74"/>
      <c r="Y287" s="64"/>
      <c r="Z287" s="64"/>
    </row>
    <row r="288" spans="1:26" s="14" customForma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T288" s="74"/>
      <c r="Y288" s="64"/>
      <c r="Z288" s="64"/>
    </row>
    <row r="289" spans="1:26" s="14" customForma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T289" s="74"/>
      <c r="Y289" s="64"/>
      <c r="Z289" s="64"/>
    </row>
    <row r="290" spans="1:26" s="14" customForma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T290" s="74"/>
      <c r="Y290" s="64"/>
      <c r="Z290" s="64"/>
    </row>
    <row r="291" spans="1:26" s="14" customForma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T291" s="74"/>
      <c r="Y291" s="64"/>
      <c r="Z291" s="64"/>
    </row>
    <row r="292" spans="1:26" s="14" customForma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T292" s="74"/>
      <c r="Y292" s="64"/>
      <c r="Z292" s="64"/>
    </row>
    <row r="293" spans="1:26" s="14" customForma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T293" s="74"/>
      <c r="Y293" s="64"/>
      <c r="Z293" s="64"/>
    </row>
    <row r="294" spans="1:26" s="14" customForma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T294" s="74"/>
      <c r="Y294" s="64"/>
      <c r="Z294" s="64"/>
    </row>
    <row r="295" spans="1:26" s="14" customForma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T295" s="74"/>
      <c r="Y295" s="64"/>
      <c r="Z295" s="64"/>
    </row>
    <row r="296" spans="1:26" s="14" customForma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T296" s="74"/>
      <c r="Y296" s="64"/>
      <c r="Z296" s="64"/>
    </row>
    <row r="297" spans="1:26" s="14" customForma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T297" s="74"/>
      <c r="Y297" s="64"/>
      <c r="Z297" s="64"/>
    </row>
    <row r="298" spans="1:26" s="14" customForma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T298" s="74"/>
      <c r="Y298" s="64"/>
      <c r="Z298" s="64"/>
    </row>
    <row r="299" spans="1:26" s="14" customForma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T299" s="74"/>
      <c r="Y299" s="64"/>
      <c r="Z299" s="64"/>
    </row>
    <row r="300" spans="1:26" s="14" customForma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T300" s="74"/>
      <c r="Y300" s="64"/>
      <c r="Z300" s="64"/>
    </row>
    <row r="301" spans="1:26" s="14" customForma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T301" s="74"/>
      <c r="Y301" s="64"/>
      <c r="Z301" s="64"/>
    </row>
    <row r="302" spans="1:26" s="14" customForma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T302" s="74"/>
      <c r="Y302" s="64"/>
      <c r="Z302" s="64"/>
    </row>
    <row r="303" spans="1:26" s="14" customForma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T303" s="74"/>
      <c r="Y303" s="64"/>
      <c r="Z303" s="64"/>
    </row>
    <row r="304" spans="1:26" s="14" customForma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T304" s="74"/>
      <c r="Y304" s="64"/>
      <c r="Z304" s="64"/>
    </row>
    <row r="305" spans="1:26" s="14" customForma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T305" s="74"/>
      <c r="Y305" s="64"/>
      <c r="Z305" s="64"/>
    </row>
    <row r="306" spans="1:26" s="14" customForma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T306" s="74"/>
      <c r="Y306" s="64"/>
      <c r="Z306" s="64"/>
    </row>
    <row r="307" spans="1:26" s="14" customForma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T307" s="74"/>
      <c r="Y307" s="64"/>
      <c r="Z307" s="64"/>
    </row>
    <row r="308" spans="1:26" s="14" customForma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T308" s="74"/>
      <c r="Y308" s="64"/>
      <c r="Z308" s="64"/>
    </row>
    <row r="309" spans="1:26" s="14" customForma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T309" s="74"/>
      <c r="Y309" s="64"/>
      <c r="Z309" s="64"/>
    </row>
    <row r="310" spans="1:26" s="14" customForma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T310" s="74"/>
      <c r="Y310" s="64"/>
      <c r="Z310" s="64"/>
    </row>
    <row r="311" spans="1:26" s="14" customForma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T311" s="74"/>
      <c r="Y311" s="64"/>
      <c r="Z311" s="64"/>
    </row>
    <row r="312" spans="1:26" s="14" customForma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T312" s="74"/>
      <c r="Y312" s="64"/>
      <c r="Z312" s="64"/>
    </row>
    <row r="313" spans="1:26" s="14" customForma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T313" s="74"/>
      <c r="Y313" s="64"/>
      <c r="Z313" s="64"/>
    </row>
    <row r="314" spans="1:26" s="14" customForma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T314" s="74"/>
      <c r="Y314" s="64"/>
      <c r="Z314" s="64"/>
    </row>
    <row r="315" spans="1:26" s="14" customForma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T315" s="74"/>
      <c r="Y315" s="64"/>
      <c r="Z315" s="64"/>
    </row>
    <row r="316" spans="1:26" s="14" customForma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T316" s="74"/>
      <c r="Y316" s="64"/>
      <c r="Z316" s="64"/>
    </row>
    <row r="317" spans="1:26" s="14" customForma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T317" s="74"/>
      <c r="Y317" s="64"/>
      <c r="Z317" s="64"/>
    </row>
    <row r="318" spans="1:26" s="14" customForma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T318" s="74"/>
      <c r="Y318" s="64"/>
      <c r="Z318" s="64"/>
    </row>
    <row r="319" spans="1:26" s="14" customForma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T319" s="74"/>
      <c r="Y319" s="64"/>
      <c r="Z319" s="64"/>
    </row>
    <row r="320" spans="1:26" s="14" customForma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T320" s="74"/>
      <c r="Y320" s="64"/>
      <c r="Z320" s="64"/>
    </row>
    <row r="321" spans="1:26" s="14" customForma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T321" s="74"/>
      <c r="Y321" s="64"/>
      <c r="Z321" s="64"/>
    </row>
    <row r="322" spans="1:26" s="14" customForma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T322" s="74"/>
      <c r="Y322" s="64"/>
      <c r="Z322" s="64"/>
    </row>
    <row r="323" spans="1:26" s="14" customForma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T323" s="74"/>
      <c r="Y323" s="64"/>
      <c r="Z323" s="64"/>
    </row>
    <row r="324" spans="1:26" s="14" customForma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T324" s="74"/>
      <c r="Y324" s="64"/>
      <c r="Z324" s="64"/>
    </row>
    <row r="325" spans="1:26" s="14" customForma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T325" s="74"/>
      <c r="Y325" s="64"/>
      <c r="Z325" s="64"/>
    </row>
    <row r="326" spans="1:26" s="14" customForma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T326" s="74"/>
      <c r="Y326" s="64"/>
      <c r="Z326" s="64"/>
    </row>
    <row r="327" spans="1:26" s="14" customForma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T327" s="74"/>
      <c r="Y327" s="64"/>
      <c r="Z327" s="64"/>
    </row>
    <row r="328" spans="1:26" s="14" customForma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T328" s="74"/>
      <c r="Y328" s="64"/>
      <c r="Z328" s="64"/>
    </row>
    <row r="329" spans="1:26" s="14" customForma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T329" s="74"/>
      <c r="Y329" s="64"/>
      <c r="Z329" s="64"/>
    </row>
    <row r="330" spans="1:26" s="14" customForma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T330" s="74"/>
      <c r="Y330" s="64"/>
      <c r="Z330" s="64"/>
    </row>
    <row r="331" spans="1:26" s="14" customForma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T331" s="74"/>
      <c r="Y331" s="64"/>
      <c r="Z331" s="64"/>
    </row>
    <row r="332" spans="1:26" s="14" customForma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T332" s="74"/>
      <c r="Y332" s="64"/>
      <c r="Z332" s="64"/>
    </row>
    <row r="333" spans="1:26" s="14" customForma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T333" s="74"/>
      <c r="Y333" s="64"/>
      <c r="Z333" s="64"/>
    </row>
    <row r="334" spans="1:26" s="14" customForma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T334" s="74"/>
      <c r="Y334" s="64"/>
      <c r="Z334" s="64"/>
    </row>
    <row r="335" spans="1:26" s="14" customForma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T335" s="74"/>
      <c r="Y335" s="64"/>
      <c r="Z335" s="64"/>
    </row>
    <row r="336" spans="1:26" s="14" customForma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T336" s="74"/>
      <c r="Y336" s="64"/>
      <c r="Z336" s="64"/>
    </row>
    <row r="337" spans="1:26" s="14" customForma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T337" s="74"/>
      <c r="Y337" s="64"/>
      <c r="Z337" s="64"/>
    </row>
    <row r="338" spans="1:26" s="14" customForma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T338" s="74"/>
      <c r="Y338" s="64"/>
      <c r="Z338" s="64"/>
    </row>
    <row r="339" spans="1:26" s="14" customForma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T339" s="74"/>
      <c r="Y339" s="64"/>
      <c r="Z339" s="64"/>
    </row>
    <row r="340" spans="1:26" s="14" customForma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T340" s="74"/>
      <c r="Y340" s="64"/>
      <c r="Z340" s="64"/>
    </row>
    <row r="341" spans="1:26" s="14" customForma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T341" s="74"/>
      <c r="Y341" s="64"/>
      <c r="Z341" s="64"/>
    </row>
    <row r="342" spans="1:26" s="14" customForma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T342" s="74"/>
      <c r="Y342" s="64"/>
      <c r="Z342" s="64"/>
    </row>
    <row r="343" spans="1:26" s="14" customForma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T343" s="74"/>
      <c r="Y343" s="64"/>
      <c r="Z343" s="64"/>
    </row>
    <row r="344" spans="1:26" s="14" customForma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T344" s="74"/>
      <c r="Y344" s="64"/>
      <c r="Z344" s="64"/>
    </row>
    <row r="345" spans="1:26" s="14" customForma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T345" s="74"/>
      <c r="Y345" s="64"/>
      <c r="Z345" s="64"/>
    </row>
    <row r="346" spans="1:26" s="14" customForma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T346" s="74"/>
      <c r="Y346" s="64"/>
      <c r="Z346" s="64"/>
    </row>
    <row r="347" spans="1:26" s="14" customForma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T347" s="74"/>
      <c r="Y347" s="64"/>
      <c r="Z347" s="64"/>
    </row>
    <row r="348" spans="1:26" s="14" customForma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T348" s="74"/>
      <c r="Y348" s="64"/>
      <c r="Z348" s="64"/>
    </row>
    <row r="349" spans="1:26" s="14" customForma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T349" s="74"/>
      <c r="Y349" s="64"/>
      <c r="Z349" s="64"/>
    </row>
    <row r="350" spans="1:26" s="14" customForma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T350" s="74"/>
      <c r="Y350" s="64"/>
      <c r="Z350" s="64"/>
    </row>
    <row r="351" spans="1:26" s="14" customForma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T351" s="74"/>
      <c r="Y351" s="64"/>
      <c r="Z351" s="64"/>
    </row>
    <row r="352" spans="1:26" s="14" customForma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T352" s="74"/>
      <c r="Y352" s="64"/>
      <c r="Z352" s="64"/>
    </row>
    <row r="353" spans="1:26" s="14" customForma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T353" s="74"/>
      <c r="Y353" s="64"/>
      <c r="Z353" s="64"/>
    </row>
    <row r="354" spans="1:26" s="14" customForma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T354" s="74"/>
      <c r="Y354" s="64"/>
      <c r="Z354" s="64"/>
    </row>
    <row r="355" spans="1:26" s="14" customForma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T355" s="74"/>
      <c r="Y355" s="64"/>
      <c r="Z355" s="64"/>
    </row>
    <row r="356" spans="1:26" s="14" customForma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T356" s="74"/>
      <c r="Y356" s="64"/>
      <c r="Z356" s="64"/>
    </row>
    <row r="357" spans="1:26" s="14" customForma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T357" s="74"/>
      <c r="Y357" s="64"/>
      <c r="Z357" s="64"/>
    </row>
    <row r="358" spans="1:26" s="14" customForma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T358" s="74"/>
      <c r="Y358" s="64"/>
      <c r="Z358" s="64"/>
    </row>
    <row r="359" spans="1:26" s="14" customForma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T359" s="74"/>
      <c r="Y359" s="64"/>
      <c r="Z359" s="64"/>
    </row>
    <row r="360" spans="1:26" s="14" customForma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T360" s="74"/>
      <c r="Y360" s="64"/>
      <c r="Z360" s="64"/>
    </row>
    <row r="361" spans="1:26" s="14" customForma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T361" s="74"/>
      <c r="Y361" s="64"/>
      <c r="Z361" s="64"/>
    </row>
    <row r="362" spans="1:26" s="14" customForma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T362" s="74"/>
      <c r="Y362" s="64"/>
      <c r="Z362" s="64"/>
    </row>
    <row r="363" spans="1:26" s="14" customForma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T363" s="74"/>
      <c r="Y363" s="64"/>
      <c r="Z363" s="64"/>
    </row>
    <row r="364" spans="1:26" s="14" customForma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T364" s="74"/>
      <c r="Y364" s="64"/>
      <c r="Z364" s="64"/>
    </row>
    <row r="365" spans="1:26" s="14" customForma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T365" s="74"/>
      <c r="Y365" s="64"/>
      <c r="Z365" s="64"/>
    </row>
    <row r="366" spans="1:26" s="14" customForma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T366" s="74"/>
      <c r="Y366" s="64"/>
      <c r="Z366" s="64"/>
    </row>
    <row r="367" spans="1:26" s="14" customForma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T367" s="74"/>
      <c r="Y367" s="64"/>
      <c r="Z367" s="64"/>
    </row>
    <row r="368" spans="1:26" s="14" customForma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T368" s="74"/>
      <c r="Y368" s="64"/>
      <c r="Z368" s="64"/>
    </row>
    <row r="369" spans="1:26" s="14" customForma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T369" s="74"/>
      <c r="Y369" s="64"/>
      <c r="Z369" s="64"/>
    </row>
    <row r="370" spans="1:26" s="14" customForma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T370" s="74"/>
      <c r="Y370" s="64"/>
      <c r="Z370" s="64"/>
    </row>
    <row r="371" spans="1:26" s="14" customForma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T371" s="74"/>
      <c r="Y371" s="64"/>
      <c r="Z371" s="64"/>
    </row>
    <row r="372" spans="1:26" s="14" customForma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T372" s="74"/>
      <c r="Y372" s="64"/>
      <c r="Z372" s="64"/>
    </row>
    <row r="373" spans="1:26" s="14" customForma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T373" s="74"/>
      <c r="Y373" s="64"/>
      <c r="Z373" s="64"/>
    </row>
    <row r="374" spans="1:26" s="14" customForma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T374" s="74"/>
      <c r="Y374" s="64"/>
      <c r="Z374" s="64"/>
    </row>
    <row r="375" spans="1:26" s="14" customForma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T375" s="74"/>
      <c r="Y375" s="64"/>
      <c r="Z375" s="64"/>
    </row>
    <row r="376" spans="1:26" s="14" customForma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T376" s="74"/>
      <c r="Y376" s="64"/>
      <c r="Z376" s="64"/>
    </row>
    <row r="377" spans="1:26" s="14" customForma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T377" s="74"/>
      <c r="Y377" s="64"/>
      <c r="Z377" s="64"/>
    </row>
    <row r="378" spans="1:26" s="14" customForma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T378" s="74"/>
      <c r="Y378" s="64"/>
      <c r="Z378" s="64"/>
    </row>
    <row r="379" spans="1:26" s="14" customForma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T379" s="74"/>
      <c r="Y379" s="64"/>
      <c r="Z379" s="64"/>
    </row>
    <row r="380" spans="1:26" s="14" customForma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T380" s="74"/>
      <c r="Y380" s="64"/>
      <c r="Z380" s="64"/>
    </row>
    <row r="381" spans="1:26" s="14" customForma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T381" s="74"/>
      <c r="Y381" s="64"/>
      <c r="Z381" s="64"/>
    </row>
    <row r="382" spans="1:26" s="14" customForma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T382" s="74"/>
      <c r="Y382" s="64"/>
      <c r="Z382" s="64"/>
    </row>
    <row r="383" spans="1:26" s="14" customForma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T383" s="74"/>
      <c r="Y383" s="64"/>
      <c r="Z383" s="64"/>
    </row>
    <row r="384" spans="1:26" s="14" customForma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T384" s="74"/>
      <c r="Y384" s="64"/>
      <c r="Z384" s="64"/>
    </row>
    <row r="385" spans="1:26" s="14" customForma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T385" s="74"/>
      <c r="Y385" s="64"/>
      <c r="Z385" s="64"/>
    </row>
    <row r="386" spans="1:26" s="14" customForma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T386" s="74"/>
      <c r="Y386" s="64"/>
      <c r="Z386" s="64"/>
    </row>
    <row r="387" spans="1:26" s="14" customForma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T387" s="74"/>
      <c r="Y387" s="64"/>
      <c r="Z387" s="64"/>
    </row>
    <row r="388" spans="1:26" s="14" customForma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T388" s="74"/>
      <c r="Y388" s="64"/>
      <c r="Z388" s="64"/>
    </row>
    <row r="389" spans="1:26" s="14" customForma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T389" s="74"/>
      <c r="Y389" s="64"/>
      <c r="Z389" s="64"/>
    </row>
    <row r="390" spans="1:26" s="14" customForma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T390" s="74"/>
      <c r="Y390" s="64"/>
      <c r="Z390" s="64"/>
    </row>
    <row r="391" spans="1:26" s="14" customForma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T391" s="74"/>
      <c r="Y391" s="64"/>
      <c r="Z391" s="64"/>
    </row>
    <row r="392" spans="1:26" s="14" customForma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T392" s="74"/>
      <c r="Y392" s="64"/>
      <c r="Z392" s="64"/>
    </row>
    <row r="393" spans="1:26" s="14" customForma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T393" s="74"/>
      <c r="Y393" s="64"/>
      <c r="Z393" s="64"/>
    </row>
    <row r="394" spans="1:26" s="14" customForma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T394" s="74"/>
      <c r="Y394" s="64"/>
      <c r="Z394" s="64"/>
    </row>
    <row r="395" spans="1:26" s="14" customForma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T395" s="74"/>
      <c r="Y395" s="64"/>
      <c r="Z395" s="64"/>
    </row>
    <row r="396" spans="1:26" s="14" customForma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T396" s="74"/>
      <c r="Y396" s="64"/>
      <c r="Z396" s="64"/>
    </row>
    <row r="397" spans="1:26" s="14" customForma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T397" s="74"/>
      <c r="Y397" s="64"/>
      <c r="Z397" s="64"/>
    </row>
    <row r="398" spans="1:26" s="14" customForma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T398" s="74"/>
      <c r="Y398" s="64"/>
      <c r="Z398" s="64"/>
    </row>
    <row r="399" spans="1:26" s="14" customForma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T399" s="74"/>
      <c r="Y399" s="64"/>
      <c r="Z399" s="64"/>
    </row>
    <row r="400" spans="1:26" s="14" customForma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T400" s="74"/>
      <c r="Y400" s="64"/>
      <c r="Z400" s="64"/>
    </row>
    <row r="401" spans="1:26" s="14" customForma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T401" s="74"/>
      <c r="Y401" s="64"/>
      <c r="Z401" s="64"/>
    </row>
    <row r="402" spans="1:26" s="14" customForma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T402" s="74"/>
      <c r="Y402" s="64"/>
      <c r="Z402" s="64"/>
    </row>
    <row r="403" spans="1:26" s="14" customForma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T403" s="74"/>
      <c r="Y403" s="64"/>
      <c r="Z403" s="64"/>
    </row>
    <row r="404" spans="1:26" s="14" customForma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T404" s="74"/>
      <c r="Y404" s="64"/>
      <c r="Z404" s="64"/>
    </row>
    <row r="405" spans="1:26" s="14" customForma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T405" s="74"/>
      <c r="Y405" s="64"/>
      <c r="Z405" s="64"/>
    </row>
    <row r="406" spans="1:26" s="14" customForma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T406" s="74"/>
      <c r="Y406" s="64"/>
      <c r="Z406" s="64"/>
    </row>
    <row r="407" spans="1:26" s="14" customForma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T407" s="74"/>
      <c r="Y407" s="64"/>
      <c r="Z407" s="64"/>
    </row>
    <row r="408" spans="1:26" s="14" customForma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T408" s="74"/>
      <c r="Y408" s="64"/>
      <c r="Z408" s="64"/>
    </row>
    <row r="409" spans="1:26" s="14" customForma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T409" s="74"/>
      <c r="Y409" s="64"/>
      <c r="Z409" s="64"/>
    </row>
    <row r="410" spans="1:26" s="14" customForma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T410" s="74"/>
      <c r="Y410" s="64"/>
      <c r="Z410" s="64"/>
    </row>
    <row r="411" spans="1:26" s="14" customForma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T411" s="74"/>
      <c r="Y411" s="64"/>
      <c r="Z411" s="64"/>
    </row>
    <row r="412" spans="1:26" s="14" customForma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T412" s="74"/>
      <c r="Y412" s="64"/>
      <c r="Z412" s="64"/>
    </row>
    <row r="413" spans="1:26" s="14" customForma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T413" s="74"/>
      <c r="Y413" s="64"/>
      <c r="Z413" s="64"/>
    </row>
    <row r="414" spans="1:26" s="14" customForma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T414" s="74"/>
      <c r="Y414" s="64"/>
      <c r="Z414" s="64"/>
    </row>
    <row r="415" spans="1:26" s="14" customForma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T415" s="74"/>
      <c r="Y415" s="64"/>
      <c r="Z415" s="64"/>
    </row>
    <row r="416" spans="1:26" s="14" customForma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T416" s="74"/>
      <c r="Y416" s="64"/>
      <c r="Z416" s="64"/>
    </row>
    <row r="417" spans="1:26" s="14" customForma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T417" s="74"/>
      <c r="Y417" s="64"/>
      <c r="Z417" s="64"/>
    </row>
    <row r="418" spans="1:26" s="14" customForma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T418" s="74"/>
      <c r="Y418" s="64"/>
      <c r="Z418" s="64"/>
    </row>
    <row r="419" spans="1:26" s="14" customForma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T419" s="74"/>
      <c r="Y419" s="64"/>
      <c r="Z419" s="64"/>
    </row>
    <row r="420" spans="1:26" s="14" customForma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T420" s="74"/>
      <c r="Y420" s="64"/>
      <c r="Z420" s="64"/>
    </row>
    <row r="421" spans="1:26" s="14" customForma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T421" s="74"/>
      <c r="Y421" s="64"/>
      <c r="Z421" s="64"/>
    </row>
    <row r="422" spans="1:26" s="14" customForma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T422" s="74"/>
      <c r="Y422" s="64"/>
      <c r="Z422" s="64"/>
    </row>
    <row r="423" spans="1:26" s="14" customForma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T423" s="74"/>
      <c r="Y423" s="64"/>
      <c r="Z423" s="64"/>
    </row>
    <row r="424" spans="1:26" s="14" customForma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T424" s="74"/>
      <c r="Y424" s="64"/>
      <c r="Z424" s="64"/>
    </row>
    <row r="425" spans="1:26" s="14" customForma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T425" s="74"/>
      <c r="Y425" s="64"/>
      <c r="Z425" s="64"/>
    </row>
    <row r="426" spans="1:26" s="14" customForma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T426" s="74"/>
      <c r="Y426" s="64"/>
      <c r="Z426" s="64"/>
    </row>
    <row r="427" spans="1:26" s="14" customForma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T427" s="74"/>
      <c r="Y427" s="64"/>
      <c r="Z427" s="64"/>
    </row>
    <row r="428" spans="1:26" s="14" customForma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T428" s="74"/>
      <c r="Y428" s="64"/>
      <c r="Z428" s="64"/>
    </row>
    <row r="429" spans="1:26" s="14" customForma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T429" s="74"/>
      <c r="Y429" s="64"/>
      <c r="Z429" s="64"/>
    </row>
    <row r="430" spans="1:26" s="14" customForma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T430" s="74"/>
      <c r="Y430" s="64"/>
      <c r="Z430" s="64"/>
    </row>
    <row r="431" spans="1:26" s="14" customForma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T431" s="74"/>
      <c r="Y431" s="64"/>
      <c r="Z431" s="64"/>
    </row>
    <row r="432" spans="1:26" s="14" customForma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T432" s="74"/>
      <c r="Y432" s="64"/>
      <c r="Z432" s="64"/>
    </row>
    <row r="433" spans="1:26" s="14" customForma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T433" s="74"/>
      <c r="Y433" s="64"/>
      <c r="Z433" s="64"/>
    </row>
    <row r="434" spans="1:26" s="14" customForma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T434" s="74"/>
      <c r="Y434" s="64"/>
      <c r="Z434" s="64"/>
    </row>
    <row r="435" spans="1:26" s="14" customForma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T435" s="74"/>
      <c r="Y435" s="64"/>
      <c r="Z435" s="64"/>
    </row>
    <row r="436" spans="1:26" s="14" customForma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T436" s="74"/>
      <c r="Y436" s="64"/>
      <c r="Z436" s="64"/>
    </row>
    <row r="437" spans="1:26" s="14" customForma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T437" s="74"/>
      <c r="Y437" s="64"/>
      <c r="Z437" s="64"/>
    </row>
    <row r="438" spans="1:26" s="14" customForma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T438" s="74"/>
      <c r="Y438" s="64"/>
      <c r="Z438" s="64"/>
    </row>
    <row r="439" spans="1:26" s="14" customForma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T439" s="74"/>
      <c r="Y439" s="64"/>
      <c r="Z439" s="64"/>
    </row>
    <row r="440" spans="1:26" s="14" customForma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T440" s="74"/>
      <c r="Y440" s="64"/>
      <c r="Z440" s="64"/>
    </row>
    <row r="441" spans="1:26" s="14" customForma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T441" s="74"/>
      <c r="Y441" s="64"/>
      <c r="Z441" s="64"/>
    </row>
    <row r="442" spans="1:26" s="14" customForma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T442" s="74"/>
      <c r="Y442" s="64"/>
      <c r="Z442" s="64"/>
    </row>
    <row r="443" spans="1:26" s="14" customForma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T443" s="74"/>
      <c r="Y443" s="64"/>
      <c r="Z443" s="64"/>
    </row>
    <row r="444" spans="1:26" s="14" customForma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T444" s="74"/>
      <c r="Y444" s="64"/>
      <c r="Z444" s="64"/>
    </row>
    <row r="445" spans="1:26" s="14" customForma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T445" s="74"/>
      <c r="Y445" s="64"/>
      <c r="Z445" s="64"/>
    </row>
    <row r="446" spans="1:26" s="14" customForma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T446" s="74"/>
      <c r="Y446" s="64"/>
      <c r="Z446" s="64"/>
    </row>
    <row r="447" spans="1:26" s="14" customForma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T447" s="74"/>
      <c r="Y447" s="64"/>
      <c r="Z447" s="64"/>
    </row>
    <row r="448" spans="1:26" s="14" customForma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T448" s="74"/>
      <c r="Y448" s="64"/>
      <c r="Z448" s="64"/>
    </row>
    <row r="449" spans="1:26" s="14" customForma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T449" s="74"/>
      <c r="Y449" s="64"/>
      <c r="Z449" s="64"/>
    </row>
    <row r="450" spans="1:26" s="14" customForma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T450" s="74"/>
      <c r="Y450" s="64"/>
      <c r="Z450" s="64"/>
    </row>
    <row r="451" spans="1:26" s="14" customForma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T451" s="74"/>
      <c r="Y451" s="64"/>
      <c r="Z451" s="64"/>
    </row>
    <row r="452" spans="1:26" s="14" customForma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T452" s="74"/>
      <c r="Y452" s="64"/>
      <c r="Z452" s="64"/>
    </row>
    <row r="453" spans="1:26" s="14" customForma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T453" s="74"/>
      <c r="Y453" s="64"/>
      <c r="Z453" s="64"/>
    </row>
    <row r="454" spans="1:26" s="14" customForma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T454" s="74"/>
      <c r="Y454" s="64"/>
      <c r="Z454" s="64"/>
    </row>
    <row r="455" spans="1:26" s="14" customForma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T455" s="74"/>
      <c r="Y455" s="64"/>
      <c r="Z455" s="64"/>
    </row>
    <row r="456" spans="1:26" s="14" customForma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T456" s="74"/>
      <c r="Y456" s="64"/>
      <c r="Z456" s="64"/>
    </row>
    <row r="457" spans="1:26" s="14" customForma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T457" s="74"/>
      <c r="Y457" s="64"/>
      <c r="Z457" s="64"/>
    </row>
    <row r="458" spans="1:26" s="14" customForma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T458" s="74"/>
      <c r="Y458" s="64"/>
      <c r="Z458" s="64"/>
    </row>
    <row r="459" spans="1:26" s="14" customForma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T459" s="74"/>
      <c r="Y459" s="64"/>
      <c r="Z459" s="64"/>
    </row>
    <row r="460" spans="1:26" s="14" customForma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T460" s="74"/>
      <c r="Y460" s="64"/>
      <c r="Z460" s="64"/>
    </row>
    <row r="461" spans="1:26" s="14" customForma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T461" s="74"/>
      <c r="Y461" s="64"/>
      <c r="Z461" s="64"/>
    </row>
    <row r="462" spans="1:26" s="14" customForma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T462" s="74"/>
      <c r="Y462" s="64"/>
      <c r="Z462" s="64"/>
    </row>
    <row r="463" spans="1:26" s="14" customForma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T463" s="74"/>
      <c r="Y463" s="64"/>
      <c r="Z463" s="64"/>
    </row>
    <row r="464" spans="1:26" s="14" customForma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T464" s="74"/>
      <c r="Y464" s="64"/>
      <c r="Z464" s="64"/>
    </row>
    <row r="465" spans="1:26" s="14" customForma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T465" s="74"/>
      <c r="Y465" s="64"/>
      <c r="Z465" s="64"/>
    </row>
    <row r="466" spans="1:26" s="14" customForma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T466" s="74"/>
      <c r="Y466" s="64"/>
      <c r="Z466" s="64"/>
    </row>
    <row r="467" spans="1:26" s="14" customForma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T467" s="74"/>
      <c r="Y467" s="64"/>
      <c r="Z467" s="64"/>
    </row>
    <row r="468" spans="1:26" s="14" customForma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T468" s="74"/>
      <c r="Y468" s="64"/>
      <c r="Z468" s="64"/>
    </row>
    <row r="469" spans="1:26" s="14" customForma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T469" s="74"/>
      <c r="Y469" s="64"/>
      <c r="Z469" s="64"/>
    </row>
    <row r="470" spans="1:26" s="14" customForma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T470" s="74"/>
      <c r="Y470" s="64"/>
      <c r="Z470" s="64"/>
    </row>
    <row r="471" spans="1:26" s="14" customForma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T471" s="74"/>
      <c r="Y471" s="64"/>
      <c r="Z471" s="64"/>
    </row>
    <row r="472" spans="1:26" s="14" customForma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T472" s="74"/>
      <c r="Y472" s="64"/>
      <c r="Z472" s="64"/>
    </row>
    <row r="473" spans="1:26" s="14" customForma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T473" s="74"/>
      <c r="Y473" s="64"/>
      <c r="Z473" s="64"/>
    </row>
    <row r="474" spans="1:26" s="14" customForma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T474" s="74"/>
      <c r="Y474" s="64"/>
      <c r="Z474" s="64"/>
    </row>
    <row r="475" spans="1:26" s="14" customForma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T475" s="74"/>
      <c r="Y475" s="64"/>
      <c r="Z475" s="64"/>
    </row>
    <row r="476" spans="1:26" s="14" customForma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T476" s="74"/>
      <c r="Y476" s="64"/>
      <c r="Z476" s="64"/>
    </row>
    <row r="477" spans="1:26" s="14" customForma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T477" s="74"/>
      <c r="Y477" s="64"/>
      <c r="Z477" s="64"/>
    </row>
    <row r="478" spans="1:26" s="14" customForma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T478" s="74"/>
      <c r="Y478" s="64"/>
      <c r="Z478" s="64"/>
    </row>
    <row r="479" spans="1:26" s="14" customForma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T479" s="74"/>
      <c r="Y479" s="64"/>
      <c r="Z479" s="64"/>
    </row>
    <row r="480" spans="1:26" s="14" customForma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T480" s="74"/>
      <c r="Y480" s="64"/>
      <c r="Z480" s="64"/>
    </row>
    <row r="481" spans="1:26" s="14" customForma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T481" s="74"/>
      <c r="Y481" s="64"/>
      <c r="Z481" s="64"/>
    </row>
    <row r="482" spans="1:26" s="14" customForma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T482" s="74"/>
      <c r="Y482" s="64"/>
      <c r="Z482" s="64"/>
    </row>
    <row r="483" spans="1:26" s="14" customForma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T483" s="74"/>
      <c r="Y483" s="64"/>
      <c r="Z483" s="64"/>
    </row>
    <row r="484" spans="1:26" s="14" customForma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T484" s="74"/>
      <c r="Y484" s="64"/>
      <c r="Z484" s="64"/>
    </row>
    <row r="485" spans="1:26" s="14" customForma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T485" s="74"/>
      <c r="Y485" s="64"/>
      <c r="Z485" s="64"/>
    </row>
    <row r="486" spans="1:26" s="14" customForma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T486" s="74"/>
      <c r="Y486" s="64"/>
      <c r="Z486" s="64"/>
    </row>
    <row r="487" spans="1:26" s="14" customForma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T487" s="74"/>
      <c r="Y487" s="64"/>
      <c r="Z487" s="64"/>
    </row>
    <row r="488" spans="1:26" s="14" customForma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T488" s="74"/>
      <c r="Y488" s="64"/>
      <c r="Z488" s="64"/>
    </row>
    <row r="489" spans="1:26" s="14" customForma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T489" s="74"/>
      <c r="Y489" s="64"/>
      <c r="Z489" s="64"/>
    </row>
    <row r="490" spans="1:26" s="14" customForma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T490" s="74"/>
      <c r="Y490" s="64"/>
      <c r="Z490" s="64"/>
    </row>
    <row r="491" spans="1:26" s="14" customForma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T491" s="74"/>
      <c r="Y491" s="64"/>
      <c r="Z491" s="64"/>
    </row>
    <row r="492" spans="1:26" s="14" customForma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T492" s="74"/>
      <c r="Y492" s="64"/>
      <c r="Z492" s="64"/>
    </row>
    <row r="493" spans="1:26" s="14" customForma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T493" s="74"/>
      <c r="Y493" s="64"/>
      <c r="Z493" s="64"/>
    </row>
    <row r="494" spans="1:26" s="14" customForma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T494" s="74"/>
      <c r="Y494" s="64"/>
      <c r="Z494" s="64"/>
    </row>
    <row r="495" spans="1:26" s="14" customForma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T495" s="74"/>
      <c r="Y495" s="64"/>
      <c r="Z495" s="64"/>
    </row>
    <row r="496" spans="1:26" s="14" customForma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T496" s="74"/>
      <c r="Y496" s="64"/>
      <c r="Z496" s="64"/>
    </row>
    <row r="497" spans="1:26" s="14" customForma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T497" s="74"/>
      <c r="Y497" s="64"/>
      <c r="Z497" s="64"/>
    </row>
    <row r="498" spans="1:26" s="14" customForma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T498" s="74"/>
      <c r="Y498" s="64"/>
      <c r="Z498" s="64"/>
    </row>
    <row r="499" spans="1:26" s="14" customForma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T499" s="74"/>
      <c r="Y499" s="64"/>
      <c r="Z499" s="64"/>
    </row>
    <row r="500" spans="1:26" s="14" customForma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T500" s="74"/>
      <c r="Y500" s="64"/>
      <c r="Z500" s="64"/>
    </row>
    <row r="501" spans="1:26" s="14" customForma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T501" s="74"/>
      <c r="Y501" s="64"/>
      <c r="Z501" s="64"/>
    </row>
    <row r="502" spans="1:26" s="14" customForma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T502" s="74"/>
      <c r="Y502" s="64"/>
      <c r="Z502" s="64"/>
    </row>
    <row r="503" spans="1:26" s="14" customForma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T503" s="74"/>
      <c r="Y503" s="64"/>
      <c r="Z503" s="64"/>
    </row>
    <row r="504" spans="1:26" s="14" customForma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T504" s="74"/>
      <c r="Y504" s="64"/>
      <c r="Z504" s="64"/>
    </row>
    <row r="505" spans="1:26" s="14" customForma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T505" s="74"/>
      <c r="Y505" s="64"/>
      <c r="Z505" s="64"/>
    </row>
    <row r="506" spans="1:26" s="14" customForma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T506" s="74"/>
      <c r="Y506" s="64"/>
      <c r="Z506" s="64"/>
    </row>
    <row r="507" spans="1:26" s="14" customForma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T507" s="74"/>
      <c r="Y507" s="64"/>
      <c r="Z507" s="64"/>
    </row>
    <row r="508" spans="1:26" s="14" customForma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T508" s="74"/>
      <c r="Y508" s="64"/>
      <c r="Z508" s="64"/>
    </row>
    <row r="509" spans="1:26" s="14" customForma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T509" s="74"/>
      <c r="Y509" s="64"/>
      <c r="Z509" s="64"/>
    </row>
    <row r="510" spans="1:26" s="14" customForma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T510" s="74"/>
      <c r="Y510" s="64"/>
      <c r="Z510" s="64"/>
    </row>
    <row r="511" spans="1:26" s="14" customForma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T511" s="74"/>
      <c r="Y511" s="64"/>
      <c r="Z511" s="64"/>
    </row>
    <row r="512" spans="1:26" s="14" customForma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T512" s="74"/>
      <c r="Y512" s="64"/>
      <c r="Z512" s="64"/>
    </row>
    <row r="513" spans="1:26" s="14" customForma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T513" s="74"/>
      <c r="Y513" s="64"/>
      <c r="Z513" s="64"/>
    </row>
    <row r="514" spans="1:26" s="14" customForma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T514" s="74"/>
      <c r="Y514" s="64"/>
      <c r="Z514" s="64"/>
    </row>
    <row r="515" spans="1:26" s="14" customForma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T515" s="74"/>
      <c r="Y515" s="64"/>
      <c r="Z515" s="64"/>
    </row>
    <row r="516" spans="1:26" s="14" customForma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T516" s="74"/>
      <c r="Y516" s="64"/>
      <c r="Z516" s="64"/>
    </row>
    <row r="517" spans="1:26" s="14" customForma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T517" s="74"/>
      <c r="Y517" s="64"/>
      <c r="Z517" s="64"/>
    </row>
    <row r="518" spans="1:26" s="14" customForma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T518" s="74"/>
      <c r="Y518" s="64"/>
      <c r="Z518" s="64"/>
    </row>
    <row r="519" spans="1:26" s="14" customForma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T519" s="74"/>
      <c r="Y519" s="64"/>
      <c r="Z519" s="64"/>
    </row>
    <row r="520" spans="1:26" s="14" customForma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T520" s="74"/>
      <c r="Y520" s="64"/>
      <c r="Z520" s="64"/>
    </row>
    <row r="521" spans="1:26" s="14" customForma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T521" s="74"/>
      <c r="Y521" s="64"/>
      <c r="Z521" s="64"/>
    </row>
    <row r="522" spans="1:26" s="14" customForma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T522" s="74"/>
      <c r="Y522" s="64"/>
      <c r="Z522" s="64"/>
    </row>
    <row r="523" spans="1:26" s="14" customForma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T523" s="74"/>
      <c r="Y523" s="64"/>
      <c r="Z523" s="64"/>
    </row>
    <row r="524" spans="1:26" s="14" customForma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T524" s="74"/>
      <c r="Y524" s="64"/>
      <c r="Z524" s="64"/>
    </row>
    <row r="525" spans="1:26" s="14" customForma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T525" s="74"/>
      <c r="Y525" s="64"/>
      <c r="Z525" s="64"/>
    </row>
    <row r="526" spans="1:26" s="14" customForma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T526" s="74"/>
      <c r="Y526" s="64"/>
      <c r="Z526" s="64"/>
    </row>
    <row r="527" spans="1:26" s="14" customForma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T527" s="74"/>
      <c r="Y527" s="64"/>
      <c r="Z527" s="64"/>
    </row>
    <row r="528" spans="1:26" s="14" customForma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T528" s="74"/>
      <c r="Y528" s="64"/>
      <c r="Z528" s="64"/>
    </row>
    <row r="529" spans="1:26" s="14" customForma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T529" s="74"/>
      <c r="Y529" s="64"/>
      <c r="Z529" s="64"/>
    </row>
    <row r="530" spans="1:26" s="14" customForma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T530" s="74"/>
      <c r="Y530" s="64"/>
      <c r="Z530" s="64"/>
    </row>
    <row r="531" spans="1:26" s="14" customForma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T531" s="74"/>
      <c r="Y531" s="64"/>
      <c r="Z531" s="64"/>
    </row>
    <row r="532" spans="1:26" s="14" customForma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T532" s="74"/>
      <c r="Y532" s="64"/>
      <c r="Z532" s="64"/>
    </row>
    <row r="533" spans="1:26" s="14" customForma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T533" s="74"/>
      <c r="Y533" s="64"/>
      <c r="Z533" s="64"/>
    </row>
    <row r="534" spans="1:26" s="14" customForma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T534" s="74"/>
      <c r="Y534" s="64"/>
      <c r="Z534" s="64"/>
    </row>
    <row r="535" spans="1:26" s="14" customForma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T535" s="74"/>
      <c r="Y535" s="64"/>
      <c r="Z535" s="64"/>
    </row>
    <row r="536" spans="1:26" s="14" customForma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T536" s="74"/>
      <c r="Y536" s="64"/>
      <c r="Z536" s="64"/>
    </row>
    <row r="537" spans="1:26" s="14" customForma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T537" s="74"/>
      <c r="Y537" s="64"/>
      <c r="Z537" s="64"/>
    </row>
    <row r="538" spans="1:26" s="14" customForma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T538" s="74"/>
      <c r="Y538" s="64"/>
      <c r="Z538" s="64"/>
    </row>
    <row r="539" spans="1:26" s="14" customForma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T539" s="74"/>
      <c r="Y539" s="64"/>
      <c r="Z539" s="64"/>
    </row>
    <row r="540" spans="1:26" s="14" customForma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T540" s="74"/>
      <c r="Y540" s="64"/>
      <c r="Z540" s="64"/>
    </row>
    <row r="541" spans="1:26" s="14" customForma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T541" s="74"/>
      <c r="Y541" s="64"/>
      <c r="Z541" s="64"/>
    </row>
    <row r="542" spans="1:26" s="14" customForma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T542" s="74"/>
      <c r="Y542" s="64"/>
      <c r="Z542" s="64"/>
    </row>
    <row r="543" spans="1:26" s="14" customForma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T543" s="74"/>
      <c r="Y543" s="64"/>
      <c r="Z543" s="64"/>
    </row>
    <row r="544" spans="1:26" s="14" customForma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T544" s="74"/>
      <c r="Y544" s="64"/>
      <c r="Z544" s="64"/>
    </row>
    <row r="545" spans="1:26" s="14" customForma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T545" s="74"/>
      <c r="Y545" s="64"/>
      <c r="Z545" s="64"/>
    </row>
    <row r="546" spans="1:26" s="14" customForma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T546" s="74"/>
      <c r="Y546" s="64"/>
      <c r="Z546" s="64"/>
    </row>
    <row r="547" spans="1:26" s="14" customForma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T547" s="74"/>
      <c r="Y547" s="64"/>
      <c r="Z547" s="64"/>
    </row>
    <row r="548" spans="1:26" s="14" customForma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T548" s="74"/>
      <c r="Y548" s="64"/>
      <c r="Z548" s="64"/>
    </row>
    <row r="549" spans="1:26" s="14" customForma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T549" s="74"/>
      <c r="Y549" s="64"/>
      <c r="Z549" s="64"/>
    </row>
    <row r="550" spans="1:26" s="14" customForma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T550" s="74"/>
      <c r="Y550" s="64"/>
      <c r="Z550" s="64"/>
    </row>
    <row r="551" spans="1:26" s="14" customForma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T551" s="74"/>
      <c r="Y551" s="64"/>
      <c r="Z551" s="64"/>
    </row>
    <row r="552" spans="1:26" s="14" customForma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T552" s="74"/>
      <c r="Y552" s="64"/>
      <c r="Z552" s="64"/>
    </row>
    <row r="553" spans="1:26" s="14" customForma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T553" s="74"/>
      <c r="Y553" s="64"/>
      <c r="Z553" s="64"/>
    </row>
    <row r="554" spans="1:26" s="14" customForma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T554" s="74"/>
      <c r="Y554" s="64"/>
      <c r="Z554" s="64"/>
    </row>
    <row r="555" spans="1:26" s="14" customForma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T555" s="74"/>
      <c r="Y555" s="64"/>
      <c r="Z555" s="64"/>
    </row>
    <row r="556" spans="1:26" s="14" customForma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T556" s="74"/>
      <c r="Y556" s="64"/>
      <c r="Z556" s="64"/>
    </row>
    <row r="557" spans="1:26" s="14" customForma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T557" s="74"/>
      <c r="Y557" s="64"/>
      <c r="Z557" s="64"/>
    </row>
    <row r="558" spans="1:26" s="14" customForma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T558" s="74"/>
      <c r="Y558" s="64"/>
      <c r="Z558" s="64"/>
    </row>
    <row r="559" spans="1:26" s="14" customForma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T559" s="74"/>
      <c r="Y559" s="64"/>
      <c r="Z559" s="64"/>
    </row>
    <row r="560" spans="1:26" s="14" customForma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T560" s="74"/>
      <c r="Y560" s="64"/>
      <c r="Z560" s="64"/>
    </row>
    <row r="561" spans="1:26" s="14" customForma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T561" s="74"/>
      <c r="Y561" s="64"/>
      <c r="Z561" s="64"/>
    </row>
    <row r="562" spans="1:26" s="14" customForma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T562" s="74"/>
      <c r="Y562" s="64"/>
      <c r="Z562" s="64"/>
    </row>
    <row r="563" spans="1:26" s="14" customForma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T563" s="74"/>
      <c r="Y563" s="64"/>
      <c r="Z563" s="64"/>
    </row>
    <row r="564" spans="1:26" s="14" customForma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T564" s="74"/>
      <c r="Y564" s="64"/>
      <c r="Z564" s="64"/>
    </row>
    <row r="565" spans="1:26" s="14" customForma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T565" s="74"/>
      <c r="Y565" s="64"/>
      <c r="Z565" s="64"/>
    </row>
    <row r="566" spans="1:26" s="14" customForma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T566" s="74"/>
      <c r="Y566" s="64"/>
      <c r="Z566" s="64"/>
    </row>
    <row r="567" spans="1:26" s="14" customForma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T567" s="74"/>
      <c r="Y567" s="64"/>
      <c r="Z567" s="64"/>
    </row>
    <row r="568" spans="1:26" s="14" customForma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T568" s="74"/>
      <c r="Y568" s="64"/>
      <c r="Z568" s="64"/>
    </row>
    <row r="569" spans="1:26" s="14" customForma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T569" s="74"/>
      <c r="Y569" s="64"/>
      <c r="Z569" s="64"/>
    </row>
    <row r="570" spans="1:26" s="14" customForma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T570" s="74"/>
      <c r="Y570" s="64"/>
      <c r="Z570" s="64"/>
    </row>
    <row r="571" spans="1:26" s="14" customForma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T571" s="74"/>
      <c r="Y571" s="64"/>
      <c r="Z571" s="64"/>
    </row>
    <row r="572" spans="1:26" s="14" customForma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T572" s="74"/>
      <c r="Y572" s="64"/>
      <c r="Z572" s="64"/>
    </row>
    <row r="573" spans="1:26" s="14" customForma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T573" s="74"/>
      <c r="Y573" s="64"/>
      <c r="Z573" s="64"/>
    </row>
    <row r="574" spans="1:26" s="14" customForma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T574" s="74"/>
      <c r="Y574" s="64"/>
      <c r="Z574" s="64"/>
    </row>
    <row r="575" spans="1:26" s="14" customForma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T575" s="74"/>
      <c r="Y575" s="64"/>
      <c r="Z575" s="64"/>
    </row>
    <row r="576" spans="1:26" s="14" customForma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T576" s="74"/>
      <c r="Y576" s="64"/>
      <c r="Z576" s="64"/>
    </row>
    <row r="577" spans="1:26" s="14" customForma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T577" s="74"/>
      <c r="Y577" s="64"/>
      <c r="Z577" s="64"/>
    </row>
    <row r="578" spans="1:26" s="14" customForma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T578" s="74"/>
      <c r="Y578" s="64"/>
      <c r="Z578" s="64"/>
    </row>
    <row r="579" spans="1:26" s="14" customForma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T579" s="74"/>
      <c r="Y579" s="64"/>
      <c r="Z579" s="64"/>
    </row>
    <row r="580" spans="1:26" s="14" customForma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T580" s="74"/>
      <c r="Y580" s="64"/>
      <c r="Z580" s="64"/>
    </row>
    <row r="581" spans="1:26" s="14" customForma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T581" s="74"/>
      <c r="Y581" s="64"/>
      <c r="Z581" s="64"/>
    </row>
    <row r="582" spans="1:26" s="14" customForma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T582" s="74"/>
      <c r="Y582" s="64"/>
      <c r="Z582" s="64"/>
    </row>
    <row r="583" spans="1:26" s="14" customForma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T583" s="74"/>
      <c r="Y583" s="64"/>
      <c r="Z583" s="64"/>
    </row>
    <row r="584" spans="1:26" s="14" customForma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T584" s="74"/>
      <c r="Y584" s="64"/>
      <c r="Z584" s="64"/>
    </row>
    <row r="585" spans="1:26" s="14" customForma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T585" s="74"/>
      <c r="Y585" s="64"/>
      <c r="Z585" s="64"/>
    </row>
    <row r="586" spans="1:26" s="14" customForma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T586" s="74"/>
      <c r="Y586" s="64"/>
      <c r="Z586" s="64"/>
    </row>
    <row r="587" spans="1:26" s="14" customForma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T587" s="74"/>
      <c r="Y587" s="64"/>
      <c r="Z587" s="64"/>
    </row>
    <row r="588" spans="1:26" s="14" customForma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T588" s="74"/>
      <c r="Y588" s="64"/>
      <c r="Z588" s="64"/>
    </row>
    <row r="589" spans="1:26" s="14" customForma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T589" s="74"/>
      <c r="Y589" s="64"/>
      <c r="Z589" s="64"/>
    </row>
    <row r="590" spans="1:26" s="14" customForma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T590" s="74"/>
      <c r="Y590" s="64"/>
      <c r="Z590" s="64"/>
    </row>
    <row r="591" spans="1:26" s="14" customForma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T591" s="74"/>
      <c r="Y591" s="64"/>
      <c r="Z591" s="64"/>
    </row>
    <row r="592" spans="1:26" s="14" customForma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T592" s="74"/>
      <c r="Y592" s="64"/>
      <c r="Z592" s="64"/>
    </row>
    <row r="593" spans="1:26" s="14" customForma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T593" s="74"/>
      <c r="Y593" s="64"/>
      <c r="Z593" s="64"/>
    </row>
    <row r="594" spans="1:26" s="14" customForma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T594" s="74"/>
      <c r="Y594" s="64"/>
      <c r="Z594" s="64"/>
    </row>
    <row r="595" spans="1:26" s="14" customForma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T595" s="74"/>
      <c r="Y595" s="64"/>
      <c r="Z595" s="64"/>
    </row>
    <row r="596" spans="1:26" s="14" customForma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T596" s="74"/>
      <c r="Y596" s="64"/>
      <c r="Z596" s="64"/>
    </row>
    <row r="597" spans="1:26" s="14" customForma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T597" s="74"/>
      <c r="Y597" s="64"/>
      <c r="Z597" s="64"/>
    </row>
    <row r="598" spans="1:26" s="14" customForma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T598" s="74"/>
      <c r="Y598" s="64"/>
      <c r="Z598" s="64"/>
    </row>
    <row r="599" spans="1:26" s="14" customForma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T599" s="74"/>
      <c r="Y599" s="64"/>
      <c r="Z599" s="64"/>
    </row>
    <row r="600" spans="1:26" s="14" customForma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T600" s="74"/>
      <c r="Y600" s="64"/>
      <c r="Z600" s="64"/>
    </row>
    <row r="601" spans="1:26" s="14" customForma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T601" s="74"/>
      <c r="Y601" s="64"/>
      <c r="Z601" s="64"/>
    </row>
    <row r="602" spans="1:26" s="14" customForma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T602" s="74"/>
      <c r="Y602" s="64"/>
      <c r="Z602" s="64"/>
    </row>
    <row r="603" spans="1:26" s="14" customForma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T603" s="74"/>
      <c r="Y603" s="64"/>
      <c r="Z603" s="64"/>
    </row>
    <row r="604" spans="1:26" s="14" customForma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T604" s="74"/>
      <c r="Y604" s="64"/>
      <c r="Z604" s="64"/>
    </row>
    <row r="605" spans="1:26" s="14" customForma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T605" s="74"/>
      <c r="Y605" s="64"/>
      <c r="Z605" s="64"/>
    </row>
    <row r="606" spans="1:26" s="14" customForma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T606" s="74"/>
      <c r="Y606" s="64"/>
      <c r="Z606" s="64"/>
    </row>
    <row r="607" spans="1:26" s="14" customForma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T607" s="74"/>
      <c r="Y607" s="64"/>
      <c r="Z607" s="64"/>
    </row>
    <row r="608" spans="1:26" s="14" customForma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T608" s="74"/>
      <c r="Y608" s="64"/>
      <c r="Z608" s="64"/>
    </row>
    <row r="609" spans="1:26" s="14" customForma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T609" s="74"/>
      <c r="Y609" s="64"/>
      <c r="Z609" s="64"/>
    </row>
    <row r="610" spans="1:26" s="14" customForma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T610" s="74"/>
      <c r="Y610" s="64"/>
      <c r="Z610" s="64"/>
    </row>
    <row r="611" spans="1:26" s="14" customForma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T611" s="74"/>
      <c r="Y611" s="64"/>
      <c r="Z611" s="64"/>
    </row>
    <row r="612" spans="1:26" s="14" customForma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T612" s="74"/>
      <c r="Y612" s="64"/>
      <c r="Z612" s="64"/>
    </row>
    <row r="613" spans="1:26" s="14" customForma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T613" s="74"/>
      <c r="Y613" s="64"/>
      <c r="Z613" s="64"/>
    </row>
    <row r="614" spans="1:26" s="14" customForma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T614" s="74"/>
      <c r="Y614" s="64"/>
      <c r="Z614" s="64"/>
    </row>
    <row r="615" spans="1:26" s="14" customForma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T615" s="74"/>
      <c r="Y615" s="64"/>
      <c r="Z615" s="64"/>
    </row>
    <row r="616" spans="1:26" s="14" customForma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T616" s="74"/>
      <c r="Y616" s="64"/>
      <c r="Z616" s="64"/>
    </row>
    <row r="617" spans="1:26" s="14" customForma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T617" s="74"/>
      <c r="Y617" s="64"/>
      <c r="Z617" s="64"/>
    </row>
    <row r="618" spans="1:26" s="14" customForma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T618" s="74"/>
      <c r="Y618" s="64"/>
      <c r="Z618" s="64"/>
    </row>
    <row r="619" spans="1:26" s="14" customForma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T619" s="74"/>
      <c r="Y619" s="64"/>
      <c r="Z619" s="64"/>
    </row>
    <row r="620" spans="1:26" s="14" customForma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T620" s="74"/>
      <c r="Y620" s="64"/>
      <c r="Z620" s="64"/>
    </row>
    <row r="621" spans="1:26" s="14" customForma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T621" s="74"/>
      <c r="Y621" s="64"/>
      <c r="Z621" s="64"/>
    </row>
    <row r="622" spans="1:26" s="14" customForma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T622" s="74"/>
      <c r="Y622" s="64"/>
      <c r="Z622" s="64"/>
    </row>
    <row r="623" spans="1:26" s="14" customForma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T623" s="74"/>
      <c r="Y623" s="64"/>
      <c r="Z623" s="64"/>
    </row>
    <row r="624" spans="1:26" s="14" customForma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T624" s="74"/>
      <c r="Y624" s="64"/>
      <c r="Z624" s="64"/>
    </row>
    <row r="625" spans="1:26" s="14" customForma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T625" s="74"/>
      <c r="Y625" s="64"/>
      <c r="Z625" s="64"/>
    </row>
    <row r="626" spans="1:26" s="14" customForma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T626" s="74"/>
      <c r="Y626" s="64"/>
      <c r="Z626" s="64"/>
    </row>
    <row r="627" spans="1:26" s="14" customForma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T627" s="74"/>
      <c r="Y627" s="64"/>
      <c r="Z627" s="64"/>
    </row>
    <row r="628" spans="1:26" s="14" customForma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T628" s="74"/>
      <c r="Y628" s="64"/>
      <c r="Z628" s="64"/>
    </row>
    <row r="629" spans="1:26" s="14" customForma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T629" s="74"/>
      <c r="Y629" s="64"/>
      <c r="Z629" s="64"/>
    </row>
    <row r="630" spans="1:26" s="14" customForma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T630" s="74"/>
      <c r="Y630" s="64"/>
      <c r="Z630" s="64"/>
    </row>
    <row r="631" spans="1:26" s="14" customForma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T631" s="74"/>
      <c r="Y631" s="64"/>
      <c r="Z631" s="64"/>
    </row>
    <row r="632" spans="1:26" s="14" customForma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T632" s="74"/>
      <c r="Y632" s="64"/>
      <c r="Z632" s="64"/>
    </row>
    <row r="633" spans="1:26" s="14" customForma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T633" s="74"/>
      <c r="Y633" s="64"/>
      <c r="Z633" s="64"/>
    </row>
    <row r="634" spans="1:26" s="14" customForma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T634" s="74"/>
      <c r="Y634" s="64"/>
      <c r="Z634" s="64"/>
    </row>
    <row r="635" spans="1:26" s="14" customForma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T635" s="74"/>
      <c r="Y635" s="64"/>
      <c r="Z635" s="64"/>
    </row>
    <row r="636" spans="1:26" s="14" customForma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T636" s="74"/>
      <c r="Y636" s="64"/>
      <c r="Z636" s="64"/>
    </row>
    <row r="637" spans="1:26" s="14" customForma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T637" s="74"/>
      <c r="Y637" s="64"/>
      <c r="Z637" s="64"/>
    </row>
    <row r="638" spans="1:26" s="14" customForma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T638" s="74"/>
      <c r="Y638" s="64"/>
      <c r="Z638" s="64"/>
    </row>
    <row r="639" spans="1:26" s="14" customForma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T639" s="74"/>
      <c r="Y639" s="64"/>
      <c r="Z639" s="64"/>
    </row>
    <row r="640" spans="1:26" s="14" customForma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T640" s="74"/>
      <c r="Y640" s="64"/>
      <c r="Z640" s="64"/>
    </row>
    <row r="641" spans="1:26" s="14" customForma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T641" s="74"/>
      <c r="Y641" s="64"/>
      <c r="Z641" s="64"/>
    </row>
    <row r="642" spans="1:26" s="14" customForma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T642" s="74"/>
      <c r="Y642" s="64"/>
      <c r="Z642" s="64"/>
    </row>
    <row r="643" spans="1:26" s="14" customForma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T643" s="74"/>
      <c r="Y643" s="64"/>
      <c r="Z643" s="64"/>
    </row>
    <row r="644" spans="1:26" s="14" customForma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T644" s="74"/>
      <c r="Y644" s="64"/>
      <c r="Z644" s="64"/>
    </row>
    <row r="645" spans="1:26" s="14" customForma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T645" s="74"/>
      <c r="Y645" s="64"/>
      <c r="Z645" s="64"/>
    </row>
    <row r="646" spans="1:26" s="14" customForma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T646" s="74"/>
      <c r="Y646" s="64"/>
      <c r="Z646" s="64"/>
    </row>
    <row r="647" spans="1:26" s="14" customForma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T647" s="74"/>
      <c r="Y647" s="64"/>
      <c r="Z647" s="64"/>
    </row>
    <row r="648" spans="1:26" s="14" customForma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T648" s="74"/>
      <c r="Y648" s="64"/>
      <c r="Z648" s="64"/>
    </row>
    <row r="649" spans="1:26" s="14" customForma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T649" s="74"/>
      <c r="Y649" s="64"/>
      <c r="Z649" s="64"/>
    </row>
    <row r="650" spans="1:26" s="14" customForma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T650" s="74"/>
      <c r="Y650" s="64"/>
      <c r="Z650" s="64"/>
    </row>
    <row r="651" spans="1:26" s="14" customForma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T651" s="74"/>
      <c r="Y651" s="64"/>
      <c r="Z651" s="64"/>
    </row>
    <row r="652" spans="1:26" s="14" customForma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T652" s="74"/>
      <c r="Y652" s="64"/>
      <c r="Z652" s="64"/>
    </row>
    <row r="653" spans="1:26" s="14" customForma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T653" s="74"/>
      <c r="Y653" s="64"/>
      <c r="Z653" s="64"/>
    </row>
    <row r="654" spans="1:26" s="14" customForma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T654" s="74"/>
      <c r="Y654" s="64"/>
      <c r="Z654" s="64"/>
    </row>
    <row r="655" spans="1:26" s="14" customForma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T655" s="74"/>
      <c r="Y655" s="64"/>
      <c r="Z655" s="64"/>
    </row>
    <row r="656" spans="1:26" s="14" customForma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T656" s="74"/>
      <c r="Y656" s="64"/>
      <c r="Z656" s="64"/>
    </row>
    <row r="657" spans="1:26" s="14" customForma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T657" s="74"/>
      <c r="Y657" s="64"/>
      <c r="Z657" s="64"/>
    </row>
    <row r="658" spans="1:26" s="14" customForma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T658" s="74"/>
      <c r="Y658" s="64"/>
      <c r="Z658" s="64"/>
    </row>
    <row r="659" spans="1:26" s="14" customForma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T659" s="74"/>
      <c r="Y659" s="64"/>
      <c r="Z659" s="64"/>
    </row>
    <row r="660" spans="1:26" s="14" customForma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T660" s="74"/>
      <c r="Y660" s="64"/>
      <c r="Z660" s="64"/>
    </row>
    <row r="661" spans="1:26" s="14" customForma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T661" s="74"/>
      <c r="Y661" s="64"/>
      <c r="Z661" s="64"/>
    </row>
    <row r="662" spans="1:26" s="14" customForma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T662" s="74"/>
      <c r="Y662" s="64"/>
      <c r="Z662" s="64"/>
    </row>
    <row r="663" spans="1:26" s="14" customForma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T663" s="74"/>
      <c r="Y663" s="64"/>
      <c r="Z663" s="64"/>
    </row>
    <row r="664" spans="1:26" s="14" customForma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T664" s="74"/>
      <c r="Y664" s="64"/>
      <c r="Z664" s="64"/>
    </row>
    <row r="665" spans="1:26" s="14" customForma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T665" s="74"/>
      <c r="Y665" s="64"/>
      <c r="Z665" s="64"/>
    </row>
    <row r="666" spans="1:26" s="14" customForma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T666" s="74"/>
      <c r="Y666" s="64"/>
      <c r="Z666" s="64"/>
    </row>
    <row r="667" spans="1:26" s="14" customForma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T667" s="74"/>
      <c r="Y667" s="64"/>
      <c r="Z667" s="64"/>
    </row>
    <row r="668" spans="1:26" s="14" customForma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T668" s="74"/>
      <c r="Y668" s="64"/>
      <c r="Z668" s="64"/>
    </row>
    <row r="669" spans="1:26" s="14" customForma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T669" s="74"/>
      <c r="Y669" s="64"/>
      <c r="Z669" s="64"/>
    </row>
    <row r="670" spans="1:26" s="14" customForma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T670" s="74"/>
      <c r="Y670" s="64"/>
      <c r="Z670" s="64"/>
    </row>
    <row r="671" spans="1:26" s="14" customForma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T671" s="74"/>
      <c r="Y671" s="64"/>
      <c r="Z671" s="64"/>
    </row>
    <row r="672" spans="1:26" s="14" customForma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T672" s="74"/>
      <c r="Y672" s="64"/>
      <c r="Z672" s="64"/>
    </row>
    <row r="673" spans="1:26" s="14" customForma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T673" s="74"/>
      <c r="Y673" s="64"/>
      <c r="Z673" s="64"/>
    </row>
    <row r="674" spans="1:26" s="14" customForma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T674" s="74"/>
      <c r="Y674" s="64"/>
      <c r="Z674" s="64"/>
    </row>
    <row r="675" spans="1:26" s="14" customForma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T675" s="74"/>
      <c r="Y675" s="64"/>
      <c r="Z675" s="64"/>
    </row>
    <row r="676" spans="1:26" s="14" customForma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T676" s="74"/>
      <c r="Y676" s="64"/>
      <c r="Z676" s="64"/>
    </row>
    <row r="677" spans="1:26" s="14" customForma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T677" s="74"/>
      <c r="Y677" s="64"/>
      <c r="Z677" s="64"/>
    </row>
    <row r="678" spans="1:26" s="14" customForma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T678" s="74"/>
      <c r="Y678" s="64"/>
      <c r="Z678" s="64"/>
    </row>
    <row r="679" spans="1:26" s="14" customForma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T679" s="74"/>
      <c r="Y679" s="64"/>
      <c r="Z679" s="64"/>
    </row>
    <row r="680" spans="1:26" s="14" customForma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T680" s="74"/>
      <c r="Y680" s="64"/>
      <c r="Z680" s="64"/>
    </row>
    <row r="681" spans="1:26" s="14" customForma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T681" s="74"/>
      <c r="Y681" s="64"/>
      <c r="Z681" s="64"/>
    </row>
    <row r="682" spans="1:26" s="14" customForma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T682" s="74"/>
      <c r="Y682" s="64"/>
      <c r="Z682" s="64"/>
    </row>
    <row r="683" spans="1:26" s="14" customForma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T683" s="74"/>
      <c r="Y683" s="64"/>
      <c r="Z683" s="64"/>
    </row>
    <row r="684" spans="1:26" s="14" customForma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T684" s="74"/>
      <c r="Y684" s="64"/>
      <c r="Z684" s="64"/>
    </row>
    <row r="685" spans="1:26" s="14" customForma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T685" s="74"/>
      <c r="Y685" s="64"/>
      <c r="Z685" s="64"/>
    </row>
    <row r="686" spans="1:26" s="14" customForma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T686" s="74"/>
      <c r="Y686" s="64"/>
      <c r="Z686" s="64"/>
    </row>
    <row r="687" spans="1:26" s="14" customForma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T687" s="74"/>
      <c r="Y687" s="64"/>
      <c r="Z687" s="64"/>
    </row>
    <row r="688" spans="1:26" s="14" customForma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T688" s="74"/>
      <c r="Y688" s="64"/>
      <c r="Z688" s="64"/>
    </row>
    <row r="689" spans="1:26" s="14" customForma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T689" s="74"/>
      <c r="Y689" s="64"/>
      <c r="Z689" s="64"/>
    </row>
    <row r="690" spans="1:26" s="14" customForma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T690" s="74"/>
      <c r="Y690" s="64"/>
      <c r="Z690" s="64"/>
    </row>
    <row r="691" spans="1:26" s="14" customForma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T691" s="74"/>
      <c r="Y691" s="64"/>
      <c r="Z691" s="64"/>
    </row>
    <row r="692" spans="1:26" s="14" customForma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T692" s="74"/>
      <c r="Y692" s="64"/>
      <c r="Z692" s="64"/>
    </row>
    <row r="693" spans="1:26" s="14" customForma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T693" s="74"/>
      <c r="Y693" s="64"/>
      <c r="Z693" s="64"/>
    </row>
    <row r="694" spans="1:26" s="14" customForma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T694" s="74"/>
      <c r="Y694" s="64"/>
      <c r="Z694" s="64"/>
    </row>
    <row r="695" spans="1:26" s="14" customForma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T695" s="74"/>
      <c r="Y695" s="64"/>
      <c r="Z695" s="64"/>
    </row>
    <row r="696" spans="1:26" s="14" customForma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T696" s="74"/>
      <c r="Y696" s="64"/>
      <c r="Z696" s="64"/>
    </row>
    <row r="697" spans="1:26" s="14" customForma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T697" s="74"/>
      <c r="Y697" s="64"/>
      <c r="Z697" s="64"/>
    </row>
    <row r="698" spans="1:26" s="14" customForma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T698" s="74"/>
      <c r="Y698" s="64"/>
      <c r="Z698" s="64"/>
    </row>
    <row r="699" spans="1:26" s="14" customForma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T699" s="74"/>
      <c r="Y699" s="64"/>
      <c r="Z699" s="64"/>
    </row>
    <row r="700" spans="1:26" s="14" customForma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T700" s="74"/>
      <c r="Y700" s="64"/>
      <c r="Z700" s="64"/>
    </row>
    <row r="701" spans="1:26" s="14" customForma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T701" s="74"/>
      <c r="Y701" s="64"/>
      <c r="Z701" s="64"/>
    </row>
  </sheetData>
  <mergeCells count="6">
    <mergeCell ref="G24:N24"/>
    <mergeCell ref="C3:N3"/>
    <mergeCell ref="D4:I4"/>
    <mergeCell ref="D6:E6"/>
    <mergeCell ref="G8:N8"/>
    <mergeCell ref="G21:K21"/>
  </mergeCells>
  <pageMargins left="0.2" right="0.7" top="0.38" bottom="0.75" header="0.3" footer="0.3"/>
  <pageSetup paperSize="9" scale="5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AQ679"/>
  <sheetViews>
    <sheetView showGridLines="0" view="pageBreakPreview" zoomScale="60" zoomScaleNormal="80" workbookViewId="0"/>
  </sheetViews>
  <sheetFormatPr defaultRowHeight="15"/>
  <cols>
    <col min="1" max="1" width="2.85546875" style="12" customWidth="1"/>
    <col min="2" max="2" width="3.85546875" style="12" customWidth="1"/>
    <col min="3" max="3" width="56.7109375" style="12" bestFit="1" customWidth="1"/>
    <col min="4" max="4" width="30" style="12" customWidth="1"/>
    <col min="5" max="5" width="16.7109375" style="12" customWidth="1"/>
    <col min="6" max="6" width="9.140625" style="12"/>
    <col min="7" max="14" width="12" style="12" customWidth="1"/>
    <col min="15" max="17" width="9.140625" style="12"/>
    <col min="18" max="18" width="9.140625" style="14"/>
    <col min="19" max="19" width="9.85546875" style="14" customWidth="1"/>
    <col min="20" max="20" width="13.140625" style="14" bestFit="1" customWidth="1"/>
    <col min="21" max="21" width="9.28515625" style="14" bestFit="1" customWidth="1"/>
    <col min="22" max="24" width="9.140625" style="14"/>
    <col min="25" max="26" width="9.140625" style="64"/>
    <col min="27" max="43" width="9.140625" style="14"/>
    <col min="44" max="16384" width="9.140625" style="12"/>
  </cols>
  <sheetData>
    <row r="1" spans="2:20" ht="15.75" thickBot="1"/>
    <row r="2" spans="2:20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29"/>
    </row>
    <row r="3" spans="2:20" ht="20.25" customHeight="1">
      <c r="B3" s="18"/>
      <c r="C3" s="159" t="s">
        <v>154</v>
      </c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60"/>
    </row>
    <row r="4" spans="2:20" ht="20.25" customHeight="1">
      <c r="B4" s="18"/>
      <c r="C4" s="138"/>
      <c r="D4" s="163" t="s">
        <v>161</v>
      </c>
      <c r="E4" s="163"/>
      <c r="F4" s="163"/>
      <c r="G4" s="163"/>
      <c r="H4" s="163"/>
      <c r="I4" s="163"/>
      <c r="J4" s="139"/>
      <c r="K4" s="139"/>
      <c r="L4" s="139"/>
      <c r="M4" s="139"/>
      <c r="N4" s="140"/>
    </row>
    <row r="5" spans="2:20" ht="15.75">
      <c r="B5" s="18"/>
      <c r="C5" s="2" t="s">
        <v>201</v>
      </c>
      <c r="D5" s="1"/>
      <c r="E5" s="1"/>
      <c r="F5" s="20"/>
      <c r="G5" s="20"/>
      <c r="H5" s="20"/>
      <c r="I5" s="20"/>
      <c r="J5" s="20"/>
      <c r="K5" s="20"/>
      <c r="L5" s="20"/>
      <c r="M5" s="20"/>
      <c r="N5" s="30"/>
    </row>
    <row r="6" spans="2:20" ht="20.25" customHeight="1">
      <c r="B6" s="18"/>
      <c r="C6" s="3" t="s">
        <v>202</v>
      </c>
      <c r="D6" s="155" t="s">
        <v>219</v>
      </c>
      <c r="E6" s="155"/>
      <c r="F6" s="20"/>
      <c r="G6" s="20"/>
      <c r="H6" s="20"/>
      <c r="I6" s="20"/>
      <c r="J6" s="20"/>
      <c r="K6" s="20"/>
      <c r="L6" s="20"/>
      <c r="M6" s="20"/>
      <c r="N6" s="30"/>
    </row>
    <row r="7" spans="2:20" ht="15.75">
      <c r="B7" s="18"/>
      <c r="C7" s="1"/>
      <c r="D7" s="1"/>
      <c r="E7" s="1"/>
      <c r="F7" s="20"/>
      <c r="G7" s="20"/>
      <c r="H7" s="20"/>
      <c r="I7" s="20"/>
      <c r="J7" s="20"/>
      <c r="K7" s="20"/>
      <c r="L7" s="20"/>
      <c r="M7" s="20"/>
      <c r="N7" s="30"/>
    </row>
    <row r="8" spans="2:20" ht="32.25" customHeight="1">
      <c r="B8" s="18"/>
      <c r="C8" s="191" t="s">
        <v>76</v>
      </c>
      <c r="D8" s="224" t="s">
        <v>77</v>
      </c>
      <c r="E8" s="224" t="s">
        <v>78</v>
      </c>
      <c r="F8" s="20"/>
      <c r="G8" s="161" t="s">
        <v>79</v>
      </c>
      <c r="H8" s="161"/>
      <c r="I8" s="161"/>
      <c r="J8" s="161"/>
      <c r="K8" s="161"/>
      <c r="L8" s="161"/>
      <c r="M8" s="161"/>
      <c r="N8" s="162"/>
    </row>
    <row r="9" spans="2:20">
      <c r="B9" s="18"/>
      <c r="C9" s="82" t="s">
        <v>48</v>
      </c>
      <c r="D9" s="238" t="s">
        <v>7</v>
      </c>
      <c r="E9" s="187">
        <v>2.205E-2</v>
      </c>
      <c r="F9" s="23"/>
      <c r="G9" s="23" t="s">
        <v>80</v>
      </c>
      <c r="H9" s="39">
        <v>0.68259999999999998</v>
      </c>
      <c r="I9" s="40">
        <f>H9/SUM($H$9:$H$11)</f>
        <v>0.89934123847167324</v>
      </c>
      <c r="J9" s="23"/>
      <c r="K9" s="39"/>
      <c r="L9" s="23"/>
      <c r="M9" s="43"/>
      <c r="N9" s="41"/>
      <c r="T9" s="74"/>
    </row>
    <row r="10" spans="2:20" ht="15.75" customHeight="1">
      <c r="B10" s="18"/>
      <c r="C10" s="83" t="s">
        <v>45</v>
      </c>
      <c r="D10" s="239" t="s">
        <v>4</v>
      </c>
      <c r="E10" s="88">
        <v>2.1846999999999998E-2</v>
      </c>
      <c r="F10" s="23"/>
      <c r="G10" s="23" t="s">
        <v>103</v>
      </c>
      <c r="H10" s="42">
        <v>0</v>
      </c>
      <c r="I10" s="40">
        <f t="shared" ref="I10:I11" si="0">H10/SUM($H$9:$H$11)</f>
        <v>0</v>
      </c>
      <c r="J10" s="23" t="s">
        <v>72</v>
      </c>
      <c r="K10" s="39">
        <f>E31</f>
        <v>0.39100400000000002</v>
      </c>
      <c r="L10" s="23"/>
      <c r="M10" s="43"/>
      <c r="N10" s="41"/>
      <c r="T10" s="74"/>
    </row>
    <row r="11" spans="2:20">
      <c r="B11" s="18"/>
      <c r="C11" s="83" t="s">
        <v>49</v>
      </c>
      <c r="D11" s="239" t="s">
        <v>4</v>
      </c>
      <c r="E11" s="88">
        <v>1.8232000000000002E-2</v>
      </c>
      <c r="F11" s="39"/>
      <c r="G11" s="23" t="s">
        <v>81</v>
      </c>
      <c r="H11" s="42">
        <v>7.6399999999999996E-2</v>
      </c>
      <c r="I11" s="40">
        <f t="shared" si="0"/>
        <v>0.10065876152832674</v>
      </c>
      <c r="J11" s="23" t="s">
        <v>82</v>
      </c>
      <c r="K11" s="39">
        <f>E25+E27</f>
        <v>0.24355700000000002</v>
      </c>
      <c r="L11" s="23"/>
      <c r="M11" s="43"/>
      <c r="N11" s="41"/>
      <c r="T11" s="74"/>
    </row>
    <row r="12" spans="2:20">
      <c r="B12" s="18"/>
      <c r="C12" s="83" t="s">
        <v>44</v>
      </c>
      <c r="D12" s="239" t="s">
        <v>12</v>
      </c>
      <c r="E12" s="88">
        <v>1.5486E-2</v>
      </c>
      <c r="F12" s="23"/>
      <c r="G12" s="23"/>
      <c r="H12" s="23"/>
      <c r="I12" s="23"/>
      <c r="J12" s="23" t="s">
        <v>73</v>
      </c>
      <c r="K12" s="39">
        <f>E29</f>
        <v>0.24446699999999999</v>
      </c>
      <c r="L12" s="23"/>
      <c r="M12" s="43"/>
      <c r="N12" s="41"/>
      <c r="T12" s="74"/>
    </row>
    <row r="13" spans="2:20" ht="15.75" customHeight="1">
      <c r="B13" s="18"/>
      <c r="C13" s="83" t="s">
        <v>47</v>
      </c>
      <c r="D13" s="239" t="s">
        <v>8</v>
      </c>
      <c r="E13" s="88">
        <v>1.5119E-2</v>
      </c>
      <c r="F13" s="39"/>
      <c r="G13" s="43"/>
      <c r="H13" s="131"/>
      <c r="I13" s="43"/>
      <c r="J13" s="23" t="s">
        <v>29</v>
      </c>
      <c r="K13" s="39">
        <f>E33</f>
        <v>0.121</v>
      </c>
      <c r="L13" s="23"/>
      <c r="M13" s="43"/>
      <c r="N13" s="41"/>
      <c r="T13" s="74"/>
    </row>
    <row r="14" spans="2:20">
      <c r="B14" s="18"/>
      <c r="C14" s="83" t="s">
        <v>50</v>
      </c>
      <c r="D14" s="239" t="s">
        <v>12</v>
      </c>
      <c r="E14" s="88">
        <v>1.3318999999999999E-2</v>
      </c>
      <c r="F14" s="39"/>
      <c r="G14" s="43"/>
      <c r="H14" s="43"/>
      <c r="I14" s="43"/>
      <c r="J14" s="14"/>
      <c r="K14" s="22"/>
      <c r="L14" s="23"/>
      <c r="M14" s="43"/>
      <c r="N14" s="41"/>
      <c r="T14" s="74"/>
    </row>
    <row r="15" spans="2:20">
      <c r="B15" s="18"/>
      <c r="C15" s="83" t="s">
        <v>54</v>
      </c>
      <c r="D15" s="239" t="s">
        <v>8</v>
      </c>
      <c r="E15" s="88">
        <v>1.0673E-2</v>
      </c>
      <c r="F15" s="39"/>
      <c r="G15" s="43"/>
      <c r="H15" s="43"/>
      <c r="I15" s="23"/>
      <c r="J15" s="23"/>
      <c r="K15" s="39"/>
      <c r="L15" s="23"/>
      <c r="M15" s="43"/>
      <c r="N15" s="41"/>
      <c r="T15" s="74"/>
    </row>
    <row r="16" spans="2:20">
      <c r="B16" s="18"/>
      <c r="C16" s="83" t="s">
        <v>52</v>
      </c>
      <c r="D16" s="239" t="s">
        <v>4</v>
      </c>
      <c r="E16" s="88">
        <v>9.1990000000000006E-3</v>
      </c>
      <c r="F16" s="23"/>
      <c r="G16" s="23"/>
      <c r="H16" s="23"/>
      <c r="I16" s="23"/>
      <c r="J16" s="23"/>
      <c r="K16" s="23"/>
      <c r="L16" s="23"/>
      <c r="M16" s="43"/>
      <c r="N16" s="41"/>
      <c r="T16" s="74"/>
    </row>
    <row r="17" spans="2:20">
      <c r="B17" s="18"/>
      <c r="C17" s="83" t="s">
        <v>20</v>
      </c>
      <c r="D17" s="239" t="s">
        <v>4</v>
      </c>
      <c r="E17" s="88">
        <v>8.3540000000000003E-3</v>
      </c>
      <c r="F17" s="43"/>
      <c r="G17" s="43"/>
      <c r="H17" s="43"/>
      <c r="I17" s="43"/>
      <c r="J17" s="43"/>
      <c r="K17" s="43"/>
      <c r="L17" s="43"/>
      <c r="M17" s="43"/>
      <c r="N17" s="41"/>
      <c r="T17" s="74"/>
    </row>
    <row r="18" spans="2:20">
      <c r="B18" s="18"/>
      <c r="C18" s="83" t="s">
        <v>53</v>
      </c>
      <c r="D18" s="239" t="s">
        <v>4</v>
      </c>
      <c r="E18" s="88">
        <v>7.4830000000000001E-3</v>
      </c>
      <c r="F18" s="43"/>
      <c r="G18" s="43"/>
      <c r="H18" s="43"/>
      <c r="I18" s="43"/>
      <c r="J18" s="43"/>
      <c r="K18" s="43"/>
      <c r="L18" s="43"/>
      <c r="M18" s="44"/>
      <c r="N18" s="30"/>
      <c r="T18" s="74"/>
    </row>
    <row r="19" spans="2:20">
      <c r="B19" s="18"/>
      <c r="C19" s="83" t="s">
        <v>55</v>
      </c>
      <c r="D19" s="239" t="s">
        <v>18</v>
      </c>
      <c r="E19" s="88">
        <v>6.8320000000000004E-3</v>
      </c>
      <c r="F19" s="20"/>
      <c r="G19" s="44"/>
      <c r="H19" s="44"/>
      <c r="I19" s="44"/>
      <c r="J19" s="44"/>
      <c r="K19" s="44"/>
      <c r="L19" s="44"/>
      <c r="M19" s="44"/>
      <c r="N19" s="30"/>
      <c r="T19" s="74"/>
    </row>
    <row r="20" spans="2:20">
      <c r="B20" s="18"/>
      <c r="C20" s="83" t="s">
        <v>192</v>
      </c>
      <c r="D20" s="239" t="s">
        <v>8</v>
      </c>
      <c r="E20" s="88">
        <v>6.2519999999999997E-3</v>
      </c>
      <c r="F20" s="20"/>
      <c r="G20" s="20"/>
      <c r="H20" s="20"/>
      <c r="I20" s="20"/>
      <c r="J20" s="20"/>
      <c r="K20" s="20"/>
      <c r="L20" s="20"/>
      <c r="M20" s="20"/>
      <c r="N20" s="30"/>
      <c r="T20" s="74"/>
    </row>
    <row r="21" spans="2:20" ht="15.75" customHeight="1">
      <c r="B21" s="18"/>
      <c r="C21" s="83" t="s">
        <v>193</v>
      </c>
      <c r="D21" s="239" t="s">
        <v>8</v>
      </c>
      <c r="E21" s="88">
        <v>5.7549999999999997E-3</v>
      </c>
      <c r="F21" s="20"/>
      <c r="G21" s="161" t="s">
        <v>84</v>
      </c>
      <c r="H21" s="161"/>
      <c r="I21" s="161"/>
      <c r="J21" s="161"/>
      <c r="K21" s="161"/>
      <c r="L21" s="103"/>
      <c r="M21" s="120">
        <v>4.1900000000000004</v>
      </c>
      <c r="N21" s="45"/>
      <c r="Q21"/>
      <c r="T21" s="74"/>
    </row>
    <row r="22" spans="2:20" ht="15.75">
      <c r="B22" s="18"/>
      <c r="C22" s="83" t="s">
        <v>199</v>
      </c>
      <c r="D22" s="239" t="s">
        <v>23</v>
      </c>
      <c r="E22" s="88">
        <v>5.0210000000000003E-3</v>
      </c>
      <c r="F22" s="20"/>
      <c r="G22" s="27" t="s">
        <v>85</v>
      </c>
      <c r="H22" s="27" t="s">
        <v>86</v>
      </c>
      <c r="I22" s="27" t="s">
        <v>87</v>
      </c>
      <c r="J22" s="27"/>
      <c r="K22" s="27" t="s">
        <v>88</v>
      </c>
      <c r="L22" s="20"/>
      <c r="M22" s="20"/>
      <c r="N22" s="19"/>
      <c r="O22" s="13"/>
      <c r="P22" s="13"/>
      <c r="Q22"/>
      <c r="T22" s="74"/>
    </row>
    <row r="23" spans="2:20" ht="15.75">
      <c r="B23" s="18"/>
      <c r="C23" s="83" t="s">
        <v>218</v>
      </c>
      <c r="D23" s="239" t="s">
        <v>33</v>
      </c>
      <c r="E23" s="88">
        <v>4.7349999999999996E-3</v>
      </c>
      <c r="F23" s="20"/>
      <c r="G23" s="46">
        <v>0.26190000000000002</v>
      </c>
      <c r="H23" s="46">
        <v>2.0999999999999999E-3</v>
      </c>
      <c r="I23" s="46">
        <v>2.0000000000000001E-4</v>
      </c>
      <c r="J23" s="27"/>
      <c r="K23" s="46">
        <v>0.73550000000000004</v>
      </c>
      <c r="L23" s="20"/>
      <c r="M23" s="20"/>
      <c r="N23" s="19"/>
      <c r="O23" s="13"/>
      <c r="P23" s="13"/>
      <c r="Q23"/>
      <c r="T23" s="74"/>
    </row>
    <row r="24" spans="2:20" ht="15.75" customHeight="1">
      <c r="B24" s="18"/>
      <c r="C24" s="89"/>
      <c r="D24" s="90"/>
      <c r="E24" s="91"/>
      <c r="F24" s="20"/>
      <c r="G24" s="161" t="s">
        <v>89</v>
      </c>
      <c r="H24" s="161"/>
      <c r="I24" s="161"/>
      <c r="J24" s="161"/>
      <c r="K24" s="161"/>
      <c r="L24" s="161"/>
      <c r="M24" s="161"/>
      <c r="N24" s="162"/>
      <c r="O24" s="13"/>
      <c r="P24" s="13"/>
      <c r="Q24"/>
      <c r="T24" s="74"/>
    </row>
    <row r="25" spans="2:20" ht="15.75">
      <c r="B25" s="18"/>
      <c r="C25" s="192" t="s">
        <v>100</v>
      </c>
      <c r="D25" s="240"/>
      <c r="E25" s="241">
        <f>SUM(E9:E23)</f>
        <v>0.17035700000000001</v>
      </c>
      <c r="F25" s="20"/>
      <c r="G25" s="20"/>
      <c r="H25" s="20"/>
      <c r="I25" s="20"/>
      <c r="J25" s="20"/>
      <c r="K25" s="20"/>
      <c r="L25" s="20"/>
      <c r="M25" s="20"/>
      <c r="N25" s="19"/>
      <c r="O25" s="13"/>
      <c r="P25" s="13"/>
      <c r="Q25"/>
      <c r="T25" s="74"/>
    </row>
    <row r="26" spans="2:20" ht="15.75">
      <c r="B26" s="18"/>
      <c r="C26" s="31"/>
      <c r="D26" s="32"/>
      <c r="E26" s="38"/>
      <c r="F26" s="20"/>
      <c r="G26" s="20"/>
      <c r="H26" s="20"/>
      <c r="I26" s="20"/>
      <c r="J26" s="20"/>
      <c r="K26" s="20"/>
      <c r="L26" s="20"/>
      <c r="M26" s="20"/>
      <c r="N26" s="19"/>
      <c r="O26" s="13"/>
      <c r="P26" s="13"/>
      <c r="Q26"/>
      <c r="T26" s="74"/>
    </row>
    <row r="27" spans="2:20" ht="15.75">
      <c r="B27" s="18"/>
      <c r="C27" s="192" t="s">
        <v>40</v>
      </c>
      <c r="D27" s="240"/>
      <c r="E27" s="241">
        <v>7.3200000000000001E-2</v>
      </c>
      <c r="F27" s="20"/>
      <c r="G27" s="20"/>
      <c r="H27" s="20"/>
      <c r="I27" s="20"/>
      <c r="J27" s="20"/>
      <c r="K27" s="20"/>
      <c r="L27" s="20"/>
      <c r="M27" s="20"/>
      <c r="N27" s="19"/>
      <c r="O27" s="13"/>
      <c r="P27" s="13"/>
      <c r="Q27"/>
      <c r="T27" s="74"/>
    </row>
    <row r="28" spans="2:20" ht="15.75">
      <c r="B28" s="18"/>
      <c r="C28" s="31"/>
      <c r="D28" s="32"/>
      <c r="E28" s="38"/>
      <c r="F28" s="20"/>
      <c r="G28" s="20"/>
      <c r="H28" s="20"/>
      <c r="I28" s="20"/>
      <c r="J28" s="20"/>
      <c r="K28" s="20"/>
      <c r="L28" s="20"/>
      <c r="M28" s="20"/>
      <c r="N28" s="19"/>
      <c r="O28" s="13"/>
      <c r="P28" s="13"/>
      <c r="Q28"/>
      <c r="T28" s="74"/>
    </row>
    <row r="29" spans="2:20" ht="15.75">
      <c r="B29" s="18"/>
      <c r="C29" s="192" t="s">
        <v>73</v>
      </c>
      <c r="D29" s="240"/>
      <c r="E29" s="241">
        <v>0.24446699999999999</v>
      </c>
      <c r="F29" s="20"/>
      <c r="G29" s="20"/>
      <c r="H29" s="20"/>
      <c r="I29" s="20"/>
      <c r="J29" s="20"/>
      <c r="K29" s="20"/>
      <c r="L29" s="20"/>
      <c r="M29" s="20"/>
      <c r="N29" s="19"/>
      <c r="O29" s="13"/>
      <c r="P29" s="13"/>
      <c r="Q29"/>
      <c r="T29" s="74"/>
    </row>
    <row r="30" spans="2:20" ht="15.75">
      <c r="B30" s="18"/>
      <c r="C30" s="31"/>
      <c r="D30" s="32"/>
      <c r="E30" s="38"/>
      <c r="F30" s="20"/>
      <c r="G30" s="20"/>
      <c r="H30" s="20"/>
      <c r="I30" s="20"/>
      <c r="J30" s="20"/>
      <c r="K30" s="20"/>
      <c r="L30" s="20"/>
      <c r="M30" s="20"/>
      <c r="N30" s="19"/>
      <c r="O30" s="13"/>
      <c r="P30" s="13"/>
      <c r="Q30"/>
      <c r="T30" s="74"/>
    </row>
    <row r="31" spans="2:20" ht="15.75">
      <c r="B31" s="18"/>
      <c r="C31" s="192" t="s">
        <v>83</v>
      </c>
      <c r="D31" s="240"/>
      <c r="E31" s="241">
        <v>0.39100400000000002</v>
      </c>
      <c r="F31" s="20"/>
      <c r="G31" s="20"/>
      <c r="H31" s="20"/>
      <c r="I31" s="20"/>
      <c r="J31" s="20"/>
      <c r="K31" s="20"/>
      <c r="L31" s="20"/>
      <c r="M31" s="20"/>
      <c r="N31" s="19"/>
      <c r="O31" s="13"/>
      <c r="P31" s="13"/>
      <c r="Q31"/>
      <c r="T31" s="74"/>
    </row>
    <row r="32" spans="2:20" ht="15.75">
      <c r="B32" s="18"/>
      <c r="C32" s="31"/>
      <c r="D32" s="32"/>
      <c r="E32" s="38"/>
      <c r="F32" s="20"/>
      <c r="G32" s="20"/>
      <c r="H32" s="20"/>
      <c r="I32" s="20"/>
      <c r="J32" s="20"/>
      <c r="K32" s="20"/>
      <c r="L32" s="20"/>
      <c r="M32" s="20"/>
      <c r="N32" s="19"/>
      <c r="O32" s="13"/>
      <c r="P32" s="13"/>
      <c r="Q32"/>
      <c r="T32" s="74"/>
    </row>
    <row r="33" spans="1:26" ht="15.75">
      <c r="B33" s="18"/>
      <c r="C33" s="192" t="s">
        <v>29</v>
      </c>
      <c r="D33" s="240"/>
      <c r="E33" s="241">
        <v>0.121</v>
      </c>
      <c r="F33" s="20"/>
      <c r="G33" s="20"/>
      <c r="H33" s="20"/>
      <c r="I33" s="20"/>
      <c r="J33" s="20"/>
      <c r="K33" s="20"/>
      <c r="L33" s="20"/>
      <c r="M33" s="20"/>
      <c r="N33" s="19"/>
      <c r="O33" s="13"/>
      <c r="P33" s="13"/>
      <c r="Q33"/>
      <c r="T33" s="74"/>
    </row>
    <row r="34" spans="1:26" ht="15.75">
      <c r="B34" s="18"/>
      <c r="C34" s="31"/>
      <c r="D34" s="32"/>
      <c r="E34" s="33"/>
      <c r="F34" s="20"/>
      <c r="G34" s="20"/>
      <c r="H34" s="20"/>
      <c r="I34" s="20"/>
      <c r="J34" s="20"/>
      <c r="K34" s="20"/>
      <c r="L34" s="20"/>
      <c r="M34" s="20"/>
      <c r="N34" s="19"/>
      <c r="O34" s="13"/>
      <c r="P34" s="13"/>
      <c r="Q34"/>
      <c r="T34" s="74"/>
    </row>
    <row r="35" spans="1:26" ht="15.75">
      <c r="B35" s="18"/>
      <c r="C35" s="195" t="s">
        <v>30</v>
      </c>
      <c r="D35" s="242"/>
      <c r="E35" s="243">
        <f>SUM(E33,E29,E25,E31,E27)</f>
        <v>1.0000279999999999</v>
      </c>
      <c r="F35" s="20"/>
      <c r="G35" s="20"/>
      <c r="H35" s="20"/>
      <c r="I35" s="20"/>
      <c r="J35" s="20"/>
      <c r="K35" s="20"/>
      <c r="L35" s="20"/>
      <c r="M35" s="20"/>
      <c r="N35" s="19"/>
      <c r="O35" s="13"/>
      <c r="P35" s="13"/>
      <c r="Q35"/>
      <c r="T35" s="74"/>
    </row>
    <row r="36" spans="1:26" ht="15.75">
      <c r="B36" s="18"/>
      <c r="F36" s="20"/>
      <c r="G36" s="20"/>
      <c r="H36" s="20"/>
      <c r="I36" s="20"/>
      <c r="J36" s="20"/>
      <c r="K36" s="20"/>
      <c r="L36" s="20"/>
      <c r="M36" s="20"/>
      <c r="N36" s="19"/>
      <c r="O36" s="13"/>
      <c r="P36" s="13"/>
      <c r="Q36"/>
      <c r="T36" s="74"/>
    </row>
    <row r="37" spans="1:26" ht="15.75">
      <c r="B37" s="18"/>
      <c r="F37" s="20"/>
      <c r="G37" s="20"/>
      <c r="H37" s="20"/>
      <c r="I37" s="20"/>
      <c r="J37" s="20"/>
      <c r="K37" s="20"/>
      <c r="L37" s="20"/>
      <c r="M37" s="20"/>
      <c r="N37" s="19"/>
      <c r="O37" s="13"/>
      <c r="P37" s="13"/>
      <c r="Q37"/>
      <c r="T37" s="74"/>
    </row>
    <row r="38" spans="1:26" ht="15.75">
      <c r="B38" s="18"/>
      <c r="F38" s="20"/>
      <c r="G38" s="20"/>
      <c r="H38" s="20"/>
      <c r="I38" s="20"/>
      <c r="J38" s="20"/>
      <c r="K38" s="20"/>
      <c r="L38" s="20"/>
      <c r="M38" s="20"/>
      <c r="N38" s="19"/>
      <c r="O38" s="13"/>
      <c r="P38" s="13"/>
      <c r="Q38"/>
      <c r="T38" s="74"/>
    </row>
    <row r="39" spans="1:26" ht="15.75">
      <c r="B39" s="18"/>
      <c r="F39" s="20"/>
      <c r="G39" s="20"/>
      <c r="H39" s="20"/>
      <c r="I39" s="20"/>
      <c r="J39" s="20"/>
      <c r="K39" s="20"/>
      <c r="L39" s="20"/>
      <c r="M39" s="20"/>
      <c r="N39" s="19"/>
      <c r="O39" s="13"/>
      <c r="P39" s="13"/>
      <c r="Q39"/>
      <c r="T39" s="74"/>
    </row>
    <row r="40" spans="1:26" s="14" customFormat="1">
      <c r="A40" s="20"/>
      <c r="B40" s="18"/>
      <c r="F40" s="20"/>
      <c r="G40" s="20"/>
      <c r="H40" s="20"/>
      <c r="I40" s="20"/>
      <c r="J40" s="20"/>
      <c r="K40" s="20"/>
      <c r="L40" s="20"/>
      <c r="M40" s="20"/>
      <c r="N40" s="19"/>
      <c r="O40" s="27"/>
      <c r="P40" s="27"/>
      <c r="Q40" s="13"/>
      <c r="T40" s="74"/>
      <c r="Y40" s="64"/>
      <c r="Z40" s="64"/>
    </row>
    <row r="41" spans="1:26" s="14" customFormat="1" hidden="1">
      <c r="A41" s="20"/>
      <c r="B41" s="18"/>
      <c r="F41" s="20"/>
      <c r="G41" s="20"/>
      <c r="H41" s="20"/>
      <c r="I41" s="20"/>
      <c r="J41" s="20"/>
      <c r="K41" s="20"/>
      <c r="L41" s="20"/>
      <c r="M41" s="20"/>
      <c r="N41" s="19"/>
      <c r="O41" s="27"/>
      <c r="P41" s="27"/>
      <c r="Q41" s="13"/>
      <c r="T41" s="74"/>
      <c r="Y41" s="64"/>
      <c r="Z41" s="64"/>
    </row>
    <row r="42" spans="1:26" s="14" customFormat="1" hidden="1">
      <c r="A42" s="20"/>
      <c r="B42" s="18"/>
      <c r="F42" s="20"/>
      <c r="G42" s="20"/>
      <c r="H42" s="20"/>
      <c r="I42" s="20"/>
      <c r="J42" s="20"/>
      <c r="K42" s="20"/>
      <c r="L42" s="20"/>
      <c r="M42" s="20"/>
      <c r="N42" s="19"/>
      <c r="O42" s="27"/>
      <c r="P42" s="27"/>
      <c r="Q42" s="13"/>
      <c r="T42" s="74"/>
      <c r="Y42" s="64"/>
      <c r="Z42" s="64"/>
    </row>
    <row r="43" spans="1:26" s="14" customFormat="1" hidden="1">
      <c r="A43" s="20"/>
      <c r="B43" s="18"/>
      <c r="F43" s="20"/>
      <c r="G43" s="20"/>
      <c r="H43" s="20"/>
      <c r="I43" s="20"/>
      <c r="J43" s="20"/>
      <c r="K43" s="20"/>
      <c r="L43" s="20"/>
      <c r="M43" s="20"/>
      <c r="N43" s="19"/>
      <c r="O43" s="27"/>
      <c r="P43" s="27"/>
      <c r="Q43" s="13"/>
      <c r="T43" s="74"/>
      <c r="Y43" s="64"/>
      <c r="Z43" s="64"/>
    </row>
    <row r="44" spans="1:26" s="14" customFormat="1" hidden="1">
      <c r="A44" s="20"/>
      <c r="B44" s="18"/>
      <c r="F44" s="20"/>
      <c r="G44" s="20"/>
      <c r="H44" s="20"/>
      <c r="I44" s="20"/>
      <c r="J44" s="20"/>
      <c r="K44" s="20"/>
      <c r="L44" s="20"/>
      <c r="M44" s="20"/>
      <c r="N44" s="19"/>
      <c r="O44" s="27"/>
      <c r="P44" s="27"/>
      <c r="Q44" s="13"/>
      <c r="T44" s="74"/>
      <c r="Y44" s="64"/>
      <c r="Z44" s="64"/>
    </row>
    <row r="45" spans="1:26" s="14" customFormat="1" hidden="1">
      <c r="A45" s="20"/>
      <c r="B45" s="18"/>
      <c r="F45" s="20"/>
      <c r="G45" s="20"/>
      <c r="H45" s="20"/>
      <c r="I45" s="20"/>
      <c r="J45" s="20"/>
      <c r="K45" s="20"/>
      <c r="L45" s="20"/>
      <c r="M45" s="20"/>
      <c r="N45" s="19"/>
      <c r="O45" s="27"/>
      <c r="P45" s="27"/>
      <c r="Q45" s="13"/>
      <c r="T45" s="74"/>
      <c r="Y45" s="64"/>
      <c r="Z45" s="64"/>
    </row>
    <row r="46" spans="1:26" s="14" customFormat="1" hidden="1">
      <c r="A46" s="20"/>
      <c r="B46" s="18"/>
      <c r="F46" s="20"/>
      <c r="G46" s="20"/>
      <c r="H46" s="20"/>
      <c r="I46" s="20"/>
      <c r="J46" s="20"/>
      <c r="K46" s="20"/>
      <c r="L46" s="20"/>
      <c r="M46" s="20"/>
      <c r="N46" s="19"/>
      <c r="O46" s="27"/>
      <c r="P46" s="27"/>
      <c r="Q46" s="13"/>
      <c r="T46" s="74"/>
      <c r="Y46" s="64"/>
      <c r="Z46" s="64"/>
    </row>
    <row r="47" spans="1:26" s="14" customFormat="1" hidden="1">
      <c r="A47" s="20"/>
      <c r="B47" s="18"/>
      <c r="F47" s="20"/>
      <c r="G47" s="20"/>
      <c r="H47" s="20"/>
      <c r="I47" s="20"/>
      <c r="J47" s="20"/>
      <c r="K47" s="20"/>
      <c r="L47" s="20"/>
      <c r="M47" s="20"/>
      <c r="N47" s="19"/>
      <c r="O47" s="27"/>
      <c r="P47" s="27"/>
      <c r="Q47" s="13"/>
      <c r="T47" s="74"/>
      <c r="Y47" s="64"/>
      <c r="Z47" s="64"/>
    </row>
    <row r="48" spans="1:26" s="14" customFormat="1" hidden="1">
      <c r="A48" s="20"/>
      <c r="B48" s="18"/>
      <c r="F48" s="20"/>
      <c r="G48" s="20"/>
      <c r="H48" s="20"/>
      <c r="I48" s="20"/>
      <c r="J48" s="20"/>
      <c r="K48" s="20"/>
      <c r="L48" s="20"/>
      <c r="M48" s="20"/>
      <c r="N48" s="19"/>
      <c r="O48" s="27"/>
      <c r="P48" s="27"/>
      <c r="Q48" s="13"/>
      <c r="T48" s="74"/>
      <c r="Y48" s="64"/>
      <c r="Z48" s="64"/>
    </row>
    <row r="49" spans="1:26" s="14" customFormat="1" hidden="1">
      <c r="A49" s="20"/>
      <c r="B49" s="18"/>
      <c r="F49" s="20"/>
      <c r="G49" s="20"/>
      <c r="H49" s="20"/>
      <c r="I49" s="20"/>
      <c r="J49" s="20"/>
      <c r="K49" s="20"/>
      <c r="L49" s="20"/>
      <c r="M49" s="20"/>
      <c r="N49" s="19"/>
      <c r="O49" s="27"/>
      <c r="P49" s="27"/>
      <c r="Q49" s="13"/>
      <c r="T49" s="74"/>
      <c r="Y49" s="64"/>
      <c r="Z49" s="64"/>
    </row>
    <row r="50" spans="1:26" s="14" customFormat="1" hidden="1">
      <c r="A50" s="20"/>
      <c r="B50" s="18"/>
      <c r="C50" s="12"/>
      <c r="D50" s="12"/>
      <c r="E50" s="12"/>
      <c r="F50" s="20"/>
      <c r="G50" s="20"/>
      <c r="H50" s="20"/>
      <c r="I50" s="20"/>
      <c r="J50" s="20"/>
      <c r="K50" s="20"/>
      <c r="L50" s="20"/>
      <c r="M50" s="20"/>
      <c r="N50" s="19"/>
      <c r="O50" s="27"/>
      <c r="P50" s="27"/>
      <c r="Q50" s="13"/>
      <c r="T50" s="74"/>
      <c r="Y50" s="64"/>
      <c r="Z50" s="64"/>
    </row>
    <row r="51" spans="1:26" s="14" customFormat="1" hidden="1">
      <c r="A51" s="12"/>
      <c r="B51" s="18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30"/>
      <c r="O51" s="12"/>
      <c r="P51" s="12"/>
      <c r="Q51" s="12"/>
      <c r="T51" s="74"/>
      <c r="Y51" s="64"/>
      <c r="Z51" s="64"/>
    </row>
    <row r="52" spans="1:26" s="14" customFormat="1" hidden="1">
      <c r="A52" s="12"/>
      <c r="B52" s="18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30"/>
      <c r="O52" s="12"/>
      <c r="P52" s="12"/>
      <c r="Q52" s="12"/>
      <c r="T52" s="74"/>
      <c r="Y52" s="64"/>
      <c r="Z52" s="64"/>
    </row>
    <row r="53" spans="1:26" s="14" customFormat="1" hidden="1">
      <c r="A53" s="12"/>
      <c r="B53" s="18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30"/>
      <c r="O53" s="12"/>
      <c r="P53" s="12"/>
      <c r="Q53" s="12"/>
      <c r="T53" s="74"/>
      <c r="Y53" s="64"/>
      <c r="Z53" s="64"/>
    </row>
    <row r="54" spans="1:26" s="14" customFormat="1" hidden="1">
      <c r="A54" s="12"/>
      <c r="B54" s="18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30"/>
      <c r="O54" s="12"/>
      <c r="P54" s="12"/>
      <c r="Q54" s="12"/>
      <c r="T54" s="74"/>
      <c r="Y54" s="64"/>
      <c r="Z54" s="64"/>
    </row>
    <row r="55" spans="1:26" s="14" customFormat="1" hidden="1">
      <c r="A55" s="12"/>
      <c r="B55" s="18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30"/>
      <c r="O55" s="12"/>
      <c r="P55" s="12"/>
      <c r="Q55" s="12"/>
      <c r="T55" s="74"/>
      <c r="Y55" s="64"/>
      <c r="Z55" s="64"/>
    </row>
    <row r="56" spans="1:26" s="14" customFormat="1" hidden="1">
      <c r="A56" s="12"/>
      <c r="B56" s="18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30"/>
      <c r="O56" s="12"/>
      <c r="P56" s="12"/>
      <c r="Q56" s="12"/>
      <c r="T56" s="74"/>
      <c r="Y56" s="64"/>
      <c r="Z56" s="64"/>
    </row>
    <row r="57" spans="1:26" s="14" customFormat="1" hidden="1">
      <c r="A57" s="12"/>
      <c r="B57" s="18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30"/>
      <c r="O57" s="12"/>
      <c r="P57" s="12"/>
      <c r="Q57" s="12"/>
      <c r="T57" s="74"/>
      <c r="Y57" s="64"/>
      <c r="Z57" s="64"/>
    </row>
    <row r="58" spans="1:26" s="14" customFormat="1" hidden="1">
      <c r="A58" s="12"/>
      <c r="B58" s="18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30"/>
      <c r="O58" s="12"/>
      <c r="P58" s="12"/>
      <c r="Q58" s="12"/>
      <c r="T58" s="74"/>
      <c r="Y58" s="64"/>
      <c r="Z58" s="64"/>
    </row>
    <row r="59" spans="1:26" s="14" customFormat="1" hidden="1">
      <c r="A59" s="12"/>
      <c r="B59" s="18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30"/>
      <c r="O59" s="12"/>
      <c r="P59" s="12"/>
      <c r="Q59" s="12"/>
      <c r="T59" s="74"/>
      <c r="Y59" s="64"/>
      <c r="Z59" s="64"/>
    </row>
    <row r="60" spans="1:26" s="14" customFormat="1" ht="15.75" thickBot="1">
      <c r="A60" s="12"/>
      <c r="B60" s="24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37"/>
      <c r="O60" s="12"/>
      <c r="P60" s="12"/>
      <c r="Q60" s="12"/>
      <c r="T60" s="74"/>
      <c r="Y60" s="64"/>
      <c r="Z60" s="64"/>
    </row>
    <row r="61" spans="1:26" s="14" customForma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T61" s="74"/>
      <c r="Y61" s="64"/>
      <c r="Z61" s="64"/>
    </row>
    <row r="62" spans="1:26" s="14" customForma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T62" s="74"/>
      <c r="Y62" s="64"/>
      <c r="Z62" s="64"/>
    </row>
    <row r="63" spans="1:26" s="14" customForma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T63" s="74"/>
      <c r="Y63" s="64"/>
      <c r="Z63" s="64"/>
    </row>
    <row r="64" spans="1:26" s="14" customForma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T64" s="74"/>
      <c r="Y64" s="64"/>
      <c r="Z64" s="64"/>
    </row>
    <row r="65" spans="1:26" s="14" customForma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T65" s="74"/>
      <c r="Y65" s="64"/>
      <c r="Z65" s="64"/>
    </row>
    <row r="66" spans="1:26" s="14" customForma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T66" s="74"/>
      <c r="Y66" s="64"/>
      <c r="Z66" s="64"/>
    </row>
    <row r="67" spans="1:26" s="14" customForma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T67" s="74"/>
      <c r="Y67" s="64"/>
      <c r="Z67" s="64"/>
    </row>
    <row r="68" spans="1:26" s="14" customForma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T68" s="74"/>
      <c r="Y68" s="64"/>
      <c r="Z68" s="64"/>
    </row>
    <row r="69" spans="1:26" s="14" customForma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T69" s="74"/>
      <c r="Y69" s="64"/>
      <c r="Z69" s="64"/>
    </row>
    <row r="70" spans="1:26" s="14" customForma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T70" s="74"/>
      <c r="Y70" s="64"/>
      <c r="Z70" s="64"/>
    </row>
    <row r="71" spans="1:26" s="14" customForma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T71" s="74"/>
      <c r="Y71" s="64"/>
      <c r="Z71" s="64"/>
    </row>
    <row r="72" spans="1:26" s="14" customForma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T72" s="74"/>
      <c r="Y72" s="64"/>
      <c r="Z72" s="64"/>
    </row>
    <row r="73" spans="1:26" s="14" customForma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T73" s="74"/>
      <c r="Y73" s="64"/>
      <c r="Z73" s="64"/>
    </row>
    <row r="74" spans="1:26" s="14" customForma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T74" s="74"/>
      <c r="Y74" s="64"/>
      <c r="Z74" s="64"/>
    </row>
    <row r="75" spans="1:26" s="14" customForma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T75" s="74"/>
      <c r="Y75" s="64"/>
      <c r="Z75" s="64"/>
    </row>
    <row r="76" spans="1:26" s="14" customForma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T76" s="74"/>
      <c r="Y76" s="64"/>
      <c r="Z76" s="64"/>
    </row>
    <row r="77" spans="1:26" s="14" customForma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T77" s="74"/>
      <c r="Y77" s="64"/>
      <c r="Z77" s="64"/>
    </row>
    <row r="78" spans="1:26" s="14" customForma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T78" s="74"/>
      <c r="Y78" s="64"/>
      <c r="Z78" s="64"/>
    </row>
    <row r="79" spans="1:26" s="14" customForma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T79" s="74"/>
      <c r="Y79" s="64"/>
      <c r="Z79" s="64"/>
    </row>
    <row r="80" spans="1:26" s="14" customForma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T80" s="74"/>
      <c r="Y80" s="64"/>
      <c r="Z80" s="64"/>
    </row>
    <row r="81" spans="1:26" s="14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T81" s="74"/>
      <c r="Y81" s="64"/>
      <c r="Z81" s="64"/>
    </row>
    <row r="82" spans="1:26" s="14" customForma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T82" s="74"/>
      <c r="Y82" s="64"/>
      <c r="Z82" s="64"/>
    </row>
    <row r="83" spans="1:26" s="14" customForma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T83" s="74"/>
      <c r="Y83" s="64"/>
      <c r="Z83" s="64"/>
    </row>
    <row r="84" spans="1:26" s="14" customForma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T84" s="74"/>
      <c r="Y84" s="64"/>
      <c r="Z84" s="64"/>
    </row>
    <row r="85" spans="1:26" s="14" customForma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T85" s="74"/>
      <c r="Y85" s="64"/>
      <c r="Z85" s="64"/>
    </row>
    <row r="86" spans="1:26" s="14" customForma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T86" s="74"/>
      <c r="Y86" s="64"/>
      <c r="Z86" s="64"/>
    </row>
    <row r="87" spans="1:26" s="14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T87" s="74"/>
      <c r="Y87" s="64"/>
      <c r="Z87" s="64"/>
    </row>
    <row r="88" spans="1:26" s="14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T88" s="74"/>
      <c r="Y88" s="64"/>
      <c r="Z88" s="64"/>
    </row>
    <row r="89" spans="1:26" s="14" customForma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T89" s="74"/>
      <c r="Y89" s="64"/>
      <c r="Z89" s="64"/>
    </row>
    <row r="90" spans="1:26" s="14" customForma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T90" s="74"/>
      <c r="Y90" s="64"/>
      <c r="Z90" s="64"/>
    </row>
    <row r="91" spans="1:26" s="14" customForma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T91" s="74"/>
      <c r="Y91" s="64"/>
      <c r="Z91" s="64"/>
    </row>
    <row r="92" spans="1:26" s="14" customForma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T92" s="74"/>
      <c r="Y92" s="64"/>
      <c r="Z92" s="64"/>
    </row>
    <row r="93" spans="1:26" s="14" customForma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T93" s="74"/>
      <c r="Y93" s="64"/>
      <c r="Z93" s="64"/>
    </row>
    <row r="94" spans="1:26" s="14" customForma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T94" s="74"/>
      <c r="Y94" s="64"/>
      <c r="Z94" s="64"/>
    </row>
    <row r="95" spans="1:26" s="14" customForma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T95" s="74"/>
      <c r="Y95" s="64"/>
      <c r="Z95" s="64"/>
    </row>
    <row r="96" spans="1:26" s="14" customForma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T96" s="74"/>
      <c r="Y96" s="64"/>
      <c r="Z96" s="64"/>
    </row>
    <row r="97" spans="1:26" s="14" customForma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T97" s="74"/>
      <c r="Y97" s="64"/>
      <c r="Z97" s="64"/>
    </row>
    <row r="98" spans="1:26" s="14" customForma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T98" s="74"/>
      <c r="Y98" s="64"/>
      <c r="Z98" s="64"/>
    </row>
    <row r="99" spans="1:26" s="14" customForma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T99" s="74"/>
      <c r="Y99" s="64"/>
      <c r="Z99" s="64"/>
    </row>
    <row r="100" spans="1:26" s="14" customForma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T100" s="74"/>
      <c r="Y100" s="64"/>
      <c r="Z100" s="64"/>
    </row>
    <row r="101" spans="1:26" s="14" customForma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T101" s="74"/>
      <c r="Y101" s="64"/>
      <c r="Z101" s="64"/>
    </row>
    <row r="102" spans="1:26" s="14" customForma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T102" s="74"/>
      <c r="Y102" s="64"/>
      <c r="Z102" s="64"/>
    </row>
    <row r="103" spans="1:26" s="14" customForma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T103" s="74"/>
      <c r="Y103" s="64"/>
      <c r="Z103" s="64"/>
    </row>
    <row r="104" spans="1:26" s="14" customForma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T104" s="74"/>
      <c r="Y104" s="64"/>
      <c r="Z104" s="64"/>
    </row>
    <row r="105" spans="1:26" s="14" customForma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T105" s="74"/>
      <c r="Y105" s="64"/>
      <c r="Z105" s="64"/>
    </row>
    <row r="106" spans="1:26" s="14" customForma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T106" s="74"/>
      <c r="Y106" s="64"/>
      <c r="Z106" s="64"/>
    </row>
    <row r="107" spans="1:26" s="14" customForma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T107" s="74"/>
      <c r="Y107" s="64"/>
      <c r="Z107" s="64"/>
    </row>
    <row r="108" spans="1:26" s="14" customForma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T108" s="74"/>
      <c r="Y108" s="64"/>
      <c r="Z108" s="64"/>
    </row>
    <row r="109" spans="1:26" s="14" customForma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T109" s="74"/>
      <c r="Y109" s="64"/>
      <c r="Z109" s="64"/>
    </row>
    <row r="110" spans="1:26" s="14" customForma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T110" s="74"/>
      <c r="Y110" s="64"/>
      <c r="Z110" s="64"/>
    </row>
    <row r="111" spans="1:26" s="14" customForma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T111" s="74"/>
      <c r="Y111" s="64"/>
      <c r="Z111" s="64"/>
    </row>
    <row r="112" spans="1:26" s="14" customForma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T112" s="74"/>
      <c r="Y112" s="64"/>
      <c r="Z112" s="64"/>
    </row>
    <row r="113" spans="1:26" s="14" customForma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T113" s="74"/>
      <c r="Y113" s="64"/>
      <c r="Z113" s="64"/>
    </row>
    <row r="114" spans="1:26" s="14" customForma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T114" s="74"/>
      <c r="Y114" s="64"/>
      <c r="Z114" s="64"/>
    </row>
    <row r="115" spans="1:26" s="14" customForma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T115" s="74"/>
      <c r="Y115" s="64"/>
      <c r="Z115" s="64"/>
    </row>
    <row r="116" spans="1:26" s="14" customForma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T116" s="74"/>
      <c r="Y116" s="64"/>
      <c r="Z116" s="64"/>
    </row>
    <row r="117" spans="1:26" s="14" customForma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T117" s="74"/>
      <c r="Y117" s="64"/>
      <c r="Z117" s="64"/>
    </row>
    <row r="118" spans="1:26" s="14" customForma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T118" s="74"/>
      <c r="Y118" s="64"/>
      <c r="Z118" s="64"/>
    </row>
    <row r="119" spans="1:26" s="14" customForma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T119" s="74"/>
      <c r="Y119" s="64"/>
      <c r="Z119" s="64"/>
    </row>
    <row r="120" spans="1:26" s="14" customForma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T120" s="74"/>
      <c r="Y120" s="64"/>
      <c r="Z120" s="64"/>
    </row>
    <row r="121" spans="1:26" s="14" customForma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T121" s="74"/>
      <c r="Y121" s="64"/>
      <c r="Z121" s="64"/>
    </row>
    <row r="122" spans="1:26" s="14" customForma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T122" s="74"/>
      <c r="Y122" s="64"/>
      <c r="Z122" s="64"/>
    </row>
    <row r="123" spans="1:26" s="14" customForma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T123" s="74"/>
      <c r="Y123" s="64"/>
      <c r="Z123" s="64"/>
    </row>
    <row r="124" spans="1:26" s="14" customForma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T124" s="74"/>
      <c r="Y124" s="64"/>
      <c r="Z124" s="64"/>
    </row>
    <row r="125" spans="1:26" s="14" customForma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T125" s="74"/>
      <c r="Y125" s="64"/>
      <c r="Z125" s="64"/>
    </row>
    <row r="126" spans="1:26" s="14" customForma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T126" s="74"/>
      <c r="Y126" s="64"/>
      <c r="Z126" s="64"/>
    </row>
    <row r="127" spans="1:26" s="14" customForma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T127" s="74"/>
      <c r="Y127" s="64"/>
      <c r="Z127" s="64"/>
    </row>
    <row r="128" spans="1:26" s="14" customForma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T128" s="74"/>
      <c r="Y128" s="64"/>
      <c r="Z128" s="64"/>
    </row>
    <row r="129" spans="1:26" s="14" customForma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T129" s="74"/>
      <c r="Y129" s="64"/>
      <c r="Z129" s="64"/>
    </row>
    <row r="130" spans="1:26" s="14" customForma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T130" s="74"/>
      <c r="Y130" s="64"/>
      <c r="Z130" s="64"/>
    </row>
    <row r="131" spans="1:26" s="14" customForma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T131" s="74"/>
      <c r="Y131" s="64"/>
      <c r="Z131" s="64"/>
    </row>
    <row r="132" spans="1:26" s="14" customForma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T132" s="74"/>
      <c r="Y132" s="64"/>
      <c r="Z132" s="64"/>
    </row>
    <row r="133" spans="1:26" s="14" customForma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T133" s="74"/>
      <c r="Y133" s="64"/>
      <c r="Z133" s="64"/>
    </row>
    <row r="134" spans="1:26" s="14" customForma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T134" s="74"/>
      <c r="Y134" s="64"/>
      <c r="Z134" s="64"/>
    </row>
    <row r="135" spans="1:26" s="14" customForma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T135" s="74"/>
      <c r="Y135" s="64"/>
      <c r="Z135" s="64"/>
    </row>
    <row r="136" spans="1:26" s="14" customForma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T136" s="74"/>
      <c r="Y136" s="64"/>
      <c r="Z136" s="64"/>
    </row>
    <row r="137" spans="1:26" s="14" customForma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T137" s="74"/>
      <c r="Y137" s="64"/>
      <c r="Z137" s="64"/>
    </row>
    <row r="138" spans="1:26" s="14" customForma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T138" s="74"/>
      <c r="Y138" s="64"/>
      <c r="Z138" s="64"/>
    </row>
    <row r="139" spans="1:26" s="14" customForma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T139" s="74"/>
      <c r="Y139" s="64"/>
      <c r="Z139" s="64"/>
    </row>
    <row r="140" spans="1:26" s="14" customForma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T140" s="74"/>
      <c r="Y140" s="64"/>
      <c r="Z140" s="64"/>
    </row>
    <row r="141" spans="1:26" s="14" customForma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T141" s="74"/>
      <c r="Y141" s="64"/>
      <c r="Z141" s="64"/>
    </row>
    <row r="142" spans="1:26" s="14" customForma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T142" s="74"/>
      <c r="Y142" s="64"/>
      <c r="Z142" s="64"/>
    </row>
    <row r="143" spans="1:26" s="14" customForma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T143" s="74"/>
      <c r="Y143" s="64"/>
      <c r="Z143" s="64"/>
    </row>
    <row r="144" spans="1:26" s="14" customForma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T144" s="74"/>
      <c r="Y144" s="64"/>
      <c r="Z144" s="64"/>
    </row>
    <row r="145" spans="1:26" s="14" customForma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T145" s="74"/>
      <c r="Y145" s="64"/>
      <c r="Z145" s="64"/>
    </row>
    <row r="146" spans="1:26" s="14" customForma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T146" s="74"/>
      <c r="Y146" s="64"/>
      <c r="Z146" s="64"/>
    </row>
    <row r="147" spans="1:26" s="14" customForma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T147" s="74"/>
      <c r="Y147" s="64"/>
      <c r="Z147" s="64"/>
    </row>
    <row r="148" spans="1:26" s="14" customForma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T148" s="74"/>
      <c r="Y148" s="64"/>
      <c r="Z148" s="64"/>
    </row>
    <row r="149" spans="1:26" s="14" customForma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T149" s="74"/>
      <c r="Y149" s="64"/>
      <c r="Z149" s="64"/>
    </row>
    <row r="150" spans="1:26" s="14" customForma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T150" s="74"/>
      <c r="Y150" s="64"/>
      <c r="Z150" s="64"/>
    </row>
    <row r="151" spans="1:26" s="14" customForma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T151" s="74"/>
      <c r="Y151" s="64"/>
      <c r="Z151" s="64"/>
    </row>
    <row r="152" spans="1:26" s="14" customForma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T152" s="74"/>
      <c r="Y152" s="64"/>
      <c r="Z152" s="64"/>
    </row>
    <row r="153" spans="1:26" s="14" customForma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T153" s="74"/>
      <c r="Y153" s="64"/>
      <c r="Z153" s="64"/>
    </row>
    <row r="154" spans="1:26" s="14" customForma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T154" s="74"/>
      <c r="Y154" s="64"/>
      <c r="Z154" s="64"/>
    </row>
    <row r="155" spans="1:26" s="14" customForma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T155" s="74"/>
      <c r="Y155" s="64"/>
      <c r="Z155" s="64"/>
    </row>
    <row r="156" spans="1:26" s="14" customForma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T156" s="74"/>
      <c r="Y156" s="64"/>
      <c r="Z156" s="64"/>
    </row>
    <row r="157" spans="1:26" s="14" customForma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T157" s="74"/>
      <c r="Y157" s="64"/>
      <c r="Z157" s="64"/>
    </row>
    <row r="158" spans="1:26" s="14" customForma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T158" s="74"/>
      <c r="Y158" s="64"/>
      <c r="Z158" s="64"/>
    </row>
    <row r="159" spans="1:26" s="14" customForma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T159" s="74"/>
      <c r="Y159" s="64"/>
      <c r="Z159" s="64"/>
    </row>
    <row r="160" spans="1:26" s="14" customForma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T160" s="74"/>
      <c r="Y160" s="64"/>
      <c r="Z160" s="64"/>
    </row>
    <row r="161" spans="1:26" s="14" customForma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T161" s="74"/>
      <c r="Y161" s="64"/>
      <c r="Z161" s="64"/>
    </row>
    <row r="162" spans="1:26" s="14" customForma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T162" s="74"/>
      <c r="Y162" s="64"/>
      <c r="Z162" s="64"/>
    </row>
    <row r="163" spans="1:26" s="14" customForma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T163" s="74"/>
      <c r="Y163" s="64"/>
      <c r="Z163" s="64"/>
    </row>
    <row r="164" spans="1:26" s="14" customForma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T164" s="74"/>
      <c r="Y164" s="64"/>
      <c r="Z164" s="64"/>
    </row>
    <row r="165" spans="1:26" s="14" customForma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T165" s="74"/>
      <c r="Y165" s="64"/>
      <c r="Z165" s="64"/>
    </row>
    <row r="166" spans="1:26" s="14" customForma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T166" s="74"/>
      <c r="Y166" s="64"/>
      <c r="Z166" s="64"/>
    </row>
    <row r="167" spans="1:26" s="14" customForma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T167" s="74"/>
      <c r="Y167" s="64"/>
      <c r="Z167" s="64"/>
    </row>
    <row r="168" spans="1:26" s="14" customForma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T168" s="74"/>
      <c r="Y168" s="64"/>
      <c r="Z168" s="64"/>
    </row>
    <row r="169" spans="1:26" s="14" customForma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T169" s="74"/>
      <c r="Y169" s="64"/>
      <c r="Z169" s="64"/>
    </row>
    <row r="170" spans="1:26" s="14" customForma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T170" s="74"/>
      <c r="Y170" s="64"/>
      <c r="Z170" s="64"/>
    </row>
    <row r="171" spans="1:26" s="14" customForma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T171" s="74"/>
      <c r="Y171" s="64"/>
      <c r="Z171" s="64"/>
    </row>
    <row r="172" spans="1:26" s="14" customForma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T172" s="74"/>
      <c r="Y172" s="64"/>
      <c r="Z172" s="64"/>
    </row>
    <row r="173" spans="1:26" s="14" customForma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T173" s="74"/>
      <c r="Y173" s="64"/>
      <c r="Z173" s="64"/>
    </row>
    <row r="174" spans="1:26" s="14" customForma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T174" s="74"/>
      <c r="Y174" s="64"/>
      <c r="Z174" s="64"/>
    </row>
    <row r="175" spans="1:26" s="14" customForma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T175" s="74"/>
      <c r="Y175" s="64"/>
      <c r="Z175" s="64"/>
    </row>
    <row r="176" spans="1:26" s="14" customForma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T176" s="74"/>
      <c r="Y176" s="64"/>
      <c r="Z176" s="64"/>
    </row>
    <row r="177" spans="1:26" s="14" customForma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T177" s="74"/>
      <c r="Y177" s="64"/>
      <c r="Z177" s="64"/>
    </row>
    <row r="178" spans="1:26" s="14" customForma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T178" s="74"/>
      <c r="Y178" s="64"/>
      <c r="Z178" s="64"/>
    </row>
    <row r="179" spans="1:26" s="14" customForma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T179" s="74"/>
      <c r="Y179" s="64"/>
      <c r="Z179" s="64"/>
    </row>
    <row r="180" spans="1:26" s="14" customForma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T180" s="74"/>
      <c r="Y180" s="64"/>
      <c r="Z180" s="64"/>
    </row>
    <row r="181" spans="1:26" s="14" customForma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T181" s="74"/>
      <c r="Y181" s="64"/>
      <c r="Z181" s="64"/>
    </row>
    <row r="182" spans="1:26" s="14" customForma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T182" s="74"/>
      <c r="Y182" s="64"/>
      <c r="Z182" s="64"/>
    </row>
    <row r="183" spans="1:26" s="14" customForma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T183" s="74"/>
      <c r="Y183" s="64"/>
      <c r="Z183" s="64"/>
    </row>
    <row r="184" spans="1:26" s="14" customForma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T184" s="74"/>
      <c r="Y184" s="64"/>
      <c r="Z184" s="64"/>
    </row>
    <row r="185" spans="1:26" s="14" customForma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T185" s="74"/>
      <c r="Y185" s="64"/>
      <c r="Z185" s="64"/>
    </row>
    <row r="186" spans="1:26" s="14" customForma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T186" s="74"/>
      <c r="Y186" s="64"/>
      <c r="Z186" s="64"/>
    </row>
    <row r="187" spans="1:26" s="14" customForma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T187" s="74"/>
      <c r="Y187" s="64"/>
      <c r="Z187" s="64"/>
    </row>
    <row r="188" spans="1:26" s="14" customForma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T188" s="74"/>
      <c r="Y188" s="64"/>
      <c r="Z188" s="64"/>
    </row>
    <row r="189" spans="1:26" s="14" customForma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T189" s="74"/>
      <c r="Y189" s="64"/>
      <c r="Z189" s="64"/>
    </row>
    <row r="190" spans="1:26" s="14" customForma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T190" s="74"/>
      <c r="Y190" s="64"/>
      <c r="Z190" s="64"/>
    </row>
    <row r="191" spans="1:26" s="14" customForma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T191" s="74"/>
      <c r="Y191" s="64"/>
      <c r="Z191" s="64"/>
    </row>
    <row r="192" spans="1:26" s="14" customForma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T192" s="74"/>
      <c r="Y192" s="64"/>
      <c r="Z192" s="64"/>
    </row>
    <row r="193" spans="1:26" s="14" customForma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T193" s="74"/>
      <c r="Y193" s="64"/>
      <c r="Z193" s="64"/>
    </row>
    <row r="194" spans="1:26" s="14" customForma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T194" s="74"/>
      <c r="Y194" s="64"/>
      <c r="Z194" s="64"/>
    </row>
    <row r="195" spans="1:26" s="14" customForma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T195" s="74"/>
      <c r="Y195" s="64"/>
      <c r="Z195" s="64"/>
    </row>
    <row r="196" spans="1:26" s="14" customForma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T196" s="74"/>
      <c r="Y196" s="64"/>
      <c r="Z196" s="64"/>
    </row>
    <row r="197" spans="1:26" s="14" customForma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T197" s="74"/>
      <c r="Y197" s="64"/>
      <c r="Z197" s="64"/>
    </row>
    <row r="198" spans="1:26" s="14" customForma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T198" s="74"/>
      <c r="Y198" s="64"/>
      <c r="Z198" s="64"/>
    </row>
    <row r="199" spans="1:26" s="14" customForma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T199" s="74"/>
      <c r="Y199" s="64"/>
      <c r="Z199" s="64"/>
    </row>
    <row r="200" spans="1:26" s="14" customForma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T200" s="74"/>
      <c r="Y200" s="64"/>
      <c r="Z200" s="64"/>
    </row>
    <row r="201" spans="1:26" s="14" customForma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T201" s="74"/>
      <c r="Y201" s="64"/>
      <c r="Z201" s="64"/>
    </row>
    <row r="202" spans="1:26" s="14" customForma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T202" s="74"/>
      <c r="Y202" s="64"/>
      <c r="Z202" s="64"/>
    </row>
    <row r="203" spans="1:26" s="14" customForma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T203" s="74"/>
      <c r="Y203" s="64"/>
      <c r="Z203" s="64"/>
    </row>
    <row r="204" spans="1:26" s="14" customForma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T204" s="74"/>
      <c r="Y204" s="64"/>
      <c r="Z204" s="64"/>
    </row>
    <row r="205" spans="1:26" s="14" customForma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T205" s="74"/>
      <c r="Y205" s="64"/>
      <c r="Z205" s="64"/>
    </row>
    <row r="206" spans="1:26" s="14" customForma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T206" s="74"/>
      <c r="Y206" s="64"/>
      <c r="Z206" s="64"/>
    </row>
    <row r="207" spans="1:26" s="14" customForma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T207" s="74"/>
      <c r="Y207" s="64"/>
      <c r="Z207" s="64"/>
    </row>
    <row r="208" spans="1:26" s="14" customForma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T208" s="74"/>
      <c r="Y208" s="64"/>
      <c r="Z208" s="64"/>
    </row>
    <row r="209" spans="1:26" s="14" customForma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T209" s="74"/>
      <c r="Y209" s="64"/>
      <c r="Z209" s="64"/>
    </row>
    <row r="210" spans="1:26" s="14" customForma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T210" s="74"/>
      <c r="Y210" s="64"/>
      <c r="Z210" s="64"/>
    </row>
    <row r="211" spans="1:26" s="14" customForma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T211" s="74"/>
      <c r="Y211" s="64"/>
      <c r="Z211" s="64"/>
    </row>
    <row r="212" spans="1:26" s="14" customForma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T212" s="74"/>
      <c r="Y212" s="64"/>
      <c r="Z212" s="64"/>
    </row>
    <row r="213" spans="1:26" s="14" customForma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T213" s="74"/>
      <c r="Y213" s="64"/>
      <c r="Z213" s="64"/>
    </row>
    <row r="214" spans="1:26" s="14" customForma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T214" s="74"/>
      <c r="Y214" s="64"/>
      <c r="Z214" s="64"/>
    </row>
    <row r="215" spans="1:26" s="14" customForma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T215" s="74"/>
      <c r="Y215" s="64"/>
      <c r="Z215" s="64"/>
    </row>
    <row r="216" spans="1:26" s="14" customForma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T216" s="74"/>
      <c r="Y216" s="64"/>
      <c r="Z216" s="64"/>
    </row>
    <row r="217" spans="1:26" s="14" customForma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T217" s="74"/>
      <c r="Y217" s="64"/>
      <c r="Z217" s="64"/>
    </row>
    <row r="218" spans="1:26" s="14" customForma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T218" s="74"/>
      <c r="Y218" s="64"/>
      <c r="Z218" s="64"/>
    </row>
    <row r="219" spans="1:26" s="14" customForma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T219" s="74"/>
      <c r="Y219" s="64"/>
      <c r="Z219" s="64"/>
    </row>
    <row r="220" spans="1:26" s="14" customForma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T220" s="74"/>
      <c r="Y220" s="64"/>
      <c r="Z220" s="64"/>
    </row>
    <row r="221" spans="1:26" s="14" customForma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T221" s="74"/>
      <c r="Y221" s="64"/>
      <c r="Z221" s="64"/>
    </row>
    <row r="222" spans="1:26" s="14" customForma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T222" s="74"/>
      <c r="Y222" s="64"/>
      <c r="Z222" s="64"/>
    </row>
    <row r="223" spans="1:26" s="14" customForma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T223" s="74"/>
      <c r="Y223" s="64"/>
      <c r="Z223" s="64"/>
    </row>
    <row r="224" spans="1:26" s="14" customForma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T224" s="74"/>
      <c r="Y224" s="64"/>
      <c r="Z224" s="64"/>
    </row>
    <row r="225" spans="1:26" s="14" customForma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T225" s="74"/>
      <c r="Y225" s="64"/>
      <c r="Z225" s="64"/>
    </row>
    <row r="226" spans="1:26" s="14" customForma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T226" s="74"/>
      <c r="Y226" s="64"/>
      <c r="Z226" s="64"/>
    </row>
    <row r="227" spans="1:26" s="14" customForma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T227" s="74"/>
      <c r="Y227" s="64"/>
      <c r="Z227" s="64"/>
    </row>
    <row r="228" spans="1:26" s="14" customForma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T228" s="74"/>
      <c r="Y228" s="64"/>
      <c r="Z228" s="64"/>
    </row>
    <row r="229" spans="1:26" s="14" customForma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T229" s="74"/>
      <c r="Y229" s="64"/>
      <c r="Z229" s="64"/>
    </row>
    <row r="230" spans="1:26" s="14" customForma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T230" s="74"/>
      <c r="Y230" s="64"/>
      <c r="Z230" s="64"/>
    </row>
    <row r="231" spans="1:26" s="14" customForma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T231" s="74"/>
      <c r="Y231" s="64"/>
      <c r="Z231" s="64"/>
    </row>
    <row r="232" spans="1:26" s="14" customForma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T232" s="74"/>
      <c r="Y232" s="64"/>
      <c r="Z232" s="64"/>
    </row>
    <row r="233" spans="1:26" s="14" customForma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T233" s="74"/>
      <c r="Y233" s="64"/>
      <c r="Z233" s="64"/>
    </row>
    <row r="234" spans="1:26" s="14" customForma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T234" s="74"/>
      <c r="Y234" s="64"/>
      <c r="Z234" s="64"/>
    </row>
    <row r="235" spans="1:26" s="14" customForma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T235" s="74"/>
      <c r="Y235" s="64"/>
      <c r="Z235" s="64"/>
    </row>
    <row r="236" spans="1:26" s="14" customForma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T236" s="74"/>
      <c r="Y236" s="64"/>
      <c r="Z236" s="64"/>
    </row>
    <row r="237" spans="1:26" s="14" customForma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T237" s="74"/>
      <c r="Y237" s="64"/>
      <c r="Z237" s="64"/>
    </row>
    <row r="238" spans="1:26" s="14" customForma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T238" s="74"/>
      <c r="Y238" s="64"/>
      <c r="Z238" s="64"/>
    </row>
    <row r="239" spans="1:26" s="14" customForma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T239" s="74"/>
      <c r="Y239" s="64"/>
      <c r="Z239" s="64"/>
    </row>
    <row r="240" spans="1:26" s="14" customForma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T240" s="74"/>
      <c r="Y240" s="64"/>
      <c r="Z240" s="64"/>
    </row>
    <row r="241" spans="1:26" s="14" customForma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T241" s="74"/>
      <c r="Y241" s="64"/>
      <c r="Z241" s="64"/>
    </row>
    <row r="242" spans="1:26" s="14" customForma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T242" s="74"/>
      <c r="Y242" s="64"/>
      <c r="Z242" s="64"/>
    </row>
    <row r="243" spans="1:26" s="14" customForma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T243" s="74"/>
      <c r="Y243" s="64"/>
      <c r="Z243" s="64"/>
    </row>
    <row r="244" spans="1:26" s="14" customForma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T244" s="74"/>
      <c r="Y244" s="64"/>
      <c r="Z244" s="64"/>
    </row>
    <row r="245" spans="1:26" s="14" customForma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T245" s="74"/>
      <c r="Y245" s="64"/>
      <c r="Z245" s="64"/>
    </row>
    <row r="246" spans="1:26" s="14" customForma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T246" s="74"/>
      <c r="Y246" s="64"/>
      <c r="Z246" s="64"/>
    </row>
    <row r="247" spans="1:26" s="14" customForma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T247" s="74"/>
      <c r="Y247" s="64"/>
      <c r="Z247" s="64"/>
    </row>
    <row r="248" spans="1:26" s="14" customForma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T248" s="74"/>
      <c r="Y248" s="64"/>
      <c r="Z248" s="64"/>
    </row>
    <row r="249" spans="1:26" s="14" customForma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T249" s="74"/>
      <c r="Y249" s="64"/>
      <c r="Z249" s="64"/>
    </row>
    <row r="250" spans="1:26" s="14" customForma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T250" s="74"/>
      <c r="Y250" s="64"/>
      <c r="Z250" s="64"/>
    </row>
    <row r="251" spans="1:26" s="14" customForma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T251" s="74"/>
      <c r="Y251" s="64"/>
      <c r="Z251" s="64"/>
    </row>
    <row r="252" spans="1:26" s="14" customForma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T252" s="74"/>
      <c r="Y252" s="64"/>
      <c r="Z252" s="64"/>
    </row>
    <row r="253" spans="1:26" s="14" customForma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T253" s="74"/>
      <c r="Y253" s="64"/>
      <c r="Z253" s="64"/>
    </row>
    <row r="254" spans="1:26" s="14" customForma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T254" s="74"/>
      <c r="Y254" s="64"/>
      <c r="Z254" s="64"/>
    </row>
    <row r="255" spans="1:26" s="14" customForma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T255" s="74"/>
      <c r="Y255" s="64"/>
      <c r="Z255" s="64"/>
    </row>
    <row r="256" spans="1:26" s="14" customForma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T256" s="74"/>
      <c r="Y256" s="64"/>
      <c r="Z256" s="64"/>
    </row>
    <row r="257" spans="1:26" s="14" customForma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T257" s="74"/>
      <c r="Y257" s="64"/>
      <c r="Z257" s="64"/>
    </row>
    <row r="258" spans="1:26" s="14" customForma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T258" s="74"/>
      <c r="Y258" s="64"/>
      <c r="Z258" s="64"/>
    </row>
    <row r="259" spans="1:26" s="14" customForma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T259" s="74"/>
      <c r="Y259" s="64"/>
      <c r="Z259" s="64"/>
    </row>
    <row r="260" spans="1:26" s="14" customForma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T260" s="74"/>
      <c r="Y260" s="64"/>
      <c r="Z260" s="64"/>
    </row>
    <row r="261" spans="1:26" s="14" customForma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T261" s="74"/>
      <c r="Y261" s="64"/>
      <c r="Z261" s="64"/>
    </row>
    <row r="262" spans="1:26" s="14" customForma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T262" s="74"/>
      <c r="Y262" s="64"/>
      <c r="Z262" s="64"/>
    </row>
    <row r="263" spans="1:26" s="14" customForma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T263" s="74"/>
      <c r="Y263" s="64"/>
      <c r="Z263" s="64"/>
    </row>
    <row r="264" spans="1:26" s="14" customForma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T264" s="74"/>
      <c r="Y264" s="64"/>
      <c r="Z264" s="64"/>
    </row>
    <row r="265" spans="1:26" s="14" customForma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T265" s="74"/>
      <c r="Y265" s="64"/>
      <c r="Z265" s="64"/>
    </row>
    <row r="266" spans="1:26" s="14" customForma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T266" s="74"/>
      <c r="Y266" s="64"/>
      <c r="Z266" s="64"/>
    </row>
    <row r="267" spans="1:26" s="14" customForma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T267" s="74"/>
      <c r="Y267" s="64"/>
      <c r="Z267" s="64"/>
    </row>
    <row r="268" spans="1:26" s="14" customForma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T268" s="74"/>
      <c r="Y268" s="64"/>
      <c r="Z268" s="64"/>
    </row>
    <row r="269" spans="1:26" s="14" customForma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T269" s="74"/>
      <c r="Y269" s="64"/>
      <c r="Z269" s="64"/>
    </row>
    <row r="270" spans="1:26" s="14" customForma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T270" s="74"/>
      <c r="Y270" s="64"/>
      <c r="Z270" s="64"/>
    </row>
    <row r="271" spans="1:26" s="14" customForma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T271" s="74"/>
      <c r="Y271" s="64"/>
      <c r="Z271" s="64"/>
    </row>
    <row r="272" spans="1:26" s="14" customForma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T272" s="74"/>
      <c r="Y272" s="64"/>
      <c r="Z272" s="64"/>
    </row>
    <row r="273" spans="1:26" s="14" customForma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T273" s="74"/>
      <c r="Y273" s="64"/>
      <c r="Z273" s="64"/>
    </row>
    <row r="274" spans="1:26" s="14" customForma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T274" s="74"/>
      <c r="Y274" s="64"/>
      <c r="Z274" s="64"/>
    </row>
    <row r="275" spans="1:26" s="14" customForma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T275" s="74"/>
      <c r="Y275" s="64"/>
      <c r="Z275" s="64"/>
    </row>
    <row r="276" spans="1:26" s="14" customForma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T276" s="74"/>
      <c r="Y276" s="64"/>
      <c r="Z276" s="64"/>
    </row>
    <row r="277" spans="1:26" s="14" customForma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T277" s="74"/>
      <c r="Y277" s="64"/>
      <c r="Z277" s="64"/>
    </row>
    <row r="278" spans="1:26" s="14" customForma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T278" s="74"/>
      <c r="Y278" s="64"/>
      <c r="Z278" s="64"/>
    </row>
    <row r="279" spans="1:26" s="14" customForma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T279" s="74"/>
      <c r="Y279" s="64"/>
      <c r="Z279" s="64"/>
    </row>
    <row r="280" spans="1:26" s="14" customForma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T280" s="74"/>
      <c r="Y280" s="64"/>
      <c r="Z280" s="64"/>
    </row>
    <row r="281" spans="1:26" s="14" customForma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T281" s="74"/>
      <c r="Y281" s="64"/>
      <c r="Z281" s="64"/>
    </row>
    <row r="282" spans="1:26" s="14" customForma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T282" s="74"/>
      <c r="Y282" s="64"/>
      <c r="Z282" s="64"/>
    </row>
    <row r="283" spans="1:26" s="14" customForma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T283" s="74"/>
      <c r="Y283" s="64"/>
      <c r="Z283" s="64"/>
    </row>
    <row r="284" spans="1:26" s="14" customForma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T284" s="74"/>
      <c r="Y284" s="64"/>
      <c r="Z284" s="64"/>
    </row>
    <row r="285" spans="1:26" s="14" customForma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T285" s="74"/>
      <c r="Y285" s="64"/>
      <c r="Z285" s="64"/>
    </row>
    <row r="286" spans="1:26" s="14" customForma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T286" s="74"/>
      <c r="Y286" s="64"/>
      <c r="Z286" s="64"/>
    </row>
    <row r="287" spans="1:26" s="14" customForma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T287" s="74"/>
      <c r="Y287" s="64"/>
      <c r="Z287" s="64"/>
    </row>
    <row r="288" spans="1:26" s="14" customForma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T288" s="74"/>
      <c r="Y288" s="64"/>
      <c r="Z288" s="64"/>
    </row>
    <row r="289" spans="1:26" s="14" customForma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T289" s="74"/>
      <c r="Y289" s="64"/>
      <c r="Z289" s="64"/>
    </row>
    <row r="290" spans="1:26" s="14" customForma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T290" s="74"/>
      <c r="Y290" s="64"/>
      <c r="Z290" s="64"/>
    </row>
    <row r="291" spans="1:26" s="14" customForma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T291" s="74"/>
      <c r="Y291" s="64"/>
      <c r="Z291" s="64"/>
    </row>
    <row r="292" spans="1:26" s="14" customForma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T292" s="74"/>
      <c r="Y292" s="64"/>
      <c r="Z292" s="64"/>
    </row>
    <row r="293" spans="1:26" s="14" customForma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T293" s="74"/>
      <c r="Y293" s="64"/>
      <c r="Z293" s="64"/>
    </row>
    <row r="294" spans="1:26" s="14" customForma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T294" s="74"/>
      <c r="Y294" s="64"/>
      <c r="Z294" s="64"/>
    </row>
    <row r="295" spans="1:26" s="14" customForma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T295" s="74"/>
      <c r="Y295" s="64"/>
      <c r="Z295" s="64"/>
    </row>
    <row r="296" spans="1:26" s="14" customForma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T296" s="74"/>
      <c r="Y296" s="64"/>
      <c r="Z296" s="64"/>
    </row>
    <row r="297" spans="1:26" s="14" customForma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T297" s="74"/>
      <c r="Y297" s="64"/>
      <c r="Z297" s="64"/>
    </row>
    <row r="298" spans="1:26" s="14" customForma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T298" s="74"/>
      <c r="Y298" s="64"/>
      <c r="Z298" s="64"/>
    </row>
    <row r="299" spans="1:26" s="14" customForma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T299" s="74"/>
      <c r="Y299" s="64"/>
      <c r="Z299" s="64"/>
    </row>
    <row r="300" spans="1:26" s="14" customForma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T300" s="74"/>
      <c r="Y300" s="64"/>
      <c r="Z300" s="64"/>
    </row>
    <row r="301" spans="1:26" s="14" customForma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T301" s="74"/>
      <c r="Y301" s="64"/>
      <c r="Z301" s="64"/>
    </row>
    <row r="302" spans="1:26" s="14" customForma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T302" s="74"/>
      <c r="Y302" s="64"/>
      <c r="Z302" s="64"/>
    </row>
    <row r="303" spans="1:26" s="14" customForma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T303" s="74"/>
      <c r="Y303" s="64"/>
      <c r="Z303" s="64"/>
    </row>
    <row r="304" spans="1:26" s="14" customForma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T304" s="74"/>
      <c r="Y304" s="64"/>
      <c r="Z304" s="64"/>
    </row>
    <row r="305" spans="1:26" s="14" customForma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T305" s="74"/>
      <c r="Y305" s="64"/>
      <c r="Z305" s="64"/>
    </row>
    <row r="306" spans="1:26" s="14" customForma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T306" s="74"/>
      <c r="Y306" s="64"/>
      <c r="Z306" s="64"/>
    </row>
    <row r="307" spans="1:26" s="14" customForma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T307" s="74"/>
      <c r="Y307" s="64"/>
      <c r="Z307" s="64"/>
    </row>
    <row r="308" spans="1:26" s="14" customForma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T308" s="74"/>
      <c r="Y308" s="64"/>
      <c r="Z308" s="64"/>
    </row>
    <row r="309" spans="1:26" s="14" customForma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T309" s="74"/>
      <c r="Y309" s="64"/>
      <c r="Z309" s="64"/>
    </row>
    <row r="310" spans="1:26" s="14" customForma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T310" s="74"/>
      <c r="Y310" s="64"/>
      <c r="Z310" s="64"/>
    </row>
    <row r="311" spans="1:26" s="14" customForma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T311" s="74"/>
      <c r="Y311" s="64"/>
      <c r="Z311" s="64"/>
    </row>
    <row r="312" spans="1:26" s="14" customForma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T312" s="74"/>
      <c r="Y312" s="64"/>
      <c r="Z312" s="64"/>
    </row>
    <row r="313" spans="1:26" s="14" customForma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T313" s="74"/>
      <c r="Y313" s="64"/>
      <c r="Z313" s="64"/>
    </row>
    <row r="314" spans="1:26" s="14" customForma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T314" s="74"/>
      <c r="Y314" s="64"/>
      <c r="Z314" s="64"/>
    </row>
    <row r="315" spans="1:26" s="14" customForma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T315" s="74"/>
      <c r="Y315" s="64"/>
      <c r="Z315" s="64"/>
    </row>
    <row r="316" spans="1:26" s="14" customForma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T316" s="74"/>
      <c r="Y316" s="64"/>
      <c r="Z316" s="64"/>
    </row>
    <row r="317" spans="1:26" s="14" customForma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T317" s="74"/>
      <c r="Y317" s="64"/>
      <c r="Z317" s="64"/>
    </row>
    <row r="318" spans="1:26" s="14" customForma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T318" s="74"/>
      <c r="Y318" s="64"/>
      <c r="Z318" s="64"/>
    </row>
    <row r="319" spans="1:26" s="14" customForma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T319" s="74"/>
      <c r="Y319" s="64"/>
      <c r="Z319" s="64"/>
    </row>
    <row r="320" spans="1:26" s="14" customForma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T320" s="74"/>
      <c r="Y320" s="64"/>
      <c r="Z320" s="64"/>
    </row>
    <row r="321" spans="1:26" s="14" customForma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T321" s="74"/>
      <c r="Y321" s="64"/>
      <c r="Z321" s="64"/>
    </row>
    <row r="322" spans="1:26" s="14" customForma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T322" s="74"/>
      <c r="Y322" s="64"/>
      <c r="Z322" s="64"/>
    </row>
    <row r="323" spans="1:26" s="14" customForma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T323" s="74"/>
      <c r="Y323" s="64"/>
      <c r="Z323" s="64"/>
    </row>
    <row r="324" spans="1:26" s="14" customForma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T324" s="74"/>
      <c r="Y324" s="64"/>
      <c r="Z324" s="64"/>
    </row>
    <row r="325" spans="1:26" s="14" customForma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T325" s="74"/>
      <c r="Y325" s="64"/>
      <c r="Z325" s="64"/>
    </row>
    <row r="326" spans="1:26" s="14" customForma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T326" s="74"/>
      <c r="Y326" s="64"/>
      <c r="Z326" s="64"/>
    </row>
    <row r="327" spans="1:26" s="14" customForma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T327" s="74"/>
      <c r="Y327" s="64"/>
      <c r="Z327" s="64"/>
    </row>
    <row r="328" spans="1:26" s="14" customForma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T328" s="74"/>
      <c r="Y328" s="64"/>
      <c r="Z328" s="64"/>
    </row>
    <row r="329" spans="1:26" s="14" customForma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T329" s="74"/>
      <c r="Y329" s="64"/>
      <c r="Z329" s="64"/>
    </row>
    <row r="330" spans="1:26" s="14" customForma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T330" s="74"/>
      <c r="Y330" s="64"/>
      <c r="Z330" s="64"/>
    </row>
    <row r="331" spans="1:26" s="14" customForma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T331" s="74"/>
      <c r="Y331" s="64"/>
      <c r="Z331" s="64"/>
    </row>
    <row r="332" spans="1:26" s="14" customForma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T332" s="74"/>
      <c r="Y332" s="64"/>
      <c r="Z332" s="64"/>
    </row>
    <row r="333" spans="1:26" s="14" customForma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T333" s="74"/>
      <c r="Y333" s="64"/>
      <c r="Z333" s="64"/>
    </row>
    <row r="334" spans="1:26" s="14" customForma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T334" s="74"/>
      <c r="Y334" s="64"/>
      <c r="Z334" s="64"/>
    </row>
    <row r="335" spans="1:26" s="14" customForma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T335" s="74"/>
      <c r="Y335" s="64"/>
      <c r="Z335" s="64"/>
    </row>
    <row r="336" spans="1:26" s="14" customForma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T336" s="74"/>
      <c r="Y336" s="64"/>
      <c r="Z336" s="64"/>
    </row>
    <row r="337" spans="1:26" s="14" customForma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T337" s="74"/>
      <c r="Y337" s="64"/>
      <c r="Z337" s="64"/>
    </row>
    <row r="338" spans="1:26" s="14" customForma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T338" s="74"/>
      <c r="Y338" s="64"/>
      <c r="Z338" s="64"/>
    </row>
    <row r="339" spans="1:26" s="14" customForma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T339" s="74"/>
      <c r="Y339" s="64"/>
      <c r="Z339" s="64"/>
    </row>
    <row r="340" spans="1:26" s="14" customForma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T340" s="74"/>
      <c r="Y340" s="64"/>
      <c r="Z340" s="64"/>
    </row>
    <row r="341" spans="1:26" s="14" customForma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T341" s="74"/>
      <c r="Y341" s="64"/>
      <c r="Z341" s="64"/>
    </row>
    <row r="342" spans="1:26" s="14" customForma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T342" s="74"/>
      <c r="Y342" s="64"/>
      <c r="Z342" s="64"/>
    </row>
    <row r="343" spans="1:26" s="14" customForma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T343" s="74"/>
      <c r="Y343" s="64"/>
      <c r="Z343" s="64"/>
    </row>
    <row r="344" spans="1:26" s="14" customForma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T344" s="74"/>
      <c r="Y344" s="64"/>
      <c r="Z344" s="64"/>
    </row>
    <row r="345" spans="1:26" s="14" customForma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T345" s="74"/>
      <c r="Y345" s="64"/>
      <c r="Z345" s="64"/>
    </row>
    <row r="346" spans="1:26" s="14" customForma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T346" s="74"/>
      <c r="Y346" s="64"/>
      <c r="Z346" s="64"/>
    </row>
    <row r="347" spans="1:26" s="14" customForma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T347" s="74"/>
      <c r="Y347" s="64"/>
      <c r="Z347" s="64"/>
    </row>
    <row r="348" spans="1:26" s="14" customForma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T348" s="74"/>
      <c r="Y348" s="64"/>
      <c r="Z348" s="64"/>
    </row>
    <row r="349" spans="1:26" s="14" customForma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T349" s="74"/>
      <c r="Y349" s="64"/>
      <c r="Z349" s="64"/>
    </row>
    <row r="350" spans="1:26" s="14" customForma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T350" s="74"/>
      <c r="Y350" s="64"/>
      <c r="Z350" s="64"/>
    </row>
    <row r="351" spans="1:26" s="14" customForma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T351" s="74"/>
      <c r="Y351" s="64"/>
      <c r="Z351" s="64"/>
    </row>
    <row r="352" spans="1:26" s="14" customForma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T352" s="74"/>
      <c r="Y352" s="64"/>
      <c r="Z352" s="64"/>
    </row>
    <row r="353" spans="1:26" s="14" customForma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T353" s="74"/>
      <c r="Y353" s="64"/>
      <c r="Z353" s="64"/>
    </row>
    <row r="354" spans="1:26" s="14" customForma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T354" s="74"/>
      <c r="Y354" s="64"/>
      <c r="Z354" s="64"/>
    </row>
    <row r="355" spans="1:26" s="14" customForma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T355" s="74"/>
      <c r="Y355" s="64"/>
      <c r="Z355" s="64"/>
    </row>
    <row r="356" spans="1:26" s="14" customForma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T356" s="74"/>
      <c r="Y356" s="64"/>
      <c r="Z356" s="64"/>
    </row>
    <row r="357" spans="1:26" s="14" customForma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T357" s="74"/>
      <c r="Y357" s="64"/>
      <c r="Z357" s="64"/>
    </row>
    <row r="358" spans="1:26" s="14" customForma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T358" s="74"/>
      <c r="Y358" s="64"/>
      <c r="Z358" s="64"/>
    </row>
    <row r="359" spans="1:26" s="14" customForma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T359" s="74"/>
      <c r="Y359" s="64"/>
      <c r="Z359" s="64"/>
    </row>
    <row r="360" spans="1:26" s="14" customForma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T360" s="74"/>
      <c r="Y360" s="64"/>
      <c r="Z360" s="64"/>
    </row>
    <row r="361" spans="1:26" s="14" customForma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T361" s="74"/>
      <c r="Y361" s="64"/>
      <c r="Z361" s="64"/>
    </row>
    <row r="362" spans="1:26" s="14" customForma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T362" s="74"/>
      <c r="Y362" s="64"/>
      <c r="Z362" s="64"/>
    </row>
    <row r="363" spans="1:26" s="14" customForma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T363" s="74"/>
      <c r="Y363" s="64"/>
      <c r="Z363" s="64"/>
    </row>
    <row r="364" spans="1:26" s="14" customForma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T364" s="74"/>
      <c r="Y364" s="64"/>
      <c r="Z364" s="64"/>
    </row>
    <row r="365" spans="1:26" s="14" customForma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T365" s="74"/>
      <c r="Y365" s="64"/>
      <c r="Z365" s="64"/>
    </row>
    <row r="366" spans="1:26" s="14" customForma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T366" s="74"/>
      <c r="Y366" s="64"/>
      <c r="Z366" s="64"/>
    </row>
    <row r="367" spans="1:26" s="14" customForma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T367" s="74"/>
      <c r="Y367" s="64"/>
      <c r="Z367" s="64"/>
    </row>
    <row r="368" spans="1:26" s="14" customForma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T368" s="74"/>
      <c r="Y368" s="64"/>
      <c r="Z368" s="64"/>
    </row>
    <row r="369" spans="1:26" s="14" customForma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T369" s="74"/>
      <c r="Y369" s="64"/>
      <c r="Z369" s="64"/>
    </row>
    <row r="370" spans="1:26" s="14" customForma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T370" s="74"/>
      <c r="Y370" s="64"/>
      <c r="Z370" s="64"/>
    </row>
    <row r="371" spans="1:26" s="14" customForma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T371" s="74"/>
      <c r="Y371" s="64"/>
      <c r="Z371" s="64"/>
    </row>
    <row r="372" spans="1:26" s="14" customForma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T372" s="74"/>
      <c r="Y372" s="64"/>
      <c r="Z372" s="64"/>
    </row>
    <row r="373" spans="1:26" s="14" customForma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T373" s="74"/>
      <c r="Y373" s="64"/>
      <c r="Z373" s="64"/>
    </row>
    <row r="374" spans="1:26" s="14" customForma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T374" s="74"/>
      <c r="Y374" s="64"/>
      <c r="Z374" s="64"/>
    </row>
    <row r="375" spans="1:26" s="14" customForma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T375" s="74"/>
      <c r="Y375" s="64"/>
      <c r="Z375" s="64"/>
    </row>
    <row r="376" spans="1:26" s="14" customForma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T376" s="74"/>
      <c r="Y376" s="64"/>
      <c r="Z376" s="64"/>
    </row>
    <row r="377" spans="1:26" s="14" customForma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T377" s="74"/>
      <c r="Y377" s="64"/>
      <c r="Z377" s="64"/>
    </row>
    <row r="378" spans="1:26" s="14" customForma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T378" s="74"/>
      <c r="Y378" s="64"/>
      <c r="Z378" s="64"/>
    </row>
    <row r="379" spans="1:26" s="14" customForma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T379" s="74"/>
      <c r="Y379" s="64"/>
      <c r="Z379" s="64"/>
    </row>
    <row r="380" spans="1:26" s="14" customForma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T380" s="74"/>
      <c r="Y380" s="64"/>
      <c r="Z380" s="64"/>
    </row>
    <row r="381" spans="1:26" s="14" customForma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T381" s="74"/>
      <c r="Y381" s="64"/>
      <c r="Z381" s="64"/>
    </row>
    <row r="382" spans="1:26" s="14" customForma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T382" s="74"/>
      <c r="Y382" s="64"/>
      <c r="Z382" s="64"/>
    </row>
    <row r="383" spans="1:26" s="14" customForma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T383" s="74"/>
      <c r="Y383" s="64"/>
      <c r="Z383" s="64"/>
    </row>
    <row r="384" spans="1:26" s="14" customForma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T384" s="74"/>
      <c r="Y384" s="64"/>
      <c r="Z384" s="64"/>
    </row>
    <row r="385" spans="1:26" s="14" customForma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T385" s="74"/>
      <c r="Y385" s="64"/>
      <c r="Z385" s="64"/>
    </row>
    <row r="386" spans="1:26" s="14" customForma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T386" s="74"/>
      <c r="Y386" s="64"/>
      <c r="Z386" s="64"/>
    </row>
    <row r="387" spans="1:26" s="14" customForma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T387" s="74"/>
      <c r="Y387" s="64"/>
      <c r="Z387" s="64"/>
    </row>
    <row r="388" spans="1:26" s="14" customForma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T388" s="74"/>
      <c r="Y388" s="64"/>
      <c r="Z388" s="64"/>
    </row>
    <row r="389" spans="1:26" s="14" customForma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T389" s="74"/>
      <c r="Y389" s="64"/>
      <c r="Z389" s="64"/>
    </row>
    <row r="390" spans="1:26" s="14" customForma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T390" s="74"/>
      <c r="Y390" s="64"/>
      <c r="Z390" s="64"/>
    </row>
    <row r="391" spans="1:26" s="14" customForma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T391" s="74"/>
      <c r="Y391" s="64"/>
      <c r="Z391" s="64"/>
    </row>
    <row r="392" spans="1:26" s="14" customForma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T392" s="74"/>
      <c r="Y392" s="64"/>
      <c r="Z392" s="64"/>
    </row>
    <row r="393" spans="1:26" s="14" customForma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T393" s="74"/>
      <c r="Y393" s="64"/>
      <c r="Z393" s="64"/>
    </row>
    <row r="394" spans="1:26" s="14" customForma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T394" s="74"/>
      <c r="Y394" s="64"/>
      <c r="Z394" s="64"/>
    </row>
    <row r="395" spans="1:26" s="14" customForma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T395" s="74"/>
      <c r="Y395" s="64"/>
      <c r="Z395" s="64"/>
    </row>
    <row r="396" spans="1:26" s="14" customForma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T396" s="74"/>
      <c r="Y396" s="64"/>
      <c r="Z396" s="64"/>
    </row>
    <row r="397" spans="1:26" s="14" customForma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T397" s="74"/>
      <c r="Y397" s="64"/>
      <c r="Z397" s="64"/>
    </row>
    <row r="398" spans="1:26" s="14" customForma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T398" s="74"/>
      <c r="Y398" s="64"/>
      <c r="Z398" s="64"/>
    </row>
    <row r="399" spans="1:26" s="14" customForma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T399" s="74"/>
      <c r="Y399" s="64"/>
      <c r="Z399" s="64"/>
    </row>
    <row r="400" spans="1:26" s="14" customForma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T400" s="74"/>
      <c r="Y400" s="64"/>
      <c r="Z400" s="64"/>
    </row>
    <row r="401" spans="1:26" s="14" customForma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T401" s="74"/>
      <c r="Y401" s="64"/>
      <c r="Z401" s="64"/>
    </row>
    <row r="402" spans="1:26" s="14" customForma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T402" s="74"/>
      <c r="Y402" s="64"/>
      <c r="Z402" s="64"/>
    </row>
    <row r="403" spans="1:26" s="14" customForma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T403" s="74"/>
      <c r="Y403" s="64"/>
      <c r="Z403" s="64"/>
    </row>
    <row r="404" spans="1:26" s="14" customForma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T404" s="74"/>
      <c r="Y404" s="64"/>
      <c r="Z404" s="64"/>
    </row>
    <row r="405" spans="1:26" s="14" customForma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T405" s="74"/>
      <c r="Y405" s="64"/>
      <c r="Z405" s="64"/>
    </row>
    <row r="406" spans="1:26" s="14" customForma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T406" s="74"/>
      <c r="Y406" s="64"/>
      <c r="Z406" s="64"/>
    </row>
    <row r="407" spans="1:26" s="14" customForma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T407" s="74"/>
      <c r="Y407" s="64"/>
      <c r="Z407" s="64"/>
    </row>
    <row r="408" spans="1:26" s="14" customForma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T408" s="74"/>
      <c r="Y408" s="64"/>
      <c r="Z408" s="64"/>
    </row>
    <row r="409" spans="1:26" s="14" customForma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T409" s="74"/>
      <c r="Y409" s="64"/>
      <c r="Z409" s="64"/>
    </row>
    <row r="410" spans="1:26" s="14" customForma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T410" s="74"/>
      <c r="Y410" s="64"/>
      <c r="Z410" s="64"/>
    </row>
    <row r="411" spans="1:26" s="14" customForma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T411" s="74"/>
      <c r="Y411" s="64"/>
      <c r="Z411" s="64"/>
    </row>
    <row r="412" spans="1:26" s="14" customForma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T412" s="74"/>
      <c r="Y412" s="64"/>
      <c r="Z412" s="64"/>
    </row>
    <row r="413" spans="1:26" s="14" customForma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T413" s="74"/>
      <c r="Y413" s="64"/>
      <c r="Z413" s="64"/>
    </row>
    <row r="414" spans="1:26" s="14" customForma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T414" s="74"/>
      <c r="Y414" s="64"/>
      <c r="Z414" s="64"/>
    </row>
    <row r="415" spans="1:26" s="14" customForma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T415" s="74"/>
      <c r="Y415" s="64"/>
      <c r="Z415" s="64"/>
    </row>
    <row r="416" spans="1:26" s="14" customForma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T416" s="74"/>
      <c r="Y416" s="64"/>
      <c r="Z416" s="64"/>
    </row>
    <row r="417" spans="1:26" s="14" customForma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T417" s="74"/>
      <c r="Y417" s="64"/>
      <c r="Z417" s="64"/>
    </row>
    <row r="418" spans="1:26" s="14" customForma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T418" s="74"/>
      <c r="Y418" s="64"/>
      <c r="Z418" s="64"/>
    </row>
    <row r="419" spans="1:26" s="14" customForma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T419" s="74"/>
      <c r="Y419" s="64"/>
      <c r="Z419" s="64"/>
    </row>
    <row r="420" spans="1:26" s="14" customForma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T420" s="74"/>
      <c r="Y420" s="64"/>
      <c r="Z420" s="64"/>
    </row>
    <row r="421" spans="1:26" s="14" customForma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T421" s="74"/>
      <c r="Y421" s="64"/>
      <c r="Z421" s="64"/>
    </row>
    <row r="422" spans="1:26" s="14" customForma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T422" s="74"/>
      <c r="Y422" s="64"/>
      <c r="Z422" s="64"/>
    </row>
    <row r="423" spans="1:26" s="14" customForma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T423" s="74"/>
      <c r="Y423" s="64"/>
      <c r="Z423" s="64"/>
    </row>
    <row r="424" spans="1:26" s="14" customForma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T424" s="74"/>
      <c r="Y424" s="64"/>
      <c r="Z424" s="64"/>
    </row>
    <row r="425" spans="1:26" s="14" customForma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T425" s="74"/>
      <c r="Y425" s="64"/>
      <c r="Z425" s="64"/>
    </row>
    <row r="426" spans="1:26" s="14" customForma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T426" s="74"/>
      <c r="Y426" s="64"/>
      <c r="Z426" s="64"/>
    </row>
    <row r="427" spans="1:26" s="14" customForma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T427" s="74"/>
      <c r="Y427" s="64"/>
      <c r="Z427" s="64"/>
    </row>
    <row r="428" spans="1:26" s="14" customForma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T428" s="74"/>
      <c r="Y428" s="64"/>
      <c r="Z428" s="64"/>
    </row>
    <row r="429" spans="1:26" s="14" customForma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T429" s="74"/>
      <c r="Y429" s="64"/>
      <c r="Z429" s="64"/>
    </row>
    <row r="430" spans="1:26" s="14" customForma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T430" s="74"/>
      <c r="Y430" s="64"/>
      <c r="Z430" s="64"/>
    </row>
    <row r="431" spans="1:26" s="14" customForma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T431" s="74"/>
      <c r="Y431" s="64"/>
      <c r="Z431" s="64"/>
    </row>
    <row r="432" spans="1:26" s="14" customForma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T432" s="74"/>
      <c r="Y432" s="64"/>
      <c r="Z432" s="64"/>
    </row>
    <row r="433" spans="1:26" s="14" customForma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T433" s="74"/>
      <c r="Y433" s="64"/>
      <c r="Z433" s="64"/>
    </row>
    <row r="434" spans="1:26" s="14" customForma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T434" s="74"/>
      <c r="Y434" s="64"/>
      <c r="Z434" s="64"/>
    </row>
    <row r="435" spans="1:26" s="14" customForma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T435" s="74"/>
      <c r="Y435" s="64"/>
      <c r="Z435" s="64"/>
    </row>
    <row r="436" spans="1:26" s="14" customForma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T436" s="74"/>
      <c r="Y436" s="64"/>
      <c r="Z436" s="64"/>
    </row>
    <row r="437" spans="1:26" s="14" customForma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T437" s="74"/>
      <c r="Y437" s="64"/>
      <c r="Z437" s="64"/>
    </row>
    <row r="438" spans="1:26" s="14" customForma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T438" s="74"/>
      <c r="Y438" s="64"/>
      <c r="Z438" s="64"/>
    </row>
    <row r="439" spans="1:26" s="14" customForma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T439" s="74"/>
      <c r="Y439" s="64"/>
      <c r="Z439" s="64"/>
    </row>
    <row r="440" spans="1:26" s="14" customForma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T440" s="74"/>
      <c r="Y440" s="64"/>
      <c r="Z440" s="64"/>
    </row>
    <row r="441" spans="1:26" s="14" customForma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T441" s="74"/>
      <c r="Y441" s="64"/>
      <c r="Z441" s="64"/>
    </row>
    <row r="442" spans="1:26" s="14" customForma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T442" s="74"/>
      <c r="Y442" s="64"/>
      <c r="Z442" s="64"/>
    </row>
    <row r="443" spans="1:26" s="14" customForma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T443" s="74"/>
      <c r="Y443" s="64"/>
      <c r="Z443" s="64"/>
    </row>
    <row r="444" spans="1:26" s="14" customForma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T444" s="74"/>
      <c r="Y444" s="64"/>
      <c r="Z444" s="64"/>
    </row>
    <row r="445" spans="1:26" s="14" customForma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T445" s="74"/>
      <c r="Y445" s="64"/>
      <c r="Z445" s="64"/>
    </row>
    <row r="446" spans="1:26" s="14" customForma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T446" s="74"/>
      <c r="Y446" s="64"/>
      <c r="Z446" s="64"/>
    </row>
    <row r="447" spans="1:26" s="14" customForma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T447" s="74"/>
      <c r="Y447" s="64"/>
      <c r="Z447" s="64"/>
    </row>
    <row r="448" spans="1:26" s="14" customForma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T448" s="74"/>
      <c r="Y448" s="64"/>
      <c r="Z448" s="64"/>
    </row>
    <row r="449" spans="1:26" s="14" customForma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T449" s="74"/>
      <c r="Y449" s="64"/>
      <c r="Z449" s="64"/>
    </row>
    <row r="450" spans="1:26" s="14" customForma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T450" s="74"/>
      <c r="Y450" s="64"/>
      <c r="Z450" s="64"/>
    </row>
    <row r="451" spans="1:26" s="14" customForma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T451" s="74"/>
      <c r="Y451" s="64"/>
      <c r="Z451" s="64"/>
    </row>
    <row r="452" spans="1:26" s="14" customForma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T452" s="74"/>
      <c r="Y452" s="64"/>
      <c r="Z452" s="64"/>
    </row>
    <row r="453" spans="1:26" s="14" customForma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T453" s="74"/>
      <c r="Y453" s="64"/>
      <c r="Z453" s="64"/>
    </row>
    <row r="454" spans="1:26" s="14" customForma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T454" s="74"/>
      <c r="Y454" s="64"/>
      <c r="Z454" s="64"/>
    </row>
    <row r="455" spans="1:26" s="14" customForma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T455" s="74"/>
      <c r="Y455" s="64"/>
      <c r="Z455" s="64"/>
    </row>
    <row r="456" spans="1:26" s="14" customForma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T456" s="74"/>
      <c r="Y456" s="64"/>
      <c r="Z456" s="64"/>
    </row>
    <row r="457" spans="1:26" s="14" customForma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T457" s="74"/>
      <c r="Y457" s="64"/>
      <c r="Z457" s="64"/>
    </row>
    <row r="458" spans="1:26" s="14" customForma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T458" s="74"/>
      <c r="Y458" s="64"/>
      <c r="Z458" s="64"/>
    </row>
    <row r="459" spans="1:26" s="14" customForma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T459" s="74"/>
      <c r="Y459" s="64"/>
      <c r="Z459" s="64"/>
    </row>
    <row r="460" spans="1:26" s="14" customForma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T460" s="74"/>
      <c r="Y460" s="64"/>
      <c r="Z460" s="64"/>
    </row>
    <row r="461" spans="1:26" s="14" customForma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T461" s="74"/>
      <c r="Y461" s="64"/>
      <c r="Z461" s="64"/>
    </row>
    <row r="462" spans="1:26" s="14" customForma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T462" s="74"/>
      <c r="Y462" s="64"/>
      <c r="Z462" s="64"/>
    </row>
    <row r="463" spans="1:26" s="14" customForma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T463" s="74"/>
      <c r="Y463" s="64"/>
      <c r="Z463" s="64"/>
    </row>
    <row r="464" spans="1:26" s="14" customForma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T464" s="74"/>
      <c r="Y464" s="64"/>
      <c r="Z464" s="64"/>
    </row>
    <row r="465" spans="1:26" s="14" customForma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T465" s="74"/>
      <c r="Y465" s="64"/>
      <c r="Z465" s="64"/>
    </row>
    <row r="466" spans="1:26" s="14" customForma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T466" s="74"/>
      <c r="Y466" s="64"/>
      <c r="Z466" s="64"/>
    </row>
    <row r="467" spans="1:26" s="14" customForma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T467" s="74"/>
      <c r="Y467" s="64"/>
      <c r="Z467" s="64"/>
    </row>
    <row r="468" spans="1:26" s="14" customForma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T468" s="74"/>
      <c r="Y468" s="64"/>
      <c r="Z468" s="64"/>
    </row>
    <row r="469" spans="1:26" s="14" customForma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T469" s="74"/>
      <c r="Y469" s="64"/>
      <c r="Z469" s="64"/>
    </row>
    <row r="470" spans="1:26" s="14" customForma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T470" s="74"/>
      <c r="Y470" s="64"/>
      <c r="Z470" s="64"/>
    </row>
    <row r="471" spans="1:26" s="14" customForma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T471" s="74"/>
      <c r="Y471" s="64"/>
      <c r="Z471" s="64"/>
    </row>
    <row r="472" spans="1:26" s="14" customForma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T472" s="74"/>
      <c r="Y472" s="64"/>
      <c r="Z472" s="64"/>
    </row>
    <row r="473" spans="1:26" s="14" customForma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T473" s="74"/>
      <c r="Y473" s="64"/>
      <c r="Z473" s="64"/>
    </row>
    <row r="474" spans="1:26" s="14" customForma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T474" s="74"/>
      <c r="Y474" s="64"/>
      <c r="Z474" s="64"/>
    </row>
    <row r="475" spans="1:26" s="14" customForma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T475" s="74"/>
      <c r="Y475" s="64"/>
      <c r="Z475" s="64"/>
    </row>
    <row r="476" spans="1:26" s="14" customForma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T476" s="74"/>
      <c r="Y476" s="64"/>
      <c r="Z476" s="64"/>
    </row>
    <row r="477" spans="1:26" s="14" customForma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T477" s="74"/>
      <c r="Y477" s="64"/>
      <c r="Z477" s="64"/>
    </row>
    <row r="478" spans="1:26" s="14" customForma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T478" s="74"/>
      <c r="Y478" s="64"/>
      <c r="Z478" s="64"/>
    </row>
    <row r="479" spans="1:26" s="14" customForma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T479" s="74"/>
      <c r="Y479" s="64"/>
      <c r="Z479" s="64"/>
    </row>
    <row r="480" spans="1:26" s="14" customForma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T480" s="74"/>
      <c r="Y480" s="64"/>
      <c r="Z480" s="64"/>
    </row>
    <row r="481" spans="1:26" s="14" customForma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T481" s="74"/>
      <c r="Y481" s="64"/>
      <c r="Z481" s="64"/>
    </row>
    <row r="482" spans="1:26" s="14" customForma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T482" s="74"/>
      <c r="Y482" s="64"/>
      <c r="Z482" s="64"/>
    </row>
    <row r="483" spans="1:26" s="14" customForma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T483" s="74"/>
      <c r="Y483" s="64"/>
      <c r="Z483" s="64"/>
    </row>
    <row r="484" spans="1:26" s="14" customForma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T484" s="74"/>
      <c r="Y484" s="64"/>
      <c r="Z484" s="64"/>
    </row>
    <row r="485" spans="1:26" s="14" customForma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T485" s="74"/>
      <c r="Y485" s="64"/>
      <c r="Z485" s="64"/>
    </row>
    <row r="486" spans="1:26" s="14" customForma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T486" s="74"/>
      <c r="Y486" s="64"/>
      <c r="Z486" s="64"/>
    </row>
    <row r="487" spans="1:26" s="14" customForma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T487" s="74"/>
      <c r="Y487" s="64"/>
      <c r="Z487" s="64"/>
    </row>
    <row r="488" spans="1:26" s="14" customForma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T488" s="74"/>
      <c r="Y488" s="64"/>
      <c r="Z488" s="64"/>
    </row>
    <row r="489" spans="1:26" s="14" customForma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T489" s="74"/>
      <c r="Y489" s="64"/>
      <c r="Z489" s="64"/>
    </row>
    <row r="490" spans="1:26" s="14" customForma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T490" s="74"/>
      <c r="Y490" s="64"/>
      <c r="Z490" s="64"/>
    </row>
    <row r="491" spans="1:26" s="14" customForma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T491" s="74"/>
      <c r="Y491" s="64"/>
      <c r="Z491" s="64"/>
    </row>
    <row r="492" spans="1:26" s="14" customForma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T492" s="74"/>
      <c r="Y492" s="64"/>
      <c r="Z492" s="64"/>
    </row>
    <row r="493" spans="1:26" s="14" customForma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T493" s="74"/>
      <c r="Y493" s="64"/>
      <c r="Z493" s="64"/>
    </row>
    <row r="494" spans="1:26" s="14" customForma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T494" s="74"/>
      <c r="Y494" s="64"/>
      <c r="Z494" s="64"/>
    </row>
    <row r="495" spans="1:26" s="14" customForma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T495" s="74"/>
      <c r="Y495" s="64"/>
      <c r="Z495" s="64"/>
    </row>
    <row r="496" spans="1:26" s="14" customForma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T496" s="74"/>
      <c r="Y496" s="64"/>
      <c r="Z496" s="64"/>
    </row>
    <row r="497" spans="1:26" s="14" customForma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T497" s="74"/>
      <c r="Y497" s="64"/>
      <c r="Z497" s="64"/>
    </row>
    <row r="498" spans="1:26" s="14" customForma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T498" s="74"/>
      <c r="Y498" s="64"/>
      <c r="Z498" s="64"/>
    </row>
    <row r="499" spans="1:26" s="14" customForma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T499" s="74"/>
      <c r="Y499" s="64"/>
      <c r="Z499" s="64"/>
    </row>
    <row r="500" spans="1:26" s="14" customForma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T500" s="74"/>
      <c r="Y500" s="64"/>
      <c r="Z500" s="64"/>
    </row>
    <row r="501" spans="1:26" s="14" customForma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T501" s="74"/>
      <c r="Y501" s="64"/>
      <c r="Z501" s="64"/>
    </row>
    <row r="502" spans="1:26" s="14" customForma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T502" s="74"/>
      <c r="Y502" s="64"/>
      <c r="Z502" s="64"/>
    </row>
    <row r="503" spans="1:26" s="14" customForma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T503" s="74"/>
      <c r="Y503" s="64"/>
      <c r="Z503" s="64"/>
    </row>
    <row r="504" spans="1:26" s="14" customForma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T504" s="74"/>
      <c r="Y504" s="64"/>
      <c r="Z504" s="64"/>
    </row>
    <row r="505" spans="1:26" s="14" customForma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T505" s="74"/>
      <c r="Y505" s="64"/>
      <c r="Z505" s="64"/>
    </row>
    <row r="506" spans="1:26" s="14" customForma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T506" s="74"/>
      <c r="Y506" s="64"/>
      <c r="Z506" s="64"/>
    </row>
    <row r="507" spans="1:26" s="14" customForma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T507" s="74"/>
      <c r="Y507" s="64"/>
      <c r="Z507" s="64"/>
    </row>
    <row r="508" spans="1:26" s="14" customForma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T508" s="74"/>
      <c r="Y508" s="64"/>
      <c r="Z508" s="64"/>
    </row>
    <row r="509" spans="1:26" s="14" customForma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T509" s="74"/>
      <c r="Y509" s="64"/>
      <c r="Z509" s="64"/>
    </row>
    <row r="510" spans="1:26" s="14" customForma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T510" s="74"/>
      <c r="Y510" s="64"/>
      <c r="Z510" s="64"/>
    </row>
    <row r="511" spans="1:26" s="14" customForma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T511" s="74"/>
      <c r="Y511" s="64"/>
      <c r="Z511" s="64"/>
    </row>
    <row r="512" spans="1:26" s="14" customForma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T512" s="74"/>
      <c r="Y512" s="64"/>
      <c r="Z512" s="64"/>
    </row>
    <row r="513" spans="1:26" s="14" customForma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T513" s="74"/>
      <c r="Y513" s="64"/>
      <c r="Z513" s="64"/>
    </row>
    <row r="514" spans="1:26" s="14" customForma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T514" s="74"/>
      <c r="Y514" s="64"/>
      <c r="Z514" s="64"/>
    </row>
    <row r="515" spans="1:26" s="14" customForma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T515" s="74"/>
      <c r="Y515" s="64"/>
      <c r="Z515" s="64"/>
    </row>
    <row r="516" spans="1:26" s="14" customForma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T516" s="74"/>
      <c r="Y516" s="64"/>
      <c r="Z516" s="64"/>
    </row>
    <row r="517" spans="1:26" s="14" customForma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T517" s="74"/>
      <c r="Y517" s="64"/>
      <c r="Z517" s="64"/>
    </row>
    <row r="518" spans="1:26" s="14" customForma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T518" s="74"/>
      <c r="Y518" s="64"/>
      <c r="Z518" s="64"/>
    </row>
    <row r="519" spans="1:26" s="14" customForma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T519" s="74"/>
      <c r="Y519" s="64"/>
      <c r="Z519" s="64"/>
    </row>
    <row r="520" spans="1:26" s="14" customForma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T520" s="74"/>
      <c r="Y520" s="64"/>
      <c r="Z520" s="64"/>
    </row>
    <row r="521" spans="1:26" s="14" customForma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T521" s="74"/>
      <c r="Y521" s="64"/>
      <c r="Z521" s="64"/>
    </row>
    <row r="522" spans="1:26" s="14" customForma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T522" s="74"/>
      <c r="Y522" s="64"/>
      <c r="Z522" s="64"/>
    </row>
    <row r="523" spans="1:26" s="14" customForma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T523" s="74"/>
      <c r="Y523" s="64"/>
      <c r="Z523" s="64"/>
    </row>
    <row r="524" spans="1:26" s="14" customForma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T524" s="74"/>
      <c r="Y524" s="64"/>
      <c r="Z524" s="64"/>
    </row>
    <row r="525" spans="1:26" s="14" customForma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T525" s="74"/>
      <c r="Y525" s="64"/>
      <c r="Z525" s="64"/>
    </row>
    <row r="526" spans="1:26" s="14" customForma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T526" s="74"/>
      <c r="Y526" s="64"/>
      <c r="Z526" s="64"/>
    </row>
    <row r="527" spans="1:26" s="14" customForma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T527" s="74"/>
      <c r="Y527" s="64"/>
      <c r="Z527" s="64"/>
    </row>
    <row r="528" spans="1:26" s="14" customForma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T528" s="74"/>
      <c r="Y528" s="64"/>
      <c r="Z528" s="64"/>
    </row>
    <row r="529" spans="1:26" s="14" customForma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T529" s="74"/>
      <c r="Y529" s="64"/>
      <c r="Z529" s="64"/>
    </row>
    <row r="530" spans="1:26" s="14" customForma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T530" s="74"/>
      <c r="Y530" s="64"/>
      <c r="Z530" s="64"/>
    </row>
    <row r="531" spans="1:26" s="14" customForma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T531" s="74"/>
      <c r="Y531" s="64"/>
      <c r="Z531" s="64"/>
    </row>
    <row r="532" spans="1:26" s="14" customForma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T532" s="74"/>
      <c r="Y532" s="64"/>
      <c r="Z532" s="64"/>
    </row>
    <row r="533" spans="1:26" s="14" customForma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T533" s="74"/>
      <c r="Y533" s="64"/>
      <c r="Z533" s="64"/>
    </row>
    <row r="534" spans="1:26" s="14" customForma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T534" s="74"/>
      <c r="Y534" s="64"/>
      <c r="Z534" s="64"/>
    </row>
    <row r="535" spans="1:26" s="14" customForma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T535" s="74"/>
      <c r="Y535" s="64"/>
      <c r="Z535" s="64"/>
    </row>
    <row r="536" spans="1:26" s="14" customForma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T536" s="74"/>
      <c r="Y536" s="64"/>
      <c r="Z536" s="64"/>
    </row>
    <row r="537" spans="1:26" s="14" customForma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T537" s="74"/>
      <c r="Y537" s="64"/>
      <c r="Z537" s="64"/>
    </row>
    <row r="538" spans="1:26" s="14" customForma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T538" s="74"/>
      <c r="Y538" s="64"/>
      <c r="Z538" s="64"/>
    </row>
    <row r="539" spans="1:26" s="14" customForma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T539" s="74"/>
      <c r="Y539" s="64"/>
      <c r="Z539" s="64"/>
    </row>
    <row r="540" spans="1:26" s="14" customForma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T540" s="74"/>
      <c r="Y540" s="64"/>
      <c r="Z540" s="64"/>
    </row>
    <row r="541" spans="1:26" s="14" customForma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T541" s="74"/>
      <c r="Y541" s="64"/>
      <c r="Z541" s="64"/>
    </row>
    <row r="542" spans="1:26" s="14" customForma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T542" s="74"/>
      <c r="Y542" s="64"/>
      <c r="Z542" s="64"/>
    </row>
    <row r="543" spans="1:26" s="14" customForma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T543" s="74"/>
      <c r="Y543" s="64"/>
      <c r="Z543" s="64"/>
    </row>
    <row r="544" spans="1:26" s="14" customForma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T544" s="74"/>
      <c r="Y544" s="64"/>
      <c r="Z544" s="64"/>
    </row>
    <row r="545" spans="1:26" s="14" customForma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T545" s="74"/>
      <c r="Y545" s="64"/>
      <c r="Z545" s="64"/>
    </row>
    <row r="546" spans="1:26" s="14" customForma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T546" s="74"/>
      <c r="Y546" s="64"/>
      <c r="Z546" s="64"/>
    </row>
    <row r="547" spans="1:26" s="14" customForma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T547" s="74"/>
      <c r="Y547" s="64"/>
      <c r="Z547" s="64"/>
    </row>
    <row r="548" spans="1:26" s="14" customForma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T548" s="74"/>
      <c r="Y548" s="64"/>
      <c r="Z548" s="64"/>
    </row>
    <row r="549" spans="1:26" s="14" customForma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T549" s="74"/>
      <c r="Y549" s="64"/>
      <c r="Z549" s="64"/>
    </row>
    <row r="550" spans="1:26" s="14" customForma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T550" s="74"/>
      <c r="Y550" s="64"/>
      <c r="Z550" s="64"/>
    </row>
    <row r="551" spans="1:26" s="14" customForma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T551" s="74"/>
      <c r="Y551" s="64"/>
      <c r="Z551" s="64"/>
    </row>
    <row r="552" spans="1:26" s="14" customForma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T552" s="74"/>
      <c r="Y552" s="64"/>
      <c r="Z552" s="64"/>
    </row>
    <row r="553" spans="1:26" s="14" customForma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T553" s="74"/>
      <c r="Y553" s="64"/>
      <c r="Z553" s="64"/>
    </row>
    <row r="554" spans="1:26" s="14" customForma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T554" s="74"/>
      <c r="Y554" s="64"/>
      <c r="Z554" s="64"/>
    </row>
    <row r="555" spans="1:26" s="14" customForma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T555" s="74"/>
      <c r="Y555" s="64"/>
      <c r="Z555" s="64"/>
    </row>
    <row r="556" spans="1:26" s="14" customForma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T556" s="74"/>
      <c r="Y556" s="64"/>
      <c r="Z556" s="64"/>
    </row>
    <row r="557" spans="1:26" s="14" customForma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T557" s="74"/>
      <c r="Y557" s="64"/>
      <c r="Z557" s="64"/>
    </row>
    <row r="558" spans="1:26" s="14" customForma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T558" s="74"/>
      <c r="Y558" s="64"/>
      <c r="Z558" s="64"/>
    </row>
    <row r="559" spans="1:26" s="14" customForma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T559" s="74"/>
      <c r="Y559" s="64"/>
      <c r="Z559" s="64"/>
    </row>
    <row r="560" spans="1:26" s="14" customForma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T560" s="74"/>
      <c r="Y560" s="64"/>
      <c r="Z560" s="64"/>
    </row>
    <row r="561" spans="1:26" s="14" customForma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T561" s="74"/>
      <c r="Y561" s="64"/>
      <c r="Z561" s="64"/>
    </row>
    <row r="562" spans="1:26" s="14" customForma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T562" s="74"/>
      <c r="Y562" s="64"/>
      <c r="Z562" s="64"/>
    </row>
    <row r="563" spans="1:26" s="14" customForma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T563" s="74"/>
      <c r="Y563" s="64"/>
      <c r="Z563" s="64"/>
    </row>
    <row r="564" spans="1:26" s="14" customForma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T564" s="74"/>
      <c r="Y564" s="64"/>
      <c r="Z564" s="64"/>
    </row>
    <row r="565" spans="1:26" s="14" customForma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T565" s="74"/>
      <c r="Y565" s="64"/>
      <c r="Z565" s="64"/>
    </row>
    <row r="566" spans="1:26" s="14" customForma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T566" s="74"/>
      <c r="Y566" s="64"/>
      <c r="Z566" s="64"/>
    </row>
    <row r="567" spans="1:26" s="14" customForma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T567" s="74"/>
      <c r="Y567" s="64"/>
      <c r="Z567" s="64"/>
    </row>
    <row r="568" spans="1:26" s="14" customForma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T568" s="74"/>
      <c r="Y568" s="64"/>
      <c r="Z568" s="64"/>
    </row>
    <row r="569" spans="1:26" s="14" customForma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T569" s="74"/>
      <c r="Y569" s="64"/>
      <c r="Z569" s="64"/>
    </row>
    <row r="570" spans="1:26" s="14" customForma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T570" s="74"/>
      <c r="Y570" s="64"/>
      <c r="Z570" s="64"/>
    </row>
    <row r="571" spans="1:26" s="14" customForma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T571" s="74"/>
      <c r="Y571" s="64"/>
      <c r="Z571" s="64"/>
    </row>
    <row r="572" spans="1:26" s="14" customForma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T572" s="74"/>
      <c r="Y572" s="64"/>
      <c r="Z572" s="64"/>
    </row>
    <row r="573" spans="1:26" s="14" customForma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T573" s="74"/>
      <c r="Y573" s="64"/>
      <c r="Z573" s="64"/>
    </row>
    <row r="574" spans="1:26" s="14" customForma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T574" s="74"/>
      <c r="Y574" s="64"/>
      <c r="Z574" s="64"/>
    </row>
    <row r="575" spans="1:26" s="14" customForma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T575" s="74"/>
      <c r="Y575" s="64"/>
      <c r="Z575" s="64"/>
    </row>
    <row r="576" spans="1:26" s="14" customForma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T576" s="74"/>
      <c r="Y576" s="64"/>
      <c r="Z576" s="64"/>
    </row>
    <row r="577" spans="1:26" s="14" customForma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T577" s="74"/>
      <c r="Y577" s="64"/>
      <c r="Z577" s="64"/>
    </row>
    <row r="578" spans="1:26" s="14" customForma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T578" s="74"/>
      <c r="Y578" s="64"/>
      <c r="Z578" s="64"/>
    </row>
    <row r="579" spans="1:26" s="14" customForma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T579" s="74"/>
      <c r="Y579" s="64"/>
      <c r="Z579" s="64"/>
    </row>
    <row r="580" spans="1:26" s="14" customForma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T580" s="74"/>
      <c r="Y580" s="64"/>
      <c r="Z580" s="64"/>
    </row>
    <row r="581" spans="1:26" s="14" customForma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T581" s="74"/>
      <c r="Y581" s="64"/>
      <c r="Z581" s="64"/>
    </row>
    <row r="582" spans="1:26" s="14" customForma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T582" s="74"/>
      <c r="Y582" s="64"/>
      <c r="Z582" s="64"/>
    </row>
    <row r="583" spans="1:26" s="14" customForma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T583" s="74"/>
      <c r="Y583" s="64"/>
      <c r="Z583" s="64"/>
    </row>
    <row r="584" spans="1:26" s="14" customForma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T584" s="74"/>
      <c r="Y584" s="64"/>
      <c r="Z584" s="64"/>
    </row>
    <row r="585" spans="1:26" s="14" customForma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T585" s="74"/>
      <c r="Y585" s="64"/>
      <c r="Z585" s="64"/>
    </row>
    <row r="586" spans="1:26" s="14" customForma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T586" s="74"/>
      <c r="Y586" s="64"/>
      <c r="Z586" s="64"/>
    </row>
    <row r="587" spans="1:26" s="14" customForma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T587" s="74"/>
      <c r="Y587" s="64"/>
      <c r="Z587" s="64"/>
    </row>
    <row r="588" spans="1:26" s="14" customForma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T588" s="74"/>
      <c r="Y588" s="64"/>
      <c r="Z588" s="64"/>
    </row>
    <row r="589" spans="1:26" s="14" customForma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T589" s="74"/>
      <c r="Y589" s="64"/>
      <c r="Z589" s="64"/>
    </row>
    <row r="590" spans="1:26" s="14" customForma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T590" s="74"/>
      <c r="Y590" s="64"/>
      <c r="Z590" s="64"/>
    </row>
    <row r="591" spans="1:26" s="14" customForma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T591" s="74"/>
      <c r="Y591" s="64"/>
      <c r="Z591" s="64"/>
    </row>
    <row r="592" spans="1:26" s="14" customForma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T592" s="74"/>
      <c r="Y592" s="64"/>
      <c r="Z592" s="64"/>
    </row>
    <row r="593" spans="1:26" s="14" customForma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T593" s="74"/>
      <c r="Y593" s="64"/>
      <c r="Z593" s="64"/>
    </row>
    <row r="594" spans="1:26" s="14" customForma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T594" s="74"/>
      <c r="Y594" s="64"/>
      <c r="Z594" s="64"/>
    </row>
    <row r="595" spans="1:26" s="14" customForma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T595" s="74"/>
      <c r="Y595" s="64"/>
      <c r="Z595" s="64"/>
    </row>
    <row r="596" spans="1:26" s="14" customForma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T596" s="74"/>
      <c r="Y596" s="64"/>
      <c r="Z596" s="64"/>
    </row>
    <row r="597" spans="1:26" s="14" customForma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T597" s="74"/>
      <c r="Y597" s="64"/>
      <c r="Z597" s="64"/>
    </row>
    <row r="598" spans="1:26" s="14" customForma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T598" s="74"/>
      <c r="Y598" s="64"/>
      <c r="Z598" s="64"/>
    </row>
    <row r="599" spans="1:26" s="14" customForma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T599" s="74"/>
      <c r="Y599" s="64"/>
      <c r="Z599" s="64"/>
    </row>
    <row r="600" spans="1:26" s="14" customForma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T600" s="74"/>
      <c r="Y600" s="64"/>
      <c r="Z600" s="64"/>
    </row>
    <row r="601" spans="1:26" s="14" customForma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T601" s="74"/>
      <c r="Y601" s="64"/>
      <c r="Z601" s="64"/>
    </row>
    <row r="602" spans="1:26" s="14" customForma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T602" s="74"/>
      <c r="Y602" s="64"/>
      <c r="Z602" s="64"/>
    </row>
    <row r="603" spans="1:26" s="14" customForma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T603" s="74"/>
      <c r="Y603" s="64"/>
      <c r="Z603" s="64"/>
    </row>
    <row r="604" spans="1:26" s="14" customForma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T604" s="74"/>
      <c r="Y604" s="64"/>
      <c r="Z604" s="64"/>
    </row>
    <row r="605" spans="1:26" s="14" customForma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T605" s="74"/>
      <c r="Y605" s="64"/>
      <c r="Z605" s="64"/>
    </row>
    <row r="606" spans="1:26" s="14" customForma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T606" s="74"/>
      <c r="Y606" s="64"/>
      <c r="Z606" s="64"/>
    </row>
    <row r="607" spans="1:26" s="14" customForma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T607" s="74"/>
      <c r="Y607" s="64"/>
      <c r="Z607" s="64"/>
    </row>
    <row r="608" spans="1:26" s="14" customForma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T608" s="74"/>
      <c r="Y608" s="64"/>
      <c r="Z608" s="64"/>
    </row>
    <row r="609" spans="1:26" s="14" customForma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T609" s="74"/>
      <c r="Y609" s="64"/>
      <c r="Z609" s="64"/>
    </row>
    <row r="610" spans="1:26" s="14" customForma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T610" s="74"/>
      <c r="Y610" s="64"/>
      <c r="Z610" s="64"/>
    </row>
    <row r="611" spans="1:26" s="14" customForma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T611" s="74"/>
      <c r="Y611" s="64"/>
      <c r="Z611" s="64"/>
    </row>
    <row r="612" spans="1:26" s="14" customForma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T612" s="74"/>
      <c r="Y612" s="64"/>
      <c r="Z612" s="64"/>
    </row>
    <row r="613" spans="1:26" s="14" customForma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T613" s="74"/>
      <c r="Y613" s="64"/>
      <c r="Z613" s="64"/>
    </row>
    <row r="614" spans="1:26" s="14" customForma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T614" s="74"/>
      <c r="Y614" s="64"/>
      <c r="Z614" s="64"/>
    </row>
    <row r="615" spans="1:26" s="14" customForma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T615" s="74"/>
      <c r="Y615" s="64"/>
      <c r="Z615" s="64"/>
    </row>
    <row r="616" spans="1:26" s="14" customForma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T616" s="74"/>
      <c r="Y616" s="64"/>
      <c r="Z616" s="64"/>
    </row>
    <row r="617" spans="1:26" s="14" customForma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T617" s="74"/>
      <c r="Y617" s="64"/>
      <c r="Z617" s="64"/>
    </row>
    <row r="618" spans="1:26" s="14" customForma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T618" s="74"/>
      <c r="Y618" s="64"/>
      <c r="Z618" s="64"/>
    </row>
    <row r="619" spans="1:26" s="14" customForma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T619" s="74"/>
      <c r="Y619" s="64"/>
      <c r="Z619" s="64"/>
    </row>
    <row r="620" spans="1:26" s="14" customForma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T620" s="74"/>
      <c r="Y620" s="64"/>
      <c r="Z620" s="64"/>
    </row>
    <row r="621" spans="1:26" s="14" customForma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T621" s="74"/>
      <c r="Y621" s="64"/>
      <c r="Z621" s="64"/>
    </row>
    <row r="622" spans="1:26" s="14" customForma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T622" s="74"/>
      <c r="Y622" s="64"/>
      <c r="Z622" s="64"/>
    </row>
    <row r="623" spans="1:26" s="14" customForma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T623" s="74"/>
      <c r="Y623" s="64"/>
      <c r="Z623" s="64"/>
    </row>
    <row r="624" spans="1:26" s="14" customForma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T624" s="74"/>
      <c r="Y624" s="64"/>
      <c r="Z624" s="64"/>
    </row>
    <row r="625" spans="1:26" s="14" customForma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T625" s="74"/>
      <c r="Y625" s="64"/>
      <c r="Z625" s="64"/>
    </row>
    <row r="626" spans="1:26" s="14" customForma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T626" s="74"/>
      <c r="Y626" s="64"/>
      <c r="Z626" s="64"/>
    </row>
    <row r="627" spans="1:26" s="14" customForma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T627" s="74"/>
      <c r="Y627" s="64"/>
      <c r="Z627" s="64"/>
    </row>
    <row r="628" spans="1:26" s="14" customForma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T628" s="74"/>
      <c r="Y628" s="64"/>
      <c r="Z628" s="64"/>
    </row>
    <row r="629" spans="1:26" s="14" customForma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T629" s="74"/>
      <c r="Y629" s="64"/>
      <c r="Z629" s="64"/>
    </row>
    <row r="630" spans="1:26" s="14" customForma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T630" s="74"/>
      <c r="Y630" s="64"/>
      <c r="Z630" s="64"/>
    </row>
    <row r="631" spans="1:26" s="14" customForma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T631" s="74"/>
      <c r="Y631" s="64"/>
      <c r="Z631" s="64"/>
    </row>
    <row r="632" spans="1:26" s="14" customForma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T632" s="74"/>
      <c r="Y632" s="64"/>
      <c r="Z632" s="64"/>
    </row>
    <row r="633" spans="1:26" s="14" customForma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T633" s="74"/>
      <c r="Y633" s="64"/>
      <c r="Z633" s="64"/>
    </row>
    <row r="634" spans="1:26" s="14" customForma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T634" s="74"/>
      <c r="Y634" s="64"/>
      <c r="Z634" s="64"/>
    </row>
    <row r="635" spans="1:26" s="14" customForma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T635" s="74"/>
      <c r="Y635" s="64"/>
      <c r="Z635" s="64"/>
    </row>
    <row r="636" spans="1:26" s="14" customForma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T636" s="74"/>
      <c r="Y636" s="64"/>
      <c r="Z636" s="64"/>
    </row>
    <row r="637" spans="1:26" s="14" customForma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T637" s="74"/>
      <c r="Y637" s="64"/>
      <c r="Z637" s="64"/>
    </row>
    <row r="638" spans="1:26" s="14" customForma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T638" s="74"/>
      <c r="Y638" s="64"/>
      <c r="Z638" s="64"/>
    </row>
    <row r="639" spans="1:26" s="14" customForma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T639" s="74"/>
      <c r="Y639" s="64"/>
      <c r="Z639" s="64"/>
    </row>
    <row r="640" spans="1:26" s="14" customForma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T640" s="74"/>
      <c r="Y640" s="64"/>
      <c r="Z640" s="64"/>
    </row>
    <row r="641" spans="1:26" s="14" customForma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T641" s="74"/>
      <c r="Y641" s="64"/>
      <c r="Z641" s="64"/>
    </row>
    <row r="642" spans="1:26" s="14" customForma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T642" s="74"/>
      <c r="Y642" s="64"/>
      <c r="Z642" s="64"/>
    </row>
    <row r="643" spans="1:26" s="14" customForma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T643" s="74"/>
      <c r="Y643" s="64"/>
      <c r="Z643" s="64"/>
    </row>
    <row r="644" spans="1:26" s="14" customForma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T644" s="74"/>
      <c r="Y644" s="64"/>
      <c r="Z644" s="64"/>
    </row>
    <row r="645" spans="1:26" s="14" customForma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T645" s="74"/>
      <c r="Y645" s="64"/>
      <c r="Z645" s="64"/>
    </row>
    <row r="646" spans="1:26" s="14" customForma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T646" s="74"/>
      <c r="Y646" s="64"/>
      <c r="Z646" s="64"/>
    </row>
    <row r="647" spans="1:26" s="14" customForma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T647" s="74"/>
      <c r="Y647" s="64"/>
      <c r="Z647" s="64"/>
    </row>
    <row r="648" spans="1:26" s="14" customForma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T648" s="74"/>
      <c r="Y648" s="64"/>
      <c r="Z648" s="64"/>
    </row>
    <row r="649" spans="1:26" s="14" customForma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T649" s="74"/>
      <c r="Y649" s="64"/>
      <c r="Z649" s="64"/>
    </row>
    <row r="650" spans="1:26" s="14" customForma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T650" s="74"/>
      <c r="Y650" s="64"/>
      <c r="Z650" s="64"/>
    </row>
    <row r="651" spans="1:26" s="14" customForma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T651" s="74"/>
      <c r="Y651" s="64"/>
      <c r="Z651" s="64"/>
    </row>
    <row r="652" spans="1:26" s="14" customForma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T652" s="74"/>
      <c r="Y652" s="64"/>
      <c r="Z652" s="64"/>
    </row>
    <row r="653" spans="1:26" s="14" customForma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T653" s="74"/>
      <c r="Y653" s="64"/>
      <c r="Z653" s="64"/>
    </row>
    <row r="654" spans="1:26" s="14" customForma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T654" s="74"/>
      <c r="Y654" s="64"/>
      <c r="Z654" s="64"/>
    </row>
    <row r="655" spans="1:26" s="14" customForma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T655" s="74"/>
      <c r="Y655" s="64"/>
      <c r="Z655" s="64"/>
    </row>
    <row r="656" spans="1:26" s="14" customForma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T656" s="74"/>
      <c r="Y656" s="64"/>
      <c r="Z656" s="64"/>
    </row>
    <row r="657" spans="1:26" s="14" customForma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T657" s="74"/>
      <c r="Y657" s="64"/>
      <c r="Z657" s="64"/>
    </row>
    <row r="658" spans="1:26" s="14" customForma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T658" s="74"/>
      <c r="Y658" s="64"/>
      <c r="Z658" s="64"/>
    </row>
    <row r="659" spans="1:26" s="14" customForma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T659" s="74"/>
      <c r="Y659" s="64"/>
      <c r="Z659" s="64"/>
    </row>
    <row r="660" spans="1:26" s="14" customForma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T660" s="74"/>
      <c r="Y660" s="64"/>
      <c r="Z660" s="64"/>
    </row>
    <row r="661" spans="1:26" s="14" customForma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T661" s="74"/>
      <c r="Y661" s="64"/>
      <c r="Z661" s="64"/>
    </row>
    <row r="662" spans="1:26" s="14" customForma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T662" s="74"/>
      <c r="Y662" s="64"/>
      <c r="Z662" s="64"/>
    </row>
    <row r="663" spans="1:26" s="14" customForma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T663" s="74"/>
      <c r="Y663" s="64"/>
      <c r="Z663" s="64"/>
    </row>
    <row r="664" spans="1:26" s="14" customForma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T664" s="74"/>
      <c r="Y664" s="64"/>
      <c r="Z664" s="64"/>
    </row>
    <row r="665" spans="1:26" s="14" customForma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T665" s="74"/>
      <c r="Y665" s="64"/>
      <c r="Z665" s="64"/>
    </row>
    <row r="666" spans="1:26" s="14" customForma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T666" s="74"/>
      <c r="Y666" s="64"/>
      <c r="Z666" s="64"/>
    </row>
    <row r="667" spans="1:26" s="14" customForma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T667" s="74"/>
      <c r="Y667" s="64"/>
      <c r="Z667" s="64"/>
    </row>
    <row r="668" spans="1:26" s="14" customForma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T668" s="74"/>
      <c r="Y668" s="64"/>
      <c r="Z668" s="64"/>
    </row>
    <row r="669" spans="1:26" s="14" customForma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T669" s="74"/>
      <c r="Y669" s="64"/>
      <c r="Z669" s="64"/>
    </row>
    <row r="670" spans="1:26" s="14" customForma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T670" s="74"/>
      <c r="Y670" s="64"/>
      <c r="Z670" s="64"/>
    </row>
    <row r="671" spans="1:26" s="14" customForma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T671" s="74"/>
      <c r="Y671" s="64"/>
      <c r="Z671" s="64"/>
    </row>
    <row r="672" spans="1:26" s="14" customForma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T672" s="74"/>
      <c r="Y672" s="64"/>
      <c r="Z672" s="64"/>
    </row>
    <row r="673" spans="1:26" s="14" customForma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T673" s="74"/>
      <c r="Y673" s="64"/>
      <c r="Z673" s="64"/>
    </row>
    <row r="674" spans="1:26" s="14" customForma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T674" s="74"/>
      <c r="Y674" s="64"/>
      <c r="Z674" s="64"/>
    </row>
    <row r="675" spans="1:26" s="14" customForma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T675" s="74"/>
      <c r="Y675" s="64"/>
      <c r="Z675" s="64"/>
    </row>
    <row r="676" spans="1:26" s="14" customForma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T676" s="74"/>
      <c r="Y676" s="64"/>
      <c r="Z676" s="64"/>
    </row>
    <row r="677" spans="1:26" s="14" customForma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T677" s="74"/>
      <c r="Y677" s="64"/>
      <c r="Z677" s="64"/>
    </row>
    <row r="678" spans="1:26" s="14" customForma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T678" s="74"/>
      <c r="Y678" s="64"/>
      <c r="Z678" s="64"/>
    </row>
    <row r="679" spans="1:26" s="14" customForma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T679" s="74"/>
      <c r="Y679" s="64"/>
      <c r="Z679" s="64"/>
    </row>
  </sheetData>
  <mergeCells count="6">
    <mergeCell ref="C3:N3"/>
    <mergeCell ref="D6:E6"/>
    <mergeCell ref="G8:N8"/>
    <mergeCell ref="G21:K21"/>
    <mergeCell ref="G24:N24"/>
    <mergeCell ref="D4:I4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B1:AQ708"/>
  <sheetViews>
    <sheetView showGridLines="0" topLeftCell="A10" zoomScaleNormal="100" workbookViewId="0"/>
  </sheetViews>
  <sheetFormatPr defaultRowHeight="15"/>
  <cols>
    <col min="1" max="1" width="2.85546875" style="12" customWidth="1"/>
    <col min="2" max="2" width="3.85546875" style="12" customWidth="1"/>
    <col min="3" max="3" width="56.7109375" style="12" bestFit="1" customWidth="1"/>
    <col min="4" max="4" width="15.42578125" style="12" bestFit="1" customWidth="1"/>
    <col min="5" max="5" width="9.140625" style="12"/>
    <col min="6" max="6" width="10.7109375" style="12" customWidth="1"/>
    <col min="7" max="7" width="10.5703125" style="12" bestFit="1" customWidth="1"/>
    <col min="8" max="9" width="9.140625" style="12"/>
    <col min="10" max="11" width="16.42578125" style="12" customWidth="1"/>
    <col min="12" max="12" width="9.140625" style="12"/>
    <col min="13" max="13" width="2" style="12" customWidth="1"/>
    <col min="14" max="16" width="9.140625" style="12"/>
    <col min="17" max="17" width="9.140625" style="13"/>
    <col min="18" max="18" width="9.140625" style="14"/>
    <col min="19" max="19" width="9.85546875" style="14" customWidth="1"/>
    <col min="20" max="21" width="9.28515625" style="14" bestFit="1" customWidth="1"/>
    <col min="22" max="24" width="9.140625" style="14"/>
    <col min="25" max="26" width="9.140625" style="64"/>
    <col min="27" max="43" width="9.140625" style="14"/>
    <col min="44" max="16384" width="9.140625" style="12"/>
  </cols>
  <sheetData>
    <row r="1" spans="2:19" ht="15.75" thickBot="1"/>
    <row r="2" spans="2:19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29"/>
    </row>
    <row r="3" spans="2:19" ht="20.25" customHeight="1">
      <c r="B3" s="18"/>
      <c r="C3" s="159" t="s">
        <v>91</v>
      </c>
      <c r="D3" s="159"/>
      <c r="E3" s="159"/>
      <c r="F3" s="159"/>
      <c r="G3" s="159"/>
      <c r="H3" s="159"/>
      <c r="I3" s="159"/>
      <c r="J3" s="159"/>
      <c r="K3" s="159"/>
      <c r="L3" s="159"/>
      <c r="M3" s="160"/>
    </row>
    <row r="4" spans="2:19" ht="15.75">
      <c r="B4" s="18"/>
      <c r="C4" s="2" t="s">
        <v>201</v>
      </c>
      <c r="D4" s="1"/>
      <c r="E4" s="1"/>
      <c r="F4" s="20"/>
      <c r="G4" s="20"/>
      <c r="H4" s="20"/>
      <c r="I4" s="20"/>
      <c r="J4" s="20"/>
      <c r="K4" s="20"/>
      <c r="L4" s="20"/>
      <c r="M4" s="30"/>
    </row>
    <row r="5" spans="2:19" ht="20.25" customHeight="1">
      <c r="B5" s="18"/>
      <c r="C5" s="3" t="s">
        <v>202</v>
      </c>
      <c r="D5" s="100" t="s">
        <v>225</v>
      </c>
      <c r="E5"/>
      <c r="F5" s="20"/>
      <c r="G5" s="20"/>
      <c r="H5" s="20"/>
      <c r="I5" s="20"/>
      <c r="J5" s="20"/>
      <c r="K5" s="20"/>
      <c r="L5" s="20"/>
      <c r="M5" s="30"/>
    </row>
    <row r="6" spans="2:19">
      <c r="B6" s="18"/>
      <c r="C6" s="20"/>
      <c r="D6" s="20"/>
      <c r="E6" s="20"/>
      <c r="F6" s="20"/>
      <c r="G6" s="20"/>
      <c r="H6" s="20"/>
      <c r="I6" s="20"/>
      <c r="J6" s="20"/>
      <c r="K6" s="20"/>
      <c r="L6" s="20"/>
      <c r="M6" s="30"/>
    </row>
    <row r="7" spans="2:19" ht="32.25" customHeight="1">
      <c r="B7" s="18"/>
      <c r="C7" s="191" t="s">
        <v>76</v>
      </c>
      <c r="D7" s="191" t="s">
        <v>78</v>
      </c>
      <c r="E7" s="20"/>
      <c r="F7" s="161" t="s">
        <v>89</v>
      </c>
      <c r="G7" s="161"/>
      <c r="H7" s="161"/>
      <c r="I7" s="161"/>
      <c r="J7" s="161"/>
      <c r="K7" s="161"/>
      <c r="L7" s="161"/>
      <c r="M7" s="162"/>
    </row>
    <row r="8" spans="2:19" ht="15.75">
      <c r="B8" s="18"/>
      <c r="C8" s="150" t="s">
        <v>150</v>
      </c>
      <c r="D8" s="175">
        <v>0.173785</v>
      </c>
      <c r="E8" s="51"/>
      <c r="F8" s="43"/>
      <c r="G8" s="39"/>
      <c r="H8" s="23"/>
      <c r="I8" s="23"/>
      <c r="J8" s="52"/>
      <c r="K8" s="23"/>
      <c r="L8" s="43"/>
      <c r="M8" s="30"/>
      <c r="S8" s="74"/>
    </row>
    <row r="9" spans="2:19">
      <c r="B9" s="18"/>
      <c r="C9" s="31" t="s">
        <v>149</v>
      </c>
      <c r="D9" s="50">
        <v>0.106978</v>
      </c>
      <c r="E9" s="20"/>
      <c r="F9" s="43"/>
      <c r="G9" s="23"/>
      <c r="H9" s="23"/>
      <c r="I9" s="23" t="s">
        <v>92</v>
      </c>
      <c r="J9" s="52">
        <f>D11</f>
        <v>0.31179699999999999</v>
      </c>
      <c r="K9" s="23"/>
      <c r="L9" s="43"/>
      <c r="M9" s="30"/>
      <c r="S9" s="74"/>
    </row>
    <row r="10" spans="2:19">
      <c r="B10" s="18"/>
      <c r="C10" s="31" t="s">
        <v>164</v>
      </c>
      <c r="D10" s="50">
        <v>3.1033999999999999E-2</v>
      </c>
      <c r="E10" s="20"/>
      <c r="F10" s="43"/>
      <c r="G10" s="23"/>
      <c r="H10" s="23"/>
      <c r="I10" s="23" t="s">
        <v>94</v>
      </c>
      <c r="J10" s="52">
        <f>D17</f>
        <v>0.69366099999999997</v>
      </c>
      <c r="K10" s="23"/>
      <c r="L10" s="43"/>
      <c r="M10" s="30"/>
      <c r="S10" s="74"/>
    </row>
    <row r="11" spans="2:19" ht="15.75">
      <c r="B11" s="18"/>
      <c r="C11" s="53" t="s">
        <v>93</v>
      </c>
      <c r="D11" s="54">
        <f>SUM(D8:D10)</f>
        <v>0.31179699999999999</v>
      </c>
      <c r="E11" s="20"/>
      <c r="F11" s="43"/>
      <c r="G11" s="23"/>
      <c r="H11" s="23"/>
      <c r="I11" s="23" t="s">
        <v>29</v>
      </c>
      <c r="J11" s="52">
        <f>D19</f>
        <v>-5.4580000000000002E-3</v>
      </c>
      <c r="K11" s="23"/>
      <c r="L11" s="43"/>
      <c r="M11" s="30"/>
      <c r="S11" s="74"/>
    </row>
    <row r="12" spans="2:19">
      <c r="B12" s="18"/>
      <c r="C12" s="150"/>
      <c r="D12" s="150"/>
      <c r="E12" s="20"/>
      <c r="F12" s="43"/>
      <c r="G12" s="23"/>
      <c r="H12" s="23"/>
      <c r="K12" s="23"/>
      <c r="L12" s="43"/>
      <c r="M12" s="30"/>
      <c r="S12" s="74"/>
    </row>
    <row r="13" spans="2:19" ht="15.75" customHeight="1">
      <c r="B13" s="18"/>
      <c r="C13" s="31" t="s">
        <v>166</v>
      </c>
      <c r="D13" s="50">
        <v>0.205508</v>
      </c>
      <c r="E13" s="20"/>
      <c r="F13" s="43"/>
      <c r="G13" s="23"/>
      <c r="H13" s="23"/>
      <c r="I13" s="43"/>
      <c r="J13" s="142"/>
      <c r="K13" s="23"/>
      <c r="L13" s="43"/>
      <c r="M13" s="30"/>
      <c r="S13" s="74"/>
    </row>
    <row r="14" spans="2:19" ht="15.75" customHeight="1">
      <c r="B14" s="18"/>
      <c r="C14" s="31" t="s">
        <v>165</v>
      </c>
      <c r="D14" s="50">
        <v>0.20180999999999999</v>
      </c>
      <c r="E14" s="20"/>
      <c r="F14" s="43"/>
      <c r="G14" s="23"/>
      <c r="H14" s="23"/>
      <c r="I14" s="23"/>
      <c r="J14" s="52"/>
      <c r="K14" s="23"/>
      <c r="L14" s="43"/>
      <c r="M14" s="30"/>
      <c r="S14" s="74"/>
    </row>
    <row r="15" spans="2:19">
      <c r="B15" s="18"/>
      <c r="C15" s="31" t="s">
        <v>151</v>
      </c>
      <c r="D15" s="50">
        <v>0.19656499999999999</v>
      </c>
      <c r="E15" s="20"/>
      <c r="F15" s="43"/>
      <c r="G15" s="23"/>
      <c r="H15" s="23"/>
      <c r="I15" s="23"/>
      <c r="J15" s="55"/>
      <c r="K15" s="23"/>
      <c r="L15" s="43"/>
      <c r="M15" s="30"/>
      <c r="S15" s="74"/>
    </row>
    <row r="16" spans="2:19">
      <c r="B16" s="18"/>
      <c r="C16" s="31" t="s">
        <v>152</v>
      </c>
      <c r="D16" s="50">
        <v>8.9777999999999997E-2</v>
      </c>
      <c r="E16" s="20"/>
      <c r="F16" s="43"/>
      <c r="G16" s="23"/>
      <c r="H16" s="23"/>
      <c r="I16" s="23"/>
      <c r="J16" s="23"/>
      <c r="K16" s="23"/>
      <c r="L16" s="43"/>
      <c r="M16" s="30"/>
      <c r="S16" s="74"/>
    </row>
    <row r="17" spans="2:19" ht="15.75">
      <c r="B17" s="18"/>
      <c r="C17" s="53" t="s">
        <v>27</v>
      </c>
      <c r="D17" s="54">
        <f>SUM(D13:D16)</f>
        <v>0.69366099999999997</v>
      </c>
      <c r="E17" s="20"/>
      <c r="F17" s="43"/>
      <c r="G17" s="43"/>
      <c r="H17" s="43"/>
      <c r="I17" s="43"/>
      <c r="J17" s="43"/>
      <c r="K17" s="43"/>
      <c r="L17" s="43"/>
      <c r="M17" s="30"/>
      <c r="S17" s="74"/>
    </row>
    <row r="18" spans="2:19">
      <c r="B18" s="18"/>
      <c r="C18" s="31"/>
      <c r="D18" s="50"/>
      <c r="E18" s="20"/>
      <c r="F18" s="43"/>
      <c r="G18" s="43"/>
      <c r="H18" s="43"/>
      <c r="I18" s="43"/>
      <c r="J18" s="43"/>
      <c r="K18" s="43"/>
      <c r="L18" s="44"/>
      <c r="M18" s="30"/>
      <c r="S18" s="74"/>
    </row>
    <row r="19" spans="2:19" ht="15.75">
      <c r="B19" s="18"/>
      <c r="C19" s="53" t="s">
        <v>29</v>
      </c>
      <c r="D19" s="54">
        <v>-5.4580000000000002E-3</v>
      </c>
      <c r="E19" s="20"/>
      <c r="F19" s="20"/>
      <c r="G19" s="20"/>
      <c r="H19" s="44"/>
      <c r="I19" s="44"/>
      <c r="J19" s="44"/>
      <c r="K19" s="44"/>
      <c r="L19" s="20"/>
      <c r="M19" s="30"/>
      <c r="S19" s="74"/>
    </row>
    <row r="20" spans="2:19">
      <c r="B20" s="18"/>
      <c r="C20" s="31"/>
      <c r="D20" s="50"/>
      <c r="E20" s="20"/>
      <c r="F20" s="20"/>
      <c r="G20" s="20"/>
      <c r="H20" s="20"/>
      <c r="I20" s="20"/>
      <c r="J20" s="20"/>
      <c r="K20" s="20"/>
      <c r="L20" s="20"/>
      <c r="M20" s="30"/>
      <c r="S20" s="74"/>
    </row>
    <row r="21" spans="2:19" ht="15.75">
      <c r="B21" s="18"/>
      <c r="C21" s="56" t="s">
        <v>95</v>
      </c>
      <c r="D21" s="57">
        <f>SUM(D19,D17,D11)</f>
        <v>1</v>
      </c>
      <c r="E21" s="20"/>
      <c r="F21" s="20"/>
      <c r="G21" s="20"/>
      <c r="H21" s="20"/>
      <c r="I21" s="20"/>
      <c r="J21" s="20"/>
      <c r="K21" s="20"/>
      <c r="L21" s="20"/>
      <c r="M21" s="30"/>
      <c r="S21" s="74"/>
    </row>
    <row r="22" spans="2:19">
      <c r="B22" s="18"/>
      <c r="E22" s="20"/>
      <c r="F22" s="20"/>
      <c r="G22" s="20"/>
      <c r="H22" s="20"/>
      <c r="I22" s="20"/>
      <c r="J22" s="20"/>
      <c r="K22" s="20"/>
      <c r="L22" s="20"/>
      <c r="M22" s="30"/>
      <c r="S22" s="74"/>
    </row>
    <row r="23" spans="2:19" ht="15" customHeight="1">
      <c r="B23" s="18"/>
      <c r="E23" s="20"/>
      <c r="F23" s="20"/>
      <c r="G23" s="20"/>
      <c r="H23" s="20"/>
      <c r="I23" s="20"/>
      <c r="J23" s="20"/>
      <c r="K23" s="20"/>
      <c r="L23" s="20"/>
      <c r="M23" s="58"/>
      <c r="S23" s="74"/>
    </row>
    <row r="24" spans="2:19" ht="15" customHeight="1">
      <c r="B24" s="18"/>
      <c r="E24" s="20"/>
      <c r="F24" s="20"/>
      <c r="G24" s="20"/>
      <c r="H24" s="20"/>
      <c r="I24" s="20"/>
      <c r="J24" s="20"/>
      <c r="K24" s="20"/>
      <c r="L24" s="20"/>
      <c r="M24" s="58"/>
      <c r="S24" s="74"/>
    </row>
    <row r="25" spans="2:19" ht="15.75" customHeight="1">
      <c r="B25" s="18"/>
      <c r="E25" s="20"/>
      <c r="F25" s="164"/>
      <c r="G25" s="164"/>
      <c r="H25" s="164"/>
      <c r="I25" s="164"/>
      <c r="J25" s="164"/>
      <c r="K25" s="102"/>
      <c r="L25" s="102"/>
      <c r="M25" s="58"/>
      <c r="O25" s="12" t="s">
        <v>96</v>
      </c>
      <c r="P25" s="12" t="s">
        <v>96</v>
      </c>
      <c r="S25" s="74"/>
    </row>
    <row r="26" spans="2:19" ht="15.75" customHeight="1">
      <c r="B26" s="18"/>
      <c r="E26" s="20"/>
      <c r="F26" s="20"/>
      <c r="G26" s="20"/>
      <c r="H26" s="20"/>
      <c r="I26" s="20"/>
      <c r="J26" s="20"/>
      <c r="K26" s="20"/>
      <c r="L26" s="20"/>
      <c r="M26" s="30"/>
      <c r="S26" s="74"/>
    </row>
    <row r="27" spans="2:19" ht="15.75" customHeight="1">
      <c r="B27" s="18"/>
      <c r="E27" s="20"/>
      <c r="F27" s="20"/>
      <c r="G27" s="20"/>
      <c r="H27" s="20"/>
      <c r="I27" s="20"/>
      <c r="J27" s="20"/>
      <c r="K27" s="20"/>
      <c r="L27" s="20"/>
      <c r="M27" s="30"/>
      <c r="S27" s="74"/>
    </row>
    <row r="28" spans="2:19" ht="15.75" customHeight="1">
      <c r="B28" s="18"/>
      <c r="E28" s="20"/>
      <c r="F28" s="20"/>
      <c r="G28" s="20"/>
      <c r="H28" s="20"/>
      <c r="I28" s="20"/>
      <c r="J28" s="20"/>
      <c r="K28" s="20"/>
      <c r="L28" s="20"/>
      <c r="M28" s="30"/>
      <c r="S28" s="74"/>
    </row>
    <row r="29" spans="2:19" ht="15.75" customHeight="1">
      <c r="B29" s="18"/>
      <c r="E29" s="20"/>
      <c r="F29" s="20"/>
      <c r="G29" s="20"/>
      <c r="H29" s="20"/>
      <c r="I29" s="20"/>
      <c r="J29" s="20"/>
      <c r="K29" s="20"/>
      <c r="L29" s="20"/>
      <c r="M29" s="30"/>
      <c r="S29" s="74"/>
    </row>
    <row r="30" spans="2:19" ht="16.5" thickBot="1">
      <c r="B30" s="24"/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6"/>
      <c r="S30" s="74"/>
    </row>
    <row r="31" spans="2:19">
      <c r="S31" s="74"/>
    </row>
    <row r="32" spans="2:19">
      <c r="S32" s="74"/>
    </row>
    <row r="33" spans="3:19">
      <c r="S33" s="74"/>
    </row>
    <row r="34" spans="3:19">
      <c r="S34" s="74"/>
    </row>
    <row r="35" spans="3:19">
      <c r="S35" s="74"/>
    </row>
    <row r="36" spans="3:19" ht="15.75">
      <c r="C36"/>
      <c r="S36" s="74"/>
    </row>
    <row r="37" spans="3:19">
      <c r="S37" s="74"/>
    </row>
    <row r="38" spans="3:19">
      <c r="S38" s="74"/>
    </row>
    <row r="39" spans="3:19">
      <c r="S39" s="74"/>
    </row>
    <row r="40" spans="3:19">
      <c r="S40" s="74"/>
    </row>
    <row r="41" spans="3:19">
      <c r="S41" s="74"/>
    </row>
    <row r="42" spans="3:19">
      <c r="S42" s="74"/>
    </row>
    <row r="43" spans="3:19">
      <c r="Q43" s="12"/>
      <c r="S43" s="74"/>
    </row>
    <row r="44" spans="3:19">
      <c r="Q44" s="12"/>
      <c r="S44" s="74"/>
    </row>
    <row r="45" spans="3:19">
      <c r="Q45" s="12"/>
      <c r="S45" s="74"/>
    </row>
    <row r="46" spans="3:19">
      <c r="Q46" s="12"/>
      <c r="S46" s="74"/>
    </row>
    <row r="47" spans="3:19">
      <c r="Q47" s="12"/>
      <c r="S47" s="74"/>
    </row>
    <row r="48" spans="3:19">
      <c r="Q48" s="12"/>
      <c r="S48" s="74"/>
    </row>
    <row r="49" spans="17:19">
      <c r="Q49" s="12"/>
      <c r="S49" s="74"/>
    </row>
    <row r="50" spans="17:19">
      <c r="Q50" s="12"/>
      <c r="S50" s="74"/>
    </row>
    <row r="51" spans="17:19">
      <c r="Q51" s="12"/>
      <c r="S51" s="74"/>
    </row>
    <row r="52" spans="17:19">
      <c r="Q52" s="12"/>
      <c r="S52" s="74"/>
    </row>
    <row r="53" spans="17:19">
      <c r="Q53" s="12"/>
      <c r="S53" s="74"/>
    </row>
    <row r="54" spans="17:19">
      <c r="Q54" s="12"/>
      <c r="S54" s="74"/>
    </row>
    <row r="55" spans="17:19">
      <c r="Q55" s="12"/>
      <c r="S55" s="74"/>
    </row>
    <row r="56" spans="17:19">
      <c r="Q56" s="12"/>
      <c r="S56" s="74"/>
    </row>
    <row r="57" spans="17:19">
      <c r="Q57" s="12"/>
      <c r="S57" s="74"/>
    </row>
    <row r="58" spans="17:19">
      <c r="Q58" s="12"/>
      <c r="S58" s="74"/>
    </row>
    <row r="59" spans="17:19">
      <c r="Q59" s="12"/>
      <c r="S59" s="74"/>
    </row>
    <row r="60" spans="17:19">
      <c r="Q60" s="12"/>
      <c r="S60" s="74"/>
    </row>
    <row r="61" spans="17:19">
      <c r="Q61" s="12"/>
      <c r="S61" s="74"/>
    </row>
    <row r="62" spans="17:19">
      <c r="Q62" s="12"/>
      <c r="S62" s="74"/>
    </row>
    <row r="63" spans="17:19">
      <c r="Q63" s="12"/>
      <c r="S63" s="74"/>
    </row>
    <row r="64" spans="17:19">
      <c r="Q64" s="12"/>
      <c r="S64" s="74"/>
    </row>
    <row r="65" spans="17:19">
      <c r="Q65" s="12"/>
      <c r="S65" s="74"/>
    </row>
    <row r="66" spans="17:19">
      <c r="Q66" s="12"/>
      <c r="S66" s="74"/>
    </row>
    <row r="67" spans="17:19">
      <c r="Q67" s="12"/>
      <c r="S67" s="74"/>
    </row>
    <row r="68" spans="17:19">
      <c r="Q68" s="12"/>
      <c r="S68" s="74"/>
    </row>
    <row r="69" spans="17:19">
      <c r="Q69" s="12"/>
      <c r="S69" s="74"/>
    </row>
    <row r="70" spans="17:19">
      <c r="Q70" s="12"/>
      <c r="S70" s="74"/>
    </row>
    <row r="71" spans="17:19">
      <c r="Q71" s="12"/>
      <c r="S71" s="74"/>
    </row>
    <row r="72" spans="17:19">
      <c r="Q72" s="12"/>
      <c r="S72" s="74"/>
    </row>
    <row r="73" spans="17:19">
      <c r="Q73" s="12"/>
      <c r="S73" s="74"/>
    </row>
    <row r="74" spans="17:19">
      <c r="Q74" s="12"/>
      <c r="S74" s="74"/>
    </row>
    <row r="75" spans="17:19">
      <c r="Q75" s="12"/>
      <c r="S75" s="74"/>
    </row>
    <row r="76" spans="17:19">
      <c r="Q76" s="12"/>
      <c r="S76" s="74"/>
    </row>
    <row r="77" spans="17:19">
      <c r="Q77" s="12"/>
      <c r="S77" s="74"/>
    </row>
    <row r="78" spans="17:19">
      <c r="Q78" s="12"/>
      <c r="S78" s="74"/>
    </row>
    <row r="79" spans="17:19">
      <c r="Q79" s="12"/>
      <c r="S79" s="74"/>
    </row>
    <row r="80" spans="17:19">
      <c r="Q80" s="12"/>
      <c r="S80" s="74"/>
    </row>
    <row r="81" spans="17:19">
      <c r="Q81" s="12"/>
      <c r="S81" s="74"/>
    </row>
    <row r="82" spans="17:19">
      <c r="Q82" s="12"/>
      <c r="S82" s="74"/>
    </row>
    <row r="83" spans="17:19">
      <c r="Q83" s="12"/>
      <c r="S83" s="74"/>
    </row>
    <row r="84" spans="17:19">
      <c r="Q84" s="12"/>
      <c r="S84" s="74"/>
    </row>
    <row r="85" spans="17:19">
      <c r="Q85" s="12"/>
      <c r="S85" s="74"/>
    </row>
    <row r="86" spans="17:19">
      <c r="Q86" s="12"/>
      <c r="S86" s="74"/>
    </row>
    <row r="87" spans="17:19">
      <c r="Q87" s="12"/>
      <c r="S87" s="74"/>
    </row>
    <row r="88" spans="17:19">
      <c r="Q88" s="12"/>
      <c r="S88" s="74"/>
    </row>
    <row r="89" spans="17:19">
      <c r="Q89" s="12"/>
      <c r="S89" s="74"/>
    </row>
    <row r="90" spans="17:19">
      <c r="Q90" s="12"/>
      <c r="S90" s="74"/>
    </row>
    <row r="91" spans="17:19">
      <c r="Q91" s="12"/>
      <c r="S91" s="74"/>
    </row>
    <row r="92" spans="17:19">
      <c r="Q92" s="12"/>
      <c r="S92" s="74"/>
    </row>
    <row r="93" spans="17:19">
      <c r="Q93" s="12"/>
      <c r="S93" s="74"/>
    </row>
    <row r="94" spans="17:19">
      <c r="Q94" s="12"/>
      <c r="S94" s="74"/>
    </row>
    <row r="95" spans="17:19">
      <c r="Q95" s="12"/>
      <c r="S95" s="74"/>
    </row>
    <row r="96" spans="17:19">
      <c r="Q96" s="12"/>
      <c r="S96" s="74"/>
    </row>
    <row r="97" spans="17:19">
      <c r="Q97" s="12"/>
      <c r="S97" s="74"/>
    </row>
    <row r="98" spans="17:19">
      <c r="Q98" s="12"/>
      <c r="S98" s="74"/>
    </row>
    <row r="99" spans="17:19">
      <c r="Q99" s="12"/>
      <c r="S99" s="74"/>
    </row>
    <row r="100" spans="17:19">
      <c r="Q100" s="12"/>
      <c r="S100" s="74"/>
    </row>
    <row r="101" spans="17:19">
      <c r="Q101" s="12"/>
      <c r="S101" s="74"/>
    </row>
    <row r="102" spans="17:19">
      <c r="Q102" s="12"/>
      <c r="S102" s="74"/>
    </row>
    <row r="103" spans="17:19">
      <c r="Q103" s="12"/>
      <c r="S103" s="74"/>
    </row>
    <row r="104" spans="17:19">
      <c r="Q104" s="12"/>
      <c r="S104" s="74"/>
    </row>
    <row r="105" spans="17:19">
      <c r="Q105" s="12"/>
      <c r="S105" s="74"/>
    </row>
    <row r="106" spans="17:19">
      <c r="Q106" s="12"/>
      <c r="S106" s="74"/>
    </row>
    <row r="107" spans="17:19">
      <c r="Q107" s="12"/>
      <c r="S107" s="74"/>
    </row>
    <row r="108" spans="17:19">
      <c r="Q108" s="12"/>
      <c r="S108" s="74"/>
    </row>
    <row r="109" spans="17:19">
      <c r="Q109" s="12"/>
      <c r="S109" s="74"/>
    </row>
    <row r="110" spans="17:19">
      <c r="Q110" s="12"/>
      <c r="S110" s="74"/>
    </row>
    <row r="111" spans="17:19">
      <c r="Q111" s="12"/>
      <c r="S111" s="74"/>
    </row>
    <row r="112" spans="17:19">
      <c r="Q112" s="12"/>
      <c r="S112" s="74"/>
    </row>
    <row r="113" spans="17:19">
      <c r="Q113" s="12"/>
      <c r="S113" s="74"/>
    </row>
    <row r="114" spans="17:19">
      <c r="Q114" s="12"/>
      <c r="S114" s="74"/>
    </row>
    <row r="115" spans="17:19">
      <c r="Q115" s="12"/>
      <c r="S115" s="74"/>
    </row>
    <row r="116" spans="17:19">
      <c r="Q116" s="12"/>
      <c r="S116" s="74"/>
    </row>
    <row r="117" spans="17:19">
      <c r="Q117" s="12"/>
      <c r="S117" s="74"/>
    </row>
    <row r="118" spans="17:19">
      <c r="Q118" s="12"/>
      <c r="S118" s="74"/>
    </row>
    <row r="119" spans="17:19">
      <c r="Q119" s="12"/>
      <c r="S119" s="74"/>
    </row>
    <row r="120" spans="17:19">
      <c r="Q120" s="12"/>
      <c r="S120" s="74"/>
    </row>
    <row r="121" spans="17:19">
      <c r="Q121" s="12"/>
      <c r="S121" s="74"/>
    </row>
    <row r="122" spans="17:19">
      <c r="Q122" s="12"/>
      <c r="S122" s="74"/>
    </row>
    <row r="123" spans="17:19">
      <c r="Q123" s="12"/>
      <c r="S123" s="74"/>
    </row>
    <row r="124" spans="17:19">
      <c r="Q124" s="12"/>
      <c r="S124" s="74"/>
    </row>
    <row r="125" spans="17:19">
      <c r="Q125" s="12"/>
      <c r="S125" s="74"/>
    </row>
    <row r="126" spans="17:19">
      <c r="Q126" s="12"/>
      <c r="S126" s="74"/>
    </row>
    <row r="127" spans="17:19">
      <c r="Q127" s="12"/>
      <c r="S127" s="74"/>
    </row>
    <row r="128" spans="17:19">
      <c r="Q128" s="12"/>
      <c r="S128" s="74"/>
    </row>
    <row r="129" spans="17:19">
      <c r="Q129" s="12"/>
      <c r="S129" s="74"/>
    </row>
    <row r="130" spans="17:19">
      <c r="Q130" s="12"/>
      <c r="S130" s="74"/>
    </row>
    <row r="131" spans="17:19">
      <c r="Q131" s="12"/>
      <c r="S131" s="74"/>
    </row>
    <row r="132" spans="17:19">
      <c r="Q132" s="12"/>
      <c r="S132" s="74"/>
    </row>
    <row r="133" spans="17:19">
      <c r="Q133" s="12"/>
      <c r="S133" s="74"/>
    </row>
    <row r="134" spans="17:19">
      <c r="Q134" s="12"/>
      <c r="S134" s="74"/>
    </row>
    <row r="135" spans="17:19">
      <c r="Q135" s="12"/>
      <c r="S135" s="74"/>
    </row>
    <row r="136" spans="17:19">
      <c r="Q136" s="12"/>
      <c r="S136" s="74"/>
    </row>
    <row r="137" spans="17:19">
      <c r="Q137" s="12"/>
      <c r="S137" s="74"/>
    </row>
    <row r="138" spans="17:19">
      <c r="Q138" s="12"/>
      <c r="S138" s="74"/>
    </row>
    <row r="139" spans="17:19">
      <c r="Q139" s="12"/>
      <c r="S139" s="74"/>
    </row>
    <row r="140" spans="17:19">
      <c r="Q140" s="12"/>
      <c r="S140" s="74"/>
    </row>
    <row r="141" spans="17:19">
      <c r="Q141" s="12"/>
      <c r="S141" s="74"/>
    </row>
    <row r="142" spans="17:19">
      <c r="Q142" s="12"/>
      <c r="S142" s="74"/>
    </row>
    <row r="143" spans="17:19">
      <c r="Q143" s="12"/>
      <c r="S143" s="74"/>
    </row>
    <row r="144" spans="17:19">
      <c r="Q144" s="12"/>
      <c r="S144" s="74"/>
    </row>
    <row r="145" spans="17:19">
      <c r="Q145" s="12"/>
      <c r="S145" s="74"/>
    </row>
    <row r="146" spans="17:19">
      <c r="Q146" s="12"/>
      <c r="S146" s="74"/>
    </row>
    <row r="147" spans="17:19">
      <c r="Q147" s="12"/>
      <c r="S147" s="74"/>
    </row>
    <row r="148" spans="17:19">
      <c r="Q148" s="12"/>
      <c r="S148" s="74"/>
    </row>
    <row r="149" spans="17:19">
      <c r="Q149" s="12"/>
      <c r="S149" s="74"/>
    </row>
    <row r="150" spans="17:19">
      <c r="Q150" s="12"/>
      <c r="S150" s="74"/>
    </row>
    <row r="151" spans="17:19">
      <c r="Q151" s="12"/>
      <c r="S151" s="74"/>
    </row>
    <row r="152" spans="17:19">
      <c r="Q152" s="12"/>
      <c r="S152" s="74"/>
    </row>
    <row r="153" spans="17:19">
      <c r="Q153" s="12"/>
      <c r="S153" s="74"/>
    </row>
    <row r="154" spans="17:19">
      <c r="Q154" s="12"/>
      <c r="S154" s="74"/>
    </row>
    <row r="155" spans="17:19">
      <c r="Q155" s="12"/>
      <c r="S155" s="74"/>
    </row>
    <row r="156" spans="17:19">
      <c r="Q156" s="12"/>
      <c r="S156" s="74"/>
    </row>
    <row r="157" spans="17:19">
      <c r="Q157" s="12"/>
      <c r="S157" s="74"/>
    </row>
    <row r="158" spans="17:19">
      <c r="Q158" s="12"/>
      <c r="S158" s="74"/>
    </row>
    <row r="159" spans="17:19">
      <c r="Q159" s="12"/>
      <c r="S159" s="74"/>
    </row>
    <row r="160" spans="17:19">
      <c r="Q160" s="12"/>
      <c r="S160" s="74"/>
    </row>
    <row r="161" spans="17:19">
      <c r="Q161" s="12"/>
      <c r="S161" s="74"/>
    </row>
    <row r="162" spans="17:19">
      <c r="Q162" s="12"/>
      <c r="S162" s="74"/>
    </row>
    <row r="163" spans="17:19">
      <c r="Q163" s="12"/>
      <c r="S163" s="74"/>
    </row>
    <row r="164" spans="17:19">
      <c r="Q164" s="12"/>
      <c r="S164" s="74"/>
    </row>
    <row r="165" spans="17:19">
      <c r="Q165" s="12"/>
      <c r="S165" s="74"/>
    </row>
    <row r="166" spans="17:19">
      <c r="Q166" s="12"/>
      <c r="S166" s="74"/>
    </row>
    <row r="167" spans="17:19">
      <c r="Q167" s="12"/>
      <c r="S167" s="74"/>
    </row>
    <row r="168" spans="17:19">
      <c r="Q168" s="12"/>
      <c r="S168" s="74"/>
    </row>
    <row r="169" spans="17:19">
      <c r="Q169" s="12"/>
      <c r="S169" s="74"/>
    </row>
    <row r="170" spans="17:19">
      <c r="Q170" s="12"/>
      <c r="S170" s="74"/>
    </row>
    <row r="171" spans="17:19">
      <c r="Q171" s="12"/>
      <c r="S171" s="74"/>
    </row>
    <row r="172" spans="17:19">
      <c r="Q172" s="12"/>
      <c r="S172" s="74"/>
    </row>
    <row r="173" spans="17:19">
      <c r="Q173" s="12"/>
      <c r="S173" s="74"/>
    </row>
    <row r="174" spans="17:19">
      <c r="Q174" s="12"/>
      <c r="S174" s="74"/>
    </row>
    <row r="175" spans="17:19">
      <c r="Q175" s="12"/>
      <c r="S175" s="74"/>
    </row>
    <row r="176" spans="17:19">
      <c r="Q176" s="12"/>
      <c r="S176" s="74"/>
    </row>
    <row r="177" spans="17:19">
      <c r="Q177" s="12"/>
      <c r="S177" s="74"/>
    </row>
    <row r="178" spans="17:19">
      <c r="Q178" s="12"/>
      <c r="S178" s="74"/>
    </row>
    <row r="179" spans="17:19">
      <c r="Q179" s="12"/>
      <c r="S179" s="74"/>
    </row>
    <row r="180" spans="17:19">
      <c r="Q180" s="12"/>
      <c r="S180" s="74"/>
    </row>
    <row r="181" spans="17:19">
      <c r="Q181" s="12"/>
      <c r="S181" s="74"/>
    </row>
    <row r="182" spans="17:19">
      <c r="Q182" s="12"/>
      <c r="S182" s="74"/>
    </row>
    <row r="183" spans="17:19">
      <c r="Q183" s="12"/>
      <c r="S183" s="74"/>
    </row>
    <row r="184" spans="17:19">
      <c r="Q184" s="12"/>
      <c r="S184" s="74"/>
    </row>
    <row r="185" spans="17:19">
      <c r="Q185" s="12"/>
      <c r="S185" s="74"/>
    </row>
    <row r="186" spans="17:19">
      <c r="Q186" s="12"/>
      <c r="S186" s="74"/>
    </row>
    <row r="187" spans="17:19">
      <c r="Q187" s="12"/>
      <c r="S187" s="74"/>
    </row>
    <row r="188" spans="17:19">
      <c r="Q188" s="12"/>
      <c r="S188" s="74"/>
    </row>
    <row r="189" spans="17:19">
      <c r="Q189" s="12"/>
      <c r="S189" s="74"/>
    </row>
    <row r="190" spans="17:19">
      <c r="Q190" s="12"/>
      <c r="S190" s="74"/>
    </row>
    <row r="191" spans="17:19">
      <c r="Q191" s="12"/>
      <c r="S191" s="74"/>
    </row>
    <row r="192" spans="17:19">
      <c r="Q192" s="12"/>
      <c r="S192" s="74"/>
    </row>
    <row r="193" spans="17:19">
      <c r="Q193" s="12"/>
      <c r="S193" s="74"/>
    </row>
    <row r="194" spans="17:19">
      <c r="Q194" s="12"/>
      <c r="S194" s="74"/>
    </row>
    <row r="195" spans="17:19">
      <c r="Q195" s="12"/>
      <c r="S195" s="74"/>
    </row>
    <row r="196" spans="17:19">
      <c r="Q196" s="12"/>
      <c r="S196" s="74"/>
    </row>
    <row r="197" spans="17:19">
      <c r="Q197" s="12"/>
      <c r="S197" s="74"/>
    </row>
    <row r="198" spans="17:19">
      <c r="Q198" s="12"/>
      <c r="S198" s="74"/>
    </row>
    <row r="199" spans="17:19">
      <c r="Q199" s="12"/>
      <c r="S199" s="74"/>
    </row>
    <row r="200" spans="17:19">
      <c r="Q200" s="12"/>
      <c r="S200" s="74"/>
    </row>
    <row r="201" spans="17:19">
      <c r="Q201" s="12"/>
      <c r="S201" s="74"/>
    </row>
    <row r="202" spans="17:19">
      <c r="Q202" s="12"/>
      <c r="S202" s="74"/>
    </row>
    <row r="203" spans="17:19">
      <c r="Q203" s="12"/>
      <c r="S203" s="74"/>
    </row>
    <row r="204" spans="17:19">
      <c r="Q204" s="12"/>
      <c r="S204" s="74"/>
    </row>
    <row r="205" spans="17:19">
      <c r="Q205" s="12"/>
      <c r="S205" s="74"/>
    </row>
    <row r="206" spans="17:19">
      <c r="Q206" s="12"/>
      <c r="S206" s="74"/>
    </row>
    <row r="207" spans="17:19">
      <c r="Q207" s="12"/>
      <c r="S207" s="74"/>
    </row>
    <row r="208" spans="17:19">
      <c r="Q208" s="12"/>
      <c r="S208" s="74"/>
    </row>
    <row r="209" spans="17:19">
      <c r="Q209" s="12"/>
      <c r="S209" s="74"/>
    </row>
    <row r="210" spans="17:19">
      <c r="Q210" s="12"/>
      <c r="S210" s="74"/>
    </row>
    <row r="211" spans="17:19">
      <c r="Q211" s="12"/>
      <c r="S211" s="74"/>
    </row>
    <row r="212" spans="17:19">
      <c r="Q212" s="12"/>
      <c r="S212" s="74"/>
    </row>
    <row r="213" spans="17:19">
      <c r="Q213" s="12"/>
      <c r="S213" s="74"/>
    </row>
    <row r="214" spans="17:19">
      <c r="Q214" s="12"/>
      <c r="S214" s="74"/>
    </row>
    <row r="215" spans="17:19">
      <c r="Q215" s="12"/>
      <c r="S215" s="74"/>
    </row>
    <row r="216" spans="17:19">
      <c r="Q216" s="12"/>
      <c r="S216" s="74"/>
    </row>
    <row r="217" spans="17:19">
      <c r="Q217" s="12"/>
      <c r="S217" s="74"/>
    </row>
    <row r="218" spans="17:19">
      <c r="Q218" s="12"/>
      <c r="S218" s="74"/>
    </row>
    <row r="219" spans="17:19">
      <c r="Q219" s="12"/>
      <c r="S219" s="74"/>
    </row>
    <row r="220" spans="17:19">
      <c r="Q220" s="12"/>
      <c r="S220" s="74"/>
    </row>
    <row r="221" spans="17:19">
      <c r="Q221" s="12"/>
      <c r="S221" s="74"/>
    </row>
    <row r="222" spans="17:19">
      <c r="Q222" s="12"/>
      <c r="S222" s="74"/>
    </row>
    <row r="223" spans="17:19">
      <c r="Q223" s="12"/>
      <c r="S223" s="74"/>
    </row>
    <row r="224" spans="17:19">
      <c r="Q224" s="12"/>
      <c r="S224" s="74"/>
    </row>
    <row r="225" spans="17:19">
      <c r="Q225" s="12"/>
      <c r="S225" s="74"/>
    </row>
    <row r="226" spans="17:19">
      <c r="Q226" s="12"/>
      <c r="S226" s="74"/>
    </row>
    <row r="227" spans="17:19">
      <c r="Q227" s="12"/>
      <c r="S227" s="74"/>
    </row>
    <row r="228" spans="17:19">
      <c r="Q228" s="12"/>
      <c r="S228" s="74"/>
    </row>
    <row r="229" spans="17:19">
      <c r="Q229" s="12"/>
      <c r="S229" s="74"/>
    </row>
    <row r="230" spans="17:19">
      <c r="Q230" s="12"/>
      <c r="S230" s="74"/>
    </row>
    <row r="231" spans="17:19">
      <c r="Q231" s="12"/>
      <c r="S231" s="74"/>
    </row>
    <row r="232" spans="17:19">
      <c r="Q232" s="12"/>
      <c r="S232" s="74"/>
    </row>
    <row r="233" spans="17:19">
      <c r="Q233" s="12"/>
      <c r="S233" s="74"/>
    </row>
    <row r="234" spans="17:19">
      <c r="Q234" s="12"/>
      <c r="S234" s="74"/>
    </row>
    <row r="235" spans="17:19">
      <c r="Q235" s="12"/>
      <c r="S235" s="74"/>
    </row>
    <row r="236" spans="17:19">
      <c r="Q236" s="12"/>
      <c r="S236" s="74"/>
    </row>
    <row r="237" spans="17:19">
      <c r="Q237" s="12"/>
      <c r="S237" s="74"/>
    </row>
    <row r="238" spans="17:19">
      <c r="Q238" s="12"/>
      <c r="S238" s="74"/>
    </row>
    <row r="239" spans="17:19">
      <c r="Q239" s="12"/>
      <c r="S239" s="74"/>
    </row>
    <row r="240" spans="17:19">
      <c r="Q240" s="12"/>
      <c r="S240" s="74"/>
    </row>
    <row r="241" spans="17:19">
      <c r="Q241" s="12"/>
      <c r="S241" s="74"/>
    </row>
    <row r="242" spans="17:19">
      <c r="Q242" s="12"/>
      <c r="S242" s="74"/>
    </row>
    <row r="243" spans="17:19">
      <c r="Q243" s="12"/>
      <c r="S243" s="74"/>
    </row>
    <row r="244" spans="17:19">
      <c r="Q244" s="12"/>
      <c r="S244" s="74"/>
    </row>
    <row r="245" spans="17:19">
      <c r="Q245" s="12"/>
      <c r="S245" s="74"/>
    </row>
    <row r="246" spans="17:19">
      <c r="Q246" s="12"/>
      <c r="S246" s="74"/>
    </row>
    <row r="247" spans="17:19">
      <c r="Q247" s="12"/>
      <c r="S247" s="74"/>
    </row>
    <row r="248" spans="17:19">
      <c r="Q248" s="12"/>
      <c r="S248" s="74"/>
    </row>
    <row r="249" spans="17:19">
      <c r="Q249" s="12"/>
      <c r="S249" s="74"/>
    </row>
    <row r="250" spans="17:19">
      <c r="Q250" s="12"/>
      <c r="S250" s="74"/>
    </row>
    <row r="251" spans="17:19">
      <c r="Q251" s="12"/>
      <c r="S251" s="74"/>
    </row>
    <row r="252" spans="17:19">
      <c r="Q252" s="12"/>
      <c r="S252" s="74"/>
    </row>
    <row r="253" spans="17:19">
      <c r="Q253" s="12"/>
      <c r="S253" s="74"/>
    </row>
    <row r="254" spans="17:19">
      <c r="Q254" s="12"/>
      <c r="S254" s="74"/>
    </row>
    <row r="255" spans="17:19">
      <c r="Q255" s="12"/>
      <c r="S255" s="74"/>
    </row>
    <row r="256" spans="17:19">
      <c r="Q256" s="12"/>
      <c r="S256" s="74"/>
    </row>
    <row r="257" spans="17:19">
      <c r="Q257" s="12"/>
      <c r="S257" s="74"/>
    </row>
    <row r="258" spans="17:19">
      <c r="Q258" s="12"/>
      <c r="S258" s="74"/>
    </row>
    <row r="259" spans="17:19">
      <c r="Q259" s="12"/>
      <c r="S259" s="74"/>
    </row>
    <row r="260" spans="17:19">
      <c r="Q260" s="12"/>
      <c r="S260" s="74"/>
    </row>
    <row r="261" spans="17:19">
      <c r="Q261" s="12"/>
      <c r="S261" s="74"/>
    </row>
    <row r="262" spans="17:19">
      <c r="Q262" s="12"/>
      <c r="S262" s="74"/>
    </row>
    <row r="263" spans="17:19">
      <c r="Q263" s="12"/>
      <c r="S263" s="74"/>
    </row>
    <row r="264" spans="17:19">
      <c r="Q264" s="12"/>
      <c r="S264" s="74"/>
    </row>
    <row r="265" spans="17:19">
      <c r="Q265" s="12"/>
      <c r="S265" s="74"/>
    </row>
    <row r="266" spans="17:19">
      <c r="Q266" s="12"/>
      <c r="S266" s="74"/>
    </row>
    <row r="267" spans="17:19">
      <c r="Q267" s="12"/>
      <c r="S267" s="74"/>
    </row>
    <row r="268" spans="17:19">
      <c r="Q268" s="12"/>
      <c r="S268" s="74"/>
    </row>
    <row r="269" spans="17:19">
      <c r="Q269" s="12"/>
      <c r="S269" s="74"/>
    </row>
    <row r="270" spans="17:19">
      <c r="Q270" s="12"/>
      <c r="S270" s="74"/>
    </row>
    <row r="271" spans="17:19">
      <c r="Q271" s="12"/>
      <c r="S271" s="74"/>
    </row>
    <row r="272" spans="17:19">
      <c r="Q272" s="12"/>
      <c r="S272" s="74"/>
    </row>
    <row r="273" spans="17:19">
      <c r="Q273" s="12"/>
      <c r="S273" s="74"/>
    </row>
    <row r="274" spans="17:19">
      <c r="Q274" s="12"/>
      <c r="S274" s="74"/>
    </row>
    <row r="275" spans="17:19">
      <c r="Q275" s="12"/>
      <c r="S275" s="74"/>
    </row>
    <row r="276" spans="17:19">
      <c r="Q276" s="12"/>
      <c r="S276" s="74"/>
    </row>
    <row r="277" spans="17:19">
      <c r="Q277" s="12"/>
      <c r="S277" s="74"/>
    </row>
    <row r="278" spans="17:19">
      <c r="Q278" s="12"/>
      <c r="S278" s="74"/>
    </row>
    <row r="279" spans="17:19">
      <c r="Q279" s="12"/>
      <c r="S279" s="74"/>
    </row>
    <row r="280" spans="17:19">
      <c r="Q280" s="12"/>
      <c r="S280" s="74"/>
    </row>
    <row r="281" spans="17:19">
      <c r="Q281" s="12"/>
      <c r="S281" s="74"/>
    </row>
    <row r="282" spans="17:19">
      <c r="Q282" s="12"/>
      <c r="S282" s="74"/>
    </row>
    <row r="283" spans="17:19">
      <c r="Q283" s="12"/>
      <c r="S283" s="74"/>
    </row>
    <row r="284" spans="17:19">
      <c r="Q284" s="12"/>
      <c r="S284" s="74"/>
    </row>
    <row r="285" spans="17:19">
      <c r="Q285" s="12"/>
      <c r="S285" s="74"/>
    </row>
    <row r="286" spans="17:19">
      <c r="Q286" s="12"/>
      <c r="S286" s="74"/>
    </row>
    <row r="287" spans="17:19">
      <c r="Q287" s="12"/>
      <c r="S287" s="74"/>
    </row>
    <row r="288" spans="17:19">
      <c r="Q288" s="12"/>
      <c r="S288" s="74"/>
    </row>
    <row r="289" spans="17:19">
      <c r="Q289" s="12"/>
      <c r="S289" s="74"/>
    </row>
    <row r="290" spans="17:19">
      <c r="Q290" s="12"/>
      <c r="S290" s="74"/>
    </row>
    <row r="291" spans="17:19">
      <c r="Q291" s="12"/>
      <c r="S291" s="74"/>
    </row>
    <row r="292" spans="17:19">
      <c r="Q292" s="12"/>
      <c r="S292" s="74"/>
    </row>
    <row r="293" spans="17:19">
      <c r="Q293" s="12"/>
      <c r="S293" s="74"/>
    </row>
    <row r="294" spans="17:19">
      <c r="Q294" s="12"/>
      <c r="S294" s="74"/>
    </row>
    <row r="295" spans="17:19">
      <c r="Q295" s="12"/>
      <c r="S295" s="74"/>
    </row>
    <row r="296" spans="17:19">
      <c r="Q296" s="12"/>
      <c r="S296" s="74"/>
    </row>
    <row r="297" spans="17:19">
      <c r="Q297" s="12"/>
      <c r="S297" s="74"/>
    </row>
    <row r="298" spans="17:19">
      <c r="Q298" s="12"/>
      <c r="S298" s="74"/>
    </row>
    <row r="299" spans="17:19">
      <c r="Q299" s="12"/>
      <c r="S299" s="74"/>
    </row>
    <row r="300" spans="17:19">
      <c r="Q300" s="12"/>
      <c r="S300" s="74"/>
    </row>
    <row r="301" spans="17:19">
      <c r="Q301" s="12"/>
      <c r="S301" s="74"/>
    </row>
    <row r="302" spans="17:19">
      <c r="Q302" s="12"/>
      <c r="S302" s="74"/>
    </row>
    <row r="303" spans="17:19">
      <c r="Q303" s="12"/>
      <c r="S303" s="74"/>
    </row>
    <row r="304" spans="17:19">
      <c r="Q304" s="12"/>
      <c r="S304" s="74"/>
    </row>
    <row r="305" spans="17:19">
      <c r="Q305" s="12"/>
      <c r="S305" s="74"/>
    </row>
    <row r="306" spans="17:19">
      <c r="Q306" s="12"/>
      <c r="S306" s="74"/>
    </row>
    <row r="307" spans="17:19">
      <c r="Q307" s="12"/>
      <c r="S307" s="74"/>
    </row>
    <row r="308" spans="17:19">
      <c r="Q308" s="12"/>
      <c r="S308" s="74"/>
    </row>
    <row r="309" spans="17:19">
      <c r="Q309" s="12"/>
      <c r="S309" s="74"/>
    </row>
    <row r="310" spans="17:19">
      <c r="Q310" s="12"/>
      <c r="S310" s="74"/>
    </row>
    <row r="311" spans="17:19">
      <c r="Q311" s="12"/>
      <c r="S311" s="74"/>
    </row>
    <row r="312" spans="17:19">
      <c r="Q312" s="12"/>
      <c r="S312" s="74"/>
    </row>
    <row r="313" spans="17:19">
      <c r="Q313" s="12"/>
      <c r="S313" s="74"/>
    </row>
    <row r="314" spans="17:19">
      <c r="Q314" s="12"/>
      <c r="S314" s="74"/>
    </row>
    <row r="315" spans="17:19">
      <c r="Q315" s="12"/>
      <c r="S315" s="74"/>
    </row>
    <row r="316" spans="17:19">
      <c r="Q316" s="12"/>
      <c r="S316" s="74"/>
    </row>
    <row r="317" spans="17:19">
      <c r="Q317" s="12"/>
      <c r="S317" s="74"/>
    </row>
    <row r="318" spans="17:19">
      <c r="Q318" s="12"/>
      <c r="S318" s="74"/>
    </row>
    <row r="319" spans="17:19">
      <c r="Q319" s="12"/>
      <c r="S319" s="74"/>
    </row>
    <row r="320" spans="17:19">
      <c r="Q320" s="12"/>
      <c r="S320" s="74"/>
    </row>
    <row r="321" spans="17:19">
      <c r="Q321" s="12"/>
      <c r="S321" s="74"/>
    </row>
    <row r="322" spans="17:19">
      <c r="Q322" s="12"/>
      <c r="S322" s="74"/>
    </row>
    <row r="323" spans="17:19">
      <c r="Q323" s="12"/>
      <c r="S323" s="74"/>
    </row>
    <row r="324" spans="17:19">
      <c r="Q324" s="12"/>
      <c r="S324" s="74"/>
    </row>
    <row r="325" spans="17:19">
      <c r="Q325" s="12"/>
      <c r="S325" s="74"/>
    </row>
    <row r="326" spans="17:19">
      <c r="Q326" s="12"/>
      <c r="S326" s="74"/>
    </row>
    <row r="327" spans="17:19">
      <c r="Q327" s="12"/>
      <c r="S327" s="74"/>
    </row>
    <row r="328" spans="17:19">
      <c r="Q328" s="12"/>
      <c r="S328" s="74"/>
    </row>
    <row r="329" spans="17:19">
      <c r="Q329" s="12"/>
      <c r="S329" s="74"/>
    </row>
    <row r="330" spans="17:19">
      <c r="Q330" s="12"/>
      <c r="S330" s="74"/>
    </row>
    <row r="331" spans="17:19">
      <c r="Q331" s="12"/>
      <c r="S331" s="74"/>
    </row>
    <row r="332" spans="17:19">
      <c r="Q332" s="12"/>
      <c r="S332" s="74"/>
    </row>
    <row r="333" spans="17:19">
      <c r="Q333" s="12"/>
      <c r="S333" s="74"/>
    </row>
    <row r="334" spans="17:19">
      <c r="Q334" s="12"/>
      <c r="S334" s="74"/>
    </row>
    <row r="335" spans="17:19">
      <c r="Q335" s="12"/>
      <c r="S335" s="74"/>
    </row>
    <row r="336" spans="17:19">
      <c r="Q336" s="12"/>
      <c r="S336" s="74"/>
    </row>
    <row r="337" spans="17:19">
      <c r="Q337" s="12"/>
      <c r="S337" s="74"/>
    </row>
    <row r="338" spans="17:19">
      <c r="Q338" s="12"/>
      <c r="S338" s="74"/>
    </row>
    <row r="339" spans="17:19">
      <c r="Q339" s="12"/>
      <c r="S339" s="74"/>
    </row>
    <row r="340" spans="17:19">
      <c r="Q340" s="12"/>
      <c r="S340" s="74"/>
    </row>
    <row r="341" spans="17:19">
      <c r="Q341" s="12"/>
      <c r="S341" s="74"/>
    </row>
    <row r="342" spans="17:19">
      <c r="Q342" s="12"/>
      <c r="S342" s="74"/>
    </row>
    <row r="343" spans="17:19">
      <c r="Q343" s="12"/>
      <c r="S343" s="74"/>
    </row>
    <row r="344" spans="17:19">
      <c r="Q344" s="12"/>
      <c r="S344" s="74"/>
    </row>
    <row r="345" spans="17:19">
      <c r="Q345" s="12"/>
      <c r="S345" s="74"/>
    </row>
    <row r="346" spans="17:19">
      <c r="Q346" s="12"/>
      <c r="S346" s="74"/>
    </row>
    <row r="347" spans="17:19">
      <c r="Q347" s="12"/>
      <c r="S347" s="74"/>
    </row>
    <row r="348" spans="17:19">
      <c r="Q348" s="12"/>
      <c r="S348" s="74"/>
    </row>
    <row r="349" spans="17:19">
      <c r="Q349" s="12"/>
      <c r="S349" s="74"/>
    </row>
    <row r="350" spans="17:19">
      <c r="Q350" s="12"/>
      <c r="S350" s="74"/>
    </row>
    <row r="351" spans="17:19">
      <c r="Q351" s="12"/>
      <c r="S351" s="74"/>
    </row>
    <row r="352" spans="17:19">
      <c r="Q352" s="12"/>
      <c r="S352" s="74"/>
    </row>
    <row r="353" spans="17:19">
      <c r="Q353" s="12"/>
      <c r="S353" s="74"/>
    </row>
    <row r="354" spans="17:19">
      <c r="Q354" s="12"/>
      <c r="S354" s="74"/>
    </row>
    <row r="355" spans="17:19">
      <c r="Q355" s="12"/>
      <c r="S355" s="74"/>
    </row>
    <row r="356" spans="17:19">
      <c r="Q356" s="12"/>
      <c r="S356" s="74"/>
    </row>
    <row r="357" spans="17:19">
      <c r="Q357" s="12"/>
      <c r="S357" s="74"/>
    </row>
    <row r="358" spans="17:19">
      <c r="Q358" s="12"/>
      <c r="S358" s="74"/>
    </row>
    <row r="359" spans="17:19">
      <c r="Q359" s="12"/>
      <c r="S359" s="74"/>
    </row>
    <row r="360" spans="17:19">
      <c r="Q360" s="12"/>
      <c r="S360" s="74"/>
    </row>
    <row r="361" spans="17:19">
      <c r="Q361" s="12"/>
      <c r="S361" s="74"/>
    </row>
    <row r="362" spans="17:19">
      <c r="Q362" s="12"/>
      <c r="S362" s="74"/>
    </row>
    <row r="363" spans="17:19">
      <c r="Q363" s="12"/>
      <c r="S363" s="74"/>
    </row>
    <row r="364" spans="17:19">
      <c r="Q364" s="12"/>
      <c r="S364" s="74"/>
    </row>
    <row r="365" spans="17:19">
      <c r="Q365" s="12"/>
      <c r="S365" s="74"/>
    </row>
    <row r="366" spans="17:19">
      <c r="Q366" s="12"/>
      <c r="S366" s="74"/>
    </row>
    <row r="367" spans="17:19">
      <c r="Q367" s="12"/>
      <c r="S367" s="74"/>
    </row>
    <row r="368" spans="17:19">
      <c r="Q368" s="12"/>
      <c r="S368" s="74"/>
    </row>
    <row r="369" spans="17:19">
      <c r="Q369" s="12"/>
      <c r="S369" s="74"/>
    </row>
    <row r="370" spans="17:19">
      <c r="Q370" s="12"/>
      <c r="S370" s="74"/>
    </row>
    <row r="371" spans="17:19">
      <c r="Q371" s="12"/>
      <c r="S371" s="74"/>
    </row>
    <row r="372" spans="17:19">
      <c r="Q372" s="12"/>
      <c r="S372" s="74"/>
    </row>
    <row r="373" spans="17:19">
      <c r="Q373" s="12"/>
      <c r="S373" s="74"/>
    </row>
    <row r="374" spans="17:19">
      <c r="Q374" s="12"/>
      <c r="S374" s="74"/>
    </row>
    <row r="375" spans="17:19">
      <c r="Q375" s="12"/>
      <c r="S375" s="74"/>
    </row>
    <row r="376" spans="17:19">
      <c r="Q376" s="12"/>
      <c r="S376" s="74"/>
    </row>
    <row r="377" spans="17:19">
      <c r="Q377" s="12"/>
      <c r="S377" s="74"/>
    </row>
    <row r="378" spans="17:19">
      <c r="Q378" s="12"/>
      <c r="S378" s="74"/>
    </row>
    <row r="379" spans="17:19">
      <c r="Q379" s="12"/>
      <c r="S379" s="74"/>
    </row>
    <row r="380" spans="17:19">
      <c r="Q380" s="12"/>
      <c r="S380" s="74"/>
    </row>
    <row r="381" spans="17:19">
      <c r="Q381" s="12"/>
      <c r="S381" s="74"/>
    </row>
    <row r="382" spans="17:19">
      <c r="Q382" s="12"/>
      <c r="S382" s="74"/>
    </row>
    <row r="383" spans="17:19">
      <c r="Q383" s="12"/>
      <c r="S383" s="74"/>
    </row>
    <row r="384" spans="17:19">
      <c r="Q384" s="12"/>
      <c r="S384" s="74"/>
    </row>
    <row r="385" spans="17:19">
      <c r="Q385" s="12"/>
      <c r="S385" s="74"/>
    </row>
    <row r="386" spans="17:19">
      <c r="Q386" s="12"/>
      <c r="S386" s="74"/>
    </row>
    <row r="387" spans="17:19">
      <c r="Q387" s="12"/>
      <c r="S387" s="74"/>
    </row>
    <row r="388" spans="17:19">
      <c r="Q388" s="12"/>
      <c r="S388" s="74"/>
    </row>
    <row r="389" spans="17:19">
      <c r="Q389" s="12"/>
      <c r="S389" s="74"/>
    </row>
    <row r="390" spans="17:19">
      <c r="Q390" s="12"/>
      <c r="S390" s="74"/>
    </row>
    <row r="391" spans="17:19">
      <c r="Q391" s="12"/>
      <c r="S391" s="74"/>
    </row>
    <row r="392" spans="17:19">
      <c r="Q392" s="12"/>
      <c r="S392" s="74"/>
    </row>
    <row r="393" spans="17:19">
      <c r="Q393" s="12"/>
      <c r="S393" s="74"/>
    </row>
    <row r="394" spans="17:19">
      <c r="Q394" s="12"/>
      <c r="S394" s="74"/>
    </row>
    <row r="395" spans="17:19">
      <c r="Q395" s="12"/>
      <c r="S395" s="74"/>
    </row>
    <row r="396" spans="17:19">
      <c r="Q396" s="12"/>
      <c r="S396" s="74"/>
    </row>
    <row r="397" spans="17:19">
      <c r="Q397" s="12"/>
      <c r="S397" s="74"/>
    </row>
    <row r="398" spans="17:19">
      <c r="Q398" s="12"/>
      <c r="S398" s="74"/>
    </row>
    <row r="399" spans="17:19">
      <c r="Q399" s="12"/>
      <c r="S399" s="74"/>
    </row>
    <row r="400" spans="17:19">
      <c r="Q400" s="12"/>
      <c r="S400" s="74"/>
    </row>
    <row r="401" spans="17:19">
      <c r="Q401" s="12"/>
      <c r="S401" s="74"/>
    </row>
    <row r="402" spans="17:19">
      <c r="Q402" s="12"/>
      <c r="S402" s="74"/>
    </row>
    <row r="403" spans="17:19">
      <c r="Q403" s="12"/>
      <c r="S403" s="74"/>
    </row>
    <row r="404" spans="17:19">
      <c r="Q404" s="12"/>
      <c r="S404" s="74"/>
    </row>
    <row r="405" spans="17:19">
      <c r="Q405" s="12"/>
      <c r="S405" s="74"/>
    </row>
    <row r="406" spans="17:19">
      <c r="Q406" s="12"/>
      <c r="S406" s="74"/>
    </row>
    <row r="407" spans="17:19">
      <c r="Q407" s="12"/>
      <c r="S407" s="74"/>
    </row>
    <row r="408" spans="17:19">
      <c r="Q408" s="12"/>
      <c r="S408" s="74"/>
    </row>
    <row r="409" spans="17:19">
      <c r="Q409" s="12"/>
      <c r="S409" s="74"/>
    </row>
    <row r="410" spans="17:19">
      <c r="Q410" s="12"/>
      <c r="S410" s="74"/>
    </row>
    <row r="411" spans="17:19">
      <c r="Q411" s="12"/>
      <c r="S411" s="74"/>
    </row>
    <row r="412" spans="17:19">
      <c r="Q412" s="12"/>
      <c r="S412" s="74"/>
    </row>
    <row r="413" spans="17:19">
      <c r="Q413" s="12"/>
      <c r="S413" s="74"/>
    </row>
    <row r="414" spans="17:19">
      <c r="Q414" s="12"/>
      <c r="S414" s="74"/>
    </row>
    <row r="415" spans="17:19">
      <c r="Q415" s="12"/>
      <c r="S415" s="74"/>
    </row>
    <row r="416" spans="17:19">
      <c r="Q416" s="12"/>
      <c r="S416" s="74"/>
    </row>
    <row r="417" spans="17:19">
      <c r="Q417" s="12"/>
      <c r="S417" s="74"/>
    </row>
    <row r="418" spans="17:19">
      <c r="Q418" s="12"/>
      <c r="S418" s="74"/>
    </row>
    <row r="419" spans="17:19">
      <c r="Q419" s="12"/>
      <c r="S419" s="74"/>
    </row>
    <row r="420" spans="17:19">
      <c r="Q420" s="12"/>
      <c r="S420" s="74"/>
    </row>
    <row r="421" spans="17:19">
      <c r="Q421" s="12"/>
      <c r="S421" s="74"/>
    </row>
    <row r="422" spans="17:19">
      <c r="Q422" s="12"/>
      <c r="S422" s="74"/>
    </row>
    <row r="423" spans="17:19">
      <c r="Q423" s="12"/>
      <c r="S423" s="74"/>
    </row>
    <row r="424" spans="17:19">
      <c r="Q424" s="12"/>
      <c r="S424" s="74"/>
    </row>
    <row r="425" spans="17:19">
      <c r="Q425" s="12"/>
      <c r="S425" s="74"/>
    </row>
    <row r="426" spans="17:19">
      <c r="Q426" s="12"/>
      <c r="S426" s="74"/>
    </row>
    <row r="427" spans="17:19">
      <c r="Q427" s="12"/>
      <c r="S427" s="74"/>
    </row>
    <row r="428" spans="17:19">
      <c r="Q428" s="12"/>
      <c r="S428" s="74"/>
    </row>
    <row r="429" spans="17:19">
      <c r="Q429" s="12"/>
      <c r="S429" s="74"/>
    </row>
    <row r="430" spans="17:19">
      <c r="Q430" s="12"/>
      <c r="S430" s="74"/>
    </row>
    <row r="431" spans="17:19">
      <c r="Q431" s="12"/>
      <c r="S431" s="74"/>
    </row>
    <row r="432" spans="17:19">
      <c r="Q432" s="12"/>
      <c r="S432" s="74"/>
    </row>
    <row r="433" spans="17:19">
      <c r="Q433" s="12"/>
      <c r="S433" s="74"/>
    </row>
    <row r="434" spans="17:19">
      <c r="Q434" s="12"/>
      <c r="S434" s="74"/>
    </row>
    <row r="435" spans="17:19">
      <c r="Q435" s="12"/>
      <c r="S435" s="74"/>
    </row>
    <row r="436" spans="17:19">
      <c r="Q436" s="12"/>
      <c r="S436" s="74"/>
    </row>
    <row r="437" spans="17:19">
      <c r="Q437" s="12"/>
      <c r="S437" s="74"/>
    </row>
    <row r="438" spans="17:19">
      <c r="Q438" s="12"/>
      <c r="S438" s="74"/>
    </row>
    <row r="439" spans="17:19">
      <c r="Q439" s="12"/>
      <c r="S439" s="74"/>
    </row>
    <row r="440" spans="17:19">
      <c r="Q440" s="12"/>
      <c r="S440" s="74"/>
    </row>
    <row r="441" spans="17:19">
      <c r="Q441" s="12"/>
      <c r="S441" s="74"/>
    </row>
    <row r="442" spans="17:19">
      <c r="Q442" s="12"/>
      <c r="S442" s="74"/>
    </row>
    <row r="443" spans="17:19">
      <c r="Q443" s="12"/>
      <c r="S443" s="74"/>
    </row>
    <row r="444" spans="17:19">
      <c r="Q444" s="12"/>
      <c r="S444" s="74"/>
    </row>
    <row r="445" spans="17:19">
      <c r="Q445" s="12"/>
      <c r="S445" s="74"/>
    </row>
    <row r="446" spans="17:19">
      <c r="Q446" s="12"/>
      <c r="S446" s="74"/>
    </row>
    <row r="447" spans="17:19">
      <c r="Q447" s="12"/>
      <c r="S447" s="74"/>
    </row>
    <row r="448" spans="17:19">
      <c r="Q448" s="12"/>
      <c r="S448" s="74"/>
    </row>
    <row r="449" spans="17:19">
      <c r="Q449" s="12"/>
      <c r="S449" s="74"/>
    </row>
    <row r="450" spans="17:19">
      <c r="Q450" s="12"/>
      <c r="S450" s="74"/>
    </row>
    <row r="451" spans="17:19">
      <c r="Q451" s="12"/>
      <c r="S451" s="74"/>
    </row>
    <row r="452" spans="17:19">
      <c r="Q452" s="12"/>
      <c r="S452" s="74"/>
    </row>
    <row r="453" spans="17:19">
      <c r="Q453" s="12"/>
      <c r="S453" s="74"/>
    </row>
    <row r="454" spans="17:19">
      <c r="Q454" s="12"/>
      <c r="S454" s="74"/>
    </row>
    <row r="455" spans="17:19">
      <c r="Q455" s="12"/>
      <c r="S455" s="74"/>
    </row>
    <row r="456" spans="17:19">
      <c r="Q456" s="12"/>
      <c r="S456" s="74"/>
    </row>
    <row r="457" spans="17:19">
      <c r="Q457" s="12"/>
      <c r="S457" s="74"/>
    </row>
    <row r="458" spans="17:19">
      <c r="Q458" s="12"/>
      <c r="S458" s="74"/>
    </row>
    <row r="459" spans="17:19">
      <c r="Q459" s="12"/>
      <c r="S459" s="74"/>
    </row>
    <row r="460" spans="17:19">
      <c r="Q460" s="12"/>
      <c r="S460" s="74"/>
    </row>
    <row r="461" spans="17:19">
      <c r="Q461" s="12"/>
      <c r="S461" s="74"/>
    </row>
    <row r="462" spans="17:19">
      <c r="Q462" s="12"/>
      <c r="S462" s="74"/>
    </row>
    <row r="463" spans="17:19">
      <c r="Q463" s="12"/>
      <c r="S463" s="74"/>
    </row>
    <row r="464" spans="17:19">
      <c r="Q464" s="12"/>
      <c r="S464" s="74"/>
    </row>
    <row r="465" spans="17:19">
      <c r="Q465" s="12"/>
      <c r="S465" s="74"/>
    </row>
    <row r="466" spans="17:19">
      <c r="Q466" s="12"/>
      <c r="S466" s="74"/>
    </row>
    <row r="467" spans="17:19">
      <c r="Q467" s="12"/>
      <c r="S467" s="74"/>
    </row>
    <row r="468" spans="17:19">
      <c r="Q468" s="12"/>
      <c r="S468" s="74"/>
    </row>
    <row r="469" spans="17:19">
      <c r="Q469" s="12"/>
      <c r="S469" s="74"/>
    </row>
    <row r="470" spans="17:19">
      <c r="Q470" s="12"/>
      <c r="S470" s="74"/>
    </row>
    <row r="471" spans="17:19">
      <c r="Q471" s="12"/>
      <c r="S471" s="74"/>
    </row>
    <row r="472" spans="17:19">
      <c r="Q472" s="12"/>
      <c r="S472" s="74"/>
    </row>
    <row r="473" spans="17:19">
      <c r="Q473" s="12"/>
      <c r="S473" s="74"/>
    </row>
    <row r="474" spans="17:19">
      <c r="Q474" s="12"/>
      <c r="S474" s="74"/>
    </row>
    <row r="475" spans="17:19">
      <c r="Q475" s="12"/>
      <c r="S475" s="74"/>
    </row>
    <row r="476" spans="17:19">
      <c r="Q476" s="12"/>
      <c r="S476" s="74"/>
    </row>
    <row r="477" spans="17:19">
      <c r="Q477" s="12"/>
      <c r="S477" s="74"/>
    </row>
    <row r="478" spans="17:19">
      <c r="Q478" s="12"/>
      <c r="S478" s="74"/>
    </row>
    <row r="479" spans="17:19">
      <c r="Q479" s="12"/>
      <c r="S479" s="74"/>
    </row>
    <row r="480" spans="17:19">
      <c r="Q480" s="12"/>
      <c r="S480" s="74"/>
    </row>
    <row r="481" spans="17:19">
      <c r="Q481" s="12"/>
      <c r="S481" s="74"/>
    </row>
    <row r="482" spans="17:19">
      <c r="Q482" s="12"/>
      <c r="S482" s="74"/>
    </row>
    <row r="483" spans="17:19">
      <c r="Q483" s="12"/>
      <c r="S483" s="74"/>
    </row>
    <row r="484" spans="17:19">
      <c r="Q484" s="12"/>
      <c r="S484" s="74"/>
    </row>
    <row r="485" spans="17:19">
      <c r="Q485" s="12"/>
      <c r="S485" s="74"/>
    </row>
    <row r="486" spans="17:19">
      <c r="Q486" s="12"/>
      <c r="S486" s="74"/>
    </row>
    <row r="487" spans="17:19">
      <c r="Q487" s="12"/>
      <c r="S487" s="74"/>
    </row>
    <row r="488" spans="17:19">
      <c r="Q488" s="12"/>
      <c r="S488" s="74"/>
    </row>
    <row r="489" spans="17:19">
      <c r="Q489" s="12"/>
      <c r="S489" s="74"/>
    </row>
    <row r="490" spans="17:19">
      <c r="Q490" s="12"/>
      <c r="S490" s="74"/>
    </row>
    <row r="491" spans="17:19">
      <c r="Q491" s="12"/>
      <c r="S491" s="74"/>
    </row>
    <row r="492" spans="17:19">
      <c r="Q492" s="12"/>
      <c r="S492" s="74"/>
    </row>
    <row r="493" spans="17:19">
      <c r="Q493" s="12"/>
      <c r="S493" s="74"/>
    </row>
    <row r="494" spans="17:19">
      <c r="Q494" s="12"/>
      <c r="S494" s="74"/>
    </row>
    <row r="495" spans="17:19">
      <c r="Q495" s="12"/>
      <c r="S495" s="74"/>
    </row>
    <row r="496" spans="17:19">
      <c r="Q496" s="12"/>
      <c r="S496" s="74"/>
    </row>
    <row r="497" spans="17:19">
      <c r="Q497" s="12"/>
      <c r="S497" s="74"/>
    </row>
    <row r="498" spans="17:19">
      <c r="Q498" s="12"/>
      <c r="S498" s="74"/>
    </row>
    <row r="499" spans="17:19">
      <c r="Q499" s="12"/>
      <c r="S499" s="74"/>
    </row>
    <row r="500" spans="17:19">
      <c r="Q500" s="12"/>
      <c r="S500" s="74"/>
    </row>
    <row r="501" spans="17:19">
      <c r="Q501" s="12"/>
      <c r="S501" s="74"/>
    </row>
    <row r="502" spans="17:19">
      <c r="Q502" s="12"/>
      <c r="S502" s="74"/>
    </row>
    <row r="503" spans="17:19">
      <c r="Q503" s="12"/>
      <c r="S503" s="74"/>
    </row>
    <row r="504" spans="17:19">
      <c r="Q504" s="12"/>
      <c r="S504" s="74"/>
    </row>
    <row r="505" spans="17:19">
      <c r="Q505" s="12"/>
      <c r="S505" s="74"/>
    </row>
    <row r="506" spans="17:19">
      <c r="Q506" s="12"/>
      <c r="S506" s="74"/>
    </row>
    <row r="507" spans="17:19">
      <c r="Q507" s="12"/>
      <c r="S507" s="74"/>
    </row>
    <row r="508" spans="17:19">
      <c r="Q508" s="12"/>
      <c r="S508" s="74"/>
    </row>
    <row r="509" spans="17:19">
      <c r="Q509" s="12"/>
      <c r="S509" s="74"/>
    </row>
    <row r="510" spans="17:19">
      <c r="Q510" s="12"/>
      <c r="S510" s="74"/>
    </row>
    <row r="511" spans="17:19">
      <c r="Q511" s="12"/>
      <c r="S511" s="74"/>
    </row>
    <row r="512" spans="17:19">
      <c r="Q512" s="12"/>
      <c r="S512" s="74"/>
    </row>
    <row r="513" spans="17:19">
      <c r="Q513" s="12"/>
      <c r="S513" s="74"/>
    </row>
    <row r="514" spans="17:19">
      <c r="Q514" s="12"/>
      <c r="S514" s="74"/>
    </row>
    <row r="515" spans="17:19">
      <c r="Q515" s="12"/>
      <c r="S515" s="74"/>
    </row>
    <row r="516" spans="17:19">
      <c r="Q516" s="12"/>
      <c r="S516" s="74"/>
    </row>
    <row r="517" spans="17:19">
      <c r="Q517" s="12"/>
      <c r="S517" s="74"/>
    </row>
    <row r="518" spans="17:19">
      <c r="Q518" s="12"/>
      <c r="S518" s="74"/>
    </row>
    <row r="519" spans="17:19">
      <c r="Q519" s="12"/>
      <c r="S519" s="74"/>
    </row>
    <row r="520" spans="17:19">
      <c r="Q520" s="12"/>
      <c r="S520" s="74"/>
    </row>
    <row r="521" spans="17:19">
      <c r="Q521" s="12"/>
      <c r="S521" s="74"/>
    </row>
    <row r="522" spans="17:19">
      <c r="Q522" s="12"/>
      <c r="S522" s="74"/>
    </row>
    <row r="523" spans="17:19">
      <c r="Q523" s="12"/>
      <c r="S523" s="74"/>
    </row>
    <row r="524" spans="17:19">
      <c r="Q524" s="12"/>
      <c r="S524" s="74"/>
    </row>
    <row r="525" spans="17:19">
      <c r="Q525" s="12"/>
      <c r="S525" s="74"/>
    </row>
    <row r="526" spans="17:19">
      <c r="Q526" s="12"/>
      <c r="S526" s="74"/>
    </row>
    <row r="527" spans="17:19">
      <c r="Q527" s="12"/>
      <c r="S527" s="74"/>
    </row>
    <row r="528" spans="17:19">
      <c r="Q528" s="12"/>
      <c r="S528" s="74"/>
    </row>
    <row r="529" spans="17:19">
      <c r="Q529" s="12"/>
      <c r="S529" s="74"/>
    </row>
    <row r="530" spans="17:19">
      <c r="Q530" s="12"/>
      <c r="S530" s="74"/>
    </row>
    <row r="531" spans="17:19">
      <c r="Q531" s="12"/>
      <c r="S531" s="74"/>
    </row>
    <row r="532" spans="17:19">
      <c r="Q532" s="12"/>
      <c r="S532" s="74"/>
    </row>
    <row r="533" spans="17:19">
      <c r="Q533" s="12"/>
      <c r="S533" s="74"/>
    </row>
    <row r="534" spans="17:19">
      <c r="Q534" s="12"/>
      <c r="S534" s="74"/>
    </row>
    <row r="535" spans="17:19">
      <c r="Q535" s="12"/>
      <c r="S535" s="74"/>
    </row>
    <row r="536" spans="17:19">
      <c r="Q536" s="12"/>
      <c r="S536" s="74"/>
    </row>
    <row r="537" spans="17:19">
      <c r="Q537" s="12"/>
      <c r="S537" s="74"/>
    </row>
    <row r="538" spans="17:19">
      <c r="Q538" s="12"/>
      <c r="S538" s="74"/>
    </row>
    <row r="539" spans="17:19">
      <c r="Q539" s="12"/>
      <c r="S539" s="74"/>
    </row>
    <row r="540" spans="17:19">
      <c r="Q540" s="12"/>
      <c r="S540" s="74"/>
    </row>
    <row r="541" spans="17:19">
      <c r="Q541" s="12"/>
      <c r="S541" s="74"/>
    </row>
    <row r="542" spans="17:19">
      <c r="Q542" s="12"/>
      <c r="S542" s="74"/>
    </row>
    <row r="543" spans="17:19">
      <c r="Q543" s="12"/>
      <c r="S543" s="74"/>
    </row>
    <row r="544" spans="17:19">
      <c r="Q544" s="12"/>
      <c r="S544" s="74"/>
    </row>
    <row r="545" spans="17:19">
      <c r="Q545" s="12"/>
      <c r="S545" s="74"/>
    </row>
    <row r="546" spans="17:19">
      <c r="Q546" s="12"/>
      <c r="S546" s="74"/>
    </row>
    <row r="547" spans="17:19">
      <c r="Q547" s="12"/>
      <c r="S547" s="74"/>
    </row>
    <row r="548" spans="17:19">
      <c r="Q548" s="12"/>
      <c r="S548" s="74"/>
    </row>
    <row r="549" spans="17:19">
      <c r="Q549" s="12"/>
      <c r="S549" s="74"/>
    </row>
    <row r="550" spans="17:19">
      <c r="Q550" s="12"/>
      <c r="S550" s="74"/>
    </row>
    <row r="551" spans="17:19">
      <c r="Q551" s="12"/>
      <c r="S551" s="74"/>
    </row>
    <row r="552" spans="17:19">
      <c r="Q552" s="12"/>
      <c r="S552" s="74"/>
    </row>
    <row r="553" spans="17:19">
      <c r="Q553" s="12"/>
      <c r="S553" s="74"/>
    </row>
    <row r="554" spans="17:19">
      <c r="Q554" s="12"/>
      <c r="S554" s="74"/>
    </row>
    <row r="555" spans="17:19">
      <c r="Q555" s="12"/>
      <c r="S555" s="74"/>
    </row>
    <row r="556" spans="17:19">
      <c r="Q556" s="12"/>
      <c r="S556" s="74"/>
    </row>
    <row r="557" spans="17:19">
      <c r="Q557" s="12"/>
      <c r="S557" s="74"/>
    </row>
    <row r="558" spans="17:19">
      <c r="Q558" s="12"/>
      <c r="S558" s="74"/>
    </row>
    <row r="559" spans="17:19">
      <c r="Q559" s="12"/>
      <c r="S559" s="74"/>
    </row>
    <row r="560" spans="17:19">
      <c r="Q560" s="12"/>
      <c r="S560" s="74"/>
    </row>
    <row r="561" spans="17:19">
      <c r="Q561" s="12"/>
      <c r="S561" s="74"/>
    </row>
    <row r="562" spans="17:19">
      <c r="Q562" s="12"/>
      <c r="S562" s="74"/>
    </row>
    <row r="563" spans="17:19">
      <c r="Q563" s="12"/>
      <c r="S563" s="74"/>
    </row>
    <row r="564" spans="17:19">
      <c r="Q564" s="12"/>
      <c r="S564" s="74"/>
    </row>
    <row r="565" spans="17:19">
      <c r="Q565" s="12"/>
      <c r="S565" s="74"/>
    </row>
    <row r="566" spans="17:19">
      <c r="Q566" s="12"/>
      <c r="S566" s="74"/>
    </row>
    <row r="567" spans="17:19">
      <c r="Q567" s="12"/>
      <c r="S567" s="74"/>
    </row>
    <row r="568" spans="17:19">
      <c r="Q568" s="12"/>
      <c r="S568" s="74"/>
    </row>
    <row r="569" spans="17:19">
      <c r="Q569" s="12"/>
      <c r="S569" s="74"/>
    </row>
    <row r="570" spans="17:19">
      <c r="Q570" s="12"/>
      <c r="S570" s="74"/>
    </row>
    <row r="571" spans="17:19">
      <c r="Q571" s="12"/>
      <c r="S571" s="74"/>
    </row>
    <row r="572" spans="17:19">
      <c r="Q572" s="12"/>
      <c r="S572" s="74"/>
    </row>
    <row r="573" spans="17:19">
      <c r="Q573" s="12"/>
      <c r="S573" s="74"/>
    </row>
    <row r="574" spans="17:19">
      <c r="Q574" s="12"/>
      <c r="S574" s="74"/>
    </row>
    <row r="575" spans="17:19">
      <c r="Q575" s="12"/>
      <c r="S575" s="74"/>
    </row>
    <row r="576" spans="17:19">
      <c r="Q576" s="12"/>
      <c r="S576" s="74"/>
    </row>
    <row r="577" spans="17:19">
      <c r="Q577" s="12"/>
      <c r="S577" s="74"/>
    </row>
    <row r="578" spans="17:19">
      <c r="Q578" s="12"/>
      <c r="S578" s="74"/>
    </row>
    <row r="579" spans="17:19">
      <c r="Q579" s="12"/>
      <c r="S579" s="74"/>
    </row>
    <row r="580" spans="17:19">
      <c r="Q580" s="12"/>
      <c r="S580" s="74"/>
    </row>
    <row r="581" spans="17:19">
      <c r="Q581" s="12"/>
      <c r="S581" s="74"/>
    </row>
    <row r="582" spans="17:19">
      <c r="Q582" s="12"/>
      <c r="S582" s="74"/>
    </row>
    <row r="583" spans="17:19">
      <c r="Q583" s="12"/>
      <c r="S583" s="74"/>
    </row>
    <row r="584" spans="17:19">
      <c r="Q584" s="12"/>
      <c r="S584" s="74"/>
    </row>
    <row r="585" spans="17:19">
      <c r="Q585" s="12"/>
      <c r="S585" s="74"/>
    </row>
    <row r="586" spans="17:19">
      <c r="Q586" s="12"/>
      <c r="S586" s="74"/>
    </row>
    <row r="587" spans="17:19">
      <c r="Q587" s="12"/>
      <c r="S587" s="74"/>
    </row>
    <row r="588" spans="17:19">
      <c r="Q588" s="12"/>
      <c r="S588" s="74"/>
    </row>
    <row r="589" spans="17:19">
      <c r="Q589" s="12"/>
      <c r="S589" s="74"/>
    </row>
    <row r="590" spans="17:19">
      <c r="Q590" s="12"/>
      <c r="S590" s="74"/>
    </row>
    <row r="591" spans="17:19">
      <c r="Q591" s="12"/>
      <c r="S591" s="74"/>
    </row>
    <row r="592" spans="17:19">
      <c r="Q592" s="12"/>
      <c r="S592" s="74"/>
    </row>
    <row r="593" spans="17:19">
      <c r="Q593" s="12"/>
      <c r="S593" s="74"/>
    </row>
    <row r="594" spans="17:19">
      <c r="Q594" s="12"/>
      <c r="S594" s="74"/>
    </row>
    <row r="595" spans="17:19">
      <c r="Q595" s="12"/>
      <c r="S595" s="74"/>
    </row>
    <row r="596" spans="17:19">
      <c r="Q596" s="12"/>
      <c r="S596" s="74"/>
    </row>
    <row r="597" spans="17:19">
      <c r="Q597" s="12"/>
      <c r="S597" s="74"/>
    </row>
    <row r="598" spans="17:19">
      <c r="Q598" s="12"/>
      <c r="S598" s="74"/>
    </row>
    <row r="599" spans="17:19">
      <c r="Q599" s="12"/>
      <c r="S599" s="74"/>
    </row>
    <row r="600" spans="17:19">
      <c r="Q600" s="12"/>
      <c r="S600" s="74"/>
    </row>
    <row r="601" spans="17:19">
      <c r="Q601" s="12"/>
      <c r="S601" s="74"/>
    </row>
    <row r="602" spans="17:19">
      <c r="Q602" s="12"/>
      <c r="S602" s="74"/>
    </row>
    <row r="603" spans="17:19">
      <c r="Q603" s="12"/>
      <c r="S603" s="74"/>
    </row>
    <row r="604" spans="17:19">
      <c r="Q604" s="12"/>
      <c r="S604" s="74"/>
    </row>
    <row r="605" spans="17:19">
      <c r="Q605" s="12"/>
      <c r="S605" s="74"/>
    </row>
    <row r="606" spans="17:19">
      <c r="Q606" s="12"/>
      <c r="S606" s="74"/>
    </row>
    <row r="607" spans="17:19">
      <c r="Q607" s="12"/>
      <c r="S607" s="74"/>
    </row>
    <row r="608" spans="17:19">
      <c r="Q608" s="12"/>
      <c r="S608" s="74"/>
    </row>
    <row r="609" spans="17:19">
      <c r="Q609" s="12"/>
      <c r="S609" s="74"/>
    </row>
    <row r="610" spans="17:19">
      <c r="Q610" s="12"/>
      <c r="S610" s="74"/>
    </row>
    <row r="611" spans="17:19">
      <c r="Q611" s="12"/>
      <c r="S611" s="74"/>
    </row>
    <row r="612" spans="17:19">
      <c r="Q612" s="12"/>
      <c r="S612" s="74"/>
    </row>
    <row r="613" spans="17:19">
      <c r="Q613" s="12"/>
      <c r="S613" s="74"/>
    </row>
    <row r="614" spans="17:19">
      <c r="Q614" s="12"/>
      <c r="S614" s="74"/>
    </row>
    <row r="615" spans="17:19">
      <c r="Q615" s="12"/>
      <c r="S615" s="74"/>
    </row>
    <row r="616" spans="17:19">
      <c r="Q616" s="12"/>
      <c r="S616" s="74"/>
    </row>
    <row r="617" spans="17:19">
      <c r="Q617" s="12"/>
      <c r="S617" s="74"/>
    </row>
    <row r="618" spans="17:19">
      <c r="Q618" s="12"/>
      <c r="S618" s="74"/>
    </row>
    <row r="619" spans="17:19">
      <c r="Q619" s="12"/>
      <c r="S619" s="74"/>
    </row>
    <row r="620" spans="17:19">
      <c r="Q620" s="12"/>
      <c r="S620" s="74"/>
    </row>
    <row r="621" spans="17:19">
      <c r="Q621" s="12"/>
      <c r="S621" s="74"/>
    </row>
    <row r="622" spans="17:19">
      <c r="Q622" s="12"/>
      <c r="S622" s="74"/>
    </row>
    <row r="623" spans="17:19">
      <c r="Q623" s="12"/>
      <c r="S623" s="74"/>
    </row>
    <row r="624" spans="17:19">
      <c r="Q624" s="12"/>
      <c r="S624" s="74"/>
    </row>
    <row r="625" spans="17:19">
      <c r="Q625" s="12"/>
      <c r="S625" s="74"/>
    </row>
    <row r="626" spans="17:19">
      <c r="Q626" s="12"/>
      <c r="S626" s="74"/>
    </row>
    <row r="627" spans="17:19">
      <c r="Q627" s="12"/>
      <c r="S627" s="74"/>
    </row>
    <row r="628" spans="17:19">
      <c r="Q628" s="12"/>
      <c r="S628" s="74"/>
    </row>
    <row r="629" spans="17:19">
      <c r="Q629" s="12"/>
      <c r="S629" s="74"/>
    </row>
    <row r="630" spans="17:19">
      <c r="Q630" s="12"/>
      <c r="S630" s="74"/>
    </row>
    <row r="631" spans="17:19">
      <c r="Q631" s="12"/>
      <c r="S631" s="74"/>
    </row>
    <row r="632" spans="17:19">
      <c r="Q632" s="12"/>
      <c r="S632" s="74"/>
    </row>
    <row r="633" spans="17:19">
      <c r="Q633" s="12"/>
      <c r="S633" s="74"/>
    </row>
    <row r="634" spans="17:19">
      <c r="Q634" s="12"/>
      <c r="S634" s="74"/>
    </row>
    <row r="635" spans="17:19">
      <c r="Q635" s="12"/>
      <c r="S635" s="74"/>
    </row>
    <row r="636" spans="17:19">
      <c r="Q636" s="12"/>
      <c r="S636" s="74"/>
    </row>
    <row r="637" spans="17:19">
      <c r="Q637" s="12"/>
      <c r="S637" s="74"/>
    </row>
    <row r="638" spans="17:19">
      <c r="Q638" s="12"/>
      <c r="S638" s="74"/>
    </row>
    <row r="639" spans="17:19">
      <c r="Q639" s="12"/>
      <c r="S639" s="74"/>
    </row>
    <row r="640" spans="17:19">
      <c r="Q640" s="12"/>
      <c r="S640" s="74"/>
    </row>
    <row r="641" spans="17:19">
      <c r="Q641" s="12"/>
      <c r="S641" s="74"/>
    </row>
    <row r="642" spans="17:19">
      <c r="Q642" s="12"/>
      <c r="S642" s="74"/>
    </row>
    <row r="643" spans="17:19">
      <c r="Q643" s="12"/>
      <c r="S643" s="74"/>
    </row>
    <row r="644" spans="17:19">
      <c r="Q644" s="12"/>
      <c r="S644" s="74"/>
    </row>
    <row r="645" spans="17:19">
      <c r="Q645" s="12"/>
      <c r="S645" s="74"/>
    </row>
    <row r="646" spans="17:19">
      <c r="Q646" s="12"/>
      <c r="S646" s="74"/>
    </row>
    <row r="647" spans="17:19">
      <c r="Q647" s="12"/>
      <c r="S647" s="74"/>
    </row>
    <row r="648" spans="17:19">
      <c r="Q648" s="12"/>
      <c r="S648" s="74"/>
    </row>
    <row r="649" spans="17:19">
      <c r="Q649" s="12"/>
      <c r="S649" s="74"/>
    </row>
    <row r="650" spans="17:19">
      <c r="Q650" s="12"/>
      <c r="S650" s="74"/>
    </row>
    <row r="651" spans="17:19">
      <c r="Q651" s="12"/>
      <c r="S651" s="74"/>
    </row>
    <row r="652" spans="17:19">
      <c r="Q652" s="12"/>
      <c r="S652" s="74"/>
    </row>
    <row r="653" spans="17:19">
      <c r="Q653" s="12"/>
      <c r="S653" s="74"/>
    </row>
    <row r="654" spans="17:19">
      <c r="Q654" s="12"/>
      <c r="S654" s="74"/>
    </row>
    <row r="655" spans="17:19">
      <c r="Q655" s="12"/>
      <c r="S655" s="74"/>
    </row>
    <row r="656" spans="17:19">
      <c r="Q656" s="12"/>
      <c r="S656" s="74"/>
    </row>
    <row r="657" spans="17:19">
      <c r="Q657" s="12"/>
      <c r="S657" s="74"/>
    </row>
    <row r="658" spans="17:19">
      <c r="Q658" s="12"/>
      <c r="S658" s="74"/>
    </row>
    <row r="659" spans="17:19">
      <c r="Q659" s="12"/>
      <c r="S659" s="74"/>
    </row>
    <row r="660" spans="17:19">
      <c r="Q660" s="12"/>
      <c r="S660" s="74"/>
    </row>
    <row r="661" spans="17:19">
      <c r="Q661" s="12"/>
      <c r="S661" s="74"/>
    </row>
    <row r="662" spans="17:19">
      <c r="Q662" s="12"/>
      <c r="S662" s="74"/>
    </row>
    <row r="663" spans="17:19">
      <c r="Q663" s="12"/>
      <c r="S663" s="74"/>
    </row>
    <row r="664" spans="17:19">
      <c r="Q664" s="12"/>
      <c r="S664" s="74"/>
    </row>
    <row r="665" spans="17:19">
      <c r="Q665" s="12"/>
      <c r="S665" s="74"/>
    </row>
    <row r="666" spans="17:19">
      <c r="Q666" s="12"/>
      <c r="S666" s="74"/>
    </row>
    <row r="667" spans="17:19">
      <c r="Q667" s="12"/>
      <c r="S667" s="74"/>
    </row>
    <row r="668" spans="17:19">
      <c r="Q668" s="12"/>
      <c r="S668" s="74"/>
    </row>
    <row r="669" spans="17:19">
      <c r="Q669" s="12"/>
      <c r="S669" s="74"/>
    </row>
    <row r="670" spans="17:19">
      <c r="Q670" s="12"/>
      <c r="S670" s="74"/>
    </row>
    <row r="671" spans="17:19">
      <c r="Q671" s="12"/>
      <c r="S671" s="74"/>
    </row>
    <row r="672" spans="17:19">
      <c r="Q672" s="12"/>
      <c r="S672" s="74"/>
    </row>
    <row r="673" spans="17:19">
      <c r="Q673" s="12"/>
      <c r="S673" s="74"/>
    </row>
    <row r="674" spans="17:19">
      <c r="Q674" s="12"/>
      <c r="S674" s="74"/>
    </row>
    <row r="675" spans="17:19">
      <c r="Q675" s="12"/>
      <c r="S675" s="74"/>
    </row>
    <row r="676" spans="17:19">
      <c r="Q676" s="12"/>
      <c r="S676" s="74"/>
    </row>
    <row r="677" spans="17:19">
      <c r="Q677" s="12"/>
      <c r="S677" s="74"/>
    </row>
    <row r="678" spans="17:19">
      <c r="Q678" s="12"/>
      <c r="S678" s="74"/>
    </row>
    <row r="679" spans="17:19">
      <c r="Q679" s="12"/>
      <c r="S679" s="74"/>
    </row>
    <row r="680" spans="17:19">
      <c r="Q680" s="12"/>
      <c r="S680" s="74"/>
    </row>
    <row r="681" spans="17:19">
      <c r="Q681" s="12"/>
      <c r="S681" s="74"/>
    </row>
    <row r="682" spans="17:19">
      <c r="Q682" s="12"/>
      <c r="S682" s="74"/>
    </row>
    <row r="683" spans="17:19">
      <c r="Q683" s="12"/>
      <c r="S683" s="74"/>
    </row>
    <row r="684" spans="17:19">
      <c r="Q684" s="12"/>
      <c r="S684" s="74"/>
    </row>
    <row r="685" spans="17:19">
      <c r="Q685" s="12"/>
      <c r="S685" s="74"/>
    </row>
    <row r="686" spans="17:19">
      <c r="Q686" s="12"/>
      <c r="S686" s="74"/>
    </row>
    <row r="687" spans="17:19">
      <c r="Q687" s="12"/>
      <c r="S687" s="74"/>
    </row>
    <row r="688" spans="17:19">
      <c r="Q688" s="12"/>
      <c r="S688" s="74"/>
    </row>
    <row r="689" spans="17:19">
      <c r="Q689" s="12"/>
      <c r="S689" s="74"/>
    </row>
    <row r="690" spans="17:19">
      <c r="Q690" s="12"/>
      <c r="S690" s="74"/>
    </row>
    <row r="691" spans="17:19">
      <c r="Q691" s="12"/>
      <c r="S691" s="74"/>
    </row>
    <row r="692" spans="17:19">
      <c r="Q692" s="12"/>
      <c r="S692" s="74"/>
    </row>
    <row r="693" spans="17:19">
      <c r="Q693" s="12"/>
      <c r="S693" s="74"/>
    </row>
    <row r="694" spans="17:19">
      <c r="Q694" s="12"/>
      <c r="S694" s="74"/>
    </row>
    <row r="695" spans="17:19">
      <c r="Q695" s="12"/>
      <c r="S695" s="74"/>
    </row>
    <row r="696" spans="17:19">
      <c r="Q696" s="12"/>
      <c r="S696" s="74"/>
    </row>
    <row r="697" spans="17:19">
      <c r="Q697" s="12"/>
      <c r="S697" s="74"/>
    </row>
    <row r="698" spans="17:19">
      <c r="Q698" s="12"/>
      <c r="S698" s="74"/>
    </row>
    <row r="699" spans="17:19">
      <c r="Q699" s="12"/>
      <c r="S699" s="74"/>
    </row>
    <row r="700" spans="17:19">
      <c r="Q700" s="12"/>
      <c r="S700" s="74"/>
    </row>
    <row r="701" spans="17:19">
      <c r="Q701" s="12"/>
      <c r="S701" s="74"/>
    </row>
    <row r="702" spans="17:19">
      <c r="Q702" s="12"/>
      <c r="S702" s="74"/>
    </row>
    <row r="703" spans="17:19">
      <c r="Q703" s="12"/>
      <c r="S703" s="74"/>
    </row>
    <row r="704" spans="17:19">
      <c r="Q704" s="12"/>
      <c r="S704" s="74"/>
    </row>
    <row r="705" spans="17:19">
      <c r="Q705" s="12"/>
      <c r="S705" s="74"/>
    </row>
    <row r="706" spans="17:19">
      <c r="Q706" s="12"/>
      <c r="S706" s="74"/>
    </row>
    <row r="707" spans="17:19">
      <c r="Q707" s="12"/>
      <c r="S707" s="74"/>
    </row>
    <row r="708" spans="17:19">
      <c r="Q708" s="12"/>
      <c r="S708" s="74"/>
    </row>
  </sheetData>
  <sortState ref="C13:D16">
    <sortCondition descending="1" ref="D13:D16"/>
  </sortState>
  <mergeCells count="4">
    <mergeCell ref="C3:M3"/>
    <mergeCell ref="F7:M7"/>
    <mergeCell ref="F25:J25"/>
    <mergeCell ref="C30:M30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B1:AQ705"/>
  <sheetViews>
    <sheetView showGridLines="0" view="pageBreakPreview" zoomScale="60" zoomScaleNormal="75" workbookViewId="0"/>
  </sheetViews>
  <sheetFormatPr defaultRowHeight="15"/>
  <cols>
    <col min="1" max="1" width="2.85546875" style="12" customWidth="1"/>
    <col min="2" max="2" width="3.85546875" style="12" customWidth="1"/>
    <col min="3" max="3" width="56.7109375" style="12" bestFit="1" customWidth="1"/>
    <col min="4" max="4" width="15.42578125" style="12" bestFit="1" customWidth="1"/>
    <col min="5" max="5" width="9.140625" style="12"/>
    <col min="6" max="6" width="10.7109375" style="12" customWidth="1"/>
    <col min="7" max="7" width="10.5703125" style="12" bestFit="1" customWidth="1"/>
    <col min="8" max="9" width="9.140625" style="12"/>
    <col min="10" max="11" width="16.42578125" style="12" customWidth="1"/>
    <col min="12" max="16" width="9.140625" style="12"/>
    <col min="17" max="17" width="9.140625" style="13"/>
    <col min="18" max="18" width="9.140625" style="14"/>
    <col min="19" max="19" width="9.85546875" style="14" customWidth="1"/>
    <col min="20" max="21" width="9.28515625" style="14" bestFit="1" customWidth="1"/>
    <col min="22" max="24" width="9.140625" style="14"/>
    <col min="25" max="26" width="9.140625" style="64"/>
    <col min="27" max="43" width="9.140625" style="14"/>
    <col min="44" max="16384" width="9.140625" style="12"/>
  </cols>
  <sheetData>
    <row r="1" spans="2:19" ht="15.75" thickBot="1"/>
    <row r="2" spans="2:19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29"/>
    </row>
    <row r="3" spans="2:19" ht="20.25" customHeight="1">
      <c r="B3" s="18"/>
      <c r="C3" s="159" t="s">
        <v>97</v>
      </c>
      <c r="D3" s="159"/>
      <c r="E3" s="159"/>
      <c r="F3" s="159"/>
      <c r="G3" s="159"/>
      <c r="H3" s="159"/>
      <c r="I3" s="159"/>
      <c r="J3" s="159"/>
      <c r="K3" s="159"/>
      <c r="L3" s="159"/>
      <c r="M3" s="160"/>
    </row>
    <row r="4" spans="2:19" ht="15.75">
      <c r="B4" s="18"/>
      <c r="C4" s="2" t="s">
        <v>201</v>
      </c>
      <c r="D4" s="1"/>
      <c r="E4" s="1"/>
      <c r="F4" s="20"/>
      <c r="G4" s="20"/>
      <c r="H4" s="20"/>
      <c r="I4" s="20"/>
      <c r="J4" s="20"/>
      <c r="K4" s="20"/>
      <c r="L4" s="20"/>
      <c r="M4" s="30"/>
    </row>
    <row r="5" spans="2:19" ht="20.25" customHeight="1">
      <c r="B5" s="18"/>
      <c r="C5" s="3" t="s">
        <v>202</v>
      </c>
      <c r="D5" s="100" t="s">
        <v>226</v>
      </c>
      <c r="E5"/>
      <c r="F5" s="20"/>
      <c r="G5" s="20"/>
      <c r="H5" s="20"/>
      <c r="I5" s="20"/>
      <c r="J5" s="20"/>
      <c r="K5" s="20"/>
      <c r="L5" s="20"/>
      <c r="M5" s="30"/>
    </row>
    <row r="6" spans="2:19">
      <c r="B6" s="18"/>
      <c r="C6" s="20"/>
      <c r="D6" s="20"/>
      <c r="E6" s="20"/>
      <c r="F6" s="20"/>
      <c r="G6" s="20"/>
      <c r="H6" s="20"/>
      <c r="I6" s="20"/>
      <c r="J6" s="20"/>
      <c r="K6" s="20"/>
      <c r="L6" s="20"/>
      <c r="M6" s="30"/>
    </row>
    <row r="7" spans="2:19" ht="32.25" customHeight="1">
      <c r="B7" s="18"/>
      <c r="C7" s="191" t="s">
        <v>76</v>
      </c>
      <c r="D7" s="191" t="s">
        <v>78</v>
      </c>
      <c r="E7" s="20"/>
      <c r="F7" s="167" t="s">
        <v>89</v>
      </c>
      <c r="G7" s="167"/>
      <c r="H7" s="167"/>
      <c r="I7" s="167"/>
      <c r="J7" s="167"/>
      <c r="K7" s="167"/>
      <c r="L7" s="167"/>
      <c r="M7" s="168"/>
    </row>
    <row r="8" spans="2:19">
      <c r="B8" s="18"/>
      <c r="C8" s="31" t="s">
        <v>149</v>
      </c>
      <c r="D8" s="50">
        <v>0.37435299999999999</v>
      </c>
      <c r="E8" s="20"/>
      <c r="F8" s="23"/>
      <c r="G8" s="39"/>
      <c r="H8" s="23"/>
      <c r="I8" s="59"/>
      <c r="J8" s="60"/>
      <c r="K8" s="23"/>
      <c r="L8" s="23"/>
      <c r="M8" s="41"/>
      <c r="S8" s="74"/>
    </row>
    <row r="9" spans="2:19" ht="15.75" customHeight="1">
      <c r="B9" s="18"/>
      <c r="C9" s="150" t="s">
        <v>150</v>
      </c>
      <c r="D9" s="175">
        <v>0.20064199999999999</v>
      </c>
      <c r="E9" s="20"/>
      <c r="F9" s="23"/>
      <c r="G9" s="23"/>
      <c r="H9" s="23"/>
      <c r="I9" s="59" t="s">
        <v>92</v>
      </c>
      <c r="J9" s="60">
        <f>D11</f>
        <v>0.59292199999999995</v>
      </c>
      <c r="K9" s="23"/>
      <c r="L9" s="23"/>
      <c r="M9" s="41"/>
      <c r="S9" s="74"/>
    </row>
    <row r="10" spans="2:19">
      <c r="B10" s="18"/>
      <c r="C10" s="31" t="s">
        <v>164</v>
      </c>
      <c r="D10" s="50">
        <v>1.7926999999999998E-2</v>
      </c>
      <c r="E10" s="20"/>
      <c r="F10" s="23"/>
      <c r="G10" s="23"/>
      <c r="H10" s="23"/>
      <c r="I10" s="59" t="s">
        <v>94</v>
      </c>
      <c r="J10" s="61">
        <f>D17</f>
        <v>0.40742100000000003</v>
      </c>
      <c r="K10" s="23"/>
      <c r="L10" s="23"/>
      <c r="M10" s="41"/>
      <c r="S10" s="74"/>
    </row>
    <row r="11" spans="2:19" ht="15.75" customHeight="1">
      <c r="B11" s="18"/>
      <c r="C11" s="53" t="s">
        <v>93</v>
      </c>
      <c r="D11" s="54">
        <f>SUM(D8:D10)</f>
        <v>0.59292199999999995</v>
      </c>
      <c r="E11" s="20"/>
      <c r="F11" s="23"/>
      <c r="G11" s="23"/>
      <c r="H11" s="23"/>
      <c r="I11" s="59" t="s">
        <v>29</v>
      </c>
      <c r="J11" s="61">
        <f>D19</f>
        <v>-3.4299999999999999E-4</v>
      </c>
      <c r="K11" s="23"/>
      <c r="L11" s="23"/>
      <c r="M11" s="41"/>
      <c r="S11" s="74"/>
    </row>
    <row r="12" spans="2:19">
      <c r="B12" s="18"/>
      <c r="C12" s="150"/>
      <c r="D12" s="150"/>
      <c r="E12" s="20"/>
      <c r="F12" s="23"/>
      <c r="G12" s="23"/>
      <c r="H12" s="23"/>
      <c r="I12" s="14"/>
      <c r="J12" s="14"/>
      <c r="K12" s="23"/>
      <c r="L12" s="23"/>
      <c r="M12" s="41"/>
      <c r="S12" s="74"/>
    </row>
    <row r="13" spans="2:19" ht="15.75" customHeight="1">
      <c r="B13" s="18"/>
      <c r="C13" s="31" t="s">
        <v>166</v>
      </c>
      <c r="D13" s="50">
        <v>0.10319399999999999</v>
      </c>
      <c r="E13" s="20"/>
      <c r="F13" s="23"/>
      <c r="G13" s="23"/>
      <c r="H13" s="23"/>
      <c r="I13" s="59"/>
      <c r="J13" s="59"/>
      <c r="K13" s="23"/>
      <c r="L13" s="23"/>
      <c r="M13" s="41"/>
      <c r="S13" s="74"/>
    </row>
    <row r="14" spans="2:19">
      <c r="B14" s="18"/>
      <c r="C14" s="31" t="s">
        <v>152</v>
      </c>
      <c r="D14" s="50">
        <v>0.103784</v>
      </c>
      <c r="E14" s="20"/>
      <c r="F14" s="44"/>
      <c r="G14" s="44"/>
      <c r="H14" s="44"/>
      <c r="I14" s="44"/>
      <c r="J14" s="44"/>
      <c r="K14" s="44"/>
      <c r="L14" s="44"/>
      <c r="M14" s="41"/>
      <c r="S14" s="74"/>
    </row>
    <row r="15" spans="2:19">
      <c r="B15" s="18"/>
      <c r="C15" s="31" t="s">
        <v>165</v>
      </c>
      <c r="D15" s="50">
        <v>0.101337</v>
      </c>
      <c r="E15" s="20"/>
      <c r="F15" s="43"/>
      <c r="G15" s="43"/>
      <c r="H15" s="43"/>
      <c r="I15" s="43"/>
      <c r="J15" s="43"/>
      <c r="K15" s="43"/>
      <c r="L15" s="43"/>
      <c r="M15" s="41"/>
      <c r="S15" s="74"/>
    </row>
    <row r="16" spans="2:19">
      <c r="B16" s="18"/>
      <c r="C16" s="31" t="s">
        <v>151</v>
      </c>
      <c r="D16" s="50">
        <v>9.9106E-2</v>
      </c>
      <c r="E16" s="20"/>
      <c r="F16" s="43"/>
      <c r="G16" s="43"/>
      <c r="H16" s="43"/>
      <c r="I16" s="43"/>
      <c r="J16" s="43"/>
      <c r="K16" s="43"/>
      <c r="L16" s="43"/>
      <c r="M16" s="41"/>
      <c r="S16" s="74"/>
    </row>
    <row r="17" spans="2:19" ht="15.75">
      <c r="B17" s="18"/>
      <c r="C17" s="53" t="s">
        <v>27</v>
      </c>
      <c r="D17" s="54">
        <f>SUM(D13:D16)</f>
        <v>0.40742100000000003</v>
      </c>
      <c r="E17" s="20"/>
      <c r="F17" s="43"/>
      <c r="G17" s="43"/>
      <c r="H17" s="43"/>
      <c r="I17" s="43"/>
      <c r="J17" s="43"/>
      <c r="K17" s="43"/>
      <c r="L17" s="43"/>
      <c r="M17" s="30"/>
      <c r="S17" s="74"/>
    </row>
    <row r="18" spans="2:19">
      <c r="B18" s="18"/>
      <c r="C18" s="31"/>
      <c r="D18" s="50"/>
      <c r="E18" s="20"/>
      <c r="F18" s="43"/>
      <c r="G18" s="43"/>
      <c r="H18" s="43"/>
      <c r="I18" s="43"/>
      <c r="J18" s="43"/>
      <c r="K18" s="43"/>
      <c r="L18" s="43"/>
      <c r="M18" s="30"/>
      <c r="S18" s="74"/>
    </row>
    <row r="19" spans="2:19" ht="15.75">
      <c r="B19" s="18"/>
      <c r="C19" s="53" t="s">
        <v>29</v>
      </c>
      <c r="D19" s="54">
        <v>-3.4299999999999999E-4</v>
      </c>
      <c r="E19" s="20"/>
      <c r="F19" s="20"/>
      <c r="G19" s="20"/>
      <c r="H19" s="20"/>
      <c r="I19" s="20"/>
      <c r="J19" s="20"/>
      <c r="K19" s="20"/>
      <c r="L19" s="20"/>
      <c r="M19" s="30"/>
      <c r="S19" s="74"/>
    </row>
    <row r="20" spans="2:19">
      <c r="B20" s="18"/>
      <c r="C20" s="31"/>
      <c r="D20" s="50"/>
      <c r="E20" s="20"/>
      <c r="F20" s="20"/>
      <c r="G20" s="20"/>
      <c r="H20" s="20"/>
      <c r="I20" s="20"/>
      <c r="J20" s="20"/>
      <c r="K20" s="20"/>
      <c r="L20" s="20"/>
      <c r="M20" s="30"/>
      <c r="S20" s="74"/>
    </row>
    <row r="21" spans="2:19" ht="15.75">
      <c r="B21" s="18"/>
      <c r="C21" s="56" t="s">
        <v>95</v>
      </c>
      <c r="D21" s="57">
        <f>SUM(D19,D17,D11)</f>
        <v>1</v>
      </c>
      <c r="E21" s="20"/>
      <c r="F21" s="20"/>
      <c r="G21" s="20"/>
      <c r="H21" s="20"/>
      <c r="I21" s="20"/>
      <c r="J21" s="20"/>
      <c r="K21" s="20"/>
      <c r="L21" s="20"/>
      <c r="M21" s="30"/>
      <c r="S21" s="74"/>
    </row>
    <row r="22" spans="2:19" ht="15.75" customHeight="1">
      <c r="B22" s="18"/>
      <c r="E22" s="20"/>
      <c r="F22" s="20"/>
      <c r="G22" s="20"/>
      <c r="H22" s="20"/>
      <c r="I22" s="20"/>
      <c r="J22" s="20"/>
      <c r="K22" s="20"/>
      <c r="L22" s="20"/>
      <c r="M22" s="30"/>
      <c r="S22" s="74"/>
    </row>
    <row r="23" spans="2:19">
      <c r="B23" s="18"/>
      <c r="C23" s="143"/>
      <c r="D23" s="144"/>
      <c r="E23" s="20"/>
      <c r="F23" s="27" t="s">
        <v>85</v>
      </c>
      <c r="G23" s="20"/>
      <c r="H23" s="20"/>
      <c r="I23" s="20"/>
      <c r="J23" s="20"/>
      <c r="K23" s="20"/>
      <c r="L23" s="20"/>
      <c r="M23" s="19"/>
      <c r="N23" s="13"/>
      <c r="O23" s="13"/>
      <c r="P23" s="13"/>
      <c r="S23" s="74"/>
    </row>
    <row r="24" spans="2:19" ht="15.75">
      <c r="B24" s="18"/>
      <c r="C24" s="145"/>
      <c r="D24" s="146"/>
      <c r="E24" s="20"/>
      <c r="F24" s="46">
        <v>1.0001</v>
      </c>
      <c r="G24" s="20"/>
      <c r="H24" s="20"/>
      <c r="I24" s="20"/>
      <c r="J24" s="20"/>
      <c r="K24" s="20"/>
      <c r="L24" s="20"/>
      <c r="M24" s="19"/>
      <c r="N24" s="13"/>
      <c r="O24" s="13"/>
      <c r="P24" s="13"/>
      <c r="S24" s="74"/>
    </row>
    <row r="25" spans="2:19">
      <c r="B25" s="18"/>
      <c r="C25" s="143"/>
      <c r="D25" s="144"/>
      <c r="E25" s="20"/>
      <c r="F25" s="46"/>
      <c r="G25" s="20"/>
      <c r="H25" s="20"/>
      <c r="I25" s="20"/>
      <c r="J25" s="20"/>
      <c r="K25" s="20"/>
      <c r="L25" s="20"/>
      <c r="M25" s="19"/>
      <c r="N25" s="13"/>
      <c r="O25" s="13"/>
      <c r="P25" s="13"/>
      <c r="S25" s="74"/>
    </row>
    <row r="26" spans="2:19">
      <c r="B26" s="18"/>
      <c r="E26" s="20"/>
      <c r="F26" s="20"/>
      <c r="G26" s="20"/>
      <c r="H26" s="20"/>
      <c r="I26" s="20"/>
      <c r="J26" s="20"/>
      <c r="K26" s="20"/>
      <c r="L26" s="20"/>
      <c r="M26" s="30"/>
      <c r="S26" s="74"/>
    </row>
    <row r="27" spans="2:19" ht="16.5" thickBot="1">
      <c r="B27" s="24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3"/>
      <c r="S27" s="74"/>
    </row>
    <row r="28" spans="2:19">
      <c r="S28" s="74"/>
    </row>
    <row r="29" spans="2:19">
      <c r="S29" s="74"/>
    </row>
    <row r="30" spans="2:19">
      <c r="S30" s="74"/>
    </row>
    <row r="31" spans="2:19">
      <c r="S31" s="74"/>
    </row>
    <row r="32" spans="2:19">
      <c r="S32" s="74"/>
    </row>
    <row r="33" spans="17:19">
      <c r="S33" s="74"/>
    </row>
    <row r="34" spans="17:19">
      <c r="S34" s="74"/>
    </row>
    <row r="35" spans="17:19">
      <c r="S35" s="74"/>
    </row>
    <row r="36" spans="17:19">
      <c r="S36" s="74"/>
    </row>
    <row r="37" spans="17:19">
      <c r="S37" s="74"/>
    </row>
    <row r="38" spans="17:19">
      <c r="S38" s="74"/>
    </row>
    <row r="39" spans="17:19">
      <c r="S39" s="74"/>
    </row>
    <row r="40" spans="17:19">
      <c r="Q40" s="12"/>
      <c r="S40" s="74"/>
    </row>
    <row r="41" spans="17:19">
      <c r="Q41" s="12"/>
      <c r="S41" s="74"/>
    </row>
    <row r="42" spans="17:19">
      <c r="Q42" s="12"/>
      <c r="S42" s="74"/>
    </row>
    <row r="43" spans="17:19">
      <c r="Q43" s="12"/>
      <c r="S43" s="74"/>
    </row>
    <row r="44" spans="17:19">
      <c r="Q44" s="12"/>
      <c r="S44" s="74"/>
    </row>
    <row r="45" spans="17:19">
      <c r="Q45" s="12"/>
      <c r="S45" s="74"/>
    </row>
    <row r="46" spans="17:19">
      <c r="Q46" s="12"/>
      <c r="S46" s="74"/>
    </row>
    <row r="47" spans="17:19">
      <c r="Q47" s="12"/>
      <c r="S47" s="74"/>
    </row>
    <row r="48" spans="17:19">
      <c r="Q48" s="12"/>
      <c r="S48" s="74"/>
    </row>
    <row r="49" spans="17:19">
      <c r="Q49" s="12"/>
      <c r="S49" s="74"/>
    </row>
    <row r="50" spans="17:19">
      <c r="Q50" s="12"/>
      <c r="S50" s="74"/>
    </row>
    <row r="51" spans="17:19">
      <c r="Q51" s="12"/>
      <c r="S51" s="74"/>
    </row>
    <row r="52" spans="17:19">
      <c r="Q52" s="12"/>
      <c r="S52" s="74"/>
    </row>
    <row r="53" spans="17:19">
      <c r="Q53" s="12"/>
      <c r="S53" s="74"/>
    </row>
    <row r="54" spans="17:19">
      <c r="Q54" s="12"/>
      <c r="S54" s="74"/>
    </row>
    <row r="55" spans="17:19">
      <c r="Q55" s="12"/>
      <c r="S55" s="74"/>
    </row>
    <row r="56" spans="17:19">
      <c r="Q56" s="12"/>
      <c r="S56" s="74"/>
    </row>
    <row r="57" spans="17:19">
      <c r="Q57" s="12"/>
      <c r="S57" s="74"/>
    </row>
    <row r="58" spans="17:19">
      <c r="Q58" s="12"/>
      <c r="S58" s="74"/>
    </row>
    <row r="59" spans="17:19">
      <c r="Q59" s="12"/>
      <c r="S59" s="74"/>
    </row>
    <row r="60" spans="17:19">
      <c r="Q60" s="12"/>
      <c r="S60" s="74"/>
    </row>
    <row r="61" spans="17:19">
      <c r="Q61" s="12"/>
      <c r="S61" s="74"/>
    </row>
    <row r="62" spans="17:19">
      <c r="Q62" s="12"/>
      <c r="S62" s="74"/>
    </row>
    <row r="63" spans="17:19">
      <c r="Q63" s="12"/>
      <c r="S63" s="74"/>
    </row>
    <row r="64" spans="17:19">
      <c r="Q64" s="12"/>
      <c r="S64" s="74"/>
    </row>
    <row r="65" spans="17:19">
      <c r="Q65" s="12"/>
      <c r="S65" s="74"/>
    </row>
    <row r="66" spans="17:19">
      <c r="Q66" s="12"/>
      <c r="S66" s="74"/>
    </row>
    <row r="67" spans="17:19">
      <c r="Q67" s="12"/>
      <c r="S67" s="74"/>
    </row>
    <row r="68" spans="17:19">
      <c r="Q68" s="12"/>
      <c r="S68" s="74"/>
    </row>
    <row r="69" spans="17:19">
      <c r="Q69" s="12"/>
      <c r="S69" s="74"/>
    </row>
    <row r="70" spans="17:19">
      <c r="Q70" s="12"/>
      <c r="S70" s="74"/>
    </row>
    <row r="71" spans="17:19">
      <c r="Q71" s="12"/>
      <c r="S71" s="74"/>
    </row>
    <row r="72" spans="17:19">
      <c r="Q72" s="12"/>
      <c r="S72" s="74"/>
    </row>
    <row r="73" spans="17:19">
      <c r="Q73" s="12"/>
      <c r="S73" s="74"/>
    </row>
    <row r="74" spans="17:19">
      <c r="Q74" s="12"/>
      <c r="S74" s="74"/>
    </row>
    <row r="75" spans="17:19">
      <c r="Q75" s="12"/>
      <c r="S75" s="74"/>
    </row>
    <row r="76" spans="17:19">
      <c r="Q76" s="12"/>
      <c r="S76" s="74"/>
    </row>
    <row r="77" spans="17:19">
      <c r="Q77" s="12"/>
      <c r="S77" s="74"/>
    </row>
    <row r="78" spans="17:19">
      <c r="Q78" s="12"/>
      <c r="S78" s="74"/>
    </row>
    <row r="79" spans="17:19">
      <c r="Q79" s="12"/>
      <c r="S79" s="74"/>
    </row>
    <row r="80" spans="17:19">
      <c r="Q80" s="12"/>
      <c r="S80" s="74"/>
    </row>
    <row r="81" spans="17:19">
      <c r="Q81" s="12"/>
      <c r="S81" s="74"/>
    </row>
    <row r="82" spans="17:19">
      <c r="Q82" s="12"/>
      <c r="S82" s="74"/>
    </row>
    <row r="83" spans="17:19">
      <c r="Q83" s="12"/>
      <c r="S83" s="74"/>
    </row>
    <row r="84" spans="17:19">
      <c r="Q84" s="12"/>
      <c r="S84" s="74"/>
    </row>
    <row r="85" spans="17:19">
      <c r="Q85" s="12"/>
      <c r="S85" s="74"/>
    </row>
    <row r="86" spans="17:19">
      <c r="Q86" s="12"/>
      <c r="S86" s="74"/>
    </row>
    <row r="87" spans="17:19">
      <c r="Q87" s="12"/>
      <c r="S87" s="74"/>
    </row>
    <row r="88" spans="17:19">
      <c r="Q88" s="12"/>
      <c r="S88" s="74"/>
    </row>
    <row r="89" spans="17:19">
      <c r="Q89" s="12"/>
      <c r="S89" s="74"/>
    </row>
    <row r="90" spans="17:19">
      <c r="Q90" s="12"/>
      <c r="S90" s="74"/>
    </row>
    <row r="91" spans="17:19">
      <c r="Q91" s="12"/>
      <c r="S91" s="74"/>
    </row>
    <row r="92" spans="17:19">
      <c r="Q92" s="12"/>
      <c r="S92" s="74"/>
    </row>
    <row r="93" spans="17:19">
      <c r="Q93" s="12"/>
      <c r="S93" s="74"/>
    </row>
    <row r="94" spans="17:19">
      <c r="Q94" s="12"/>
      <c r="S94" s="74"/>
    </row>
    <row r="95" spans="17:19">
      <c r="Q95" s="12"/>
      <c r="S95" s="74"/>
    </row>
    <row r="96" spans="17:19">
      <c r="Q96" s="12"/>
      <c r="S96" s="74"/>
    </row>
    <row r="97" spans="17:19">
      <c r="Q97" s="12"/>
      <c r="S97" s="74"/>
    </row>
    <row r="98" spans="17:19">
      <c r="Q98" s="12"/>
      <c r="S98" s="74"/>
    </row>
    <row r="99" spans="17:19">
      <c r="Q99" s="12"/>
      <c r="S99" s="74"/>
    </row>
    <row r="100" spans="17:19">
      <c r="Q100" s="12"/>
      <c r="S100" s="74"/>
    </row>
    <row r="101" spans="17:19">
      <c r="Q101" s="12"/>
      <c r="S101" s="74"/>
    </row>
    <row r="102" spans="17:19">
      <c r="Q102" s="12"/>
      <c r="S102" s="74"/>
    </row>
    <row r="103" spans="17:19">
      <c r="Q103" s="12"/>
      <c r="S103" s="74"/>
    </row>
    <row r="104" spans="17:19">
      <c r="Q104" s="12"/>
      <c r="S104" s="74"/>
    </row>
    <row r="105" spans="17:19">
      <c r="Q105" s="12"/>
      <c r="S105" s="74"/>
    </row>
    <row r="106" spans="17:19">
      <c r="Q106" s="12"/>
      <c r="S106" s="74"/>
    </row>
    <row r="107" spans="17:19">
      <c r="Q107" s="12"/>
      <c r="S107" s="74"/>
    </row>
    <row r="108" spans="17:19">
      <c r="Q108" s="12"/>
      <c r="S108" s="74"/>
    </row>
    <row r="109" spans="17:19">
      <c r="Q109" s="12"/>
      <c r="S109" s="74"/>
    </row>
    <row r="110" spans="17:19">
      <c r="Q110" s="12"/>
      <c r="S110" s="74"/>
    </row>
    <row r="111" spans="17:19">
      <c r="Q111" s="12"/>
      <c r="S111" s="74"/>
    </row>
    <row r="112" spans="17:19">
      <c r="Q112" s="12"/>
      <c r="S112" s="74"/>
    </row>
    <row r="113" spans="17:19">
      <c r="Q113" s="12"/>
      <c r="S113" s="74"/>
    </row>
    <row r="114" spans="17:19">
      <c r="Q114" s="12"/>
      <c r="S114" s="74"/>
    </row>
    <row r="115" spans="17:19">
      <c r="Q115" s="12"/>
      <c r="S115" s="74"/>
    </row>
    <row r="116" spans="17:19">
      <c r="Q116" s="12"/>
      <c r="S116" s="74"/>
    </row>
    <row r="117" spans="17:19">
      <c r="Q117" s="12"/>
      <c r="S117" s="74"/>
    </row>
    <row r="118" spans="17:19">
      <c r="Q118" s="12"/>
      <c r="S118" s="74"/>
    </row>
    <row r="119" spans="17:19">
      <c r="Q119" s="12"/>
      <c r="S119" s="74"/>
    </row>
    <row r="120" spans="17:19">
      <c r="Q120" s="12"/>
      <c r="S120" s="74"/>
    </row>
    <row r="121" spans="17:19">
      <c r="Q121" s="12"/>
      <c r="S121" s="74"/>
    </row>
    <row r="122" spans="17:19">
      <c r="Q122" s="12"/>
      <c r="S122" s="74"/>
    </row>
    <row r="123" spans="17:19">
      <c r="Q123" s="12"/>
      <c r="S123" s="74"/>
    </row>
    <row r="124" spans="17:19">
      <c r="Q124" s="12"/>
      <c r="S124" s="74"/>
    </row>
    <row r="125" spans="17:19">
      <c r="Q125" s="12"/>
      <c r="S125" s="74"/>
    </row>
    <row r="126" spans="17:19">
      <c r="Q126" s="12"/>
      <c r="S126" s="74"/>
    </row>
    <row r="127" spans="17:19">
      <c r="Q127" s="12"/>
      <c r="S127" s="74"/>
    </row>
    <row r="128" spans="17:19">
      <c r="Q128" s="12"/>
      <c r="S128" s="74"/>
    </row>
    <row r="129" spans="17:19">
      <c r="Q129" s="12"/>
      <c r="S129" s="74"/>
    </row>
    <row r="130" spans="17:19">
      <c r="Q130" s="12"/>
      <c r="S130" s="74"/>
    </row>
    <row r="131" spans="17:19">
      <c r="Q131" s="12"/>
      <c r="S131" s="74"/>
    </row>
    <row r="132" spans="17:19">
      <c r="Q132" s="12"/>
      <c r="S132" s="74"/>
    </row>
    <row r="133" spans="17:19">
      <c r="Q133" s="12"/>
      <c r="S133" s="74"/>
    </row>
    <row r="134" spans="17:19">
      <c r="Q134" s="12"/>
      <c r="S134" s="74"/>
    </row>
    <row r="135" spans="17:19">
      <c r="Q135" s="12"/>
      <c r="S135" s="74"/>
    </row>
    <row r="136" spans="17:19">
      <c r="Q136" s="12"/>
      <c r="S136" s="74"/>
    </row>
    <row r="137" spans="17:19">
      <c r="Q137" s="12"/>
      <c r="S137" s="74"/>
    </row>
    <row r="138" spans="17:19">
      <c r="Q138" s="12"/>
      <c r="S138" s="74"/>
    </row>
    <row r="139" spans="17:19">
      <c r="Q139" s="12"/>
      <c r="S139" s="74"/>
    </row>
    <row r="140" spans="17:19">
      <c r="Q140" s="12"/>
      <c r="S140" s="74"/>
    </row>
    <row r="141" spans="17:19">
      <c r="Q141" s="12"/>
      <c r="S141" s="74"/>
    </row>
    <row r="142" spans="17:19">
      <c r="Q142" s="12"/>
      <c r="S142" s="74"/>
    </row>
    <row r="143" spans="17:19">
      <c r="Q143" s="12"/>
      <c r="S143" s="74"/>
    </row>
    <row r="144" spans="17:19">
      <c r="Q144" s="12"/>
      <c r="S144" s="74"/>
    </row>
    <row r="145" spans="17:19">
      <c r="Q145" s="12"/>
      <c r="S145" s="74"/>
    </row>
    <row r="146" spans="17:19">
      <c r="Q146" s="12"/>
      <c r="S146" s="74"/>
    </row>
    <row r="147" spans="17:19">
      <c r="Q147" s="12"/>
      <c r="S147" s="74"/>
    </row>
    <row r="148" spans="17:19">
      <c r="Q148" s="12"/>
      <c r="S148" s="74"/>
    </row>
    <row r="149" spans="17:19">
      <c r="Q149" s="12"/>
      <c r="S149" s="74"/>
    </row>
    <row r="150" spans="17:19">
      <c r="Q150" s="12"/>
      <c r="S150" s="74"/>
    </row>
    <row r="151" spans="17:19">
      <c r="Q151" s="12"/>
      <c r="S151" s="74"/>
    </row>
    <row r="152" spans="17:19">
      <c r="Q152" s="12"/>
      <c r="S152" s="74"/>
    </row>
    <row r="153" spans="17:19">
      <c r="Q153" s="12"/>
      <c r="S153" s="74"/>
    </row>
    <row r="154" spans="17:19">
      <c r="Q154" s="12"/>
      <c r="S154" s="74"/>
    </row>
    <row r="155" spans="17:19">
      <c r="Q155" s="12"/>
      <c r="S155" s="74"/>
    </row>
    <row r="156" spans="17:19">
      <c r="Q156" s="12"/>
      <c r="S156" s="74"/>
    </row>
    <row r="157" spans="17:19">
      <c r="Q157" s="12"/>
      <c r="S157" s="74"/>
    </row>
    <row r="158" spans="17:19">
      <c r="Q158" s="12"/>
      <c r="S158" s="74"/>
    </row>
    <row r="159" spans="17:19">
      <c r="Q159" s="12"/>
      <c r="S159" s="74"/>
    </row>
    <row r="160" spans="17:19">
      <c r="Q160" s="12"/>
      <c r="S160" s="74"/>
    </row>
    <row r="161" spans="17:19">
      <c r="Q161" s="12"/>
      <c r="S161" s="74"/>
    </row>
    <row r="162" spans="17:19">
      <c r="Q162" s="12"/>
      <c r="S162" s="74"/>
    </row>
    <row r="163" spans="17:19">
      <c r="Q163" s="12"/>
      <c r="S163" s="74"/>
    </row>
    <row r="164" spans="17:19">
      <c r="Q164" s="12"/>
      <c r="S164" s="74"/>
    </row>
    <row r="165" spans="17:19">
      <c r="Q165" s="12"/>
      <c r="S165" s="74"/>
    </row>
    <row r="166" spans="17:19">
      <c r="Q166" s="12"/>
      <c r="S166" s="74"/>
    </row>
    <row r="167" spans="17:19">
      <c r="Q167" s="12"/>
      <c r="S167" s="74"/>
    </row>
    <row r="168" spans="17:19">
      <c r="Q168" s="12"/>
      <c r="S168" s="74"/>
    </row>
    <row r="169" spans="17:19">
      <c r="Q169" s="12"/>
      <c r="S169" s="74"/>
    </row>
    <row r="170" spans="17:19">
      <c r="Q170" s="12"/>
      <c r="S170" s="74"/>
    </row>
    <row r="171" spans="17:19">
      <c r="Q171" s="12"/>
      <c r="S171" s="74"/>
    </row>
    <row r="172" spans="17:19">
      <c r="Q172" s="12"/>
      <c r="S172" s="74"/>
    </row>
    <row r="173" spans="17:19">
      <c r="Q173" s="12"/>
      <c r="S173" s="74"/>
    </row>
    <row r="174" spans="17:19">
      <c r="Q174" s="12"/>
      <c r="S174" s="74"/>
    </row>
    <row r="175" spans="17:19">
      <c r="Q175" s="12"/>
      <c r="S175" s="74"/>
    </row>
    <row r="176" spans="17:19">
      <c r="Q176" s="12"/>
      <c r="S176" s="74"/>
    </row>
    <row r="177" spans="17:19">
      <c r="Q177" s="12"/>
      <c r="S177" s="74"/>
    </row>
    <row r="178" spans="17:19">
      <c r="Q178" s="12"/>
      <c r="S178" s="74"/>
    </row>
    <row r="179" spans="17:19">
      <c r="Q179" s="12"/>
      <c r="S179" s="74"/>
    </row>
    <row r="180" spans="17:19">
      <c r="Q180" s="12"/>
      <c r="S180" s="74"/>
    </row>
    <row r="181" spans="17:19">
      <c r="Q181" s="12"/>
      <c r="S181" s="74"/>
    </row>
    <row r="182" spans="17:19">
      <c r="Q182" s="12"/>
      <c r="S182" s="74"/>
    </row>
    <row r="183" spans="17:19">
      <c r="Q183" s="12"/>
      <c r="S183" s="74"/>
    </row>
    <row r="184" spans="17:19">
      <c r="Q184" s="12"/>
      <c r="S184" s="74"/>
    </row>
    <row r="185" spans="17:19">
      <c r="Q185" s="12"/>
      <c r="S185" s="74"/>
    </row>
    <row r="186" spans="17:19">
      <c r="Q186" s="12"/>
      <c r="S186" s="74"/>
    </row>
    <row r="187" spans="17:19">
      <c r="Q187" s="12"/>
      <c r="S187" s="74"/>
    </row>
    <row r="188" spans="17:19">
      <c r="Q188" s="12"/>
      <c r="S188" s="74"/>
    </row>
    <row r="189" spans="17:19">
      <c r="Q189" s="12"/>
      <c r="S189" s="74"/>
    </row>
    <row r="190" spans="17:19">
      <c r="Q190" s="12"/>
      <c r="S190" s="74"/>
    </row>
    <row r="191" spans="17:19">
      <c r="Q191" s="12"/>
      <c r="S191" s="74"/>
    </row>
    <row r="192" spans="17:19">
      <c r="Q192" s="12"/>
      <c r="S192" s="74"/>
    </row>
    <row r="193" spans="17:19">
      <c r="Q193" s="12"/>
      <c r="S193" s="74"/>
    </row>
    <row r="194" spans="17:19">
      <c r="Q194" s="12"/>
      <c r="S194" s="74"/>
    </row>
    <row r="195" spans="17:19">
      <c r="Q195" s="12"/>
      <c r="S195" s="74"/>
    </row>
    <row r="196" spans="17:19">
      <c r="Q196" s="12"/>
      <c r="S196" s="74"/>
    </row>
    <row r="197" spans="17:19">
      <c r="Q197" s="12"/>
      <c r="S197" s="74"/>
    </row>
    <row r="198" spans="17:19">
      <c r="Q198" s="12"/>
      <c r="S198" s="74"/>
    </row>
    <row r="199" spans="17:19">
      <c r="Q199" s="12"/>
      <c r="S199" s="74"/>
    </row>
    <row r="200" spans="17:19">
      <c r="Q200" s="12"/>
      <c r="S200" s="74"/>
    </row>
    <row r="201" spans="17:19">
      <c r="Q201" s="12"/>
      <c r="S201" s="74"/>
    </row>
    <row r="202" spans="17:19">
      <c r="Q202" s="12"/>
      <c r="S202" s="74"/>
    </row>
    <row r="203" spans="17:19">
      <c r="Q203" s="12"/>
      <c r="S203" s="74"/>
    </row>
    <row r="204" spans="17:19">
      <c r="Q204" s="12"/>
      <c r="S204" s="74"/>
    </row>
    <row r="205" spans="17:19">
      <c r="Q205" s="12"/>
      <c r="S205" s="74"/>
    </row>
    <row r="206" spans="17:19">
      <c r="Q206" s="12"/>
      <c r="S206" s="74"/>
    </row>
    <row r="207" spans="17:19">
      <c r="Q207" s="12"/>
      <c r="S207" s="74"/>
    </row>
    <row r="208" spans="17:19">
      <c r="Q208" s="12"/>
      <c r="S208" s="74"/>
    </row>
    <row r="209" spans="17:19">
      <c r="Q209" s="12"/>
      <c r="S209" s="74"/>
    </row>
    <row r="210" spans="17:19">
      <c r="Q210" s="12"/>
      <c r="S210" s="74"/>
    </row>
    <row r="211" spans="17:19">
      <c r="Q211" s="12"/>
      <c r="S211" s="74"/>
    </row>
    <row r="212" spans="17:19">
      <c r="Q212" s="12"/>
      <c r="S212" s="74"/>
    </row>
    <row r="213" spans="17:19">
      <c r="Q213" s="12"/>
      <c r="S213" s="74"/>
    </row>
    <row r="214" spans="17:19">
      <c r="Q214" s="12"/>
      <c r="S214" s="74"/>
    </row>
    <row r="215" spans="17:19">
      <c r="Q215" s="12"/>
      <c r="S215" s="74"/>
    </row>
    <row r="216" spans="17:19">
      <c r="Q216" s="12"/>
      <c r="S216" s="74"/>
    </row>
    <row r="217" spans="17:19">
      <c r="Q217" s="12"/>
      <c r="S217" s="74"/>
    </row>
    <row r="218" spans="17:19">
      <c r="Q218" s="12"/>
      <c r="S218" s="74"/>
    </row>
    <row r="219" spans="17:19">
      <c r="Q219" s="12"/>
      <c r="S219" s="74"/>
    </row>
    <row r="220" spans="17:19">
      <c r="Q220" s="12"/>
      <c r="S220" s="74"/>
    </row>
    <row r="221" spans="17:19">
      <c r="Q221" s="12"/>
      <c r="S221" s="74"/>
    </row>
    <row r="222" spans="17:19">
      <c r="Q222" s="12"/>
      <c r="S222" s="74"/>
    </row>
    <row r="223" spans="17:19">
      <c r="Q223" s="12"/>
      <c r="S223" s="74"/>
    </row>
    <row r="224" spans="17:19">
      <c r="Q224" s="12"/>
      <c r="S224" s="74"/>
    </row>
    <row r="225" spans="17:19">
      <c r="Q225" s="12"/>
      <c r="S225" s="74"/>
    </row>
    <row r="226" spans="17:19">
      <c r="Q226" s="12"/>
      <c r="S226" s="74"/>
    </row>
    <row r="227" spans="17:19">
      <c r="Q227" s="12"/>
      <c r="S227" s="74"/>
    </row>
    <row r="228" spans="17:19">
      <c r="Q228" s="12"/>
      <c r="S228" s="74"/>
    </row>
    <row r="229" spans="17:19">
      <c r="Q229" s="12"/>
      <c r="S229" s="74"/>
    </row>
    <row r="230" spans="17:19">
      <c r="Q230" s="12"/>
      <c r="S230" s="74"/>
    </row>
    <row r="231" spans="17:19">
      <c r="Q231" s="12"/>
      <c r="S231" s="74"/>
    </row>
    <row r="232" spans="17:19">
      <c r="Q232" s="12"/>
      <c r="S232" s="74"/>
    </row>
    <row r="233" spans="17:19">
      <c r="Q233" s="12"/>
      <c r="S233" s="74"/>
    </row>
    <row r="234" spans="17:19">
      <c r="Q234" s="12"/>
      <c r="S234" s="74"/>
    </row>
    <row r="235" spans="17:19">
      <c r="Q235" s="12"/>
      <c r="S235" s="74"/>
    </row>
    <row r="236" spans="17:19">
      <c r="Q236" s="12"/>
      <c r="S236" s="74"/>
    </row>
    <row r="237" spans="17:19">
      <c r="Q237" s="12"/>
      <c r="S237" s="74"/>
    </row>
    <row r="238" spans="17:19">
      <c r="Q238" s="12"/>
      <c r="S238" s="74"/>
    </row>
    <row r="239" spans="17:19">
      <c r="Q239" s="12"/>
      <c r="S239" s="74"/>
    </row>
    <row r="240" spans="17:19">
      <c r="Q240" s="12"/>
      <c r="S240" s="74"/>
    </row>
    <row r="241" spans="17:19">
      <c r="Q241" s="12"/>
      <c r="S241" s="74"/>
    </row>
    <row r="242" spans="17:19">
      <c r="Q242" s="12"/>
      <c r="S242" s="74"/>
    </row>
    <row r="243" spans="17:19">
      <c r="Q243" s="12"/>
      <c r="S243" s="74"/>
    </row>
    <row r="244" spans="17:19">
      <c r="Q244" s="12"/>
      <c r="S244" s="74"/>
    </row>
    <row r="245" spans="17:19">
      <c r="Q245" s="12"/>
      <c r="S245" s="74"/>
    </row>
    <row r="246" spans="17:19">
      <c r="Q246" s="12"/>
      <c r="S246" s="74"/>
    </row>
    <row r="247" spans="17:19">
      <c r="Q247" s="12"/>
      <c r="S247" s="74"/>
    </row>
    <row r="248" spans="17:19">
      <c r="Q248" s="12"/>
      <c r="S248" s="74"/>
    </row>
    <row r="249" spans="17:19">
      <c r="Q249" s="12"/>
      <c r="S249" s="74"/>
    </row>
    <row r="250" spans="17:19">
      <c r="Q250" s="12"/>
      <c r="S250" s="74"/>
    </row>
    <row r="251" spans="17:19">
      <c r="Q251" s="12"/>
      <c r="S251" s="74"/>
    </row>
    <row r="252" spans="17:19">
      <c r="Q252" s="12"/>
      <c r="S252" s="74"/>
    </row>
    <row r="253" spans="17:19">
      <c r="Q253" s="12"/>
      <c r="S253" s="74"/>
    </row>
    <row r="254" spans="17:19">
      <c r="Q254" s="12"/>
      <c r="S254" s="74"/>
    </row>
    <row r="255" spans="17:19">
      <c r="Q255" s="12"/>
      <c r="S255" s="74"/>
    </row>
    <row r="256" spans="17:19">
      <c r="Q256" s="12"/>
      <c r="S256" s="74"/>
    </row>
    <row r="257" spans="17:19">
      <c r="Q257" s="12"/>
      <c r="S257" s="74"/>
    </row>
    <row r="258" spans="17:19">
      <c r="Q258" s="12"/>
      <c r="S258" s="74"/>
    </row>
    <row r="259" spans="17:19">
      <c r="Q259" s="12"/>
      <c r="S259" s="74"/>
    </row>
    <row r="260" spans="17:19">
      <c r="Q260" s="12"/>
      <c r="S260" s="74"/>
    </row>
    <row r="261" spans="17:19">
      <c r="Q261" s="12"/>
      <c r="S261" s="74"/>
    </row>
    <row r="262" spans="17:19">
      <c r="Q262" s="12"/>
      <c r="S262" s="74"/>
    </row>
    <row r="263" spans="17:19">
      <c r="Q263" s="12"/>
      <c r="S263" s="74"/>
    </row>
    <row r="264" spans="17:19">
      <c r="Q264" s="12"/>
      <c r="S264" s="74"/>
    </row>
    <row r="265" spans="17:19">
      <c r="Q265" s="12"/>
      <c r="S265" s="74"/>
    </row>
    <row r="266" spans="17:19">
      <c r="Q266" s="12"/>
      <c r="S266" s="74"/>
    </row>
    <row r="267" spans="17:19">
      <c r="Q267" s="12"/>
      <c r="S267" s="74"/>
    </row>
    <row r="268" spans="17:19">
      <c r="Q268" s="12"/>
      <c r="S268" s="74"/>
    </row>
    <row r="269" spans="17:19">
      <c r="Q269" s="12"/>
      <c r="S269" s="74"/>
    </row>
    <row r="270" spans="17:19">
      <c r="Q270" s="12"/>
      <c r="S270" s="74"/>
    </row>
    <row r="271" spans="17:19">
      <c r="Q271" s="12"/>
      <c r="S271" s="74"/>
    </row>
    <row r="272" spans="17:19">
      <c r="Q272" s="12"/>
      <c r="S272" s="74"/>
    </row>
    <row r="273" spans="17:19">
      <c r="Q273" s="12"/>
      <c r="S273" s="74"/>
    </row>
    <row r="274" spans="17:19">
      <c r="Q274" s="12"/>
      <c r="S274" s="74"/>
    </row>
    <row r="275" spans="17:19">
      <c r="Q275" s="12"/>
      <c r="S275" s="74"/>
    </row>
    <row r="276" spans="17:19">
      <c r="Q276" s="12"/>
      <c r="S276" s="74"/>
    </row>
    <row r="277" spans="17:19">
      <c r="Q277" s="12"/>
      <c r="S277" s="74"/>
    </row>
    <row r="278" spans="17:19">
      <c r="Q278" s="12"/>
      <c r="S278" s="74"/>
    </row>
    <row r="279" spans="17:19">
      <c r="Q279" s="12"/>
      <c r="S279" s="74"/>
    </row>
    <row r="280" spans="17:19">
      <c r="Q280" s="12"/>
      <c r="S280" s="74"/>
    </row>
    <row r="281" spans="17:19">
      <c r="Q281" s="12"/>
      <c r="S281" s="74"/>
    </row>
    <row r="282" spans="17:19">
      <c r="Q282" s="12"/>
      <c r="S282" s="74"/>
    </row>
    <row r="283" spans="17:19">
      <c r="Q283" s="12"/>
      <c r="S283" s="74"/>
    </row>
    <row r="284" spans="17:19">
      <c r="Q284" s="12"/>
      <c r="S284" s="74"/>
    </row>
    <row r="285" spans="17:19">
      <c r="Q285" s="12"/>
      <c r="S285" s="74"/>
    </row>
    <row r="286" spans="17:19">
      <c r="Q286" s="12"/>
      <c r="S286" s="74"/>
    </row>
    <row r="287" spans="17:19">
      <c r="Q287" s="12"/>
      <c r="S287" s="74"/>
    </row>
    <row r="288" spans="17:19">
      <c r="Q288" s="12"/>
      <c r="S288" s="74"/>
    </row>
    <row r="289" spans="17:19">
      <c r="Q289" s="12"/>
      <c r="S289" s="74"/>
    </row>
    <row r="290" spans="17:19">
      <c r="Q290" s="12"/>
      <c r="S290" s="74"/>
    </row>
    <row r="291" spans="17:19">
      <c r="Q291" s="12"/>
      <c r="S291" s="74"/>
    </row>
    <row r="292" spans="17:19">
      <c r="Q292" s="12"/>
      <c r="S292" s="74"/>
    </row>
    <row r="293" spans="17:19">
      <c r="Q293" s="12"/>
      <c r="S293" s="74"/>
    </row>
    <row r="294" spans="17:19">
      <c r="Q294" s="12"/>
      <c r="S294" s="74"/>
    </row>
    <row r="295" spans="17:19">
      <c r="Q295" s="12"/>
      <c r="S295" s="74"/>
    </row>
    <row r="296" spans="17:19">
      <c r="Q296" s="12"/>
      <c r="S296" s="74"/>
    </row>
    <row r="297" spans="17:19">
      <c r="Q297" s="12"/>
      <c r="S297" s="74"/>
    </row>
    <row r="298" spans="17:19">
      <c r="Q298" s="12"/>
      <c r="S298" s="74"/>
    </row>
    <row r="299" spans="17:19">
      <c r="Q299" s="12"/>
      <c r="S299" s="74"/>
    </row>
    <row r="300" spans="17:19">
      <c r="Q300" s="12"/>
      <c r="S300" s="74"/>
    </row>
    <row r="301" spans="17:19">
      <c r="Q301" s="12"/>
      <c r="S301" s="74"/>
    </row>
    <row r="302" spans="17:19">
      <c r="Q302" s="12"/>
      <c r="S302" s="74"/>
    </row>
    <row r="303" spans="17:19">
      <c r="Q303" s="12"/>
      <c r="S303" s="74"/>
    </row>
    <row r="304" spans="17:19">
      <c r="Q304" s="12"/>
      <c r="S304" s="74"/>
    </row>
    <row r="305" spans="17:19">
      <c r="Q305" s="12"/>
      <c r="S305" s="74"/>
    </row>
    <row r="306" spans="17:19">
      <c r="Q306" s="12"/>
      <c r="S306" s="74"/>
    </row>
    <row r="307" spans="17:19">
      <c r="Q307" s="12"/>
      <c r="S307" s="74"/>
    </row>
    <row r="308" spans="17:19">
      <c r="Q308" s="12"/>
      <c r="S308" s="74"/>
    </row>
    <row r="309" spans="17:19">
      <c r="Q309" s="12"/>
      <c r="S309" s="74"/>
    </row>
    <row r="310" spans="17:19">
      <c r="Q310" s="12"/>
      <c r="S310" s="74"/>
    </row>
    <row r="311" spans="17:19">
      <c r="Q311" s="12"/>
      <c r="S311" s="74"/>
    </row>
    <row r="312" spans="17:19">
      <c r="Q312" s="12"/>
      <c r="S312" s="74"/>
    </row>
    <row r="313" spans="17:19">
      <c r="Q313" s="12"/>
      <c r="S313" s="74"/>
    </row>
    <row r="314" spans="17:19">
      <c r="Q314" s="12"/>
      <c r="S314" s="74"/>
    </row>
    <row r="315" spans="17:19">
      <c r="Q315" s="12"/>
      <c r="S315" s="74"/>
    </row>
    <row r="316" spans="17:19">
      <c r="Q316" s="12"/>
      <c r="S316" s="74"/>
    </row>
    <row r="317" spans="17:19">
      <c r="Q317" s="12"/>
      <c r="S317" s="74"/>
    </row>
    <row r="318" spans="17:19">
      <c r="Q318" s="12"/>
      <c r="S318" s="74"/>
    </row>
    <row r="319" spans="17:19">
      <c r="Q319" s="12"/>
      <c r="S319" s="74"/>
    </row>
    <row r="320" spans="17:19">
      <c r="Q320" s="12"/>
      <c r="S320" s="74"/>
    </row>
    <row r="321" spans="17:19">
      <c r="Q321" s="12"/>
      <c r="S321" s="74"/>
    </row>
    <row r="322" spans="17:19">
      <c r="Q322" s="12"/>
      <c r="S322" s="74"/>
    </row>
    <row r="323" spans="17:19">
      <c r="Q323" s="12"/>
      <c r="S323" s="74"/>
    </row>
    <row r="324" spans="17:19">
      <c r="Q324" s="12"/>
      <c r="S324" s="74"/>
    </row>
    <row r="325" spans="17:19">
      <c r="Q325" s="12"/>
      <c r="S325" s="74"/>
    </row>
    <row r="326" spans="17:19">
      <c r="Q326" s="12"/>
      <c r="S326" s="74"/>
    </row>
    <row r="327" spans="17:19">
      <c r="Q327" s="12"/>
      <c r="S327" s="74"/>
    </row>
    <row r="328" spans="17:19">
      <c r="Q328" s="12"/>
      <c r="S328" s="74"/>
    </row>
    <row r="329" spans="17:19">
      <c r="Q329" s="12"/>
      <c r="S329" s="74"/>
    </row>
    <row r="330" spans="17:19">
      <c r="Q330" s="12"/>
      <c r="S330" s="74"/>
    </row>
    <row r="331" spans="17:19">
      <c r="Q331" s="12"/>
      <c r="S331" s="74"/>
    </row>
    <row r="332" spans="17:19">
      <c r="Q332" s="12"/>
      <c r="S332" s="74"/>
    </row>
    <row r="333" spans="17:19">
      <c r="Q333" s="12"/>
      <c r="S333" s="74"/>
    </row>
    <row r="334" spans="17:19">
      <c r="Q334" s="12"/>
      <c r="S334" s="74"/>
    </row>
    <row r="335" spans="17:19">
      <c r="Q335" s="12"/>
      <c r="S335" s="74"/>
    </row>
    <row r="336" spans="17:19">
      <c r="Q336" s="12"/>
      <c r="S336" s="74"/>
    </row>
    <row r="337" spans="17:19">
      <c r="Q337" s="12"/>
      <c r="S337" s="74"/>
    </row>
    <row r="338" spans="17:19">
      <c r="Q338" s="12"/>
      <c r="S338" s="74"/>
    </row>
    <row r="339" spans="17:19">
      <c r="Q339" s="12"/>
      <c r="S339" s="74"/>
    </row>
    <row r="340" spans="17:19">
      <c r="Q340" s="12"/>
      <c r="S340" s="74"/>
    </row>
    <row r="341" spans="17:19">
      <c r="Q341" s="12"/>
      <c r="S341" s="74"/>
    </row>
    <row r="342" spans="17:19">
      <c r="Q342" s="12"/>
      <c r="S342" s="74"/>
    </row>
    <row r="343" spans="17:19">
      <c r="Q343" s="12"/>
      <c r="S343" s="74"/>
    </row>
    <row r="344" spans="17:19">
      <c r="Q344" s="12"/>
      <c r="S344" s="74"/>
    </row>
    <row r="345" spans="17:19">
      <c r="Q345" s="12"/>
      <c r="S345" s="74"/>
    </row>
    <row r="346" spans="17:19">
      <c r="Q346" s="12"/>
      <c r="S346" s="74"/>
    </row>
    <row r="347" spans="17:19">
      <c r="Q347" s="12"/>
      <c r="S347" s="74"/>
    </row>
    <row r="348" spans="17:19">
      <c r="Q348" s="12"/>
      <c r="S348" s="74"/>
    </row>
    <row r="349" spans="17:19">
      <c r="Q349" s="12"/>
      <c r="S349" s="74"/>
    </row>
    <row r="350" spans="17:19">
      <c r="Q350" s="12"/>
      <c r="S350" s="74"/>
    </row>
    <row r="351" spans="17:19">
      <c r="Q351" s="12"/>
      <c r="S351" s="74"/>
    </row>
    <row r="352" spans="17:19">
      <c r="Q352" s="12"/>
      <c r="S352" s="74"/>
    </row>
    <row r="353" spans="17:19">
      <c r="Q353" s="12"/>
      <c r="S353" s="74"/>
    </row>
    <row r="354" spans="17:19">
      <c r="Q354" s="12"/>
      <c r="S354" s="74"/>
    </row>
    <row r="355" spans="17:19">
      <c r="Q355" s="12"/>
      <c r="S355" s="74"/>
    </row>
    <row r="356" spans="17:19">
      <c r="Q356" s="12"/>
      <c r="S356" s="74"/>
    </row>
    <row r="357" spans="17:19">
      <c r="Q357" s="12"/>
      <c r="S357" s="74"/>
    </row>
    <row r="358" spans="17:19">
      <c r="Q358" s="12"/>
      <c r="S358" s="74"/>
    </row>
    <row r="359" spans="17:19">
      <c r="Q359" s="12"/>
      <c r="S359" s="74"/>
    </row>
    <row r="360" spans="17:19">
      <c r="Q360" s="12"/>
      <c r="S360" s="74"/>
    </row>
    <row r="361" spans="17:19">
      <c r="Q361" s="12"/>
      <c r="S361" s="74"/>
    </row>
    <row r="362" spans="17:19">
      <c r="Q362" s="12"/>
      <c r="S362" s="74"/>
    </row>
    <row r="363" spans="17:19">
      <c r="Q363" s="12"/>
      <c r="S363" s="74"/>
    </row>
    <row r="364" spans="17:19">
      <c r="Q364" s="12"/>
      <c r="S364" s="74"/>
    </row>
    <row r="365" spans="17:19">
      <c r="Q365" s="12"/>
      <c r="S365" s="74"/>
    </row>
    <row r="366" spans="17:19">
      <c r="Q366" s="12"/>
      <c r="S366" s="74"/>
    </row>
    <row r="367" spans="17:19">
      <c r="Q367" s="12"/>
      <c r="S367" s="74"/>
    </row>
    <row r="368" spans="17:19">
      <c r="Q368" s="12"/>
      <c r="S368" s="74"/>
    </row>
    <row r="369" spans="17:19">
      <c r="Q369" s="12"/>
      <c r="S369" s="74"/>
    </row>
    <row r="370" spans="17:19">
      <c r="Q370" s="12"/>
      <c r="S370" s="74"/>
    </row>
    <row r="371" spans="17:19">
      <c r="Q371" s="12"/>
      <c r="S371" s="74"/>
    </row>
    <row r="372" spans="17:19">
      <c r="Q372" s="12"/>
      <c r="S372" s="74"/>
    </row>
    <row r="373" spans="17:19">
      <c r="Q373" s="12"/>
      <c r="S373" s="74"/>
    </row>
    <row r="374" spans="17:19">
      <c r="Q374" s="12"/>
      <c r="S374" s="74"/>
    </row>
    <row r="375" spans="17:19">
      <c r="Q375" s="12"/>
      <c r="S375" s="74"/>
    </row>
    <row r="376" spans="17:19">
      <c r="Q376" s="12"/>
      <c r="S376" s="74"/>
    </row>
    <row r="377" spans="17:19">
      <c r="Q377" s="12"/>
      <c r="S377" s="74"/>
    </row>
    <row r="378" spans="17:19">
      <c r="Q378" s="12"/>
      <c r="S378" s="74"/>
    </row>
    <row r="379" spans="17:19">
      <c r="Q379" s="12"/>
      <c r="S379" s="74"/>
    </row>
    <row r="380" spans="17:19">
      <c r="Q380" s="12"/>
      <c r="S380" s="74"/>
    </row>
    <row r="381" spans="17:19">
      <c r="Q381" s="12"/>
      <c r="S381" s="74"/>
    </row>
    <row r="382" spans="17:19">
      <c r="Q382" s="12"/>
      <c r="S382" s="74"/>
    </row>
    <row r="383" spans="17:19">
      <c r="Q383" s="12"/>
      <c r="S383" s="74"/>
    </row>
    <row r="384" spans="17:19">
      <c r="Q384" s="12"/>
      <c r="S384" s="74"/>
    </row>
    <row r="385" spans="17:19">
      <c r="Q385" s="12"/>
      <c r="S385" s="74"/>
    </row>
    <row r="386" spans="17:19">
      <c r="Q386" s="12"/>
      <c r="S386" s="74"/>
    </row>
    <row r="387" spans="17:19">
      <c r="Q387" s="12"/>
      <c r="S387" s="74"/>
    </row>
    <row r="388" spans="17:19">
      <c r="Q388" s="12"/>
      <c r="S388" s="74"/>
    </row>
    <row r="389" spans="17:19">
      <c r="Q389" s="12"/>
      <c r="S389" s="74"/>
    </row>
    <row r="390" spans="17:19">
      <c r="Q390" s="12"/>
      <c r="S390" s="74"/>
    </row>
    <row r="391" spans="17:19">
      <c r="Q391" s="12"/>
      <c r="S391" s="74"/>
    </row>
    <row r="392" spans="17:19">
      <c r="Q392" s="12"/>
      <c r="S392" s="74"/>
    </row>
    <row r="393" spans="17:19">
      <c r="Q393" s="12"/>
      <c r="S393" s="74"/>
    </row>
    <row r="394" spans="17:19">
      <c r="Q394" s="12"/>
      <c r="S394" s="74"/>
    </row>
    <row r="395" spans="17:19">
      <c r="Q395" s="12"/>
      <c r="S395" s="74"/>
    </row>
    <row r="396" spans="17:19">
      <c r="Q396" s="12"/>
      <c r="S396" s="74"/>
    </row>
    <row r="397" spans="17:19">
      <c r="Q397" s="12"/>
      <c r="S397" s="74"/>
    </row>
    <row r="398" spans="17:19">
      <c r="Q398" s="12"/>
      <c r="S398" s="74"/>
    </row>
    <row r="399" spans="17:19">
      <c r="Q399" s="12"/>
      <c r="S399" s="74"/>
    </row>
    <row r="400" spans="17:19">
      <c r="Q400" s="12"/>
      <c r="S400" s="74"/>
    </row>
    <row r="401" spans="17:19">
      <c r="Q401" s="12"/>
      <c r="S401" s="74"/>
    </row>
    <row r="402" spans="17:19">
      <c r="Q402" s="12"/>
      <c r="S402" s="74"/>
    </row>
    <row r="403" spans="17:19">
      <c r="Q403" s="12"/>
      <c r="S403" s="74"/>
    </row>
    <row r="404" spans="17:19">
      <c r="Q404" s="12"/>
      <c r="S404" s="74"/>
    </row>
    <row r="405" spans="17:19">
      <c r="Q405" s="12"/>
      <c r="S405" s="74"/>
    </row>
    <row r="406" spans="17:19">
      <c r="Q406" s="12"/>
      <c r="S406" s="74"/>
    </row>
    <row r="407" spans="17:19">
      <c r="Q407" s="12"/>
      <c r="S407" s="74"/>
    </row>
    <row r="408" spans="17:19">
      <c r="Q408" s="12"/>
      <c r="S408" s="74"/>
    </row>
    <row r="409" spans="17:19">
      <c r="Q409" s="12"/>
      <c r="S409" s="74"/>
    </row>
    <row r="410" spans="17:19">
      <c r="Q410" s="12"/>
      <c r="S410" s="74"/>
    </row>
    <row r="411" spans="17:19">
      <c r="Q411" s="12"/>
      <c r="S411" s="74"/>
    </row>
    <row r="412" spans="17:19">
      <c r="Q412" s="12"/>
      <c r="S412" s="74"/>
    </row>
    <row r="413" spans="17:19">
      <c r="Q413" s="12"/>
      <c r="S413" s="74"/>
    </row>
    <row r="414" spans="17:19">
      <c r="Q414" s="12"/>
      <c r="S414" s="74"/>
    </row>
    <row r="415" spans="17:19">
      <c r="Q415" s="12"/>
      <c r="S415" s="74"/>
    </row>
    <row r="416" spans="17:19">
      <c r="Q416" s="12"/>
      <c r="S416" s="74"/>
    </row>
    <row r="417" spans="17:19">
      <c r="Q417" s="12"/>
      <c r="S417" s="74"/>
    </row>
    <row r="418" spans="17:19">
      <c r="Q418" s="12"/>
      <c r="S418" s="74"/>
    </row>
    <row r="419" spans="17:19">
      <c r="Q419" s="12"/>
      <c r="S419" s="74"/>
    </row>
    <row r="420" spans="17:19">
      <c r="Q420" s="12"/>
      <c r="S420" s="74"/>
    </row>
    <row r="421" spans="17:19">
      <c r="Q421" s="12"/>
      <c r="S421" s="74"/>
    </row>
    <row r="422" spans="17:19">
      <c r="Q422" s="12"/>
      <c r="S422" s="74"/>
    </row>
    <row r="423" spans="17:19">
      <c r="Q423" s="12"/>
      <c r="S423" s="74"/>
    </row>
    <row r="424" spans="17:19">
      <c r="Q424" s="12"/>
      <c r="S424" s="74"/>
    </row>
    <row r="425" spans="17:19">
      <c r="Q425" s="12"/>
      <c r="S425" s="74"/>
    </row>
    <row r="426" spans="17:19">
      <c r="Q426" s="12"/>
      <c r="S426" s="74"/>
    </row>
    <row r="427" spans="17:19">
      <c r="Q427" s="12"/>
      <c r="S427" s="74"/>
    </row>
    <row r="428" spans="17:19">
      <c r="Q428" s="12"/>
      <c r="S428" s="74"/>
    </row>
    <row r="429" spans="17:19">
      <c r="Q429" s="12"/>
      <c r="S429" s="74"/>
    </row>
    <row r="430" spans="17:19">
      <c r="Q430" s="12"/>
      <c r="S430" s="74"/>
    </row>
    <row r="431" spans="17:19">
      <c r="Q431" s="12"/>
      <c r="S431" s="74"/>
    </row>
    <row r="432" spans="17:19">
      <c r="Q432" s="12"/>
      <c r="S432" s="74"/>
    </row>
    <row r="433" spans="17:19">
      <c r="Q433" s="12"/>
      <c r="S433" s="74"/>
    </row>
    <row r="434" spans="17:19">
      <c r="Q434" s="12"/>
      <c r="S434" s="74"/>
    </row>
    <row r="435" spans="17:19">
      <c r="Q435" s="12"/>
      <c r="S435" s="74"/>
    </row>
    <row r="436" spans="17:19">
      <c r="Q436" s="12"/>
      <c r="S436" s="74"/>
    </row>
    <row r="437" spans="17:19">
      <c r="Q437" s="12"/>
      <c r="S437" s="74"/>
    </row>
    <row r="438" spans="17:19">
      <c r="Q438" s="12"/>
      <c r="S438" s="74"/>
    </row>
    <row r="439" spans="17:19">
      <c r="Q439" s="12"/>
      <c r="S439" s="74"/>
    </row>
    <row r="440" spans="17:19">
      <c r="Q440" s="12"/>
      <c r="S440" s="74"/>
    </row>
    <row r="441" spans="17:19">
      <c r="Q441" s="12"/>
      <c r="S441" s="74"/>
    </row>
    <row r="442" spans="17:19">
      <c r="Q442" s="12"/>
      <c r="S442" s="74"/>
    </row>
    <row r="443" spans="17:19">
      <c r="Q443" s="12"/>
      <c r="S443" s="74"/>
    </row>
    <row r="444" spans="17:19">
      <c r="Q444" s="12"/>
      <c r="S444" s="74"/>
    </row>
    <row r="445" spans="17:19">
      <c r="Q445" s="12"/>
      <c r="S445" s="74"/>
    </row>
    <row r="446" spans="17:19">
      <c r="Q446" s="12"/>
      <c r="S446" s="74"/>
    </row>
    <row r="447" spans="17:19">
      <c r="Q447" s="12"/>
      <c r="S447" s="74"/>
    </row>
    <row r="448" spans="17:19">
      <c r="Q448" s="12"/>
      <c r="S448" s="74"/>
    </row>
    <row r="449" spans="17:19">
      <c r="Q449" s="12"/>
      <c r="S449" s="74"/>
    </row>
    <row r="450" spans="17:19">
      <c r="Q450" s="12"/>
      <c r="S450" s="74"/>
    </row>
    <row r="451" spans="17:19">
      <c r="Q451" s="12"/>
      <c r="S451" s="74"/>
    </row>
    <row r="452" spans="17:19">
      <c r="Q452" s="12"/>
      <c r="S452" s="74"/>
    </row>
    <row r="453" spans="17:19">
      <c r="Q453" s="12"/>
      <c r="S453" s="74"/>
    </row>
    <row r="454" spans="17:19">
      <c r="Q454" s="12"/>
      <c r="S454" s="74"/>
    </row>
    <row r="455" spans="17:19">
      <c r="Q455" s="12"/>
      <c r="S455" s="74"/>
    </row>
    <row r="456" spans="17:19">
      <c r="Q456" s="12"/>
      <c r="S456" s="74"/>
    </row>
    <row r="457" spans="17:19">
      <c r="Q457" s="12"/>
      <c r="S457" s="74"/>
    </row>
    <row r="458" spans="17:19">
      <c r="Q458" s="12"/>
      <c r="S458" s="74"/>
    </row>
    <row r="459" spans="17:19">
      <c r="Q459" s="12"/>
      <c r="S459" s="74"/>
    </row>
    <row r="460" spans="17:19">
      <c r="Q460" s="12"/>
      <c r="S460" s="74"/>
    </row>
    <row r="461" spans="17:19">
      <c r="Q461" s="12"/>
      <c r="S461" s="74"/>
    </row>
    <row r="462" spans="17:19">
      <c r="Q462" s="12"/>
      <c r="S462" s="74"/>
    </row>
    <row r="463" spans="17:19">
      <c r="Q463" s="12"/>
      <c r="S463" s="74"/>
    </row>
    <row r="464" spans="17:19">
      <c r="Q464" s="12"/>
      <c r="S464" s="74"/>
    </row>
    <row r="465" spans="17:19">
      <c r="Q465" s="12"/>
      <c r="S465" s="74"/>
    </row>
    <row r="466" spans="17:19">
      <c r="Q466" s="12"/>
      <c r="S466" s="74"/>
    </row>
    <row r="467" spans="17:19">
      <c r="Q467" s="12"/>
      <c r="S467" s="74"/>
    </row>
    <row r="468" spans="17:19">
      <c r="Q468" s="12"/>
      <c r="S468" s="74"/>
    </row>
    <row r="469" spans="17:19">
      <c r="Q469" s="12"/>
      <c r="S469" s="74"/>
    </row>
    <row r="470" spans="17:19">
      <c r="Q470" s="12"/>
      <c r="S470" s="74"/>
    </row>
    <row r="471" spans="17:19">
      <c r="Q471" s="12"/>
      <c r="S471" s="74"/>
    </row>
    <row r="472" spans="17:19">
      <c r="Q472" s="12"/>
      <c r="S472" s="74"/>
    </row>
    <row r="473" spans="17:19">
      <c r="Q473" s="12"/>
      <c r="S473" s="74"/>
    </row>
    <row r="474" spans="17:19">
      <c r="Q474" s="12"/>
      <c r="S474" s="74"/>
    </row>
    <row r="475" spans="17:19">
      <c r="Q475" s="12"/>
      <c r="S475" s="74"/>
    </row>
    <row r="476" spans="17:19">
      <c r="Q476" s="12"/>
      <c r="S476" s="74"/>
    </row>
    <row r="477" spans="17:19">
      <c r="Q477" s="12"/>
      <c r="S477" s="74"/>
    </row>
    <row r="478" spans="17:19">
      <c r="Q478" s="12"/>
      <c r="S478" s="74"/>
    </row>
    <row r="479" spans="17:19">
      <c r="Q479" s="12"/>
      <c r="S479" s="74"/>
    </row>
    <row r="480" spans="17:19">
      <c r="Q480" s="12"/>
      <c r="S480" s="74"/>
    </row>
    <row r="481" spans="17:19">
      <c r="Q481" s="12"/>
      <c r="S481" s="74"/>
    </row>
    <row r="482" spans="17:19">
      <c r="Q482" s="12"/>
      <c r="S482" s="74"/>
    </row>
    <row r="483" spans="17:19">
      <c r="Q483" s="12"/>
      <c r="S483" s="74"/>
    </row>
    <row r="484" spans="17:19">
      <c r="Q484" s="12"/>
      <c r="S484" s="74"/>
    </row>
    <row r="485" spans="17:19">
      <c r="Q485" s="12"/>
      <c r="S485" s="74"/>
    </row>
    <row r="486" spans="17:19">
      <c r="Q486" s="12"/>
      <c r="S486" s="74"/>
    </row>
    <row r="487" spans="17:19">
      <c r="Q487" s="12"/>
      <c r="S487" s="74"/>
    </row>
    <row r="488" spans="17:19">
      <c r="Q488" s="12"/>
      <c r="S488" s="74"/>
    </row>
    <row r="489" spans="17:19">
      <c r="Q489" s="12"/>
      <c r="S489" s="74"/>
    </row>
    <row r="490" spans="17:19">
      <c r="Q490" s="12"/>
      <c r="S490" s="74"/>
    </row>
    <row r="491" spans="17:19">
      <c r="Q491" s="12"/>
      <c r="S491" s="74"/>
    </row>
    <row r="492" spans="17:19">
      <c r="Q492" s="12"/>
      <c r="S492" s="74"/>
    </row>
    <row r="493" spans="17:19">
      <c r="Q493" s="12"/>
      <c r="S493" s="74"/>
    </row>
    <row r="494" spans="17:19">
      <c r="Q494" s="12"/>
      <c r="S494" s="74"/>
    </row>
    <row r="495" spans="17:19">
      <c r="Q495" s="12"/>
      <c r="S495" s="74"/>
    </row>
    <row r="496" spans="17:19">
      <c r="Q496" s="12"/>
      <c r="S496" s="74"/>
    </row>
    <row r="497" spans="17:19">
      <c r="Q497" s="12"/>
      <c r="S497" s="74"/>
    </row>
    <row r="498" spans="17:19">
      <c r="Q498" s="12"/>
      <c r="S498" s="74"/>
    </row>
    <row r="499" spans="17:19">
      <c r="Q499" s="12"/>
      <c r="S499" s="74"/>
    </row>
    <row r="500" spans="17:19">
      <c r="Q500" s="12"/>
      <c r="S500" s="74"/>
    </row>
    <row r="501" spans="17:19">
      <c r="Q501" s="12"/>
      <c r="S501" s="74"/>
    </row>
    <row r="502" spans="17:19">
      <c r="Q502" s="12"/>
      <c r="S502" s="74"/>
    </row>
    <row r="503" spans="17:19">
      <c r="Q503" s="12"/>
      <c r="S503" s="74"/>
    </row>
    <row r="504" spans="17:19">
      <c r="Q504" s="12"/>
      <c r="S504" s="74"/>
    </row>
    <row r="505" spans="17:19">
      <c r="Q505" s="12"/>
      <c r="S505" s="74"/>
    </row>
    <row r="506" spans="17:19">
      <c r="Q506" s="12"/>
      <c r="S506" s="74"/>
    </row>
    <row r="507" spans="17:19">
      <c r="Q507" s="12"/>
      <c r="S507" s="74"/>
    </row>
    <row r="508" spans="17:19">
      <c r="Q508" s="12"/>
      <c r="S508" s="74"/>
    </row>
    <row r="509" spans="17:19">
      <c r="Q509" s="12"/>
      <c r="S509" s="74"/>
    </row>
    <row r="510" spans="17:19">
      <c r="Q510" s="12"/>
      <c r="S510" s="74"/>
    </row>
    <row r="511" spans="17:19">
      <c r="Q511" s="12"/>
      <c r="S511" s="74"/>
    </row>
    <row r="512" spans="17:19">
      <c r="Q512" s="12"/>
      <c r="S512" s="74"/>
    </row>
    <row r="513" spans="17:19">
      <c r="Q513" s="12"/>
      <c r="S513" s="74"/>
    </row>
    <row r="514" spans="17:19">
      <c r="Q514" s="12"/>
      <c r="S514" s="74"/>
    </row>
    <row r="515" spans="17:19">
      <c r="Q515" s="12"/>
      <c r="S515" s="74"/>
    </row>
    <row r="516" spans="17:19">
      <c r="Q516" s="12"/>
      <c r="S516" s="74"/>
    </row>
    <row r="517" spans="17:19">
      <c r="Q517" s="12"/>
      <c r="S517" s="74"/>
    </row>
    <row r="518" spans="17:19">
      <c r="Q518" s="12"/>
      <c r="S518" s="74"/>
    </row>
    <row r="519" spans="17:19">
      <c r="Q519" s="12"/>
      <c r="S519" s="74"/>
    </row>
    <row r="520" spans="17:19">
      <c r="Q520" s="12"/>
      <c r="S520" s="74"/>
    </row>
    <row r="521" spans="17:19">
      <c r="Q521" s="12"/>
      <c r="S521" s="74"/>
    </row>
    <row r="522" spans="17:19">
      <c r="Q522" s="12"/>
      <c r="S522" s="74"/>
    </row>
    <row r="523" spans="17:19">
      <c r="Q523" s="12"/>
      <c r="S523" s="74"/>
    </row>
    <row r="524" spans="17:19">
      <c r="Q524" s="12"/>
      <c r="S524" s="74"/>
    </row>
    <row r="525" spans="17:19">
      <c r="Q525" s="12"/>
      <c r="S525" s="74"/>
    </row>
    <row r="526" spans="17:19">
      <c r="Q526" s="12"/>
      <c r="S526" s="74"/>
    </row>
    <row r="527" spans="17:19">
      <c r="Q527" s="12"/>
      <c r="S527" s="74"/>
    </row>
    <row r="528" spans="17:19">
      <c r="Q528" s="12"/>
      <c r="S528" s="74"/>
    </row>
    <row r="529" spans="17:19">
      <c r="Q529" s="12"/>
      <c r="S529" s="74"/>
    </row>
    <row r="530" spans="17:19">
      <c r="Q530" s="12"/>
      <c r="S530" s="74"/>
    </row>
    <row r="531" spans="17:19">
      <c r="Q531" s="12"/>
      <c r="S531" s="74"/>
    </row>
    <row r="532" spans="17:19">
      <c r="Q532" s="12"/>
      <c r="S532" s="74"/>
    </row>
    <row r="533" spans="17:19">
      <c r="Q533" s="12"/>
      <c r="S533" s="74"/>
    </row>
    <row r="534" spans="17:19">
      <c r="Q534" s="12"/>
      <c r="S534" s="74"/>
    </row>
    <row r="535" spans="17:19">
      <c r="Q535" s="12"/>
      <c r="S535" s="74"/>
    </row>
    <row r="536" spans="17:19">
      <c r="Q536" s="12"/>
      <c r="S536" s="74"/>
    </row>
    <row r="537" spans="17:19">
      <c r="Q537" s="12"/>
      <c r="S537" s="74"/>
    </row>
    <row r="538" spans="17:19">
      <c r="Q538" s="12"/>
      <c r="S538" s="74"/>
    </row>
    <row r="539" spans="17:19">
      <c r="Q539" s="12"/>
      <c r="S539" s="74"/>
    </row>
    <row r="540" spans="17:19">
      <c r="Q540" s="12"/>
      <c r="S540" s="74"/>
    </row>
    <row r="541" spans="17:19">
      <c r="Q541" s="12"/>
      <c r="S541" s="74"/>
    </row>
    <row r="542" spans="17:19">
      <c r="Q542" s="12"/>
      <c r="S542" s="74"/>
    </row>
    <row r="543" spans="17:19">
      <c r="Q543" s="12"/>
      <c r="S543" s="74"/>
    </row>
    <row r="544" spans="17:19">
      <c r="Q544" s="12"/>
      <c r="S544" s="74"/>
    </row>
    <row r="545" spans="17:19">
      <c r="Q545" s="12"/>
      <c r="S545" s="74"/>
    </row>
    <row r="546" spans="17:19">
      <c r="Q546" s="12"/>
      <c r="S546" s="74"/>
    </row>
    <row r="547" spans="17:19">
      <c r="Q547" s="12"/>
      <c r="S547" s="74"/>
    </row>
    <row r="548" spans="17:19">
      <c r="Q548" s="12"/>
      <c r="S548" s="74"/>
    </row>
    <row r="549" spans="17:19">
      <c r="Q549" s="12"/>
      <c r="S549" s="74"/>
    </row>
    <row r="550" spans="17:19">
      <c r="Q550" s="12"/>
      <c r="S550" s="74"/>
    </row>
    <row r="551" spans="17:19">
      <c r="Q551" s="12"/>
      <c r="S551" s="74"/>
    </row>
    <row r="552" spans="17:19">
      <c r="Q552" s="12"/>
      <c r="S552" s="74"/>
    </row>
    <row r="553" spans="17:19">
      <c r="Q553" s="12"/>
      <c r="S553" s="74"/>
    </row>
    <row r="554" spans="17:19">
      <c r="Q554" s="12"/>
      <c r="S554" s="74"/>
    </row>
    <row r="555" spans="17:19">
      <c r="Q555" s="12"/>
      <c r="S555" s="74"/>
    </row>
    <row r="556" spans="17:19">
      <c r="Q556" s="12"/>
      <c r="S556" s="74"/>
    </row>
    <row r="557" spans="17:19">
      <c r="Q557" s="12"/>
      <c r="S557" s="74"/>
    </row>
    <row r="558" spans="17:19">
      <c r="Q558" s="12"/>
      <c r="S558" s="74"/>
    </row>
    <row r="559" spans="17:19">
      <c r="Q559" s="12"/>
      <c r="S559" s="74"/>
    </row>
    <row r="560" spans="17:19">
      <c r="Q560" s="12"/>
      <c r="S560" s="74"/>
    </row>
    <row r="561" spans="17:19">
      <c r="Q561" s="12"/>
      <c r="S561" s="74"/>
    </row>
    <row r="562" spans="17:19">
      <c r="Q562" s="12"/>
      <c r="S562" s="74"/>
    </row>
    <row r="563" spans="17:19">
      <c r="Q563" s="12"/>
      <c r="S563" s="74"/>
    </row>
    <row r="564" spans="17:19">
      <c r="Q564" s="12"/>
      <c r="S564" s="74"/>
    </row>
    <row r="565" spans="17:19">
      <c r="Q565" s="12"/>
      <c r="S565" s="74"/>
    </row>
    <row r="566" spans="17:19">
      <c r="Q566" s="12"/>
      <c r="S566" s="74"/>
    </row>
    <row r="567" spans="17:19">
      <c r="Q567" s="12"/>
      <c r="S567" s="74"/>
    </row>
    <row r="568" spans="17:19">
      <c r="Q568" s="12"/>
      <c r="S568" s="74"/>
    </row>
    <row r="569" spans="17:19">
      <c r="Q569" s="12"/>
      <c r="S569" s="74"/>
    </row>
    <row r="570" spans="17:19">
      <c r="Q570" s="12"/>
      <c r="S570" s="74"/>
    </row>
    <row r="571" spans="17:19">
      <c r="Q571" s="12"/>
      <c r="S571" s="74"/>
    </row>
    <row r="572" spans="17:19">
      <c r="Q572" s="12"/>
      <c r="S572" s="74"/>
    </row>
    <row r="573" spans="17:19">
      <c r="Q573" s="12"/>
      <c r="S573" s="74"/>
    </row>
    <row r="574" spans="17:19">
      <c r="Q574" s="12"/>
      <c r="S574" s="74"/>
    </row>
    <row r="575" spans="17:19">
      <c r="Q575" s="12"/>
      <c r="S575" s="74"/>
    </row>
    <row r="576" spans="17:19">
      <c r="Q576" s="12"/>
      <c r="S576" s="74"/>
    </row>
    <row r="577" spans="17:19">
      <c r="Q577" s="12"/>
      <c r="S577" s="74"/>
    </row>
    <row r="578" spans="17:19">
      <c r="Q578" s="12"/>
      <c r="S578" s="74"/>
    </row>
    <row r="579" spans="17:19">
      <c r="Q579" s="12"/>
      <c r="S579" s="74"/>
    </row>
    <row r="580" spans="17:19">
      <c r="Q580" s="12"/>
      <c r="S580" s="74"/>
    </row>
    <row r="581" spans="17:19">
      <c r="Q581" s="12"/>
      <c r="S581" s="74"/>
    </row>
    <row r="582" spans="17:19">
      <c r="Q582" s="12"/>
      <c r="S582" s="74"/>
    </row>
    <row r="583" spans="17:19">
      <c r="Q583" s="12"/>
      <c r="S583" s="74"/>
    </row>
    <row r="584" spans="17:19">
      <c r="Q584" s="12"/>
      <c r="S584" s="74"/>
    </row>
    <row r="585" spans="17:19">
      <c r="Q585" s="12"/>
      <c r="S585" s="74"/>
    </row>
    <row r="586" spans="17:19">
      <c r="Q586" s="12"/>
      <c r="S586" s="74"/>
    </row>
    <row r="587" spans="17:19">
      <c r="Q587" s="12"/>
      <c r="S587" s="74"/>
    </row>
    <row r="588" spans="17:19">
      <c r="Q588" s="12"/>
      <c r="S588" s="74"/>
    </row>
    <row r="589" spans="17:19">
      <c r="Q589" s="12"/>
      <c r="S589" s="74"/>
    </row>
    <row r="590" spans="17:19">
      <c r="Q590" s="12"/>
      <c r="S590" s="74"/>
    </row>
    <row r="591" spans="17:19">
      <c r="Q591" s="12"/>
      <c r="S591" s="74"/>
    </row>
    <row r="592" spans="17:19">
      <c r="Q592" s="12"/>
      <c r="S592" s="74"/>
    </row>
    <row r="593" spans="17:19">
      <c r="Q593" s="12"/>
      <c r="S593" s="74"/>
    </row>
    <row r="594" spans="17:19">
      <c r="Q594" s="12"/>
      <c r="S594" s="74"/>
    </row>
    <row r="595" spans="17:19">
      <c r="Q595" s="12"/>
      <c r="S595" s="74"/>
    </row>
    <row r="596" spans="17:19">
      <c r="Q596" s="12"/>
      <c r="S596" s="74"/>
    </row>
    <row r="597" spans="17:19">
      <c r="Q597" s="12"/>
      <c r="S597" s="74"/>
    </row>
    <row r="598" spans="17:19">
      <c r="Q598" s="12"/>
      <c r="S598" s="74"/>
    </row>
    <row r="599" spans="17:19">
      <c r="Q599" s="12"/>
      <c r="S599" s="74"/>
    </row>
    <row r="600" spans="17:19">
      <c r="Q600" s="12"/>
      <c r="S600" s="74"/>
    </row>
    <row r="601" spans="17:19">
      <c r="Q601" s="12"/>
      <c r="S601" s="74"/>
    </row>
    <row r="602" spans="17:19">
      <c r="Q602" s="12"/>
      <c r="S602" s="74"/>
    </row>
    <row r="603" spans="17:19">
      <c r="Q603" s="12"/>
      <c r="S603" s="74"/>
    </row>
    <row r="604" spans="17:19">
      <c r="Q604" s="12"/>
      <c r="S604" s="74"/>
    </row>
    <row r="605" spans="17:19">
      <c r="Q605" s="12"/>
      <c r="S605" s="74"/>
    </row>
    <row r="606" spans="17:19">
      <c r="Q606" s="12"/>
      <c r="S606" s="74"/>
    </row>
    <row r="607" spans="17:19">
      <c r="Q607" s="12"/>
      <c r="S607" s="74"/>
    </row>
    <row r="608" spans="17:19">
      <c r="Q608" s="12"/>
      <c r="S608" s="74"/>
    </row>
    <row r="609" spans="17:19">
      <c r="Q609" s="12"/>
      <c r="S609" s="74"/>
    </row>
    <row r="610" spans="17:19">
      <c r="Q610" s="12"/>
      <c r="S610" s="74"/>
    </row>
    <row r="611" spans="17:19">
      <c r="Q611" s="12"/>
      <c r="S611" s="74"/>
    </row>
    <row r="612" spans="17:19">
      <c r="Q612" s="12"/>
      <c r="S612" s="74"/>
    </row>
    <row r="613" spans="17:19">
      <c r="Q613" s="12"/>
      <c r="S613" s="74"/>
    </row>
    <row r="614" spans="17:19">
      <c r="Q614" s="12"/>
      <c r="S614" s="74"/>
    </row>
    <row r="615" spans="17:19">
      <c r="Q615" s="12"/>
      <c r="S615" s="74"/>
    </row>
    <row r="616" spans="17:19">
      <c r="Q616" s="12"/>
      <c r="S616" s="74"/>
    </row>
    <row r="617" spans="17:19">
      <c r="Q617" s="12"/>
      <c r="S617" s="74"/>
    </row>
    <row r="618" spans="17:19">
      <c r="Q618" s="12"/>
      <c r="S618" s="74"/>
    </row>
    <row r="619" spans="17:19">
      <c r="Q619" s="12"/>
      <c r="S619" s="74"/>
    </row>
    <row r="620" spans="17:19">
      <c r="Q620" s="12"/>
      <c r="S620" s="74"/>
    </row>
    <row r="621" spans="17:19">
      <c r="Q621" s="12"/>
      <c r="S621" s="74"/>
    </row>
    <row r="622" spans="17:19">
      <c r="Q622" s="12"/>
      <c r="S622" s="74"/>
    </row>
    <row r="623" spans="17:19">
      <c r="Q623" s="12"/>
      <c r="S623" s="74"/>
    </row>
    <row r="624" spans="17:19">
      <c r="Q624" s="12"/>
      <c r="S624" s="74"/>
    </row>
    <row r="625" spans="17:19">
      <c r="Q625" s="12"/>
      <c r="S625" s="74"/>
    </row>
    <row r="626" spans="17:19">
      <c r="Q626" s="12"/>
      <c r="S626" s="74"/>
    </row>
    <row r="627" spans="17:19">
      <c r="Q627" s="12"/>
      <c r="S627" s="74"/>
    </row>
    <row r="628" spans="17:19">
      <c r="Q628" s="12"/>
      <c r="S628" s="74"/>
    </row>
    <row r="629" spans="17:19">
      <c r="Q629" s="12"/>
      <c r="S629" s="74"/>
    </row>
    <row r="630" spans="17:19">
      <c r="Q630" s="12"/>
      <c r="S630" s="74"/>
    </row>
    <row r="631" spans="17:19">
      <c r="Q631" s="12"/>
      <c r="S631" s="74"/>
    </row>
    <row r="632" spans="17:19">
      <c r="Q632" s="12"/>
      <c r="S632" s="74"/>
    </row>
    <row r="633" spans="17:19">
      <c r="Q633" s="12"/>
      <c r="S633" s="74"/>
    </row>
    <row r="634" spans="17:19">
      <c r="Q634" s="12"/>
      <c r="S634" s="74"/>
    </row>
    <row r="635" spans="17:19">
      <c r="Q635" s="12"/>
      <c r="S635" s="74"/>
    </row>
    <row r="636" spans="17:19">
      <c r="Q636" s="12"/>
      <c r="S636" s="74"/>
    </row>
    <row r="637" spans="17:19">
      <c r="Q637" s="12"/>
      <c r="S637" s="74"/>
    </row>
    <row r="638" spans="17:19">
      <c r="Q638" s="12"/>
      <c r="S638" s="74"/>
    </row>
    <row r="639" spans="17:19">
      <c r="Q639" s="12"/>
      <c r="S639" s="74"/>
    </row>
    <row r="640" spans="17:19">
      <c r="Q640" s="12"/>
      <c r="S640" s="74"/>
    </row>
    <row r="641" spans="17:19">
      <c r="Q641" s="12"/>
      <c r="S641" s="74"/>
    </row>
    <row r="642" spans="17:19">
      <c r="Q642" s="12"/>
      <c r="S642" s="74"/>
    </row>
    <row r="643" spans="17:19">
      <c r="Q643" s="12"/>
      <c r="S643" s="74"/>
    </row>
    <row r="644" spans="17:19">
      <c r="Q644" s="12"/>
      <c r="S644" s="74"/>
    </row>
    <row r="645" spans="17:19">
      <c r="Q645" s="12"/>
      <c r="S645" s="74"/>
    </row>
    <row r="646" spans="17:19">
      <c r="Q646" s="12"/>
      <c r="S646" s="74"/>
    </row>
    <row r="647" spans="17:19">
      <c r="Q647" s="12"/>
      <c r="S647" s="74"/>
    </row>
    <row r="648" spans="17:19">
      <c r="Q648" s="12"/>
      <c r="S648" s="74"/>
    </row>
    <row r="649" spans="17:19">
      <c r="Q649" s="12"/>
      <c r="S649" s="74"/>
    </row>
    <row r="650" spans="17:19">
      <c r="Q650" s="12"/>
      <c r="S650" s="74"/>
    </row>
    <row r="651" spans="17:19">
      <c r="Q651" s="12"/>
      <c r="S651" s="74"/>
    </row>
    <row r="652" spans="17:19">
      <c r="Q652" s="12"/>
      <c r="S652" s="74"/>
    </row>
    <row r="653" spans="17:19">
      <c r="Q653" s="12"/>
      <c r="S653" s="74"/>
    </row>
    <row r="654" spans="17:19">
      <c r="Q654" s="12"/>
      <c r="S654" s="74"/>
    </row>
    <row r="655" spans="17:19">
      <c r="Q655" s="12"/>
      <c r="S655" s="74"/>
    </row>
    <row r="656" spans="17:19">
      <c r="Q656" s="12"/>
      <c r="S656" s="74"/>
    </row>
    <row r="657" spans="17:19">
      <c r="Q657" s="12"/>
      <c r="S657" s="74"/>
    </row>
    <row r="658" spans="17:19">
      <c r="Q658" s="12"/>
      <c r="S658" s="74"/>
    </row>
    <row r="659" spans="17:19">
      <c r="Q659" s="12"/>
      <c r="S659" s="74"/>
    </row>
    <row r="660" spans="17:19">
      <c r="Q660" s="12"/>
      <c r="S660" s="74"/>
    </row>
    <row r="661" spans="17:19">
      <c r="Q661" s="12"/>
      <c r="S661" s="74"/>
    </row>
    <row r="662" spans="17:19">
      <c r="Q662" s="12"/>
      <c r="S662" s="74"/>
    </row>
    <row r="663" spans="17:19">
      <c r="Q663" s="12"/>
      <c r="S663" s="74"/>
    </row>
    <row r="664" spans="17:19">
      <c r="Q664" s="12"/>
      <c r="S664" s="74"/>
    </row>
    <row r="665" spans="17:19">
      <c r="Q665" s="12"/>
      <c r="S665" s="74"/>
    </row>
    <row r="666" spans="17:19">
      <c r="Q666" s="12"/>
      <c r="S666" s="74"/>
    </row>
    <row r="667" spans="17:19">
      <c r="Q667" s="12"/>
      <c r="S667" s="74"/>
    </row>
    <row r="668" spans="17:19">
      <c r="Q668" s="12"/>
      <c r="S668" s="74"/>
    </row>
    <row r="669" spans="17:19">
      <c r="Q669" s="12"/>
      <c r="S669" s="74"/>
    </row>
    <row r="670" spans="17:19">
      <c r="Q670" s="12"/>
      <c r="S670" s="74"/>
    </row>
    <row r="671" spans="17:19">
      <c r="Q671" s="12"/>
      <c r="S671" s="74"/>
    </row>
    <row r="672" spans="17:19">
      <c r="Q672" s="12"/>
      <c r="S672" s="74"/>
    </row>
    <row r="673" spans="17:19">
      <c r="Q673" s="12"/>
      <c r="S673" s="74"/>
    </row>
    <row r="674" spans="17:19">
      <c r="Q674" s="12"/>
      <c r="S674" s="74"/>
    </row>
    <row r="675" spans="17:19">
      <c r="Q675" s="12"/>
      <c r="S675" s="74"/>
    </row>
    <row r="676" spans="17:19">
      <c r="Q676" s="12"/>
      <c r="S676" s="74"/>
    </row>
    <row r="677" spans="17:19">
      <c r="Q677" s="12"/>
      <c r="S677" s="74"/>
    </row>
    <row r="678" spans="17:19">
      <c r="Q678" s="12"/>
      <c r="S678" s="74"/>
    </row>
    <row r="679" spans="17:19">
      <c r="Q679" s="12"/>
      <c r="S679" s="74"/>
    </row>
    <row r="680" spans="17:19">
      <c r="Q680" s="12"/>
      <c r="S680" s="74"/>
    </row>
    <row r="681" spans="17:19">
      <c r="Q681" s="12"/>
      <c r="S681" s="74"/>
    </row>
    <row r="682" spans="17:19">
      <c r="Q682" s="12"/>
      <c r="S682" s="74"/>
    </row>
    <row r="683" spans="17:19">
      <c r="Q683" s="12"/>
      <c r="S683" s="74"/>
    </row>
    <row r="684" spans="17:19">
      <c r="Q684" s="12"/>
      <c r="S684" s="74"/>
    </row>
    <row r="685" spans="17:19">
      <c r="Q685" s="12"/>
      <c r="S685" s="74"/>
    </row>
    <row r="686" spans="17:19">
      <c r="Q686" s="12"/>
      <c r="S686" s="74"/>
    </row>
    <row r="687" spans="17:19">
      <c r="Q687" s="12"/>
      <c r="S687" s="74"/>
    </row>
    <row r="688" spans="17:19">
      <c r="Q688" s="12"/>
      <c r="S688" s="74"/>
    </row>
    <row r="689" spans="17:19">
      <c r="Q689" s="12"/>
      <c r="S689" s="74"/>
    </row>
    <row r="690" spans="17:19">
      <c r="Q690" s="12"/>
      <c r="S690" s="74"/>
    </row>
    <row r="691" spans="17:19">
      <c r="Q691" s="12"/>
      <c r="S691" s="74"/>
    </row>
    <row r="692" spans="17:19">
      <c r="Q692" s="12"/>
      <c r="S692" s="74"/>
    </row>
    <row r="693" spans="17:19">
      <c r="Q693" s="12"/>
      <c r="S693" s="74"/>
    </row>
    <row r="694" spans="17:19">
      <c r="Q694" s="12"/>
      <c r="S694" s="74"/>
    </row>
    <row r="695" spans="17:19">
      <c r="Q695" s="12"/>
      <c r="S695" s="74"/>
    </row>
    <row r="696" spans="17:19">
      <c r="Q696" s="12"/>
      <c r="S696" s="74"/>
    </row>
    <row r="697" spans="17:19">
      <c r="Q697" s="12"/>
      <c r="S697" s="74"/>
    </row>
    <row r="698" spans="17:19">
      <c r="Q698" s="12"/>
      <c r="S698" s="74"/>
    </row>
    <row r="699" spans="17:19">
      <c r="Q699" s="12"/>
      <c r="S699" s="74"/>
    </row>
    <row r="700" spans="17:19">
      <c r="Q700" s="12"/>
      <c r="S700" s="74"/>
    </row>
    <row r="701" spans="17:19">
      <c r="Q701" s="12"/>
      <c r="S701" s="74"/>
    </row>
    <row r="702" spans="17:19">
      <c r="Q702" s="12"/>
      <c r="S702" s="74"/>
    </row>
    <row r="703" spans="17:19">
      <c r="Q703" s="12"/>
      <c r="S703" s="74"/>
    </row>
    <row r="704" spans="17:19">
      <c r="Q704" s="12"/>
      <c r="S704" s="74"/>
    </row>
    <row r="705" spans="17:19">
      <c r="Q705" s="12"/>
      <c r="S705" s="74"/>
    </row>
  </sheetData>
  <sortState ref="C13:D16">
    <sortCondition descending="1" ref="D13:D16"/>
  </sortState>
  <mergeCells count="2">
    <mergeCell ref="C3:M3"/>
    <mergeCell ref="F7:M7"/>
  </mergeCells>
  <pageMargins left="0.70866141732283472" right="0.70866141732283472" top="0.74803149606299213" bottom="0.74803149606299213" header="0.31496062992125984" footer="0.31496062992125984"/>
  <pageSetup paperSize="9" scale="6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B1:AQ701"/>
  <sheetViews>
    <sheetView showGridLines="0" zoomScaleNormal="100" workbookViewId="0"/>
  </sheetViews>
  <sheetFormatPr defaultRowHeight="15"/>
  <cols>
    <col min="1" max="1" width="2.85546875" style="12" customWidth="1"/>
    <col min="2" max="2" width="3.85546875" style="12" customWidth="1"/>
    <col min="3" max="3" width="57.7109375" style="12" bestFit="1" customWidth="1"/>
    <col min="4" max="4" width="15.42578125" style="12" bestFit="1" customWidth="1"/>
    <col min="5" max="5" width="9.140625" style="12"/>
    <col min="6" max="6" width="10.7109375" style="12" customWidth="1"/>
    <col min="7" max="7" width="10.5703125" style="12" bestFit="1" customWidth="1"/>
    <col min="8" max="9" width="9.140625" style="12"/>
    <col min="10" max="11" width="16.42578125" style="12" customWidth="1"/>
    <col min="12" max="16" width="9.140625" style="12"/>
    <col min="17" max="17" width="9.140625" style="13"/>
    <col min="18" max="18" width="9.140625" style="14"/>
    <col min="19" max="19" width="9.85546875" style="14" customWidth="1"/>
    <col min="20" max="21" width="9.28515625" style="14" bestFit="1" customWidth="1"/>
    <col min="22" max="24" width="9.140625" style="14"/>
    <col min="25" max="26" width="9.140625" style="64"/>
    <col min="27" max="43" width="9.140625" style="14"/>
    <col min="44" max="16384" width="9.140625" style="12"/>
  </cols>
  <sheetData>
    <row r="1" spans="2:19" ht="15.75" thickBot="1"/>
    <row r="2" spans="2:19"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29"/>
    </row>
    <row r="3" spans="2:19" ht="20.25" customHeight="1">
      <c r="B3" s="18"/>
      <c r="C3" s="159" t="s">
        <v>98</v>
      </c>
      <c r="D3" s="159"/>
      <c r="E3" s="159"/>
      <c r="F3" s="159"/>
      <c r="G3" s="159"/>
      <c r="H3" s="159"/>
      <c r="I3" s="159"/>
      <c r="J3" s="159"/>
      <c r="K3" s="159"/>
      <c r="L3" s="159"/>
      <c r="M3" s="160"/>
    </row>
    <row r="4" spans="2:19" ht="15.75">
      <c r="B4" s="18"/>
      <c r="C4" s="2" t="s">
        <v>201</v>
      </c>
      <c r="D4" s="1"/>
      <c r="E4" s="1"/>
      <c r="F4" s="20"/>
      <c r="G4" s="20"/>
      <c r="H4" s="20"/>
      <c r="I4" s="20"/>
      <c r="J4" s="20"/>
      <c r="K4" s="20"/>
      <c r="L4" s="20"/>
      <c r="M4" s="30"/>
    </row>
    <row r="5" spans="2:19" ht="20.25" customHeight="1">
      <c r="B5" s="18"/>
      <c r="C5" s="3" t="s">
        <v>202</v>
      </c>
      <c r="D5" s="100" t="s">
        <v>227</v>
      </c>
      <c r="E5"/>
      <c r="F5" s="20"/>
      <c r="G5" s="20"/>
      <c r="H5" s="20"/>
      <c r="I5" s="20"/>
      <c r="J5" s="20"/>
      <c r="K5" s="20"/>
      <c r="L5" s="20"/>
      <c r="M5" s="30"/>
    </row>
    <row r="6" spans="2:19">
      <c r="B6" s="18"/>
      <c r="C6" s="20"/>
      <c r="D6" s="20"/>
      <c r="E6" s="20"/>
      <c r="F6" s="20"/>
      <c r="G6" s="20"/>
      <c r="H6" s="20"/>
      <c r="I6" s="20"/>
      <c r="J6" s="20"/>
      <c r="K6" s="20"/>
      <c r="L6" s="20"/>
      <c r="M6" s="30"/>
    </row>
    <row r="7" spans="2:19" ht="15.75">
      <c r="B7" s="18"/>
      <c r="C7" s="191" t="s">
        <v>76</v>
      </c>
      <c r="D7" s="191" t="s">
        <v>78</v>
      </c>
      <c r="E7" s="20"/>
      <c r="F7" s="161" t="s">
        <v>89</v>
      </c>
      <c r="G7" s="161"/>
      <c r="H7" s="161"/>
      <c r="I7" s="161"/>
      <c r="J7" s="161"/>
      <c r="K7" s="161"/>
      <c r="L7" s="161"/>
      <c r="M7" s="162"/>
    </row>
    <row r="8" spans="2:19">
      <c r="B8" s="18"/>
      <c r="C8" s="31" t="s">
        <v>149</v>
      </c>
      <c r="D8" s="50">
        <v>0.4168</v>
      </c>
      <c r="E8" s="20"/>
      <c r="F8" s="20"/>
      <c r="G8" s="131"/>
      <c r="H8" s="23"/>
      <c r="I8" s="23" t="s">
        <v>92</v>
      </c>
      <c r="J8" s="52">
        <f>D10</f>
        <v>0.77194000000000007</v>
      </c>
      <c r="K8" s="23"/>
      <c r="L8" s="43"/>
      <c r="M8" s="30"/>
      <c r="S8" s="74"/>
    </row>
    <row r="9" spans="2:19" ht="15.75" customHeight="1">
      <c r="B9" s="18"/>
      <c r="C9" s="150" t="s">
        <v>150</v>
      </c>
      <c r="D9" s="175">
        <v>0.35514000000000001</v>
      </c>
      <c r="E9" s="20"/>
      <c r="F9" s="20"/>
      <c r="G9" s="43"/>
      <c r="H9" s="23"/>
      <c r="I9" s="23" t="s">
        <v>94</v>
      </c>
      <c r="J9" s="52">
        <f>D15</f>
        <v>0.23012099999999999</v>
      </c>
      <c r="K9" s="23"/>
      <c r="L9" s="43"/>
      <c r="M9" s="30"/>
      <c r="S9" s="74"/>
    </row>
    <row r="10" spans="2:19" ht="15.75">
      <c r="B10" s="18"/>
      <c r="C10" s="53" t="s">
        <v>93</v>
      </c>
      <c r="D10" s="54">
        <f>SUM(D8:D9)</f>
        <v>0.77194000000000007</v>
      </c>
      <c r="E10" s="20"/>
      <c r="F10" s="20"/>
      <c r="G10" s="43"/>
      <c r="H10" s="23"/>
      <c r="I10" s="23" t="s">
        <v>29</v>
      </c>
      <c r="J10" s="52">
        <f>D17</f>
        <v>-2.0609999999999999E-3</v>
      </c>
      <c r="K10" s="23"/>
      <c r="L10" s="43"/>
      <c r="M10" s="30"/>
      <c r="S10" s="74"/>
    </row>
    <row r="11" spans="2:19">
      <c r="B11" s="18"/>
      <c r="C11" s="150"/>
      <c r="D11" s="150"/>
      <c r="E11" s="20"/>
      <c r="F11" s="20"/>
      <c r="G11" s="43"/>
      <c r="H11" s="23"/>
      <c r="I11" s="14"/>
      <c r="J11" s="14"/>
      <c r="K11" s="23"/>
      <c r="L11" s="43"/>
      <c r="M11" s="30"/>
      <c r="S11" s="74"/>
    </row>
    <row r="12" spans="2:19">
      <c r="B12" s="18"/>
      <c r="C12" s="31" t="s">
        <v>166</v>
      </c>
      <c r="D12" s="50">
        <v>8.5429000000000005E-2</v>
      </c>
      <c r="E12" s="20"/>
      <c r="F12" s="20"/>
      <c r="G12" s="43"/>
      <c r="H12" s="23"/>
      <c r="I12" s="43"/>
      <c r="J12" s="43"/>
      <c r="K12" s="23"/>
      <c r="L12" s="43"/>
      <c r="M12" s="30"/>
      <c r="S12" s="74"/>
    </row>
    <row r="13" spans="2:19">
      <c r="B13" s="18"/>
      <c r="C13" s="31" t="s">
        <v>152</v>
      </c>
      <c r="D13" s="50">
        <v>8.3808999999999995E-2</v>
      </c>
      <c r="E13" s="20"/>
      <c r="F13" s="20"/>
      <c r="G13" s="43"/>
      <c r="H13" s="23"/>
      <c r="I13" s="43"/>
      <c r="J13" s="43"/>
      <c r="K13" s="23"/>
      <c r="L13" s="43"/>
      <c r="M13" s="30"/>
      <c r="S13" s="74"/>
    </row>
    <row r="14" spans="2:19">
      <c r="B14" s="18"/>
      <c r="C14" s="31" t="s">
        <v>165</v>
      </c>
      <c r="D14" s="50">
        <v>6.0883E-2</v>
      </c>
      <c r="E14" s="20"/>
      <c r="F14" s="20"/>
      <c r="G14" s="43"/>
      <c r="H14" s="23"/>
      <c r="I14" s="43"/>
      <c r="J14" s="43"/>
      <c r="K14" s="23"/>
      <c r="L14" s="20"/>
      <c r="M14" s="30"/>
      <c r="S14" s="74"/>
    </row>
    <row r="15" spans="2:19" ht="15.75">
      <c r="B15" s="18"/>
      <c r="C15" s="53" t="s">
        <v>27</v>
      </c>
      <c r="D15" s="54">
        <f>SUM(D12:D14)</f>
        <v>0.23012099999999999</v>
      </c>
      <c r="E15" s="20"/>
      <c r="F15" s="20"/>
      <c r="G15" s="43"/>
      <c r="H15" s="43"/>
      <c r="I15" s="43"/>
      <c r="J15" s="43"/>
      <c r="K15" s="43"/>
      <c r="L15" s="20"/>
      <c r="M15" s="30"/>
      <c r="S15" s="74"/>
    </row>
    <row r="16" spans="2:19">
      <c r="B16" s="18"/>
      <c r="C16" s="31"/>
      <c r="D16" s="50"/>
      <c r="E16" s="20"/>
      <c r="F16" s="20"/>
      <c r="G16" s="43"/>
      <c r="H16" s="43"/>
      <c r="I16" s="43"/>
      <c r="J16" s="43"/>
      <c r="K16" s="43"/>
      <c r="L16" s="20"/>
      <c r="M16" s="30"/>
      <c r="S16" s="74"/>
    </row>
    <row r="17" spans="2:19" ht="15.75">
      <c r="B17" s="18"/>
      <c r="C17" s="53" t="s">
        <v>29</v>
      </c>
      <c r="D17" s="54">
        <v>-2.0609999999999999E-3</v>
      </c>
      <c r="E17" s="20"/>
      <c r="F17" s="20"/>
      <c r="G17" s="43"/>
      <c r="H17" s="43"/>
      <c r="I17" s="43"/>
      <c r="J17" s="43"/>
      <c r="K17" s="43"/>
      <c r="L17" s="20"/>
      <c r="M17" s="30"/>
      <c r="S17" s="74"/>
    </row>
    <row r="18" spans="2:19">
      <c r="B18" s="18"/>
      <c r="C18" s="31"/>
      <c r="D18" s="50"/>
      <c r="E18" s="20"/>
      <c r="F18" s="20"/>
      <c r="G18" s="43"/>
      <c r="H18" s="43"/>
      <c r="I18" s="43"/>
      <c r="J18" s="43"/>
      <c r="K18" s="43"/>
      <c r="L18" s="20"/>
      <c r="M18" s="30"/>
      <c r="S18" s="74"/>
    </row>
    <row r="19" spans="2:19" ht="15.75">
      <c r="B19" s="18"/>
      <c r="C19" s="56" t="s">
        <v>95</v>
      </c>
      <c r="D19" s="57">
        <f>SUM(D17,D15,D10)</f>
        <v>1</v>
      </c>
      <c r="E19" s="20"/>
      <c r="F19" s="20"/>
      <c r="G19" s="20"/>
      <c r="H19" s="20"/>
      <c r="I19" s="20"/>
      <c r="J19" s="20"/>
      <c r="K19" s="20"/>
      <c r="L19" s="20"/>
      <c r="M19" s="30"/>
      <c r="S19" s="74"/>
    </row>
    <row r="20" spans="2:19">
      <c r="B20" s="18"/>
      <c r="E20" s="20"/>
      <c r="F20" s="20"/>
      <c r="G20" s="20"/>
      <c r="H20" s="20"/>
      <c r="I20" s="20"/>
      <c r="J20" s="20"/>
      <c r="K20" s="20"/>
      <c r="L20" s="20"/>
      <c r="M20" s="30"/>
      <c r="S20" s="74"/>
    </row>
    <row r="21" spans="2:19">
      <c r="B21" s="18"/>
      <c r="E21" s="20"/>
      <c r="F21" s="20"/>
      <c r="G21" s="20"/>
      <c r="H21" s="20"/>
      <c r="I21" s="20"/>
      <c r="J21" s="20"/>
      <c r="K21" s="20"/>
      <c r="L21" s="20"/>
      <c r="M21" s="30"/>
      <c r="S21" s="74"/>
    </row>
    <row r="22" spans="2:19" ht="15" customHeight="1">
      <c r="B22" s="18"/>
      <c r="E22" s="20"/>
      <c r="F22" s="47"/>
      <c r="G22" s="20"/>
      <c r="H22" s="20"/>
      <c r="I22" s="20"/>
      <c r="J22" s="20"/>
      <c r="K22" s="20"/>
      <c r="L22" s="20"/>
      <c r="M22" s="30"/>
      <c r="S22" s="74"/>
    </row>
    <row r="23" spans="2:19" ht="16.5" thickBot="1">
      <c r="B23" s="24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6"/>
      <c r="S23" s="74"/>
    </row>
    <row r="24" spans="2:19">
      <c r="S24" s="74"/>
    </row>
    <row r="25" spans="2:19">
      <c r="S25" s="74"/>
    </row>
    <row r="26" spans="2:19">
      <c r="S26" s="74"/>
    </row>
    <row r="27" spans="2:19">
      <c r="S27" s="74"/>
    </row>
    <row r="28" spans="2:19">
      <c r="S28" s="74"/>
    </row>
    <row r="29" spans="2:19">
      <c r="S29" s="74"/>
    </row>
    <row r="30" spans="2:19">
      <c r="S30" s="74"/>
    </row>
    <row r="31" spans="2:19">
      <c r="S31" s="74"/>
    </row>
    <row r="32" spans="2:19">
      <c r="S32" s="74"/>
    </row>
    <row r="33" spans="17:19">
      <c r="S33" s="74"/>
    </row>
    <row r="34" spans="17:19">
      <c r="S34" s="74"/>
    </row>
    <row r="35" spans="17:19">
      <c r="S35" s="74"/>
    </row>
    <row r="36" spans="17:19">
      <c r="Q36" s="12"/>
      <c r="S36" s="74"/>
    </row>
    <row r="37" spans="17:19">
      <c r="Q37" s="12"/>
      <c r="S37" s="74"/>
    </row>
    <row r="38" spans="17:19">
      <c r="Q38" s="12"/>
      <c r="S38" s="74"/>
    </row>
    <row r="39" spans="17:19">
      <c r="Q39" s="12"/>
      <c r="S39" s="74"/>
    </row>
    <row r="40" spans="17:19">
      <c r="Q40" s="12"/>
      <c r="S40" s="74"/>
    </row>
    <row r="41" spans="17:19">
      <c r="Q41" s="12"/>
      <c r="S41" s="74"/>
    </row>
    <row r="42" spans="17:19">
      <c r="Q42" s="12"/>
      <c r="S42" s="74"/>
    </row>
    <row r="43" spans="17:19">
      <c r="Q43" s="12"/>
      <c r="S43" s="74"/>
    </row>
    <row r="44" spans="17:19">
      <c r="Q44" s="12"/>
      <c r="S44" s="74"/>
    </row>
    <row r="45" spans="17:19">
      <c r="Q45" s="12"/>
      <c r="S45" s="74"/>
    </row>
    <row r="46" spans="17:19">
      <c r="Q46" s="12"/>
      <c r="S46" s="74"/>
    </row>
    <row r="47" spans="17:19">
      <c r="Q47" s="12"/>
      <c r="S47" s="74"/>
    </row>
    <row r="48" spans="17:19">
      <c r="Q48" s="12"/>
      <c r="S48" s="74"/>
    </row>
    <row r="49" spans="17:19">
      <c r="Q49" s="12"/>
      <c r="S49" s="74"/>
    </row>
    <row r="50" spans="17:19">
      <c r="Q50" s="12"/>
      <c r="S50" s="74"/>
    </row>
    <row r="51" spans="17:19">
      <c r="Q51" s="12"/>
      <c r="S51" s="74"/>
    </row>
    <row r="52" spans="17:19">
      <c r="Q52" s="12"/>
      <c r="S52" s="74"/>
    </row>
    <row r="53" spans="17:19">
      <c r="Q53" s="12"/>
      <c r="S53" s="74"/>
    </row>
    <row r="54" spans="17:19">
      <c r="Q54" s="12"/>
      <c r="S54" s="74"/>
    </row>
    <row r="55" spans="17:19">
      <c r="Q55" s="12"/>
      <c r="S55" s="74"/>
    </row>
    <row r="56" spans="17:19">
      <c r="Q56" s="12"/>
      <c r="S56" s="74"/>
    </row>
    <row r="57" spans="17:19">
      <c r="Q57" s="12"/>
      <c r="S57" s="74"/>
    </row>
    <row r="58" spans="17:19">
      <c r="Q58" s="12"/>
      <c r="S58" s="74"/>
    </row>
    <row r="59" spans="17:19">
      <c r="Q59" s="12"/>
      <c r="S59" s="74"/>
    </row>
    <row r="60" spans="17:19">
      <c r="Q60" s="12"/>
      <c r="S60" s="74"/>
    </row>
    <row r="61" spans="17:19">
      <c r="Q61" s="12"/>
      <c r="S61" s="74"/>
    </row>
    <row r="62" spans="17:19">
      <c r="Q62" s="12"/>
      <c r="S62" s="74"/>
    </row>
    <row r="63" spans="17:19">
      <c r="Q63" s="12"/>
      <c r="S63" s="74"/>
    </row>
    <row r="64" spans="17:19">
      <c r="Q64" s="12"/>
      <c r="S64" s="74"/>
    </row>
    <row r="65" spans="17:19">
      <c r="Q65" s="12"/>
      <c r="S65" s="74"/>
    </row>
    <row r="66" spans="17:19">
      <c r="Q66" s="12"/>
      <c r="S66" s="74"/>
    </row>
    <row r="67" spans="17:19">
      <c r="Q67" s="12"/>
      <c r="S67" s="74"/>
    </row>
    <row r="68" spans="17:19">
      <c r="Q68" s="12"/>
      <c r="S68" s="74"/>
    </row>
    <row r="69" spans="17:19">
      <c r="Q69" s="12"/>
      <c r="S69" s="74"/>
    </row>
    <row r="70" spans="17:19">
      <c r="Q70" s="12"/>
      <c r="S70" s="74"/>
    </row>
    <row r="71" spans="17:19">
      <c r="Q71" s="12"/>
      <c r="S71" s="74"/>
    </row>
    <row r="72" spans="17:19">
      <c r="Q72" s="12"/>
      <c r="S72" s="74"/>
    </row>
    <row r="73" spans="17:19">
      <c r="Q73" s="12"/>
      <c r="S73" s="74"/>
    </row>
    <row r="74" spans="17:19">
      <c r="Q74" s="12"/>
      <c r="S74" s="74"/>
    </row>
    <row r="75" spans="17:19">
      <c r="Q75" s="12"/>
      <c r="S75" s="74"/>
    </row>
    <row r="76" spans="17:19">
      <c r="Q76" s="12"/>
      <c r="S76" s="74"/>
    </row>
    <row r="77" spans="17:19">
      <c r="Q77" s="12"/>
      <c r="S77" s="74"/>
    </row>
    <row r="78" spans="17:19">
      <c r="Q78" s="12"/>
      <c r="S78" s="74"/>
    </row>
    <row r="79" spans="17:19">
      <c r="Q79" s="12"/>
      <c r="S79" s="74"/>
    </row>
    <row r="80" spans="17:19">
      <c r="Q80" s="12"/>
      <c r="S80" s="74"/>
    </row>
    <row r="81" spans="17:19">
      <c r="Q81" s="12"/>
      <c r="S81" s="74"/>
    </row>
    <row r="82" spans="17:19">
      <c r="Q82" s="12"/>
      <c r="S82" s="74"/>
    </row>
    <row r="83" spans="17:19">
      <c r="Q83" s="12"/>
      <c r="S83" s="74"/>
    </row>
    <row r="84" spans="17:19">
      <c r="Q84" s="12"/>
      <c r="S84" s="74"/>
    </row>
    <row r="85" spans="17:19">
      <c r="Q85" s="12"/>
      <c r="S85" s="74"/>
    </row>
    <row r="86" spans="17:19">
      <c r="Q86" s="12"/>
      <c r="S86" s="74"/>
    </row>
    <row r="87" spans="17:19">
      <c r="Q87" s="12"/>
      <c r="S87" s="74"/>
    </row>
    <row r="88" spans="17:19">
      <c r="Q88" s="12"/>
      <c r="S88" s="74"/>
    </row>
    <row r="89" spans="17:19">
      <c r="Q89" s="12"/>
      <c r="S89" s="74"/>
    </row>
    <row r="90" spans="17:19">
      <c r="Q90" s="12"/>
      <c r="S90" s="74"/>
    </row>
    <row r="91" spans="17:19">
      <c r="Q91" s="12"/>
      <c r="S91" s="74"/>
    </row>
    <row r="92" spans="17:19">
      <c r="Q92" s="12"/>
      <c r="S92" s="74"/>
    </row>
    <row r="93" spans="17:19">
      <c r="Q93" s="12"/>
      <c r="S93" s="74"/>
    </row>
    <row r="94" spans="17:19">
      <c r="Q94" s="12"/>
      <c r="S94" s="74"/>
    </row>
    <row r="95" spans="17:19">
      <c r="Q95" s="12"/>
      <c r="S95" s="74"/>
    </row>
    <row r="96" spans="17:19">
      <c r="Q96" s="12"/>
      <c r="S96" s="74"/>
    </row>
    <row r="97" spans="17:19">
      <c r="Q97" s="12"/>
      <c r="S97" s="74"/>
    </row>
    <row r="98" spans="17:19">
      <c r="Q98" s="12"/>
      <c r="S98" s="74"/>
    </row>
    <row r="99" spans="17:19">
      <c r="Q99" s="12"/>
      <c r="S99" s="74"/>
    </row>
    <row r="100" spans="17:19">
      <c r="Q100" s="12"/>
      <c r="S100" s="74"/>
    </row>
    <row r="101" spans="17:19">
      <c r="Q101" s="12"/>
      <c r="S101" s="74"/>
    </row>
    <row r="102" spans="17:19">
      <c r="Q102" s="12"/>
      <c r="S102" s="74"/>
    </row>
    <row r="103" spans="17:19">
      <c r="Q103" s="12"/>
      <c r="S103" s="74"/>
    </row>
    <row r="104" spans="17:19">
      <c r="Q104" s="12"/>
      <c r="S104" s="74"/>
    </row>
    <row r="105" spans="17:19">
      <c r="Q105" s="12"/>
      <c r="S105" s="74"/>
    </row>
    <row r="106" spans="17:19">
      <c r="Q106" s="12"/>
      <c r="S106" s="74"/>
    </row>
    <row r="107" spans="17:19">
      <c r="Q107" s="12"/>
      <c r="S107" s="74"/>
    </row>
    <row r="108" spans="17:19">
      <c r="Q108" s="12"/>
      <c r="S108" s="74"/>
    </row>
    <row r="109" spans="17:19">
      <c r="Q109" s="12"/>
      <c r="S109" s="74"/>
    </row>
    <row r="110" spans="17:19">
      <c r="Q110" s="12"/>
      <c r="S110" s="74"/>
    </row>
    <row r="111" spans="17:19">
      <c r="Q111" s="12"/>
      <c r="S111" s="74"/>
    </row>
    <row r="112" spans="17:19">
      <c r="Q112" s="12"/>
      <c r="S112" s="74"/>
    </row>
    <row r="113" spans="17:19">
      <c r="Q113" s="12"/>
      <c r="S113" s="74"/>
    </row>
    <row r="114" spans="17:19">
      <c r="Q114" s="12"/>
      <c r="S114" s="74"/>
    </row>
    <row r="115" spans="17:19">
      <c r="Q115" s="12"/>
      <c r="S115" s="74"/>
    </row>
    <row r="116" spans="17:19">
      <c r="Q116" s="12"/>
      <c r="S116" s="74"/>
    </row>
    <row r="117" spans="17:19">
      <c r="Q117" s="12"/>
      <c r="S117" s="74"/>
    </row>
    <row r="118" spans="17:19">
      <c r="Q118" s="12"/>
      <c r="S118" s="74"/>
    </row>
    <row r="119" spans="17:19">
      <c r="Q119" s="12"/>
      <c r="S119" s="74"/>
    </row>
    <row r="120" spans="17:19">
      <c r="Q120" s="12"/>
      <c r="S120" s="74"/>
    </row>
    <row r="121" spans="17:19">
      <c r="Q121" s="12"/>
      <c r="S121" s="74"/>
    </row>
    <row r="122" spans="17:19">
      <c r="Q122" s="12"/>
      <c r="S122" s="74"/>
    </row>
    <row r="123" spans="17:19">
      <c r="Q123" s="12"/>
      <c r="S123" s="74"/>
    </row>
    <row r="124" spans="17:19">
      <c r="Q124" s="12"/>
      <c r="S124" s="74"/>
    </row>
    <row r="125" spans="17:19">
      <c r="Q125" s="12"/>
      <c r="S125" s="74"/>
    </row>
    <row r="126" spans="17:19">
      <c r="Q126" s="12"/>
      <c r="S126" s="74"/>
    </row>
    <row r="127" spans="17:19">
      <c r="Q127" s="12"/>
      <c r="S127" s="74"/>
    </row>
    <row r="128" spans="17:19">
      <c r="Q128" s="12"/>
      <c r="S128" s="74"/>
    </row>
    <row r="129" spans="17:19">
      <c r="Q129" s="12"/>
      <c r="S129" s="74"/>
    </row>
    <row r="130" spans="17:19">
      <c r="Q130" s="12"/>
      <c r="S130" s="74"/>
    </row>
    <row r="131" spans="17:19">
      <c r="Q131" s="12"/>
      <c r="S131" s="74"/>
    </row>
    <row r="132" spans="17:19">
      <c r="Q132" s="12"/>
      <c r="S132" s="74"/>
    </row>
    <row r="133" spans="17:19">
      <c r="Q133" s="12"/>
      <c r="S133" s="74"/>
    </row>
    <row r="134" spans="17:19">
      <c r="Q134" s="12"/>
      <c r="S134" s="74"/>
    </row>
    <row r="135" spans="17:19">
      <c r="Q135" s="12"/>
      <c r="S135" s="74"/>
    </row>
    <row r="136" spans="17:19">
      <c r="Q136" s="12"/>
      <c r="S136" s="74"/>
    </row>
    <row r="137" spans="17:19">
      <c r="Q137" s="12"/>
      <c r="S137" s="74"/>
    </row>
    <row r="138" spans="17:19">
      <c r="Q138" s="12"/>
      <c r="S138" s="74"/>
    </row>
    <row r="139" spans="17:19">
      <c r="Q139" s="12"/>
      <c r="S139" s="74"/>
    </row>
    <row r="140" spans="17:19">
      <c r="Q140" s="12"/>
      <c r="S140" s="74"/>
    </row>
    <row r="141" spans="17:19">
      <c r="Q141" s="12"/>
      <c r="S141" s="74"/>
    </row>
    <row r="142" spans="17:19">
      <c r="Q142" s="12"/>
      <c r="S142" s="74"/>
    </row>
    <row r="143" spans="17:19">
      <c r="Q143" s="12"/>
      <c r="S143" s="74"/>
    </row>
    <row r="144" spans="17:19">
      <c r="Q144" s="12"/>
      <c r="S144" s="74"/>
    </row>
    <row r="145" spans="17:19">
      <c r="Q145" s="12"/>
      <c r="S145" s="74"/>
    </row>
    <row r="146" spans="17:19">
      <c r="Q146" s="12"/>
      <c r="S146" s="74"/>
    </row>
    <row r="147" spans="17:19">
      <c r="Q147" s="12"/>
      <c r="S147" s="74"/>
    </row>
    <row r="148" spans="17:19">
      <c r="Q148" s="12"/>
      <c r="S148" s="74"/>
    </row>
    <row r="149" spans="17:19">
      <c r="Q149" s="12"/>
      <c r="S149" s="74"/>
    </row>
    <row r="150" spans="17:19">
      <c r="Q150" s="12"/>
      <c r="S150" s="74"/>
    </row>
    <row r="151" spans="17:19">
      <c r="Q151" s="12"/>
      <c r="S151" s="74"/>
    </row>
    <row r="152" spans="17:19">
      <c r="Q152" s="12"/>
      <c r="S152" s="74"/>
    </row>
    <row r="153" spans="17:19">
      <c r="Q153" s="12"/>
      <c r="S153" s="74"/>
    </row>
    <row r="154" spans="17:19">
      <c r="Q154" s="12"/>
      <c r="S154" s="74"/>
    </row>
    <row r="155" spans="17:19">
      <c r="Q155" s="12"/>
      <c r="S155" s="74"/>
    </row>
    <row r="156" spans="17:19">
      <c r="Q156" s="12"/>
      <c r="S156" s="74"/>
    </row>
    <row r="157" spans="17:19">
      <c r="Q157" s="12"/>
      <c r="S157" s="74"/>
    </row>
    <row r="158" spans="17:19">
      <c r="Q158" s="12"/>
      <c r="S158" s="74"/>
    </row>
    <row r="159" spans="17:19">
      <c r="Q159" s="12"/>
      <c r="S159" s="74"/>
    </row>
    <row r="160" spans="17:19">
      <c r="Q160" s="12"/>
      <c r="S160" s="74"/>
    </row>
    <row r="161" spans="17:19">
      <c r="Q161" s="12"/>
      <c r="S161" s="74"/>
    </row>
    <row r="162" spans="17:19">
      <c r="Q162" s="12"/>
      <c r="S162" s="74"/>
    </row>
    <row r="163" spans="17:19">
      <c r="Q163" s="12"/>
      <c r="S163" s="74"/>
    </row>
    <row r="164" spans="17:19">
      <c r="Q164" s="12"/>
      <c r="S164" s="74"/>
    </row>
    <row r="165" spans="17:19">
      <c r="Q165" s="12"/>
      <c r="S165" s="74"/>
    </row>
    <row r="166" spans="17:19">
      <c r="Q166" s="12"/>
      <c r="S166" s="74"/>
    </row>
    <row r="167" spans="17:19">
      <c r="Q167" s="12"/>
      <c r="S167" s="74"/>
    </row>
    <row r="168" spans="17:19">
      <c r="Q168" s="12"/>
      <c r="S168" s="74"/>
    </row>
    <row r="169" spans="17:19">
      <c r="Q169" s="12"/>
      <c r="S169" s="74"/>
    </row>
    <row r="170" spans="17:19">
      <c r="Q170" s="12"/>
      <c r="S170" s="74"/>
    </row>
    <row r="171" spans="17:19">
      <c r="Q171" s="12"/>
      <c r="S171" s="74"/>
    </row>
    <row r="172" spans="17:19">
      <c r="Q172" s="12"/>
      <c r="S172" s="74"/>
    </row>
    <row r="173" spans="17:19">
      <c r="Q173" s="12"/>
      <c r="S173" s="74"/>
    </row>
    <row r="174" spans="17:19">
      <c r="Q174" s="12"/>
      <c r="S174" s="74"/>
    </row>
    <row r="175" spans="17:19">
      <c r="Q175" s="12"/>
      <c r="S175" s="74"/>
    </row>
    <row r="176" spans="17:19">
      <c r="Q176" s="12"/>
      <c r="S176" s="74"/>
    </row>
    <row r="177" spans="17:19">
      <c r="Q177" s="12"/>
      <c r="S177" s="74"/>
    </row>
    <row r="178" spans="17:19">
      <c r="Q178" s="12"/>
      <c r="S178" s="74"/>
    </row>
    <row r="179" spans="17:19">
      <c r="Q179" s="12"/>
      <c r="S179" s="74"/>
    </row>
    <row r="180" spans="17:19">
      <c r="Q180" s="12"/>
      <c r="S180" s="74"/>
    </row>
    <row r="181" spans="17:19">
      <c r="Q181" s="12"/>
      <c r="S181" s="74"/>
    </row>
    <row r="182" spans="17:19">
      <c r="Q182" s="12"/>
      <c r="S182" s="74"/>
    </row>
    <row r="183" spans="17:19">
      <c r="Q183" s="12"/>
      <c r="S183" s="74"/>
    </row>
    <row r="184" spans="17:19">
      <c r="Q184" s="12"/>
      <c r="S184" s="74"/>
    </row>
    <row r="185" spans="17:19">
      <c r="Q185" s="12"/>
      <c r="S185" s="74"/>
    </row>
    <row r="186" spans="17:19">
      <c r="Q186" s="12"/>
      <c r="S186" s="74"/>
    </row>
    <row r="187" spans="17:19">
      <c r="Q187" s="12"/>
      <c r="S187" s="74"/>
    </row>
    <row r="188" spans="17:19">
      <c r="Q188" s="12"/>
      <c r="S188" s="74"/>
    </row>
    <row r="189" spans="17:19">
      <c r="Q189" s="12"/>
      <c r="S189" s="74"/>
    </row>
    <row r="190" spans="17:19">
      <c r="Q190" s="12"/>
      <c r="S190" s="74"/>
    </row>
    <row r="191" spans="17:19">
      <c r="Q191" s="12"/>
      <c r="S191" s="74"/>
    </row>
    <row r="192" spans="17:19">
      <c r="Q192" s="12"/>
      <c r="S192" s="74"/>
    </row>
    <row r="193" spans="17:19">
      <c r="Q193" s="12"/>
      <c r="S193" s="74"/>
    </row>
    <row r="194" spans="17:19">
      <c r="Q194" s="12"/>
      <c r="S194" s="74"/>
    </row>
    <row r="195" spans="17:19">
      <c r="Q195" s="12"/>
      <c r="S195" s="74"/>
    </row>
    <row r="196" spans="17:19">
      <c r="Q196" s="12"/>
      <c r="S196" s="74"/>
    </row>
    <row r="197" spans="17:19">
      <c r="Q197" s="12"/>
      <c r="S197" s="74"/>
    </row>
    <row r="198" spans="17:19">
      <c r="Q198" s="12"/>
      <c r="S198" s="74"/>
    </row>
    <row r="199" spans="17:19">
      <c r="Q199" s="12"/>
      <c r="S199" s="74"/>
    </row>
    <row r="200" spans="17:19">
      <c r="Q200" s="12"/>
      <c r="S200" s="74"/>
    </row>
    <row r="201" spans="17:19">
      <c r="Q201" s="12"/>
      <c r="S201" s="74"/>
    </row>
    <row r="202" spans="17:19">
      <c r="Q202" s="12"/>
      <c r="S202" s="74"/>
    </row>
    <row r="203" spans="17:19">
      <c r="Q203" s="12"/>
      <c r="S203" s="74"/>
    </row>
    <row r="204" spans="17:19">
      <c r="Q204" s="12"/>
      <c r="S204" s="74"/>
    </row>
    <row r="205" spans="17:19">
      <c r="Q205" s="12"/>
      <c r="S205" s="74"/>
    </row>
    <row r="206" spans="17:19">
      <c r="Q206" s="12"/>
      <c r="S206" s="74"/>
    </row>
    <row r="207" spans="17:19">
      <c r="Q207" s="12"/>
      <c r="S207" s="74"/>
    </row>
    <row r="208" spans="17:19">
      <c r="Q208" s="12"/>
      <c r="S208" s="74"/>
    </row>
    <row r="209" spans="17:19">
      <c r="Q209" s="12"/>
      <c r="S209" s="74"/>
    </row>
    <row r="210" spans="17:19">
      <c r="Q210" s="12"/>
      <c r="S210" s="74"/>
    </row>
    <row r="211" spans="17:19">
      <c r="Q211" s="12"/>
      <c r="S211" s="74"/>
    </row>
    <row r="212" spans="17:19">
      <c r="Q212" s="12"/>
      <c r="S212" s="74"/>
    </row>
    <row r="213" spans="17:19">
      <c r="Q213" s="12"/>
      <c r="S213" s="74"/>
    </row>
    <row r="214" spans="17:19">
      <c r="Q214" s="12"/>
      <c r="S214" s="74"/>
    </row>
    <row r="215" spans="17:19">
      <c r="Q215" s="12"/>
      <c r="S215" s="74"/>
    </row>
    <row r="216" spans="17:19">
      <c r="Q216" s="12"/>
      <c r="S216" s="74"/>
    </row>
    <row r="217" spans="17:19">
      <c r="Q217" s="12"/>
      <c r="S217" s="74"/>
    </row>
    <row r="218" spans="17:19">
      <c r="Q218" s="12"/>
      <c r="S218" s="74"/>
    </row>
    <row r="219" spans="17:19">
      <c r="Q219" s="12"/>
      <c r="S219" s="74"/>
    </row>
    <row r="220" spans="17:19">
      <c r="Q220" s="12"/>
      <c r="S220" s="74"/>
    </row>
    <row r="221" spans="17:19">
      <c r="Q221" s="12"/>
      <c r="S221" s="74"/>
    </row>
    <row r="222" spans="17:19">
      <c r="Q222" s="12"/>
      <c r="S222" s="74"/>
    </row>
    <row r="223" spans="17:19">
      <c r="Q223" s="12"/>
      <c r="S223" s="74"/>
    </row>
    <row r="224" spans="17:19">
      <c r="Q224" s="12"/>
      <c r="S224" s="74"/>
    </row>
    <row r="225" spans="17:19">
      <c r="Q225" s="12"/>
      <c r="S225" s="74"/>
    </row>
    <row r="226" spans="17:19">
      <c r="Q226" s="12"/>
      <c r="S226" s="74"/>
    </row>
    <row r="227" spans="17:19">
      <c r="Q227" s="12"/>
      <c r="S227" s="74"/>
    </row>
    <row r="228" spans="17:19">
      <c r="Q228" s="12"/>
      <c r="S228" s="74"/>
    </row>
    <row r="229" spans="17:19">
      <c r="Q229" s="12"/>
      <c r="S229" s="74"/>
    </row>
    <row r="230" spans="17:19">
      <c r="Q230" s="12"/>
      <c r="S230" s="74"/>
    </row>
    <row r="231" spans="17:19">
      <c r="Q231" s="12"/>
      <c r="S231" s="74"/>
    </row>
    <row r="232" spans="17:19">
      <c r="Q232" s="12"/>
      <c r="S232" s="74"/>
    </row>
    <row r="233" spans="17:19">
      <c r="Q233" s="12"/>
      <c r="S233" s="74"/>
    </row>
    <row r="234" spans="17:19">
      <c r="Q234" s="12"/>
      <c r="S234" s="74"/>
    </row>
    <row r="235" spans="17:19">
      <c r="Q235" s="12"/>
      <c r="S235" s="74"/>
    </row>
    <row r="236" spans="17:19">
      <c r="Q236" s="12"/>
      <c r="S236" s="74"/>
    </row>
    <row r="237" spans="17:19">
      <c r="Q237" s="12"/>
      <c r="S237" s="74"/>
    </row>
    <row r="238" spans="17:19">
      <c r="Q238" s="12"/>
      <c r="S238" s="74"/>
    </row>
    <row r="239" spans="17:19">
      <c r="Q239" s="12"/>
      <c r="S239" s="74"/>
    </row>
    <row r="240" spans="17:19">
      <c r="Q240" s="12"/>
      <c r="S240" s="74"/>
    </row>
    <row r="241" spans="17:19">
      <c r="Q241" s="12"/>
      <c r="S241" s="74"/>
    </row>
    <row r="242" spans="17:19">
      <c r="Q242" s="12"/>
      <c r="S242" s="74"/>
    </row>
    <row r="243" spans="17:19">
      <c r="Q243" s="12"/>
      <c r="S243" s="74"/>
    </row>
    <row r="244" spans="17:19">
      <c r="Q244" s="12"/>
      <c r="S244" s="74"/>
    </row>
    <row r="245" spans="17:19">
      <c r="Q245" s="12"/>
      <c r="S245" s="74"/>
    </row>
    <row r="246" spans="17:19">
      <c r="Q246" s="12"/>
      <c r="S246" s="74"/>
    </row>
    <row r="247" spans="17:19">
      <c r="Q247" s="12"/>
      <c r="S247" s="74"/>
    </row>
    <row r="248" spans="17:19">
      <c r="Q248" s="12"/>
      <c r="S248" s="74"/>
    </row>
    <row r="249" spans="17:19">
      <c r="Q249" s="12"/>
      <c r="S249" s="74"/>
    </row>
    <row r="250" spans="17:19">
      <c r="Q250" s="12"/>
      <c r="S250" s="74"/>
    </row>
    <row r="251" spans="17:19">
      <c r="Q251" s="12"/>
      <c r="S251" s="74"/>
    </row>
    <row r="252" spans="17:19">
      <c r="Q252" s="12"/>
      <c r="S252" s="74"/>
    </row>
    <row r="253" spans="17:19">
      <c r="Q253" s="12"/>
      <c r="S253" s="74"/>
    </row>
    <row r="254" spans="17:19">
      <c r="Q254" s="12"/>
      <c r="S254" s="74"/>
    </row>
    <row r="255" spans="17:19">
      <c r="Q255" s="12"/>
      <c r="S255" s="74"/>
    </row>
    <row r="256" spans="17:19">
      <c r="Q256" s="12"/>
      <c r="S256" s="74"/>
    </row>
    <row r="257" spans="17:19">
      <c r="Q257" s="12"/>
      <c r="S257" s="74"/>
    </row>
    <row r="258" spans="17:19">
      <c r="Q258" s="12"/>
      <c r="S258" s="74"/>
    </row>
    <row r="259" spans="17:19">
      <c r="Q259" s="12"/>
      <c r="S259" s="74"/>
    </row>
    <row r="260" spans="17:19">
      <c r="Q260" s="12"/>
      <c r="S260" s="74"/>
    </row>
    <row r="261" spans="17:19">
      <c r="Q261" s="12"/>
      <c r="S261" s="74"/>
    </row>
    <row r="262" spans="17:19">
      <c r="Q262" s="12"/>
      <c r="S262" s="74"/>
    </row>
    <row r="263" spans="17:19">
      <c r="Q263" s="12"/>
      <c r="S263" s="74"/>
    </row>
    <row r="264" spans="17:19">
      <c r="Q264" s="12"/>
      <c r="S264" s="74"/>
    </row>
    <row r="265" spans="17:19">
      <c r="Q265" s="12"/>
      <c r="S265" s="74"/>
    </row>
    <row r="266" spans="17:19">
      <c r="Q266" s="12"/>
      <c r="S266" s="74"/>
    </row>
    <row r="267" spans="17:19">
      <c r="Q267" s="12"/>
      <c r="S267" s="74"/>
    </row>
    <row r="268" spans="17:19">
      <c r="Q268" s="12"/>
      <c r="S268" s="74"/>
    </row>
    <row r="269" spans="17:19">
      <c r="Q269" s="12"/>
      <c r="S269" s="74"/>
    </row>
    <row r="270" spans="17:19">
      <c r="Q270" s="12"/>
      <c r="S270" s="74"/>
    </row>
    <row r="271" spans="17:19">
      <c r="Q271" s="12"/>
      <c r="S271" s="74"/>
    </row>
    <row r="272" spans="17:19">
      <c r="Q272" s="12"/>
      <c r="S272" s="74"/>
    </row>
    <row r="273" spans="17:19">
      <c r="Q273" s="12"/>
      <c r="S273" s="74"/>
    </row>
    <row r="274" spans="17:19">
      <c r="Q274" s="12"/>
      <c r="S274" s="74"/>
    </row>
    <row r="275" spans="17:19">
      <c r="Q275" s="12"/>
      <c r="S275" s="74"/>
    </row>
    <row r="276" spans="17:19">
      <c r="Q276" s="12"/>
      <c r="S276" s="74"/>
    </row>
    <row r="277" spans="17:19">
      <c r="Q277" s="12"/>
      <c r="S277" s="74"/>
    </row>
    <row r="278" spans="17:19">
      <c r="Q278" s="12"/>
      <c r="S278" s="74"/>
    </row>
    <row r="279" spans="17:19">
      <c r="Q279" s="12"/>
      <c r="S279" s="74"/>
    </row>
    <row r="280" spans="17:19">
      <c r="Q280" s="12"/>
      <c r="S280" s="74"/>
    </row>
    <row r="281" spans="17:19">
      <c r="Q281" s="12"/>
      <c r="S281" s="74"/>
    </row>
    <row r="282" spans="17:19">
      <c r="Q282" s="12"/>
      <c r="S282" s="74"/>
    </row>
    <row r="283" spans="17:19">
      <c r="Q283" s="12"/>
      <c r="S283" s="74"/>
    </row>
    <row r="284" spans="17:19">
      <c r="Q284" s="12"/>
      <c r="S284" s="74"/>
    </row>
    <row r="285" spans="17:19">
      <c r="Q285" s="12"/>
      <c r="S285" s="74"/>
    </row>
    <row r="286" spans="17:19">
      <c r="Q286" s="12"/>
      <c r="S286" s="74"/>
    </row>
    <row r="287" spans="17:19">
      <c r="Q287" s="12"/>
      <c r="S287" s="74"/>
    </row>
    <row r="288" spans="17:19">
      <c r="Q288" s="12"/>
      <c r="S288" s="74"/>
    </row>
    <row r="289" spans="17:19">
      <c r="Q289" s="12"/>
      <c r="S289" s="74"/>
    </row>
    <row r="290" spans="17:19">
      <c r="Q290" s="12"/>
      <c r="S290" s="74"/>
    </row>
    <row r="291" spans="17:19">
      <c r="Q291" s="12"/>
      <c r="S291" s="74"/>
    </row>
    <row r="292" spans="17:19">
      <c r="Q292" s="12"/>
      <c r="S292" s="74"/>
    </row>
    <row r="293" spans="17:19">
      <c r="Q293" s="12"/>
      <c r="S293" s="74"/>
    </row>
    <row r="294" spans="17:19">
      <c r="Q294" s="12"/>
      <c r="S294" s="74"/>
    </row>
    <row r="295" spans="17:19">
      <c r="Q295" s="12"/>
      <c r="S295" s="74"/>
    </row>
    <row r="296" spans="17:19">
      <c r="Q296" s="12"/>
      <c r="S296" s="74"/>
    </row>
    <row r="297" spans="17:19">
      <c r="Q297" s="12"/>
      <c r="S297" s="74"/>
    </row>
    <row r="298" spans="17:19">
      <c r="Q298" s="12"/>
      <c r="S298" s="74"/>
    </row>
    <row r="299" spans="17:19">
      <c r="Q299" s="12"/>
      <c r="S299" s="74"/>
    </row>
    <row r="300" spans="17:19">
      <c r="Q300" s="12"/>
      <c r="S300" s="74"/>
    </row>
    <row r="301" spans="17:19">
      <c r="Q301" s="12"/>
      <c r="S301" s="74"/>
    </row>
    <row r="302" spans="17:19">
      <c r="Q302" s="12"/>
      <c r="S302" s="74"/>
    </row>
    <row r="303" spans="17:19">
      <c r="Q303" s="12"/>
      <c r="S303" s="74"/>
    </row>
    <row r="304" spans="17:19">
      <c r="Q304" s="12"/>
      <c r="S304" s="74"/>
    </row>
    <row r="305" spans="17:19">
      <c r="Q305" s="12"/>
      <c r="S305" s="74"/>
    </row>
    <row r="306" spans="17:19">
      <c r="Q306" s="12"/>
      <c r="S306" s="74"/>
    </row>
    <row r="307" spans="17:19">
      <c r="Q307" s="12"/>
      <c r="S307" s="74"/>
    </row>
    <row r="308" spans="17:19">
      <c r="Q308" s="12"/>
      <c r="S308" s="74"/>
    </row>
    <row r="309" spans="17:19">
      <c r="Q309" s="12"/>
      <c r="S309" s="74"/>
    </row>
    <row r="310" spans="17:19">
      <c r="Q310" s="12"/>
      <c r="S310" s="74"/>
    </row>
    <row r="311" spans="17:19">
      <c r="Q311" s="12"/>
      <c r="S311" s="74"/>
    </row>
    <row r="312" spans="17:19">
      <c r="Q312" s="12"/>
      <c r="S312" s="74"/>
    </row>
    <row r="313" spans="17:19">
      <c r="Q313" s="12"/>
      <c r="S313" s="74"/>
    </row>
    <row r="314" spans="17:19">
      <c r="Q314" s="12"/>
      <c r="S314" s="74"/>
    </row>
    <row r="315" spans="17:19">
      <c r="Q315" s="12"/>
      <c r="S315" s="74"/>
    </row>
    <row r="316" spans="17:19">
      <c r="Q316" s="12"/>
      <c r="S316" s="74"/>
    </row>
    <row r="317" spans="17:19">
      <c r="Q317" s="12"/>
      <c r="S317" s="74"/>
    </row>
    <row r="318" spans="17:19">
      <c r="Q318" s="12"/>
      <c r="S318" s="74"/>
    </row>
    <row r="319" spans="17:19">
      <c r="Q319" s="12"/>
      <c r="S319" s="74"/>
    </row>
    <row r="320" spans="17:19">
      <c r="Q320" s="12"/>
      <c r="S320" s="74"/>
    </row>
    <row r="321" spans="17:19">
      <c r="Q321" s="12"/>
      <c r="S321" s="74"/>
    </row>
    <row r="322" spans="17:19">
      <c r="Q322" s="12"/>
      <c r="S322" s="74"/>
    </row>
    <row r="323" spans="17:19">
      <c r="Q323" s="12"/>
      <c r="S323" s="74"/>
    </row>
    <row r="324" spans="17:19">
      <c r="Q324" s="12"/>
      <c r="S324" s="74"/>
    </row>
    <row r="325" spans="17:19">
      <c r="Q325" s="12"/>
      <c r="S325" s="74"/>
    </row>
    <row r="326" spans="17:19">
      <c r="Q326" s="12"/>
      <c r="S326" s="74"/>
    </row>
    <row r="327" spans="17:19">
      <c r="Q327" s="12"/>
      <c r="S327" s="74"/>
    </row>
    <row r="328" spans="17:19">
      <c r="Q328" s="12"/>
      <c r="S328" s="74"/>
    </row>
    <row r="329" spans="17:19">
      <c r="Q329" s="12"/>
      <c r="S329" s="74"/>
    </row>
    <row r="330" spans="17:19">
      <c r="Q330" s="12"/>
      <c r="S330" s="74"/>
    </row>
    <row r="331" spans="17:19">
      <c r="Q331" s="12"/>
      <c r="S331" s="74"/>
    </row>
    <row r="332" spans="17:19">
      <c r="Q332" s="12"/>
      <c r="S332" s="74"/>
    </row>
    <row r="333" spans="17:19">
      <c r="Q333" s="12"/>
      <c r="S333" s="74"/>
    </row>
    <row r="334" spans="17:19">
      <c r="Q334" s="12"/>
      <c r="S334" s="74"/>
    </row>
    <row r="335" spans="17:19">
      <c r="Q335" s="12"/>
      <c r="S335" s="74"/>
    </row>
    <row r="336" spans="17:19">
      <c r="Q336" s="12"/>
      <c r="S336" s="74"/>
    </row>
    <row r="337" spans="17:19">
      <c r="Q337" s="12"/>
      <c r="S337" s="74"/>
    </row>
    <row r="338" spans="17:19">
      <c r="Q338" s="12"/>
      <c r="S338" s="74"/>
    </row>
    <row r="339" spans="17:19">
      <c r="Q339" s="12"/>
      <c r="S339" s="74"/>
    </row>
    <row r="340" spans="17:19">
      <c r="Q340" s="12"/>
      <c r="S340" s="74"/>
    </row>
    <row r="341" spans="17:19">
      <c r="Q341" s="12"/>
      <c r="S341" s="74"/>
    </row>
    <row r="342" spans="17:19">
      <c r="Q342" s="12"/>
      <c r="S342" s="74"/>
    </row>
    <row r="343" spans="17:19">
      <c r="Q343" s="12"/>
      <c r="S343" s="74"/>
    </row>
    <row r="344" spans="17:19">
      <c r="Q344" s="12"/>
      <c r="S344" s="74"/>
    </row>
    <row r="345" spans="17:19">
      <c r="Q345" s="12"/>
      <c r="S345" s="74"/>
    </row>
    <row r="346" spans="17:19">
      <c r="Q346" s="12"/>
      <c r="S346" s="74"/>
    </row>
    <row r="347" spans="17:19">
      <c r="Q347" s="12"/>
      <c r="S347" s="74"/>
    </row>
    <row r="348" spans="17:19">
      <c r="Q348" s="12"/>
      <c r="S348" s="74"/>
    </row>
    <row r="349" spans="17:19">
      <c r="Q349" s="12"/>
      <c r="S349" s="74"/>
    </row>
    <row r="350" spans="17:19">
      <c r="Q350" s="12"/>
      <c r="S350" s="74"/>
    </row>
    <row r="351" spans="17:19">
      <c r="Q351" s="12"/>
      <c r="S351" s="74"/>
    </row>
    <row r="352" spans="17:19">
      <c r="Q352" s="12"/>
      <c r="S352" s="74"/>
    </row>
    <row r="353" spans="17:19">
      <c r="Q353" s="12"/>
      <c r="S353" s="74"/>
    </row>
    <row r="354" spans="17:19">
      <c r="Q354" s="12"/>
      <c r="S354" s="74"/>
    </row>
    <row r="355" spans="17:19">
      <c r="Q355" s="12"/>
      <c r="S355" s="74"/>
    </row>
    <row r="356" spans="17:19">
      <c r="Q356" s="12"/>
      <c r="S356" s="74"/>
    </row>
    <row r="357" spans="17:19">
      <c r="Q357" s="12"/>
      <c r="S357" s="74"/>
    </row>
    <row r="358" spans="17:19">
      <c r="Q358" s="12"/>
      <c r="S358" s="74"/>
    </row>
    <row r="359" spans="17:19">
      <c r="Q359" s="12"/>
      <c r="S359" s="74"/>
    </row>
    <row r="360" spans="17:19">
      <c r="Q360" s="12"/>
      <c r="S360" s="74"/>
    </row>
    <row r="361" spans="17:19">
      <c r="Q361" s="12"/>
      <c r="S361" s="74"/>
    </row>
    <row r="362" spans="17:19">
      <c r="Q362" s="12"/>
      <c r="S362" s="74"/>
    </row>
    <row r="363" spans="17:19">
      <c r="Q363" s="12"/>
      <c r="S363" s="74"/>
    </row>
    <row r="364" spans="17:19">
      <c r="Q364" s="12"/>
      <c r="S364" s="74"/>
    </row>
    <row r="365" spans="17:19">
      <c r="Q365" s="12"/>
      <c r="S365" s="74"/>
    </row>
    <row r="366" spans="17:19">
      <c r="Q366" s="12"/>
      <c r="S366" s="74"/>
    </row>
    <row r="367" spans="17:19">
      <c r="Q367" s="12"/>
      <c r="S367" s="74"/>
    </row>
    <row r="368" spans="17:19">
      <c r="Q368" s="12"/>
      <c r="S368" s="74"/>
    </row>
    <row r="369" spans="17:19">
      <c r="Q369" s="12"/>
      <c r="S369" s="74"/>
    </row>
    <row r="370" spans="17:19">
      <c r="Q370" s="12"/>
      <c r="S370" s="74"/>
    </row>
    <row r="371" spans="17:19">
      <c r="Q371" s="12"/>
      <c r="S371" s="74"/>
    </row>
    <row r="372" spans="17:19">
      <c r="Q372" s="12"/>
      <c r="S372" s="74"/>
    </row>
    <row r="373" spans="17:19">
      <c r="Q373" s="12"/>
      <c r="S373" s="74"/>
    </row>
    <row r="374" spans="17:19">
      <c r="Q374" s="12"/>
      <c r="S374" s="74"/>
    </row>
    <row r="375" spans="17:19">
      <c r="Q375" s="12"/>
      <c r="S375" s="74"/>
    </row>
    <row r="376" spans="17:19">
      <c r="Q376" s="12"/>
      <c r="S376" s="74"/>
    </row>
    <row r="377" spans="17:19">
      <c r="Q377" s="12"/>
      <c r="S377" s="74"/>
    </row>
    <row r="378" spans="17:19">
      <c r="Q378" s="12"/>
      <c r="S378" s="74"/>
    </row>
    <row r="379" spans="17:19">
      <c r="Q379" s="12"/>
      <c r="S379" s="74"/>
    </row>
    <row r="380" spans="17:19">
      <c r="Q380" s="12"/>
      <c r="S380" s="74"/>
    </row>
    <row r="381" spans="17:19">
      <c r="Q381" s="12"/>
      <c r="S381" s="74"/>
    </row>
    <row r="382" spans="17:19">
      <c r="Q382" s="12"/>
      <c r="S382" s="74"/>
    </row>
    <row r="383" spans="17:19">
      <c r="Q383" s="12"/>
      <c r="S383" s="74"/>
    </row>
    <row r="384" spans="17:19">
      <c r="Q384" s="12"/>
      <c r="S384" s="74"/>
    </row>
    <row r="385" spans="17:19">
      <c r="Q385" s="12"/>
      <c r="S385" s="74"/>
    </row>
    <row r="386" spans="17:19">
      <c r="Q386" s="12"/>
      <c r="S386" s="74"/>
    </row>
    <row r="387" spans="17:19">
      <c r="Q387" s="12"/>
      <c r="S387" s="74"/>
    </row>
    <row r="388" spans="17:19">
      <c r="Q388" s="12"/>
      <c r="S388" s="74"/>
    </row>
    <row r="389" spans="17:19">
      <c r="Q389" s="12"/>
      <c r="S389" s="74"/>
    </row>
    <row r="390" spans="17:19">
      <c r="Q390" s="12"/>
      <c r="S390" s="74"/>
    </row>
    <row r="391" spans="17:19">
      <c r="Q391" s="12"/>
      <c r="S391" s="74"/>
    </row>
    <row r="392" spans="17:19">
      <c r="Q392" s="12"/>
      <c r="S392" s="74"/>
    </row>
    <row r="393" spans="17:19">
      <c r="Q393" s="12"/>
      <c r="S393" s="74"/>
    </row>
    <row r="394" spans="17:19">
      <c r="Q394" s="12"/>
      <c r="S394" s="74"/>
    </row>
    <row r="395" spans="17:19">
      <c r="Q395" s="12"/>
      <c r="S395" s="74"/>
    </row>
    <row r="396" spans="17:19">
      <c r="Q396" s="12"/>
      <c r="S396" s="74"/>
    </row>
    <row r="397" spans="17:19">
      <c r="Q397" s="12"/>
      <c r="S397" s="74"/>
    </row>
    <row r="398" spans="17:19">
      <c r="Q398" s="12"/>
      <c r="S398" s="74"/>
    </row>
    <row r="399" spans="17:19">
      <c r="Q399" s="12"/>
      <c r="S399" s="74"/>
    </row>
    <row r="400" spans="17:19">
      <c r="Q400" s="12"/>
      <c r="S400" s="74"/>
    </row>
    <row r="401" spans="17:19">
      <c r="Q401" s="12"/>
      <c r="S401" s="74"/>
    </row>
    <row r="402" spans="17:19">
      <c r="Q402" s="12"/>
      <c r="S402" s="74"/>
    </row>
    <row r="403" spans="17:19">
      <c r="Q403" s="12"/>
      <c r="S403" s="74"/>
    </row>
    <row r="404" spans="17:19">
      <c r="Q404" s="12"/>
      <c r="S404" s="74"/>
    </row>
    <row r="405" spans="17:19">
      <c r="Q405" s="12"/>
      <c r="S405" s="74"/>
    </row>
    <row r="406" spans="17:19">
      <c r="Q406" s="12"/>
      <c r="S406" s="74"/>
    </row>
    <row r="407" spans="17:19">
      <c r="Q407" s="12"/>
      <c r="S407" s="74"/>
    </row>
    <row r="408" spans="17:19">
      <c r="Q408" s="12"/>
      <c r="S408" s="74"/>
    </row>
    <row r="409" spans="17:19">
      <c r="Q409" s="12"/>
      <c r="S409" s="74"/>
    </row>
    <row r="410" spans="17:19">
      <c r="Q410" s="12"/>
      <c r="S410" s="74"/>
    </row>
    <row r="411" spans="17:19">
      <c r="Q411" s="12"/>
      <c r="S411" s="74"/>
    </row>
    <row r="412" spans="17:19">
      <c r="Q412" s="12"/>
      <c r="S412" s="74"/>
    </row>
    <row r="413" spans="17:19">
      <c r="Q413" s="12"/>
      <c r="S413" s="74"/>
    </row>
    <row r="414" spans="17:19">
      <c r="Q414" s="12"/>
      <c r="S414" s="74"/>
    </row>
    <row r="415" spans="17:19">
      <c r="Q415" s="12"/>
      <c r="S415" s="74"/>
    </row>
    <row r="416" spans="17:19">
      <c r="Q416" s="12"/>
      <c r="S416" s="74"/>
    </row>
    <row r="417" spans="17:19">
      <c r="Q417" s="12"/>
      <c r="S417" s="74"/>
    </row>
    <row r="418" spans="17:19">
      <c r="Q418" s="12"/>
      <c r="S418" s="74"/>
    </row>
    <row r="419" spans="17:19">
      <c r="Q419" s="12"/>
      <c r="S419" s="74"/>
    </row>
    <row r="420" spans="17:19">
      <c r="Q420" s="12"/>
      <c r="S420" s="74"/>
    </row>
    <row r="421" spans="17:19">
      <c r="Q421" s="12"/>
      <c r="S421" s="74"/>
    </row>
    <row r="422" spans="17:19">
      <c r="Q422" s="12"/>
      <c r="S422" s="74"/>
    </row>
    <row r="423" spans="17:19">
      <c r="Q423" s="12"/>
      <c r="S423" s="74"/>
    </row>
    <row r="424" spans="17:19">
      <c r="Q424" s="12"/>
      <c r="S424" s="74"/>
    </row>
    <row r="425" spans="17:19">
      <c r="Q425" s="12"/>
      <c r="S425" s="74"/>
    </row>
    <row r="426" spans="17:19">
      <c r="Q426" s="12"/>
      <c r="S426" s="74"/>
    </row>
    <row r="427" spans="17:19">
      <c r="Q427" s="12"/>
      <c r="S427" s="74"/>
    </row>
    <row r="428" spans="17:19">
      <c r="Q428" s="12"/>
      <c r="S428" s="74"/>
    </row>
    <row r="429" spans="17:19">
      <c r="Q429" s="12"/>
      <c r="S429" s="74"/>
    </row>
    <row r="430" spans="17:19">
      <c r="Q430" s="12"/>
      <c r="S430" s="74"/>
    </row>
    <row r="431" spans="17:19">
      <c r="Q431" s="12"/>
      <c r="S431" s="74"/>
    </row>
    <row r="432" spans="17:19">
      <c r="Q432" s="12"/>
      <c r="S432" s="74"/>
    </row>
    <row r="433" spans="17:19">
      <c r="Q433" s="12"/>
      <c r="S433" s="74"/>
    </row>
    <row r="434" spans="17:19">
      <c r="Q434" s="12"/>
      <c r="S434" s="74"/>
    </row>
    <row r="435" spans="17:19">
      <c r="Q435" s="12"/>
      <c r="S435" s="74"/>
    </row>
    <row r="436" spans="17:19">
      <c r="Q436" s="12"/>
      <c r="S436" s="74"/>
    </row>
    <row r="437" spans="17:19">
      <c r="Q437" s="12"/>
      <c r="S437" s="74"/>
    </row>
    <row r="438" spans="17:19">
      <c r="Q438" s="12"/>
      <c r="S438" s="74"/>
    </row>
    <row r="439" spans="17:19">
      <c r="Q439" s="12"/>
      <c r="S439" s="74"/>
    </row>
    <row r="440" spans="17:19">
      <c r="Q440" s="12"/>
      <c r="S440" s="74"/>
    </row>
    <row r="441" spans="17:19">
      <c r="Q441" s="12"/>
      <c r="S441" s="74"/>
    </row>
    <row r="442" spans="17:19">
      <c r="Q442" s="12"/>
      <c r="S442" s="74"/>
    </row>
    <row r="443" spans="17:19">
      <c r="Q443" s="12"/>
      <c r="S443" s="74"/>
    </row>
    <row r="444" spans="17:19">
      <c r="Q444" s="12"/>
      <c r="S444" s="74"/>
    </row>
    <row r="445" spans="17:19">
      <c r="Q445" s="12"/>
      <c r="S445" s="74"/>
    </row>
    <row r="446" spans="17:19">
      <c r="Q446" s="12"/>
      <c r="S446" s="74"/>
    </row>
    <row r="447" spans="17:19">
      <c r="Q447" s="12"/>
      <c r="S447" s="74"/>
    </row>
    <row r="448" spans="17:19">
      <c r="Q448" s="12"/>
      <c r="S448" s="74"/>
    </row>
    <row r="449" spans="17:19">
      <c r="Q449" s="12"/>
      <c r="S449" s="74"/>
    </row>
    <row r="450" spans="17:19">
      <c r="Q450" s="12"/>
      <c r="S450" s="74"/>
    </row>
    <row r="451" spans="17:19">
      <c r="Q451" s="12"/>
      <c r="S451" s="74"/>
    </row>
    <row r="452" spans="17:19">
      <c r="Q452" s="12"/>
      <c r="S452" s="74"/>
    </row>
    <row r="453" spans="17:19">
      <c r="Q453" s="12"/>
      <c r="S453" s="74"/>
    </row>
    <row r="454" spans="17:19">
      <c r="Q454" s="12"/>
      <c r="S454" s="74"/>
    </row>
    <row r="455" spans="17:19">
      <c r="Q455" s="12"/>
      <c r="S455" s="74"/>
    </row>
    <row r="456" spans="17:19">
      <c r="Q456" s="12"/>
      <c r="S456" s="74"/>
    </row>
    <row r="457" spans="17:19">
      <c r="Q457" s="12"/>
      <c r="S457" s="74"/>
    </row>
    <row r="458" spans="17:19">
      <c r="Q458" s="12"/>
      <c r="S458" s="74"/>
    </row>
    <row r="459" spans="17:19">
      <c r="Q459" s="12"/>
      <c r="S459" s="74"/>
    </row>
    <row r="460" spans="17:19">
      <c r="Q460" s="12"/>
      <c r="S460" s="74"/>
    </row>
    <row r="461" spans="17:19">
      <c r="Q461" s="12"/>
      <c r="S461" s="74"/>
    </row>
    <row r="462" spans="17:19">
      <c r="Q462" s="12"/>
      <c r="S462" s="74"/>
    </row>
    <row r="463" spans="17:19">
      <c r="Q463" s="12"/>
      <c r="S463" s="74"/>
    </row>
    <row r="464" spans="17:19">
      <c r="Q464" s="12"/>
      <c r="S464" s="74"/>
    </row>
    <row r="465" spans="17:19">
      <c r="Q465" s="12"/>
      <c r="S465" s="74"/>
    </row>
    <row r="466" spans="17:19">
      <c r="Q466" s="12"/>
      <c r="S466" s="74"/>
    </row>
    <row r="467" spans="17:19">
      <c r="Q467" s="12"/>
      <c r="S467" s="74"/>
    </row>
    <row r="468" spans="17:19">
      <c r="Q468" s="12"/>
      <c r="S468" s="74"/>
    </row>
    <row r="469" spans="17:19">
      <c r="Q469" s="12"/>
      <c r="S469" s="74"/>
    </row>
    <row r="470" spans="17:19">
      <c r="Q470" s="12"/>
      <c r="S470" s="74"/>
    </row>
    <row r="471" spans="17:19">
      <c r="Q471" s="12"/>
      <c r="S471" s="74"/>
    </row>
    <row r="472" spans="17:19">
      <c r="Q472" s="12"/>
      <c r="S472" s="74"/>
    </row>
    <row r="473" spans="17:19">
      <c r="Q473" s="12"/>
      <c r="S473" s="74"/>
    </row>
    <row r="474" spans="17:19">
      <c r="Q474" s="12"/>
      <c r="S474" s="74"/>
    </row>
    <row r="475" spans="17:19">
      <c r="Q475" s="12"/>
      <c r="S475" s="74"/>
    </row>
    <row r="476" spans="17:19">
      <c r="Q476" s="12"/>
      <c r="S476" s="74"/>
    </row>
    <row r="477" spans="17:19">
      <c r="Q477" s="12"/>
      <c r="S477" s="74"/>
    </row>
    <row r="478" spans="17:19">
      <c r="Q478" s="12"/>
      <c r="S478" s="74"/>
    </row>
    <row r="479" spans="17:19">
      <c r="Q479" s="12"/>
      <c r="S479" s="74"/>
    </row>
    <row r="480" spans="17:19">
      <c r="Q480" s="12"/>
      <c r="S480" s="74"/>
    </row>
    <row r="481" spans="17:19">
      <c r="Q481" s="12"/>
      <c r="S481" s="74"/>
    </row>
    <row r="482" spans="17:19">
      <c r="Q482" s="12"/>
      <c r="S482" s="74"/>
    </row>
    <row r="483" spans="17:19">
      <c r="Q483" s="12"/>
      <c r="S483" s="74"/>
    </row>
    <row r="484" spans="17:19">
      <c r="Q484" s="12"/>
      <c r="S484" s="74"/>
    </row>
    <row r="485" spans="17:19">
      <c r="Q485" s="12"/>
      <c r="S485" s="74"/>
    </row>
    <row r="486" spans="17:19">
      <c r="Q486" s="12"/>
      <c r="S486" s="74"/>
    </row>
    <row r="487" spans="17:19">
      <c r="Q487" s="12"/>
      <c r="S487" s="74"/>
    </row>
    <row r="488" spans="17:19">
      <c r="Q488" s="12"/>
      <c r="S488" s="74"/>
    </row>
    <row r="489" spans="17:19">
      <c r="Q489" s="12"/>
      <c r="S489" s="74"/>
    </row>
    <row r="490" spans="17:19">
      <c r="Q490" s="12"/>
      <c r="S490" s="74"/>
    </row>
    <row r="491" spans="17:19">
      <c r="Q491" s="12"/>
      <c r="S491" s="74"/>
    </row>
    <row r="492" spans="17:19">
      <c r="Q492" s="12"/>
      <c r="S492" s="74"/>
    </row>
    <row r="493" spans="17:19">
      <c r="Q493" s="12"/>
      <c r="S493" s="74"/>
    </row>
    <row r="494" spans="17:19">
      <c r="Q494" s="12"/>
      <c r="S494" s="74"/>
    </row>
    <row r="495" spans="17:19">
      <c r="Q495" s="12"/>
      <c r="S495" s="74"/>
    </row>
    <row r="496" spans="17:19">
      <c r="Q496" s="12"/>
      <c r="S496" s="74"/>
    </row>
    <row r="497" spans="17:19">
      <c r="Q497" s="12"/>
      <c r="S497" s="74"/>
    </row>
    <row r="498" spans="17:19">
      <c r="Q498" s="12"/>
      <c r="S498" s="74"/>
    </row>
    <row r="499" spans="17:19">
      <c r="Q499" s="12"/>
      <c r="S499" s="74"/>
    </row>
    <row r="500" spans="17:19">
      <c r="Q500" s="12"/>
      <c r="S500" s="74"/>
    </row>
    <row r="501" spans="17:19">
      <c r="Q501" s="12"/>
      <c r="S501" s="74"/>
    </row>
    <row r="502" spans="17:19">
      <c r="Q502" s="12"/>
      <c r="S502" s="74"/>
    </row>
    <row r="503" spans="17:19">
      <c r="Q503" s="12"/>
      <c r="S503" s="74"/>
    </row>
    <row r="504" spans="17:19">
      <c r="Q504" s="12"/>
      <c r="S504" s="74"/>
    </row>
    <row r="505" spans="17:19">
      <c r="Q505" s="12"/>
      <c r="S505" s="74"/>
    </row>
    <row r="506" spans="17:19">
      <c r="Q506" s="12"/>
      <c r="S506" s="74"/>
    </row>
    <row r="507" spans="17:19">
      <c r="Q507" s="12"/>
      <c r="S507" s="74"/>
    </row>
    <row r="508" spans="17:19">
      <c r="Q508" s="12"/>
      <c r="S508" s="74"/>
    </row>
    <row r="509" spans="17:19">
      <c r="Q509" s="12"/>
      <c r="S509" s="74"/>
    </row>
    <row r="510" spans="17:19">
      <c r="Q510" s="12"/>
      <c r="S510" s="74"/>
    </row>
    <row r="511" spans="17:19">
      <c r="Q511" s="12"/>
      <c r="S511" s="74"/>
    </row>
    <row r="512" spans="17:19">
      <c r="Q512" s="12"/>
      <c r="S512" s="74"/>
    </row>
    <row r="513" spans="17:19">
      <c r="Q513" s="12"/>
      <c r="S513" s="74"/>
    </row>
    <row r="514" spans="17:19">
      <c r="Q514" s="12"/>
      <c r="S514" s="74"/>
    </row>
    <row r="515" spans="17:19">
      <c r="Q515" s="12"/>
      <c r="S515" s="74"/>
    </row>
    <row r="516" spans="17:19">
      <c r="Q516" s="12"/>
      <c r="S516" s="74"/>
    </row>
    <row r="517" spans="17:19">
      <c r="Q517" s="12"/>
      <c r="S517" s="74"/>
    </row>
    <row r="518" spans="17:19">
      <c r="Q518" s="12"/>
      <c r="S518" s="74"/>
    </row>
    <row r="519" spans="17:19">
      <c r="Q519" s="12"/>
      <c r="S519" s="74"/>
    </row>
    <row r="520" spans="17:19">
      <c r="Q520" s="12"/>
      <c r="S520" s="74"/>
    </row>
    <row r="521" spans="17:19">
      <c r="Q521" s="12"/>
      <c r="S521" s="74"/>
    </row>
    <row r="522" spans="17:19">
      <c r="Q522" s="12"/>
      <c r="S522" s="74"/>
    </row>
    <row r="523" spans="17:19">
      <c r="Q523" s="12"/>
      <c r="S523" s="74"/>
    </row>
    <row r="524" spans="17:19">
      <c r="Q524" s="12"/>
      <c r="S524" s="74"/>
    </row>
    <row r="525" spans="17:19">
      <c r="Q525" s="12"/>
      <c r="S525" s="74"/>
    </row>
    <row r="526" spans="17:19">
      <c r="Q526" s="12"/>
      <c r="S526" s="74"/>
    </row>
    <row r="527" spans="17:19">
      <c r="Q527" s="12"/>
      <c r="S527" s="74"/>
    </row>
    <row r="528" spans="17:19">
      <c r="Q528" s="12"/>
      <c r="S528" s="74"/>
    </row>
    <row r="529" spans="17:19">
      <c r="Q529" s="12"/>
      <c r="S529" s="74"/>
    </row>
    <row r="530" spans="17:19">
      <c r="Q530" s="12"/>
      <c r="S530" s="74"/>
    </row>
    <row r="531" spans="17:19">
      <c r="Q531" s="12"/>
      <c r="S531" s="74"/>
    </row>
    <row r="532" spans="17:19">
      <c r="Q532" s="12"/>
      <c r="S532" s="74"/>
    </row>
    <row r="533" spans="17:19">
      <c r="Q533" s="12"/>
      <c r="S533" s="74"/>
    </row>
    <row r="534" spans="17:19">
      <c r="Q534" s="12"/>
      <c r="S534" s="74"/>
    </row>
    <row r="535" spans="17:19">
      <c r="Q535" s="12"/>
      <c r="S535" s="74"/>
    </row>
    <row r="536" spans="17:19">
      <c r="Q536" s="12"/>
      <c r="S536" s="74"/>
    </row>
    <row r="537" spans="17:19">
      <c r="Q537" s="12"/>
      <c r="S537" s="74"/>
    </row>
    <row r="538" spans="17:19">
      <c r="Q538" s="12"/>
      <c r="S538" s="74"/>
    </row>
    <row r="539" spans="17:19">
      <c r="Q539" s="12"/>
      <c r="S539" s="74"/>
    </row>
    <row r="540" spans="17:19">
      <c r="Q540" s="12"/>
      <c r="S540" s="74"/>
    </row>
    <row r="541" spans="17:19">
      <c r="Q541" s="12"/>
      <c r="S541" s="74"/>
    </row>
    <row r="542" spans="17:19">
      <c r="Q542" s="12"/>
      <c r="S542" s="74"/>
    </row>
    <row r="543" spans="17:19">
      <c r="Q543" s="12"/>
      <c r="S543" s="74"/>
    </row>
    <row r="544" spans="17:19">
      <c r="Q544" s="12"/>
      <c r="S544" s="74"/>
    </row>
    <row r="545" spans="17:19">
      <c r="Q545" s="12"/>
      <c r="S545" s="74"/>
    </row>
    <row r="546" spans="17:19">
      <c r="Q546" s="12"/>
      <c r="S546" s="74"/>
    </row>
    <row r="547" spans="17:19">
      <c r="Q547" s="12"/>
      <c r="S547" s="74"/>
    </row>
    <row r="548" spans="17:19">
      <c r="Q548" s="12"/>
      <c r="S548" s="74"/>
    </row>
    <row r="549" spans="17:19">
      <c r="Q549" s="12"/>
      <c r="S549" s="74"/>
    </row>
    <row r="550" spans="17:19">
      <c r="Q550" s="12"/>
      <c r="S550" s="74"/>
    </row>
    <row r="551" spans="17:19">
      <c r="Q551" s="12"/>
      <c r="S551" s="74"/>
    </row>
    <row r="552" spans="17:19">
      <c r="Q552" s="12"/>
      <c r="S552" s="74"/>
    </row>
    <row r="553" spans="17:19">
      <c r="Q553" s="12"/>
      <c r="S553" s="74"/>
    </row>
    <row r="554" spans="17:19">
      <c r="Q554" s="12"/>
      <c r="S554" s="74"/>
    </row>
    <row r="555" spans="17:19">
      <c r="Q555" s="12"/>
      <c r="S555" s="74"/>
    </row>
    <row r="556" spans="17:19">
      <c r="Q556" s="12"/>
      <c r="S556" s="74"/>
    </row>
    <row r="557" spans="17:19">
      <c r="Q557" s="12"/>
      <c r="S557" s="74"/>
    </row>
    <row r="558" spans="17:19">
      <c r="Q558" s="12"/>
      <c r="S558" s="74"/>
    </row>
    <row r="559" spans="17:19">
      <c r="Q559" s="12"/>
      <c r="S559" s="74"/>
    </row>
    <row r="560" spans="17:19">
      <c r="Q560" s="12"/>
      <c r="S560" s="74"/>
    </row>
    <row r="561" spans="17:19">
      <c r="Q561" s="12"/>
      <c r="S561" s="74"/>
    </row>
    <row r="562" spans="17:19">
      <c r="Q562" s="12"/>
      <c r="S562" s="74"/>
    </row>
    <row r="563" spans="17:19">
      <c r="Q563" s="12"/>
      <c r="S563" s="74"/>
    </row>
    <row r="564" spans="17:19">
      <c r="Q564" s="12"/>
      <c r="S564" s="74"/>
    </row>
    <row r="565" spans="17:19">
      <c r="Q565" s="12"/>
      <c r="S565" s="74"/>
    </row>
    <row r="566" spans="17:19">
      <c r="Q566" s="12"/>
      <c r="S566" s="74"/>
    </row>
    <row r="567" spans="17:19">
      <c r="Q567" s="12"/>
      <c r="S567" s="74"/>
    </row>
    <row r="568" spans="17:19">
      <c r="Q568" s="12"/>
      <c r="S568" s="74"/>
    </row>
    <row r="569" spans="17:19">
      <c r="Q569" s="12"/>
      <c r="S569" s="74"/>
    </row>
    <row r="570" spans="17:19">
      <c r="Q570" s="12"/>
      <c r="S570" s="74"/>
    </row>
    <row r="571" spans="17:19">
      <c r="Q571" s="12"/>
      <c r="S571" s="74"/>
    </row>
    <row r="572" spans="17:19">
      <c r="Q572" s="12"/>
      <c r="S572" s="74"/>
    </row>
    <row r="573" spans="17:19">
      <c r="Q573" s="12"/>
      <c r="S573" s="74"/>
    </row>
    <row r="574" spans="17:19">
      <c r="Q574" s="12"/>
      <c r="S574" s="74"/>
    </row>
    <row r="575" spans="17:19">
      <c r="Q575" s="12"/>
      <c r="S575" s="74"/>
    </row>
    <row r="576" spans="17:19">
      <c r="Q576" s="12"/>
      <c r="S576" s="74"/>
    </row>
    <row r="577" spans="17:19">
      <c r="Q577" s="12"/>
      <c r="S577" s="74"/>
    </row>
    <row r="578" spans="17:19">
      <c r="Q578" s="12"/>
      <c r="S578" s="74"/>
    </row>
    <row r="579" spans="17:19">
      <c r="Q579" s="12"/>
      <c r="S579" s="74"/>
    </row>
    <row r="580" spans="17:19">
      <c r="Q580" s="12"/>
      <c r="S580" s="74"/>
    </row>
    <row r="581" spans="17:19">
      <c r="Q581" s="12"/>
      <c r="S581" s="74"/>
    </row>
    <row r="582" spans="17:19">
      <c r="Q582" s="12"/>
      <c r="S582" s="74"/>
    </row>
    <row r="583" spans="17:19">
      <c r="Q583" s="12"/>
      <c r="S583" s="74"/>
    </row>
    <row r="584" spans="17:19">
      <c r="Q584" s="12"/>
      <c r="S584" s="74"/>
    </row>
    <row r="585" spans="17:19">
      <c r="Q585" s="12"/>
      <c r="S585" s="74"/>
    </row>
    <row r="586" spans="17:19">
      <c r="Q586" s="12"/>
      <c r="S586" s="74"/>
    </row>
    <row r="587" spans="17:19">
      <c r="Q587" s="12"/>
      <c r="S587" s="74"/>
    </row>
    <row r="588" spans="17:19">
      <c r="Q588" s="12"/>
      <c r="S588" s="74"/>
    </row>
    <row r="589" spans="17:19">
      <c r="Q589" s="12"/>
      <c r="S589" s="74"/>
    </row>
    <row r="590" spans="17:19">
      <c r="Q590" s="12"/>
      <c r="S590" s="74"/>
    </row>
    <row r="591" spans="17:19">
      <c r="Q591" s="12"/>
      <c r="S591" s="74"/>
    </row>
    <row r="592" spans="17:19">
      <c r="Q592" s="12"/>
      <c r="S592" s="74"/>
    </row>
    <row r="593" spans="17:19">
      <c r="Q593" s="12"/>
      <c r="S593" s="74"/>
    </row>
    <row r="594" spans="17:19">
      <c r="Q594" s="12"/>
      <c r="S594" s="74"/>
    </row>
    <row r="595" spans="17:19">
      <c r="Q595" s="12"/>
      <c r="S595" s="74"/>
    </row>
    <row r="596" spans="17:19">
      <c r="Q596" s="12"/>
      <c r="S596" s="74"/>
    </row>
    <row r="597" spans="17:19">
      <c r="Q597" s="12"/>
      <c r="S597" s="74"/>
    </row>
    <row r="598" spans="17:19">
      <c r="Q598" s="12"/>
      <c r="S598" s="74"/>
    </row>
    <row r="599" spans="17:19">
      <c r="Q599" s="12"/>
      <c r="S599" s="74"/>
    </row>
    <row r="600" spans="17:19">
      <c r="Q600" s="12"/>
      <c r="S600" s="74"/>
    </row>
    <row r="601" spans="17:19">
      <c r="Q601" s="12"/>
      <c r="S601" s="74"/>
    </row>
    <row r="602" spans="17:19">
      <c r="Q602" s="12"/>
      <c r="S602" s="74"/>
    </row>
    <row r="603" spans="17:19">
      <c r="Q603" s="12"/>
      <c r="S603" s="74"/>
    </row>
    <row r="604" spans="17:19">
      <c r="Q604" s="12"/>
      <c r="S604" s="74"/>
    </row>
    <row r="605" spans="17:19">
      <c r="Q605" s="12"/>
      <c r="S605" s="74"/>
    </row>
    <row r="606" spans="17:19">
      <c r="Q606" s="12"/>
      <c r="S606" s="74"/>
    </row>
    <row r="607" spans="17:19">
      <c r="Q607" s="12"/>
      <c r="S607" s="74"/>
    </row>
    <row r="608" spans="17:19">
      <c r="Q608" s="12"/>
      <c r="S608" s="74"/>
    </row>
    <row r="609" spans="17:19">
      <c r="Q609" s="12"/>
      <c r="S609" s="74"/>
    </row>
    <row r="610" spans="17:19">
      <c r="Q610" s="12"/>
      <c r="S610" s="74"/>
    </row>
    <row r="611" spans="17:19">
      <c r="Q611" s="12"/>
      <c r="S611" s="74"/>
    </row>
    <row r="612" spans="17:19">
      <c r="Q612" s="12"/>
      <c r="S612" s="74"/>
    </row>
    <row r="613" spans="17:19">
      <c r="Q613" s="12"/>
      <c r="S613" s="74"/>
    </row>
    <row r="614" spans="17:19">
      <c r="Q614" s="12"/>
      <c r="S614" s="74"/>
    </row>
    <row r="615" spans="17:19">
      <c r="Q615" s="12"/>
      <c r="S615" s="74"/>
    </row>
    <row r="616" spans="17:19">
      <c r="Q616" s="12"/>
      <c r="S616" s="74"/>
    </row>
    <row r="617" spans="17:19">
      <c r="Q617" s="12"/>
      <c r="S617" s="74"/>
    </row>
    <row r="618" spans="17:19">
      <c r="Q618" s="12"/>
      <c r="S618" s="74"/>
    </row>
    <row r="619" spans="17:19">
      <c r="Q619" s="12"/>
      <c r="S619" s="74"/>
    </row>
    <row r="620" spans="17:19">
      <c r="Q620" s="12"/>
      <c r="S620" s="74"/>
    </row>
    <row r="621" spans="17:19">
      <c r="Q621" s="12"/>
      <c r="S621" s="74"/>
    </row>
    <row r="622" spans="17:19">
      <c r="Q622" s="12"/>
      <c r="S622" s="74"/>
    </row>
    <row r="623" spans="17:19">
      <c r="Q623" s="12"/>
      <c r="S623" s="74"/>
    </row>
    <row r="624" spans="17:19">
      <c r="Q624" s="12"/>
      <c r="S624" s="74"/>
    </row>
    <row r="625" spans="17:19">
      <c r="Q625" s="12"/>
      <c r="S625" s="74"/>
    </row>
    <row r="626" spans="17:19">
      <c r="Q626" s="12"/>
      <c r="S626" s="74"/>
    </row>
    <row r="627" spans="17:19">
      <c r="Q627" s="12"/>
      <c r="S627" s="74"/>
    </row>
    <row r="628" spans="17:19">
      <c r="Q628" s="12"/>
      <c r="S628" s="74"/>
    </row>
    <row r="629" spans="17:19">
      <c r="Q629" s="12"/>
      <c r="S629" s="74"/>
    </row>
    <row r="630" spans="17:19">
      <c r="Q630" s="12"/>
      <c r="S630" s="74"/>
    </row>
    <row r="631" spans="17:19">
      <c r="Q631" s="12"/>
      <c r="S631" s="74"/>
    </row>
    <row r="632" spans="17:19">
      <c r="Q632" s="12"/>
      <c r="S632" s="74"/>
    </row>
    <row r="633" spans="17:19">
      <c r="Q633" s="12"/>
      <c r="S633" s="74"/>
    </row>
    <row r="634" spans="17:19">
      <c r="Q634" s="12"/>
      <c r="S634" s="74"/>
    </row>
    <row r="635" spans="17:19">
      <c r="Q635" s="12"/>
      <c r="S635" s="74"/>
    </row>
    <row r="636" spans="17:19">
      <c r="Q636" s="12"/>
      <c r="S636" s="74"/>
    </row>
    <row r="637" spans="17:19">
      <c r="Q637" s="12"/>
      <c r="S637" s="74"/>
    </row>
    <row r="638" spans="17:19">
      <c r="Q638" s="12"/>
      <c r="S638" s="74"/>
    </row>
    <row r="639" spans="17:19">
      <c r="Q639" s="12"/>
      <c r="S639" s="74"/>
    </row>
    <row r="640" spans="17:19">
      <c r="Q640" s="12"/>
      <c r="S640" s="74"/>
    </row>
    <row r="641" spans="17:19">
      <c r="Q641" s="12"/>
      <c r="S641" s="74"/>
    </row>
    <row r="642" spans="17:19">
      <c r="Q642" s="12"/>
      <c r="S642" s="74"/>
    </row>
    <row r="643" spans="17:19">
      <c r="Q643" s="12"/>
      <c r="S643" s="74"/>
    </row>
    <row r="644" spans="17:19">
      <c r="Q644" s="12"/>
      <c r="S644" s="74"/>
    </row>
    <row r="645" spans="17:19">
      <c r="Q645" s="12"/>
      <c r="S645" s="74"/>
    </row>
    <row r="646" spans="17:19">
      <c r="Q646" s="12"/>
      <c r="S646" s="74"/>
    </row>
    <row r="647" spans="17:19">
      <c r="Q647" s="12"/>
      <c r="S647" s="74"/>
    </row>
    <row r="648" spans="17:19">
      <c r="Q648" s="12"/>
      <c r="S648" s="74"/>
    </row>
    <row r="649" spans="17:19">
      <c r="Q649" s="12"/>
      <c r="S649" s="74"/>
    </row>
    <row r="650" spans="17:19">
      <c r="Q650" s="12"/>
      <c r="S650" s="74"/>
    </row>
    <row r="651" spans="17:19">
      <c r="Q651" s="12"/>
      <c r="S651" s="74"/>
    </row>
    <row r="652" spans="17:19">
      <c r="Q652" s="12"/>
      <c r="S652" s="74"/>
    </row>
    <row r="653" spans="17:19">
      <c r="Q653" s="12"/>
      <c r="S653" s="74"/>
    </row>
    <row r="654" spans="17:19">
      <c r="Q654" s="12"/>
      <c r="S654" s="74"/>
    </row>
    <row r="655" spans="17:19">
      <c r="Q655" s="12"/>
      <c r="S655" s="74"/>
    </row>
    <row r="656" spans="17:19">
      <c r="Q656" s="12"/>
      <c r="S656" s="74"/>
    </row>
    <row r="657" spans="17:19">
      <c r="Q657" s="12"/>
      <c r="S657" s="74"/>
    </row>
    <row r="658" spans="17:19">
      <c r="Q658" s="12"/>
      <c r="S658" s="74"/>
    </row>
    <row r="659" spans="17:19">
      <c r="Q659" s="12"/>
      <c r="S659" s="74"/>
    </row>
    <row r="660" spans="17:19">
      <c r="Q660" s="12"/>
      <c r="S660" s="74"/>
    </row>
    <row r="661" spans="17:19">
      <c r="Q661" s="12"/>
      <c r="S661" s="74"/>
    </row>
    <row r="662" spans="17:19">
      <c r="Q662" s="12"/>
      <c r="S662" s="74"/>
    </row>
    <row r="663" spans="17:19">
      <c r="Q663" s="12"/>
      <c r="S663" s="74"/>
    </row>
    <row r="664" spans="17:19">
      <c r="Q664" s="12"/>
      <c r="S664" s="74"/>
    </row>
    <row r="665" spans="17:19">
      <c r="Q665" s="12"/>
      <c r="S665" s="74"/>
    </row>
    <row r="666" spans="17:19">
      <c r="Q666" s="12"/>
      <c r="S666" s="74"/>
    </row>
    <row r="667" spans="17:19">
      <c r="Q667" s="12"/>
      <c r="S667" s="74"/>
    </row>
    <row r="668" spans="17:19">
      <c r="Q668" s="12"/>
      <c r="S668" s="74"/>
    </row>
    <row r="669" spans="17:19">
      <c r="Q669" s="12"/>
      <c r="S669" s="74"/>
    </row>
    <row r="670" spans="17:19">
      <c r="Q670" s="12"/>
      <c r="S670" s="74"/>
    </row>
    <row r="671" spans="17:19">
      <c r="Q671" s="12"/>
      <c r="S671" s="74"/>
    </row>
    <row r="672" spans="17:19">
      <c r="Q672" s="12"/>
      <c r="S672" s="74"/>
    </row>
    <row r="673" spans="17:19">
      <c r="Q673" s="12"/>
      <c r="S673" s="74"/>
    </row>
    <row r="674" spans="17:19">
      <c r="Q674" s="12"/>
      <c r="S674" s="74"/>
    </row>
    <row r="675" spans="17:19">
      <c r="Q675" s="12"/>
      <c r="S675" s="74"/>
    </row>
    <row r="676" spans="17:19">
      <c r="Q676" s="12"/>
      <c r="S676" s="74"/>
    </row>
    <row r="677" spans="17:19">
      <c r="Q677" s="12"/>
      <c r="S677" s="74"/>
    </row>
    <row r="678" spans="17:19">
      <c r="Q678" s="12"/>
      <c r="S678" s="74"/>
    </row>
    <row r="679" spans="17:19">
      <c r="Q679" s="12"/>
      <c r="S679" s="74"/>
    </row>
    <row r="680" spans="17:19">
      <c r="Q680" s="12"/>
      <c r="S680" s="74"/>
    </row>
    <row r="681" spans="17:19">
      <c r="Q681" s="12"/>
      <c r="S681" s="74"/>
    </row>
    <row r="682" spans="17:19">
      <c r="Q682" s="12"/>
      <c r="S682" s="74"/>
    </row>
    <row r="683" spans="17:19">
      <c r="Q683" s="12"/>
      <c r="S683" s="74"/>
    </row>
    <row r="684" spans="17:19">
      <c r="Q684" s="12"/>
      <c r="S684" s="74"/>
    </row>
    <row r="685" spans="17:19">
      <c r="Q685" s="12"/>
      <c r="S685" s="74"/>
    </row>
    <row r="686" spans="17:19">
      <c r="Q686" s="12"/>
      <c r="S686" s="74"/>
    </row>
    <row r="687" spans="17:19">
      <c r="Q687" s="12"/>
      <c r="S687" s="74"/>
    </row>
    <row r="688" spans="17:19">
      <c r="Q688" s="12"/>
      <c r="S688" s="74"/>
    </row>
    <row r="689" spans="17:19">
      <c r="Q689" s="12"/>
      <c r="S689" s="74"/>
    </row>
    <row r="690" spans="17:19">
      <c r="Q690" s="12"/>
      <c r="S690" s="74"/>
    </row>
    <row r="691" spans="17:19">
      <c r="Q691" s="12"/>
      <c r="S691" s="74"/>
    </row>
    <row r="692" spans="17:19">
      <c r="Q692" s="12"/>
      <c r="S692" s="74"/>
    </row>
    <row r="693" spans="17:19">
      <c r="Q693" s="12"/>
      <c r="S693" s="74"/>
    </row>
    <row r="694" spans="17:19">
      <c r="Q694" s="12"/>
      <c r="S694" s="74"/>
    </row>
    <row r="695" spans="17:19">
      <c r="Q695" s="12"/>
      <c r="S695" s="74"/>
    </row>
    <row r="696" spans="17:19">
      <c r="Q696" s="12"/>
      <c r="S696" s="74"/>
    </row>
    <row r="697" spans="17:19">
      <c r="Q697" s="12"/>
      <c r="S697" s="74"/>
    </row>
    <row r="698" spans="17:19">
      <c r="Q698" s="12"/>
      <c r="S698" s="74"/>
    </row>
    <row r="699" spans="17:19">
      <c r="Q699" s="12"/>
      <c r="S699" s="74"/>
    </row>
    <row r="700" spans="17:19">
      <c r="Q700" s="12"/>
      <c r="S700" s="74"/>
    </row>
    <row r="701" spans="17:19">
      <c r="Q701" s="12"/>
      <c r="S701" s="74"/>
    </row>
  </sheetData>
  <sortState ref="C12:D14">
    <sortCondition descending="1" ref="D12:D14"/>
  </sortState>
  <mergeCells count="3">
    <mergeCell ref="C3:M3"/>
    <mergeCell ref="F7:M7"/>
    <mergeCell ref="C23:M23"/>
  </mergeCells>
  <pageMargins left="0.25" right="0.70866141732283472" top="0.74803149606299213" bottom="0.74803149606299213" header="0.31496062992125984" footer="0.31496062992125984"/>
  <pageSetup paperSize="9" scale="7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E61"/>
  <sheetViews>
    <sheetView showGridLines="0" view="pageBreakPreview" zoomScale="60" zoomScaleNormal="75" workbookViewId="0">
      <selection activeCell="B1" sqref="B1"/>
    </sheetView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28.28515625" customWidth="1"/>
    <col min="5" max="5" width="11.5703125" bestFit="1" customWidth="1"/>
    <col min="19" max="19" width="9.85546875" style="10" customWidth="1"/>
    <col min="20" max="25" width="9.140625" style="10"/>
    <col min="26" max="29" width="9.140625" style="151"/>
    <col min="30" max="31" width="9.140625" style="92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38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15.75" customHeight="1">
      <c r="B4" s="6"/>
      <c r="C4" s="2" t="s">
        <v>201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8"/>
      <c r="T4" s="67"/>
    </row>
    <row r="5" spans="1:24" ht="18" customHeight="1">
      <c r="B5" s="6"/>
      <c r="C5" s="3" t="s">
        <v>202</v>
      </c>
      <c r="D5" s="155" t="s">
        <v>223</v>
      </c>
      <c r="E5" s="15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5" customHeight="1"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8"/>
      <c r="T6" s="67"/>
    </row>
    <row r="7" spans="1:24" ht="32.25" customHeight="1">
      <c r="B7" s="6"/>
      <c r="C7" s="169" t="s">
        <v>0</v>
      </c>
      <c r="D7" s="170" t="s">
        <v>1</v>
      </c>
      <c r="E7" s="171" t="s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8"/>
      <c r="T7" s="67"/>
      <c r="W7" s="69" t="s">
        <v>31</v>
      </c>
      <c r="X7" s="69" t="s">
        <v>2</v>
      </c>
    </row>
    <row r="8" spans="1:24" ht="15" customHeight="1">
      <c r="B8" s="6"/>
      <c r="C8" s="82" t="s">
        <v>45</v>
      </c>
      <c r="D8" s="84" t="s">
        <v>4</v>
      </c>
      <c r="E8" s="86">
        <v>0.10240200000000001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70" t="s">
        <v>4</v>
      </c>
      <c r="X8" s="71">
        <v>0.26790700000000001</v>
      </c>
    </row>
    <row r="9" spans="1:24" ht="15.75" customHeight="1">
      <c r="B9" s="6"/>
      <c r="C9" s="83" t="s">
        <v>48</v>
      </c>
      <c r="D9" s="85" t="s">
        <v>7</v>
      </c>
      <c r="E9" s="87">
        <v>8.6319000000000007E-2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12</v>
      </c>
      <c r="X9" s="71">
        <v>0.13176299999999999</v>
      </c>
    </row>
    <row r="10" spans="1:24" ht="15.75">
      <c r="B10" s="6"/>
      <c r="C10" s="83" t="s">
        <v>46</v>
      </c>
      <c r="D10" s="85" t="s">
        <v>5</v>
      </c>
      <c r="E10" s="87">
        <v>7.2137000000000007E-2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7</v>
      </c>
      <c r="X10" s="71">
        <v>0.10350800000000002</v>
      </c>
    </row>
    <row r="11" spans="1:24" ht="15.75" customHeight="1">
      <c r="B11" s="6"/>
      <c r="C11" s="83" t="s">
        <v>44</v>
      </c>
      <c r="D11" s="85" t="s">
        <v>12</v>
      </c>
      <c r="E11" s="87">
        <v>5.5877000000000003E-2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5</v>
      </c>
      <c r="X11" s="71">
        <v>0.10143199999999999</v>
      </c>
    </row>
    <row r="12" spans="1:24" ht="15" customHeight="1">
      <c r="B12" s="6"/>
      <c r="C12" s="83" t="s">
        <v>47</v>
      </c>
      <c r="D12" s="85" t="s">
        <v>8</v>
      </c>
      <c r="E12" s="87">
        <v>5.398E-2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8</v>
      </c>
      <c r="X12" s="71">
        <v>9.7068000000000002E-2</v>
      </c>
    </row>
    <row r="13" spans="1:24" ht="15" customHeight="1">
      <c r="B13" s="6"/>
      <c r="C13" s="83" t="s">
        <v>49</v>
      </c>
      <c r="D13" s="85" t="s">
        <v>4</v>
      </c>
      <c r="E13" s="87">
        <v>5.2148E-2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18</v>
      </c>
      <c r="X13" s="71">
        <v>7.0809000000000011E-2</v>
      </c>
    </row>
    <row r="14" spans="1:24" ht="15" customHeight="1">
      <c r="B14" s="6"/>
      <c r="C14" s="83" t="s">
        <v>50</v>
      </c>
      <c r="D14" s="85" t="s">
        <v>12</v>
      </c>
      <c r="E14" s="87">
        <v>4.5196E-2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10</v>
      </c>
      <c r="X14" s="71">
        <v>3.9759999999999997E-2</v>
      </c>
    </row>
    <row r="15" spans="1:24" ht="15" customHeight="1">
      <c r="B15" s="6"/>
      <c r="C15" s="83" t="s">
        <v>51</v>
      </c>
      <c r="D15" s="85" t="s">
        <v>10</v>
      </c>
      <c r="E15" s="87">
        <v>3.9759999999999997E-2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9</v>
      </c>
      <c r="X15" s="71">
        <v>2.3755000000000002E-2</v>
      </c>
    </row>
    <row r="16" spans="1:24" ht="15" customHeight="1">
      <c r="B16" s="6"/>
      <c r="C16" s="83" t="s">
        <v>52</v>
      </c>
      <c r="D16" s="85" t="s">
        <v>4</v>
      </c>
      <c r="E16" s="87">
        <v>3.7678999999999997E-2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13</v>
      </c>
      <c r="X16" s="71">
        <v>2.0692000000000002E-2</v>
      </c>
    </row>
    <row r="17" spans="2:24" ht="15" customHeight="1">
      <c r="B17" s="6"/>
      <c r="C17" s="83" t="s">
        <v>54</v>
      </c>
      <c r="D17" s="85" t="s">
        <v>8</v>
      </c>
      <c r="E17" s="87">
        <v>2.9177999999999999E-2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11</v>
      </c>
      <c r="X17" s="71">
        <v>1.6759E-2</v>
      </c>
    </row>
    <row r="18" spans="2:24" ht="15" customHeight="1">
      <c r="B18" s="6"/>
      <c r="C18" s="83" t="s">
        <v>20</v>
      </c>
      <c r="D18" s="85" t="s">
        <v>4</v>
      </c>
      <c r="E18" s="87">
        <v>2.5010999999999999E-2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14</v>
      </c>
      <c r="X18" s="71">
        <v>1.6050000000000002E-2</v>
      </c>
    </row>
    <row r="19" spans="2:24" ht="15" customHeight="1">
      <c r="B19" s="6"/>
      <c r="C19" s="83" t="s">
        <v>53</v>
      </c>
      <c r="D19" s="85" t="s">
        <v>4</v>
      </c>
      <c r="E19" s="87">
        <v>2.4759E-2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21</v>
      </c>
      <c r="X19" s="71">
        <v>1.5859999999999999E-2</v>
      </c>
    </row>
    <row r="20" spans="2:24" ht="15" customHeight="1">
      <c r="B20" s="6"/>
      <c r="C20" s="83" t="s">
        <v>55</v>
      </c>
      <c r="D20" s="85" t="s">
        <v>18</v>
      </c>
      <c r="E20" s="87">
        <v>2.2294000000000001E-2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  <c r="W20" s="70" t="s">
        <v>16</v>
      </c>
      <c r="X20" s="71">
        <v>9.4619999999999999E-3</v>
      </c>
    </row>
    <row r="21" spans="2:24" ht="15" customHeight="1">
      <c r="B21" s="6"/>
      <c r="C21" s="83" t="s">
        <v>58</v>
      </c>
      <c r="D21" s="85" t="s">
        <v>4</v>
      </c>
      <c r="E21" s="87">
        <v>1.8332999999999999E-2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  <c r="W21" s="70" t="s">
        <v>15</v>
      </c>
      <c r="X21" s="71">
        <v>9.2849999999999999E-3</v>
      </c>
    </row>
    <row r="22" spans="2:24" ht="15" customHeight="1">
      <c r="B22" s="6"/>
      <c r="C22" s="83" t="s">
        <v>132</v>
      </c>
      <c r="D22" s="85" t="s">
        <v>18</v>
      </c>
      <c r="E22" s="87">
        <v>1.6840999999999998E-2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  <c r="W22" s="70" t="s">
        <v>23</v>
      </c>
      <c r="X22" s="71">
        <v>8.737E-3</v>
      </c>
    </row>
    <row r="23" spans="2:24" ht="15" customHeight="1">
      <c r="B23" s="6"/>
      <c r="C23" s="174"/>
      <c r="D23" s="174"/>
      <c r="E23" s="18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 t="s">
        <v>22</v>
      </c>
      <c r="X23" s="71">
        <v>7.3299999999999997E-3</v>
      </c>
    </row>
    <row r="24" spans="2:24" ht="15" customHeight="1">
      <c r="B24" s="6"/>
      <c r="C24" s="180" t="s">
        <v>99</v>
      </c>
      <c r="D24" s="181"/>
      <c r="E24" s="186">
        <f>SUM(E8:E22)</f>
        <v>0.68191400000000013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 t="s">
        <v>34</v>
      </c>
      <c r="X24" s="71">
        <v>7.2769999999999996E-3</v>
      </c>
    </row>
    <row r="25" spans="2:24" ht="15" customHeight="1"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 t="s">
        <v>36</v>
      </c>
      <c r="X25" s="71">
        <v>6.8560000000000001E-3</v>
      </c>
    </row>
    <row r="26" spans="2:24" ht="15" customHeight="1">
      <c r="B26" s="6"/>
      <c r="C26" s="106"/>
      <c r="D26" s="106"/>
      <c r="E26" s="10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 t="s">
        <v>122</v>
      </c>
      <c r="X26" s="71">
        <v>6.2610000000000001E-3</v>
      </c>
    </row>
    <row r="27" spans="2:24" ht="15" customHeight="1">
      <c r="B27" s="6"/>
      <c r="C27" s="96"/>
      <c r="D27" s="96"/>
      <c r="E27" s="10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70" t="s">
        <v>25</v>
      </c>
      <c r="X27" s="71">
        <v>5.9389999999999998E-3</v>
      </c>
    </row>
    <row r="28" spans="2:24" ht="15" customHeight="1">
      <c r="B28" s="6"/>
      <c r="C28" s="106"/>
      <c r="D28" s="109"/>
      <c r="E28" s="1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70" t="s">
        <v>43</v>
      </c>
      <c r="X28" s="71">
        <v>4.9090000000000002E-3</v>
      </c>
    </row>
    <row r="29" spans="2:24" ht="15" customHeight="1">
      <c r="B29" s="6"/>
      <c r="C29" s="96"/>
      <c r="D29" s="96"/>
      <c r="E29" s="9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  <c r="W29" s="70"/>
      <c r="X29" s="71"/>
    </row>
    <row r="30" spans="2:24" ht="15" customHeight="1">
      <c r="B30" s="6"/>
      <c r="C30" s="106"/>
      <c r="D30" s="109"/>
      <c r="E30" s="10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67"/>
      <c r="W30" s="70"/>
      <c r="X30" s="71"/>
    </row>
    <row r="31" spans="2:24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67"/>
    </row>
    <row r="32" spans="2:24" ht="15" customHeight="1">
      <c r="B32" s="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67"/>
    </row>
    <row r="33" spans="2:20" ht="15" customHeight="1">
      <c r="B33" s="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7"/>
    </row>
    <row r="34" spans="2:20" ht="15" customHeight="1" thickBot="1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72"/>
      <c r="T34" s="73"/>
    </row>
    <row r="35" spans="2:20" ht="15" customHeight="1"/>
    <row r="36" spans="2:20" ht="15" customHeight="1"/>
    <row r="37" spans="2:20" ht="15" customHeight="1"/>
    <row r="38" spans="2:20" ht="15" customHeight="1"/>
    <row r="39" spans="2:20" ht="15" customHeight="1"/>
    <row r="40" spans="2:20" ht="15" customHeight="1"/>
    <row r="41" spans="2:20" ht="15" customHeight="1"/>
    <row r="42" spans="2:20" ht="15" customHeight="1"/>
    <row r="43" spans="2:20" ht="15" customHeight="1"/>
    <row r="44" spans="2:20" ht="15" customHeight="1"/>
    <row r="45" spans="2:20" ht="15" customHeight="1"/>
    <row r="46" spans="2:20" ht="15" customHeight="1"/>
    <row r="47" spans="2:20" ht="15" customHeight="1"/>
    <row r="48" spans="2:20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</sheetData>
  <sortState ref="W8:X29">
    <sortCondition descending="1" ref="X8:X29"/>
  </sortState>
  <mergeCells count="2">
    <mergeCell ref="C3:S3"/>
    <mergeCell ref="D5:E5"/>
  </mergeCells>
  <pageMargins left="0.2" right="0.70866141732283472" top="0.74803149606299213" bottom="0.74803149606299213" header="0.31496062992125984" footer="0.31496062992125984"/>
  <pageSetup paperSize="9" scale="55" orientation="landscape" verticalDpi="0" r:id="rId1"/>
  <colBreaks count="1" manualBreakCount="1">
    <brk id="20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AG65"/>
  <sheetViews>
    <sheetView showGridLines="0" view="pageBreakPreview" topLeftCell="A6" zoomScale="60" zoomScaleNormal="75" workbookViewId="0">
      <selection activeCell="C57" sqref="C57"/>
    </sheetView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28.28515625" customWidth="1"/>
    <col min="5" max="5" width="11.140625" bestFit="1" customWidth="1"/>
    <col min="19" max="19" width="9.85546875" style="10" customWidth="1"/>
    <col min="20" max="20" width="9.140625" style="10"/>
    <col min="21" max="21" width="9.140625" style="10" customWidth="1"/>
    <col min="22" max="22" width="9.140625" style="10" hidden="1" customWidth="1"/>
    <col min="23" max="23" width="9.140625" style="10"/>
    <col min="24" max="24" width="9.28515625" style="10" bestFit="1" customWidth="1"/>
    <col min="25" max="25" width="9.140625" style="10"/>
    <col min="26" max="33" width="9.140625" style="92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75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15.75" customHeight="1">
      <c r="B4" s="6"/>
      <c r="C4" s="2" t="s">
        <v>201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8"/>
      <c r="T4" s="67"/>
    </row>
    <row r="5" spans="1:24" ht="18" customHeight="1">
      <c r="B5" s="6"/>
      <c r="C5" s="3" t="s">
        <v>202</v>
      </c>
      <c r="D5" s="158" t="s">
        <v>224</v>
      </c>
      <c r="E5" s="15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5" customHeight="1"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8"/>
      <c r="T6" s="67"/>
    </row>
    <row r="7" spans="1:24" ht="32.25" customHeight="1">
      <c r="B7" s="6"/>
      <c r="C7" s="169" t="s">
        <v>0</v>
      </c>
      <c r="D7" s="170" t="s">
        <v>1</v>
      </c>
      <c r="E7" s="171" t="s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8"/>
      <c r="T7" s="67"/>
      <c r="W7" s="69" t="s">
        <v>31</v>
      </c>
      <c r="X7" s="69" t="s">
        <v>2</v>
      </c>
    </row>
    <row r="8" spans="1:24" ht="15" customHeight="1">
      <c r="B8" s="6"/>
      <c r="C8" s="82" t="s">
        <v>45</v>
      </c>
      <c r="D8" s="84" t="s">
        <v>4</v>
      </c>
      <c r="E8" s="86">
        <v>0.12368700000000001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70" t="s">
        <v>4</v>
      </c>
      <c r="X8" s="71">
        <v>0.31723299999999999</v>
      </c>
    </row>
    <row r="9" spans="1:24" ht="15.75" customHeight="1">
      <c r="B9" s="6"/>
      <c r="C9" s="83" t="s">
        <v>48</v>
      </c>
      <c r="D9" s="85" t="s">
        <v>7</v>
      </c>
      <c r="E9" s="87">
        <v>9.8247000000000001E-2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12</v>
      </c>
      <c r="X9" s="71">
        <v>0.13647899999999999</v>
      </c>
    </row>
    <row r="10" spans="1:24" ht="15.75">
      <c r="B10" s="6"/>
      <c r="C10" s="83" t="s">
        <v>46</v>
      </c>
      <c r="D10" s="85" t="s">
        <v>5</v>
      </c>
      <c r="E10" s="87">
        <v>9.1754000000000002E-2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8</v>
      </c>
      <c r="X10" s="71">
        <v>0.117049</v>
      </c>
    </row>
    <row r="11" spans="1:24" ht="15.75" customHeight="1">
      <c r="B11" s="6"/>
      <c r="C11" s="83" t="s">
        <v>44</v>
      </c>
      <c r="D11" s="85" t="s">
        <v>12</v>
      </c>
      <c r="E11" s="87">
        <v>6.8071999999999994E-2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5</v>
      </c>
      <c r="X11" s="71">
        <v>0.10869100000000001</v>
      </c>
    </row>
    <row r="12" spans="1:24" ht="15" customHeight="1">
      <c r="B12" s="6"/>
      <c r="C12" s="83" t="s">
        <v>47</v>
      </c>
      <c r="D12" s="85" t="s">
        <v>8</v>
      </c>
      <c r="E12" s="87">
        <v>6.5178E-2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7</v>
      </c>
      <c r="X12" s="71">
        <v>9.8247000000000001E-2</v>
      </c>
    </row>
    <row r="13" spans="1:24" ht="15" customHeight="1">
      <c r="B13" s="6"/>
      <c r="C13" s="83" t="s">
        <v>49</v>
      </c>
      <c r="D13" s="85" t="s">
        <v>4</v>
      </c>
      <c r="E13" s="87">
        <v>6.2695000000000001E-2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18</v>
      </c>
      <c r="X13" s="71">
        <v>7.7533000000000005E-2</v>
      </c>
    </row>
    <row r="14" spans="1:24" ht="15" customHeight="1">
      <c r="B14" s="6"/>
      <c r="C14" s="83" t="s">
        <v>50</v>
      </c>
      <c r="D14" s="85" t="s">
        <v>12</v>
      </c>
      <c r="E14" s="87">
        <v>5.3895999999999999E-2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10</v>
      </c>
      <c r="X14" s="71">
        <v>4.7579000000000003E-2</v>
      </c>
    </row>
    <row r="15" spans="1:24" ht="15" customHeight="1">
      <c r="B15" s="6"/>
      <c r="C15" s="83" t="s">
        <v>51</v>
      </c>
      <c r="D15" s="85" t="s">
        <v>10</v>
      </c>
      <c r="E15" s="87">
        <v>4.7579000000000003E-2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13</v>
      </c>
      <c r="X15" s="71">
        <v>2.5068E-2</v>
      </c>
    </row>
    <row r="16" spans="1:24" ht="15" customHeight="1">
      <c r="B16" s="6"/>
      <c r="C16" s="83" t="s">
        <v>52</v>
      </c>
      <c r="D16" s="85" t="s">
        <v>4</v>
      </c>
      <c r="E16" s="87">
        <v>4.0090000000000001E-2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9</v>
      </c>
      <c r="X16" s="71">
        <v>1.2597000000000001E-2</v>
      </c>
    </row>
    <row r="17" spans="2:24" ht="15" customHeight="1">
      <c r="B17" s="6"/>
      <c r="C17" s="83" t="s">
        <v>54</v>
      </c>
      <c r="D17" s="85" t="s">
        <v>8</v>
      </c>
      <c r="E17" s="87">
        <v>3.5180000000000003E-2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16</v>
      </c>
      <c r="X17" s="71">
        <v>1.1507E-2</v>
      </c>
    </row>
    <row r="18" spans="2:24" ht="15" customHeight="1">
      <c r="B18" s="6"/>
      <c r="C18" s="83" t="s">
        <v>20</v>
      </c>
      <c r="D18" s="85" t="s">
        <v>4</v>
      </c>
      <c r="E18" s="87">
        <v>3.0100999999999999E-2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15</v>
      </c>
      <c r="X18" s="71">
        <v>1.1194000000000001E-2</v>
      </c>
    </row>
    <row r="19" spans="2:24" ht="15" customHeight="1">
      <c r="B19" s="6"/>
      <c r="C19" s="83" t="s">
        <v>53</v>
      </c>
      <c r="D19" s="85" t="s">
        <v>4</v>
      </c>
      <c r="E19" s="87">
        <v>2.9773999999999998E-2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14</v>
      </c>
      <c r="X19" s="71">
        <v>1.0802000000000001E-2</v>
      </c>
    </row>
    <row r="20" spans="2:24" ht="15" customHeight="1">
      <c r="B20" s="6"/>
      <c r="C20" s="83" t="s">
        <v>55</v>
      </c>
      <c r="D20" s="85" t="s">
        <v>18</v>
      </c>
      <c r="E20" s="87">
        <v>2.6865E-2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  <c r="W20" s="70" t="s">
        <v>21</v>
      </c>
      <c r="X20" s="71">
        <v>1.0199E-2</v>
      </c>
    </row>
    <row r="21" spans="2:24" ht="15" customHeight="1">
      <c r="B21" s="6"/>
      <c r="C21" s="83" t="s">
        <v>58</v>
      </c>
      <c r="D21" s="85" t="s">
        <v>4</v>
      </c>
      <c r="E21" s="87">
        <v>2.1767000000000002E-2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  <c r="W21" s="70" t="s">
        <v>22</v>
      </c>
      <c r="X21" s="71">
        <v>8.9110000000000005E-3</v>
      </c>
    </row>
    <row r="22" spans="2:24" ht="15" customHeight="1">
      <c r="B22" s="6"/>
      <c r="C22" s="83" t="s">
        <v>132</v>
      </c>
      <c r="D22" s="85" t="s">
        <v>18</v>
      </c>
      <c r="E22" s="87">
        <v>2.0253E-2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</row>
    <row r="23" spans="2:24" ht="15" customHeight="1">
      <c r="B23" s="6"/>
      <c r="C23" s="178"/>
      <c r="D23" s="178"/>
      <c r="E23" s="18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/>
      <c r="X23" s="71"/>
    </row>
    <row r="24" spans="2:24" ht="15" customHeight="1">
      <c r="B24" s="6"/>
      <c r="C24" s="180" t="s">
        <v>99</v>
      </c>
      <c r="D24" s="181"/>
      <c r="E24" s="182">
        <f>SUM(E8:E22)</f>
        <v>0.81513799999999992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/>
      <c r="X24" s="71"/>
    </row>
    <row r="25" spans="2:24" ht="15" customHeight="1">
      <c r="B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/>
      <c r="X25" s="71"/>
    </row>
    <row r="26" spans="2:24" ht="15" customHeight="1">
      <c r="B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/>
      <c r="X26" s="71"/>
    </row>
    <row r="27" spans="2:24" ht="15" customHeight="1">
      <c r="B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70"/>
      <c r="X27" s="71"/>
    </row>
    <row r="28" spans="2:24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70"/>
      <c r="X28" s="71"/>
    </row>
    <row r="29" spans="2:24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  <c r="W29" s="70"/>
      <c r="X29" s="71"/>
    </row>
    <row r="30" spans="2:24" ht="15" customHeight="1">
      <c r="B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67"/>
      <c r="W30" s="70"/>
      <c r="X30" s="71"/>
    </row>
    <row r="31" spans="2:24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67"/>
      <c r="W31" s="70"/>
      <c r="X31" s="71"/>
    </row>
    <row r="32" spans="2:24" ht="15" customHeight="1">
      <c r="B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67"/>
      <c r="W32" s="70"/>
      <c r="X32" s="71"/>
    </row>
    <row r="33" spans="1:33" ht="15" customHeight="1">
      <c r="B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7"/>
      <c r="W33" s="70"/>
      <c r="X33" s="71"/>
    </row>
    <row r="34" spans="1:33" ht="15" customHeight="1">
      <c r="B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8"/>
      <c r="T34" s="67"/>
      <c r="W34" s="70"/>
      <c r="X34" s="71"/>
    </row>
    <row r="35" spans="1:33" ht="15" customHeight="1">
      <c r="B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8"/>
      <c r="T35" s="67"/>
      <c r="W35" s="70"/>
      <c r="X35" s="71"/>
    </row>
    <row r="36" spans="1:33" s="11" customFormat="1" ht="15" customHeight="1">
      <c r="A36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8"/>
      <c r="T36" s="67"/>
      <c r="U36" s="10"/>
      <c r="V36" s="10"/>
      <c r="W36" s="10"/>
      <c r="X36" s="10"/>
      <c r="Y36" s="10"/>
      <c r="Z36" s="92"/>
      <c r="AA36" s="92"/>
      <c r="AB36" s="92"/>
      <c r="AC36" s="92"/>
      <c r="AD36" s="92"/>
      <c r="AE36" s="92"/>
      <c r="AF36" s="92"/>
      <c r="AG36" s="92"/>
    </row>
    <row r="37" spans="1:33" s="11" customFormat="1" ht="15" customHeight="1">
      <c r="A37"/>
      <c r="B37" s="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68"/>
      <c r="T37" s="67"/>
      <c r="U37" s="10"/>
      <c r="V37" s="10"/>
      <c r="W37" s="10"/>
      <c r="X37" s="10"/>
      <c r="Y37" s="10"/>
      <c r="Z37" s="92"/>
      <c r="AA37" s="92"/>
      <c r="AB37" s="92"/>
      <c r="AC37" s="92"/>
      <c r="AD37" s="92"/>
      <c r="AE37" s="92"/>
      <c r="AF37" s="92"/>
      <c r="AG37" s="92"/>
    </row>
    <row r="38" spans="1:33" s="11" customFormat="1" ht="15" customHeight="1" thickBot="1">
      <c r="A38"/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72"/>
      <c r="T38" s="73"/>
      <c r="U38" s="10"/>
      <c r="V38" s="10"/>
      <c r="W38" s="10"/>
      <c r="X38" s="10"/>
      <c r="Y38" s="10"/>
      <c r="Z38" s="92"/>
      <c r="AA38" s="92"/>
      <c r="AB38" s="92"/>
      <c r="AC38" s="92"/>
      <c r="AD38" s="92"/>
      <c r="AE38" s="92"/>
      <c r="AF38" s="92"/>
      <c r="AG38" s="92"/>
    </row>
    <row r="39" spans="1:33" s="11" customFormat="1" ht="1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 s="10"/>
      <c r="T39" s="10"/>
      <c r="U39" s="10"/>
      <c r="V39" s="10"/>
      <c r="W39" s="10"/>
      <c r="X39" s="10"/>
      <c r="Y39" s="10"/>
      <c r="Z39" s="92"/>
      <c r="AA39" s="92"/>
      <c r="AB39" s="92"/>
      <c r="AC39" s="92"/>
      <c r="AD39" s="92"/>
      <c r="AE39" s="92"/>
      <c r="AF39" s="92"/>
      <c r="AG39" s="92"/>
    </row>
    <row r="40" spans="1:33" s="11" customFormat="1" ht="1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 s="10"/>
      <c r="T40" s="10"/>
      <c r="U40" s="10"/>
      <c r="V40" s="10"/>
      <c r="W40" s="10"/>
      <c r="X40" s="10"/>
      <c r="Y40" s="10"/>
      <c r="Z40" s="92"/>
      <c r="AA40" s="92"/>
      <c r="AB40" s="92"/>
      <c r="AC40" s="92"/>
      <c r="AD40" s="92"/>
      <c r="AE40" s="92"/>
      <c r="AF40" s="92"/>
      <c r="AG40" s="92"/>
    </row>
    <row r="41" spans="1:33" s="11" customFormat="1" ht="1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 s="10"/>
      <c r="T41" s="10"/>
      <c r="U41" s="10"/>
      <c r="V41" s="10"/>
      <c r="W41" s="10"/>
      <c r="X41" s="10"/>
      <c r="Y41" s="10"/>
      <c r="Z41" s="92"/>
      <c r="AA41" s="92"/>
      <c r="AB41" s="92"/>
      <c r="AC41" s="92"/>
      <c r="AD41" s="92"/>
      <c r="AE41" s="92"/>
      <c r="AF41" s="92"/>
      <c r="AG41" s="92"/>
    </row>
    <row r="42" spans="1:33" s="11" customFormat="1" ht="1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 s="10"/>
      <c r="T42" s="10"/>
      <c r="U42" s="10"/>
      <c r="V42" s="10"/>
      <c r="W42" s="10"/>
      <c r="X42" s="10"/>
      <c r="Y42" s="10"/>
      <c r="Z42" s="92"/>
      <c r="AA42" s="92"/>
      <c r="AB42" s="92"/>
      <c r="AC42" s="92"/>
      <c r="AD42" s="92"/>
      <c r="AE42" s="92"/>
      <c r="AF42" s="92"/>
      <c r="AG42" s="92"/>
    </row>
    <row r="43" spans="1:33" s="11" customFormat="1" ht="1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s="10"/>
      <c r="T43" s="10"/>
      <c r="U43" s="10"/>
      <c r="V43" s="10"/>
      <c r="W43" s="10"/>
      <c r="X43" s="10"/>
      <c r="Y43" s="10"/>
      <c r="Z43" s="92"/>
      <c r="AA43" s="92"/>
      <c r="AB43" s="92"/>
      <c r="AC43" s="92"/>
      <c r="AD43" s="92"/>
      <c r="AE43" s="92"/>
      <c r="AF43" s="92"/>
      <c r="AG43" s="92"/>
    </row>
    <row r="44" spans="1:33" s="11" customFormat="1" ht="15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 s="10"/>
      <c r="T44" s="10"/>
      <c r="U44" s="10"/>
      <c r="V44" s="10"/>
      <c r="W44" s="10"/>
      <c r="X44" s="10"/>
      <c r="Y44" s="10"/>
      <c r="Z44" s="92"/>
      <c r="AA44" s="92"/>
      <c r="AB44" s="92"/>
      <c r="AC44" s="92"/>
      <c r="AD44" s="92"/>
      <c r="AE44" s="92"/>
      <c r="AF44" s="92"/>
      <c r="AG44" s="92"/>
    </row>
    <row r="45" spans="1:33" ht="15" customHeight="1"/>
    <row r="46" spans="1:33" ht="15" customHeight="1"/>
    <row r="47" spans="1:33" ht="15" customHeight="1"/>
    <row r="48" spans="1:33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sortState ref="W8:X21">
    <sortCondition descending="1" ref="X8:X21"/>
  </sortState>
  <mergeCells count="2">
    <mergeCell ref="C3:S3"/>
    <mergeCell ref="D5:E5"/>
  </mergeCells>
  <pageMargins left="0.31" right="0.70866141732283472" top="0.74803149606299213" bottom="0.74803149606299213" header="0.31496062992125984" footer="0.31496062992125984"/>
  <pageSetup paperSize="9" scale="55" orientation="landscape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E64"/>
  <sheetViews>
    <sheetView showGridLines="0" view="pageBreakPreview" topLeftCell="A7" zoomScale="60" zoomScaleNormal="75" workbookViewId="0">
      <selection activeCell="H41" sqref="H41"/>
    </sheetView>
  </sheetViews>
  <sheetFormatPr defaultRowHeight="15"/>
  <cols>
    <col min="1" max="1" width="2.85546875" customWidth="1"/>
    <col min="2" max="2" width="3.85546875" customWidth="1"/>
    <col min="3" max="3" width="56.7109375" bestFit="1" customWidth="1"/>
    <col min="4" max="4" width="28.28515625" customWidth="1"/>
    <col min="5" max="5" width="12" bestFit="1" customWidth="1"/>
    <col min="19" max="19" width="9.85546875" style="10" customWidth="1"/>
    <col min="20" max="25" width="9.140625" style="10"/>
    <col min="26" max="31" width="9.140625" style="92"/>
  </cols>
  <sheetData>
    <row r="1" spans="1:24" ht="15.75" customHeight="1" thickBot="1">
      <c r="A1" s="10"/>
    </row>
    <row r="2" spans="1:24" ht="15" customHeight="1"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65"/>
      <c r="T2" s="66"/>
    </row>
    <row r="3" spans="1:24" ht="20.25" customHeight="1">
      <c r="B3" s="6"/>
      <c r="C3" s="152" t="s">
        <v>74</v>
      </c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67"/>
    </row>
    <row r="4" spans="1:24" ht="15.75" customHeight="1">
      <c r="B4" s="6"/>
      <c r="C4" s="2" t="s">
        <v>201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8"/>
      <c r="T4" s="67"/>
    </row>
    <row r="5" spans="1:24" ht="18" customHeight="1">
      <c r="B5" s="6"/>
      <c r="C5" s="3" t="s">
        <v>202</v>
      </c>
      <c r="D5" s="158" t="s">
        <v>200</v>
      </c>
      <c r="E5" s="15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68"/>
      <c r="T5" s="67"/>
    </row>
    <row r="6" spans="1:24" ht="15" customHeight="1"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68"/>
      <c r="T6" s="67"/>
    </row>
    <row r="7" spans="1:24" ht="32.25" customHeight="1">
      <c r="B7" s="6"/>
      <c r="C7" s="169" t="s">
        <v>0</v>
      </c>
      <c r="D7" s="170" t="s">
        <v>1</v>
      </c>
      <c r="E7" s="171" t="s">
        <v>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68"/>
      <c r="T7" s="67"/>
      <c r="W7" s="69" t="s">
        <v>31</v>
      </c>
      <c r="X7" s="69" t="s">
        <v>2</v>
      </c>
    </row>
    <row r="8" spans="1:24" ht="15" customHeight="1">
      <c r="B8" s="6"/>
      <c r="C8" s="82" t="s">
        <v>45</v>
      </c>
      <c r="D8" s="84" t="s">
        <v>4</v>
      </c>
      <c r="E8" s="86">
        <v>0.10431799999999999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68"/>
      <c r="T8" s="67"/>
      <c r="W8" s="70" t="s">
        <v>4</v>
      </c>
      <c r="X8" s="71">
        <v>0.272644</v>
      </c>
    </row>
    <row r="9" spans="1:24" ht="15.75" customHeight="1">
      <c r="B9" s="6"/>
      <c r="C9" s="83" t="s">
        <v>48</v>
      </c>
      <c r="D9" s="85" t="s">
        <v>7</v>
      </c>
      <c r="E9" s="87">
        <v>8.7792999999999996E-2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68"/>
      <c r="T9" s="67"/>
      <c r="W9" s="70" t="s">
        <v>12</v>
      </c>
      <c r="X9" s="71">
        <v>0.13391</v>
      </c>
    </row>
    <row r="10" spans="1:24" ht="15.75">
      <c r="B10" s="6"/>
      <c r="C10" s="83" t="s">
        <v>46</v>
      </c>
      <c r="D10" s="85" t="s">
        <v>5</v>
      </c>
      <c r="E10" s="87">
        <v>7.4107999999999993E-2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68"/>
      <c r="T10" s="67"/>
      <c r="W10" s="70" t="s">
        <v>7</v>
      </c>
      <c r="X10" s="71">
        <v>0.10635699999999999</v>
      </c>
    </row>
    <row r="11" spans="1:24" ht="15.75" customHeight="1">
      <c r="B11" s="6"/>
      <c r="C11" s="83" t="s">
        <v>44</v>
      </c>
      <c r="D11" s="85" t="s">
        <v>12</v>
      </c>
      <c r="E11" s="87">
        <v>5.7334999999999997E-2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68"/>
      <c r="T11" s="67"/>
      <c r="W11" s="70" t="s">
        <v>5</v>
      </c>
      <c r="X11" s="71">
        <v>0.10366700000000001</v>
      </c>
    </row>
    <row r="12" spans="1:24" ht="15" customHeight="1">
      <c r="B12" s="6"/>
      <c r="C12" s="83" t="s">
        <v>47</v>
      </c>
      <c r="D12" s="85" t="s">
        <v>8</v>
      </c>
      <c r="E12" s="87">
        <v>5.5254999999999999E-2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68"/>
      <c r="T12" s="67"/>
      <c r="W12" s="70" t="s">
        <v>8</v>
      </c>
      <c r="X12" s="71">
        <v>9.8928000000000002E-2</v>
      </c>
    </row>
    <row r="13" spans="1:24" ht="15" customHeight="1">
      <c r="B13" s="6"/>
      <c r="C13" s="83" t="s">
        <v>49</v>
      </c>
      <c r="D13" s="85" t="s">
        <v>4</v>
      </c>
      <c r="E13" s="87">
        <v>5.3088000000000003E-2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68"/>
      <c r="T13" s="67"/>
      <c r="W13" s="70" t="s">
        <v>18</v>
      </c>
      <c r="X13" s="71">
        <v>7.0863999999999996E-2</v>
      </c>
    </row>
    <row r="14" spans="1:24" ht="15" customHeight="1">
      <c r="B14" s="6"/>
      <c r="C14" s="83" t="s">
        <v>50</v>
      </c>
      <c r="D14" s="85" t="s">
        <v>12</v>
      </c>
      <c r="E14" s="87">
        <v>4.5439E-2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68"/>
      <c r="T14" s="67"/>
      <c r="W14" s="70" t="s">
        <v>10</v>
      </c>
      <c r="X14" s="71">
        <v>4.0488000000000003E-2</v>
      </c>
    </row>
    <row r="15" spans="1:24" ht="15" customHeight="1">
      <c r="B15" s="6"/>
      <c r="C15" s="83" t="s">
        <v>51</v>
      </c>
      <c r="D15" s="85" t="s">
        <v>10</v>
      </c>
      <c r="E15" s="87">
        <v>4.0488000000000003E-2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68"/>
      <c r="T15" s="67"/>
      <c r="W15" s="70" t="s">
        <v>9</v>
      </c>
      <c r="X15" s="71">
        <v>2.4E-2</v>
      </c>
    </row>
    <row r="16" spans="1:24" ht="15" customHeight="1">
      <c r="B16" s="6"/>
      <c r="C16" s="83" t="s">
        <v>52</v>
      </c>
      <c r="D16" s="85" t="s">
        <v>4</v>
      </c>
      <c r="E16" s="87">
        <v>3.8307000000000001E-2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68"/>
      <c r="T16" s="67"/>
      <c r="W16" s="70" t="s">
        <v>13</v>
      </c>
      <c r="X16" s="71">
        <v>2.1984999999999998E-2</v>
      </c>
    </row>
    <row r="17" spans="2:24" ht="15" customHeight="1">
      <c r="B17" s="6"/>
      <c r="C17" s="83" t="s">
        <v>54</v>
      </c>
      <c r="D17" s="85" t="s">
        <v>8</v>
      </c>
      <c r="E17" s="87">
        <v>2.9586999999999999E-2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68"/>
      <c r="T17" s="67"/>
      <c r="W17" s="70" t="s">
        <v>11</v>
      </c>
      <c r="X17" s="71">
        <v>1.6701000000000001E-2</v>
      </c>
    </row>
    <row r="18" spans="2:24" ht="15" customHeight="1">
      <c r="B18" s="6"/>
      <c r="C18" s="83" t="s">
        <v>20</v>
      </c>
      <c r="D18" s="85" t="s">
        <v>4</v>
      </c>
      <c r="E18" s="87">
        <v>2.5374000000000001E-2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68"/>
      <c r="T18" s="67"/>
      <c r="W18" s="70" t="s">
        <v>21</v>
      </c>
      <c r="X18" s="71">
        <v>1.6143999999999999E-2</v>
      </c>
    </row>
    <row r="19" spans="2:24" ht="15" customHeight="1">
      <c r="B19" s="6"/>
      <c r="C19" s="83" t="s">
        <v>53</v>
      </c>
      <c r="D19" s="85" t="s">
        <v>4</v>
      </c>
      <c r="E19" s="87">
        <v>2.5139000000000002E-2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68"/>
      <c r="T19" s="67"/>
      <c r="W19" s="70" t="s">
        <v>14</v>
      </c>
      <c r="X19" s="71">
        <v>1.6102000000000002E-2</v>
      </c>
    </row>
    <row r="20" spans="2:24" ht="15" customHeight="1">
      <c r="B20" s="6"/>
      <c r="C20" s="83" t="s">
        <v>55</v>
      </c>
      <c r="D20" s="85" t="s">
        <v>18</v>
      </c>
      <c r="E20" s="87">
        <v>2.2398999999999999E-2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68"/>
      <c r="T20" s="67"/>
      <c r="W20" s="70" t="s">
        <v>16</v>
      </c>
      <c r="X20" s="71">
        <v>1.0562E-2</v>
      </c>
    </row>
    <row r="21" spans="2:24" ht="15" customHeight="1">
      <c r="B21" s="6"/>
      <c r="C21" s="83" t="s">
        <v>58</v>
      </c>
      <c r="D21" s="85" t="s">
        <v>4</v>
      </c>
      <c r="E21" s="87">
        <v>1.8728999999999999E-2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68"/>
      <c r="T21" s="67"/>
      <c r="W21" s="70" t="s">
        <v>15</v>
      </c>
      <c r="X21" s="71">
        <v>9.4369999999999992E-3</v>
      </c>
    </row>
    <row r="22" spans="2:24" ht="15" customHeight="1">
      <c r="B22" s="6"/>
      <c r="C22" s="83" t="s">
        <v>132</v>
      </c>
      <c r="D22" s="85" t="s">
        <v>18</v>
      </c>
      <c r="E22" s="87">
        <v>1.7115999999999999E-2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68"/>
      <c r="T22" s="67"/>
      <c r="W22" s="70" t="s">
        <v>22</v>
      </c>
      <c r="X22" s="71">
        <v>9.2270000000000008E-3</v>
      </c>
    </row>
    <row r="23" spans="2:24" ht="15" customHeight="1">
      <c r="B23" s="6"/>
      <c r="C23" s="178"/>
      <c r="D23" s="178"/>
      <c r="E23" s="18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68"/>
      <c r="T23" s="67"/>
      <c r="W23" s="70" t="s">
        <v>23</v>
      </c>
      <c r="X23" s="71">
        <v>8.8310000000000003E-3</v>
      </c>
    </row>
    <row r="24" spans="2:24" ht="15" customHeight="1">
      <c r="B24" s="6"/>
      <c r="C24" s="180" t="s">
        <v>99</v>
      </c>
      <c r="D24" s="181"/>
      <c r="E24" s="182">
        <f>SUM(E8:E22)</f>
        <v>0.69447500000000006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68"/>
      <c r="T24" s="67"/>
      <c r="W24" s="70" t="s">
        <v>34</v>
      </c>
      <c r="X24" s="71">
        <v>7.4279999999999997E-3</v>
      </c>
    </row>
    <row r="25" spans="2:24" ht="15" customHeight="1">
      <c r="B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68"/>
      <c r="T25" s="67"/>
      <c r="W25" s="70" t="s">
        <v>36</v>
      </c>
      <c r="X25" s="71">
        <v>6.979E-3</v>
      </c>
    </row>
    <row r="26" spans="2:24" ht="15" customHeight="1">
      <c r="B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68"/>
      <c r="T26" s="67"/>
      <c r="W26" s="70" t="s">
        <v>122</v>
      </c>
      <c r="X26" s="71">
        <v>6.3109999999999998E-3</v>
      </c>
    </row>
    <row r="27" spans="2:24" ht="15" customHeight="1">
      <c r="B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68"/>
      <c r="T27" s="67"/>
      <c r="W27" s="70" t="s">
        <v>25</v>
      </c>
      <c r="X27" s="71">
        <v>6.0410000000000004E-3</v>
      </c>
    </row>
    <row r="28" spans="2:24" ht="15" customHeight="1">
      <c r="B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68"/>
      <c r="T28" s="67"/>
      <c r="W28" s="70" t="s">
        <v>43</v>
      </c>
      <c r="X28" s="71">
        <v>5.0390000000000001E-3</v>
      </c>
    </row>
    <row r="29" spans="2:24" ht="15" customHeight="1">
      <c r="B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68"/>
      <c r="T29" s="67"/>
    </row>
    <row r="30" spans="2:24" ht="15" customHeight="1">
      <c r="B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68"/>
      <c r="T30" s="67"/>
      <c r="W30" s="70"/>
      <c r="X30" s="71"/>
    </row>
    <row r="31" spans="2:24" ht="15" customHeight="1">
      <c r="B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68"/>
      <c r="T31" s="67"/>
      <c r="W31" s="70"/>
      <c r="X31" s="71"/>
    </row>
    <row r="32" spans="2:24" ht="15" customHeight="1">
      <c r="B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68"/>
      <c r="T32" s="67"/>
      <c r="W32" s="70"/>
      <c r="X32" s="71"/>
    </row>
    <row r="33" spans="1:31" ht="15" customHeight="1">
      <c r="B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68"/>
      <c r="T33" s="67"/>
      <c r="W33" s="70"/>
      <c r="X33" s="71"/>
    </row>
    <row r="34" spans="1:31" ht="15" customHeight="1">
      <c r="B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68"/>
      <c r="T34" s="67"/>
      <c r="W34" s="69"/>
      <c r="X34" s="69"/>
    </row>
    <row r="35" spans="1:31" ht="15" customHeight="1">
      <c r="B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68"/>
      <c r="T35" s="67"/>
      <c r="W35" s="69"/>
      <c r="X35" s="69"/>
    </row>
    <row r="36" spans="1:31" s="11" customFormat="1" ht="15" customHeight="1">
      <c r="A36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68"/>
      <c r="T36" s="67"/>
      <c r="U36" s="10"/>
      <c r="V36" s="10"/>
      <c r="W36" s="10"/>
      <c r="X36" s="10"/>
      <c r="Y36" s="10"/>
      <c r="Z36" s="92"/>
      <c r="AA36" s="92"/>
      <c r="AB36" s="92"/>
      <c r="AC36" s="92"/>
      <c r="AD36" s="92"/>
      <c r="AE36" s="92"/>
    </row>
    <row r="37" spans="1:31" s="11" customFormat="1" ht="15" customHeight="1" thickBot="1">
      <c r="A3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72"/>
      <c r="T37" s="73"/>
      <c r="U37" s="10"/>
      <c r="V37" s="10"/>
      <c r="W37" s="10"/>
      <c r="X37" s="10"/>
      <c r="Y37" s="10"/>
      <c r="Z37" s="92"/>
      <c r="AA37" s="92"/>
      <c r="AB37" s="92"/>
      <c r="AC37" s="92"/>
      <c r="AD37" s="92"/>
      <c r="AE37" s="92"/>
    </row>
    <row r="38" spans="1:31" s="11" customFormat="1" ht="15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 s="10"/>
      <c r="T38" s="10"/>
      <c r="U38" s="10"/>
      <c r="V38" s="10"/>
      <c r="W38" s="10"/>
      <c r="X38" s="10"/>
      <c r="Y38" s="10"/>
      <c r="Z38" s="92"/>
      <c r="AA38" s="92"/>
      <c r="AB38" s="92"/>
      <c r="AC38" s="92"/>
      <c r="AD38" s="92"/>
      <c r="AE38" s="92"/>
    </row>
    <row r="39" spans="1:31" s="11" customFormat="1" ht="15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 s="10"/>
      <c r="T39" s="10"/>
      <c r="U39" s="10"/>
      <c r="V39" s="10"/>
      <c r="W39" s="10"/>
      <c r="X39" s="10"/>
      <c r="Y39" s="10"/>
      <c r="Z39" s="92"/>
      <c r="AA39" s="92"/>
      <c r="AB39" s="92"/>
      <c r="AC39" s="92"/>
      <c r="AD39" s="92"/>
      <c r="AE39" s="92"/>
    </row>
    <row r="40" spans="1:31" s="11" customFormat="1" ht="15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 s="10"/>
      <c r="T40" s="10"/>
      <c r="U40" s="10"/>
      <c r="V40" s="10"/>
      <c r="W40" s="10"/>
      <c r="X40" s="10"/>
      <c r="Y40" s="10"/>
      <c r="Z40" s="92"/>
      <c r="AA40" s="92"/>
      <c r="AB40" s="92"/>
      <c r="AC40" s="92"/>
      <c r="AD40" s="92"/>
      <c r="AE40" s="92"/>
    </row>
    <row r="41" spans="1:31" s="11" customFormat="1" ht="1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 s="10"/>
      <c r="T41" s="10"/>
      <c r="U41" s="10"/>
      <c r="V41" s="10"/>
      <c r="W41" s="10"/>
      <c r="X41" s="10"/>
      <c r="Y41" s="10"/>
      <c r="Z41" s="92"/>
      <c r="AA41" s="92"/>
      <c r="AB41" s="92"/>
      <c r="AC41" s="92"/>
      <c r="AD41" s="92"/>
      <c r="AE41" s="92"/>
    </row>
    <row r="42" spans="1:31" s="11" customFormat="1" ht="1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 s="10"/>
      <c r="T42" s="10"/>
      <c r="U42" s="10"/>
      <c r="V42" s="10"/>
      <c r="W42" s="10"/>
      <c r="X42" s="10"/>
      <c r="Y42" s="10"/>
      <c r="Z42" s="92"/>
      <c r="AA42" s="92"/>
      <c r="AB42" s="92"/>
      <c r="AC42" s="92"/>
      <c r="AD42" s="92"/>
      <c r="AE42" s="92"/>
    </row>
    <row r="43" spans="1:31" s="11" customFormat="1" ht="15" customHeigh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s="10"/>
      <c r="T43" s="10"/>
      <c r="U43" s="10"/>
      <c r="V43" s="10"/>
      <c r="W43" s="10"/>
      <c r="X43" s="10"/>
      <c r="Y43" s="10"/>
      <c r="Z43" s="92"/>
      <c r="AA43" s="92"/>
      <c r="AB43" s="92"/>
      <c r="AC43" s="92"/>
      <c r="AD43" s="92"/>
      <c r="AE43" s="92"/>
    </row>
    <row r="44" spans="1:31" ht="15" customHeight="1"/>
    <row r="45" spans="1:31" ht="15" customHeight="1"/>
    <row r="46" spans="1:31" ht="15" customHeight="1"/>
    <row r="47" spans="1:31" ht="15" customHeight="1"/>
    <row r="48" spans="1:3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sortState ref="W8:X28">
    <sortCondition descending="1" ref="X8:X28"/>
  </sortState>
  <mergeCells count="2">
    <mergeCell ref="C3:S3"/>
    <mergeCell ref="D5:E5"/>
  </mergeCells>
  <pageMargins left="0.2" right="0.43" top="0.74803149606299213" bottom="0.74803149606299213" header="0.31496062992125984" footer="0.31496062992125984"/>
  <pageSetup paperSize="9" scale="52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13</vt:i4>
      </vt:variant>
    </vt:vector>
  </HeadingPairs>
  <TitlesOfParts>
    <vt:vector size="31" baseType="lpstr">
      <vt:lpstr>IDFC CEF</vt:lpstr>
      <vt:lpstr>IDFC LCF</vt:lpstr>
      <vt:lpstr>IDFC FEF</vt:lpstr>
      <vt:lpstr>IDFC SVF</vt:lpstr>
      <vt:lpstr>IDFC MCF</vt:lpstr>
      <vt:lpstr>IDFC IF</vt:lpstr>
      <vt:lpstr>IDFC-TAF</vt:lpstr>
      <vt:lpstr>IDFC-AF</vt:lpstr>
      <vt:lpstr>IDFC DEF</vt:lpstr>
      <vt:lpstr>IDFC-ESF</vt:lpstr>
      <vt:lpstr>IDFC-HEF</vt:lpstr>
      <vt:lpstr>IDFC-RSF</vt:lpstr>
      <vt:lpstr>IDFCAAF-AP</vt:lpstr>
      <vt:lpstr>IDFCAAF-MP</vt:lpstr>
      <vt:lpstr>IDFCAAF-CP</vt:lpstr>
      <vt:lpstr>IDFC-NIFTY</vt:lpstr>
      <vt:lpstr>IDFC-Sensex ETF</vt:lpstr>
      <vt:lpstr>IDFC- Nifty ETF</vt:lpstr>
      <vt:lpstr>'IDFC CEF'!Print_Area</vt:lpstr>
      <vt:lpstr>'IDFC DEF'!Print_Area</vt:lpstr>
      <vt:lpstr>'IDFC FEF'!Print_Area</vt:lpstr>
      <vt:lpstr>'IDFC IF'!Print_Area</vt:lpstr>
      <vt:lpstr>'IDFC LCF'!Print_Area</vt:lpstr>
      <vt:lpstr>'IDFC MCF'!Print_Area</vt:lpstr>
      <vt:lpstr>'IDFC- Nifty ETF'!Print_Area</vt:lpstr>
      <vt:lpstr>'IDFC SVF'!Print_Area</vt:lpstr>
      <vt:lpstr>'IDFCAAF-AP'!Print_Area</vt:lpstr>
      <vt:lpstr>'IDFC-AF'!Print_Area</vt:lpstr>
      <vt:lpstr>'IDFC-NIFTY'!Print_Area</vt:lpstr>
      <vt:lpstr>'IDFC-Sensex ETF'!Print_Area</vt:lpstr>
      <vt:lpstr>'IDFC-TAF'!Print_Area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divya.menon</dc:creator>
  <cp:lastModifiedBy>hema.davda</cp:lastModifiedBy>
  <cp:lastPrinted>2019-01-03T10:21:57Z</cp:lastPrinted>
  <dcterms:created xsi:type="dcterms:W3CDTF">2015-05-04T03:21:51Z</dcterms:created>
  <dcterms:modified xsi:type="dcterms:W3CDTF">2019-01-03T10:42:18Z</dcterms:modified>
</cp:coreProperties>
</file>