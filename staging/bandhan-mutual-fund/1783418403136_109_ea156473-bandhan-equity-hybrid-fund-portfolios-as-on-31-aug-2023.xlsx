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codeName="ThisWorkbook" defaultThemeVersion="124226"/>
  <mc:AlternateContent xmlns:mc="http://schemas.openxmlformats.org/markup-compatibility/2006">
    <mc:Choice Requires="x15">
      <x15ac:absPath xmlns:x15ac="http://schemas.microsoft.com/office/spreadsheetml/2010/11/ac" url="\\mumfilesvr.bandhanamc.int\Users\Ruchi\Products Team\MONTH END DELIVERABLES-1\Portfolios_All\2023\Sept 2023\"/>
    </mc:Choice>
  </mc:AlternateContent>
  <xr:revisionPtr revIDLastSave="0" documentId="13_ncr:1_{F30D591F-98BB-4ABA-A1B0-A065CE6FFD9B}"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AAF-AP" sheetId="19" r:id="rId19"/>
    <sheet name="BANDHANAAF-MP" sheetId="20" r:id="rId20"/>
    <sheet name="BANDHANAAF-CP" sheetId="21" r:id="rId21"/>
    <sheet name="BANDHAN-NIFTY 50 Index" sheetId="10" r:id="rId22"/>
    <sheet name="BANDHAN- S&amp;P BSE SENSEX ETF" sheetId="16" r:id="rId23"/>
    <sheet name="BANDHAN- Nifty 50 ETF" sheetId="17" r:id="rId24"/>
    <sheet name="BANDHAN-Nifty 100 Index" sheetId="31" r:id="rId25"/>
    <sheet name="BANDHAN-Nifty200 Mom30 Index" sheetId="34" r:id="rId26"/>
    <sheet name="BANDHAN NIF100LV30" sheetId="35" r:id="rId27"/>
    <sheet name="BANDHAN NIFTY IT INDEX" sheetId="40" r:id="rId28"/>
  </sheets>
  <definedNames>
    <definedName name="_xlnm._FilterDatabase" localSheetId="14" hidden="1">'BANDHAN BAF'!$I$40:$J$48</definedName>
    <definedName name="_xlnm._FilterDatabase" localSheetId="18" hidden="1">'BANDHANAAF-AP'!$C$12:$D$15</definedName>
    <definedName name="_xlnm.Print_Area" localSheetId="13">'BANDHAN-AF'!$C$5:$E$25</definedName>
  </definedNames>
  <calcPr calcId="191029"/>
</workbook>
</file>

<file path=xl/calcChain.xml><?xml version="1.0" encoding="utf-8"?>
<calcChain xmlns="http://schemas.openxmlformats.org/spreadsheetml/2006/main">
  <c r="E19" i="40" l="1"/>
  <c r="J11" i="19" l="1"/>
  <c r="D11" i="19" l="1"/>
  <c r="E33" i="25"/>
  <c r="E46" i="5"/>
  <c r="E24" i="39"/>
  <c r="E37" i="5" l="1"/>
  <c r="E25" i="27"/>
  <c r="K12" i="26" l="1"/>
  <c r="E39" i="26"/>
  <c r="K13" i="26" l="1"/>
  <c r="D15" i="29"/>
  <c r="K14" i="25" l="1"/>
  <c r="E32" i="26"/>
  <c r="K9" i="26" l="1"/>
  <c r="D14" i="21" l="1"/>
  <c r="D11" i="21"/>
  <c r="E24" i="37" l="1"/>
  <c r="E24" i="35" l="1"/>
  <c r="E24" i="34" l="1"/>
  <c r="E35" i="18"/>
  <c r="E24" i="33"/>
  <c r="E50" i="5" l="1"/>
  <c r="E43" i="18" l="1"/>
  <c r="E23" i="25" l="1"/>
  <c r="E32" i="5"/>
  <c r="E37" i="25" l="1"/>
  <c r="E23" i="5"/>
  <c r="E57" i="5" s="1"/>
  <c r="E24" i="31" l="1"/>
  <c r="K9" i="18" l="1"/>
  <c r="D18" i="21" l="1"/>
  <c r="E24" i="30"/>
  <c r="D16" i="19" l="1"/>
  <c r="J10" i="29"/>
  <c r="J9" i="29"/>
  <c r="K12" i="18" l="1"/>
  <c r="E24" i="12" l="1"/>
  <c r="K9" i="25" l="1"/>
  <c r="S8" i="27"/>
  <c r="S9" i="27" s="1"/>
  <c r="E24" i="8"/>
  <c r="J8" i="29" l="1"/>
  <c r="I9" i="18" l="1"/>
  <c r="I10" i="18"/>
  <c r="K13" i="18" l="1"/>
  <c r="K11" i="18"/>
  <c r="E24" i="28" l="1"/>
  <c r="E24" i="18" l="1"/>
  <c r="K10" i="18" l="1"/>
  <c r="E50" i="18"/>
  <c r="E24" i="26"/>
  <c r="E43" i="26" s="1"/>
  <c r="I10" i="26"/>
  <c r="I9" i="26"/>
  <c r="I8" i="26"/>
  <c r="K10" i="26" l="1"/>
  <c r="J10" i="21"/>
  <c r="J9" i="21"/>
  <c r="D17" i="20"/>
  <c r="D11" i="20"/>
  <c r="J8" i="20" s="1"/>
  <c r="J9" i="20" l="1"/>
  <c r="J10" i="20"/>
  <c r="J8" i="21"/>
  <c r="K12" i="25"/>
  <c r="D21" i="20" l="1"/>
  <c r="K10" i="25"/>
  <c r="K11" i="25" l="1"/>
  <c r="I10" i="25"/>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<sst xmlns="http://schemas.openxmlformats.org/spreadsheetml/2006/main" count="1597" uniqueCount="325">
  <si>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</si>
  <si>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</si>
  <si>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</si>
  <si>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</si>
  <si>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</si>
  <si>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</si>
  <si>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</si>
  <si>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</si>
  <si>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</si>
  <si>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</si>
  <si>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</si>
  <si>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</si>
  <si>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</si>
  <si>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</si>
  <si>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</si>
  <si>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</si>
  <si>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</si>
  <si>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</si>
  <si>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</si>
  <si>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</si>
  <si>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</si>
  <si>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</si>
  <si>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</si>
  <si>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</si>
  <si>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</si>
  <si>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</si>
  <si>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</si>
  <si>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</si>
  <si>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</si>
  <si>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</si>
  <si>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</si>
  <si>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</si>
  <si>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</si>
  <si>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</si>
  <si>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</si>
  <si>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</si>
  <si>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</si>
  <si>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</si>
  <si>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</si>
  <si>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</si>
  <si>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</si>
  <si>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</si>
  <si>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</si>
  <si>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</si>
  <si>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</si>
  <si>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</si>
  <si>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</si>
  <si>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</si>
  <si>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</si>
  <si>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</si>
  <si>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</si>
  <si>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</si>
  <si>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</si>
  <si>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</si>
  <si>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</si>
  <si>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</si>
  <si>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</si>
  <si>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</si>
  <si>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</si>
  <si>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</si>
  <si>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</si>
  <si>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</si>
  <si>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</si>
  <si>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</si>
  <si>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</si>
  <si>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</si>
  <si>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</si>
  <si>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</si>
  <si>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</si>
  <si>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</si>
  <si>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</si>
  <si>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</si>
  <si>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</si>
  <si>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</si>
  <si>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</si>
  <si>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</si>
  <si>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</si>
  <si>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</si>
  <si>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</si>
  <si>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</si>
  <si>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</si>
  <si>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</si>
  <si>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</si>
  <si>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</si>
  <si>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</si>
  <si>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</si>
  <si>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</si>
  <si>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</si>
  <si>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</si>
  <si>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</si>
  <si>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</si>
  <si>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</si>
  <si>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</si>
  <si>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</si>
  <si>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</si>
  <si>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</si>
  <si>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</si>
  <si>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</si>
  <si>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</si>
  <si>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</si>
  <si>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</si>
  <si>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</si>
  <si>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</si>
  <si>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</si>
  <si>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</si>
  <si>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</si>
  <si>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</si>
  <si>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</si>
  <si>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</si>
  <si>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</si>
  <si>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</si>
  <si>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</si>
  <si>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</si>
  <si>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</si>
  <si>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</si>
  <si>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</si>
  <si>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</si>
  <si>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</si>
  <si>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</si>
  <si>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</si>
  <si>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</si>
  <si>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</si>
  <si>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</si>
  <si>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</si>
  <si>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</si>
  <si>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JK Lakshmi Cement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</si>
  <si>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</si>
  <si>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</si>
  <si>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</si>
  <si>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</si>
  <si>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</si>
  <si>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</si>
  <si>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</si>
  <si>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</si>
  <si>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</si>
  <si>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</si>
  <si>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</si>
  <si>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</si>
  <si>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</si>
  <si>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</si>
  <si>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</si>
  <si>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</si>
  <si>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</si>
  <si>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</si>
  <si>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</si>
  <si>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</si>
  <si>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</si>
  <si>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</si>
  <si>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</si>
  <si>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</si>
  <si>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</si>
  <si>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</si>
  <si>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</si>
  <si>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</si>
  <si>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</si>
  <si>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</si>
  <si>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</si>
  <si>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</si>
  <si>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</si>
  <si>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</si>
  <si>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Container Corporation of India Limited</t>
  </si>
  <si>
    <t>IndusInd Bank Limited</t>
  </si>
  <si>
    <t>UNO Minda Limited</t>
  </si>
  <si>
    <t>Industrial Manufacturing</t>
  </si>
  <si>
    <t>Titan Company Limited</t>
  </si>
  <si>
    <t>Trent Limited</t>
  </si>
  <si>
    <t>Cummins India Limited</t>
  </si>
  <si>
    <t>SRF Limited</t>
  </si>
  <si>
    <t>Bank of Baroda</t>
  </si>
  <si>
    <t>7.38% GOI (MD 20/06/2027)</t>
  </si>
  <si>
    <t>Prataap Snacks Limited</t>
  </si>
  <si>
    <t>Net Equity</t>
  </si>
  <si>
    <t>Dr. Reddy's Laboratories Limited</t>
  </si>
  <si>
    <t>Bajaj Auto Limited</t>
  </si>
  <si>
    <t>Escorts Kubota Limited</t>
  </si>
  <si>
    <t>Cyient Limited</t>
  </si>
  <si>
    <t>Westlife Foodworld Limited</t>
  </si>
  <si>
    <t>H.G. Infra Engineering Limited</t>
  </si>
  <si>
    <t>Hero MotoCorp Limited</t>
  </si>
  <si>
    <t>InterGlobe Aviation Limited</t>
  </si>
  <si>
    <t>Minerals &amp; Mining</t>
  </si>
  <si>
    <t>KEC International Limited</t>
  </si>
  <si>
    <t>Ahluwalia Contracts (India) Limited</t>
  </si>
  <si>
    <t>MphasiS Limited</t>
  </si>
  <si>
    <t>LTIMindtree Limited</t>
  </si>
  <si>
    <t>Hindustan Aeronautics Limited</t>
  </si>
  <si>
    <t>Rossari Biotech Limited</t>
  </si>
  <si>
    <t>The Federal Bank Limited</t>
  </si>
  <si>
    <t>NCC Limited</t>
  </si>
  <si>
    <t>Godrej Consumer Products Limited</t>
  </si>
  <si>
    <t>7.1% GOI (MD 18/04/2029)</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</si>
  <si>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</si>
  <si>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</si>
  <si>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</si>
  <si>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</si>
  <si>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</si>
  <si>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</si>
  <si>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</si>
  <si>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</si>
  <si>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</si>
  <si>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</si>
  <si>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</si>
  <si>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</si>
  <si>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</si>
  <si>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</si>
  <si>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</si>
  <si>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</si>
  <si>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</si>
  <si>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</si>
  <si>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</si>
  <si>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</si>
  <si>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</si>
  <si>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</si>
  <si>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</si>
  <si>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</si>
  <si>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</si>
  <si>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</si>
  <si>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</si>
  <si>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</si>
  <si>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</si>
  <si>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</si>
  <si>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</si>
  <si>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Commercial Paper</t>
  </si>
  <si>
    <t>Zero Coupon Bond</t>
  </si>
  <si>
    <t>Sundaram Finance Limited</t>
  </si>
  <si>
    <t>Mutual Fund Units: Bandhan Cash Fund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</si>
  <si>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</si>
  <si>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</si>
  <si>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</si>
  <si>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</si>
  <si>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</si>
  <si>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</si>
  <si>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</si>
  <si>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</si>
  <si>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</si>
  <si>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</si>
  <si>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182 Days Tbill (MD 29/09/2023)</t>
  </si>
  <si>
    <t>Tube Investments of India Limited</t>
  </si>
  <si>
    <t>Astral Limited</t>
  </si>
  <si>
    <t>Wheels India Limited</t>
  </si>
  <si>
    <t>Mayur Uniquoters Limited</t>
  </si>
  <si>
    <t>eClerx Services Limited</t>
  </si>
  <si>
    <t>Apollo Hospitals Enterprise Limited</t>
  </si>
  <si>
    <t>182 Days Tbill (MD 26/10/2023)</t>
  </si>
  <si>
    <t>Siemens Limited</t>
  </si>
  <si>
    <t>Miscellaneous</t>
  </si>
  <si>
    <t>Tata Communications Limited</t>
  </si>
  <si>
    <t>Jamna Auto Industries Limited</t>
  </si>
  <si>
    <t>Sandhar Technologies Limited</t>
  </si>
  <si>
    <t>IDFC First Bank Limited</t>
  </si>
  <si>
    <t>Indian Oil Corporation Limited</t>
  </si>
  <si>
    <t>7.26% GOI (MD 06/02/2033)</t>
  </si>
  <si>
    <t>IPCA Laboratories Limited</t>
  </si>
  <si>
    <t>BANDHAN FINANCIAL SERVICES FUND</t>
  </si>
  <si>
    <t>APL Apollo Tubes Limited</t>
  </si>
  <si>
    <t>Navin Fluorine International Limited</t>
  </si>
  <si>
    <t>Financial Technology (Fintech)</t>
  </si>
  <si>
    <t>Zensar Technologies Limited</t>
  </si>
  <si>
    <t>Mahindra Lifespace Developers Limited</t>
  </si>
  <si>
    <t>Syrma SGS Technology Limited</t>
  </si>
  <si>
    <t>Household Products</t>
  </si>
  <si>
    <t>Home First Finance Company India Limited</t>
  </si>
  <si>
    <t>PB Fintech Limited</t>
  </si>
  <si>
    <t>Shriram Finance Limited</t>
  </si>
  <si>
    <t>Piramal Enterprises Limited</t>
  </si>
  <si>
    <t>Five Star Business Finance Limited</t>
  </si>
  <si>
    <t>Colgate Palmolive (India) Limited</t>
  </si>
  <si>
    <t>The Phoenix Mills Limited</t>
  </si>
  <si>
    <t>Suzlon Energy Limited</t>
  </si>
  <si>
    <t>Hindalco Industries Limited</t>
  </si>
  <si>
    <t>NMDC Limited</t>
  </si>
  <si>
    <t>NHPC Limited</t>
  </si>
  <si>
    <t>Grasim Industries Limited</t>
  </si>
  <si>
    <t>L&amp;T Technology Services Limited</t>
  </si>
  <si>
    <t>6649.65 crs</t>
  </si>
  <si>
    <t>860.45 crs</t>
  </si>
  <si>
    <t>Supreme Industries Limited</t>
  </si>
  <si>
    <t>Persistent Systems Limited</t>
  </si>
  <si>
    <t>EIH Limited</t>
  </si>
  <si>
    <t>Avanti Feeds Limited</t>
  </si>
  <si>
    <t>1499.48 crs</t>
  </si>
  <si>
    <t>6120.09 crs</t>
  </si>
  <si>
    <t>Cholamandalam Financial Holdings Limited</t>
  </si>
  <si>
    <t>Birlasoft Limited</t>
  </si>
  <si>
    <t>Nitin Spinners Limited</t>
  </si>
  <si>
    <t>ITD Cementation India Limited</t>
  </si>
  <si>
    <t>767.99 crs</t>
  </si>
  <si>
    <t>323.89 crs</t>
  </si>
  <si>
    <t>559.80 crs</t>
  </si>
  <si>
    <t>5073.13 crs</t>
  </si>
  <si>
    <t>867.38 crs</t>
  </si>
  <si>
    <t>0.97 crs</t>
  </si>
  <si>
    <t>Wipro Limited</t>
  </si>
  <si>
    <t>26.91 crs</t>
  </si>
  <si>
    <t>21.72 crs</t>
  </si>
  <si>
    <t>81.41 crs</t>
  </si>
  <si>
    <t>19.46 crs</t>
  </si>
  <si>
    <t>Data Patterns (India) Limited</t>
  </si>
  <si>
    <t>Laurus Labs Limited</t>
  </si>
  <si>
    <t>Page Industries Limited</t>
  </si>
  <si>
    <t>5.98 crs</t>
  </si>
  <si>
    <t>17.13 crs</t>
  </si>
  <si>
    <t>15.75 crs</t>
  </si>
  <si>
    <t>615.19 crs</t>
  </si>
  <si>
    <t>131.98 crs</t>
  </si>
  <si>
    <t>83.72 crs</t>
  </si>
  <si>
    <t>2354.97 crs</t>
  </si>
  <si>
    <t>3931.22 crs</t>
  </si>
  <si>
    <t>332.69 crs</t>
  </si>
  <si>
    <t>2846.59 crs</t>
  </si>
  <si>
    <t>1149.12 crs</t>
  </si>
  <si>
    <t>1332.20 crs</t>
  </si>
  <si>
    <t>2014.27 crs</t>
  </si>
  <si>
    <t>Portfolio as on - (31st August 2023)</t>
  </si>
  <si>
    <t>Net Assets as on 31st August 2023</t>
  </si>
  <si>
    <t>Tech Mahindra Limited</t>
  </si>
  <si>
    <t>HCL Technologies Limited</t>
  </si>
  <si>
    <t>Coforge Limited</t>
  </si>
  <si>
    <t>16.04 crs</t>
  </si>
  <si>
    <t>BANDHAN NIFTY IT INDEX FUND</t>
  </si>
  <si>
    <t>Bajaj Finserv Limited</t>
  </si>
  <si>
    <t>Equitas Small Finance Bank Limited</t>
  </si>
  <si>
    <t>MRF Limited</t>
  </si>
  <si>
    <t>Bharat Forge Limited</t>
  </si>
  <si>
    <t>Steel Strips Wheels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</si>
</sst>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 numFmtId="172" formatCode="#0.000%;\(#0.000%\)"/>
    <numFmt numFmtId="173" formatCode="#0.0000%;\(#0.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5"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70" fontId="3" fillId="0" borderId="0" xfId="1" applyNumberFormat="1" applyFont="1" applyBorder="1"/>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7" fontId="3" fillId="0" borderId="9" xfId="1" applyNumberFormat="1" applyFont="1" applyBorder="1" applyAlignment="1">
      <alignment horizontal="right"/>
    </xf>
    <xf numFmtId="167" fontId="5" fillId="4" borderId="9" xfId="0" applyNumberFormat="1" applyFont="1" applyFill="1" applyBorder="1" applyAlignment="1">
      <alignment horizontal="right"/>
    </xf>
    <xf numFmtId="167" fontId="3" fillId="0" borderId="9" xfId="0" applyNumberFormat="1" applyFont="1" applyBorder="1" applyAlignment="1">
      <alignment vertical="center"/>
    </xf>
    <xf numFmtId="167" fontId="5" fillId="2" borderId="9" xfId="0" applyNumberFormat="1" applyFont="1" applyFill="1" applyBorder="1" applyAlignment="1">
      <alignment horizontal="right" vertical="center"/>
    </xf>
    <xf numFmtId="167"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7" fontId="5" fillId="4" borderId="10" xfId="0" applyNumberFormat="1" applyFont="1" applyFill="1" applyBorder="1" applyAlignment="1">
      <alignment vertical="center" wrapText="1"/>
    </xf>
    <xf numFmtId="167" fontId="3" fillId="0" borderId="10" xfId="0" applyNumberFormat="1" applyFont="1" applyBorder="1" applyAlignment="1">
      <alignment vertical="center"/>
    </xf>
    <xf numFmtId="167" fontId="3" fillId="0" borderId="10" xfId="0" applyNumberFormat="1" applyFont="1" applyFill="1" applyBorder="1" applyAlignment="1">
      <alignment horizontal="right" vertical="center"/>
    </xf>
    <xf numFmtId="167" fontId="3" fillId="0" borderId="10" xfId="0" applyNumberFormat="1" applyFont="1" applyFill="1" applyBorder="1" applyAlignment="1">
      <alignment vertical="center" wrapText="1"/>
    </xf>
    <xf numFmtId="167" fontId="5" fillId="4" borderId="10" xfId="0" applyNumberFormat="1" applyFont="1" applyFill="1" applyBorder="1" applyAlignment="1">
      <alignment horizontal="right" vertical="center"/>
    </xf>
    <xf numFmtId="167" fontId="3" fillId="0" borderId="9" xfId="1" applyNumberFormat="1" applyFont="1" applyFill="1" applyBorder="1" applyAlignment="1">
      <alignment horizontal="right"/>
    </xf>
    <xf numFmtId="173"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72" fontId="3" fillId="0" borderId="9" xfId="1" applyNumberFormat="1" applyFont="1" applyBorder="1" applyAlignment="1">
      <alignment horizontal="right"/>
    </xf>
    <xf numFmtId="0" fontId="3" fillId="0" borderId="16" xfId="2" applyNumberFormat="1" applyFont="1" applyFill="1" applyBorder="1" applyAlignment="1">
      <alignment vertical="center"/>
    </xf>
    <xf numFmtId="167" fontId="3" fillId="0" borderId="9" xfId="1" applyNumberFormat="1" applyFont="1" applyBorder="1"/>
    <xf numFmtId="167"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67" fontId="5" fillId="2" borderId="10" xfId="0" applyNumberFormat="1" applyFont="1" applyFill="1" applyBorder="1" applyAlignment="1">
      <alignment horizontal="right" vertical="center"/>
    </xf>
    <xf numFmtId="10" fontId="5" fillId="4" borderId="9" xfId="0" applyNumberFormat="1" applyFont="1" applyFill="1" applyBorder="1" applyAlignment="1">
      <alignment horizontal="righ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2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0.97647300000000004</c:v>
                </c:pt>
                <c:pt idx="1">
                  <c:v>-1.7769999999999999E-3</c:v>
                </c:pt>
                <c:pt idx="2">
                  <c:v>2.5304E-2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CEF'!$W$8:$W$37</c:f>
              <c:strCache>
                <c:ptCount val="30"/>
                <c:pt idx="0">
                  <c:v>Banks</c:v>
                </c:pt>
                <c:pt idx="1">
                  <c:v>IT - Software</c:v>
                </c:pt>
                <c:pt idx="2">
                  <c:v>Finance</c:v>
                </c:pt>
                <c:pt idx="3">
                  <c:v>Pharmaceuticals &amp; Biotechnology</c:v>
                </c:pt>
                <c:pt idx="4">
                  <c:v>Auto Components</c:v>
                </c:pt>
                <c:pt idx="5">
                  <c:v>Electrical Equipment</c:v>
                </c:pt>
                <c:pt idx="6">
                  <c:v>Petroleum Products</c:v>
                </c:pt>
                <c:pt idx="7">
                  <c:v>Automobiles</c:v>
                </c:pt>
                <c:pt idx="8">
                  <c:v>Construction</c:v>
                </c:pt>
                <c:pt idx="9">
                  <c:v>Power</c:v>
                </c:pt>
                <c:pt idx="10">
                  <c:v>Diversified FMCG</c:v>
                </c:pt>
                <c:pt idx="11">
                  <c:v>Industrial Products</c:v>
                </c:pt>
                <c:pt idx="12">
                  <c:v>Retailing</c:v>
                </c:pt>
                <c:pt idx="13">
                  <c:v>Realty</c:v>
                </c:pt>
                <c:pt idx="14">
                  <c:v>Beverages</c:v>
                </c:pt>
                <c:pt idx="15">
                  <c:v>Non - Ferrous Metals</c:v>
                </c:pt>
                <c:pt idx="16">
                  <c:v>Minerals &amp; Mining</c:v>
                </c:pt>
                <c:pt idx="17">
                  <c:v>Ferrous Metals</c:v>
                </c:pt>
                <c:pt idx="18">
                  <c:v>Consumer Durables</c:v>
                </c:pt>
                <c:pt idx="19">
                  <c:v>Insurance</c:v>
                </c:pt>
                <c:pt idx="20">
                  <c:v>Chemicals &amp; Petrochemicals</c:v>
                </c:pt>
                <c:pt idx="21">
                  <c:v>Telecom - Services</c:v>
                </c:pt>
                <c:pt idx="22">
                  <c:v>Leisure Services</c:v>
                </c:pt>
                <c:pt idx="23">
                  <c:v>Gas</c:v>
                </c:pt>
                <c:pt idx="24">
                  <c:v>Healthcare Services</c:v>
                </c:pt>
                <c:pt idx="25">
                  <c:v>Entertainment</c:v>
                </c:pt>
                <c:pt idx="26">
                  <c:v>Fertilizers &amp; Agrochemicals</c:v>
                </c:pt>
                <c:pt idx="27">
                  <c:v>Diversified</c:v>
                </c:pt>
                <c:pt idx="28">
                  <c:v>Capital Markets</c:v>
                </c:pt>
                <c:pt idx="29">
                  <c:v>Transport Services</c:v>
                </c:pt>
              </c:strCache>
            </c:strRef>
          </c:cat>
          <c:val>
            <c:numRef>
              <c:f>'BANDHAN CEF'!$X$8:$X$37</c:f>
              <c:numCache>
                <c:formatCode>0.00%</c:formatCode>
                <c:ptCount val="30"/>
                <c:pt idx="0">
                  <c:v>0.201297</c:v>
                </c:pt>
                <c:pt idx="1">
                  <c:v>8.8210000000000011E-2</c:v>
                </c:pt>
                <c:pt idx="2">
                  <c:v>8.2290000000000002E-2</c:v>
                </c:pt>
                <c:pt idx="3">
                  <c:v>7.223700000000001E-2</c:v>
                </c:pt>
                <c:pt idx="4">
                  <c:v>6.2844000000000011E-2</c:v>
                </c:pt>
                <c:pt idx="5">
                  <c:v>6.1491000000000004E-2</c:v>
                </c:pt>
                <c:pt idx="6">
                  <c:v>3.8219999999999997E-2</c:v>
                </c:pt>
                <c:pt idx="7">
                  <c:v>2.9235999999999998E-2</c:v>
                </c:pt>
                <c:pt idx="8">
                  <c:v>2.6585000000000001E-2</c:v>
                </c:pt>
                <c:pt idx="9">
                  <c:v>2.5824E-2</c:v>
                </c:pt>
                <c:pt idx="10">
                  <c:v>2.4208E-2</c:v>
                </c:pt>
                <c:pt idx="11">
                  <c:v>2.3667000000000001E-2</c:v>
                </c:pt>
                <c:pt idx="12">
                  <c:v>2.0484000000000002E-2</c:v>
                </c:pt>
                <c:pt idx="13">
                  <c:v>1.7583999999999999E-2</c:v>
                </c:pt>
                <c:pt idx="14">
                  <c:v>1.7571E-2</c:v>
                </c:pt>
                <c:pt idx="15">
                  <c:v>1.7365999999999999E-2</c:v>
                </c:pt>
                <c:pt idx="16">
                  <c:v>1.7291000000000001E-2</c:v>
                </c:pt>
                <c:pt idx="17">
                  <c:v>1.7180999999999998E-2</c:v>
                </c:pt>
                <c:pt idx="18">
                  <c:v>1.7093999999999998E-2</c:v>
                </c:pt>
                <c:pt idx="19">
                  <c:v>1.5724000000000002E-2</c:v>
                </c:pt>
                <c:pt idx="20">
                  <c:v>1.3070999999999999E-2</c:v>
                </c:pt>
                <c:pt idx="21">
                  <c:v>1.0895999999999999E-2</c:v>
                </c:pt>
                <c:pt idx="22">
                  <c:v>9.885999999999999E-3</c:v>
                </c:pt>
                <c:pt idx="23">
                  <c:v>9.6050000000000007E-3</c:v>
                </c:pt>
                <c:pt idx="24">
                  <c:v>9.3019999999999995E-3</c:v>
                </c:pt>
                <c:pt idx="25">
                  <c:v>8.5199999999999998E-3</c:v>
                </c:pt>
                <c:pt idx="26">
                  <c:v>8.4309999999999993E-3</c:v>
                </c:pt>
                <c:pt idx="27">
                  <c:v>7.4830000000000001E-3</c:v>
                </c:pt>
                <c:pt idx="28">
                  <c:v>5.9119999999999997E-3</c:v>
                </c:pt>
                <c:pt idx="29">
                  <c:v>4.705E-3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LCF'!$W$8:$W$33</c:f>
              <c:strCache>
                <c:ptCount val="26"/>
                <c:pt idx="0">
                  <c:v>Banks</c:v>
                </c:pt>
                <c:pt idx="1">
                  <c:v>IT - Software</c:v>
                </c:pt>
                <c:pt idx="2">
                  <c:v>Petroleum Products</c:v>
                </c:pt>
                <c:pt idx="3">
                  <c:v>Automobiles</c:v>
                </c:pt>
                <c:pt idx="4">
                  <c:v>Diversified FMCG</c:v>
                </c:pt>
                <c:pt idx="5">
                  <c:v>Pharmaceuticals &amp; Biotechnology</c:v>
                </c:pt>
                <c:pt idx="6">
                  <c:v>Finance</c:v>
                </c:pt>
                <c:pt idx="7">
                  <c:v>Electrical Equipment</c:v>
                </c:pt>
                <c:pt idx="8">
                  <c:v>Construction</c:v>
                </c:pt>
                <c:pt idx="9">
                  <c:v>Chemicals &amp; Petrochemicals</c:v>
                </c:pt>
                <c:pt idx="10">
                  <c:v>Consumer Durables</c:v>
                </c:pt>
                <c:pt idx="11">
                  <c:v>Cement &amp; Cement Products</c:v>
                </c:pt>
                <c:pt idx="12">
                  <c:v>Transport Services</c:v>
                </c:pt>
                <c:pt idx="13">
                  <c:v>Industrial Products</c:v>
                </c:pt>
                <c:pt idx="14">
                  <c:v>Retailing</c:v>
                </c:pt>
                <c:pt idx="15">
                  <c:v>Auto Components</c:v>
                </c:pt>
                <c:pt idx="16">
                  <c:v>Beverages</c:v>
                </c:pt>
                <c:pt idx="17">
                  <c:v>Power</c:v>
                </c:pt>
                <c:pt idx="18">
                  <c:v>Food Products</c:v>
                </c:pt>
                <c:pt idx="19">
                  <c:v>Telecom - Services</c:v>
                </c:pt>
                <c:pt idx="20">
                  <c:v>Textiles &amp; Apparels</c:v>
                </c:pt>
                <c:pt idx="21">
                  <c:v>IT - Services</c:v>
                </c:pt>
                <c:pt idx="22">
                  <c:v>Aerospace &amp; Defense</c:v>
                </c:pt>
                <c:pt idx="23">
                  <c:v>Realty</c:v>
                </c:pt>
                <c:pt idx="24">
                  <c:v>Healthcare Services</c:v>
                </c:pt>
                <c:pt idx="25">
                  <c:v>Capital Markets</c:v>
                </c:pt>
              </c:strCache>
            </c:strRef>
          </c:cat>
          <c:val>
            <c:numRef>
              <c:f>'BANDHAN LCF'!$X$8:$X$33</c:f>
              <c:numCache>
                <c:formatCode>0.00%</c:formatCode>
                <c:ptCount val="26"/>
                <c:pt idx="0">
                  <c:v>0.29799000000000003</c:v>
                </c:pt>
                <c:pt idx="1">
                  <c:v>0.12656100000000001</c:v>
                </c:pt>
                <c:pt idx="2">
                  <c:v>7.8663999999999998E-2</c:v>
                </c:pt>
                <c:pt idx="3">
                  <c:v>6.5585999999999992E-2</c:v>
                </c:pt>
                <c:pt idx="4">
                  <c:v>5.8888999999999997E-2</c:v>
                </c:pt>
                <c:pt idx="5">
                  <c:v>4.9898999999999999E-2</c:v>
                </c:pt>
                <c:pt idx="6">
                  <c:v>3.9190999999999997E-2</c:v>
                </c:pt>
                <c:pt idx="7">
                  <c:v>2.9451000000000001E-2</c:v>
                </c:pt>
                <c:pt idx="8">
                  <c:v>2.7327000000000001E-2</c:v>
                </c:pt>
                <c:pt idx="9">
                  <c:v>2.0323000000000001E-2</c:v>
                </c:pt>
                <c:pt idx="10">
                  <c:v>1.9944E-2</c:v>
                </c:pt>
                <c:pt idx="11">
                  <c:v>1.9318999999999999E-2</c:v>
                </c:pt>
                <c:pt idx="12">
                  <c:v>1.4633E-2</c:v>
                </c:pt>
                <c:pt idx="13">
                  <c:v>1.4126E-2</c:v>
                </c:pt>
                <c:pt idx="14">
                  <c:v>1.1807E-2</c:v>
                </c:pt>
                <c:pt idx="15">
                  <c:v>1.1065999999999999E-2</c:v>
                </c:pt>
                <c:pt idx="16">
                  <c:v>1.0827E-2</c:v>
                </c:pt>
                <c:pt idx="17">
                  <c:v>1.0236E-2</c:v>
                </c:pt>
                <c:pt idx="18">
                  <c:v>1.0059999999999999E-2</c:v>
                </c:pt>
                <c:pt idx="19">
                  <c:v>9.8759999999999994E-3</c:v>
                </c:pt>
                <c:pt idx="20">
                  <c:v>9.7909999999999994E-3</c:v>
                </c:pt>
                <c:pt idx="21">
                  <c:v>7.5519999999999997E-3</c:v>
                </c:pt>
                <c:pt idx="22">
                  <c:v>5.7039999999999999E-3</c:v>
                </c:pt>
                <c:pt idx="23">
                  <c:v>5.4200000000000003E-3</c:v>
                </c:pt>
                <c:pt idx="24">
                  <c:v>4.7939999999999997E-3</c:v>
                </c:pt>
                <c:pt idx="25">
                  <c:v>2.3270000000000001E-3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IT - Software</c:v>
                </c:pt>
                <c:pt idx="2">
                  <c:v>Finance</c:v>
                </c:pt>
                <c:pt idx="3">
                  <c:v>Automobiles</c:v>
                </c:pt>
                <c:pt idx="4">
                  <c:v>Electrical Equipment</c:v>
                </c:pt>
                <c:pt idx="5">
                  <c:v>Diversified FMCG</c:v>
                </c:pt>
                <c:pt idx="6">
                  <c:v>Pharmaceuticals &amp; Biotechnology</c:v>
                </c:pt>
                <c:pt idx="7">
                  <c:v>Food Products</c:v>
                </c:pt>
                <c:pt idx="8">
                  <c:v>IT - Services</c:v>
                </c:pt>
                <c:pt idx="9">
                  <c:v>Retailing</c:v>
                </c:pt>
                <c:pt idx="10">
                  <c:v>Petroleum Products</c:v>
                </c:pt>
                <c:pt idx="11">
                  <c:v>Realty</c:v>
                </c:pt>
                <c:pt idx="12">
                  <c:v>Chemicals &amp; Petrochemicals</c:v>
                </c:pt>
                <c:pt idx="13">
                  <c:v>Consumer Durables</c:v>
                </c:pt>
                <c:pt idx="14">
                  <c:v>Leisure Services</c:v>
                </c:pt>
                <c:pt idx="15">
                  <c:v>Auto Components</c:v>
                </c:pt>
                <c:pt idx="16">
                  <c:v>Industrial Manufacturing</c:v>
                </c:pt>
                <c:pt idx="17">
                  <c:v>Transport Services</c:v>
                </c:pt>
                <c:pt idx="18">
                  <c:v>Industrial Products</c:v>
                </c:pt>
                <c:pt idx="19">
                  <c:v>Healthcare Services</c:v>
                </c:pt>
              </c:strCache>
            </c:strRef>
          </c:cat>
          <c:val>
            <c:numRef>
              <c:f>'BANDHAN FEF'!$X$8:$X$27</c:f>
              <c:numCache>
                <c:formatCode>0.00%</c:formatCode>
                <c:ptCount val="20"/>
                <c:pt idx="0">
                  <c:v>0.28262199999999998</c:v>
                </c:pt>
                <c:pt idx="1">
                  <c:v>8.5763000000000006E-2</c:v>
                </c:pt>
                <c:pt idx="2">
                  <c:v>7.6286000000000007E-2</c:v>
                </c:pt>
                <c:pt idx="3">
                  <c:v>6.9780999999999996E-2</c:v>
                </c:pt>
                <c:pt idx="4">
                  <c:v>6.3562000000000007E-2</c:v>
                </c:pt>
                <c:pt idx="5">
                  <c:v>4.3402000000000003E-2</c:v>
                </c:pt>
                <c:pt idx="6">
                  <c:v>4.0049000000000001E-2</c:v>
                </c:pt>
                <c:pt idx="7">
                  <c:v>3.066E-2</c:v>
                </c:pt>
                <c:pt idx="8">
                  <c:v>3.0120999999999998E-2</c:v>
                </c:pt>
                <c:pt idx="9">
                  <c:v>2.9626E-2</c:v>
                </c:pt>
                <c:pt idx="10">
                  <c:v>2.9524000000000002E-2</c:v>
                </c:pt>
                <c:pt idx="11">
                  <c:v>2.7584000000000001E-2</c:v>
                </c:pt>
                <c:pt idx="12">
                  <c:v>2.5692E-2</c:v>
                </c:pt>
                <c:pt idx="13">
                  <c:v>2.4622999999999999E-2</c:v>
                </c:pt>
                <c:pt idx="14">
                  <c:v>2.06E-2</c:v>
                </c:pt>
                <c:pt idx="15">
                  <c:v>2.0219000000000001E-2</c:v>
                </c:pt>
                <c:pt idx="16">
                  <c:v>1.9949000000000001E-2</c:v>
                </c:pt>
                <c:pt idx="17">
                  <c:v>1.9304999999999999E-2</c:v>
                </c:pt>
                <c:pt idx="18">
                  <c:v>1.9082999999999999E-2</c:v>
                </c:pt>
                <c:pt idx="19">
                  <c:v>1.8419000000000001E-2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SVF'!$W$8:$W$34</c:f>
              <c:strCache>
                <c:ptCount val="27"/>
                <c:pt idx="0">
                  <c:v>Banks</c:v>
                </c:pt>
                <c:pt idx="1">
                  <c:v>Pharmaceuticals &amp; Biotechnology</c:v>
                </c:pt>
                <c:pt idx="2">
                  <c:v>Electrical Equipment</c:v>
                </c:pt>
                <c:pt idx="3">
                  <c:v>IT - Software</c:v>
                </c:pt>
                <c:pt idx="4">
                  <c:v>Finance</c:v>
                </c:pt>
                <c:pt idx="5">
                  <c:v>Auto Components</c:v>
                </c:pt>
                <c:pt idx="6">
                  <c:v>Ferrous Metals</c:v>
                </c:pt>
                <c:pt idx="7">
                  <c:v>Consumer Durables</c:v>
                </c:pt>
                <c:pt idx="8">
                  <c:v>Petroleum Products</c:v>
                </c:pt>
                <c:pt idx="9">
                  <c:v>Leisure Services</c:v>
                </c:pt>
                <c:pt idx="10">
                  <c:v>Automobiles</c:v>
                </c:pt>
                <c:pt idx="11">
                  <c:v>Diversified FMCG</c:v>
                </c:pt>
                <c:pt idx="12">
                  <c:v>Cement &amp; Cement Products</c:v>
                </c:pt>
                <c:pt idx="13">
                  <c:v>Power</c:v>
                </c:pt>
                <c:pt idx="14">
                  <c:v>Beverages</c:v>
                </c:pt>
                <c:pt idx="15">
                  <c:v>Industrial Products</c:v>
                </c:pt>
                <c:pt idx="16">
                  <c:v>Construction</c:v>
                </c:pt>
                <c:pt idx="17">
                  <c:v>Transport Services</c:v>
                </c:pt>
                <c:pt idx="18">
                  <c:v>Insurance</c:v>
                </c:pt>
                <c:pt idx="19">
                  <c:v>Food Products</c:v>
                </c:pt>
                <c:pt idx="20">
                  <c:v>Personal Products</c:v>
                </c:pt>
                <c:pt idx="21">
                  <c:v>Oil</c:v>
                </c:pt>
                <c:pt idx="22">
                  <c:v>Gas</c:v>
                </c:pt>
                <c:pt idx="23">
                  <c:v>Chemicals &amp; Petrochemicals</c:v>
                </c:pt>
                <c:pt idx="24">
                  <c:v>Textiles &amp; Apparels</c:v>
                </c:pt>
                <c:pt idx="25">
                  <c:v>Non - Ferrous Metals</c:v>
                </c:pt>
                <c:pt idx="26">
                  <c:v>Retailing</c:v>
                </c:pt>
              </c:strCache>
            </c:strRef>
          </c:cat>
          <c:val>
            <c:numRef>
              <c:f>'BANDHAN SVF'!$X$8:$X$34</c:f>
              <c:numCache>
                <c:formatCode>0.00%</c:formatCode>
                <c:ptCount val="27"/>
                <c:pt idx="0">
                  <c:v>0.17225600000000002</c:v>
                </c:pt>
                <c:pt idx="1">
                  <c:v>8.4994E-2</c:v>
                </c:pt>
                <c:pt idx="2">
                  <c:v>6.3195000000000001E-2</c:v>
                </c:pt>
                <c:pt idx="3">
                  <c:v>6.2681000000000001E-2</c:v>
                </c:pt>
                <c:pt idx="4">
                  <c:v>4.8592999999999997E-2</c:v>
                </c:pt>
                <c:pt idx="5">
                  <c:v>4.7031000000000003E-2</c:v>
                </c:pt>
                <c:pt idx="6">
                  <c:v>4.2266999999999999E-2</c:v>
                </c:pt>
                <c:pt idx="7">
                  <c:v>3.3930000000000002E-2</c:v>
                </c:pt>
                <c:pt idx="8">
                  <c:v>3.3841999999999997E-2</c:v>
                </c:pt>
                <c:pt idx="9">
                  <c:v>3.1855999999999995E-2</c:v>
                </c:pt>
                <c:pt idx="10">
                  <c:v>3.159E-2</c:v>
                </c:pt>
                <c:pt idx="11">
                  <c:v>2.6450000000000001E-2</c:v>
                </c:pt>
                <c:pt idx="12">
                  <c:v>2.5301999999999998E-2</c:v>
                </c:pt>
                <c:pt idx="13">
                  <c:v>2.4657000000000002E-2</c:v>
                </c:pt>
                <c:pt idx="14">
                  <c:v>2.4083E-2</c:v>
                </c:pt>
                <c:pt idx="15">
                  <c:v>2.3899E-2</c:v>
                </c:pt>
                <c:pt idx="16">
                  <c:v>2.2189E-2</c:v>
                </c:pt>
                <c:pt idx="17">
                  <c:v>2.0837000000000001E-2</c:v>
                </c:pt>
                <c:pt idx="18">
                  <c:v>1.8966E-2</c:v>
                </c:pt>
                <c:pt idx="19">
                  <c:v>1.6716000000000002E-2</c:v>
                </c:pt>
                <c:pt idx="20">
                  <c:v>1.5115999999999999E-2</c:v>
                </c:pt>
                <c:pt idx="21">
                  <c:v>1.3095000000000001E-2</c:v>
                </c:pt>
                <c:pt idx="22">
                  <c:v>1.2163E-2</c:v>
                </c:pt>
                <c:pt idx="23">
                  <c:v>1.2019E-2</c:v>
                </c:pt>
                <c:pt idx="24">
                  <c:v>1.1847999999999999E-2</c:v>
                </c:pt>
                <c:pt idx="25">
                  <c:v>1.141E-2</c:v>
                </c:pt>
                <c:pt idx="26">
                  <c:v>1.0392999999999999E-2</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'BANDHAN-MCAP'!$W$8:$W$30</c:f>
              <c:strCache>
                <c:ptCount val="23"/>
                <c:pt idx="0">
                  <c:v>Industrial Products</c:v>
                </c:pt>
                <c:pt idx="1">
                  <c:v>Auto Components</c:v>
                </c:pt>
                <c:pt idx="2">
                  <c:v>Electrical Equipment</c:v>
                </c:pt>
                <c:pt idx="3">
                  <c:v>Chemicals &amp; Petrochemicals</c:v>
                </c:pt>
                <c:pt idx="4">
                  <c:v>Banks</c:v>
                </c:pt>
                <c:pt idx="5">
                  <c:v>Retailing</c:v>
                </c:pt>
                <c:pt idx="6">
                  <c:v>Consumer Durables</c:v>
                </c:pt>
                <c:pt idx="7">
                  <c:v>IT - Software</c:v>
                </c:pt>
                <c:pt idx="8">
                  <c:v>Finance</c:v>
                </c:pt>
                <c:pt idx="9">
                  <c:v>Automobiles</c:v>
                </c:pt>
                <c:pt idx="10">
                  <c:v>Pharmaceuticals &amp; Biotechnology</c:v>
                </c:pt>
                <c:pt idx="11">
                  <c:v>Leisure Services</c:v>
                </c:pt>
                <c:pt idx="12">
                  <c:v>Beverages</c:v>
                </c:pt>
                <c:pt idx="13">
                  <c:v>Telecom - Services</c:v>
                </c:pt>
                <c:pt idx="14">
                  <c:v>Healthcare Services</c:v>
                </c:pt>
                <c:pt idx="15">
                  <c:v>Industrial Manufacturing</c:v>
                </c:pt>
                <c:pt idx="16">
                  <c:v>Aerospace &amp; Defense</c:v>
                </c:pt>
                <c:pt idx="17">
                  <c:v>Fertilizers &amp; Agrochemicals</c:v>
                </c:pt>
                <c:pt idx="18">
                  <c:v>Textiles &amp; Apparels</c:v>
                </c:pt>
                <c:pt idx="19">
                  <c:v>Diversified</c:v>
                </c:pt>
                <c:pt idx="20">
                  <c:v>Capital Markets</c:v>
                </c:pt>
                <c:pt idx="21">
                  <c:v>Financial Technology (Fintech)</c:v>
                </c:pt>
                <c:pt idx="22">
                  <c:v>Food Products</c:v>
                </c:pt>
              </c:strCache>
            </c:strRef>
          </c:cat>
          <c:val>
            <c:numRef>
              <c:f>'BANDHAN-MCAP'!$X$8:$X$30</c:f>
              <c:numCache>
                <c:formatCode>0.00%</c:formatCode>
                <c:ptCount val="23"/>
                <c:pt idx="0">
                  <c:v>0.15862999999999999</c:v>
                </c:pt>
                <c:pt idx="1">
                  <c:v>0.10835699999999999</c:v>
                </c:pt>
                <c:pt idx="2">
                  <c:v>8.1925999999999999E-2</c:v>
                </c:pt>
                <c:pt idx="3">
                  <c:v>6.2464000000000006E-2</c:v>
                </c:pt>
                <c:pt idx="4">
                  <c:v>5.9656000000000001E-2</c:v>
                </c:pt>
                <c:pt idx="5">
                  <c:v>5.7636000000000007E-2</c:v>
                </c:pt>
                <c:pt idx="6">
                  <c:v>5.6907999999999993E-2</c:v>
                </c:pt>
                <c:pt idx="7">
                  <c:v>4.9042000000000002E-2</c:v>
                </c:pt>
                <c:pt idx="8">
                  <c:v>4.2217000000000005E-2</c:v>
                </c:pt>
                <c:pt idx="9">
                  <c:v>3.9178999999999999E-2</c:v>
                </c:pt>
                <c:pt idx="10">
                  <c:v>3.4137000000000001E-2</c:v>
                </c:pt>
                <c:pt idx="11">
                  <c:v>3.2428999999999999E-2</c:v>
                </c:pt>
                <c:pt idx="12">
                  <c:v>3.2368000000000001E-2</c:v>
                </c:pt>
                <c:pt idx="13">
                  <c:v>2.5514999999999999E-2</c:v>
                </c:pt>
                <c:pt idx="14">
                  <c:v>2.4596E-2</c:v>
                </c:pt>
                <c:pt idx="15">
                  <c:v>2.2651000000000001E-2</c:v>
                </c:pt>
                <c:pt idx="16">
                  <c:v>1.8074E-2</c:v>
                </c:pt>
                <c:pt idx="17">
                  <c:v>1.6400999999999999E-2</c:v>
                </c:pt>
                <c:pt idx="18">
                  <c:v>1.6281E-2</c:v>
                </c:pt>
                <c:pt idx="19">
                  <c:v>1.1568E-2</c:v>
                </c:pt>
                <c:pt idx="20">
                  <c:v>9.8399999999999998E-3</c:v>
                </c:pt>
                <c:pt idx="21">
                  <c:v>5.5300000000000002E-3</c:v>
                </c:pt>
                <c:pt idx="22">
                  <c:v>1.954E-3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August 2023)</c:v>
                </c:pt>
              </c:strCache>
            </c:strRef>
          </c:tx>
          <c:invertIfNegative val="0"/>
          <c:cat>
            <c:strRef>
              <c:f>'BANDHAN-MCAP'!$W$8:$W$30</c:f>
              <c:strCache>
                <c:ptCount val="23"/>
                <c:pt idx="0">
                  <c:v>Industrial Products</c:v>
                </c:pt>
                <c:pt idx="1">
                  <c:v>Auto Components</c:v>
                </c:pt>
                <c:pt idx="2">
                  <c:v>Electrical Equipment</c:v>
                </c:pt>
                <c:pt idx="3">
                  <c:v>Chemicals &amp; Petrochemicals</c:v>
                </c:pt>
                <c:pt idx="4">
                  <c:v>Banks</c:v>
                </c:pt>
                <c:pt idx="5">
                  <c:v>Retailing</c:v>
                </c:pt>
                <c:pt idx="6">
                  <c:v>Consumer Durables</c:v>
                </c:pt>
                <c:pt idx="7">
                  <c:v>IT - Software</c:v>
                </c:pt>
                <c:pt idx="8">
                  <c:v>Finance</c:v>
                </c:pt>
                <c:pt idx="9">
                  <c:v>Automobiles</c:v>
                </c:pt>
                <c:pt idx="10">
                  <c:v>Pharmaceuticals &amp; Biotechnology</c:v>
                </c:pt>
                <c:pt idx="11">
                  <c:v>Leisure Services</c:v>
                </c:pt>
                <c:pt idx="12">
                  <c:v>Beverages</c:v>
                </c:pt>
                <c:pt idx="13">
                  <c:v>Telecom - Services</c:v>
                </c:pt>
                <c:pt idx="14">
                  <c:v>Healthcare Services</c:v>
                </c:pt>
                <c:pt idx="15">
                  <c:v>Industrial Manufacturing</c:v>
                </c:pt>
                <c:pt idx="16">
                  <c:v>Aerospace &amp; Defense</c:v>
                </c:pt>
                <c:pt idx="17">
                  <c:v>Fertilizers &amp; Agrochemicals</c:v>
                </c:pt>
                <c:pt idx="18">
                  <c:v>Textiles &amp; Apparels</c:v>
                </c:pt>
                <c:pt idx="19">
                  <c:v>Diversified</c:v>
                </c:pt>
                <c:pt idx="20">
                  <c:v>Capital Markets</c:v>
                </c:pt>
                <c:pt idx="21">
                  <c:v>Financial Technology (Fintech)</c:v>
                </c:pt>
                <c:pt idx="22">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August 2023)</c:v>
                </c:pt>
              </c:strCache>
            </c:strRef>
          </c:tx>
          <c:invertIfNegative val="0"/>
          <c:cat>
            <c:strRef>
              <c:f>'BANDHAN-MCAP'!$W$8:$W$30</c:f>
              <c:strCache>
                <c:ptCount val="23"/>
                <c:pt idx="0">
                  <c:v>Industrial Products</c:v>
                </c:pt>
                <c:pt idx="1">
                  <c:v>Auto Components</c:v>
                </c:pt>
                <c:pt idx="2">
                  <c:v>Electrical Equipment</c:v>
                </c:pt>
                <c:pt idx="3">
                  <c:v>Chemicals &amp; Petrochemicals</c:v>
                </c:pt>
                <c:pt idx="4">
                  <c:v>Banks</c:v>
                </c:pt>
                <c:pt idx="5">
                  <c:v>Retailing</c:v>
                </c:pt>
                <c:pt idx="6">
                  <c:v>Consumer Durables</c:v>
                </c:pt>
                <c:pt idx="7">
                  <c:v>IT - Software</c:v>
                </c:pt>
                <c:pt idx="8">
                  <c:v>Finance</c:v>
                </c:pt>
                <c:pt idx="9">
                  <c:v>Automobiles</c:v>
                </c:pt>
                <c:pt idx="10">
                  <c:v>Pharmaceuticals &amp; Biotechnology</c:v>
                </c:pt>
                <c:pt idx="11">
                  <c:v>Leisure Services</c:v>
                </c:pt>
                <c:pt idx="12">
                  <c:v>Beverages</c:v>
                </c:pt>
                <c:pt idx="13">
                  <c:v>Telecom - Services</c:v>
                </c:pt>
                <c:pt idx="14">
                  <c:v>Healthcare Services</c:v>
                </c:pt>
                <c:pt idx="15">
                  <c:v>Industrial Manufacturing</c:v>
                </c:pt>
                <c:pt idx="16">
                  <c:v>Aerospace &amp; Defense</c:v>
                </c:pt>
                <c:pt idx="17">
                  <c:v>Fertilizers &amp; Agrochemicals</c:v>
                </c:pt>
                <c:pt idx="18">
                  <c:v>Textiles &amp; Apparels</c:v>
                </c:pt>
                <c:pt idx="19">
                  <c:v>Diversified</c:v>
                </c:pt>
                <c:pt idx="20">
                  <c:v>Capital Markets</c:v>
                </c:pt>
                <c:pt idx="21">
                  <c:v>Financial Technology (Fintech)</c:v>
                </c:pt>
                <c:pt idx="22">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MCF'!$W$8:$W$41</c:f>
              <c:strCache>
                <c:ptCount val="34"/>
                <c:pt idx="0">
                  <c:v>Banks</c:v>
                </c:pt>
                <c:pt idx="1">
                  <c:v>Pharmaceuticals &amp; Biotechnology</c:v>
                </c:pt>
                <c:pt idx="2">
                  <c:v>IT - Software</c:v>
                </c:pt>
                <c:pt idx="3">
                  <c:v>Cement &amp; Cement Products</c:v>
                </c:pt>
                <c:pt idx="4">
                  <c:v>Auto Components</c:v>
                </c:pt>
                <c:pt idx="5">
                  <c:v>Consumer Durables</c:v>
                </c:pt>
                <c:pt idx="6">
                  <c:v>Electrical Equipment</c:v>
                </c:pt>
                <c:pt idx="7">
                  <c:v>Industrial Products</c:v>
                </c:pt>
                <c:pt idx="8">
                  <c:v>Finance</c:v>
                </c:pt>
                <c:pt idx="9">
                  <c:v>Construction</c:v>
                </c:pt>
                <c:pt idx="10">
                  <c:v>Insurance</c:v>
                </c:pt>
                <c:pt idx="11">
                  <c:v>Automobiles</c:v>
                </c:pt>
                <c:pt idx="12">
                  <c:v>Realty</c:v>
                </c:pt>
                <c:pt idx="13">
                  <c:v>Beverages</c:v>
                </c:pt>
                <c:pt idx="14">
                  <c:v>IT - Services</c:v>
                </c:pt>
                <c:pt idx="15">
                  <c:v>Entertainment</c:v>
                </c:pt>
                <c:pt idx="16">
                  <c:v>Petroleum Products</c:v>
                </c:pt>
                <c:pt idx="17">
                  <c:v>Leisure Services</c:v>
                </c:pt>
                <c:pt idx="18">
                  <c:v>Agricultural Food &amp; other Products</c:v>
                </c:pt>
                <c:pt idx="19">
                  <c:v>Ferrous Metals</c:v>
                </c:pt>
                <c:pt idx="20">
                  <c:v>Transport Services</c:v>
                </c:pt>
                <c:pt idx="21">
                  <c:v>Fertilizers &amp; Agrochemicals</c:v>
                </c:pt>
                <c:pt idx="22">
                  <c:v>Food Products</c:v>
                </c:pt>
                <c:pt idx="23">
                  <c:v>Diversified FMCG</c:v>
                </c:pt>
                <c:pt idx="24">
                  <c:v>Gas</c:v>
                </c:pt>
                <c:pt idx="25">
                  <c:v>Retailing</c:v>
                </c:pt>
                <c:pt idx="26">
                  <c:v>Telecom - Services</c:v>
                </c:pt>
                <c:pt idx="27">
                  <c:v>Industrial Manufacturing</c:v>
                </c:pt>
                <c:pt idx="28">
                  <c:v>Chemicals &amp; Petrochemicals</c:v>
                </c:pt>
                <c:pt idx="29">
                  <c:v>Minerals &amp; Mining</c:v>
                </c:pt>
                <c:pt idx="30">
                  <c:v>Power</c:v>
                </c:pt>
                <c:pt idx="31">
                  <c:v>Commercial Services &amp; Supplies</c:v>
                </c:pt>
                <c:pt idx="32">
                  <c:v>Miscellaneous</c:v>
                </c:pt>
                <c:pt idx="33">
                  <c:v>Personal Products</c:v>
                </c:pt>
              </c:strCache>
            </c:strRef>
          </c:cat>
          <c:val>
            <c:numRef>
              <c:f>'BANDHAN MCF'!$X$8:$X$41</c:f>
              <c:numCache>
                <c:formatCode>0.00%</c:formatCode>
                <c:ptCount val="34"/>
                <c:pt idx="0">
                  <c:v>0.15912800000000002</c:v>
                </c:pt>
                <c:pt idx="1">
                  <c:v>7.1316000000000004E-2</c:v>
                </c:pt>
                <c:pt idx="2">
                  <c:v>5.8682000000000005E-2</c:v>
                </c:pt>
                <c:pt idx="3">
                  <c:v>4.6090000000000006E-2</c:v>
                </c:pt>
                <c:pt idx="4">
                  <c:v>4.5305999999999999E-2</c:v>
                </c:pt>
                <c:pt idx="5">
                  <c:v>4.1751000000000003E-2</c:v>
                </c:pt>
                <c:pt idx="6">
                  <c:v>3.8010000000000002E-2</c:v>
                </c:pt>
                <c:pt idx="7">
                  <c:v>3.6071000000000006E-2</c:v>
                </c:pt>
                <c:pt idx="8">
                  <c:v>3.5083000000000003E-2</c:v>
                </c:pt>
                <c:pt idx="9">
                  <c:v>3.4075000000000001E-2</c:v>
                </c:pt>
                <c:pt idx="10">
                  <c:v>2.7554000000000002E-2</c:v>
                </c:pt>
                <c:pt idx="11">
                  <c:v>2.6369E-2</c:v>
                </c:pt>
                <c:pt idx="12">
                  <c:v>2.6224000000000001E-2</c:v>
                </c:pt>
                <c:pt idx="13">
                  <c:v>2.6058000000000001E-2</c:v>
                </c:pt>
                <c:pt idx="14">
                  <c:v>2.5061E-2</c:v>
                </c:pt>
                <c:pt idx="15">
                  <c:v>2.427E-2</c:v>
                </c:pt>
                <c:pt idx="16">
                  <c:v>2.3399E-2</c:v>
                </c:pt>
                <c:pt idx="17">
                  <c:v>2.0486999999999998E-2</c:v>
                </c:pt>
                <c:pt idx="18">
                  <c:v>2.0233000000000001E-2</c:v>
                </c:pt>
                <c:pt idx="19">
                  <c:v>1.9880000000000002E-2</c:v>
                </c:pt>
                <c:pt idx="20">
                  <c:v>1.9481999999999999E-2</c:v>
                </c:pt>
                <c:pt idx="21">
                  <c:v>1.9222E-2</c:v>
                </c:pt>
                <c:pt idx="22">
                  <c:v>1.7374000000000001E-2</c:v>
                </c:pt>
                <c:pt idx="23">
                  <c:v>1.4662E-2</c:v>
                </c:pt>
                <c:pt idx="24">
                  <c:v>1.2736000000000001E-2</c:v>
                </c:pt>
                <c:pt idx="25">
                  <c:v>1.2638E-2</c:v>
                </c:pt>
                <c:pt idx="26">
                  <c:v>1.1423000000000001E-2</c:v>
                </c:pt>
                <c:pt idx="27">
                  <c:v>1.0803E-2</c:v>
                </c:pt>
                <c:pt idx="28">
                  <c:v>7.0790000000000002E-3</c:v>
                </c:pt>
                <c:pt idx="29">
                  <c:v>6.9750000000000003E-3</c:v>
                </c:pt>
                <c:pt idx="30">
                  <c:v>6.6959999999999997E-3</c:v>
                </c:pt>
                <c:pt idx="31">
                  <c:v>6.2960000000000004E-3</c:v>
                </c:pt>
                <c:pt idx="32">
                  <c:v>6.1019999999999998E-3</c:v>
                </c:pt>
                <c:pt idx="33">
                  <c:v>3.0149999999999999E-3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August 2023)</c:v>
                </c:pt>
              </c:strCache>
            </c:strRef>
          </c:tx>
          <c:invertIfNegative val="0"/>
          <c:cat>
            <c:strRef>
              <c:f>'BANDHAN MCF'!$W$8:$W$41</c:f>
              <c:strCache>
                <c:ptCount val="34"/>
                <c:pt idx="0">
                  <c:v>Banks</c:v>
                </c:pt>
                <c:pt idx="1">
                  <c:v>Pharmaceuticals &amp; Biotechnology</c:v>
                </c:pt>
                <c:pt idx="2">
                  <c:v>IT - Software</c:v>
                </c:pt>
                <c:pt idx="3">
                  <c:v>Cement &amp; Cement Products</c:v>
                </c:pt>
                <c:pt idx="4">
                  <c:v>Auto Components</c:v>
                </c:pt>
                <c:pt idx="5">
                  <c:v>Consumer Durables</c:v>
                </c:pt>
                <c:pt idx="6">
                  <c:v>Electrical Equipment</c:v>
                </c:pt>
                <c:pt idx="7">
                  <c:v>Industrial Products</c:v>
                </c:pt>
                <c:pt idx="8">
                  <c:v>Finance</c:v>
                </c:pt>
                <c:pt idx="9">
                  <c:v>Construction</c:v>
                </c:pt>
                <c:pt idx="10">
                  <c:v>Insurance</c:v>
                </c:pt>
                <c:pt idx="11">
                  <c:v>Automobiles</c:v>
                </c:pt>
                <c:pt idx="12">
                  <c:v>Realty</c:v>
                </c:pt>
                <c:pt idx="13">
                  <c:v>Beverages</c:v>
                </c:pt>
                <c:pt idx="14">
                  <c:v>IT - Services</c:v>
                </c:pt>
                <c:pt idx="15">
                  <c:v>Entertainment</c:v>
                </c:pt>
                <c:pt idx="16">
                  <c:v>Petroleum Products</c:v>
                </c:pt>
                <c:pt idx="17">
                  <c:v>Leisure Services</c:v>
                </c:pt>
                <c:pt idx="18">
                  <c:v>Agricultural Food &amp; other Products</c:v>
                </c:pt>
                <c:pt idx="19">
                  <c:v>Ferrous Metals</c:v>
                </c:pt>
                <c:pt idx="20">
                  <c:v>Transport Services</c:v>
                </c:pt>
                <c:pt idx="21">
                  <c:v>Fertilizers &amp; Agrochemicals</c:v>
                </c:pt>
                <c:pt idx="22">
                  <c:v>Food Products</c:v>
                </c:pt>
                <c:pt idx="23">
                  <c:v>Diversified FMCG</c:v>
                </c:pt>
                <c:pt idx="24">
                  <c:v>Gas</c:v>
                </c:pt>
                <c:pt idx="25">
                  <c:v>Retailing</c:v>
                </c:pt>
                <c:pt idx="26">
                  <c:v>Telecom - Services</c:v>
                </c:pt>
                <c:pt idx="27">
                  <c:v>Industrial Manufacturing</c:v>
                </c:pt>
                <c:pt idx="28">
                  <c:v>Chemicals &amp; Petrochemicals</c:v>
                </c:pt>
                <c:pt idx="29">
                  <c:v>Minerals &amp; Mining</c:v>
                </c:pt>
                <c:pt idx="30">
                  <c:v>Power</c:v>
                </c:pt>
                <c:pt idx="31">
                  <c:v>Commercial Services &amp; Supplies</c:v>
                </c:pt>
                <c:pt idx="32">
                  <c:v>Miscellaneous</c:v>
                </c:pt>
                <c:pt idx="33">
                  <c:v>Personal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FCF'!$W$8:$W$30</c:f>
              <c:strCache>
                <c:ptCount val="23"/>
                <c:pt idx="0">
                  <c:v>Banks</c:v>
                </c:pt>
                <c:pt idx="1">
                  <c:v>IT - Software</c:v>
                </c:pt>
                <c:pt idx="2">
                  <c:v>Industrial Products</c:v>
                </c:pt>
                <c:pt idx="3">
                  <c:v>Auto Components</c:v>
                </c:pt>
                <c:pt idx="4">
                  <c:v>Finance</c:v>
                </c:pt>
                <c:pt idx="5">
                  <c:v>Automobiles</c:v>
                </c:pt>
                <c:pt idx="6">
                  <c:v>Cement &amp; Cement Products</c:v>
                </c:pt>
                <c:pt idx="7">
                  <c:v>Electrical Equipment</c:v>
                </c:pt>
                <c:pt idx="8">
                  <c:v>Construction</c:v>
                </c:pt>
                <c:pt idx="9">
                  <c:v>Retailing</c:v>
                </c:pt>
                <c:pt idx="10">
                  <c:v>Chemicals &amp; Petrochemicals</c:v>
                </c:pt>
                <c:pt idx="11">
                  <c:v>Consumer Durables</c:v>
                </c:pt>
                <c:pt idx="12">
                  <c:v>Telecom - Services</c:v>
                </c:pt>
                <c:pt idx="13">
                  <c:v>Healthcare Services</c:v>
                </c:pt>
                <c:pt idx="14">
                  <c:v>Aerospace &amp; Defense</c:v>
                </c:pt>
                <c:pt idx="15">
                  <c:v>Diversified</c:v>
                </c:pt>
                <c:pt idx="16">
                  <c:v>Beverages</c:v>
                </c:pt>
                <c:pt idx="17">
                  <c:v>Industrial Manufacturing</c:v>
                </c:pt>
                <c:pt idx="18">
                  <c:v>Transport Services</c:v>
                </c:pt>
                <c:pt idx="19">
                  <c:v>Food Products</c:v>
                </c:pt>
                <c:pt idx="20">
                  <c:v>Diversified FMCG</c:v>
                </c:pt>
                <c:pt idx="21">
                  <c:v>Financial Technology (Fintech)</c:v>
                </c:pt>
                <c:pt idx="22">
                  <c:v>Realty</c:v>
                </c:pt>
              </c:strCache>
            </c:strRef>
          </c:cat>
          <c:val>
            <c:numRef>
              <c:f>'BANDHAN FCF'!$X$8:$X$30</c:f>
              <c:numCache>
                <c:formatCode>0.00%</c:formatCode>
                <c:ptCount val="23"/>
                <c:pt idx="0">
                  <c:v>0.18304100000000001</c:v>
                </c:pt>
                <c:pt idx="1">
                  <c:v>9.4696000000000016E-2</c:v>
                </c:pt>
                <c:pt idx="2">
                  <c:v>8.4464999999999998E-2</c:v>
                </c:pt>
                <c:pt idx="3">
                  <c:v>7.6627000000000001E-2</c:v>
                </c:pt>
                <c:pt idx="4">
                  <c:v>7.3837E-2</c:v>
                </c:pt>
                <c:pt idx="5">
                  <c:v>7.3760999999999993E-2</c:v>
                </c:pt>
                <c:pt idx="6">
                  <c:v>4.3860999999999997E-2</c:v>
                </c:pt>
                <c:pt idx="7">
                  <c:v>3.7936999999999999E-2</c:v>
                </c:pt>
                <c:pt idx="8">
                  <c:v>3.1140000000000001E-2</c:v>
                </c:pt>
                <c:pt idx="9">
                  <c:v>3.0644000000000001E-2</c:v>
                </c:pt>
                <c:pt idx="10">
                  <c:v>3.0447999999999999E-2</c:v>
                </c:pt>
                <c:pt idx="11">
                  <c:v>2.6977000000000001E-2</c:v>
                </c:pt>
                <c:pt idx="12">
                  <c:v>2.3650999999999998E-2</c:v>
                </c:pt>
                <c:pt idx="13">
                  <c:v>2.2827E-2</c:v>
                </c:pt>
                <c:pt idx="14">
                  <c:v>1.9595000000000001E-2</c:v>
                </c:pt>
                <c:pt idx="15">
                  <c:v>1.9389E-2</c:v>
                </c:pt>
                <c:pt idx="16">
                  <c:v>1.9337E-2</c:v>
                </c:pt>
                <c:pt idx="17">
                  <c:v>1.8022999999999997E-2</c:v>
                </c:pt>
                <c:pt idx="18">
                  <c:v>1.5474999999999999E-2</c:v>
                </c:pt>
                <c:pt idx="19">
                  <c:v>1.2316000000000001E-2</c:v>
                </c:pt>
                <c:pt idx="20">
                  <c:v>8.5839999999999996E-3</c:v>
                </c:pt>
                <c:pt idx="21">
                  <c:v>1.8619999999999999E-3</c:v>
                </c:pt>
                <c:pt idx="22">
                  <c:v>3.4699999999999998E-4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(31st August 2023)</c:v>
                </c:pt>
              </c:strCache>
            </c:strRef>
          </c:tx>
          <c:invertIfNegative val="0"/>
          <c:cat>
            <c:strRef>
              <c:f>'BANDHAN FCF'!$W$8:$W$30</c:f>
              <c:strCache>
                <c:ptCount val="23"/>
                <c:pt idx="0">
                  <c:v>Banks</c:v>
                </c:pt>
                <c:pt idx="1">
                  <c:v>IT - Software</c:v>
                </c:pt>
                <c:pt idx="2">
                  <c:v>Industrial Products</c:v>
                </c:pt>
                <c:pt idx="3">
                  <c:v>Auto Components</c:v>
                </c:pt>
                <c:pt idx="4">
                  <c:v>Finance</c:v>
                </c:pt>
                <c:pt idx="5">
                  <c:v>Automobiles</c:v>
                </c:pt>
                <c:pt idx="6">
                  <c:v>Cement &amp; Cement Products</c:v>
                </c:pt>
                <c:pt idx="7">
                  <c:v>Electrical Equipment</c:v>
                </c:pt>
                <c:pt idx="8">
                  <c:v>Construction</c:v>
                </c:pt>
                <c:pt idx="9">
                  <c:v>Retailing</c:v>
                </c:pt>
                <c:pt idx="10">
                  <c:v>Chemicals &amp; Petrochemicals</c:v>
                </c:pt>
                <c:pt idx="11">
                  <c:v>Consumer Durables</c:v>
                </c:pt>
                <c:pt idx="12">
                  <c:v>Telecom - Services</c:v>
                </c:pt>
                <c:pt idx="13">
                  <c:v>Healthcare Services</c:v>
                </c:pt>
                <c:pt idx="14">
                  <c:v>Aerospace &amp; Defense</c:v>
                </c:pt>
                <c:pt idx="15">
                  <c:v>Diversified</c:v>
                </c:pt>
                <c:pt idx="16">
                  <c:v>Beverages</c:v>
                </c:pt>
                <c:pt idx="17">
                  <c:v>Industrial Manufacturing</c:v>
                </c:pt>
                <c:pt idx="18">
                  <c:v>Transport Services</c:v>
                </c:pt>
                <c:pt idx="19">
                  <c:v>Food Products</c:v>
                </c:pt>
                <c:pt idx="20">
                  <c:v>Diversified FMCG</c:v>
                </c:pt>
                <c:pt idx="21">
                  <c:v>Financial Technology (Fintech)</c:v>
                </c:pt>
                <c:pt idx="22">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EBF'!$W$8:$W$44</c:f>
              <c:strCache>
                <c:ptCount val="37"/>
                <c:pt idx="0">
                  <c:v>Finance</c:v>
                </c:pt>
                <c:pt idx="1">
                  <c:v>Industrial Products</c:v>
                </c:pt>
                <c:pt idx="2">
                  <c:v>Auto Components</c:v>
                </c:pt>
                <c:pt idx="3">
                  <c:v>Consumer Durables</c:v>
                </c:pt>
                <c:pt idx="4">
                  <c:v>Banks</c:v>
                </c:pt>
                <c:pt idx="5">
                  <c:v>Electrical Equipment</c:v>
                </c:pt>
                <c:pt idx="6">
                  <c:v>Chemicals &amp; Petrochemicals</c:v>
                </c:pt>
                <c:pt idx="7">
                  <c:v>Healthcare Services</c:v>
                </c:pt>
                <c:pt idx="8">
                  <c:v>Pharmaceuticals &amp; Biotechnology</c:v>
                </c:pt>
                <c:pt idx="9">
                  <c:v>IT - Software</c:v>
                </c:pt>
                <c:pt idx="10">
                  <c:v>Realty</c:v>
                </c:pt>
                <c:pt idx="11">
                  <c:v>Capital Markets</c:v>
                </c:pt>
                <c:pt idx="12">
                  <c:v>Textiles &amp; Apparels</c:v>
                </c:pt>
                <c:pt idx="13">
                  <c:v>Ferrous Metals</c:v>
                </c:pt>
                <c:pt idx="14">
                  <c:v>Agricultural Food &amp; other Products</c:v>
                </c:pt>
                <c:pt idx="15">
                  <c:v>Cement &amp; Cement Products</c:v>
                </c:pt>
                <c:pt idx="16">
                  <c:v>Leisure Services</c:v>
                </c:pt>
                <c:pt idx="17">
                  <c:v>Food Products</c:v>
                </c:pt>
                <c:pt idx="18">
                  <c:v>IT - Services</c:v>
                </c:pt>
                <c:pt idx="19">
                  <c:v>Beverages</c:v>
                </c:pt>
                <c:pt idx="20">
                  <c:v>Commercial Services &amp; Supplies</c:v>
                </c:pt>
                <c:pt idx="21">
                  <c:v>Industrial Manufacturing</c:v>
                </c:pt>
                <c:pt idx="22">
                  <c:v>Retailing</c:v>
                </c:pt>
                <c:pt idx="23">
                  <c:v>Diversified</c:v>
                </c:pt>
                <c:pt idx="24">
                  <c:v>Transport Services</c:v>
                </c:pt>
                <c:pt idx="25">
                  <c:v>Non - Ferrous Metals</c:v>
                </c:pt>
                <c:pt idx="26">
                  <c:v>Construction</c:v>
                </c:pt>
                <c:pt idx="27">
                  <c:v>Aerospace &amp; Defense</c:v>
                </c:pt>
                <c:pt idx="28">
                  <c:v>Gas</c:v>
                </c:pt>
                <c:pt idx="29">
                  <c:v>Petroleum Products</c:v>
                </c:pt>
                <c:pt idx="30">
                  <c:v>Consumable Fuels</c:v>
                </c:pt>
                <c:pt idx="31">
                  <c:v>Automobiles</c:v>
                </c:pt>
                <c:pt idx="32">
                  <c:v>Cigarettes &amp; Tobacco Products</c:v>
                </c:pt>
                <c:pt idx="33">
                  <c:v>Miscellaneous</c:v>
                </c:pt>
                <c:pt idx="34">
                  <c:v>Household Products</c:v>
                </c:pt>
                <c:pt idx="35">
                  <c:v>Fertilizers &amp; Agrochemicals</c:v>
                </c:pt>
                <c:pt idx="36">
                  <c:v>Power</c:v>
                </c:pt>
              </c:strCache>
            </c:strRef>
          </c:cat>
          <c:val>
            <c:numRef>
              <c:f>'BANDHAN EBF'!$X$8:$X$44</c:f>
              <c:numCache>
                <c:formatCode>0.00%</c:formatCode>
                <c:ptCount val="37"/>
                <c:pt idx="0">
                  <c:v>0.10405300000000002</c:v>
                </c:pt>
                <c:pt idx="1">
                  <c:v>8.8667999999999997E-2</c:v>
                </c:pt>
                <c:pt idx="2">
                  <c:v>6.8329000000000001E-2</c:v>
                </c:pt>
                <c:pt idx="3">
                  <c:v>6.5761E-2</c:v>
                </c:pt>
                <c:pt idx="4">
                  <c:v>5.0486000000000003E-2</c:v>
                </c:pt>
                <c:pt idx="5">
                  <c:v>4.6514E-2</c:v>
                </c:pt>
                <c:pt idx="6">
                  <c:v>3.8325999999999999E-2</c:v>
                </c:pt>
                <c:pt idx="7">
                  <c:v>3.4373000000000001E-2</c:v>
                </c:pt>
                <c:pt idx="8">
                  <c:v>3.4158000000000001E-2</c:v>
                </c:pt>
                <c:pt idx="9">
                  <c:v>3.3269E-2</c:v>
                </c:pt>
                <c:pt idx="10">
                  <c:v>3.2304000000000006E-2</c:v>
                </c:pt>
                <c:pt idx="11">
                  <c:v>3.0697000000000002E-2</c:v>
                </c:pt>
                <c:pt idx="12">
                  <c:v>2.7312999999999997E-2</c:v>
                </c:pt>
                <c:pt idx="13">
                  <c:v>2.5301999999999998E-2</c:v>
                </c:pt>
                <c:pt idx="14">
                  <c:v>2.2989999999999997E-2</c:v>
                </c:pt>
                <c:pt idx="15">
                  <c:v>2.2689000000000001E-2</c:v>
                </c:pt>
                <c:pt idx="16">
                  <c:v>2.1572000000000001E-2</c:v>
                </c:pt>
                <c:pt idx="17">
                  <c:v>2.0804000000000003E-2</c:v>
                </c:pt>
                <c:pt idx="18">
                  <c:v>1.8641999999999999E-2</c:v>
                </c:pt>
                <c:pt idx="19">
                  <c:v>1.805E-2</c:v>
                </c:pt>
                <c:pt idx="20">
                  <c:v>1.6188000000000001E-2</c:v>
                </c:pt>
                <c:pt idx="21">
                  <c:v>1.4860999999999999E-2</c:v>
                </c:pt>
                <c:pt idx="22">
                  <c:v>1.4735E-2</c:v>
                </c:pt>
                <c:pt idx="23">
                  <c:v>1.3590999999999999E-2</c:v>
                </c:pt>
                <c:pt idx="24">
                  <c:v>1.2104E-2</c:v>
                </c:pt>
                <c:pt idx="25">
                  <c:v>8.3199999999999993E-3</c:v>
                </c:pt>
                <c:pt idx="26">
                  <c:v>7.5360000000000002E-3</c:v>
                </c:pt>
                <c:pt idx="27">
                  <c:v>7.254E-3</c:v>
                </c:pt>
                <c:pt idx="28">
                  <c:v>6.6020000000000002E-3</c:v>
                </c:pt>
                <c:pt idx="29">
                  <c:v>6.5009999999999998E-3</c:v>
                </c:pt>
                <c:pt idx="30">
                  <c:v>5.7099999999999998E-3</c:v>
                </c:pt>
                <c:pt idx="31">
                  <c:v>5.1659999999999996E-3</c:v>
                </c:pt>
                <c:pt idx="32">
                  <c:v>4.6379999999999998E-3</c:v>
                </c:pt>
                <c:pt idx="33">
                  <c:v>4.5430000000000002E-3</c:v>
                </c:pt>
                <c:pt idx="34">
                  <c:v>4.0080000000000003E-3</c:v>
                </c:pt>
                <c:pt idx="35">
                  <c:v>9.4200000000000002E-4</c:v>
                </c:pt>
                <c:pt idx="36">
                  <c:v>7.4600000000000003E-4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August 2023)</c:v>
                </c:pt>
              </c:strCache>
            </c:strRef>
          </c:tx>
          <c:invertIfNegative val="0"/>
          <c:cat>
            <c:strRef>
              <c:f>'BANDHAN EBF'!$W$8:$W$44</c:f>
              <c:strCache>
                <c:ptCount val="37"/>
                <c:pt idx="0">
                  <c:v>Finance</c:v>
                </c:pt>
                <c:pt idx="1">
                  <c:v>Industrial Products</c:v>
                </c:pt>
                <c:pt idx="2">
                  <c:v>Auto Components</c:v>
                </c:pt>
                <c:pt idx="3">
                  <c:v>Consumer Durables</c:v>
                </c:pt>
                <c:pt idx="4">
                  <c:v>Banks</c:v>
                </c:pt>
                <c:pt idx="5">
                  <c:v>Electrical Equipment</c:v>
                </c:pt>
                <c:pt idx="6">
                  <c:v>Chemicals &amp; Petrochemicals</c:v>
                </c:pt>
                <c:pt idx="7">
                  <c:v>Healthcare Services</c:v>
                </c:pt>
                <c:pt idx="8">
                  <c:v>Pharmaceuticals &amp; Biotechnology</c:v>
                </c:pt>
                <c:pt idx="9">
                  <c:v>IT - Software</c:v>
                </c:pt>
                <c:pt idx="10">
                  <c:v>Realty</c:v>
                </c:pt>
                <c:pt idx="11">
                  <c:v>Capital Markets</c:v>
                </c:pt>
                <c:pt idx="12">
                  <c:v>Textiles &amp; Apparels</c:v>
                </c:pt>
                <c:pt idx="13">
                  <c:v>Ferrous Metals</c:v>
                </c:pt>
                <c:pt idx="14">
                  <c:v>Agricultural Food &amp; other Products</c:v>
                </c:pt>
                <c:pt idx="15">
                  <c:v>Cement &amp; Cement Products</c:v>
                </c:pt>
                <c:pt idx="16">
                  <c:v>Leisure Services</c:v>
                </c:pt>
                <c:pt idx="17">
                  <c:v>Food Products</c:v>
                </c:pt>
                <c:pt idx="18">
                  <c:v>IT - Services</c:v>
                </c:pt>
                <c:pt idx="19">
                  <c:v>Beverages</c:v>
                </c:pt>
                <c:pt idx="20">
                  <c:v>Commercial Services &amp; Supplies</c:v>
                </c:pt>
                <c:pt idx="21">
                  <c:v>Industrial Manufacturing</c:v>
                </c:pt>
                <c:pt idx="22">
                  <c:v>Retailing</c:v>
                </c:pt>
                <c:pt idx="23">
                  <c:v>Diversified</c:v>
                </c:pt>
                <c:pt idx="24">
                  <c:v>Transport Services</c:v>
                </c:pt>
                <c:pt idx="25">
                  <c:v>Non - Ferrous Metals</c:v>
                </c:pt>
                <c:pt idx="26">
                  <c:v>Construction</c:v>
                </c:pt>
                <c:pt idx="27">
                  <c:v>Aerospace &amp; Defense</c:v>
                </c:pt>
                <c:pt idx="28">
                  <c:v>Gas</c:v>
                </c:pt>
                <c:pt idx="29">
                  <c:v>Petroleum Products</c:v>
                </c:pt>
                <c:pt idx="30">
                  <c:v>Consumable Fuels</c:v>
                </c:pt>
                <c:pt idx="31">
                  <c:v>Automobiles</c:v>
                </c:pt>
                <c:pt idx="32">
                  <c:v>Cigarettes &amp; Tobacco Products</c:v>
                </c:pt>
                <c:pt idx="33">
                  <c:v>Miscellaneous</c:v>
                </c:pt>
                <c:pt idx="34">
                  <c:v>Household Products</c:v>
                </c:pt>
                <c:pt idx="35">
                  <c:v>Fertilizers &amp; Agrochemicals</c:v>
                </c:pt>
                <c:pt idx="36">
                  <c:v>Power</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August 2023)</c:v>
                </c:pt>
              </c:strCache>
            </c:strRef>
          </c:tx>
          <c:invertIfNegative val="0"/>
          <c:cat>
            <c:strRef>
              <c:f>'BANDHAN EBF'!$W$8:$W$44</c:f>
              <c:strCache>
                <c:ptCount val="37"/>
                <c:pt idx="0">
                  <c:v>Finance</c:v>
                </c:pt>
                <c:pt idx="1">
                  <c:v>Industrial Products</c:v>
                </c:pt>
                <c:pt idx="2">
                  <c:v>Auto Components</c:v>
                </c:pt>
                <c:pt idx="3">
                  <c:v>Consumer Durables</c:v>
                </c:pt>
                <c:pt idx="4">
                  <c:v>Banks</c:v>
                </c:pt>
                <c:pt idx="5">
                  <c:v>Electrical Equipment</c:v>
                </c:pt>
                <c:pt idx="6">
                  <c:v>Chemicals &amp; Petrochemicals</c:v>
                </c:pt>
                <c:pt idx="7">
                  <c:v>Healthcare Services</c:v>
                </c:pt>
                <c:pt idx="8">
                  <c:v>Pharmaceuticals &amp; Biotechnology</c:v>
                </c:pt>
                <c:pt idx="9">
                  <c:v>IT - Software</c:v>
                </c:pt>
                <c:pt idx="10">
                  <c:v>Realty</c:v>
                </c:pt>
                <c:pt idx="11">
                  <c:v>Capital Markets</c:v>
                </c:pt>
                <c:pt idx="12">
                  <c:v>Textiles &amp; Apparels</c:v>
                </c:pt>
                <c:pt idx="13">
                  <c:v>Ferrous Metals</c:v>
                </c:pt>
                <c:pt idx="14">
                  <c:v>Agricultural Food &amp; other Products</c:v>
                </c:pt>
                <c:pt idx="15">
                  <c:v>Cement &amp; Cement Products</c:v>
                </c:pt>
                <c:pt idx="16">
                  <c:v>Leisure Services</c:v>
                </c:pt>
                <c:pt idx="17">
                  <c:v>Food Products</c:v>
                </c:pt>
                <c:pt idx="18">
                  <c:v>IT - Services</c:v>
                </c:pt>
                <c:pt idx="19">
                  <c:v>Beverages</c:v>
                </c:pt>
                <c:pt idx="20">
                  <c:v>Commercial Services &amp; Supplies</c:v>
                </c:pt>
                <c:pt idx="21">
                  <c:v>Industrial Manufacturing</c:v>
                </c:pt>
                <c:pt idx="22">
                  <c:v>Retailing</c:v>
                </c:pt>
                <c:pt idx="23">
                  <c:v>Diversified</c:v>
                </c:pt>
                <c:pt idx="24">
                  <c:v>Transport Services</c:v>
                </c:pt>
                <c:pt idx="25">
                  <c:v>Non - Ferrous Metals</c:v>
                </c:pt>
                <c:pt idx="26">
                  <c:v>Construction</c:v>
                </c:pt>
                <c:pt idx="27">
                  <c:v>Aerospace &amp; Defense</c:v>
                </c:pt>
                <c:pt idx="28">
                  <c:v>Gas</c:v>
                </c:pt>
                <c:pt idx="29">
                  <c:v>Petroleum Products</c:v>
                </c:pt>
                <c:pt idx="30">
                  <c:v>Consumable Fuels</c:v>
                </c:pt>
                <c:pt idx="31">
                  <c:v>Automobiles</c:v>
                </c:pt>
                <c:pt idx="32">
                  <c:v>Cigarettes &amp; Tobacco Products</c:v>
                </c:pt>
                <c:pt idx="33">
                  <c:v>Miscellaneous</c:v>
                </c:pt>
                <c:pt idx="34">
                  <c:v>Household Products</c:v>
                </c:pt>
                <c:pt idx="35">
                  <c:v>Fertilizers &amp; Agrochemicals</c:v>
                </c:pt>
                <c:pt idx="36">
                  <c:v>Power</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IF'!$W$8:$W$22</c:f>
              <c:strCache>
                <c:ptCount val="15"/>
                <c:pt idx="0">
                  <c:v>Construction</c:v>
                </c:pt>
                <c:pt idx="1">
                  <c:v>Cement &amp; Cement Products</c:v>
                </c:pt>
                <c:pt idx="2">
                  <c:v>Industrial Products</c:v>
                </c:pt>
                <c:pt idx="3">
                  <c:v>Electrical Equipment</c:v>
                </c:pt>
                <c:pt idx="4">
                  <c:v>Power</c:v>
                </c:pt>
                <c:pt idx="5">
                  <c:v>Transport Services</c:v>
                </c:pt>
                <c:pt idx="6">
                  <c:v>Telecom - Services</c:v>
                </c:pt>
                <c:pt idx="7">
                  <c:v>Aerospace &amp; Defense</c:v>
                </c:pt>
                <c:pt idx="8">
                  <c:v>Gas</c:v>
                </c:pt>
                <c:pt idx="9">
                  <c:v>Ferrous Metals</c:v>
                </c:pt>
                <c:pt idx="10">
                  <c:v>Realty</c:v>
                </c:pt>
                <c:pt idx="11">
                  <c:v>Industrial Manufacturing</c:v>
                </c:pt>
                <c:pt idx="12">
                  <c:v>Paper, Forest &amp; Jute Products</c:v>
                </c:pt>
                <c:pt idx="13">
                  <c:v>Non - Ferrous Metals</c:v>
                </c:pt>
                <c:pt idx="14">
                  <c:v>Diversified</c:v>
                </c:pt>
              </c:strCache>
            </c:strRef>
          </c:cat>
          <c:val>
            <c:numRef>
              <c:f>'BANDHAN IF'!$X$8:$X$22</c:f>
              <c:numCache>
                <c:formatCode>0.00%</c:formatCode>
                <c:ptCount val="15"/>
                <c:pt idx="0">
                  <c:v>0.29233500000000001</c:v>
                </c:pt>
                <c:pt idx="1">
                  <c:v>0.123109</c:v>
                </c:pt>
                <c:pt idx="2">
                  <c:v>8.9804000000000009E-2</c:v>
                </c:pt>
                <c:pt idx="3">
                  <c:v>8.940300000000001E-2</c:v>
                </c:pt>
                <c:pt idx="4">
                  <c:v>7.1757000000000001E-2</c:v>
                </c:pt>
                <c:pt idx="5">
                  <c:v>6.2898999999999997E-2</c:v>
                </c:pt>
                <c:pt idx="6">
                  <c:v>4.7480999999999995E-2</c:v>
                </c:pt>
                <c:pt idx="7">
                  <c:v>4.6213999999999998E-2</c:v>
                </c:pt>
                <c:pt idx="8">
                  <c:v>4.1398999999999998E-2</c:v>
                </c:pt>
                <c:pt idx="9">
                  <c:v>3.9787000000000003E-2</c:v>
                </c:pt>
                <c:pt idx="10">
                  <c:v>1.4704999999999999E-2</c:v>
                </c:pt>
                <c:pt idx="11">
                  <c:v>9.7190000000000002E-3</c:v>
                </c:pt>
                <c:pt idx="12">
                  <c:v>9.0379999999999992E-3</c:v>
                </c:pt>
                <c:pt idx="13">
                  <c:v>8.4430000000000009E-3</c:v>
                </c:pt>
                <c:pt idx="14">
                  <c:v>5.5170000000000002E-3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TLF'!$W$8:$W$13</c:f>
              <c:strCache>
                <c:ptCount val="6"/>
                <c:pt idx="0">
                  <c:v>Auto Components</c:v>
                </c:pt>
                <c:pt idx="1">
                  <c:v>Automobiles</c:v>
                </c:pt>
                <c:pt idx="2">
                  <c:v>Transport Services</c:v>
                </c:pt>
                <c:pt idx="3">
                  <c:v>Industrial Products</c:v>
                </c:pt>
                <c:pt idx="4">
                  <c:v>Agricultural, Commercial &amp; Construction Vehicles</c:v>
                </c:pt>
                <c:pt idx="5">
                  <c:v>Finance</c:v>
                </c:pt>
              </c:strCache>
            </c:strRef>
          </c:cat>
          <c:val>
            <c:numRef>
              <c:f>'BANDHAN TLF'!$X$8:$X$13</c:f>
              <c:numCache>
                <c:formatCode>0.00%</c:formatCode>
                <c:ptCount val="6"/>
                <c:pt idx="0">
                  <c:v>0.35488900000000001</c:v>
                </c:pt>
                <c:pt idx="1">
                  <c:v>0.30931799999999998</c:v>
                </c:pt>
                <c:pt idx="2">
                  <c:v>0.13545600000000002</c:v>
                </c:pt>
                <c:pt idx="3">
                  <c:v>4.8259999999999997E-2</c:v>
                </c:pt>
                <c:pt idx="4">
                  <c:v>3.9016000000000002E-2</c:v>
                </c:pt>
                <c:pt idx="5">
                  <c:v>1.3086E-2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0.50695900000000005</c:v>
                </c:pt>
                <c:pt idx="1">
                  <c:v>0.28101600000000004</c:v>
                </c:pt>
                <c:pt idx="2">
                  <c:v>9.9889000000000006E-2</c:v>
                </c:pt>
                <c:pt idx="3">
                  <c:v>5.3860000000000005E-2</c:v>
                </c:pt>
                <c:pt idx="4">
                  <c:v>3.968E-2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'BANDHAN-TAF'!$W$8:$W$32</c:f>
              <c:strCache>
                <c:ptCount val="25"/>
                <c:pt idx="0">
                  <c:v>Banks</c:v>
                </c:pt>
                <c:pt idx="1">
                  <c:v>IT - Software</c:v>
                </c:pt>
                <c:pt idx="2">
                  <c:v>Pharmaceuticals &amp; Biotechnology</c:v>
                </c:pt>
                <c:pt idx="3">
                  <c:v>Electrical Equipment</c:v>
                </c:pt>
                <c:pt idx="4">
                  <c:v>Automobiles</c:v>
                </c:pt>
                <c:pt idx="5">
                  <c:v>Petroleum Products</c:v>
                </c:pt>
                <c:pt idx="6">
                  <c:v>Auto Components</c:v>
                </c:pt>
                <c:pt idx="7">
                  <c:v>Cement &amp; Cement Products</c:v>
                </c:pt>
                <c:pt idx="8">
                  <c:v>Finance</c:v>
                </c:pt>
                <c:pt idx="9">
                  <c:v>Construction</c:v>
                </c:pt>
                <c:pt idx="10">
                  <c:v>Industrial Products</c:v>
                </c:pt>
                <c:pt idx="11">
                  <c:v>Ferrous Metals</c:v>
                </c:pt>
                <c:pt idx="12">
                  <c:v>Transport Services</c:v>
                </c:pt>
                <c:pt idx="13">
                  <c:v>Beverages</c:v>
                </c:pt>
                <c:pt idx="14">
                  <c:v>Leisure Services</c:v>
                </c:pt>
                <c:pt idx="15">
                  <c:v>Insurance</c:v>
                </c:pt>
                <c:pt idx="16">
                  <c:v>Chemicals &amp; Petrochemicals</c:v>
                </c:pt>
                <c:pt idx="17">
                  <c:v>Telecom - Services</c:v>
                </c:pt>
                <c:pt idx="18">
                  <c:v>Consumer Durables</c:v>
                </c:pt>
                <c:pt idx="19">
                  <c:v>Power</c:v>
                </c:pt>
                <c:pt idx="20">
                  <c:v>Retailing</c:v>
                </c:pt>
                <c:pt idx="21">
                  <c:v>Non - Ferrous Metals</c:v>
                </c:pt>
                <c:pt idx="22">
                  <c:v>Diversified FMCG</c:v>
                </c:pt>
                <c:pt idx="23">
                  <c:v>Agricultural Food &amp; other Products</c:v>
                </c:pt>
                <c:pt idx="24">
                  <c:v>Food Products</c:v>
                </c:pt>
              </c:strCache>
            </c:strRef>
          </c:cat>
          <c:val>
            <c:numRef>
              <c:f>'BANDHAN-TAF'!$X$8:$X$32</c:f>
              <c:numCache>
                <c:formatCode>0.00%</c:formatCode>
                <c:ptCount val="25"/>
                <c:pt idx="0">
                  <c:v>0.20468000000000003</c:v>
                </c:pt>
                <c:pt idx="1">
                  <c:v>8.3947000000000008E-2</c:v>
                </c:pt>
                <c:pt idx="2">
                  <c:v>7.1537000000000003E-2</c:v>
                </c:pt>
                <c:pt idx="3">
                  <c:v>5.5332999999999993E-2</c:v>
                </c:pt>
                <c:pt idx="4">
                  <c:v>5.1810000000000002E-2</c:v>
                </c:pt>
                <c:pt idx="5">
                  <c:v>4.2701000000000003E-2</c:v>
                </c:pt>
                <c:pt idx="6">
                  <c:v>3.9522000000000002E-2</c:v>
                </c:pt>
                <c:pt idx="7">
                  <c:v>3.567E-2</c:v>
                </c:pt>
                <c:pt idx="8">
                  <c:v>3.4216999999999997E-2</c:v>
                </c:pt>
                <c:pt idx="9">
                  <c:v>3.4090000000000002E-2</c:v>
                </c:pt>
                <c:pt idx="10">
                  <c:v>3.3166000000000001E-2</c:v>
                </c:pt>
                <c:pt idx="11">
                  <c:v>3.2780999999999998E-2</c:v>
                </c:pt>
                <c:pt idx="12">
                  <c:v>2.9278999999999999E-2</c:v>
                </c:pt>
                <c:pt idx="13">
                  <c:v>2.6896E-2</c:v>
                </c:pt>
                <c:pt idx="14">
                  <c:v>2.6519000000000001E-2</c:v>
                </c:pt>
                <c:pt idx="15">
                  <c:v>2.6340000000000002E-2</c:v>
                </c:pt>
                <c:pt idx="16">
                  <c:v>2.1838999999999997E-2</c:v>
                </c:pt>
                <c:pt idx="17">
                  <c:v>2.1523E-2</c:v>
                </c:pt>
                <c:pt idx="18">
                  <c:v>1.9266999999999999E-2</c:v>
                </c:pt>
                <c:pt idx="19">
                  <c:v>1.737E-2</c:v>
                </c:pt>
                <c:pt idx="20">
                  <c:v>1.0999999999999999E-2</c:v>
                </c:pt>
                <c:pt idx="21">
                  <c:v>1.0877E-2</c:v>
                </c:pt>
                <c:pt idx="22">
                  <c:v>1.0834E-2</c:v>
                </c:pt>
                <c:pt idx="23">
                  <c:v>1.069E-2</c:v>
                </c:pt>
                <c:pt idx="24">
                  <c:v>6.9750000000000003E-3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0.70478099999999999</c:v>
                </c:pt>
                <c:pt idx="1">
                  <c:v>0.29521900000000001</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IT - Software</c:v>
                </c:pt>
                <c:pt idx="3">
                  <c:v>Automobiles</c:v>
                </c:pt>
                <c:pt idx="4">
                  <c:v>Auto Components</c:v>
                </c:pt>
                <c:pt idx="5">
                  <c:v>Retailing</c:v>
                </c:pt>
                <c:pt idx="6">
                  <c:v>Chemicals &amp; Petrochemicals</c:v>
                </c:pt>
                <c:pt idx="7">
                  <c:v>Consumer Durables</c:v>
                </c:pt>
                <c:pt idx="8">
                  <c:v>Electrical Equipment</c:v>
                </c:pt>
                <c:pt idx="9">
                  <c:v>Industrial Products</c:v>
                </c:pt>
                <c:pt idx="10">
                  <c:v>Telecom - Services</c:v>
                </c:pt>
                <c:pt idx="11">
                  <c:v>Cement &amp; Cement Products</c:v>
                </c:pt>
                <c:pt idx="12">
                  <c:v>Aerospace &amp; Defense</c:v>
                </c:pt>
                <c:pt idx="13">
                  <c:v>Healthcare Services</c:v>
                </c:pt>
                <c:pt idx="14">
                  <c:v>Diversified FMCG</c:v>
                </c:pt>
                <c:pt idx="15">
                  <c:v>Food Products</c:v>
                </c:pt>
              </c:strCache>
            </c:strRef>
          </c:cat>
          <c:val>
            <c:numRef>
              <c:f>'BANDHAN BAF'!$X$8:$X$23</c:f>
              <c:numCache>
                <c:formatCode>0.00%</c:formatCode>
                <c:ptCount val="16"/>
                <c:pt idx="0">
                  <c:v>9.6919000000000005E-2</c:v>
                </c:pt>
                <c:pt idx="1">
                  <c:v>7.438800000000001E-2</c:v>
                </c:pt>
                <c:pt idx="2">
                  <c:v>4.9792000000000003E-2</c:v>
                </c:pt>
                <c:pt idx="3">
                  <c:v>4.7958000000000001E-2</c:v>
                </c:pt>
                <c:pt idx="4">
                  <c:v>3.9737999999999996E-2</c:v>
                </c:pt>
                <c:pt idx="5">
                  <c:v>2.0139000000000001E-2</c:v>
                </c:pt>
                <c:pt idx="6">
                  <c:v>1.8414E-2</c:v>
                </c:pt>
                <c:pt idx="7">
                  <c:v>1.5906E-2</c:v>
                </c:pt>
                <c:pt idx="8">
                  <c:v>1.5089999999999999E-2</c:v>
                </c:pt>
                <c:pt idx="9">
                  <c:v>1.456E-2</c:v>
                </c:pt>
                <c:pt idx="10">
                  <c:v>1.409E-2</c:v>
                </c:pt>
                <c:pt idx="11">
                  <c:v>1.3861999999999999E-2</c:v>
                </c:pt>
                <c:pt idx="12">
                  <c:v>1.3666000000000001E-2</c:v>
                </c:pt>
                <c:pt idx="13">
                  <c:v>1.1844E-2</c:v>
                </c:pt>
                <c:pt idx="14">
                  <c:v>9.3220000000000039E-3</c:v>
                </c:pt>
                <c:pt idx="15">
                  <c:v>7.0020000000000004E-3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Finance</c:v>
                </c:pt>
                <c:pt idx="2">
                  <c:v>IT - Software</c:v>
                </c:pt>
                <c:pt idx="3">
                  <c:v>Automobiles</c:v>
                </c:pt>
                <c:pt idx="4">
                  <c:v>Auto Components</c:v>
                </c:pt>
                <c:pt idx="5">
                  <c:v>Retailing</c:v>
                </c:pt>
                <c:pt idx="6">
                  <c:v>Chemicals &amp; Petrochemicals</c:v>
                </c:pt>
                <c:pt idx="7">
                  <c:v>Consumer Durables</c:v>
                </c:pt>
                <c:pt idx="8">
                  <c:v>Electrical Equipment</c:v>
                </c:pt>
                <c:pt idx="9">
                  <c:v>Industrial Products</c:v>
                </c:pt>
                <c:pt idx="10">
                  <c:v>Telecom - Services</c:v>
                </c:pt>
                <c:pt idx="11">
                  <c:v>Cement &amp; Cement Products</c:v>
                </c:pt>
                <c:pt idx="12">
                  <c:v>Aerospace &amp; Defense</c:v>
                </c:pt>
                <c:pt idx="13">
                  <c:v>Healthcare Services</c:v>
                </c:pt>
                <c:pt idx="14">
                  <c:v>Diversified FMCG</c:v>
                </c:pt>
                <c:pt idx="15">
                  <c:v>Food Products</c:v>
                </c:pt>
                <c:pt idx="16">
                  <c:v>Fertilizers &amp; Agrochemicals</c:v>
                </c:pt>
              </c:strCache>
            </c:strRef>
          </c:cat>
          <c:val>
            <c:numRef>
              <c:f>'BANDHAN BAF'!$X$8:$X$24</c:f>
              <c:numCache>
                <c:formatCode>0.00%</c:formatCode>
                <c:ptCount val="17"/>
                <c:pt idx="0">
                  <c:v>9.6919000000000005E-2</c:v>
                </c:pt>
                <c:pt idx="1">
                  <c:v>7.438800000000001E-2</c:v>
                </c:pt>
                <c:pt idx="2">
                  <c:v>4.9792000000000003E-2</c:v>
                </c:pt>
                <c:pt idx="3">
                  <c:v>4.7958000000000001E-2</c:v>
                </c:pt>
                <c:pt idx="4">
                  <c:v>3.9737999999999996E-2</c:v>
                </c:pt>
                <c:pt idx="5">
                  <c:v>2.0139000000000001E-2</c:v>
                </c:pt>
                <c:pt idx="6">
                  <c:v>1.8414E-2</c:v>
                </c:pt>
                <c:pt idx="7">
                  <c:v>1.5906E-2</c:v>
                </c:pt>
                <c:pt idx="8">
                  <c:v>1.5089999999999999E-2</c:v>
                </c:pt>
                <c:pt idx="9">
                  <c:v>1.456E-2</c:v>
                </c:pt>
                <c:pt idx="10">
                  <c:v>1.409E-2</c:v>
                </c:pt>
                <c:pt idx="11">
                  <c:v>1.3861999999999999E-2</c:v>
                </c:pt>
                <c:pt idx="12">
                  <c:v>1.3666000000000001E-2</c:v>
                </c:pt>
                <c:pt idx="13">
                  <c:v>1.1844E-2</c:v>
                </c:pt>
                <c:pt idx="14">
                  <c:v>9.3220000000000039E-3</c:v>
                </c:pt>
                <c:pt idx="15">
                  <c:v>7.0020000000000004E-3</c:v>
                </c:pt>
                <c:pt idx="16">
                  <c:v>3.8549999999999999E-3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BAF'!$W$8:$W$31</c:f>
              <c:strCache>
                <c:ptCount val="24"/>
                <c:pt idx="0">
                  <c:v>Banks</c:v>
                </c:pt>
                <c:pt idx="1">
                  <c:v>Finance</c:v>
                </c:pt>
                <c:pt idx="2">
                  <c:v>IT - Software</c:v>
                </c:pt>
                <c:pt idx="3">
                  <c:v>Automobiles</c:v>
                </c:pt>
                <c:pt idx="4">
                  <c:v>Auto Components</c:v>
                </c:pt>
                <c:pt idx="5">
                  <c:v>Retailing</c:v>
                </c:pt>
                <c:pt idx="6">
                  <c:v>Chemicals &amp; Petrochemicals</c:v>
                </c:pt>
                <c:pt idx="7">
                  <c:v>Consumer Durables</c:v>
                </c:pt>
                <c:pt idx="8">
                  <c:v>Electrical Equipment</c:v>
                </c:pt>
                <c:pt idx="9">
                  <c:v>Industrial Products</c:v>
                </c:pt>
                <c:pt idx="10">
                  <c:v>Telecom - Services</c:v>
                </c:pt>
                <c:pt idx="11">
                  <c:v>Cement &amp; Cement Products</c:v>
                </c:pt>
                <c:pt idx="12">
                  <c:v>Aerospace &amp; Defense</c:v>
                </c:pt>
                <c:pt idx="13">
                  <c:v>Healthcare Services</c:v>
                </c:pt>
                <c:pt idx="14">
                  <c:v>Diversified FMCG</c:v>
                </c:pt>
                <c:pt idx="15">
                  <c:v>Food Products</c:v>
                </c:pt>
                <c:pt idx="16">
                  <c:v>Fertilizers &amp; Agrochemicals</c:v>
                </c:pt>
                <c:pt idx="17">
                  <c:v>Beverages</c:v>
                </c:pt>
                <c:pt idx="18">
                  <c:v>Personal Products</c:v>
                </c:pt>
                <c:pt idx="19">
                  <c:v>Pharmaceuticals &amp; Biotechnology</c:v>
                </c:pt>
                <c:pt idx="20">
                  <c:v>Realty</c:v>
                </c:pt>
                <c:pt idx="21">
                  <c:v>Petroleum Products</c:v>
                </c:pt>
                <c:pt idx="22">
                  <c:v>Ferrous Metals</c:v>
                </c:pt>
                <c:pt idx="23">
                  <c:v>Insurance</c:v>
                </c:pt>
              </c:strCache>
            </c:strRef>
          </c:cat>
          <c:val>
            <c:numRef>
              <c:f>'BANDHAN BAF'!$X$8:$X$31</c:f>
              <c:numCache>
                <c:formatCode>0.00%</c:formatCode>
                <c:ptCount val="24"/>
                <c:pt idx="0">
                  <c:v>9.6919000000000005E-2</c:v>
                </c:pt>
                <c:pt idx="1">
                  <c:v>7.438800000000001E-2</c:v>
                </c:pt>
                <c:pt idx="2">
                  <c:v>4.9792000000000003E-2</c:v>
                </c:pt>
                <c:pt idx="3">
                  <c:v>4.7958000000000001E-2</c:v>
                </c:pt>
                <c:pt idx="4">
                  <c:v>3.9737999999999996E-2</c:v>
                </c:pt>
                <c:pt idx="5">
                  <c:v>2.0139000000000001E-2</c:v>
                </c:pt>
                <c:pt idx="6">
                  <c:v>1.8414E-2</c:v>
                </c:pt>
                <c:pt idx="7">
                  <c:v>1.5906E-2</c:v>
                </c:pt>
                <c:pt idx="8">
                  <c:v>1.5089999999999999E-2</c:v>
                </c:pt>
                <c:pt idx="9">
                  <c:v>1.456E-2</c:v>
                </c:pt>
                <c:pt idx="10">
                  <c:v>1.409E-2</c:v>
                </c:pt>
                <c:pt idx="11">
                  <c:v>1.3861999999999999E-2</c:v>
                </c:pt>
                <c:pt idx="12">
                  <c:v>1.3666000000000001E-2</c:v>
                </c:pt>
                <c:pt idx="13">
                  <c:v>1.1844E-2</c:v>
                </c:pt>
                <c:pt idx="14">
                  <c:v>9.3220000000000039E-3</c:v>
                </c:pt>
                <c:pt idx="15">
                  <c:v>7.0020000000000004E-3</c:v>
                </c:pt>
                <c:pt idx="16">
                  <c:v>3.8549999999999999E-3</c:v>
                </c:pt>
                <c:pt idx="17">
                  <c:v>2.0229999999999988E-3</c:v>
                </c:pt>
                <c:pt idx="18">
                  <c:v>1.7300000000000301E-4</c:v>
                </c:pt>
                <c:pt idx="19">
                  <c:v>1.0000000000000189E-5</c:v>
                </c:pt>
                <c:pt idx="20">
                  <c:v>-8.0000000000001945E-6</c:v>
                </c:pt>
                <c:pt idx="21">
                  <c:v>-1.9000000000000353E-5</c:v>
                </c:pt>
                <c:pt idx="22">
                  <c:v>-5.099999999999983E-5</c:v>
                </c:pt>
                <c:pt idx="23">
                  <c:v>-5.8000000000000759E-5</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5.3260823193735977E-2"/>
                  <c:y val="4.924610602560274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0.35018303169768983"/>
                  <c:y val="-0.160981104570904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'BANDHAN-ESF'!$J$9:$J$14</c:f>
              <c:strCache>
                <c:ptCount val="6"/>
                <c:pt idx="0">
                  <c:v>Net Equity </c:v>
                </c:pt>
                <c:pt idx="1">
                  <c:v>Net Current Asset</c:v>
                </c:pt>
                <c:pt idx="2">
                  <c:v>Arbitrage</c:v>
                </c:pt>
                <c:pt idx="3">
                  <c:v>Corporate Bond</c:v>
                </c:pt>
                <c:pt idx="5">
                  <c:v>Mutual Fund Units: Bandhan Cash Fund</c:v>
                </c:pt>
              </c:strCache>
            </c:strRef>
          </c:cat>
          <c:val>
            <c:numRef>
              <c:f>'BANDHAN-ESF'!$K$9:$K$14</c:f>
              <c:numCache>
                <c:formatCode>0.00%</c:formatCode>
                <c:ptCount val="6"/>
                <c:pt idx="0">
                  <c:v>0.21698899999999996</c:v>
                </c:pt>
                <c:pt idx="1">
                  <c:v>8.6941999999999992E-2</c:v>
                </c:pt>
                <c:pt idx="2">
                  <c:v>0.55336099999999999</c:v>
                </c:pt>
                <c:pt idx="3">
                  <c:v>3.8165999999999999E-2</c:v>
                </c:pt>
                <c:pt idx="5">
                  <c:v>0.104542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53721684752644339"/>
                  <c:y val="0.615717543776387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4.2424552856029807E-2"/>
                  <c:y val="0.193392626763800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2656159149491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4.0743000000000001E-2</c:v>
                </c:pt>
                <c:pt idx="1">
                  <c:v>0.20940000000000003</c:v>
                </c:pt>
                <c:pt idx="2">
                  <c:v>8.5516999999999996E-2</c:v>
                </c:pt>
                <c:pt idx="3">
                  <c:v>0.58773999999999993</c:v>
                </c:pt>
                <c:pt idx="4">
                  <c:v>7.6600000000000001E-2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48675817930951293"/>
                  <c:y val="-4.2801556420233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9.5712999999999993E-2</c:v>
                </c:pt>
                <c:pt idx="1">
                  <c:v>0.72433399999999981</c:v>
                </c:pt>
                <c:pt idx="3">
                  <c:v>4.6543000000000001E-2</c:v>
                </c:pt>
                <c:pt idx="4">
                  <c:v>0.13341</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8.5815264316824128E-3"/>
                  <c:y val="9.3563118043080443E-2"/>
                </c:manualLayout>
              </c:layout>
              <c:tx>
                <c:rich>
                  <a:bodyPr wrap="square" lIns="38100" tIns="19050" rIns="38100" bIns="19050" anchor="ctr">
                    <a:noAutofit/>
                  </a:bodyPr>
                  <a:lstStyle/>
                  <a:p>
                    <a:pPr>
                      <a:defRPr/>
                    </a:pPr>
                    <a:r>
                      <a:rPr lang="en-US"/>
                      <a:t>Equity,</a:t>
                    </a:r>
                    <a:r>
                      <a:rPr lang="en-US" baseline="0"/>
                      <a:t> 65.02%</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11841212066832685"/>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0.34266200000000002</c:v>
                </c:pt>
                <c:pt idx="1">
                  <c:v>0.65030099999999991</c:v>
                </c:pt>
                <c:pt idx="2">
                  <c:v>7.0369999999999999E-3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0.55313499999999993</c:v>
                </c:pt>
                <c:pt idx="1">
                  <c:v>0.434062</c:v>
                </c:pt>
                <c:pt idx="2">
                  <c:v>1.2803E-2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0.80013699999999999</c:v>
                </c:pt>
                <c:pt idx="1">
                  <c:v>0.19731499999999999</c:v>
                </c:pt>
                <c:pt idx="2">
                  <c:v>2.5479999999999999E-3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Diversified FMCG</c:v>
                </c:pt>
                <c:pt idx="4">
                  <c:v>Automobiles</c:v>
                </c:pt>
                <c:pt idx="5">
                  <c:v>Finance</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Transport Infrastructure</c:v>
                </c:pt>
                <c:pt idx="19">
                  <c:v>Consumable Fuels</c:v>
                </c:pt>
                <c:pt idx="20">
                  <c:v>Agricultural Food &amp; other Products</c:v>
                </c:pt>
                <c:pt idx="21">
                  <c:v>Healthcare Services</c:v>
                </c:pt>
                <c:pt idx="22">
                  <c:v>Fertilizers &amp; Agrochemicals</c:v>
                </c:pt>
              </c:strCache>
            </c:strRef>
          </c:cat>
          <c:val>
            <c:numRef>
              <c:f>'BANDHAN-NIFTY 50 Index'!$X$8:$X$30</c:f>
              <c:numCache>
                <c:formatCode>0.00%</c:formatCode>
                <c:ptCount val="23"/>
                <c:pt idx="0">
                  <c:v>0.313726</c:v>
                </c:pt>
                <c:pt idx="1">
                  <c:v>0.136493</c:v>
                </c:pt>
                <c:pt idx="2">
                  <c:v>9.9345000000000003E-2</c:v>
                </c:pt>
                <c:pt idx="3">
                  <c:v>7.1761999999999992E-2</c:v>
                </c:pt>
                <c:pt idx="4">
                  <c:v>6.0489000000000008E-2</c:v>
                </c:pt>
                <c:pt idx="5">
                  <c:v>4.0705000000000005E-2</c:v>
                </c:pt>
                <c:pt idx="6">
                  <c:v>3.8330000000000003E-2</c:v>
                </c:pt>
                <c:pt idx="7">
                  <c:v>3.5192000000000001E-2</c:v>
                </c:pt>
                <c:pt idx="8">
                  <c:v>3.2420000000000004E-2</c:v>
                </c:pt>
                <c:pt idx="9">
                  <c:v>2.5232999999999998E-2</c:v>
                </c:pt>
                <c:pt idx="10">
                  <c:v>2.2088E-2</c:v>
                </c:pt>
                <c:pt idx="11">
                  <c:v>2.0355000000000002E-2</c:v>
                </c:pt>
                <c:pt idx="12">
                  <c:v>1.8988999999999999E-2</c:v>
                </c:pt>
                <c:pt idx="13">
                  <c:v>1.5388000000000001E-2</c:v>
                </c:pt>
                <c:pt idx="14">
                  <c:v>1.4960999999999999E-2</c:v>
                </c:pt>
                <c:pt idx="15">
                  <c:v>8.7360000000000007E-3</c:v>
                </c:pt>
                <c:pt idx="16">
                  <c:v>7.9679999999999994E-3</c:v>
                </c:pt>
                <c:pt idx="17">
                  <c:v>7.8810000000000009E-3</c:v>
                </c:pt>
                <c:pt idx="18">
                  <c:v>7.8300000000000002E-3</c:v>
                </c:pt>
                <c:pt idx="19">
                  <c:v>6.1539999999999997E-3</c:v>
                </c:pt>
                <c:pt idx="20">
                  <c:v>5.8199999999999997E-3</c:v>
                </c:pt>
                <c:pt idx="21">
                  <c:v>5.6849999999999999E-3</c:v>
                </c:pt>
                <c:pt idx="22">
                  <c:v>3.4880000000000002E-3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Finance</c:v>
                </c:pt>
                <c:pt idx="7">
                  <c:v>Consumer Durables</c:v>
                </c:pt>
                <c:pt idx="8">
                  <c:v>Telecom - Services</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0.35643999999999998</c:v>
                </c:pt>
                <c:pt idx="1">
                  <c:v>0.15236800000000003</c:v>
                </c:pt>
                <c:pt idx="2">
                  <c:v>0.11269800000000001</c:v>
                </c:pt>
                <c:pt idx="3">
                  <c:v>8.3072000000000007E-2</c:v>
                </c:pt>
                <c:pt idx="4">
                  <c:v>5.3322999999999995E-2</c:v>
                </c:pt>
                <c:pt idx="5">
                  <c:v>4.4276000000000003E-2</c:v>
                </c:pt>
                <c:pt idx="6">
                  <c:v>3.8364999999999996E-2</c:v>
                </c:pt>
                <c:pt idx="7">
                  <c:v>3.7322000000000001E-2</c:v>
                </c:pt>
                <c:pt idx="8">
                  <c:v>2.8566999999999999E-2</c:v>
                </c:pt>
                <c:pt idx="9">
                  <c:v>2.5543999999999997E-2</c:v>
                </c:pt>
                <c:pt idx="10">
                  <c:v>2.3420000000000003E-2</c:v>
                </c:pt>
                <c:pt idx="11">
                  <c:v>1.6253E-2</c:v>
                </c:pt>
                <c:pt idx="12">
                  <c:v>1.2834999999999999E-2</c:v>
                </c:pt>
                <c:pt idx="13">
                  <c:v>1.1316E-2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Diversified FMCG</c:v>
                </c:pt>
                <c:pt idx="4">
                  <c:v>Automobiles</c:v>
                </c:pt>
                <c:pt idx="5">
                  <c:v>Finance</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Transport Infrastructure</c:v>
                </c:pt>
                <c:pt idx="19">
                  <c:v>Consumable Fuels</c:v>
                </c:pt>
                <c:pt idx="20">
                  <c:v>Agricultural Food &amp; other Products</c:v>
                </c:pt>
                <c:pt idx="21">
                  <c:v>Healthcare Services</c:v>
                </c:pt>
                <c:pt idx="22">
                  <c:v>Fertilizers &amp; Agrochemicals</c:v>
                </c:pt>
              </c:strCache>
            </c:strRef>
          </c:cat>
          <c:val>
            <c:numRef>
              <c:f>'BANDHAN- Nifty 50 ETF'!$X$8:$X$30</c:f>
              <c:numCache>
                <c:formatCode>0.00%</c:formatCode>
                <c:ptCount val="23"/>
                <c:pt idx="0">
                  <c:v>0.313529</c:v>
                </c:pt>
                <c:pt idx="1">
                  <c:v>0.136402</c:v>
                </c:pt>
                <c:pt idx="2">
                  <c:v>9.9281999999999995E-2</c:v>
                </c:pt>
                <c:pt idx="3">
                  <c:v>7.1720000000000006E-2</c:v>
                </c:pt>
                <c:pt idx="4">
                  <c:v>6.0432E-2</c:v>
                </c:pt>
                <c:pt idx="5">
                  <c:v>4.1073999999999999E-2</c:v>
                </c:pt>
                <c:pt idx="6">
                  <c:v>3.8311999999999999E-2</c:v>
                </c:pt>
                <c:pt idx="7">
                  <c:v>3.5166000000000003E-2</c:v>
                </c:pt>
                <c:pt idx="8">
                  <c:v>3.2393999999999999E-2</c:v>
                </c:pt>
                <c:pt idx="9">
                  <c:v>2.5217E-2</c:v>
                </c:pt>
                <c:pt idx="10">
                  <c:v>2.2072999999999999E-2</c:v>
                </c:pt>
                <c:pt idx="11">
                  <c:v>2.0344000000000001E-2</c:v>
                </c:pt>
                <c:pt idx="12">
                  <c:v>1.8957000000000002E-2</c:v>
                </c:pt>
                <c:pt idx="13">
                  <c:v>1.533E-2</c:v>
                </c:pt>
                <c:pt idx="14">
                  <c:v>1.4949E-2</c:v>
                </c:pt>
                <c:pt idx="15">
                  <c:v>8.7290000000000006E-3</c:v>
                </c:pt>
                <c:pt idx="16">
                  <c:v>7.9640000000000006E-3</c:v>
                </c:pt>
                <c:pt idx="17">
                  <c:v>7.8750000000000001E-3</c:v>
                </c:pt>
                <c:pt idx="18">
                  <c:v>7.8259999999999996E-3</c:v>
                </c:pt>
                <c:pt idx="19">
                  <c:v>6.1510000000000002E-3</c:v>
                </c:pt>
                <c:pt idx="20">
                  <c:v>5.8149999999999999E-3</c:v>
                </c:pt>
                <c:pt idx="21">
                  <c:v>5.6909999999999999E-3</c:v>
                </c:pt>
                <c:pt idx="22">
                  <c:v>3.4849999999999998E-3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Diversified FMCG</c:v>
                </c:pt>
                <c:pt idx="4">
                  <c:v>Automobiles</c:v>
                </c:pt>
                <c:pt idx="5">
                  <c:v>Finance</c:v>
                </c:pt>
                <c:pt idx="6">
                  <c:v>Consumer Durables</c:v>
                </c:pt>
                <c:pt idx="7">
                  <c:v>Construction</c:v>
                </c:pt>
                <c:pt idx="8">
                  <c:v>Pharmaceuticals &amp; Biotechnology</c:v>
                </c:pt>
                <c:pt idx="9">
                  <c:v>Power</c:v>
                </c:pt>
                <c:pt idx="10">
                  <c:v>Cement &amp; Cement Products</c:v>
                </c:pt>
                <c:pt idx="11">
                  <c:v>Telecom - Services</c:v>
                </c:pt>
                <c:pt idx="12">
                  <c:v>Ferrous Metals</c:v>
                </c:pt>
                <c:pt idx="13">
                  <c:v>Insurance</c:v>
                </c:pt>
                <c:pt idx="14">
                  <c:v>Retailing</c:v>
                </c:pt>
                <c:pt idx="15">
                  <c:v>Food Products</c:v>
                </c:pt>
                <c:pt idx="16">
                  <c:v>Personal Products</c:v>
                </c:pt>
                <c:pt idx="17">
                  <c:v>Agricultural Food &amp; other Products</c:v>
                </c:pt>
                <c:pt idx="18">
                  <c:v>Aerospace &amp; Defense</c:v>
                </c:pt>
                <c:pt idx="19">
                  <c:v>Metals &amp; Minerals Trading</c:v>
                </c:pt>
                <c:pt idx="20">
                  <c:v>Chemicals &amp; Petrochemicals</c:v>
                </c:pt>
                <c:pt idx="21">
                  <c:v>Beverages</c:v>
                </c:pt>
                <c:pt idx="22">
                  <c:v>Oil</c:v>
                </c:pt>
                <c:pt idx="23">
                  <c:v>Non - Ferrous Metals</c:v>
                </c:pt>
                <c:pt idx="24">
                  <c:v>Transport Infrastructure</c:v>
                </c:pt>
                <c:pt idx="25">
                  <c:v>Fertilizers &amp; Agrochemicals</c:v>
                </c:pt>
                <c:pt idx="26">
                  <c:v>Electrical Equipment</c:v>
                </c:pt>
                <c:pt idx="27">
                  <c:v>Consumable Fuels</c:v>
                </c:pt>
                <c:pt idx="28">
                  <c:v>Gas</c:v>
                </c:pt>
                <c:pt idx="29">
                  <c:v>Healthcare Services</c:v>
                </c:pt>
                <c:pt idx="30">
                  <c:v>Auto Components</c:v>
                </c:pt>
                <c:pt idx="31">
                  <c:v>Realty</c:v>
                </c:pt>
                <c:pt idx="32">
                  <c:v>Transport Services</c:v>
                </c:pt>
                <c:pt idx="33">
                  <c:v>Diversified Metals</c:v>
                </c:pt>
                <c:pt idx="34">
                  <c:v>Textiles &amp; Apparels</c:v>
                </c:pt>
                <c:pt idx="35">
                  <c:v>Leisure Services</c:v>
                </c:pt>
                <c:pt idx="36">
                  <c:v>Capital Markets</c:v>
                </c:pt>
              </c:strCache>
            </c:strRef>
          </c:cat>
          <c:val>
            <c:numRef>
              <c:f>'BANDHAN-Nifty 100 Index'!$X$8:$X$44</c:f>
              <c:numCache>
                <c:formatCode>0.00%</c:formatCode>
                <c:ptCount val="37"/>
                <c:pt idx="0">
                  <c:v>0.27527400000000002</c:v>
                </c:pt>
                <c:pt idx="1">
                  <c:v>0.117295</c:v>
                </c:pt>
                <c:pt idx="2">
                  <c:v>8.8667999999999997E-2</c:v>
                </c:pt>
                <c:pt idx="3">
                  <c:v>6.1668000000000001E-2</c:v>
                </c:pt>
                <c:pt idx="4">
                  <c:v>5.1978999999999997E-2</c:v>
                </c:pt>
                <c:pt idx="5">
                  <c:v>4.6577E-2</c:v>
                </c:pt>
                <c:pt idx="6">
                  <c:v>3.3045000000000005E-2</c:v>
                </c:pt>
                <c:pt idx="7">
                  <c:v>3.2938000000000002E-2</c:v>
                </c:pt>
                <c:pt idx="8">
                  <c:v>3.1938999999999995E-2</c:v>
                </c:pt>
                <c:pt idx="9">
                  <c:v>2.826E-2</c:v>
                </c:pt>
                <c:pt idx="10">
                  <c:v>2.4343000000000004E-2</c:v>
                </c:pt>
                <c:pt idx="11">
                  <c:v>2.2825000000000002E-2</c:v>
                </c:pt>
                <c:pt idx="12">
                  <c:v>2.0025000000000001E-2</c:v>
                </c:pt>
                <c:pt idx="13">
                  <c:v>1.9682000000000002E-2</c:v>
                </c:pt>
                <c:pt idx="14">
                  <c:v>1.4813E-2</c:v>
                </c:pt>
                <c:pt idx="15">
                  <c:v>1.3231E-2</c:v>
                </c:pt>
                <c:pt idx="16">
                  <c:v>1.1214999999999999E-2</c:v>
                </c:pt>
                <c:pt idx="17">
                  <c:v>8.5389999999999997E-3</c:v>
                </c:pt>
                <c:pt idx="18">
                  <c:v>8.4939999999999998E-3</c:v>
                </c:pt>
                <c:pt idx="19">
                  <c:v>7.5059999999999997E-3</c:v>
                </c:pt>
                <c:pt idx="20">
                  <c:v>7.3179999999999999E-3</c:v>
                </c:pt>
                <c:pt idx="21">
                  <c:v>7.1970000000000003E-3</c:v>
                </c:pt>
                <c:pt idx="22">
                  <c:v>6.8469999999999998E-3</c:v>
                </c:pt>
                <c:pt idx="23">
                  <c:v>6.7720000000000002E-3</c:v>
                </c:pt>
                <c:pt idx="24">
                  <c:v>6.7289999999999997E-3</c:v>
                </c:pt>
                <c:pt idx="25">
                  <c:v>5.9380000000000006E-3</c:v>
                </c:pt>
                <c:pt idx="26">
                  <c:v>5.8630000000000002E-3</c:v>
                </c:pt>
                <c:pt idx="27">
                  <c:v>5.2890000000000003E-3</c:v>
                </c:pt>
                <c:pt idx="28">
                  <c:v>4.8890000000000001E-3</c:v>
                </c:pt>
                <c:pt idx="29">
                  <c:v>4.8840000000000003E-3</c:v>
                </c:pt>
                <c:pt idx="30">
                  <c:v>3.888E-3</c:v>
                </c:pt>
                <c:pt idx="31">
                  <c:v>3.1449999999999998E-3</c:v>
                </c:pt>
                <c:pt idx="32">
                  <c:v>3.0300000000000001E-3</c:v>
                </c:pt>
                <c:pt idx="33">
                  <c:v>2.7859999999999998E-3</c:v>
                </c:pt>
                <c:pt idx="34">
                  <c:v>2.4169999999999999E-3</c:v>
                </c:pt>
                <c:pt idx="35">
                  <c:v>2.0590000000000001E-3</c:v>
                </c:pt>
                <c:pt idx="36">
                  <c:v>2.0089999999999999E-3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Index'!$W$8:$W$22</c:f>
              <c:strCache>
                <c:ptCount val="15"/>
                <c:pt idx="0">
                  <c:v>Finance</c:v>
                </c:pt>
                <c:pt idx="1">
                  <c:v>Banks</c:v>
                </c:pt>
                <c:pt idx="2">
                  <c:v>Automobiles</c:v>
                </c:pt>
                <c:pt idx="3">
                  <c:v>Industrial Products</c:v>
                </c:pt>
                <c:pt idx="4">
                  <c:v>Electrical Equipment</c:v>
                </c:pt>
                <c:pt idx="5">
                  <c:v>Aerospace &amp; Defense</c:v>
                </c:pt>
                <c:pt idx="6">
                  <c:v>Pharmaceuticals &amp; Biotechnology</c:v>
                </c:pt>
                <c:pt idx="7">
                  <c:v>Leisure Services</c:v>
                </c:pt>
                <c:pt idx="8">
                  <c:v>Diversified FMCG</c:v>
                </c:pt>
                <c:pt idx="9">
                  <c:v>Personal Products</c:v>
                </c:pt>
                <c:pt idx="10">
                  <c:v>Retailing</c:v>
                </c:pt>
                <c:pt idx="11">
                  <c:v>Transport Services</c:v>
                </c:pt>
                <c:pt idx="12">
                  <c:v>Cement &amp; Cement Products</c:v>
                </c:pt>
                <c:pt idx="13">
                  <c:v>Auto Components</c:v>
                </c:pt>
                <c:pt idx="14">
                  <c:v>Healthcare Services</c:v>
                </c:pt>
              </c:strCache>
            </c:strRef>
          </c:cat>
          <c:val>
            <c:numRef>
              <c:f>'BANDHAN-Nifty200 Mom30 Index'!$X$8:$X$22</c:f>
              <c:numCache>
                <c:formatCode>0.00%</c:formatCode>
                <c:ptCount val="15"/>
                <c:pt idx="0">
                  <c:v>0.16877599999999998</c:v>
                </c:pt>
                <c:pt idx="1">
                  <c:v>0.143651</c:v>
                </c:pt>
                <c:pt idx="2">
                  <c:v>9.8855999999999999E-2</c:v>
                </c:pt>
                <c:pt idx="3">
                  <c:v>9.3424000000000007E-2</c:v>
                </c:pt>
                <c:pt idx="4">
                  <c:v>8.4248999999999991E-2</c:v>
                </c:pt>
                <c:pt idx="5">
                  <c:v>7.9565999999999998E-2</c:v>
                </c:pt>
                <c:pt idx="6">
                  <c:v>6.3604999999999995E-2</c:v>
                </c:pt>
                <c:pt idx="7">
                  <c:v>4.9415000000000001E-2</c:v>
                </c:pt>
                <c:pt idx="8">
                  <c:v>4.5922999999999999E-2</c:v>
                </c:pt>
                <c:pt idx="9">
                  <c:v>4.4840999999999999E-2</c:v>
                </c:pt>
                <c:pt idx="10">
                  <c:v>3.5338000000000001E-2</c:v>
                </c:pt>
                <c:pt idx="11">
                  <c:v>3.1126000000000001E-2</c:v>
                </c:pt>
                <c:pt idx="12">
                  <c:v>3.0318999999999999E-2</c:v>
                </c:pt>
                <c:pt idx="13">
                  <c:v>1.7635999999999999E-2</c:v>
                </c:pt>
                <c:pt idx="14">
                  <c:v>1.3858000000000001E-2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IT - Software</c:v>
                </c:pt>
                <c:pt idx="2">
                  <c:v>Banks</c:v>
                </c:pt>
                <c:pt idx="3">
                  <c:v>Power</c:v>
                </c:pt>
                <c:pt idx="4">
                  <c:v>Diversified FMCG</c:v>
                </c:pt>
                <c:pt idx="5">
                  <c:v>Food Products</c:v>
                </c:pt>
                <c:pt idx="6">
                  <c:v>Personal Products</c:v>
                </c:pt>
                <c:pt idx="7">
                  <c:v>Petroleum Products</c:v>
                </c:pt>
                <c:pt idx="8">
                  <c:v>Automobiles</c:v>
                </c:pt>
                <c:pt idx="9">
                  <c:v>Consumer Durables</c:v>
                </c:pt>
                <c:pt idx="10">
                  <c:v>Construction</c:v>
                </c:pt>
                <c:pt idx="11">
                  <c:v>Cement &amp; Cement Products</c:v>
                </c:pt>
                <c:pt idx="12">
                  <c:v>Agricultural Food &amp; other Products</c:v>
                </c:pt>
                <c:pt idx="13">
                  <c:v>Insurance</c:v>
                </c:pt>
                <c:pt idx="14">
                  <c:v>Chemicals &amp; Petrochemicals</c:v>
                </c:pt>
                <c:pt idx="15">
                  <c:v>Finance</c:v>
                </c:pt>
              </c:strCache>
            </c:strRef>
          </c:cat>
          <c:val>
            <c:numRef>
              <c:f>'BANDHAN NIF100LV30'!$X$8:$X$23</c:f>
              <c:numCache>
                <c:formatCode>0.00%</c:formatCode>
                <c:ptCount val="16"/>
                <c:pt idx="0">
                  <c:v>0.15553699999999998</c:v>
                </c:pt>
                <c:pt idx="1">
                  <c:v>0.13621800000000001</c:v>
                </c:pt>
                <c:pt idx="2">
                  <c:v>0.108427</c:v>
                </c:pt>
                <c:pt idx="3">
                  <c:v>7.1698999999999999E-2</c:v>
                </c:pt>
                <c:pt idx="4">
                  <c:v>7.014999999999999E-2</c:v>
                </c:pt>
                <c:pt idx="5">
                  <c:v>6.9831000000000004E-2</c:v>
                </c:pt>
                <c:pt idx="6">
                  <c:v>6.8319999999999992E-2</c:v>
                </c:pt>
                <c:pt idx="7">
                  <c:v>6.7673999999999998E-2</c:v>
                </c:pt>
                <c:pt idx="8">
                  <c:v>6.720799999999999E-2</c:v>
                </c:pt>
                <c:pt idx="9">
                  <c:v>6.5168000000000004E-2</c:v>
                </c:pt>
                <c:pt idx="10">
                  <c:v>3.7978999999999999E-2</c:v>
                </c:pt>
                <c:pt idx="11">
                  <c:v>3.2812000000000001E-2</c:v>
                </c:pt>
                <c:pt idx="12">
                  <c:v>3.2646000000000001E-2</c:v>
                </c:pt>
                <c:pt idx="13">
                  <c:v>3.0797000000000001E-2</c:v>
                </c:pt>
                <c:pt idx="14">
                  <c:v>2.8967E-2</c:v>
                </c:pt>
                <c:pt idx="15">
                  <c:v>8.3299999999999997E-4</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0.98002599999999984</c:v>
                </c:pt>
                <c:pt idx="1">
                  <c:v>1.8232999999999999E-2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126999</xdr:colOff>
      <xdr:row>4</xdr:row>
      <xdr:rowOff>0</xdr:rowOff>
    </xdr:from>
    <xdr:to>
      <xdr:col>19</xdr:col>
      <xdr:colOff>139210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67052</xdr:colOff>
      <xdr:row>7</xdr:row>
      <xdr:rowOff>18629</xdr:rowOff>
    </xdr:from>
    <xdr:to>
      <xdr:col>13</xdr:col>
      <xdr:colOff>756027</xdr:colOff>
      <xdr:row>17</xdr:row>
      <xdr:rowOff>154780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35714</xdr:colOff>
      <xdr:row>7</xdr:row>
      <xdr:rowOff>11908</xdr:rowOff>
    </xdr:from>
    <xdr:to>
      <xdr:col>13</xdr:col>
      <xdr:colOff>729172</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9524</xdr:colOff>
      <xdr:row>7</xdr:row>
      <xdr:rowOff>19050</xdr:rowOff>
    </xdr:from>
    <xdr:to>
      <xdr:col>12</xdr:col>
      <xdr:colOff>12700</xdr:colOff>
      <xdr:row>22</xdr:row>
      <xdr:rowOff>38100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39" t="s">
        <v>192</v>
      </c>
      <c r="D3" s="239"/>
      <c r="E3" s="239"/>
      <c r="F3" s="239"/>
      <c r="G3" s="239"/>
      <c r="H3" s="239"/>
      <c r="I3" s="239"/>
      <c r="J3" s="239"/>
      <c r="K3" s="239"/>
      <c r="L3" s="239"/>
      <c r="M3" s="240"/>
    </row>
    <row r="4" spans="2:24" ht="15.75" x14ac:dyDescent="0.25">
      <c r="B4" s="105"/>
      <c r="C4" s="78" t="s">
        <v>313</v>
      </c>
      <c r="D4" s="30"/>
      <c r="E4" s="30"/>
      <c r="F4" s="5"/>
      <c r="G4" s="5"/>
      <c r="H4" s="5"/>
      <c r="I4" s="5"/>
      <c r="J4" s="5"/>
      <c r="K4" s="5"/>
      <c r="L4" s="5"/>
      <c r="M4" s="21"/>
    </row>
    <row r="5" spans="2:24" ht="20.25" customHeight="1" x14ac:dyDescent="0.25">
      <c r="B5" s="105"/>
      <c r="C5" s="79" t="s">
        <v>314</v>
      </c>
      <c r="D5" s="106" t="s">
        <v>308</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43</v>
      </c>
      <c r="D7" s="107" t="s">
        <v>45</v>
      </c>
      <c r="E7" s="5"/>
      <c r="F7" s="241" t="s">
        <v>50</v>
      </c>
      <c r="G7" s="241"/>
      <c r="H7" s="241"/>
      <c r="I7" s="241"/>
      <c r="J7" s="241"/>
      <c r="K7" s="241"/>
      <c r="L7" s="241"/>
      <c r="M7" s="242"/>
    </row>
    <row r="8" spans="2:24" ht="30" x14ac:dyDescent="0.2">
      <c r="B8" s="105"/>
      <c r="C8" s="67" t="s">
        <v>104</v>
      </c>
      <c r="D8" s="200">
        <v>0.97647300000000004</v>
      </c>
      <c r="E8" s="5"/>
      <c r="F8" s="5"/>
      <c r="G8" s="32"/>
      <c r="H8" s="5"/>
      <c r="I8" s="5" t="s">
        <v>105</v>
      </c>
      <c r="J8" s="54">
        <f>D9</f>
        <v>0.97647300000000004</v>
      </c>
      <c r="K8" s="5"/>
      <c r="L8" s="5"/>
      <c r="M8" s="21"/>
      <c r="S8" s="56"/>
      <c r="W8" s="3" t="s">
        <v>3</v>
      </c>
      <c r="X8" s="3">
        <v>0.25058799999999998</v>
      </c>
    </row>
    <row r="9" spans="2:24" ht="15.75" x14ac:dyDescent="0.25">
      <c r="B9" s="105"/>
      <c r="C9" s="68" t="s">
        <v>105</v>
      </c>
      <c r="D9" s="201">
        <v>0.97647300000000004</v>
      </c>
      <c r="E9" s="5"/>
      <c r="F9" s="5"/>
      <c r="G9" s="5"/>
      <c r="H9" s="5"/>
      <c r="I9" s="5" t="s">
        <v>20</v>
      </c>
      <c r="J9" s="54">
        <f>D13</f>
        <v>-1.7769999999999999E-3</v>
      </c>
      <c r="K9" s="5"/>
      <c r="L9" s="5"/>
      <c r="M9" s="21"/>
      <c r="S9" s="56"/>
      <c r="W9" s="3" t="s">
        <v>9</v>
      </c>
      <c r="X9" s="3">
        <v>6.1296999999999997E-2</v>
      </c>
    </row>
    <row r="10" spans="2:24" x14ac:dyDescent="0.2">
      <c r="B10" s="105"/>
      <c r="C10" s="185" t="s">
        <v>117</v>
      </c>
      <c r="D10" s="202">
        <v>2.5304E-2</v>
      </c>
      <c r="E10" s="5"/>
      <c r="F10" s="5"/>
      <c r="G10" s="5"/>
      <c r="I10" s="3" t="s">
        <v>118</v>
      </c>
      <c r="J10" s="54">
        <f>D11</f>
        <v>2.5304E-2</v>
      </c>
      <c r="K10" s="5"/>
      <c r="L10" s="5"/>
      <c r="M10" s="21"/>
      <c r="S10" s="56"/>
      <c r="W10" s="3" t="s">
        <v>10</v>
      </c>
      <c r="X10" s="3">
        <v>3.0130999999999998E-2</v>
      </c>
    </row>
    <row r="11" spans="2:24" ht="15.75" x14ac:dyDescent="0.2">
      <c r="B11" s="105"/>
      <c r="C11" s="186" t="s">
        <v>118</v>
      </c>
      <c r="D11" s="203">
        <v>2.5304E-2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3">
        <v>-1.7769999999999999E-3</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3"/>
      <c r="D22" s="243"/>
      <c r="E22" s="243"/>
      <c r="F22" s="243"/>
      <c r="G22" s="243"/>
      <c r="H22" s="243"/>
      <c r="I22" s="243"/>
      <c r="J22" s="243"/>
      <c r="K22" s="243"/>
      <c r="L22" s="243"/>
      <c r="M22" s="244"/>
      <c r="S22" s="56"/>
    </row>
    <row r="23" spans="2:24" ht="15.75" thickBot="1" x14ac:dyDescent="0.25">
      <c r="S23" s="56"/>
    </row>
    <row r="24" spans="2:24" ht="15" customHeight="1" x14ac:dyDescent="0.2">
      <c r="B24" s="245" t="s">
        <v>234</v>
      </c>
      <c r="C24" s="246"/>
      <c r="D24" s="246"/>
      <c r="E24" s="246"/>
      <c r="F24" s="246"/>
      <c r="G24" s="246"/>
      <c r="H24" s="246"/>
      <c r="I24" s="246"/>
      <c r="J24" s="246"/>
      <c r="K24" s="246"/>
      <c r="L24" s="246"/>
      <c r="M24" s="246"/>
      <c r="N24" s="247"/>
      <c r="S24" s="56"/>
    </row>
    <row r="25" spans="2:24" ht="15.75" customHeight="1" x14ac:dyDescent="0.2">
      <c r="B25" s="248"/>
      <c r="C25" s="249"/>
      <c r="D25" s="249"/>
      <c r="E25" s="249"/>
      <c r="F25" s="249"/>
      <c r="G25" s="249"/>
      <c r="H25" s="249"/>
      <c r="I25" s="249"/>
      <c r="J25" s="249"/>
      <c r="K25" s="249"/>
      <c r="L25" s="249"/>
      <c r="M25" s="249"/>
      <c r="N25" s="250"/>
      <c r="S25" s="56"/>
    </row>
    <row r="26" spans="2:24" ht="15.75" customHeight="1" x14ac:dyDescent="0.2">
      <c r="B26" s="248"/>
      <c r="C26" s="249"/>
      <c r="D26" s="249"/>
      <c r="E26" s="249"/>
      <c r="F26" s="249"/>
      <c r="G26" s="249"/>
      <c r="H26" s="249"/>
      <c r="I26" s="249"/>
      <c r="J26" s="249"/>
      <c r="K26" s="249"/>
      <c r="L26" s="249"/>
      <c r="M26" s="249"/>
      <c r="N26" s="250"/>
      <c r="S26" s="56"/>
    </row>
    <row r="27" spans="2:24" ht="15.75" customHeight="1" x14ac:dyDescent="0.2">
      <c r="B27" s="248"/>
      <c r="C27" s="249"/>
      <c r="D27" s="249"/>
      <c r="E27" s="249"/>
      <c r="F27" s="249"/>
      <c r="G27" s="249"/>
      <c r="H27" s="249"/>
      <c r="I27" s="249"/>
      <c r="J27" s="249"/>
      <c r="K27" s="249"/>
      <c r="L27" s="249"/>
      <c r="M27" s="249"/>
      <c r="N27" s="250"/>
      <c r="S27" s="56"/>
    </row>
    <row r="28" spans="2:24" ht="15.75" customHeight="1" x14ac:dyDescent="0.2">
      <c r="B28" s="248"/>
      <c r="C28" s="249"/>
      <c r="D28" s="249"/>
      <c r="E28" s="249"/>
      <c r="F28" s="249"/>
      <c r="G28" s="249"/>
      <c r="H28" s="249"/>
      <c r="I28" s="249"/>
      <c r="J28" s="249"/>
      <c r="K28" s="249"/>
      <c r="L28" s="249"/>
      <c r="M28" s="249"/>
      <c r="N28" s="250"/>
      <c r="S28" s="56"/>
    </row>
    <row r="29" spans="2:24" ht="15.75" customHeight="1" x14ac:dyDescent="0.2">
      <c r="B29" s="248"/>
      <c r="C29" s="249"/>
      <c r="D29" s="249"/>
      <c r="E29" s="249"/>
      <c r="F29" s="249"/>
      <c r="G29" s="249"/>
      <c r="H29" s="249"/>
      <c r="I29" s="249"/>
      <c r="J29" s="249"/>
      <c r="K29" s="249"/>
      <c r="L29" s="249"/>
      <c r="M29" s="249"/>
      <c r="N29" s="250"/>
      <c r="S29" s="56"/>
    </row>
    <row r="30" spans="2:24" ht="28.5" customHeight="1" thickBot="1" x14ac:dyDescent="0.25">
      <c r="B30" s="251"/>
      <c r="C30" s="252"/>
      <c r="D30" s="252"/>
      <c r="E30" s="252"/>
      <c r="F30" s="252"/>
      <c r="G30" s="252"/>
      <c r="H30" s="252"/>
      <c r="I30" s="252"/>
      <c r="J30" s="252"/>
      <c r="K30" s="252"/>
      <c r="L30" s="252"/>
      <c r="M30" s="252"/>
      <c r="N30" s="253"/>
      <c r="S30" s="56"/>
    </row>
    <row r="31" spans="2:24" ht="15.75" thickBot="1" x14ac:dyDescent="0.25">
      <c r="S31" s="56"/>
    </row>
    <row r="32" spans="2:24" x14ac:dyDescent="0.2">
      <c r="B32" s="245" t="s">
        <v>106</v>
      </c>
      <c r="C32" s="246"/>
      <c r="D32" s="246"/>
      <c r="E32" s="246"/>
      <c r="F32" s="246"/>
      <c r="G32" s="246"/>
      <c r="H32" s="246"/>
      <c r="I32" s="246"/>
      <c r="J32" s="246"/>
      <c r="K32" s="246"/>
      <c r="L32" s="246"/>
      <c r="M32" s="246"/>
      <c r="N32" s="247"/>
      <c r="S32" s="56"/>
    </row>
    <row r="33" spans="2:19" x14ac:dyDescent="0.2">
      <c r="B33" s="248"/>
      <c r="C33" s="249"/>
      <c r="D33" s="249"/>
      <c r="E33" s="249"/>
      <c r="F33" s="249"/>
      <c r="G33" s="249"/>
      <c r="H33" s="249"/>
      <c r="I33" s="249"/>
      <c r="J33" s="249"/>
      <c r="K33" s="249"/>
      <c r="L33" s="249"/>
      <c r="M33" s="249"/>
      <c r="N33" s="250"/>
      <c r="S33" s="56"/>
    </row>
    <row r="34" spans="2:19" x14ac:dyDescent="0.2">
      <c r="B34" s="248"/>
      <c r="C34" s="249"/>
      <c r="D34" s="249"/>
      <c r="E34" s="249"/>
      <c r="F34" s="249"/>
      <c r="G34" s="249"/>
      <c r="H34" s="249"/>
      <c r="I34" s="249"/>
      <c r="J34" s="249"/>
      <c r="K34" s="249"/>
      <c r="L34" s="249"/>
      <c r="M34" s="249"/>
      <c r="N34" s="250"/>
      <c r="S34" s="56"/>
    </row>
    <row r="35" spans="2:19" x14ac:dyDescent="0.2">
      <c r="B35" s="248"/>
      <c r="C35" s="249"/>
      <c r="D35" s="249"/>
      <c r="E35" s="249"/>
      <c r="F35" s="249"/>
      <c r="G35" s="249"/>
      <c r="H35" s="249"/>
      <c r="I35" s="249"/>
      <c r="J35" s="249"/>
      <c r="K35" s="249"/>
      <c r="L35" s="249"/>
      <c r="M35" s="249"/>
      <c r="N35" s="250"/>
      <c r="S35" s="56"/>
    </row>
    <row r="36" spans="2:19" x14ac:dyDescent="0.2">
      <c r="B36" s="248"/>
      <c r="C36" s="249"/>
      <c r="D36" s="249"/>
      <c r="E36" s="249"/>
      <c r="F36" s="249"/>
      <c r="G36" s="249"/>
      <c r="H36" s="249"/>
      <c r="I36" s="249"/>
      <c r="J36" s="249"/>
      <c r="K36" s="249"/>
      <c r="L36" s="249"/>
      <c r="M36" s="249"/>
      <c r="N36" s="250"/>
      <c r="S36" s="56"/>
    </row>
    <row r="37" spans="2:19" x14ac:dyDescent="0.2">
      <c r="B37" s="248"/>
      <c r="C37" s="249"/>
      <c r="D37" s="249"/>
      <c r="E37" s="249"/>
      <c r="F37" s="249"/>
      <c r="G37" s="249"/>
      <c r="H37" s="249"/>
      <c r="I37" s="249"/>
      <c r="J37" s="249"/>
      <c r="K37" s="249"/>
      <c r="L37" s="249"/>
      <c r="M37" s="249"/>
      <c r="N37" s="250"/>
      <c r="S37" s="56"/>
    </row>
    <row r="38" spans="2:19" ht="15.75" thickBot="1" x14ac:dyDescent="0.25">
      <c r="B38" s="251"/>
      <c r="C38" s="252"/>
      <c r="D38" s="252"/>
      <c r="E38" s="252"/>
      <c r="F38" s="252"/>
      <c r="G38" s="252"/>
      <c r="H38" s="252"/>
      <c r="I38" s="252"/>
      <c r="J38" s="252"/>
      <c r="K38" s="252"/>
      <c r="L38" s="252"/>
      <c r="M38" s="252"/>
      <c r="N38" s="253"/>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4" t="s">
        <v>217</v>
      </c>
      <c r="D3" s="255"/>
      <c r="E3" s="255"/>
      <c r="F3" s="255"/>
      <c r="G3" s="255"/>
      <c r="H3" s="255"/>
      <c r="I3" s="255"/>
      <c r="J3" s="255"/>
      <c r="K3" s="255"/>
      <c r="L3" s="255"/>
      <c r="M3" s="255"/>
      <c r="N3" s="255"/>
      <c r="O3" s="255"/>
      <c r="P3" s="255"/>
      <c r="Q3" s="255"/>
      <c r="R3" s="255"/>
      <c r="S3" s="255"/>
      <c r="T3" s="26"/>
    </row>
    <row r="4" spans="1:24" ht="15.75" customHeight="1" x14ac:dyDescent="0.25">
      <c r="B4" s="75"/>
      <c r="C4" s="78" t="s">
        <v>313</v>
      </c>
      <c r="D4" s="167"/>
      <c r="E4" s="180"/>
      <c r="F4" s="180"/>
      <c r="G4" s="180"/>
      <c r="H4" s="180"/>
      <c r="I4" s="180"/>
      <c r="J4" s="180"/>
      <c r="K4" s="30"/>
      <c r="L4" s="30"/>
      <c r="M4" s="30"/>
      <c r="N4" s="30"/>
      <c r="O4" s="30"/>
      <c r="P4" s="30"/>
      <c r="Q4" s="30"/>
      <c r="R4" s="30"/>
      <c r="S4" s="30"/>
      <c r="T4" s="26"/>
    </row>
    <row r="5" spans="1:24" ht="18" customHeight="1" x14ac:dyDescent="0.25">
      <c r="B5" s="75"/>
      <c r="C5" s="79" t="s">
        <v>314</v>
      </c>
      <c r="D5" s="256" t="s">
        <v>309</v>
      </c>
      <c r="E5" s="256"/>
      <c r="F5" s="30"/>
      <c r="G5" s="30"/>
      <c r="H5" s="58"/>
      <c r="I5" s="58"/>
      <c r="J5" s="58"/>
      <c r="K5" s="58"/>
      <c r="L5" s="58"/>
      <c r="M5" s="58"/>
      <c r="N5" s="58"/>
      <c r="O5" s="58"/>
      <c r="P5" s="58"/>
      <c r="Q5" s="58"/>
      <c r="R5" s="58"/>
      <c r="S5" s="58"/>
      <c r="T5" s="59"/>
    </row>
    <row r="6" spans="1:24" ht="15" customHeight="1" x14ac:dyDescent="0.25">
      <c r="B6" s="75"/>
      <c r="C6" s="30"/>
      <c r="D6" s="30"/>
      <c r="E6" s="30"/>
      <c r="F6" s="30"/>
      <c r="G6" s="30"/>
      <c r="H6" s="58"/>
      <c r="I6" s="58"/>
      <c r="J6" s="58"/>
      <c r="K6" s="58"/>
      <c r="L6" s="58"/>
      <c r="M6" s="58"/>
      <c r="N6" s="58"/>
      <c r="O6" s="58"/>
      <c r="P6" s="58"/>
      <c r="Q6" s="58"/>
      <c r="R6" s="58"/>
      <c r="S6" s="58"/>
      <c r="T6" s="59"/>
    </row>
    <row r="7" spans="1:24" ht="32.25" customHeight="1" x14ac:dyDescent="0.25">
      <c r="B7" s="75"/>
      <c r="C7" s="168" t="s">
        <v>0</v>
      </c>
      <c r="D7" s="169" t="s">
        <v>1</v>
      </c>
      <c r="E7" s="168" t="s">
        <v>2</v>
      </c>
      <c r="F7" s="30"/>
      <c r="G7" s="30"/>
      <c r="H7" s="30"/>
      <c r="I7" s="30"/>
      <c r="J7" s="30"/>
      <c r="K7" s="30"/>
      <c r="L7" s="30"/>
      <c r="M7" s="30"/>
      <c r="N7" s="30"/>
      <c r="O7" s="30"/>
      <c r="P7" s="30"/>
      <c r="Q7" s="30"/>
      <c r="R7" s="30"/>
      <c r="S7" s="30"/>
      <c r="T7" s="26"/>
      <c r="W7" s="42" t="s">
        <v>22</v>
      </c>
      <c r="X7" s="42" t="s">
        <v>2</v>
      </c>
    </row>
    <row r="8" spans="1:24" ht="15" customHeight="1" x14ac:dyDescent="0.25">
      <c r="B8" s="75"/>
      <c r="C8" s="220" t="s">
        <v>29</v>
      </c>
      <c r="D8" s="221" t="s">
        <v>3</v>
      </c>
      <c r="E8" s="222">
        <v>6.9062999999999999E-2</v>
      </c>
      <c r="F8" s="150"/>
      <c r="G8" s="30"/>
      <c r="H8" s="30"/>
      <c r="I8" s="30"/>
      <c r="J8" s="30"/>
      <c r="K8" s="30"/>
      <c r="L8" s="30"/>
      <c r="M8" s="30"/>
      <c r="N8" s="30"/>
      <c r="O8" s="30"/>
      <c r="P8" s="30"/>
      <c r="Q8" s="30"/>
      <c r="R8" s="30"/>
      <c r="S8" s="30"/>
      <c r="T8" s="26"/>
      <c r="W8" s="190" t="s">
        <v>3</v>
      </c>
      <c r="X8" s="191">
        <v>0.201297</v>
      </c>
    </row>
    <row r="9" spans="1:24" ht="15.75" customHeight="1" x14ac:dyDescent="0.25">
      <c r="B9" s="75"/>
      <c r="C9" s="210" t="s">
        <v>32</v>
      </c>
      <c r="D9" s="223" t="s">
        <v>3</v>
      </c>
      <c r="E9" s="224">
        <v>5.3842000000000001E-2</v>
      </c>
      <c r="F9" s="150"/>
      <c r="G9" s="30"/>
      <c r="H9" s="30"/>
      <c r="I9" s="30"/>
      <c r="J9" s="30"/>
      <c r="K9" s="30"/>
      <c r="L9" s="30"/>
      <c r="M9" s="30"/>
      <c r="N9" s="30"/>
      <c r="O9" s="30"/>
      <c r="P9" s="30"/>
      <c r="Q9" s="30"/>
      <c r="R9" s="30"/>
      <c r="S9" s="30"/>
      <c r="T9" s="26"/>
      <c r="W9" s="190" t="s">
        <v>130</v>
      </c>
      <c r="X9" s="191">
        <v>8.8210000000000011E-2</v>
      </c>
    </row>
    <row r="10" spans="1:24" ht="15" customHeight="1" x14ac:dyDescent="0.25">
      <c r="B10" s="75"/>
      <c r="C10" s="210" t="s">
        <v>36</v>
      </c>
      <c r="D10" s="223" t="s">
        <v>3</v>
      </c>
      <c r="E10" s="224">
        <v>4.9669999999999999E-2</v>
      </c>
      <c r="F10" s="150"/>
      <c r="G10" s="30"/>
      <c r="H10" s="30"/>
      <c r="I10" s="30"/>
      <c r="J10" s="30"/>
      <c r="K10" s="30"/>
      <c r="L10" s="30"/>
      <c r="M10" s="30"/>
      <c r="N10" s="30"/>
      <c r="O10" s="30"/>
      <c r="P10" s="30"/>
      <c r="Q10" s="30"/>
      <c r="R10" s="30"/>
      <c r="S10" s="30"/>
      <c r="T10" s="26"/>
      <c r="W10" s="190" t="s">
        <v>4</v>
      </c>
      <c r="X10" s="191">
        <v>8.2290000000000002E-2</v>
      </c>
    </row>
    <row r="11" spans="1:24" ht="15" customHeight="1" x14ac:dyDescent="0.25">
      <c r="B11" s="75"/>
      <c r="C11" s="210" t="s">
        <v>28</v>
      </c>
      <c r="D11" s="223" t="s">
        <v>130</v>
      </c>
      <c r="E11" s="224">
        <v>4.5414000000000003E-2</v>
      </c>
      <c r="F11" s="150"/>
      <c r="G11" s="30"/>
      <c r="H11" s="30"/>
      <c r="I11" s="30"/>
      <c r="J11" s="30"/>
      <c r="K11" s="30"/>
      <c r="L11" s="30"/>
      <c r="M11" s="30"/>
      <c r="N11" s="30"/>
      <c r="O11" s="30"/>
      <c r="P11" s="30"/>
      <c r="Q11" s="30"/>
      <c r="R11" s="30"/>
      <c r="S11" s="30"/>
      <c r="T11" s="26"/>
      <c r="W11" s="190" t="s">
        <v>135</v>
      </c>
      <c r="X11" s="191">
        <v>7.223700000000001E-2</v>
      </c>
    </row>
    <row r="12" spans="1:24" ht="15" customHeight="1" x14ac:dyDescent="0.25">
      <c r="B12" s="75"/>
      <c r="C12" s="210" t="s">
        <v>31</v>
      </c>
      <c r="D12" s="223" t="s">
        <v>6</v>
      </c>
      <c r="E12" s="224">
        <v>3.8219999999999997E-2</v>
      </c>
      <c r="F12" s="150"/>
      <c r="G12" s="30"/>
      <c r="H12" s="30"/>
      <c r="I12" s="30"/>
      <c r="J12" s="30"/>
      <c r="K12" s="30"/>
      <c r="L12" s="30"/>
      <c r="M12" s="30"/>
      <c r="N12" s="30"/>
      <c r="O12" s="30"/>
      <c r="P12" s="30"/>
      <c r="Q12" s="30"/>
      <c r="R12" s="30"/>
      <c r="S12" s="30"/>
      <c r="T12" s="26"/>
      <c r="W12" s="190" t="s">
        <v>133</v>
      </c>
      <c r="X12" s="191">
        <v>6.2844000000000011E-2</v>
      </c>
    </row>
    <row r="13" spans="1:24" ht="15" customHeight="1" x14ac:dyDescent="0.25">
      <c r="B13" s="75"/>
      <c r="C13" s="210" t="s">
        <v>34</v>
      </c>
      <c r="D13" s="223" t="s">
        <v>23</v>
      </c>
      <c r="E13" s="224">
        <v>2.6585000000000001E-2</v>
      </c>
      <c r="F13" s="150"/>
      <c r="G13" s="30"/>
      <c r="H13" s="30"/>
      <c r="I13" s="30"/>
      <c r="J13" s="30"/>
      <c r="K13" s="30"/>
      <c r="L13" s="30"/>
      <c r="M13" s="30"/>
      <c r="N13" s="30"/>
      <c r="O13" s="30"/>
      <c r="P13" s="30"/>
      <c r="Q13" s="30"/>
      <c r="R13" s="30"/>
      <c r="S13" s="30"/>
      <c r="T13" s="26"/>
      <c r="W13" s="190" t="s">
        <v>143</v>
      </c>
      <c r="X13" s="191">
        <v>6.1491000000000004E-2</v>
      </c>
    </row>
    <row r="14" spans="1:24" ht="15" customHeight="1" x14ac:dyDescent="0.25">
      <c r="B14" s="75"/>
      <c r="C14" s="210" t="s">
        <v>30</v>
      </c>
      <c r="D14" s="223" t="s">
        <v>141</v>
      </c>
      <c r="E14" s="224">
        <v>2.4208E-2</v>
      </c>
      <c r="F14" s="150"/>
      <c r="G14" s="30"/>
      <c r="H14" s="30"/>
      <c r="I14" s="30"/>
      <c r="J14" s="30"/>
      <c r="K14" s="30"/>
      <c r="L14" s="30"/>
      <c r="M14" s="30"/>
      <c r="N14" s="30"/>
      <c r="O14" s="30"/>
      <c r="P14" s="30"/>
      <c r="Q14" s="30"/>
      <c r="R14" s="30"/>
      <c r="S14" s="30"/>
      <c r="T14" s="26"/>
      <c r="W14" s="190" t="s">
        <v>6</v>
      </c>
      <c r="X14" s="191">
        <v>3.8219999999999997E-2</v>
      </c>
    </row>
    <row r="15" spans="1:24" ht="15.75" x14ac:dyDescent="0.25">
      <c r="B15" s="75"/>
      <c r="C15" s="210" t="s">
        <v>84</v>
      </c>
      <c r="D15" s="223" t="s">
        <v>4</v>
      </c>
      <c r="E15" s="224">
        <v>2.0109999999999999E-2</v>
      </c>
      <c r="F15" s="150"/>
      <c r="G15" s="30"/>
      <c r="H15" s="30"/>
      <c r="I15" s="30"/>
      <c r="J15" s="30"/>
      <c r="K15" s="30"/>
      <c r="L15" s="30"/>
      <c r="M15" s="30"/>
      <c r="N15" s="30"/>
      <c r="O15" s="30"/>
      <c r="P15" s="30"/>
      <c r="Q15" s="30"/>
      <c r="R15" s="30"/>
      <c r="S15" s="30"/>
      <c r="T15" s="26"/>
      <c r="W15" s="190" t="s">
        <v>136</v>
      </c>
      <c r="X15" s="191">
        <v>2.9235999999999998E-2</v>
      </c>
    </row>
    <row r="16" spans="1:24" ht="15" customHeight="1" x14ac:dyDescent="0.25">
      <c r="B16" s="75"/>
      <c r="C16" s="210" t="s">
        <v>268</v>
      </c>
      <c r="D16" s="223" t="s">
        <v>143</v>
      </c>
      <c r="E16" s="224">
        <v>1.8582999999999999E-2</v>
      </c>
      <c r="F16" s="150"/>
      <c r="G16" s="30"/>
      <c r="H16" s="30"/>
      <c r="I16" s="30"/>
      <c r="J16" s="30"/>
      <c r="K16" s="30"/>
      <c r="L16" s="30"/>
      <c r="M16" s="30"/>
      <c r="N16" s="30"/>
      <c r="O16" s="30"/>
      <c r="P16" s="30"/>
      <c r="Q16" s="30"/>
      <c r="R16" s="30"/>
      <c r="S16" s="30"/>
      <c r="T16" s="26"/>
      <c r="W16" s="190" t="s">
        <v>23</v>
      </c>
      <c r="X16" s="191">
        <v>2.6585000000000001E-2</v>
      </c>
    </row>
    <row r="17" spans="2:24" ht="15.75" x14ac:dyDescent="0.25">
      <c r="B17" s="75"/>
      <c r="C17" s="210" t="s">
        <v>269</v>
      </c>
      <c r="D17" s="223" t="s">
        <v>15</v>
      </c>
      <c r="E17" s="224">
        <v>1.7365999999999999E-2</v>
      </c>
      <c r="F17" s="150"/>
      <c r="G17" s="30"/>
      <c r="H17" s="30"/>
      <c r="I17" s="30"/>
      <c r="J17" s="30"/>
      <c r="K17" s="30"/>
      <c r="L17" s="30"/>
      <c r="M17" s="30"/>
      <c r="N17" s="30"/>
      <c r="O17" s="30"/>
      <c r="P17" s="30"/>
      <c r="Q17" s="30"/>
      <c r="R17" s="30"/>
      <c r="S17" s="30"/>
      <c r="T17" s="26"/>
      <c r="W17" s="190" t="s">
        <v>10</v>
      </c>
      <c r="X17" s="191">
        <v>2.5824E-2</v>
      </c>
    </row>
    <row r="18" spans="2:24" ht="15.75" x14ac:dyDescent="0.25">
      <c r="B18" s="75"/>
      <c r="C18" s="210" t="s">
        <v>270</v>
      </c>
      <c r="D18" s="223" t="s">
        <v>180</v>
      </c>
      <c r="E18" s="224">
        <v>1.7291000000000001E-2</v>
      </c>
      <c r="F18" s="150"/>
      <c r="G18" s="30"/>
      <c r="H18" s="30"/>
      <c r="I18" s="30"/>
      <c r="J18" s="30"/>
      <c r="K18" s="30"/>
      <c r="L18" s="30"/>
      <c r="M18" s="30"/>
      <c r="N18" s="30"/>
      <c r="O18" s="30"/>
      <c r="P18" s="30"/>
      <c r="Q18" s="30"/>
      <c r="R18" s="30"/>
      <c r="S18" s="30"/>
      <c r="T18" s="26"/>
      <c r="W18" s="190" t="s">
        <v>141</v>
      </c>
      <c r="X18" s="191">
        <v>2.4208E-2</v>
      </c>
    </row>
    <row r="19" spans="2:24" ht="15.75" x14ac:dyDescent="0.25">
      <c r="B19" s="75"/>
      <c r="C19" s="210" t="s">
        <v>271</v>
      </c>
      <c r="D19" s="223" t="s">
        <v>10</v>
      </c>
      <c r="E19" s="224">
        <v>1.5299E-2</v>
      </c>
      <c r="F19" s="150"/>
      <c r="G19" s="30"/>
      <c r="H19" s="30"/>
      <c r="I19" s="30"/>
      <c r="J19" s="30"/>
      <c r="K19" s="30"/>
      <c r="L19" s="30"/>
      <c r="M19" s="30"/>
      <c r="N19" s="30"/>
      <c r="O19" s="30"/>
      <c r="P19" s="30"/>
      <c r="Q19" s="30"/>
      <c r="R19" s="30"/>
      <c r="S19" s="30"/>
      <c r="T19" s="26"/>
      <c r="W19" s="190" t="s">
        <v>24</v>
      </c>
      <c r="X19" s="191">
        <v>2.3667000000000001E-2</v>
      </c>
    </row>
    <row r="20" spans="2:24" ht="15" customHeight="1" x14ac:dyDescent="0.25">
      <c r="B20" s="75"/>
      <c r="C20" s="210" t="s">
        <v>183</v>
      </c>
      <c r="D20" s="223" t="s">
        <v>130</v>
      </c>
      <c r="E20" s="224">
        <v>1.4932000000000001E-2</v>
      </c>
      <c r="F20" s="150"/>
      <c r="G20" s="30"/>
      <c r="H20" s="30"/>
      <c r="I20" s="30"/>
      <c r="J20" s="30"/>
      <c r="K20" s="30"/>
      <c r="L20" s="30"/>
      <c r="M20" s="30"/>
      <c r="N20" s="30"/>
      <c r="O20" s="30"/>
      <c r="P20" s="30"/>
      <c r="Q20" s="30"/>
      <c r="R20" s="30"/>
      <c r="S20" s="30"/>
      <c r="T20" s="26"/>
      <c r="W20" s="190" t="s">
        <v>26</v>
      </c>
      <c r="X20" s="191">
        <v>2.0484000000000002E-2</v>
      </c>
    </row>
    <row r="21" spans="2:24" ht="17.25" customHeight="1" x14ac:dyDescent="0.25">
      <c r="B21" s="75"/>
      <c r="C21" s="210" t="s">
        <v>162</v>
      </c>
      <c r="D21" s="223" t="s">
        <v>133</v>
      </c>
      <c r="E21" s="224">
        <v>1.4737E-2</v>
      </c>
      <c r="F21" s="150"/>
      <c r="G21" s="30"/>
      <c r="H21" s="30"/>
      <c r="I21" s="30"/>
      <c r="J21" s="30"/>
      <c r="K21" s="30"/>
      <c r="L21" s="30"/>
      <c r="M21" s="30"/>
      <c r="N21" s="30"/>
      <c r="O21" s="30"/>
      <c r="P21" s="30"/>
      <c r="Q21" s="30"/>
      <c r="R21" s="30"/>
      <c r="S21" s="30"/>
      <c r="T21" s="26"/>
      <c r="W21" s="190" t="s">
        <v>137</v>
      </c>
      <c r="X21" s="191">
        <v>1.7583999999999999E-2</v>
      </c>
    </row>
    <row r="22" spans="2:24" ht="15" customHeight="1" x14ac:dyDescent="0.25">
      <c r="B22" s="75"/>
      <c r="C22" s="210" t="s">
        <v>244</v>
      </c>
      <c r="D22" s="223" t="s">
        <v>143</v>
      </c>
      <c r="E22" s="224">
        <v>1.4467000000000001E-2</v>
      </c>
      <c r="F22" s="150"/>
      <c r="G22" s="30"/>
      <c r="H22" s="30"/>
      <c r="I22" s="30"/>
      <c r="J22" s="30"/>
      <c r="K22" s="30"/>
      <c r="L22" s="30"/>
      <c r="M22" s="30"/>
      <c r="N22" s="30"/>
      <c r="O22" s="30"/>
      <c r="P22" s="30"/>
      <c r="Q22" s="30"/>
      <c r="R22" s="30"/>
      <c r="S22" s="30"/>
      <c r="T22" s="26"/>
      <c r="W22" s="190" t="s">
        <v>129</v>
      </c>
      <c r="X22" s="191">
        <v>1.7571E-2</v>
      </c>
    </row>
    <row r="23" spans="2:24" ht="15" customHeight="1" x14ac:dyDescent="0.25">
      <c r="B23" s="75"/>
      <c r="C23" s="94"/>
      <c r="D23" s="94"/>
      <c r="E23" s="95"/>
      <c r="F23" s="150"/>
      <c r="G23" s="30"/>
      <c r="H23" s="30"/>
      <c r="I23" s="30"/>
      <c r="J23" s="30"/>
      <c r="K23" s="30"/>
      <c r="L23" s="30"/>
      <c r="M23" s="30"/>
      <c r="N23" s="30"/>
      <c r="O23" s="30"/>
      <c r="P23" s="30"/>
      <c r="Q23" s="30"/>
      <c r="R23" s="30"/>
      <c r="S23" s="30"/>
      <c r="T23" s="26"/>
      <c r="W23" s="190" t="s">
        <v>15</v>
      </c>
      <c r="X23" s="191">
        <v>1.7365999999999999E-2</v>
      </c>
    </row>
    <row r="24" spans="2:24" ht="15" customHeight="1" x14ac:dyDescent="0.25">
      <c r="B24" s="75"/>
      <c r="C24" s="181" t="s">
        <v>55</v>
      </c>
      <c r="D24" s="182"/>
      <c r="E24" s="183">
        <f>SUM(E8:E22)</f>
        <v>0.43978700000000009</v>
      </c>
      <c r="F24" s="30"/>
      <c r="G24" s="30"/>
      <c r="H24" s="30"/>
      <c r="I24" s="30"/>
      <c r="J24" s="30"/>
      <c r="K24" s="30"/>
      <c r="L24" s="30"/>
      <c r="M24" s="30"/>
      <c r="N24" s="30"/>
      <c r="O24" s="30"/>
      <c r="P24" s="30"/>
      <c r="Q24" s="30"/>
      <c r="R24" s="30"/>
      <c r="S24" s="30"/>
      <c r="T24" s="26"/>
      <c r="W24" s="190" t="s">
        <v>180</v>
      </c>
      <c r="X24" s="191">
        <v>1.7291000000000001E-2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11</v>
      </c>
      <c r="X25" s="191">
        <v>1.7180999999999998E-2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16</v>
      </c>
      <c r="X26" s="191">
        <v>1.7093999999999998E-2</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97</v>
      </c>
      <c r="X27" s="191">
        <v>1.5724000000000002E-2</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140</v>
      </c>
      <c r="X28" s="191">
        <v>1.3070999999999999E-2</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12</v>
      </c>
      <c r="X29" s="191">
        <v>1.0895999999999999E-2</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95</v>
      </c>
      <c r="X30" s="191">
        <v>9.885999999999999E-3</v>
      </c>
    </row>
    <row r="31" spans="2:24" ht="15" customHeight="1" x14ac:dyDescent="0.25">
      <c r="B31" s="75"/>
      <c r="C31" s="30"/>
      <c r="D31" s="30"/>
      <c r="E31" s="30"/>
      <c r="F31" s="30"/>
      <c r="G31" s="30"/>
      <c r="H31" s="30"/>
      <c r="I31" s="30"/>
      <c r="J31" s="30"/>
      <c r="K31" s="30"/>
      <c r="L31" s="30"/>
      <c r="M31" s="30"/>
      <c r="N31" s="30"/>
      <c r="O31" s="30"/>
      <c r="P31" s="30"/>
      <c r="Q31" s="30"/>
      <c r="R31" s="30"/>
      <c r="S31" s="30"/>
      <c r="T31" s="26"/>
      <c r="W31" s="190" t="s">
        <v>25</v>
      </c>
      <c r="X31" s="191">
        <v>9.6050000000000007E-3</v>
      </c>
    </row>
    <row r="32" spans="2:24" ht="15" customHeight="1" x14ac:dyDescent="0.25">
      <c r="B32" s="75"/>
      <c r="C32" s="30"/>
      <c r="D32" s="30"/>
      <c r="E32" s="30"/>
      <c r="F32" s="30"/>
      <c r="G32" s="30"/>
      <c r="H32" s="30"/>
      <c r="I32" s="30"/>
      <c r="J32" s="30"/>
      <c r="K32" s="30"/>
      <c r="L32" s="30"/>
      <c r="M32" s="30"/>
      <c r="N32" s="30"/>
      <c r="O32" s="30"/>
      <c r="P32" s="30"/>
      <c r="Q32" s="30"/>
      <c r="R32" s="30"/>
      <c r="S32" s="30"/>
      <c r="T32" s="26"/>
      <c r="W32" s="190" t="s">
        <v>87</v>
      </c>
      <c r="X32" s="191">
        <v>9.3019999999999995E-3</v>
      </c>
    </row>
    <row r="33" spans="2:24" ht="15" customHeight="1" x14ac:dyDescent="0.25">
      <c r="B33" s="75"/>
      <c r="C33" s="30"/>
      <c r="D33" s="30"/>
      <c r="E33" s="30"/>
      <c r="F33" s="30"/>
      <c r="G33" s="30"/>
      <c r="H33" s="30"/>
      <c r="I33" s="30"/>
      <c r="J33" s="30"/>
      <c r="K33" s="30"/>
      <c r="L33" s="30"/>
      <c r="M33" s="30"/>
      <c r="N33" s="30"/>
      <c r="O33" s="30"/>
      <c r="P33" s="30"/>
      <c r="Q33" s="30"/>
      <c r="R33" s="30"/>
      <c r="S33" s="30"/>
      <c r="T33" s="26"/>
      <c r="W33" s="190" t="s">
        <v>108</v>
      </c>
      <c r="X33" s="191">
        <v>8.5199999999999998E-3</v>
      </c>
    </row>
    <row r="34" spans="2:24" ht="15" customHeight="1" x14ac:dyDescent="0.25">
      <c r="B34" s="75"/>
      <c r="C34" s="30"/>
      <c r="D34" s="30"/>
      <c r="E34" s="30"/>
      <c r="F34" s="30"/>
      <c r="G34" s="30"/>
      <c r="H34" s="30"/>
      <c r="I34" s="30"/>
      <c r="J34" s="30"/>
      <c r="K34" s="30"/>
      <c r="L34" s="30"/>
      <c r="M34" s="30"/>
      <c r="N34" s="30"/>
      <c r="O34" s="30"/>
      <c r="P34" s="30"/>
      <c r="Q34" s="30"/>
      <c r="R34" s="30"/>
      <c r="S34" s="30"/>
      <c r="T34" s="26"/>
      <c r="W34" s="190" t="s">
        <v>142</v>
      </c>
      <c r="X34" s="191">
        <v>8.4309999999999993E-3</v>
      </c>
    </row>
    <row r="35" spans="2:24" ht="15" customHeight="1" x14ac:dyDescent="0.25">
      <c r="B35" s="75"/>
      <c r="C35" s="30"/>
      <c r="D35" s="30"/>
      <c r="E35" s="30"/>
      <c r="F35" s="30"/>
      <c r="G35" s="30"/>
      <c r="H35" s="30"/>
      <c r="I35" s="30"/>
      <c r="J35" s="30"/>
      <c r="K35" s="30"/>
      <c r="L35" s="30"/>
      <c r="M35" s="30"/>
      <c r="N35" s="30"/>
      <c r="O35" s="30"/>
      <c r="P35" s="30"/>
      <c r="Q35" s="30"/>
      <c r="R35" s="30"/>
      <c r="S35" s="30"/>
      <c r="T35" s="26"/>
      <c r="W35" s="190" t="s">
        <v>147</v>
      </c>
      <c r="X35" s="191">
        <v>7.4830000000000001E-3</v>
      </c>
    </row>
    <row r="36" spans="2:24" ht="15" customHeight="1" x14ac:dyDescent="0.25">
      <c r="B36" s="75"/>
      <c r="C36" s="30"/>
      <c r="D36" s="30"/>
      <c r="E36" s="30"/>
      <c r="F36" s="30"/>
      <c r="G36" s="30"/>
      <c r="H36" s="30"/>
      <c r="I36" s="30"/>
      <c r="J36" s="30"/>
      <c r="K36" s="30"/>
      <c r="L36" s="30"/>
      <c r="M36" s="30"/>
      <c r="N36" s="30"/>
      <c r="O36" s="30"/>
      <c r="P36" s="30"/>
      <c r="Q36" s="30"/>
      <c r="R36" s="30"/>
      <c r="S36" s="30"/>
      <c r="T36" s="26"/>
      <c r="W36" s="190" t="s">
        <v>96</v>
      </c>
      <c r="X36" s="191">
        <v>5.9119999999999997E-3</v>
      </c>
    </row>
    <row r="37" spans="2:24" ht="15" customHeight="1" x14ac:dyDescent="0.25">
      <c r="B37" s="75"/>
      <c r="C37" s="30"/>
      <c r="D37" s="30"/>
      <c r="E37" s="30"/>
      <c r="F37" s="30"/>
      <c r="G37" s="30"/>
      <c r="H37" s="30"/>
      <c r="I37" s="30"/>
      <c r="J37" s="30"/>
      <c r="K37" s="30"/>
      <c r="L37" s="30"/>
      <c r="M37" s="30"/>
      <c r="N37" s="30"/>
      <c r="O37" s="30"/>
      <c r="P37" s="30"/>
      <c r="Q37" s="30"/>
      <c r="R37" s="30"/>
      <c r="S37" s="30"/>
      <c r="T37" s="26"/>
      <c r="W37" s="42" t="s">
        <v>148</v>
      </c>
      <c r="X37" s="172">
        <v>4.705E-3</v>
      </c>
    </row>
    <row r="38" spans="2:24" ht="15" customHeight="1" thickBot="1" x14ac:dyDescent="0.3">
      <c r="B38" s="88"/>
      <c r="C38" s="31"/>
      <c r="D38" s="31"/>
      <c r="E38" s="31"/>
      <c r="F38" s="31"/>
      <c r="G38" s="31"/>
      <c r="H38" s="31"/>
      <c r="I38" s="31"/>
      <c r="J38" s="31"/>
      <c r="K38" s="31"/>
      <c r="L38" s="31"/>
      <c r="M38" s="31"/>
      <c r="N38" s="31"/>
      <c r="O38" s="31"/>
      <c r="P38" s="31"/>
      <c r="Q38" s="31"/>
      <c r="R38" s="31"/>
      <c r="S38" s="31"/>
      <c r="T38" s="27"/>
      <c r="X38" s="172"/>
    </row>
    <row r="39" spans="2:24" ht="15" customHeight="1" x14ac:dyDescent="0.25">
      <c r="B39" s="30"/>
      <c r="C39" s="30"/>
      <c r="D39" s="30"/>
      <c r="E39" s="30"/>
      <c r="F39" s="30"/>
      <c r="G39" s="30"/>
      <c r="H39" s="30"/>
      <c r="I39" s="30"/>
      <c r="J39" s="30"/>
      <c r="K39" s="30"/>
      <c r="L39" s="30"/>
      <c r="M39" s="30"/>
      <c r="N39" s="30"/>
      <c r="O39" s="30"/>
      <c r="P39" s="30"/>
      <c r="Q39" s="30"/>
      <c r="R39" s="30"/>
      <c r="S39" s="30"/>
      <c r="T39" s="30"/>
      <c r="X39" s="172"/>
    </row>
    <row r="40" spans="2:24" ht="15" customHeight="1" x14ac:dyDescent="0.25">
      <c r="B40" s="30"/>
      <c r="C40" s="30"/>
      <c r="D40" s="30"/>
      <c r="E40" s="30"/>
      <c r="F40" s="30"/>
      <c r="G40" s="30"/>
      <c r="H40" s="30"/>
      <c r="I40" s="30"/>
      <c r="J40" s="30"/>
      <c r="K40" s="30"/>
      <c r="L40" s="30"/>
      <c r="M40" s="30"/>
      <c r="N40" s="30"/>
      <c r="O40" s="30"/>
      <c r="P40" s="30"/>
      <c r="Q40" s="30"/>
      <c r="R40" s="30"/>
      <c r="S40" s="30"/>
      <c r="T40" s="30"/>
    </row>
    <row r="41" spans="2:24" ht="15" customHeight="1" thickBot="1" x14ac:dyDescent="0.3">
      <c r="B41" s="30"/>
      <c r="C41" s="30"/>
      <c r="D41" s="30"/>
      <c r="E41" s="30"/>
      <c r="F41" s="30"/>
      <c r="G41" s="30"/>
      <c r="H41" s="30"/>
      <c r="I41" s="30"/>
      <c r="J41" s="30"/>
      <c r="K41" s="30"/>
      <c r="L41" s="30"/>
      <c r="M41" s="30"/>
      <c r="N41" s="30"/>
      <c r="O41" s="30"/>
      <c r="P41" s="30"/>
      <c r="Q41" s="30"/>
      <c r="R41" s="30"/>
      <c r="S41" s="30"/>
      <c r="T41" s="30"/>
    </row>
    <row r="42" spans="2:24" ht="15" customHeight="1" x14ac:dyDescent="0.25">
      <c r="B42" s="245" t="s">
        <v>234</v>
      </c>
      <c r="C42" s="246"/>
      <c r="D42" s="246"/>
      <c r="E42" s="246"/>
      <c r="F42" s="246"/>
      <c r="G42" s="246"/>
      <c r="H42" s="246"/>
      <c r="I42" s="246"/>
      <c r="J42" s="246"/>
      <c r="K42" s="246"/>
      <c r="L42" s="246"/>
      <c r="M42" s="246"/>
      <c r="N42" s="246"/>
      <c r="O42" s="246"/>
      <c r="P42" s="246"/>
      <c r="Q42" s="246"/>
      <c r="R42" s="247"/>
      <c r="T42" s="30"/>
    </row>
    <row r="43" spans="2:24" ht="15" customHeight="1" x14ac:dyDescent="0.25">
      <c r="B43" s="248"/>
      <c r="C43" s="249"/>
      <c r="D43" s="249"/>
      <c r="E43" s="249"/>
      <c r="F43" s="249"/>
      <c r="G43" s="249"/>
      <c r="H43" s="249"/>
      <c r="I43" s="249"/>
      <c r="J43" s="249"/>
      <c r="K43" s="249"/>
      <c r="L43" s="249"/>
      <c r="M43" s="249"/>
      <c r="N43" s="249"/>
      <c r="O43" s="249"/>
      <c r="P43" s="249"/>
      <c r="Q43" s="249"/>
      <c r="R43" s="250"/>
      <c r="T43" s="30"/>
    </row>
    <row r="44" spans="2:24" ht="15" customHeight="1" x14ac:dyDescent="0.25">
      <c r="B44" s="248"/>
      <c r="C44" s="249"/>
      <c r="D44" s="249"/>
      <c r="E44" s="249"/>
      <c r="F44" s="249"/>
      <c r="G44" s="249"/>
      <c r="H44" s="249"/>
      <c r="I44" s="249"/>
      <c r="J44" s="249"/>
      <c r="K44" s="249"/>
      <c r="L44" s="249"/>
      <c r="M44" s="249"/>
      <c r="N44" s="249"/>
      <c r="O44" s="249"/>
      <c r="P44" s="249"/>
      <c r="Q44" s="249"/>
      <c r="R44" s="250"/>
      <c r="T44" s="30"/>
    </row>
    <row r="45" spans="2:24" ht="15" customHeight="1" x14ac:dyDescent="0.25">
      <c r="B45" s="248"/>
      <c r="C45" s="249"/>
      <c r="D45" s="249"/>
      <c r="E45" s="249"/>
      <c r="F45" s="249"/>
      <c r="G45" s="249"/>
      <c r="H45" s="249"/>
      <c r="I45" s="249"/>
      <c r="J45" s="249"/>
      <c r="K45" s="249"/>
      <c r="L45" s="249"/>
      <c r="M45" s="249"/>
      <c r="N45" s="249"/>
      <c r="O45" s="249"/>
      <c r="P45" s="249"/>
      <c r="Q45" s="249"/>
      <c r="R45" s="250"/>
      <c r="T45" s="30"/>
    </row>
    <row r="46" spans="2:24" ht="15" customHeight="1" x14ac:dyDescent="0.25">
      <c r="B46" s="248"/>
      <c r="C46" s="249"/>
      <c r="D46" s="249"/>
      <c r="E46" s="249"/>
      <c r="F46" s="249"/>
      <c r="G46" s="249"/>
      <c r="H46" s="249"/>
      <c r="I46" s="249"/>
      <c r="J46" s="249"/>
      <c r="K46" s="249"/>
      <c r="L46" s="249"/>
      <c r="M46" s="249"/>
      <c r="N46" s="249"/>
      <c r="O46" s="249"/>
      <c r="P46" s="249"/>
      <c r="Q46" s="249"/>
      <c r="R46" s="250"/>
      <c r="T46" s="30"/>
    </row>
    <row r="47" spans="2:24" ht="15" customHeight="1" x14ac:dyDescent="0.25">
      <c r="B47" s="248"/>
      <c r="C47" s="249"/>
      <c r="D47" s="249"/>
      <c r="E47" s="249"/>
      <c r="F47" s="249"/>
      <c r="G47" s="249"/>
      <c r="H47" s="249"/>
      <c r="I47" s="249"/>
      <c r="J47" s="249"/>
      <c r="K47" s="249"/>
      <c r="L47" s="249"/>
      <c r="M47" s="249"/>
      <c r="N47" s="249"/>
      <c r="O47" s="249"/>
      <c r="P47" s="249"/>
      <c r="Q47" s="249"/>
      <c r="R47" s="250"/>
      <c r="T47" s="30"/>
    </row>
    <row r="48" spans="2:24" ht="15" customHeight="1" thickBot="1" x14ac:dyDescent="0.3">
      <c r="B48" s="251"/>
      <c r="C48" s="252"/>
      <c r="D48" s="252"/>
      <c r="E48" s="252"/>
      <c r="F48" s="252"/>
      <c r="G48" s="252"/>
      <c r="H48" s="252"/>
      <c r="I48" s="252"/>
      <c r="J48" s="252"/>
      <c r="K48" s="252"/>
      <c r="L48" s="252"/>
      <c r="M48" s="252"/>
      <c r="N48" s="252"/>
      <c r="O48" s="252"/>
      <c r="P48" s="252"/>
      <c r="Q48" s="252"/>
      <c r="R48" s="253"/>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4" t="s">
        <v>216</v>
      </c>
      <c r="D3" s="255"/>
      <c r="E3" s="255"/>
      <c r="F3" s="255"/>
      <c r="G3" s="255"/>
      <c r="H3" s="255"/>
      <c r="I3" s="255"/>
      <c r="J3" s="255"/>
      <c r="K3" s="255"/>
      <c r="L3" s="255"/>
      <c r="M3" s="255"/>
      <c r="N3" s="255"/>
      <c r="O3" s="255"/>
      <c r="P3" s="255"/>
      <c r="Q3" s="255"/>
      <c r="R3" s="255"/>
      <c r="S3" s="255"/>
      <c r="T3" s="26"/>
    </row>
    <row r="4" spans="1:24" ht="15.75" customHeight="1" x14ac:dyDescent="0.25">
      <c r="B4" s="75"/>
      <c r="C4" s="78" t="s">
        <v>313</v>
      </c>
      <c r="D4" s="167"/>
      <c r="E4" s="30"/>
      <c r="F4" s="30"/>
      <c r="G4" s="30"/>
      <c r="H4" s="30"/>
      <c r="I4" s="30"/>
      <c r="J4" s="30"/>
      <c r="K4" s="30"/>
      <c r="L4" s="30"/>
      <c r="M4" s="30"/>
      <c r="N4" s="30"/>
      <c r="O4" s="30"/>
      <c r="P4" s="30"/>
      <c r="Q4" s="30"/>
      <c r="R4" s="30"/>
      <c r="S4" s="30"/>
      <c r="T4" s="26"/>
    </row>
    <row r="5" spans="1:24" ht="18" customHeight="1" x14ac:dyDescent="0.25">
      <c r="B5" s="75"/>
      <c r="C5" s="79" t="s">
        <v>314</v>
      </c>
      <c r="D5" s="256" t="s">
        <v>310</v>
      </c>
      <c r="E5" s="256"/>
      <c r="F5" s="30"/>
      <c r="G5" s="58"/>
      <c r="H5" s="58"/>
      <c r="I5" s="58"/>
      <c r="J5" s="58"/>
      <c r="K5" s="58"/>
      <c r="L5" s="58"/>
      <c r="M5" s="58"/>
      <c r="N5" s="58"/>
      <c r="O5" s="58"/>
      <c r="P5" s="58"/>
      <c r="Q5" s="58"/>
      <c r="R5" s="58"/>
      <c r="S5" s="58"/>
      <c r="T5" s="26"/>
    </row>
    <row r="6" spans="1:24" ht="15" customHeight="1" x14ac:dyDescent="0.25">
      <c r="B6" s="75"/>
      <c r="C6" s="30"/>
      <c r="D6" s="30"/>
      <c r="E6" s="30"/>
      <c r="F6" s="30"/>
      <c r="G6" s="58"/>
      <c r="H6" s="58"/>
      <c r="I6" s="58"/>
      <c r="J6" s="58"/>
      <c r="K6" s="58"/>
      <c r="L6" s="58"/>
      <c r="M6" s="58"/>
      <c r="N6" s="58"/>
      <c r="O6" s="58"/>
      <c r="P6" s="58"/>
      <c r="Q6" s="58"/>
      <c r="R6" s="58"/>
      <c r="S6" s="58"/>
      <c r="T6" s="26"/>
    </row>
    <row r="7" spans="1:24" ht="32.25" customHeight="1" x14ac:dyDescent="0.25">
      <c r="B7" s="75"/>
      <c r="C7" s="80" t="s">
        <v>0</v>
      </c>
      <c r="D7" s="81" t="s">
        <v>1</v>
      </c>
      <c r="E7" s="82" t="s">
        <v>2</v>
      </c>
      <c r="F7" s="30"/>
      <c r="G7" s="30"/>
      <c r="H7" s="30"/>
      <c r="I7" s="30"/>
      <c r="J7" s="30"/>
      <c r="K7" s="30"/>
      <c r="L7" s="30"/>
      <c r="M7" s="30"/>
      <c r="N7" s="30"/>
      <c r="O7" s="30"/>
      <c r="P7" s="30"/>
      <c r="Q7" s="30"/>
      <c r="R7" s="30"/>
      <c r="S7" s="30"/>
      <c r="T7" s="26"/>
      <c r="W7" s="42" t="s">
        <v>22</v>
      </c>
      <c r="X7" s="42" t="s">
        <v>2</v>
      </c>
    </row>
    <row r="8" spans="1:24" ht="15" customHeight="1" x14ac:dyDescent="0.25">
      <c r="B8" s="75"/>
      <c r="C8" s="229" t="s">
        <v>32</v>
      </c>
      <c r="D8" s="221" t="s">
        <v>3</v>
      </c>
      <c r="E8" s="222">
        <v>9.8498000000000002E-2</v>
      </c>
      <c r="F8" s="30"/>
      <c r="G8" s="30"/>
      <c r="H8" s="30"/>
      <c r="I8" s="30"/>
      <c r="J8" s="30"/>
      <c r="K8" s="30"/>
      <c r="L8" s="30"/>
      <c r="M8" s="30"/>
      <c r="N8" s="30"/>
      <c r="O8" s="30"/>
      <c r="P8" s="30"/>
      <c r="Q8" s="30"/>
      <c r="R8" s="30"/>
      <c r="S8" s="30"/>
      <c r="T8" s="26"/>
      <c r="W8" s="190" t="s">
        <v>3</v>
      </c>
      <c r="X8" s="191">
        <v>0.29799000000000003</v>
      </c>
    </row>
    <row r="9" spans="1:24" ht="15.75" customHeight="1" x14ac:dyDescent="0.25">
      <c r="B9" s="75"/>
      <c r="C9" s="230" t="s">
        <v>29</v>
      </c>
      <c r="D9" s="223" t="s">
        <v>3</v>
      </c>
      <c r="E9" s="224">
        <v>9.7101000000000007E-2</v>
      </c>
      <c r="F9" s="30"/>
      <c r="G9" s="30"/>
      <c r="H9" s="30"/>
      <c r="I9" s="30"/>
      <c r="J9" s="30"/>
      <c r="K9" s="30"/>
      <c r="L9" s="30"/>
      <c r="M9" s="30"/>
      <c r="N9" s="30"/>
      <c r="O9" s="30"/>
      <c r="P9" s="30"/>
      <c r="Q9" s="30"/>
      <c r="R9" s="30"/>
      <c r="S9" s="30"/>
      <c r="T9" s="26"/>
      <c r="W9" s="190" t="s">
        <v>130</v>
      </c>
      <c r="X9" s="191">
        <v>0.12656100000000001</v>
      </c>
    </row>
    <row r="10" spans="1:24" ht="15" customHeight="1" x14ac:dyDescent="0.25">
      <c r="B10" s="75"/>
      <c r="C10" s="230" t="s">
        <v>31</v>
      </c>
      <c r="D10" s="223" t="s">
        <v>6</v>
      </c>
      <c r="E10" s="224">
        <v>7.8663999999999998E-2</v>
      </c>
      <c r="F10" s="30"/>
      <c r="G10" s="30"/>
      <c r="H10" s="30"/>
      <c r="I10" s="30"/>
      <c r="J10" s="30"/>
      <c r="K10" s="30"/>
      <c r="L10" s="30"/>
      <c r="M10" s="30"/>
      <c r="N10" s="30"/>
      <c r="O10" s="30"/>
      <c r="P10" s="30"/>
      <c r="Q10" s="30"/>
      <c r="R10" s="30"/>
      <c r="S10" s="30"/>
      <c r="T10" s="26"/>
      <c r="W10" s="190" t="s">
        <v>6</v>
      </c>
      <c r="X10" s="191">
        <v>7.8663999999999998E-2</v>
      </c>
    </row>
    <row r="11" spans="1:24" ht="15" customHeight="1" x14ac:dyDescent="0.25">
      <c r="B11" s="75"/>
      <c r="C11" s="230" t="s">
        <v>28</v>
      </c>
      <c r="D11" s="223" t="s">
        <v>130</v>
      </c>
      <c r="E11" s="224">
        <v>5.5685999999999999E-2</v>
      </c>
      <c r="F11" s="30"/>
      <c r="G11" s="30"/>
      <c r="H11" s="30"/>
      <c r="I11" s="30"/>
      <c r="J11" s="30"/>
      <c r="K11" s="30"/>
      <c r="L11" s="30"/>
      <c r="M11" s="30"/>
      <c r="N11" s="30"/>
      <c r="O11" s="30"/>
      <c r="P11" s="30"/>
      <c r="Q11" s="30"/>
      <c r="R11" s="30"/>
      <c r="S11" s="30"/>
      <c r="T11" s="26"/>
      <c r="W11" s="190" t="s">
        <v>136</v>
      </c>
      <c r="X11" s="191">
        <v>6.5585999999999992E-2</v>
      </c>
    </row>
    <row r="12" spans="1:24" ht="15" customHeight="1" x14ac:dyDescent="0.25">
      <c r="B12" s="75"/>
      <c r="C12" s="230" t="s">
        <v>30</v>
      </c>
      <c r="D12" s="223" t="s">
        <v>141</v>
      </c>
      <c r="E12" s="224">
        <v>4.8780999999999998E-2</v>
      </c>
      <c r="F12" s="30"/>
      <c r="G12" s="30"/>
      <c r="H12" s="30"/>
      <c r="I12" s="30"/>
      <c r="J12" s="30"/>
      <c r="K12" s="30"/>
      <c r="L12" s="30"/>
      <c r="M12" s="30"/>
      <c r="N12" s="30"/>
      <c r="O12" s="30"/>
      <c r="P12" s="30"/>
      <c r="Q12" s="30"/>
      <c r="R12" s="30"/>
      <c r="S12" s="30"/>
      <c r="T12" s="26"/>
      <c r="W12" s="190" t="s">
        <v>141</v>
      </c>
      <c r="X12" s="191">
        <v>5.8888999999999997E-2</v>
      </c>
    </row>
    <row r="13" spans="1:24" ht="15" customHeight="1" x14ac:dyDescent="0.25">
      <c r="B13" s="75"/>
      <c r="C13" s="230" t="s">
        <v>184</v>
      </c>
      <c r="D13" s="223" t="s">
        <v>130</v>
      </c>
      <c r="E13" s="224">
        <v>4.0364999999999998E-2</v>
      </c>
      <c r="F13" s="30"/>
      <c r="G13" s="30"/>
      <c r="H13" s="30"/>
      <c r="I13" s="30"/>
      <c r="J13" s="30"/>
      <c r="K13" s="30"/>
      <c r="L13" s="30"/>
      <c r="M13" s="30"/>
      <c r="N13" s="30"/>
      <c r="O13" s="30"/>
      <c r="P13" s="30"/>
      <c r="Q13" s="30"/>
      <c r="R13" s="30"/>
      <c r="S13" s="30"/>
      <c r="T13" s="26"/>
      <c r="W13" s="190" t="s">
        <v>135</v>
      </c>
      <c r="X13" s="191">
        <v>4.9898999999999999E-2</v>
      </c>
    </row>
    <row r="14" spans="1:24" ht="15" customHeight="1" x14ac:dyDescent="0.25">
      <c r="B14" s="75"/>
      <c r="C14" s="230" t="s">
        <v>161</v>
      </c>
      <c r="D14" s="223" t="s">
        <v>3</v>
      </c>
      <c r="E14" s="224">
        <v>3.6597999999999999E-2</v>
      </c>
      <c r="F14" s="30"/>
      <c r="G14" s="30"/>
      <c r="H14" s="30"/>
      <c r="I14" s="30"/>
      <c r="J14" s="30"/>
      <c r="K14" s="30"/>
      <c r="L14" s="30"/>
      <c r="M14" s="30"/>
      <c r="N14" s="30"/>
      <c r="O14" s="30"/>
      <c r="P14" s="30"/>
      <c r="Q14" s="30"/>
      <c r="R14" s="30"/>
      <c r="S14" s="30"/>
      <c r="T14" s="26"/>
      <c r="W14" s="190" t="s">
        <v>4</v>
      </c>
      <c r="X14" s="191">
        <v>3.9190999999999997E-2</v>
      </c>
    </row>
    <row r="15" spans="1:24" ht="15" customHeight="1" x14ac:dyDescent="0.25">
      <c r="B15" s="75"/>
      <c r="C15" s="230" t="s">
        <v>36</v>
      </c>
      <c r="D15" s="223" t="s">
        <v>3</v>
      </c>
      <c r="E15" s="224">
        <v>3.0967000000000001E-2</v>
      </c>
      <c r="F15" s="30"/>
      <c r="G15" s="30"/>
      <c r="H15" s="30"/>
      <c r="I15" s="30"/>
      <c r="J15" s="30"/>
      <c r="K15" s="30"/>
      <c r="L15" s="30"/>
      <c r="M15" s="30"/>
      <c r="N15" s="30"/>
      <c r="O15" s="30"/>
      <c r="P15" s="30"/>
      <c r="Q15" s="30"/>
      <c r="R15" s="30"/>
      <c r="S15" s="30"/>
      <c r="T15" s="26"/>
      <c r="W15" s="190" t="s">
        <v>143</v>
      </c>
      <c r="X15" s="191">
        <v>2.9451000000000001E-2</v>
      </c>
    </row>
    <row r="16" spans="1:24" ht="15" customHeight="1" x14ac:dyDescent="0.25">
      <c r="B16" s="75"/>
      <c r="C16" s="230" t="s">
        <v>34</v>
      </c>
      <c r="D16" s="223" t="s">
        <v>23</v>
      </c>
      <c r="E16" s="224">
        <v>2.7327000000000001E-2</v>
      </c>
      <c r="F16" s="30"/>
      <c r="G16" s="30"/>
      <c r="H16" s="30"/>
      <c r="I16" s="30"/>
      <c r="J16" s="30"/>
      <c r="K16" s="30"/>
      <c r="L16" s="30"/>
      <c r="M16" s="30"/>
      <c r="N16" s="30"/>
      <c r="O16" s="30"/>
      <c r="P16" s="30"/>
      <c r="Q16" s="30"/>
      <c r="R16" s="30"/>
      <c r="S16" s="30"/>
      <c r="T16" s="26"/>
      <c r="W16" s="190" t="s">
        <v>23</v>
      </c>
      <c r="X16" s="191">
        <v>2.7327000000000001E-2</v>
      </c>
    </row>
    <row r="17" spans="2:24" ht="15" customHeight="1" x14ac:dyDescent="0.25">
      <c r="B17" s="75"/>
      <c r="C17" s="230" t="s">
        <v>91</v>
      </c>
      <c r="D17" s="223" t="s">
        <v>136</v>
      </c>
      <c r="E17" s="224">
        <v>2.4320999999999999E-2</v>
      </c>
      <c r="F17" s="30"/>
      <c r="G17" s="30"/>
      <c r="H17" s="30"/>
      <c r="I17" s="30"/>
      <c r="J17" s="30"/>
      <c r="K17" s="30"/>
      <c r="L17" s="30"/>
      <c r="M17" s="30"/>
      <c r="N17" s="30"/>
      <c r="O17" s="30"/>
      <c r="P17" s="30"/>
      <c r="Q17" s="30"/>
      <c r="R17" s="30"/>
      <c r="S17" s="30"/>
      <c r="T17" s="26"/>
      <c r="W17" s="190" t="s">
        <v>140</v>
      </c>
      <c r="X17" s="191">
        <v>2.0323000000000001E-2</v>
      </c>
    </row>
    <row r="18" spans="2:24" ht="15" customHeight="1" x14ac:dyDescent="0.25">
      <c r="B18" s="75"/>
      <c r="C18" s="230" t="s">
        <v>33</v>
      </c>
      <c r="D18" s="223" t="s">
        <v>130</v>
      </c>
      <c r="E18" s="224">
        <v>2.1989999999999999E-2</v>
      </c>
      <c r="F18" s="30"/>
      <c r="G18" s="30"/>
      <c r="H18" s="30"/>
      <c r="I18" s="30"/>
      <c r="J18" s="30"/>
      <c r="K18" s="30"/>
      <c r="L18" s="30"/>
      <c r="M18" s="30"/>
      <c r="N18" s="30"/>
      <c r="O18" s="30"/>
      <c r="P18" s="30"/>
      <c r="Q18" s="30"/>
      <c r="R18" s="30"/>
      <c r="S18" s="30"/>
      <c r="T18" s="26"/>
      <c r="W18" s="190" t="s">
        <v>16</v>
      </c>
      <c r="X18" s="191">
        <v>1.9944E-2</v>
      </c>
    </row>
    <row r="19" spans="2:24" ht="15" customHeight="1" x14ac:dyDescent="0.25">
      <c r="B19" s="75"/>
      <c r="C19" s="230" t="s">
        <v>128</v>
      </c>
      <c r="D19" s="223" t="s">
        <v>4</v>
      </c>
      <c r="E19" s="224">
        <v>2.1451999999999999E-2</v>
      </c>
      <c r="F19" s="30"/>
      <c r="G19" s="30"/>
      <c r="H19" s="30"/>
      <c r="I19" s="30"/>
      <c r="J19" s="30"/>
      <c r="K19" s="30"/>
      <c r="L19" s="30"/>
      <c r="M19" s="30"/>
      <c r="N19" s="30"/>
      <c r="O19" s="30"/>
      <c r="P19" s="30"/>
      <c r="Q19" s="30"/>
      <c r="R19" s="30"/>
      <c r="S19" s="30"/>
      <c r="T19" s="26"/>
      <c r="W19" s="190" t="s">
        <v>94</v>
      </c>
      <c r="X19" s="191">
        <v>1.9318999999999999E-2</v>
      </c>
    </row>
    <row r="20" spans="2:24" ht="15" customHeight="1" x14ac:dyDescent="0.25">
      <c r="B20" s="75"/>
      <c r="C20" s="230" t="s">
        <v>272</v>
      </c>
      <c r="D20" s="223" t="s">
        <v>94</v>
      </c>
      <c r="E20" s="224">
        <v>1.9318999999999999E-2</v>
      </c>
      <c r="F20" s="30"/>
      <c r="G20" s="30"/>
      <c r="H20" s="30"/>
      <c r="I20" s="30"/>
      <c r="J20" s="30"/>
      <c r="K20" s="30"/>
      <c r="L20" s="30"/>
      <c r="M20" s="30"/>
      <c r="N20" s="30"/>
      <c r="O20" s="30"/>
      <c r="P20" s="30"/>
      <c r="Q20" s="30"/>
      <c r="R20" s="30"/>
      <c r="S20" s="30"/>
      <c r="T20" s="26"/>
      <c r="W20" s="190" t="s">
        <v>148</v>
      </c>
      <c r="X20" s="191">
        <v>1.4633E-2</v>
      </c>
    </row>
    <row r="21" spans="2:24" ht="15" customHeight="1" x14ac:dyDescent="0.25">
      <c r="B21" s="75"/>
      <c r="C21" s="230" t="s">
        <v>179</v>
      </c>
      <c r="D21" s="223" t="s">
        <v>148</v>
      </c>
      <c r="E21" s="224">
        <v>1.4633E-2</v>
      </c>
      <c r="F21" s="30"/>
      <c r="G21" s="30"/>
      <c r="H21" s="30"/>
      <c r="I21" s="30"/>
      <c r="J21" s="30"/>
      <c r="K21" s="30"/>
      <c r="L21" s="30"/>
      <c r="M21" s="30"/>
      <c r="N21" s="30"/>
      <c r="O21" s="30"/>
      <c r="P21" s="30"/>
      <c r="Q21" s="30"/>
      <c r="R21" s="30"/>
      <c r="S21" s="30"/>
      <c r="T21" s="26"/>
      <c r="W21" s="190" t="s">
        <v>24</v>
      </c>
      <c r="X21" s="191">
        <v>1.4126E-2</v>
      </c>
    </row>
    <row r="22" spans="2:24" ht="15" customHeight="1" x14ac:dyDescent="0.25">
      <c r="B22" s="75"/>
      <c r="C22" s="230" t="s">
        <v>164</v>
      </c>
      <c r="D22" s="223" t="s">
        <v>16</v>
      </c>
      <c r="E22" s="224">
        <v>1.2718E-2</v>
      </c>
      <c r="F22" s="30"/>
      <c r="G22" s="30"/>
      <c r="H22" s="30"/>
      <c r="I22" s="30"/>
      <c r="J22" s="30"/>
      <c r="K22" s="30"/>
      <c r="L22" s="30"/>
      <c r="M22" s="30"/>
      <c r="N22" s="30"/>
      <c r="O22" s="30"/>
      <c r="P22" s="30"/>
      <c r="Q22" s="30"/>
      <c r="R22" s="30"/>
      <c r="S22" s="30"/>
      <c r="T22" s="26"/>
      <c r="W22" s="190" t="s">
        <v>26</v>
      </c>
      <c r="X22" s="191">
        <v>1.1807E-2</v>
      </c>
    </row>
    <row r="23" spans="2:24" ht="15" customHeight="1" x14ac:dyDescent="0.25">
      <c r="B23" s="75"/>
      <c r="C23" s="83"/>
      <c r="D23" s="83"/>
      <c r="E23" s="84"/>
      <c r="F23" s="30"/>
      <c r="G23" s="30"/>
      <c r="H23" s="30"/>
      <c r="I23" s="30"/>
      <c r="J23" s="30"/>
      <c r="K23" s="30"/>
      <c r="L23" s="30"/>
      <c r="M23" s="30"/>
      <c r="N23" s="30"/>
      <c r="O23" s="30"/>
      <c r="P23" s="30"/>
      <c r="Q23" s="30"/>
      <c r="R23" s="30"/>
      <c r="S23" s="30"/>
      <c r="T23" s="26"/>
      <c r="W23" s="190" t="s">
        <v>133</v>
      </c>
      <c r="X23" s="191">
        <v>1.1065999999999999E-2</v>
      </c>
    </row>
    <row r="24" spans="2:24" ht="15" customHeight="1" x14ac:dyDescent="0.25">
      <c r="B24" s="75"/>
      <c r="C24" s="85" t="s">
        <v>55</v>
      </c>
      <c r="D24" s="86"/>
      <c r="E24" s="87">
        <f>SUM(E8:E23)</f>
        <v>0.62842000000000009</v>
      </c>
      <c r="F24" s="30"/>
      <c r="G24" s="30"/>
      <c r="H24" s="30"/>
      <c r="I24" s="30"/>
      <c r="J24" s="30"/>
      <c r="K24" s="30"/>
      <c r="L24" s="30"/>
      <c r="M24" s="30"/>
      <c r="N24" s="30"/>
      <c r="O24" s="30"/>
      <c r="P24" s="30"/>
      <c r="Q24" s="30"/>
      <c r="R24" s="30"/>
      <c r="S24" s="30"/>
      <c r="T24" s="26"/>
      <c r="W24" s="190" t="s">
        <v>129</v>
      </c>
      <c r="X24" s="191">
        <v>1.0827E-2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10</v>
      </c>
      <c r="X25" s="191">
        <v>1.0236E-2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131</v>
      </c>
      <c r="X26" s="191">
        <v>1.0059999999999999E-2</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12</v>
      </c>
      <c r="X27" s="191">
        <v>9.8759999999999994E-3</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146</v>
      </c>
      <c r="X28" s="191">
        <v>9.7909999999999994E-3</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138</v>
      </c>
      <c r="X29" s="191">
        <v>7.5519999999999997E-3</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98</v>
      </c>
      <c r="X30" s="191">
        <v>5.7039999999999999E-3</v>
      </c>
    </row>
    <row r="31" spans="2:24" ht="15" customHeight="1" x14ac:dyDescent="0.25">
      <c r="B31" s="75"/>
      <c r="C31" s="30"/>
      <c r="D31" s="30"/>
      <c r="E31" s="30"/>
      <c r="F31" s="30"/>
      <c r="G31" s="30"/>
      <c r="H31" s="30"/>
      <c r="I31" s="30"/>
      <c r="J31" s="30"/>
      <c r="K31" s="30"/>
      <c r="L31" s="30"/>
      <c r="M31" s="30"/>
      <c r="N31" s="30"/>
      <c r="O31" s="30"/>
      <c r="P31" s="30"/>
      <c r="Q31" s="30"/>
      <c r="R31" s="30"/>
      <c r="S31" s="30"/>
      <c r="T31" s="26"/>
      <c r="W31" s="63" t="s">
        <v>137</v>
      </c>
      <c r="X31" s="64">
        <v>5.4200000000000003E-3</v>
      </c>
    </row>
    <row r="32" spans="2:24" ht="15" customHeight="1" x14ac:dyDescent="0.25">
      <c r="B32" s="75"/>
      <c r="C32" s="30"/>
      <c r="D32" s="30"/>
      <c r="E32" s="30"/>
      <c r="F32" s="30"/>
      <c r="G32" s="30"/>
      <c r="H32" s="30"/>
      <c r="I32" s="30"/>
      <c r="J32" s="30"/>
      <c r="K32" s="30"/>
      <c r="L32" s="30"/>
      <c r="M32" s="30"/>
      <c r="N32" s="30"/>
      <c r="O32" s="30"/>
      <c r="P32" s="30"/>
      <c r="Q32" s="30"/>
      <c r="R32" s="30"/>
      <c r="S32" s="30"/>
      <c r="T32" s="26"/>
      <c r="W32" s="63" t="s">
        <v>87</v>
      </c>
      <c r="X32" s="64">
        <v>4.7939999999999997E-3</v>
      </c>
    </row>
    <row r="33" spans="2:24" ht="15" customHeight="1" x14ac:dyDescent="0.25">
      <c r="B33" s="75"/>
      <c r="C33" s="30"/>
      <c r="D33" s="30"/>
      <c r="E33" s="30"/>
      <c r="F33" s="30"/>
      <c r="G33" s="30"/>
      <c r="H33" s="30"/>
      <c r="I33" s="30"/>
      <c r="J33" s="30"/>
      <c r="K33" s="30"/>
      <c r="L33" s="30"/>
      <c r="M33" s="30"/>
      <c r="N33" s="30"/>
      <c r="O33" s="30"/>
      <c r="P33" s="30"/>
      <c r="Q33" s="30"/>
      <c r="R33" s="30"/>
      <c r="S33" s="30"/>
      <c r="T33" s="26"/>
      <c r="W33" s="42" t="s">
        <v>96</v>
      </c>
      <c r="X33" s="64">
        <v>2.3270000000000001E-3</v>
      </c>
    </row>
    <row r="34" spans="2:24" ht="15" customHeight="1" x14ac:dyDescent="0.25">
      <c r="B34" s="75"/>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5"/>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5"/>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5"/>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5"/>
      <c r="C38" s="30"/>
      <c r="D38" s="30"/>
      <c r="E38" s="30"/>
      <c r="F38" s="30"/>
      <c r="G38" s="30"/>
      <c r="H38" s="30"/>
      <c r="I38" s="30"/>
      <c r="J38" s="30"/>
      <c r="K38" s="30"/>
      <c r="L38" s="30"/>
      <c r="M38" s="30"/>
      <c r="N38" s="30"/>
      <c r="O38" s="30"/>
      <c r="P38" s="30"/>
      <c r="Q38" s="30"/>
      <c r="R38" s="30"/>
      <c r="S38" s="30"/>
      <c r="T38" s="26"/>
    </row>
    <row r="39" spans="2:24" ht="15" hidden="1" customHeight="1" x14ac:dyDescent="0.25">
      <c r="B39" s="75"/>
      <c r="C39" s="30"/>
      <c r="D39" s="30"/>
      <c r="E39" s="30"/>
      <c r="F39" s="30"/>
      <c r="G39" s="30"/>
      <c r="H39" s="30"/>
      <c r="I39" s="30"/>
      <c r="J39" s="30"/>
      <c r="K39" s="30"/>
      <c r="L39" s="30"/>
      <c r="M39" s="30"/>
      <c r="N39" s="30"/>
      <c r="O39" s="30"/>
      <c r="P39" s="30"/>
      <c r="Q39" s="30"/>
      <c r="R39" s="30"/>
      <c r="S39" s="30"/>
      <c r="T39" s="26"/>
    </row>
    <row r="40" spans="2:24" ht="15" hidden="1" customHeight="1" x14ac:dyDescent="0.25">
      <c r="B40" s="75"/>
      <c r="C40" s="30"/>
      <c r="D40" s="30"/>
      <c r="E40" s="30"/>
      <c r="F40" s="30"/>
      <c r="G40" s="30"/>
      <c r="H40" s="30"/>
      <c r="I40" s="30"/>
      <c r="J40" s="30"/>
      <c r="K40" s="30"/>
      <c r="L40" s="30"/>
      <c r="M40" s="30"/>
      <c r="N40" s="30"/>
      <c r="O40" s="30"/>
      <c r="P40" s="30"/>
      <c r="Q40" s="30"/>
      <c r="R40" s="30"/>
      <c r="S40" s="30"/>
      <c r="T40" s="26"/>
    </row>
    <row r="41" spans="2:24" ht="15" hidden="1" customHeight="1" x14ac:dyDescent="0.25">
      <c r="B41" s="75"/>
      <c r="C41" s="30"/>
      <c r="D41" s="30"/>
      <c r="E41" s="30"/>
      <c r="F41" s="30"/>
      <c r="G41" s="30"/>
      <c r="H41" s="30"/>
      <c r="I41" s="30"/>
      <c r="J41" s="30"/>
      <c r="K41" s="30"/>
      <c r="L41" s="30"/>
      <c r="M41" s="30"/>
      <c r="N41" s="30"/>
      <c r="O41" s="30"/>
      <c r="P41" s="30"/>
      <c r="Q41" s="30"/>
      <c r="R41" s="30"/>
      <c r="S41" s="30"/>
      <c r="T41" s="26"/>
    </row>
    <row r="42" spans="2:24" ht="15" hidden="1" customHeight="1" x14ac:dyDescent="0.25">
      <c r="B42" s="75"/>
      <c r="C42" s="30"/>
      <c r="D42" s="30"/>
      <c r="E42" s="30"/>
      <c r="F42" s="30"/>
      <c r="G42" s="30"/>
      <c r="H42" s="30"/>
      <c r="I42" s="30"/>
      <c r="J42" s="30"/>
      <c r="K42" s="30"/>
      <c r="L42" s="30"/>
      <c r="M42" s="30"/>
      <c r="N42" s="30"/>
      <c r="O42" s="30"/>
      <c r="P42" s="30"/>
      <c r="Q42" s="30"/>
      <c r="R42" s="30"/>
      <c r="S42" s="30"/>
      <c r="T42" s="26"/>
    </row>
    <row r="43" spans="2:24" ht="15" hidden="1" customHeight="1" x14ac:dyDescent="0.25">
      <c r="B43" s="75"/>
      <c r="C43" s="30"/>
      <c r="D43" s="30"/>
      <c r="E43" s="30"/>
      <c r="F43" s="30"/>
      <c r="G43" s="30"/>
      <c r="H43" s="30"/>
      <c r="I43" s="30"/>
      <c r="J43" s="30"/>
      <c r="K43" s="30"/>
      <c r="L43" s="30"/>
      <c r="M43" s="30"/>
      <c r="N43" s="30"/>
      <c r="O43" s="30"/>
      <c r="P43" s="30"/>
      <c r="Q43" s="30"/>
      <c r="R43" s="30"/>
      <c r="S43" s="30"/>
      <c r="T43" s="26"/>
    </row>
    <row r="44" spans="2:24" ht="15" hidden="1" customHeight="1" x14ac:dyDescent="0.25">
      <c r="B44" s="75"/>
      <c r="C44" s="30"/>
      <c r="D44" s="30"/>
      <c r="E44" s="30"/>
      <c r="F44" s="30"/>
      <c r="G44" s="30"/>
      <c r="H44" s="30"/>
      <c r="I44" s="30"/>
      <c r="J44" s="30"/>
      <c r="K44" s="30"/>
      <c r="L44" s="30"/>
      <c r="M44" s="30"/>
      <c r="N44" s="30"/>
      <c r="O44" s="30"/>
      <c r="P44" s="30"/>
      <c r="Q44" s="30"/>
      <c r="R44" s="30"/>
      <c r="S44" s="30"/>
      <c r="T44" s="26"/>
    </row>
    <row r="45" spans="2:24" ht="15" hidden="1" customHeight="1" x14ac:dyDescent="0.25">
      <c r="B45" s="75"/>
      <c r="C45" s="30"/>
      <c r="D45" s="30"/>
      <c r="E45" s="30"/>
      <c r="F45" s="30"/>
      <c r="G45" s="30"/>
      <c r="H45" s="30"/>
      <c r="I45" s="30"/>
      <c r="J45" s="30"/>
      <c r="K45" s="30"/>
      <c r="L45" s="30"/>
      <c r="M45" s="30"/>
      <c r="N45" s="30"/>
      <c r="O45" s="30"/>
      <c r="P45" s="30"/>
      <c r="Q45" s="30"/>
      <c r="R45" s="30"/>
      <c r="S45" s="30"/>
      <c r="T45" s="26"/>
    </row>
    <row r="46" spans="2:24" ht="15" hidden="1" customHeight="1" x14ac:dyDescent="0.25">
      <c r="B46" s="75"/>
      <c r="C46" s="30"/>
      <c r="D46" s="30"/>
      <c r="E46" s="30"/>
      <c r="F46" s="30"/>
      <c r="G46" s="30"/>
      <c r="H46" s="30"/>
      <c r="I46" s="30"/>
      <c r="J46" s="30"/>
      <c r="K46" s="30"/>
      <c r="L46" s="30"/>
      <c r="M46" s="30"/>
      <c r="N46" s="30"/>
      <c r="O46" s="30"/>
      <c r="P46" s="30"/>
      <c r="Q46" s="30"/>
      <c r="R46" s="30"/>
      <c r="S46" s="30"/>
      <c r="T46" s="26"/>
    </row>
    <row r="47" spans="2:24" ht="15" customHeight="1" thickBot="1" x14ac:dyDescent="0.3">
      <c r="B47" s="88"/>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45" t="s">
        <v>234</v>
      </c>
      <c r="C49" s="246"/>
      <c r="D49" s="246"/>
      <c r="E49" s="246"/>
      <c r="F49" s="246"/>
      <c r="G49" s="246"/>
      <c r="H49" s="246"/>
      <c r="I49" s="246"/>
      <c r="J49" s="246"/>
      <c r="K49" s="246"/>
      <c r="L49" s="246"/>
      <c r="M49" s="246"/>
      <c r="N49" s="246"/>
      <c r="O49" s="246"/>
      <c r="P49" s="246"/>
      <c r="Q49" s="246"/>
      <c r="R49" s="247"/>
    </row>
    <row r="50" spans="2:18" ht="15" customHeight="1" x14ac:dyDescent="0.25">
      <c r="B50" s="248"/>
      <c r="C50" s="249"/>
      <c r="D50" s="249"/>
      <c r="E50" s="249"/>
      <c r="F50" s="249"/>
      <c r="G50" s="249"/>
      <c r="H50" s="249"/>
      <c r="I50" s="249"/>
      <c r="J50" s="249"/>
      <c r="K50" s="249"/>
      <c r="L50" s="249"/>
      <c r="M50" s="249"/>
      <c r="N50" s="249"/>
      <c r="O50" s="249"/>
      <c r="P50" s="249"/>
      <c r="Q50" s="249"/>
      <c r="R50" s="250"/>
    </row>
    <row r="51" spans="2:18" ht="15" customHeight="1" x14ac:dyDescent="0.25">
      <c r="B51" s="248"/>
      <c r="C51" s="249"/>
      <c r="D51" s="249"/>
      <c r="E51" s="249"/>
      <c r="F51" s="249"/>
      <c r="G51" s="249"/>
      <c r="H51" s="249"/>
      <c r="I51" s="249"/>
      <c r="J51" s="249"/>
      <c r="K51" s="249"/>
      <c r="L51" s="249"/>
      <c r="M51" s="249"/>
      <c r="N51" s="249"/>
      <c r="O51" s="249"/>
      <c r="P51" s="249"/>
      <c r="Q51" s="249"/>
      <c r="R51" s="250"/>
    </row>
    <row r="52" spans="2:18" ht="15" customHeight="1" x14ac:dyDescent="0.25">
      <c r="B52" s="248"/>
      <c r="C52" s="249"/>
      <c r="D52" s="249"/>
      <c r="E52" s="249"/>
      <c r="F52" s="249"/>
      <c r="G52" s="249"/>
      <c r="H52" s="249"/>
      <c r="I52" s="249"/>
      <c r="J52" s="249"/>
      <c r="K52" s="249"/>
      <c r="L52" s="249"/>
      <c r="M52" s="249"/>
      <c r="N52" s="249"/>
      <c r="O52" s="249"/>
      <c r="P52" s="249"/>
      <c r="Q52" s="249"/>
      <c r="R52" s="250"/>
    </row>
    <row r="53" spans="2:18" ht="15" customHeight="1" x14ac:dyDescent="0.25">
      <c r="B53" s="248"/>
      <c r="C53" s="249"/>
      <c r="D53" s="249"/>
      <c r="E53" s="249"/>
      <c r="F53" s="249"/>
      <c r="G53" s="249"/>
      <c r="H53" s="249"/>
      <c r="I53" s="249"/>
      <c r="J53" s="249"/>
      <c r="K53" s="249"/>
      <c r="L53" s="249"/>
      <c r="M53" s="249"/>
      <c r="N53" s="249"/>
      <c r="O53" s="249"/>
      <c r="P53" s="249"/>
      <c r="Q53" s="249"/>
      <c r="R53" s="250"/>
    </row>
    <row r="54" spans="2:18" ht="15" customHeight="1" x14ac:dyDescent="0.25">
      <c r="B54" s="248"/>
      <c r="C54" s="249"/>
      <c r="D54" s="249"/>
      <c r="E54" s="249"/>
      <c r="F54" s="249"/>
      <c r="G54" s="249"/>
      <c r="H54" s="249"/>
      <c r="I54" s="249"/>
      <c r="J54" s="249"/>
      <c r="K54" s="249"/>
      <c r="L54" s="249"/>
      <c r="M54" s="249"/>
      <c r="N54" s="249"/>
      <c r="O54" s="249"/>
      <c r="P54" s="249"/>
      <c r="Q54" s="249"/>
      <c r="R54" s="250"/>
    </row>
    <row r="55" spans="2:18" ht="15" customHeight="1" thickBot="1" x14ac:dyDescent="0.3">
      <c r="B55" s="251"/>
      <c r="C55" s="252"/>
      <c r="D55" s="252"/>
      <c r="E55" s="252"/>
      <c r="F55" s="252"/>
      <c r="G55" s="252"/>
      <c r="H55" s="252"/>
      <c r="I55" s="252"/>
      <c r="J55" s="252"/>
      <c r="K55" s="252"/>
      <c r="L55" s="252"/>
      <c r="M55" s="252"/>
      <c r="N55" s="252"/>
      <c r="O55" s="252"/>
      <c r="P55" s="252"/>
      <c r="Q55" s="252"/>
      <c r="R55" s="25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election activeCell="X8" sqref="X8:X27"/>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215</v>
      </c>
      <c r="D3" s="255"/>
      <c r="E3" s="255"/>
      <c r="F3" s="255"/>
      <c r="G3" s="255"/>
      <c r="H3" s="255"/>
      <c r="I3" s="255"/>
      <c r="J3" s="255"/>
      <c r="K3" s="255"/>
      <c r="L3" s="255"/>
      <c r="M3" s="255"/>
      <c r="N3" s="255"/>
      <c r="O3" s="255"/>
      <c r="P3" s="255"/>
      <c r="Q3" s="255"/>
      <c r="R3" s="255"/>
      <c r="S3" s="255"/>
      <c r="T3" s="23"/>
    </row>
    <row r="4" spans="1:24" ht="15.75" customHeight="1" x14ac:dyDescent="0.25">
      <c r="B4" s="91"/>
      <c r="C4" s="78" t="s">
        <v>313</v>
      </c>
      <c r="D4" s="30"/>
      <c r="E4" s="30"/>
      <c r="F4" s="30"/>
      <c r="G4" s="30"/>
      <c r="H4" s="30"/>
      <c r="I4" s="30"/>
      <c r="J4" s="30"/>
      <c r="K4" s="30"/>
      <c r="L4" s="30"/>
      <c r="M4" s="30"/>
      <c r="N4" s="30"/>
      <c r="O4" s="30"/>
      <c r="P4" s="30"/>
      <c r="Q4" s="30"/>
      <c r="R4" s="30"/>
      <c r="S4" s="30"/>
      <c r="T4" s="23"/>
    </row>
    <row r="5" spans="1:24" ht="18" customHeight="1" x14ac:dyDescent="0.25">
      <c r="B5" s="91"/>
      <c r="C5" s="79" t="s">
        <v>314</v>
      </c>
      <c r="D5" s="256" t="s">
        <v>311</v>
      </c>
      <c r="E5" s="256"/>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0" t="s">
        <v>29</v>
      </c>
      <c r="D8" s="221" t="s">
        <v>3</v>
      </c>
      <c r="E8" s="222">
        <v>9.7761000000000001E-2</v>
      </c>
      <c r="F8" s="30"/>
      <c r="G8" s="30"/>
      <c r="H8" s="30"/>
      <c r="I8" s="30"/>
      <c r="J8" s="30"/>
      <c r="K8" s="30"/>
      <c r="L8" s="30"/>
      <c r="M8" s="30"/>
      <c r="N8" s="30"/>
      <c r="O8" s="30"/>
      <c r="P8" s="30"/>
      <c r="Q8" s="30"/>
      <c r="R8" s="30"/>
      <c r="S8" s="30"/>
      <c r="T8" s="23"/>
      <c r="W8" s="190" t="s">
        <v>3</v>
      </c>
      <c r="X8" s="191">
        <v>0.28262199999999998</v>
      </c>
    </row>
    <row r="9" spans="1:24" ht="15.75" customHeight="1" x14ac:dyDescent="0.25">
      <c r="B9" s="91"/>
      <c r="C9" s="210" t="s">
        <v>32</v>
      </c>
      <c r="D9" s="223" t="s">
        <v>3</v>
      </c>
      <c r="E9" s="224">
        <v>9.6962999999999994E-2</v>
      </c>
      <c r="F9" s="30"/>
      <c r="G9" s="30"/>
      <c r="H9" s="30"/>
      <c r="I9" s="30"/>
      <c r="J9" s="30"/>
      <c r="K9" s="30"/>
      <c r="L9" s="30"/>
      <c r="M9" s="30"/>
      <c r="N9" s="30"/>
      <c r="O9" s="30"/>
      <c r="P9" s="30"/>
      <c r="Q9" s="30"/>
      <c r="R9" s="30"/>
      <c r="S9" s="30"/>
      <c r="T9" s="23"/>
      <c r="W9" s="190" t="s">
        <v>130</v>
      </c>
      <c r="X9" s="191">
        <v>8.5763000000000006E-2</v>
      </c>
    </row>
    <row r="10" spans="1:24" ht="15" customHeight="1" x14ac:dyDescent="0.25">
      <c r="B10" s="91"/>
      <c r="C10" s="210" t="s">
        <v>161</v>
      </c>
      <c r="D10" s="223" t="s">
        <v>3</v>
      </c>
      <c r="E10" s="224">
        <v>5.8351E-2</v>
      </c>
      <c r="F10" s="30"/>
      <c r="G10" s="30"/>
      <c r="H10" s="30"/>
      <c r="I10" s="30"/>
      <c r="J10" s="30"/>
      <c r="K10" s="30"/>
      <c r="L10" s="30"/>
      <c r="M10" s="30"/>
      <c r="N10" s="30"/>
      <c r="O10" s="30"/>
      <c r="P10" s="30"/>
      <c r="Q10" s="30"/>
      <c r="R10" s="30"/>
      <c r="S10" s="30"/>
      <c r="T10" s="23"/>
      <c r="W10" s="190" t="s">
        <v>4</v>
      </c>
      <c r="X10" s="191">
        <v>7.6286000000000007E-2</v>
      </c>
    </row>
    <row r="11" spans="1:24" ht="15" customHeight="1" x14ac:dyDescent="0.25">
      <c r="B11" s="91"/>
      <c r="C11" s="210" t="s">
        <v>28</v>
      </c>
      <c r="D11" s="223" t="s">
        <v>130</v>
      </c>
      <c r="E11" s="224">
        <v>5.4205999999999997E-2</v>
      </c>
      <c r="F11" s="30"/>
      <c r="G11" s="30"/>
      <c r="H11" s="30"/>
      <c r="I11" s="30"/>
      <c r="J11" s="30"/>
      <c r="K11" s="30"/>
      <c r="L11" s="30"/>
      <c r="M11" s="30"/>
      <c r="N11" s="30"/>
      <c r="O11" s="30"/>
      <c r="P11" s="30"/>
      <c r="Q11" s="30"/>
      <c r="R11" s="30"/>
      <c r="S11" s="30"/>
      <c r="T11" s="23"/>
      <c r="W11" s="190" t="s">
        <v>136</v>
      </c>
      <c r="X11" s="191">
        <v>6.9780999999999996E-2</v>
      </c>
    </row>
    <row r="12" spans="1:24" ht="15" customHeight="1" x14ac:dyDescent="0.25">
      <c r="B12" s="91"/>
      <c r="C12" s="210" t="s">
        <v>128</v>
      </c>
      <c r="D12" s="223" t="s">
        <v>4</v>
      </c>
      <c r="E12" s="224">
        <v>5.2435000000000002E-2</v>
      </c>
      <c r="F12" s="30"/>
      <c r="G12" s="30"/>
      <c r="H12" s="30"/>
      <c r="I12" s="30"/>
      <c r="J12" s="30"/>
      <c r="K12" s="30"/>
      <c r="L12" s="30"/>
      <c r="M12" s="30"/>
      <c r="N12" s="30"/>
      <c r="O12" s="30"/>
      <c r="P12" s="30"/>
      <c r="Q12" s="30"/>
      <c r="R12" s="30"/>
      <c r="S12" s="30"/>
      <c r="T12" s="23"/>
      <c r="W12" s="190" t="s">
        <v>143</v>
      </c>
      <c r="X12" s="191">
        <v>6.3562000000000007E-2</v>
      </c>
    </row>
    <row r="13" spans="1:24" ht="15" customHeight="1" x14ac:dyDescent="0.25">
      <c r="B13" s="91"/>
      <c r="C13" s="210" t="s">
        <v>30</v>
      </c>
      <c r="D13" s="223" t="s">
        <v>141</v>
      </c>
      <c r="E13" s="224">
        <v>4.3402000000000003E-2</v>
      </c>
      <c r="F13" s="30"/>
      <c r="G13" s="30"/>
      <c r="H13" s="30"/>
      <c r="I13" s="30"/>
      <c r="J13" s="30"/>
      <c r="K13" s="30"/>
      <c r="L13" s="30"/>
      <c r="M13" s="30"/>
      <c r="N13" s="30"/>
      <c r="O13" s="30"/>
      <c r="P13" s="30"/>
      <c r="Q13" s="30"/>
      <c r="R13" s="30"/>
      <c r="S13" s="30"/>
      <c r="T13" s="23"/>
      <c r="W13" s="190" t="s">
        <v>141</v>
      </c>
      <c r="X13" s="191">
        <v>4.3402000000000003E-2</v>
      </c>
    </row>
    <row r="14" spans="1:24" ht="15" customHeight="1" x14ac:dyDescent="0.25">
      <c r="B14" s="91"/>
      <c r="C14" s="210" t="s">
        <v>184</v>
      </c>
      <c r="D14" s="223" t="s">
        <v>130</v>
      </c>
      <c r="E14" s="224">
        <v>3.1557000000000002E-2</v>
      </c>
      <c r="F14" s="30"/>
      <c r="G14" s="30"/>
      <c r="H14" s="30"/>
      <c r="I14" s="30"/>
      <c r="J14" s="30"/>
      <c r="K14" s="30"/>
      <c r="L14" s="30"/>
      <c r="M14" s="30"/>
      <c r="N14" s="30"/>
      <c r="O14" s="30"/>
      <c r="P14" s="30"/>
      <c r="Q14" s="30"/>
      <c r="R14" s="30"/>
      <c r="S14" s="30"/>
      <c r="T14" s="23"/>
      <c r="W14" s="190" t="s">
        <v>135</v>
      </c>
      <c r="X14" s="191">
        <v>4.0049000000000001E-2</v>
      </c>
    </row>
    <row r="15" spans="1:24" ht="15" customHeight="1" x14ac:dyDescent="0.25">
      <c r="B15" s="91"/>
      <c r="C15" s="210" t="s">
        <v>170</v>
      </c>
      <c r="D15" s="223" t="s">
        <v>131</v>
      </c>
      <c r="E15" s="224">
        <v>3.066E-2</v>
      </c>
      <c r="F15" s="30"/>
      <c r="G15" s="30"/>
      <c r="H15" s="30"/>
      <c r="I15" s="30"/>
      <c r="J15" s="30"/>
      <c r="K15" s="30"/>
      <c r="L15" s="30"/>
      <c r="M15" s="30"/>
      <c r="N15" s="30"/>
      <c r="O15" s="30"/>
      <c r="P15" s="30"/>
      <c r="Q15" s="30"/>
      <c r="R15" s="30"/>
      <c r="S15" s="30"/>
      <c r="T15" s="23"/>
      <c r="W15" s="190" t="s">
        <v>131</v>
      </c>
      <c r="X15" s="191">
        <v>3.066E-2</v>
      </c>
    </row>
    <row r="16" spans="1:24" ht="15" customHeight="1" x14ac:dyDescent="0.25">
      <c r="B16" s="91"/>
      <c r="C16" s="210" t="s">
        <v>273</v>
      </c>
      <c r="D16" s="223" t="s">
        <v>138</v>
      </c>
      <c r="E16" s="224">
        <v>3.0120999999999998E-2</v>
      </c>
      <c r="F16" s="30"/>
      <c r="G16" s="30"/>
      <c r="H16" s="30"/>
      <c r="I16" s="30"/>
      <c r="J16" s="30"/>
      <c r="K16" s="30"/>
      <c r="L16" s="30"/>
      <c r="M16" s="30"/>
      <c r="N16" s="30"/>
      <c r="O16" s="30"/>
      <c r="P16" s="30"/>
      <c r="Q16" s="30"/>
      <c r="R16" s="30"/>
      <c r="S16" s="30"/>
      <c r="T16" s="23"/>
      <c r="W16" s="190" t="s">
        <v>138</v>
      </c>
      <c r="X16" s="191">
        <v>3.0120999999999998E-2</v>
      </c>
    </row>
    <row r="17" spans="2:24" ht="15" customHeight="1" x14ac:dyDescent="0.25">
      <c r="B17" s="91"/>
      <c r="C17" s="210" t="s">
        <v>91</v>
      </c>
      <c r="D17" s="223" t="s">
        <v>136</v>
      </c>
      <c r="E17" s="224">
        <v>3.0100999999999999E-2</v>
      </c>
      <c r="F17" s="30"/>
      <c r="G17" s="30"/>
      <c r="H17" s="30"/>
      <c r="I17" s="30"/>
      <c r="J17" s="30"/>
      <c r="K17" s="30"/>
      <c r="L17" s="30"/>
      <c r="M17" s="30"/>
      <c r="N17" s="30"/>
      <c r="O17" s="30"/>
      <c r="P17" s="30"/>
      <c r="Q17" s="30"/>
      <c r="R17" s="30"/>
      <c r="S17" s="30"/>
      <c r="T17" s="23"/>
      <c r="W17" s="190" t="s">
        <v>26</v>
      </c>
      <c r="X17" s="191">
        <v>2.9626E-2</v>
      </c>
    </row>
    <row r="18" spans="2:24" ht="15" customHeight="1" x14ac:dyDescent="0.25">
      <c r="B18" s="91"/>
      <c r="C18" s="210" t="s">
        <v>165</v>
      </c>
      <c r="D18" s="223" t="s">
        <v>26</v>
      </c>
      <c r="E18" s="224">
        <v>2.9626E-2</v>
      </c>
      <c r="F18" s="30"/>
      <c r="G18" s="30"/>
      <c r="H18" s="30"/>
      <c r="I18" s="30"/>
      <c r="J18" s="30"/>
      <c r="K18" s="30"/>
      <c r="L18" s="30"/>
      <c r="M18" s="30"/>
      <c r="N18" s="30"/>
      <c r="O18" s="30"/>
      <c r="P18" s="30"/>
      <c r="Q18" s="30"/>
      <c r="R18" s="30"/>
      <c r="S18" s="30"/>
      <c r="T18" s="23"/>
      <c r="W18" s="190" t="s">
        <v>6</v>
      </c>
      <c r="X18" s="191">
        <v>2.9524000000000002E-2</v>
      </c>
    </row>
    <row r="19" spans="2:24" ht="15" customHeight="1" x14ac:dyDescent="0.25">
      <c r="B19" s="91"/>
      <c r="C19" s="210" t="s">
        <v>36</v>
      </c>
      <c r="D19" s="223" t="s">
        <v>3</v>
      </c>
      <c r="E19" s="224">
        <v>2.9547E-2</v>
      </c>
      <c r="F19" s="30"/>
      <c r="G19" s="30"/>
      <c r="H19" s="30"/>
      <c r="I19" s="30"/>
      <c r="J19" s="30"/>
      <c r="K19" s="30"/>
      <c r="L19" s="30"/>
      <c r="M19" s="30"/>
      <c r="N19" s="30"/>
      <c r="O19" s="30"/>
      <c r="P19" s="30"/>
      <c r="Q19" s="30"/>
      <c r="R19" s="30"/>
      <c r="S19" s="30"/>
      <c r="T19" s="23"/>
      <c r="W19" s="190" t="s">
        <v>137</v>
      </c>
      <c r="X19" s="191">
        <v>2.7584000000000001E-2</v>
      </c>
    </row>
    <row r="20" spans="2:24" ht="15" customHeight="1" x14ac:dyDescent="0.25">
      <c r="B20" s="91"/>
      <c r="C20" s="210" t="s">
        <v>31</v>
      </c>
      <c r="D20" s="223" t="s">
        <v>6</v>
      </c>
      <c r="E20" s="224">
        <v>2.9524000000000002E-2</v>
      </c>
      <c r="F20" s="30"/>
      <c r="G20" s="30"/>
      <c r="H20" s="30"/>
      <c r="I20" s="30"/>
      <c r="J20" s="30"/>
      <c r="K20" s="30"/>
      <c r="L20" s="30"/>
      <c r="M20" s="30"/>
      <c r="N20" s="30"/>
      <c r="O20" s="30"/>
      <c r="P20" s="30"/>
      <c r="Q20" s="30"/>
      <c r="R20" s="30"/>
      <c r="S20" s="30"/>
      <c r="T20" s="23"/>
      <c r="W20" s="190" t="s">
        <v>140</v>
      </c>
      <c r="X20" s="191">
        <v>2.5692E-2</v>
      </c>
    </row>
    <row r="21" spans="2:24" ht="15" customHeight="1" x14ac:dyDescent="0.25">
      <c r="B21" s="91"/>
      <c r="C21" s="210" t="s">
        <v>267</v>
      </c>
      <c r="D21" s="223" t="s">
        <v>137</v>
      </c>
      <c r="E21" s="224">
        <v>2.7584000000000001E-2</v>
      </c>
      <c r="F21" s="30"/>
      <c r="G21" s="30"/>
      <c r="H21" s="30"/>
      <c r="I21" s="30"/>
      <c r="J21" s="30"/>
      <c r="K21" s="30"/>
      <c r="L21" s="30"/>
      <c r="M21" s="30"/>
      <c r="N21" s="30"/>
      <c r="O21" s="30"/>
      <c r="P21" s="30"/>
      <c r="Q21" s="30"/>
      <c r="R21" s="30"/>
      <c r="S21" s="30"/>
      <c r="T21" s="23"/>
      <c r="W21" s="190" t="s">
        <v>16</v>
      </c>
      <c r="X21" s="191">
        <v>2.4622999999999999E-2</v>
      </c>
    </row>
    <row r="22" spans="2:24" ht="15" customHeight="1" x14ac:dyDescent="0.25">
      <c r="B22" s="91"/>
      <c r="C22" s="210" t="s">
        <v>186</v>
      </c>
      <c r="D22" s="223" t="s">
        <v>140</v>
      </c>
      <c r="E22" s="224">
        <v>2.5692E-2</v>
      </c>
      <c r="F22" s="30"/>
      <c r="G22" s="30"/>
      <c r="H22" s="30"/>
      <c r="I22" s="30"/>
      <c r="J22" s="30"/>
      <c r="K22" s="30"/>
      <c r="L22" s="30"/>
      <c r="M22" s="30"/>
      <c r="N22" s="30"/>
      <c r="O22" s="30"/>
      <c r="P22" s="30"/>
      <c r="Q22" s="30"/>
      <c r="R22" s="30"/>
      <c r="S22" s="30"/>
      <c r="T22" s="23"/>
      <c r="W22" s="190" t="s">
        <v>95</v>
      </c>
      <c r="X22" s="191">
        <v>2.06E-2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190" t="s">
        <v>133</v>
      </c>
      <c r="X23" s="191">
        <v>2.0219000000000001E-2</v>
      </c>
    </row>
    <row r="24" spans="2:24" ht="15" customHeight="1" x14ac:dyDescent="0.25">
      <c r="B24" s="91"/>
      <c r="C24" s="85" t="s">
        <v>55</v>
      </c>
      <c r="D24" s="86"/>
      <c r="E24" s="87">
        <f>SUM(E8:E22)</f>
        <v>0.66753000000000018</v>
      </c>
      <c r="F24" s="30"/>
      <c r="G24" s="30"/>
      <c r="H24" s="30"/>
      <c r="I24" s="30"/>
      <c r="J24" s="30"/>
      <c r="K24" s="30"/>
      <c r="L24" s="30"/>
      <c r="M24" s="30"/>
      <c r="N24" s="30"/>
      <c r="O24" s="30"/>
      <c r="P24" s="30"/>
      <c r="Q24" s="30"/>
      <c r="R24" s="30"/>
      <c r="S24" s="30"/>
      <c r="T24" s="23"/>
      <c r="W24" s="190" t="s">
        <v>163</v>
      </c>
      <c r="X24" s="191">
        <v>1.9949000000000001E-2</v>
      </c>
    </row>
    <row r="25" spans="2:24" ht="15" customHeight="1" x14ac:dyDescent="0.25">
      <c r="B25" s="91"/>
      <c r="F25" s="30"/>
      <c r="G25" s="30"/>
      <c r="H25" s="30"/>
      <c r="I25" s="30"/>
      <c r="J25" s="30"/>
      <c r="K25" s="30"/>
      <c r="L25" s="30"/>
      <c r="M25" s="30"/>
      <c r="N25" s="30"/>
      <c r="O25" s="30"/>
      <c r="P25" s="30"/>
      <c r="Q25" s="30"/>
      <c r="R25" s="30"/>
      <c r="S25" s="30"/>
      <c r="T25" s="23"/>
      <c r="W25" s="190" t="s">
        <v>148</v>
      </c>
      <c r="X25" s="191">
        <v>1.9304999999999999E-2</v>
      </c>
    </row>
    <row r="26" spans="2:24" ht="15" customHeight="1" x14ac:dyDescent="0.25">
      <c r="B26" s="91"/>
      <c r="F26" s="30"/>
      <c r="G26" s="30"/>
      <c r="H26" s="30"/>
      <c r="I26" s="30"/>
      <c r="J26" s="30"/>
      <c r="K26" s="30"/>
      <c r="L26" s="30"/>
      <c r="M26" s="30"/>
      <c r="N26" s="30"/>
      <c r="O26" s="30"/>
      <c r="P26" s="30"/>
      <c r="Q26" s="30"/>
      <c r="R26" s="30"/>
      <c r="S26" s="30"/>
      <c r="T26" s="23"/>
      <c r="W26" s="190" t="s">
        <v>24</v>
      </c>
      <c r="X26" s="191">
        <v>1.9082999999999999E-2</v>
      </c>
    </row>
    <row r="27" spans="2:24" ht="15" customHeight="1" x14ac:dyDescent="0.25">
      <c r="B27" s="91"/>
      <c r="F27" s="30"/>
      <c r="G27" s="30"/>
      <c r="H27" s="30"/>
      <c r="I27" s="30"/>
      <c r="J27" s="30"/>
      <c r="K27" s="30"/>
      <c r="L27" s="30"/>
      <c r="M27" s="30"/>
      <c r="N27" s="30"/>
      <c r="O27" s="30"/>
      <c r="P27" s="30"/>
      <c r="Q27" s="30"/>
      <c r="R27" s="30"/>
      <c r="S27" s="30"/>
      <c r="T27" s="23"/>
      <c r="W27" s="190" t="s">
        <v>87</v>
      </c>
      <c r="X27" s="191">
        <v>1.8419000000000001E-2</v>
      </c>
    </row>
    <row r="28" spans="2:24" ht="15" customHeight="1" x14ac:dyDescent="0.25">
      <c r="B28" s="91"/>
      <c r="F28" s="30"/>
      <c r="G28" s="30"/>
      <c r="H28" s="30"/>
      <c r="I28" s="30"/>
      <c r="J28" s="30"/>
      <c r="K28" s="30"/>
      <c r="L28" s="30"/>
      <c r="M28" s="30"/>
      <c r="N28" s="30"/>
      <c r="O28" s="30"/>
      <c r="P28" s="30"/>
      <c r="Q28" s="30"/>
      <c r="R28" s="30"/>
      <c r="S28" s="30"/>
      <c r="T28" s="23"/>
      <c r="W28" s="190"/>
      <c r="X28" s="191"/>
    </row>
    <row r="29" spans="2:24" ht="15" customHeight="1" x14ac:dyDescent="0.25">
      <c r="B29" s="91"/>
      <c r="F29" s="30"/>
      <c r="G29" s="30"/>
      <c r="H29" s="30"/>
      <c r="I29" s="30"/>
      <c r="J29" s="30"/>
      <c r="K29" s="30"/>
      <c r="L29" s="30"/>
      <c r="M29" s="30"/>
      <c r="N29" s="30"/>
      <c r="O29" s="30"/>
      <c r="P29" s="30"/>
      <c r="Q29" s="30"/>
      <c r="R29" s="30"/>
      <c r="S29" s="30"/>
      <c r="T29" s="23"/>
      <c r="W29" s="190"/>
      <c r="X29" s="191"/>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 customHeight="1" x14ac:dyDescent="0.25">
      <c r="B32" s="91"/>
      <c r="F32" s="30"/>
      <c r="G32" s="30"/>
      <c r="H32" s="30"/>
      <c r="I32" s="30"/>
      <c r="J32" s="30"/>
      <c r="K32" s="30"/>
      <c r="L32" s="30"/>
      <c r="M32" s="30"/>
      <c r="N32" s="30"/>
      <c r="O32" s="30"/>
      <c r="P32" s="30"/>
      <c r="Q32" s="30"/>
      <c r="R32" s="30"/>
      <c r="S32" s="30"/>
      <c r="T32" s="23"/>
    </row>
    <row r="33" spans="2:20" ht="15.75" customHeight="1" x14ac:dyDescent="0.25">
      <c r="B33" s="91"/>
      <c r="F33" s="30"/>
      <c r="G33" s="30"/>
      <c r="H33" s="30"/>
      <c r="I33" s="30"/>
      <c r="J33" s="30"/>
      <c r="K33" s="30"/>
      <c r="L33" s="30"/>
      <c r="M33" s="30"/>
      <c r="N33" s="30"/>
      <c r="O33" s="30"/>
      <c r="P33" s="30"/>
      <c r="Q33" s="30"/>
      <c r="R33" s="30"/>
      <c r="S33" s="30"/>
      <c r="T33" s="23"/>
    </row>
    <row r="34" spans="2:20" ht="15.75" customHeight="1" x14ac:dyDescent="0.25">
      <c r="B34" s="91"/>
      <c r="F34" s="30"/>
      <c r="G34" s="30"/>
      <c r="H34" s="30"/>
      <c r="I34" s="30"/>
      <c r="J34" s="30"/>
      <c r="K34" s="30"/>
      <c r="L34" s="30"/>
      <c r="M34" s="30"/>
      <c r="N34" s="30"/>
      <c r="O34" s="30"/>
      <c r="P34" s="30"/>
      <c r="Q34" s="30"/>
      <c r="R34" s="30"/>
      <c r="S34" s="30"/>
      <c r="T34" s="23"/>
    </row>
    <row r="35" spans="2:20" ht="15.75" customHeight="1" x14ac:dyDescent="0.25">
      <c r="B35" s="91"/>
      <c r="F35" s="30"/>
      <c r="G35" s="30"/>
      <c r="H35" s="30"/>
      <c r="I35" s="30"/>
      <c r="J35" s="30"/>
      <c r="K35" s="30"/>
      <c r="L35" s="30"/>
      <c r="M35" s="30"/>
      <c r="N35" s="30"/>
      <c r="O35" s="30"/>
      <c r="P35" s="30"/>
      <c r="Q35" s="30"/>
      <c r="R35" s="30"/>
      <c r="S35" s="30"/>
      <c r="T35" s="23"/>
    </row>
    <row r="36" spans="2:20" ht="15" customHeight="1" thickBot="1" x14ac:dyDescent="0.3">
      <c r="B36" s="92"/>
      <c r="C36" s="93"/>
      <c r="D36" s="93"/>
      <c r="E36" s="93"/>
      <c r="F36" s="93"/>
      <c r="G36" s="93"/>
      <c r="H36" s="93"/>
      <c r="I36" s="93"/>
      <c r="J36" s="93"/>
      <c r="K36" s="93"/>
      <c r="L36" s="93"/>
      <c r="M36" s="93"/>
      <c r="N36" s="93"/>
      <c r="O36" s="93"/>
      <c r="P36" s="93"/>
      <c r="Q36" s="93"/>
      <c r="R36" s="93"/>
      <c r="S36" s="93"/>
      <c r="T36" s="24"/>
    </row>
    <row r="37" spans="2:20" ht="15" customHeight="1" thickBot="1" x14ac:dyDescent="0.3"/>
    <row r="38" spans="2:20" ht="15" customHeight="1" x14ac:dyDescent="0.25">
      <c r="B38" s="245" t="s">
        <v>234</v>
      </c>
      <c r="C38" s="246"/>
      <c r="D38" s="246"/>
      <c r="E38" s="246"/>
      <c r="F38" s="246"/>
      <c r="G38" s="246"/>
      <c r="H38" s="246"/>
      <c r="I38" s="246"/>
      <c r="J38" s="246"/>
      <c r="K38" s="246"/>
      <c r="L38" s="246"/>
      <c r="M38" s="246"/>
      <c r="N38" s="246"/>
      <c r="O38" s="246"/>
      <c r="P38" s="246"/>
      <c r="Q38" s="246"/>
      <c r="R38" s="247"/>
    </row>
    <row r="39" spans="2:20" ht="15" customHeight="1" x14ac:dyDescent="0.25">
      <c r="B39" s="248"/>
      <c r="C39" s="249"/>
      <c r="D39" s="249"/>
      <c r="E39" s="249"/>
      <c r="F39" s="249"/>
      <c r="G39" s="249"/>
      <c r="H39" s="249"/>
      <c r="I39" s="249"/>
      <c r="J39" s="249"/>
      <c r="K39" s="249"/>
      <c r="L39" s="249"/>
      <c r="M39" s="249"/>
      <c r="N39" s="249"/>
      <c r="O39" s="249"/>
      <c r="P39" s="249"/>
      <c r="Q39" s="249"/>
      <c r="R39" s="250"/>
    </row>
    <row r="40" spans="2:20" ht="15" customHeight="1" x14ac:dyDescent="0.25">
      <c r="B40" s="248"/>
      <c r="C40" s="249"/>
      <c r="D40" s="249"/>
      <c r="E40" s="249"/>
      <c r="F40" s="249"/>
      <c r="G40" s="249"/>
      <c r="H40" s="249"/>
      <c r="I40" s="249"/>
      <c r="J40" s="249"/>
      <c r="K40" s="249"/>
      <c r="L40" s="249"/>
      <c r="M40" s="249"/>
      <c r="N40" s="249"/>
      <c r="O40" s="249"/>
      <c r="P40" s="249"/>
      <c r="Q40" s="249"/>
      <c r="R40" s="250"/>
    </row>
    <row r="41" spans="2:20" ht="15" customHeight="1" x14ac:dyDescent="0.25">
      <c r="B41" s="248"/>
      <c r="C41" s="249"/>
      <c r="D41" s="249"/>
      <c r="E41" s="249"/>
      <c r="F41" s="249"/>
      <c r="G41" s="249"/>
      <c r="H41" s="249"/>
      <c r="I41" s="249"/>
      <c r="J41" s="249"/>
      <c r="K41" s="249"/>
      <c r="L41" s="249"/>
      <c r="M41" s="249"/>
      <c r="N41" s="249"/>
      <c r="O41" s="249"/>
      <c r="P41" s="249"/>
      <c r="Q41" s="249"/>
      <c r="R41" s="250"/>
    </row>
    <row r="42" spans="2:20" ht="15" customHeight="1" x14ac:dyDescent="0.25">
      <c r="B42" s="248"/>
      <c r="C42" s="249"/>
      <c r="D42" s="249"/>
      <c r="E42" s="249"/>
      <c r="F42" s="249"/>
      <c r="G42" s="249"/>
      <c r="H42" s="249"/>
      <c r="I42" s="249"/>
      <c r="J42" s="249"/>
      <c r="K42" s="249"/>
      <c r="L42" s="249"/>
      <c r="M42" s="249"/>
      <c r="N42" s="249"/>
      <c r="O42" s="249"/>
      <c r="P42" s="249"/>
      <c r="Q42" s="249"/>
      <c r="R42" s="250"/>
    </row>
    <row r="43" spans="2:20" ht="15" customHeight="1" x14ac:dyDescent="0.25">
      <c r="B43" s="248"/>
      <c r="C43" s="249"/>
      <c r="D43" s="249"/>
      <c r="E43" s="249"/>
      <c r="F43" s="249"/>
      <c r="G43" s="249"/>
      <c r="H43" s="249"/>
      <c r="I43" s="249"/>
      <c r="J43" s="249"/>
      <c r="K43" s="249"/>
      <c r="L43" s="249"/>
      <c r="M43" s="249"/>
      <c r="N43" s="249"/>
      <c r="O43" s="249"/>
      <c r="P43" s="249"/>
      <c r="Q43" s="249"/>
      <c r="R43" s="250"/>
    </row>
    <row r="44" spans="2:20" ht="15" customHeight="1" thickBot="1" x14ac:dyDescent="0.3">
      <c r="B44" s="251"/>
      <c r="C44" s="252"/>
      <c r="D44" s="252"/>
      <c r="E44" s="252"/>
      <c r="F44" s="252"/>
      <c r="G44" s="252"/>
      <c r="H44" s="252"/>
      <c r="I44" s="252"/>
      <c r="J44" s="252"/>
      <c r="K44" s="252"/>
      <c r="L44" s="252"/>
      <c r="M44" s="252"/>
      <c r="N44" s="252"/>
      <c r="O44" s="252"/>
      <c r="P44" s="252"/>
      <c r="Q44" s="252"/>
      <c r="R44" s="25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topLeftCell="A7" zoomScale="75" zoomScaleNormal="75" workbookViewId="0">
      <selection activeCell="X8" sqref="X8:X34"/>
    </sheetView>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9"/>
      <c r="C2" s="90"/>
      <c r="D2" s="90"/>
      <c r="E2" s="90"/>
      <c r="F2" s="90"/>
      <c r="G2" s="90"/>
      <c r="H2" s="90"/>
      <c r="I2" s="90"/>
      <c r="J2" s="90"/>
      <c r="K2" s="90"/>
      <c r="L2" s="90"/>
      <c r="M2" s="90"/>
      <c r="N2" s="90"/>
      <c r="O2" s="90"/>
      <c r="P2" s="90"/>
      <c r="Q2" s="90"/>
      <c r="R2" s="90"/>
      <c r="S2" s="90"/>
      <c r="T2" s="22"/>
    </row>
    <row r="3" spans="1:37" ht="20.25" customHeight="1" x14ac:dyDescent="0.25">
      <c r="B3" s="91"/>
      <c r="C3" s="254" t="s">
        <v>214</v>
      </c>
      <c r="D3" s="255"/>
      <c r="E3" s="255"/>
      <c r="F3" s="255"/>
      <c r="G3" s="255"/>
      <c r="H3" s="255"/>
      <c r="I3" s="255"/>
      <c r="J3" s="255"/>
      <c r="K3" s="255"/>
      <c r="L3" s="255"/>
      <c r="M3" s="255"/>
      <c r="N3" s="255"/>
      <c r="O3" s="255"/>
      <c r="P3" s="255"/>
      <c r="Q3" s="255"/>
      <c r="R3" s="255"/>
      <c r="S3" s="255"/>
      <c r="T3" s="23"/>
    </row>
    <row r="4" spans="1:37" ht="15.75" customHeight="1" x14ac:dyDescent="0.25">
      <c r="B4" s="91"/>
      <c r="C4" s="78" t="s">
        <v>313</v>
      </c>
      <c r="D4" s="30"/>
      <c r="E4" s="30"/>
      <c r="F4" s="30"/>
      <c r="G4" s="30"/>
      <c r="H4" s="30"/>
      <c r="I4" s="30"/>
      <c r="J4" s="30"/>
      <c r="K4" s="30"/>
      <c r="L4" s="30"/>
      <c r="M4" s="30"/>
      <c r="N4" s="30"/>
      <c r="O4" s="30"/>
      <c r="P4" s="30"/>
      <c r="Q4" s="30"/>
      <c r="R4" s="30"/>
      <c r="S4" s="30"/>
      <c r="T4" s="23"/>
    </row>
    <row r="5" spans="1:37" ht="18" customHeight="1" x14ac:dyDescent="0.25">
      <c r="B5" s="91"/>
      <c r="C5" s="79" t="s">
        <v>314</v>
      </c>
      <c r="D5" s="257" t="s">
        <v>274</v>
      </c>
      <c r="E5" s="258"/>
      <c r="F5" s="30"/>
      <c r="G5" s="30"/>
      <c r="H5" s="30"/>
      <c r="I5" s="30"/>
      <c r="J5" s="30"/>
      <c r="K5" s="30"/>
      <c r="L5" s="30"/>
      <c r="M5" s="30"/>
      <c r="N5" s="30"/>
      <c r="O5" s="30"/>
      <c r="P5" s="30"/>
      <c r="Q5" s="30"/>
      <c r="R5" s="30"/>
      <c r="S5" s="30"/>
      <c r="T5" s="23"/>
    </row>
    <row r="6" spans="1:37" ht="15" customHeight="1" x14ac:dyDescent="0.25">
      <c r="B6" s="91"/>
      <c r="C6" s="30"/>
      <c r="D6" s="30"/>
      <c r="E6" s="30"/>
      <c r="F6" s="30"/>
      <c r="G6" s="30"/>
      <c r="H6" s="30"/>
      <c r="I6" s="30"/>
      <c r="J6" s="30"/>
      <c r="K6" s="30"/>
      <c r="L6" s="30"/>
      <c r="M6" s="30"/>
      <c r="N6" s="30"/>
      <c r="O6" s="30"/>
      <c r="P6" s="30"/>
      <c r="Q6" s="30"/>
      <c r="R6" s="30"/>
      <c r="S6" s="30"/>
      <c r="T6" s="23"/>
      <c r="AK6" s="42"/>
    </row>
    <row r="7" spans="1:37"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37" ht="15" customHeight="1" x14ac:dyDescent="0.25">
      <c r="B8" s="91"/>
      <c r="C8" s="220" t="s">
        <v>36</v>
      </c>
      <c r="D8" s="221" t="s">
        <v>3</v>
      </c>
      <c r="E8" s="222">
        <v>4.3920000000000001E-2</v>
      </c>
      <c r="F8" s="30"/>
      <c r="G8" s="30"/>
      <c r="H8" s="30"/>
      <c r="I8" s="30"/>
      <c r="J8" s="30"/>
      <c r="K8" s="30"/>
      <c r="L8" s="30"/>
      <c r="M8" s="30"/>
      <c r="N8" s="30"/>
      <c r="O8" s="30"/>
      <c r="P8" s="30"/>
      <c r="Q8" s="30"/>
      <c r="R8" s="30"/>
      <c r="S8" s="30"/>
      <c r="T8" s="23"/>
      <c r="W8" s="70" t="s">
        <v>3</v>
      </c>
      <c r="X8" s="72">
        <v>0.17225600000000002</v>
      </c>
    </row>
    <row r="9" spans="1:37" ht="15.75" customHeight="1" x14ac:dyDescent="0.25">
      <c r="B9" s="91"/>
      <c r="C9" s="210" t="s">
        <v>32</v>
      </c>
      <c r="D9" s="223" t="s">
        <v>3</v>
      </c>
      <c r="E9" s="224">
        <v>4.3254000000000001E-2</v>
      </c>
      <c r="F9" s="30"/>
      <c r="G9" s="30"/>
      <c r="H9" s="30"/>
      <c r="I9" s="30"/>
      <c r="J9" s="30"/>
      <c r="K9" s="30"/>
      <c r="L9" s="30"/>
      <c r="M9" s="30"/>
      <c r="N9" s="30"/>
      <c r="O9" s="30"/>
      <c r="P9" s="30"/>
      <c r="Q9" s="30"/>
      <c r="R9" s="30"/>
      <c r="S9" s="30"/>
      <c r="T9" s="23"/>
      <c r="W9" s="70" t="s">
        <v>135</v>
      </c>
      <c r="X9" s="72">
        <v>8.4994E-2</v>
      </c>
    </row>
    <row r="10" spans="1:37" ht="15" customHeight="1" x14ac:dyDescent="0.25">
      <c r="B10" s="91"/>
      <c r="C10" s="210" t="s">
        <v>83</v>
      </c>
      <c r="D10" s="223" t="s">
        <v>11</v>
      </c>
      <c r="E10" s="224">
        <v>3.0880999999999999E-2</v>
      </c>
      <c r="F10" s="30"/>
      <c r="G10" s="30"/>
      <c r="H10" s="30"/>
      <c r="I10" s="30"/>
      <c r="J10" s="30"/>
      <c r="K10" s="30"/>
      <c r="L10" s="30"/>
      <c r="M10" s="30"/>
      <c r="N10" s="30"/>
      <c r="O10" s="30"/>
      <c r="P10" s="30"/>
      <c r="Q10" s="30"/>
      <c r="R10" s="30"/>
      <c r="S10" s="30"/>
      <c r="T10" s="23"/>
      <c r="W10" s="70" t="s">
        <v>143</v>
      </c>
      <c r="X10" s="72">
        <v>6.3195000000000001E-2</v>
      </c>
    </row>
    <row r="11" spans="1:37" ht="15" customHeight="1" x14ac:dyDescent="0.25">
      <c r="B11" s="91"/>
      <c r="C11" s="210" t="s">
        <v>112</v>
      </c>
      <c r="D11" s="223" t="s">
        <v>143</v>
      </c>
      <c r="E11" s="224">
        <v>2.8410000000000001E-2</v>
      </c>
      <c r="F11" s="30"/>
      <c r="G11" s="30"/>
      <c r="H11" s="30"/>
      <c r="I11" s="30"/>
      <c r="J11" s="30"/>
      <c r="K11" s="30"/>
      <c r="L11" s="30"/>
      <c r="M11" s="30"/>
      <c r="N11" s="30"/>
      <c r="O11" s="30"/>
      <c r="P11" s="30"/>
      <c r="Q11" s="30"/>
      <c r="R11" s="30"/>
      <c r="S11" s="30"/>
      <c r="T11" s="23"/>
      <c r="W11" s="70" t="s">
        <v>130</v>
      </c>
      <c r="X11" s="72">
        <v>6.2681000000000001E-2</v>
      </c>
    </row>
    <row r="12" spans="1:37" ht="15" customHeight="1" x14ac:dyDescent="0.25">
      <c r="B12" s="91"/>
      <c r="C12" s="210" t="s">
        <v>30</v>
      </c>
      <c r="D12" s="223" t="s">
        <v>141</v>
      </c>
      <c r="E12" s="224">
        <v>2.6450000000000001E-2</v>
      </c>
      <c r="F12" s="30"/>
      <c r="G12" s="30"/>
      <c r="H12" s="30"/>
      <c r="I12" s="30"/>
      <c r="J12" s="30"/>
      <c r="K12" s="30"/>
      <c r="L12" s="30"/>
      <c r="M12" s="30"/>
      <c r="N12" s="30"/>
      <c r="O12" s="30"/>
      <c r="P12" s="30"/>
      <c r="Q12" s="30"/>
      <c r="R12" s="30"/>
      <c r="S12" s="30"/>
      <c r="T12" s="23"/>
      <c r="W12" s="70" t="s">
        <v>4</v>
      </c>
      <c r="X12" s="72">
        <v>4.8592999999999997E-2</v>
      </c>
    </row>
    <row r="13" spans="1:37" ht="15.75" customHeight="1" x14ac:dyDescent="0.25">
      <c r="B13" s="91"/>
      <c r="C13" s="210" t="s">
        <v>29</v>
      </c>
      <c r="D13" s="223" t="s">
        <v>3</v>
      </c>
      <c r="E13" s="224">
        <v>2.5995000000000001E-2</v>
      </c>
      <c r="F13" s="30"/>
      <c r="G13" s="30"/>
      <c r="H13" s="30"/>
      <c r="I13" s="30"/>
      <c r="J13" s="30"/>
      <c r="K13" s="30"/>
      <c r="L13" s="30"/>
      <c r="M13" s="30"/>
      <c r="N13" s="30"/>
      <c r="O13" s="30"/>
      <c r="P13" s="30"/>
      <c r="Q13" s="30"/>
      <c r="R13" s="30"/>
      <c r="S13" s="30"/>
      <c r="T13" s="23"/>
      <c r="W13" s="70" t="s">
        <v>133</v>
      </c>
      <c r="X13" s="72">
        <v>4.7031000000000003E-2</v>
      </c>
    </row>
    <row r="14" spans="1:37" ht="15" customHeight="1" x14ac:dyDescent="0.25">
      <c r="B14" s="91"/>
      <c r="C14" s="210" t="s">
        <v>124</v>
      </c>
      <c r="D14" s="223" t="s">
        <v>4</v>
      </c>
      <c r="E14" s="224">
        <v>2.5701999999999999E-2</v>
      </c>
      <c r="F14" s="30"/>
      <c r="G14" s="30"/>
      <c r="H14" s="30"/>
      <c r="I14" s="30"/>
      <c r="J14" s="30"/>
      <c r="K14" s="30"/>
      <c r="L14" s="30"/>
      <c r="M14" s="30"/>
      <c r="N14" s="30"/>
      <c r="O14" s="30"/>
      <c r="P14" s="30"/>
      <c r="Q14" s="30"/>
      <c r="R14" s="30"/>
      <c r="S14" s="30"/>
      <c r="T14" s="23"/>
      <c r="W14" s="70" t="s">
        <v>11</v>
      </c>
      <c r="X14" s="72">
        <v>4.2266999999999999E-2</v>
      </c>
    </row>
    <row r="15" spans="1:37" ht="15" customHeight="1" x14ac:dyDescent="0.25">
      <c r="B15" s="91"/>
      <c r="C15" s="210" t="s">
        <v>31</v>
      </c>
      <c r="D15" s="223" t="s">
        <v>6</v>
      </c>
      <c r="E15" s="224">
        <v>2.5337999999999999E-2</v>
      </c>
      <c r="F15" s="30"/>
      <c r="G15" s="30"/>
      <c r="H15" s="30"/>
      <c r="I15" s="30"/>
      <c r="J15" s="30"/>
      <c r="K15" s="30"/>
      <c r="L15" s="30"/>
      <c r="M15" s="30"/>
      <c r="N15" s="30"/>
      <c r="O15" s="30"/>
      <c r="P15" s="30"/>
      <c r="Q15" s="30"/>
      <c r="R15" s="30"/>
      <c r="S15" s="30"/>
      <c r="T15" s="23"/>
      <c r="W15" s="70" t="s">
        <v>16</v>
      </c>
      <c r="X15" s="72">
        <v>3.3930000000000002E-2</v>
      </c>
    </row>
    <row r="16" spans="1:37" ht="15" customHeight="1" x14ac:dyDescent="0.25">
      <c r="B16" s="91"/>
      <c r="C16" s="210" t="s">
        <v>90</v>
      </c>
      <c r="D16" s="223" t="s">
        <v>3</v>
      </c>
      <c r="E16" s="224">
        <v>2.2793000000000001E-2</v>
      </c>
      <c r="F16" s="30"/>
      <c r="G16" s="30"/>
      <c r="H16" s="30"/>
      <c r="I16" s="30"/>
      <c r="J16" s="30"/>
      <c r="K16" s="30"/>
      <c r="L16" s="30"/>
      <c r="M16" s="30"/>
      <c r="N16" s="30"/>
      <c r="O16" s="30"/>
      <c r="P16" s="30"/>
      <c r="Q16" s="30"/>
      <c r="R16" s="30"/>
      <c r="S16" s="30"/>
      <c r="T16" s="23"/>
      <c r="W16" s="70" t="s">
        <v>6</v>
      </c>
      <c r="X16" s="72">
        <v>3.3841999999999997E-2</v>
      </c>
    </row>
    <row r="17" spans="2:24" ht="15" customHeight="1" x14ac:dyDescent="0.25">
      <c r="B17" s="91"/>
      <c r="C17" s="210" t="s">
        <v>181</v>
      </c>
      <c r="D17" s="223" t="s">
        <v>143</v>
      </c>
      <c r="E17" s="224">
        <v>2.2416999999999999E-2</v>
      </c>
      <c r="F17" s="30"/>
      <c r="G17" s="30"/>
      <c r="H17" s="30"/>
      <c r="I17" s="30"/>
      <c r="J17" s="30"/>
      <c r="K17" s="30"/>
      <c r="L17" s="30"/>
      <c r="M17" s="30"/>
      <c r="N17" s="30"/>
      <c r="O17" s="30"/>
      <c r="P17" s="30"/>
      <c r="Q17" s="30"/>
      <c r="R17" s="30"/>
      <c r="S17" s="30"/>
      <c r="T17" s="23"/>
      <c r="W17" s="70" t="s">
        <v>95</v>
      </c>
      <c r="X17" s="72">
        <v>3.1855999999999995E-2</v>
      </c>
    </row>
    <row r="18" spans="2:24" ht="15" customHeight="1" x14ac:dyDescent="0.25">
      <c r="B18" s="91"/>
      <c r="C18" s="210" t="s">
        <v>188</v>
      </c>
      <c r="D18" s="223" t="s">
        <v>23</v>
      </c>
      <c r="E18" s="224">
        <v>2.2189E-2</v>
      </c>
      <c r="F18" s="30"/>
      <c r="G18" s="30"/>
      <c r="H18" s="30"/>
      <c r="I18" s="30"/>
      <c r="J18" s="30"/>
      <c r="K18" s="30"/>
      <c r="L18" s="30"/>
      <c r="M18" s="30"/>
      <c r="N18" s="30"/>
      <c r="O18" s="30"/>
      <c r="P18" s="30"/>
      <c r="Q18" s="30"/>
      <c r="R18" s="30"/>
      <c r="S18" s="30"/>
      <c r="T18" s="23"/>
      <c r="W18" s="70" t="s">
        <v>136</v>
      </c>
      <c r="X18" s="72">
        <v>3.159E-2</v>
      </c>
    </row>
    <row r="19" spans="2:24" ht="15" customHeight="1" x14ac:dyDescent="0.25">
      <c r="B19" s="91"/>
      <c r="C19" s="210" t="s">
        <v>127</v>
      </c>
      <c r="D19" s="223" t="s">
        <v>135</v>
      </c>
      <c r="E19" s="224">
        <v>2.1749000000000001E-2</v>
      </c>
      <c r="F19" s="30"/>
      <c r="G19" s="30"/>
      <c r="H19" s="30"/>
      <c r="I19" s="30"/>
      <c r="J19" s="30"/>
      <c r="K19" s="30"/>
      <c r="L19" s="30"/>
      <c r="M19" s="30"/>
      <c r="N19" s="30"/>
      <c r="O19" s="30"/>
      <c r="P19" s="30"/>
      <c r="Q19" s="30"/>
      <c r="R19" s="30"/>
      <c r="S19" s="30"/>
      <c r="T19" s="23"/>
      <c r="W19" s="70" t="s">
        <v>141</v>
      </c>
      <c r="X19" s="72">
        <v>2.6450000000000001E-2</v>
      </c>
    </row>
    <row r="20" spans="2:24" ht="15" customHeight="1" x14ac:dyDescent="0.25">
      <c r="B20" s="91"/>
      <c r="C20" s="210" t="s">
        <v>33</v>
      </c>
      <c r="D20" s="223" t="s">
        <v>130</v>
      </c>
      <c r="E20" s="224">
        <v>2.1454000000000001E-2</v>
      </c>
      <c r="F20" s="30"/>
      <c r="G20" s="30"/>
      <c r="H20" s="30"/>
      <c r="I20" s="30"/>
      <c r="J20" s="30"/>
      <c r="K20" s="30"/>
      <c r="L20" s="30"/>
      <c r="M20" s="30"/>
      <c r="N20" s="30"/>
      <c r="O20" s="30"/>
      <c r="P20" s="30"/>
      <c r="Q20" s="30"/>
      <c r="R20" s="30"/>
      <c r="S20" s="30"/>
      <c r="T20" s="23"/>
      <c r="W20" s="70" t="s">
        <v>94</v>
      </c>
      <c r="X20" s="72">
        <v>2.5301999999999998E-2</v>
      </c>
    </row>
    <row r="21" spans="2:24" ht="15" customHeight="1" x14ac:dyDescent="0.25">
      <c r="B21" s="91"/>
      <c r="C21" s="210" t="s">
        <v>126</v>
      </c>
      <c r="D21" s="223" t="s">
        <v>148</v>
      </c>
      <c r="E21" s="224">
        <v>2.0837000000000001E-2</v>
      </c>
      <c r="F21" s="30"/>
      <c r="G21" s="30"/>
      <c r="H21" s="30"/>
      <c r="I21" s="30"/>
      <c r="J21" s="30"/>
      <c r="K21" s="30"/>
      <c r="L21" s="30"/>
      <c r="M21" s="30"/>
      <c r="N21" s="30"/>
      <c r="O21" s="30"/>
      <c r="P21" s="30"/>
      <c r="Q21" s="30"/>
      <c r="R21" s="30"/>
      <c r="S21" s="30"/>
      <c r="T21" s="23"/>
      <c r="W21" s="70" t="s">
        <v>10</v>
      </c>
      <c r="X21" s="72">
        <v>2.4657000000000002E-2</v>
      </c>
    </row>
    <row r="22" spans="2:24" ht="15" customHeight="1" x14ac:dyDescent="0.25">
      <c r="B22" s="91"/>
      <c r="C22" s="210" t="s">
        <v>162</v>
      </c>
      <c r="D22" s="223" t="s">
        <v>133</v>
      </c>
      <c r="E22" s="224">
        <v>2.0829E-2</v>
      </c>
      <c r="F22" s="30"/>
      <c r="G22" s="30"/>
      <c r="H22" s="30"/>
      <c r="I22" s="30"/>
      <c r="J22" s="30"/>
      <c r="K22" s="30"/>
      <c r="L22" s="30"/>
      <c r="M22" s="30"/>
      <c r="N22" s="30"/>
      <c r="O22" s="30"/>
      <c r="P22" s="30"/>
      <c r="Q22" s="30"/>
      <c r="R22" s="30"/>
      <c r="S22" s="30"/>
      <c r="T22" s="23"/>
      <c r="W22" s="70" t="s">
        <v>129</v>
      </c>
      <c r="X22" s="72">
        <v>2.4083E-2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24</v>
      </c>
      <c r="X23" s="72">
        <v>2.3899E-2</v>
      </c>
    </row>
    <row r="24" spans="2:24" ht="15" customHeight="1" x14ac:dyDescent="0.25">
      <c r="B24" s="91"/>
      <c r="C24" s="85" t="s">
        <v>55</v>
      </c>
      <c r="D24" s="86"/>
      <c r="E24" s="96">
        <f>SUM(E8:E22)</f>
        <v>0.40221799999999996</v>
      </c>
      <c r="F24" s="30"/>
      <c r="G24" s="30"/>
      <c r="H24" s="30"/>
      <c r="I24" s="30"/>
      <c r="J24" s="30"/>
      <c r="K24" s="30"/>
      <c r="L24" s="30"/>
      <c r="M24" s="30"/>
      <c r="N24" s="30"/>
      <c r="O24" s="30"/>
      <c r="P24" s="30"/>
      <c r="Q24" s="30"/>
      <c r="R24" s="30"/>
      <c r="S24" s="30"/>
      <c r="T24" s="23"/>
      <c r="W24" s="70" t="s">
        <v>23</v>
      </c>
      <c r="X24" s="72">
        <v>2.2189E-2</v>
      </c>
    </row>
    <row r="25" spans="2:24" ht="15" customHeight="1" x14ac:dyDescent="0.25">
      <c r="B25" s="91"/>
      <c r="C25" s="58"/>
      <c r="D25" s="58"/>
      <c r="E25" s="58"/>
      <c r="F25" s="30"/>
      <c r="G25" s="30"/>
      <c r="H25" s="30"/>
      <c r="I25" s="30"/>
      <c r="J25" s="30"/>
      <c r="K25" s="30"/>
      <c r="L25" s="30"/>
      <c r="M25" s="30"/>
      <c r="N25" s="30"/>
      <c r="O25" s="30"/>
      <c r="P25" s="30"/>
      <c r="Q25" s="30"/>
      <c r="R25" s="30"/>
      <c r="S25" s="30"/>
      <c r="T25" s="23"/>
      <c r="W25" s="70" t="s">
        <v>148</v>
      </c>
      <c r="X25" s="72">
        <v>2.0837000000000001E-2</v>
      </c>
    </row>
    <row r="26" spans="2:24" ht="15" customHeight="1" x14ac:dyDescent="0.25">
      <c r="B26" s="91"/>
      <c r="C26" s="97"/>
      <c r="D26" s="100"/>
      <c r="E26" s="178"/>
      <c r="F26" s="30"/>
      <c r="G26" s="30"/>
      <c r="H26" s="30"/>
      <c r="I26" s="30"/>
      <c r="J26" s="30"/>
      <c r="K26" s="30"/>
      <c r="L26" s="30"/>
      <c r="M26" s="30"/>
      <c r="N26" s="30"/>
      <c r="O26" s="30"/>
      <c r="P26" s="30"/>
      <c r="Q26" s="30"/>
      <c r="R26" s="30"/>
      <c r="S26" s="30"/>
      <c r="T26" s="23"/>
      <c r="W26" s="70" t="s">
        <v>97</v>
      </c>
      <c r="X26" s="72">
        <v>1.8966E-2</v>
      </c>
    </row>
    <row r="27" spans="2:24" ht="15" customHeight="1" x14ac:dyDescent="0.25">
      <c r="B27" s="91"/>
      <c r="F27" s="30"/>
      <c r="G27" s="30"/>
      <c r="H27" s="30"/>
      <c r="I27" s="30"/>
      <c r="J27" s="30"/>
      <c r="K27" s="30"/>
      <c r="L27" s="30"/>
      <c r="M27" s="30"/>
      <c r="N27" s="30"/>
      <c r="O27" s="30"/>
      <c r="P27" s="30"/>
      <c r="Q27" s="30"/>
      <c r="R27" s="30"/>
      <c r="S27" s="30"/>
      <c r="T27" s="23"/>
      <c r="W27" s="70" t="s">
        <v>131</v>
      </c>
      <c r="X27" s="72">
        <v>1.6716000000000002E-2</v>
      </c>
    </row>
    <row r="28" spans="2:24" ht="15" customHeight="1" x14ac:dyDescent="0.25">
      <c r="B28" s="91"/>
      <c r="F28" s="30"/>
      <c r="G28" s="30"/>
      <c r="H28" s="30"/>
      <c r="I28" s="30"/>
      <c r="J28" s="30"/>
      <c r="K28" s="30"/>
      <c r="L28" s="30"/>
      <c r="M28" s="30"/>
      <c r="N28" s="30"/>
      <c r="O28" s="30"/>
      <c r="P28" s="30"/>
      <c r="Q28" s="30"/>
      <c r="R28" s="30"/>
      <c r="S28" s="30"/>
      <c r="T28" s="23"/>
      <c r="W28" s="70" t="s">
        <v>145</v>
      </c>
      <c r="X28" s="72">
        <v>1.5115999999999999E-2</v>
      </c>
    </row>
    <row r="29" spans="2:24" ht="15" customHeight="1" x14ac:dyDescent="0.25">
      <c r="B29" s="91"/>
      <c r="F29" s="30"/>
      <c r="G29" s="30"/>
      <c r="H29" s="30"/>
      <c r="I29" s="30"/>
      <c r="J29" s="30"/>
      <c r="K29" s="30"/>
      <c r="L29" s="30"/>
      <c r="M29" s="30"/>
      <c r="N29" s="30"/>
      <c r="O29" s="30"/>
      <c r="P29" s="30"/>
      <c r="Q29" s="30"/>
      <c r="R29" s="30"/>
      <c r="S29" s="30"/>
      <c r="T29" s="23"/>
      <c r="W29" s="70" t="s">
        <v>13</v>
      </c>
      <c r="X29" s="72">
        <v>1.3095000000000001E-2</v>
      </c>
    </row>
    <row r="30" spans="2:24" ht="15" customHeight="1" x14ac:dyDescent="0.25">
      <c r="B30" s="91"/>
      <c r="F30" s="30"/>
      <c r="G30" s="30"/>
      <c r="H30" s="30"/>
      <c r="I30" s="30"/>
      <c r="J30" s="30"/>
      <c r="K30" s="30"/>
      <c r="L30" s="30"/>
      <c r="M30" s="30"/>
      <c r="N30" s="30"/>
      <c r="O30" s="30"/>
      <c r="P30" s="30"/>
      <c r="Q30" s="30"/>
      <c r="R30" s="30"/>
      <c r="S30" s="30"/>
      <c r="T30" s="23"/>
      <c r="W30" s="70" t="s">
        <v>25</v>
      </c>
      <c r="X30" s="72">
        <v>1.2163E-2</v>
      </c>
    </row>
    <row r="31" spans="2:24" ht="15" customHeight="1" x14ac:dyDescent="0.25">
      <c r="B31" s="91"/>
      <c r="F31" s="30"/>
      <c r="G31" s="30"/>
      <c r="H31" s="30"/>
      <c r="I31" s="30"/>
      <c r="J31" s="30"/>
      <c r="K31" s="30"/>
      <c r="L31" s="30"/>
      <c r="M31" s="30"/>
      <c r="N31" s="30"/>
      <c r="O31" s="30"/>
      <c r="P31" s="30"/>
      <c r="Q31" s="30"/>
      <c r="R31" s="30"/>
      <c r="S31" s="30"/>
      <c r="T31" s="23"/>
      <c r="W31" s="70" t="s">
        <v>140</v>
      </c>
      <c r="X31" s="72">
        <v>1.2019E-2</v>
      </c>
    </row>
    <row r="32" spans="2:24" ht="15" customHeight="1" x14ac:dyDescent="0.25">
      <c r="B32" s="91"/>
      <c r="F32" s="30"/>
      <c r="G32" s="30"/>
      <c r="H32" s="30"/>
      <c r="I32" s="30"/>
      <c r="J32" s="30"/>
      <c r="K32" s="30"/>
      <c r="L32" s="30"/>
      <c r="M32" s="30"/>
      <c r="N32" s="30"/>
      <c r="O32" s="30"/>
      <c r="P32" s="30"/>
      <c r="Q32" s="30"/>
      <c r="R32" s="30"/>
      <c r="S32" s="30"/>
      <c r="T32" s="23"/>
      <c r="W32" s="70" t="s">
        <v>146</v>
      </c>
      <c r="X32" s="72">
        <v>1.1847999999999999E-2</v>
      </c>
    </row>
    <row r="33" spans="2:24" ht="15" customHeight="1" thickBot="1" x14ac:dyDescent="0.3">
      <c r="B33" s="92"/>
      <c r="C33" s="93"/>
      <c r="D33" s="93"/>
      <c r="E33" s="93"/>
      <c r="F33" s="93"/>
      <c r="G33" s="93"/>
      <c r="H33" s="93"/>
      <c r="I33" s="93"/>
      <c r="J33" s="93"/>
      <c r="K33" s="93"/>
      <c r="L33" s="93"/>
      <c r="M33" s="93"/>
      <c r="N33" s="93"/>
      <c r="O33" s="93"/>
      <c r="P33" s="93"/>
      <c r="Q33" s="93"/>
      <c r="R33" s="93"/>
      <c r="S33" s="93"/>
      <c r="T33" s="24"/>
      <c r="W33" s="70" t="s">
        <v>15</v>
      </c>
      <c r="X33" s="72">
        <v>1.141E-2</v>
      </c>
    </row>
    <row r="34" spans="2:24" ht="15" customHeight="1" thickBot="1" x14ac:dyDescent="0.3">
      <c r="W34" s="42" t="s">
        <v>26</v>
      </c>
      <c r="X34" s="72">
        <v>1.0392999999999999E-2</v>
      </c>
    </row>
    <row r="35" spans="2:24" ht="15" customHeight="1" x14ac:dyDescent="0.25">
      <c r="B35" s="245" t="s">
        <v>234</v>
      </c>
      <c r="C35" s="246"/>
      <c r="D35" s="246"/>
      <c r="E35" s="246"/>
      <c r="F35" s="246"/>
      <c r="G35" s="246"/>
      <c r="H35" s="246"/>
      <c r="I35" s="246"/>
      <c r="J35" s="246"/>
      <c r="K35" s="246"/>
      <c r="L35" s="246"/>
      <c r="M35" s="246"/>
      <c r="N35" s="246"/>
      <c r="O35" s="246"/>
      <c r="P35" s="246"/>
      <c r="Q35" s="246"/>
      <c r="R35" s="247"/>
      <c r="X35" s="72"/>
    </row>
    <row r="36" spans="2:24" ht="15" customHeight="1" x14ac:dyDescent="0.25">
      <c r="B36" s="248"/>
      <c r="C36" s="249"/>
      <c r="D36" s="249"/>
      <c r="E36" s="249"/>
      <c r="F36" s="249"/>
      <c r="G36" s="249"/>
      <c r="H36" s="249"/>
      <c r="I36" s="249"/>
      <c r="J36" s="249"/>
      <c r="K36" s="249"/>
      <c r="L36" s="249"/>
      <c r="M36" s="249"/>
      <c r="N36" s="249"/>
      <c r="O36" s="249"/>
      <c r="P36" s="249"/>
      <c r="Q36" s="249"/>
      <c r="R36" s="250"/>
    </row>
    <row r="37" spans="2:24" ht="15" customHeight="1" x14ac:dyDescent="0.25">
      <c r="B37" s="248"/>
      <c r="C37" s="249"/>
      <c r="D37" s="249"/>
      <c r="E37" s="249"/>
      <c r="F37" s="249"/>
      <c r="G37" s="249"/>
      <c r="H37" s="249"/>
      <c r="I37" s="249"/>
      <c r="J37" s="249"/>
      <c r="K37" s="249"/>
      <c r="L37" s="249"/>
      <c r="M37" s="249"/>
      <c r="N37" s="249"/>
      <c r="O37" s="249"/>
      <c r="P37" s="249"/>
      <c r="Q37" s="249"/>
      <c r="R37" s="250"/>
    </row>
    <row r="38" spans="2:24" ht="15" customHeight="1" x14ac:dyDescent="0.25">
      <c r="B38" s="248"/>
      <c r="C38" s="249"/>
      <c r="D38" s="249"/>
      <c r="E38" s="249"/>
      <c r="F38" s="249"/>
      <c r="G38" s="249"/>
      <c r="H38" s="249"/>
      <c r="I38" s="249"/>
      <c r="J38" s="249"/>
      <c r="K38" s="249"/>
      <c r="L38" s="249"/>
      <c r="M38" s="249"/>
      <c r="N38" s="249"/>
      <c r="O38" s="249"/>
      <c r="P38" s="249"/>
      <c r="Q38" s="249"/>
      <c r="R38" s="250"/>
    </row>
    <row r="39" spans="2:24" ht="15" customHeight="1" x14ac:dyDescent="0.25">
      <c r="B39" s="248"/>
      <c r="C39" s="249"/>
      <c r="D39" s="249"/>
      <c r="E39" s="249"/>
      <c r="F39" s="249"/>
      <c r="G39" s="249"/>
      <c r="H39" s="249"/>
      <c r="I39" s="249"/>
      <c r="J39" s="249"/>
      <c r="K39" s="249"/>
      <c r="L39" s="249"/>
      <c r="M39" s="249"/>
      <c r="N39" s="249"/>
      <c r="O39" s="249"/>
      <c r="P39" s="249"/>
      <c r="Q39" s="249"/>
      <c r="R39" s="250"/>
    </row>
    <row r="40" spans="2:24" ht="15" customHeight="1" x14ac:dyDescent="0.25">
      <c r="B40" s="248"/>
      <c r="C40" s="249"/>
      <c r="D40" s="249"/>
      <c r="E40" s="249"/>
      <c r="F40" s="249"/>
      <c r="G40" s="249"/>
      <c r="H40" s="249"/>
      <c r="I40" s="249"/>
      <c r="J40" s="249"/>
      <c r="K40" s="249"/>
      <c r="L40" s="249"/>
      <c r="M40" s="249"/>
      <c r="N40" s="249"/>
      <c r="O40" s="249"/>
      <c r="P40" s="249"/>
      <c r="Q40" s="249"/>
      <c r="R40" s="250"/>
    </row>
    <row r="41" spans="2:24" ht="15" customHeight="1" thickBot="1" x14ac:dyDescent="0.3">
      <c r="B41" s="251"/>
      <c r="C41" s="252"/>
      <c r="D41" s="252"/>
      <c r="E41" s="252"/>
      <c r="F41" s="252"/>
      <c r="G41" s="252"/>
      <c r="H41" s="252"/>
      <c r="I41" s="252"/>
      <c r="J41" s="252"/>
      <c r="K41" s="252"/>
      <c r="L41" s="252"/>
      <c r="M41" s="252"/>
      <c r="N41" s="252"/>
      <c r="O41" s="252"/>
      <c r="P41" s="252"/>
      <c r="Q41" s="252"/>
      <c r="R41" s="25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4" t="s">
        <v>213</v>
      </c>
      <c r="D3" s="255"/>
      <c r="E3" s="255"/>
      <c r="F3" s="255"/>
      <c r="G3" s="255"/>
      <c r="H3" s="255"/>
      <c r="I3" s="255"/>
      <c r="J3" s="255"/>
      <c r="K3" s="255"/>
      <c r="L3" s="255"/>
      <c r="M3" s="255"/>
      <c r="N3" s="255"/>
      <c r="O3" s="255"/>
      <c r="P3" s="255"/>
      <c r="Q3" s="255"/>
      <c r="R3" s="255"/>
      <c r="S3" s="255"/>
      <c r="T3" s="23"/>
      <c r="V3" s="43"/>
      <c r="W3" s="43"/>
      <c r="X3" s="43"/>
      <c r="Y3" s="43"/>
      <c r="Z3" s="43"/>
      <c r="AA3" s="43"/>
    </row>
    <row r="4" spans="1:27" ht="15.75" customHeight="1" x14ac:dyDescent="0.25">
      <c r="B4" s="91"/>
      <c r="C4" s="78" t="s">
        <v>313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314</v>
      </c>
      <c r="D5" s="256" t="s">
        <v>275</v>
      </c>
      <c r="E5" s="256"/>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0" t="s">
        <v>112</v>
      </c>
      <c r="D8" s="221" t="s">
        <v>143</v>
      </c>
      <c r="E8" s="231">
        <v>3.3168999999999997E-2</v>
      </c>
      <c r="F8" s="30"/>
      <c r="G8" s="30"/>
      <c r="H8" s="30"/>
      <c r="I8" s="30"/>
      <c r="J8" s="30"/>
      <c r="K8" s="30"/>
      <c r="L8" s="30"/>
      <c r="M8" s="30"/>
      <c r="N8" s="30"/>
      <c r="O8" s="30"/>
      <c r="P8" s="30"/>
      <c r="Q8" s="30"/>
      <c r="R8" s="30"/>
      <c r="S8" s="30"/>
      <c r="T8" s="23"/>
      <c r="V8" s="175"/>
      <c r="W8" s="70" t="s">
        <v>24</v>
      </c>
      <c r="X8" s="72">
        <v>0.15862999999999999</v>
      </c>
      <c r="Y8" s="175"/>
      <c r="Z8" s="43"/>
      <c r="AA8" s="43"/>
    </row>
    <row r="9" spans="1:27" ht="15.75" customHeight="1" x14ac:dyDescent="0.25">
      <c r="B9" s="91"/>
      <c r="C9" s="210" t="s">
        <v>238</v>
      </c>
      <c r="D9" s="223" t="s">
        <v>24</v>
      </c>
      <c r="E9" s="232">
        <v>3.0133E-2</v>
      </c>
      <c r="F9" s="30"/>
      <c r="G9" s="30"/>
      <c r="H9" s="30"/>
      <c r="I9" s="30"/>
      <c r="J9" s="30"/>
      <c r="K9" s="30"/>
      <c r="L9" s="30"/>
      <c r="M9" s="30"/>
      <c r="N9" s="30"/>
      <c r="O9" s="30"/>
      <c r="P9" s="30"/>
      <c r="Q9" s="30"/>
      <c r="R9" s="30"/>
      <c r="S9" s="30"/>
      <c r="T9" s="23"/>
      <c r="V9" s="175"/>
      <c r="W9" s="70" t="s">
        <v>133</v>
      </c>
      <c r="X9" s="72">
        <v>0.10835699999999999</v>
      </c>
      <c r="Y9" s="175"/>
      <c r="Z9" s="43"/>
      <c r="AA9" s="43"/>
    </row>
    <row r="10" spans="1:27" ht="15" customHeight="1" x14ac:dyDescent="0.25">
      <c r="B10" s="91"/>
      <c r="C10" s="210" t="s">
        <v>187</v>
      </c>
      <c r="D10" s="223" t="s">
        <v>3</v>
      </c>
      <c r="E10" s="232">
        <v>3.0114999999999999E-2</v>
      </c>
      <c r="F10" s="30"/>
      <c r="G10" s="30"/>
      <c r="H10" s="30"/>
      <c r="I10" s="30"/>
      <c r="J10" s="30"/>
      <c r="K10" s="30"/>
      <c r="L10" s="30"/>
      <c r="M10" s="30"/>
      <c r="N10" s="30"/>
      <c r="O10" s="30"/>
      <c r="P10" s="30"/>
      <c r="Q10" s="30"/>
      <c r="R10" s="30"/>
      <c r="S10" s="30"/>
      <c r="T10" s="23"/>
      <c r="V10" s="175"/>
      <c r="W10" s="70" t="s">
        <v>143</v>
      </c>
      <c r="X10" s="72">
        <v>8.1925999999999999E-2</v>
      </c>
      <c r="Y10" s="175"/>
      <c r="Z10" s="43"/>
      <c r="AA10" s="43"/>
    </row>
    <row r="11" spans="1:27" ht="15" customHeight="1" x14ac:dyDescent="0.25">
      <c r="B11" s="91"/>
      <c r="C11" s="210" t="s">
        <v>165</v>
      </c>
      <c r="D11" s="223" t="s">
        <v>26</v>
      </c>
      <c r="E11" s="232">
        <v>2.9489000000000001E-2</v>
      </c>
      <c r="F11" s="30"/>
      <c r="G11" s="30"/>
      <c r="H11" s="30"/>
      <c r="I11" s="30"/>
      <c r="J11" s="30"/>
      <c r="K11" s="30"/>
      <c r="L11" s="30"/>
      <c r="M11" s="30"/>
      <c r="N11" s="30"/>
      <c r="O11" s="30"/>
      <c r="P11" s="30"/>
      <c r="Q11" s="30"/>
      <c r="R11" s="30"/>
      <c r="S11" s="30"/>
      <c r="T11" s="23"/>
      <c r="V11" s="175"/>
      <c r="W11" s="70" t="s">
        <v>140</v>
      </c>
      <c r="X11" s="72">
        <v>6.2464000000000006E-2</v>
      </c>
      <c r="Y11" s="175"/>
      <c r="Z11" s="43"/>
      <c r="AA11" s="43"/>
    </row>
    <row r="12" spans="1:27" ht="15" customHeight="1" x14ac:dyDescent="0.25">
      <c r="B12" s="91"/>
      <c r="C12" s="210" t="s">
        <v>166</v>
      </c>
      <c r="D12" s="223" t="s">
        <v>24</v>
      </c>
      <c r="E12" s="232">
        <v>2.8542999999999999E-2</v>
      </c>
      <c r="F12" s="30"/>
      <c r="G12" s="30"/>
      <c r="H12" s="30"/>
      <c r="I12" s="30"/>
      <c r="J12" s="30"/>
      <c r="K12" s="30"/>
      <c r="L12" s="30"/>
      <c r="M12" s="30"/>
      <c r="N12" s="30"/>
      <c r="O12" s="30"/>
      <c r="P12" s="30"/>
      <c r="Q12" s="30"/>
      <c r="R12" s="30"/>
      <c r="S12" s="30"/>
      <c r="T12" s="23"/>
      <c r="V12" s="175"/>
      <c r="W12" s="70" t="s">
        <v>3</v>
      </c>
      <c r="X12" s="72">
        <v>5.9656000000000001E-2</v>
      </c>
      <c r="Y12" s="175"/>
      <c r="Z12" s="43"/>
      <c r="AA12" s="43"/>
    </row>
    <row r="13" spans="1:27" ht="15" customHeight="1" x14ac:dyDescent="0.25">
      <c r="B13" s="91"/>
      <c r="C13" s="210" t="s">
        <v>86</v>
      </c>
      <c r="D13" s="223" t="s">
        <v>16</v>
      </c>
      <c r="E13" s="232">
        <v>2.7437E-2</v>
      </c>
      <c r="F13" s="30"/>
      <c r="G13" s="30"/>
      <c r="H13" s="30"/>
      <c r="I13" s="30"/>
      <c r="J13" s="30"/>
      <c r="K13" s="30"/>
      <c r="L13" s="30"/>
      <c r="M13" s="30"/>
      <c r="N13" s="30"/>
      <c r="O13" s="30"/>
      <c r="P13" s="30"/>
      <c r="Q13" s="30"/>
      <c r="R13" s="30"/>
      <c r="S13" s="30"/>
      <c r="T13" s="23"/>
      <c r="V13" s="175"/>
      <c r="W13" s="70" t="s">
        <v>26</v>
      </c>
      <c r="X13" s="72">
        <v>5.7636000000000007E-2</v>
      </c>
      <c r="Y13" s="175"/>
      <c r="Z13" s="43"/>
      <c r="AA13" s="43"/>
    </row>
    <row r="14" spans="1:27" ht="15" customHeight="1" x14ac:dyDescent="0.25">
      <c r="B14" s="91"/>
      <c r="C14" s="210" t="s">
        <v>254</v>
      </c>
      <c r="D14" s="223" t="s">
        <v>24</v>
      </c>
      <c r="E14" s="232">
        <v>2.5855E-2</v>
      </c>
      <c r="F14" s="30"/>
      <c r="G14" s="30"/>
      <c r="H14" s="30"/>
      <c r="I14" s="30"/>
      <c r="J14" s="30"/>
      <c r="K14" s="30"/>
      <c r="L14" s="30"/>
      <c r="M14" s="30"/>
      <c r="N14" s="30"/>
      <c r="O14" s="30"/>
      <c r="P14" s="30"/>
      <c r="Q14" s="30"/>
      <c r="R14" s="30"/>
      <c r="S14" s="30"/>
      <c r="T14" s="23"/>
      <c r="V14" s="175"/>
      <c r="W14" s="70" t="s">
        <v>16</v>
      </c>
      <c r="X14" s="72">
        <v>5.6907999999999993E-2</v>
      </c>
      <c r="Y14" s="175"/>
      <c r="Z14" s="43"/>
      <c r="AA14" s="43"/>
    </row>
    <row r="15" spans="1:27" ht="15.75" customHeight="1" x14ac:dyDescent="0.25">
      <c r="B15" s="91"/>
      <c r="C15" s="210" t="s">
        <v>246</v>
      </c>
      <c r="D15" s="223" t="s">
        <v>12</v>
      </c>
      <c r="E15" s="232">
        <v>2.5514999999999999E-2</v>
      </c>
      <c r="F15" s="30"/>
      <c r="G15" s="30"/>
      <c r="H15" s="30"/>
      <c r="I15" s="30"/>
      <c r="J15" s="30"/>
      <c r="K15" s="30"/>
      <c r="L15" s="30"/>
      <c r="M15" s="30"/>
      <c r="N15" s="30"/>
      <c r="O15" s="30"/>
      <c r="P15" s="30"/>
      <c r="Q15" s="30"/>
      <c r="R15" s="30"/>
      <c r="S15" s="30"/>
      <c r="T15" s="23"/>
      <c r="V15" s="175"/>
      <c r="W15" s="70" t="s">
        <v>130</v>
      </c>
      <c r="X15" s="72">
        <v>4.9042000000000002E-2</v>
      </c>
      <c r="Y15" s="175"/>
      <c r="Z15" s="43"/>
      <c r="AA15" s="43"/>
    </row>
    <row r="16" spans="1:27" ht="15" customHeight="1" x14ac:dyDescent="0.25">
      <c r="B16" s="91"/>
      <c r="C16" s="210" t="s">
        <v>162</v>
      </c>
      <c r="D16" s="223" t="s">
        <v>133</v>
      </c>
      <c r="E16" s="232">
        <v>2.5255E-2</v>
      </c>
      <c r="F16" s="30"/>
      <c r="G16" s="30"/>
      <c r="H16" s="30"/>
      <c r="I16" s="30"/>
      <c r="J16" s="30"/>
      <c r="K16" s="30"/>
      <c r="L16" s="30"/>
      <c r="M16" s="30"/>
      <c r="N16" s="30"/>
      <c r="O16" s="30"/>
      <c r="P16" s="30"/>
      <c r="Q16" s="30"/>
      <c r="R16" s="30"/>
      <c r="S16" s="30"/>
      <c r="T16" s="23"/>
      <c r="V16" s="175"/>
      <c r="W16" s="70" t="s">
        <v>4</v>
      </c>
      <c r="X16" s="72">
        <v>4.2217000000000005E-2</v>
      </c>
      <c r="Y16" s="175"/>
      <c r="Z16" s="43"/>
      <c r="AA16" s="43"/>
    </row>
    <row r="17" spans="2:27" ht="15.75" customHeight="1" x14ac:dyDescent="0.25">
      <c r="B17" s="91"/>
      <c r="C17" s="210" t="s">
        <v>159</v>
      </c>
      <c r="D17" s="223" t="s">
        <v>136</v>
      </c>
      <c r="E17" s="232">
        <v>2.4802000000000001E-2</v>
      </c>
      <c r="F17" s="30"/>
      <c r="G17" s="30"/>
      <c r="H17" s="30"/>
      <c r="I17" s="30"/>
      <c r="J17" s="30"/>
      <c r="K17" s="30"/>
      <c r="L17" s="30"/>
      <c r="M17" s="30"/>
      <c r="N17" s="30"/>
      <c r="O17" s="30"/>
      <c r="P17" s="30"/>
      <c r="Q17" s="30"/>
      <c r="R17" s="30"/>
      <c r="S17" s="30"/>
      <c r="T17" s="23"/>
      <c r="V17" s="175"/>
      <c r="W17" s="70" t="s">
        <v>136</v>
      </c>
      <c r="X17" s="72">
        <v>3.9178999999999999E-2</v>
      </c>
      <c r="Y17" s="175"/>
      <c r="Z17" s="43"/>
      <c r="AA17" s="43"/>
    </row>
    <row r="18" spans="2:27" ht="15.75" x14ac:dyDescent="0.25">
      <c r="B18" s="91"/>
      <c r="C18" s="210" t="s">
        <v>255</v>
      </c>
      <c r="D18" s="223" t="s">
        <v>140</v>
      </c>
      <c r="E18" s="232">
        <v>2.4618000000000001E-2</v>
      </c>
      <c r="F18" s="30"/>
      <c r="G18" s="30"/>
      <c r="H18" s="30"/>
      <c r="I18" s="30"/>
      <c r="J18" s="30"/>
      <c r="K18" s="30"/>
      <c r="L18" s="30"/>
      <c r="M18" s="30"/>
      <c r="N18" s="30"/>
      <c r="O18" s="30"/>
      <c r="P18" s="30"/>
      <c r="Q18" s="30"/>
      <c r="R18" s="30"/>
      <c r="S18" s="30"/>
      <c r="T18" s="23"/>
      <c r="V18" s="175"/>
      <c r="W18" s="70" t="s">
        <v>135</v>
      </c>
      <c r="X18" s="72">
        <v>3.4137000000000001E-2</v>
      </c>
      <c r="Y18" s="175"/>
      <c r="Z18" s="43"/>
      <c r="AA18" s="43"/>
    </row>
    <row r="19" spans="2:27" ht="15.75" customHeight="1" x14ac:dyDescent="0.25">
      <c r="B19" s="91"/>
      <c r="C19" s="210" t="s">
        <v>32</v>
      </c>
      <c r="D19" s="223" t="s">
        <v>3</v>
      </c>
      <c r="E19" s="232">
        <v>2.4435999999999999E-2</v>
      </c>
      <c r="F19" s="30"/>
      <c r="G19" s="30"/>
      <c r="H19" s="30"/>
      <c r="I19" s="30"/>
      <c r="J19" s="30"/>
      <c r="K19" s="30"/>
      <c r="L19" s="30"/>
      <c r="M19" s="30"/>
      <c r="N19" s="30"/>
      <c r="O19" s="30"/>
      <c r="P19" s="30"/>
      <c r="Q19" s="30"/>
      <c r="R19" s="30"/>
      <c r="S19" s="30"/>
      <c r="T19" s="23"/>
      <c r="V19" s="175"/>
      <c r="W19" s="70" t="s">
        <v>95</v>
      </c>
      <c r="X19" s="72">
        <v>3.2428999999999999E-2</v>
      </c>
      <c r="Y19" s="175"/>
      <c r="Z19" s="43"/>
      <c r="AA19" s="43"/>
    </row>
    <row r="20" spans="2:27" ht="15" customHeight="1" x14ac:dyDescent="0.25">
      <c r="B20" s="91"/>
      <c r="C20" s="210" t="s">
        <v>276</v>
      </c>
      <c r="D20" s="223" t="s">
        <v>24</v>
      </c>
      <c r="E20" s="232">
        <v>2.4298E-2</v>
      </c>
      <c r="F20" s="30"/>
      <c r="G20" s="30"/>
      <c r="H20" s="30"/>
      <c r="I20" s="30"/>
      <c r="J20" s="30"/>
      <c r="K20" s="30"/>
      <c r="L20" s="30"/>
      <c r="M20" s="30"/>
      <c r="N20" s="30"/>
      <c r="O20" s="30"/>
      <c r="P20" s="30"/>
      <c r="Q20" s="30"/>
      <c r="R20" s="30"/>
      <c r="S20" s="30"/>
      <c r="T20" s="23"/>
      <c r="V20" s="175"/>
      <c r="W20" s="70" t="s">
        <v>129</v>
      </c>
      <c r="X20" s="72">
        <v>3.2368000000000001E-2</v>
      </c>
      <c r="Y20" s="175"/>
      <c r="Z20" s="43"/>
      <c r="AA20" s="43"/>
    </row>
    <row r="21" spans="2:27" ht="15" customHeight="1" x14ac:dyDescent="0.25">
      <c r="B21" s="91"/>
      <c r="C21" s="210" t="s">
        <v>107</v>
      </c>
      <c r="D21" s="223" t="s">
        <v>95</v>
      </c>
      <c r="E21" s="232">
        <v>2.4198999999999998E-2</v>
      </c>
      <c r="F21" s="30"/>
      <c r="G21" s="30"/>
      <c r="H21" s="30"/>
      <c r="I21" s="30"/>
      <c r="J21" s="30"/>
      <c r="K21" s="30"/>
      <c r="L21" s="30"/>
      <c r="M21" s="30"/>
      <c r="N21" s="30"/>
      <c r="O21" s="30"/>
      <c r="P21" s="30"/>
      <c r="Q21" s="30"/>
      <c r="R21" s="30"/>
      <c r="S21" s="30"/>
      <c r="T21" s="23"/>
      <c r="V21" s="175"/>
      <c r="W21" s="70" t="s">
        <v>12</v>
      </c>
      <c r="X21" s="72">
        <v>2.5514999999999999E-2</v>
      </c>
      <c r="Y21" s="175"/>
      <c r="Z21" s="43"/>
      <c r="AA21" s="43"/>
    </row>
    <row r="22" spans="2:27" ht="15" customHeight="1" x14ac:dyDescent="0.25">
      <c r="B22" s="91"/>
      <c r="C22" s="210" t="s">
        <v>277</v>
      </c>
      <c r="D22" s="223" t="s">
        <v>130</v>
      </c>
      <c r="E22" s="232">
        <v>2.1568E-2</v>
      </c>
      <c r="F22" s="30"/>
      <c r="G22" s="30"/>
      <c r="H22" s="30"/>
      <c r="I22" s="30"/>
      <c r="J22" s="30"/>
      <c r="K22" s="30"/>
      <c r="L22" s="30"/>
      <c r="M22" s="30"/>
      <c r="N22" s="30"/>
      <c r="O22" s="30"/>
      <c r="P22" s="30"/>
      <c r="Q22" s="30"/>
      <c r="R22" s="30"/>
      <c r="S22" s="30"/>
      <c r="T22" s="23"/>
      <c r="V22" s="175"/>
      <c r="W22" s="70" t="s">
        <v>87</v>
      </c>
      <c r="X22" s="72">
        <v>2.4596E-2</v>
      </c>
      <c r="Y22" s="175"/>
      <c r="Z22" s="43"/>
      <c r="AA22" s="43"/>
    </row>
    <row r="23" spans="2:27" ht="15" customHeight="1" x14ac:dyDescent="0.25">
      <c r="B23" s="91"/>
      <c r="C23" s="15"/>
      <c r="D23" s="16"/>
      <c r="E23" s="18"/>
      <c r="F23" s="30"/>
      <c r="G23" s="30"/>
      <c r="H23" s="30"/>
      <c r="I23" s="30"/>
      <c r="J23" s="30"/>
      <c r="K23" s="30"/>
      <c r="L23" s="30"/>
      <c r="M23" s="30"/>
      <c r="N23" s="30"/>
      <c r="O23" s="30"/>
      <c r="P23" s="30"/>
      <c r="Q23" s="30"/>
      <c r="R23" s="30"/>
      <c r="S23" s="30"/>
      <c r="T23" s="23"/>
      <c r="V23" s="175"/>
      <c r="W23" s="70" t="s">
        <v>163</v>
      </c>
      <c r="X23" s="72">
        <v>2.2651000000000001E-2</v>
      </c>
      <c r="Y23" s="175"/>
      <c r="Z23" s="43"/>
      <c r="AA23" s="43"/>
    </row>
    <row r="24" spans="2:27" ht="15" customHeight="1" x14ac:dyDescent="0.25">
      <c r="B24" s="91"/>
      <c r="C24" s="85" t="s">
        <v>55</v>
      </c>
      <c r="D24" s="86"/>
      <c r="E24" s="87">
        <f>SUM(E8:E23)</f>
        <v>0.39943199999999995</v>
      </c>
      <c r="F24" s="30"/>
      <c r="G24" s="30"/>
      <c r="H24" s="30"/>
      <c r="I24" s="30"/>
      <c r="J24" s="30"/>
      <c r="K24" s="30"/>
      <c r="L24" s="30"/>
      <c r="M24" s="30"/>
      <c r="N24" s="30"/>
      <c r="O24" s="30"/>
      <c r="P24" s="30"/>
      <c r="Q24" s="30"/>
      <c r="R24" s="30"/>
      <c r="S24" s="30"/>
      <c r="T24" s="23"/>
      <c r="V24" s="175"/>
      <c r="W24" s="70" t="s">
        <v>98</v>
      </c>
      <c r="X24" s="72">
        <v>1.8074E-2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142</v>
      </c>
      <c r="X25" s="72">
        <v>1.6400999999999999E-2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146</v>
      </c>
      <c r="X26" s="72">
        <v>1.6281E-2</v>
      </c>
      <c r="Y26" s="175"/>
      <c r="Z26" s="43"/>
      <c r="AA26" s="43"/>
    </row>
    <row r="27" spans="2:27" ht="15" customHeight="1" x14ac:dyDescent="0.25">
      <c r="B27" s="91"/>
      <c r="F27" s="30"/>
      <c r="G27" s="30"/>
      <c r="H27" s="30"/>
      <c r="I27" s="30"/>
      <c r="J27" s="30"/>
      <c r="K27" s="30"/>
      <c r="L27" s="30"/>
      <c r="M27" s="30"/>
      <c r="N27" s="30"/>
      <c r="O27" s="30"/>
      <c r="P27" s="30"/>
      <c r="Q27" s="30"/>
      <c r="R27" s="30"/>
      <c r="S27" s="30"/>
      <c r="T27" s="23"/>
      <c r="V27" s="175"/>
      <c r="W27" s="70" t="s">
        <v>147</v>
      </c>
      <c r="X27" s="72">
        <v>1.1568E-2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96</v>
      </c>
      <c r="X28" s="72">
        <v>9.8399999999999998E-3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256</v>
      </c>
      <c r="X29" s="72">
        <v>5.5300000000000002E-3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131</v>
      </c>
      <c r="X30" s="72">
        <v>1.954E-3</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c r="X31" s="72"/>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2"/>
    </row>
    <row r="33" spans="2:24" ht="15" customHeight="1" thickBot="1" x14ac:dyDescent="0.3">
      <c r="X33" s="72"/>
    </row>
    <row r="34" spans="2:24" ht="15" customHeight="1" x14ac:dyDescent="0.25">
      <c r="B34" s="245" t="s">
        <v>234</v>
      </c>
      <c r="C34" s="246"/>
      <c r="D34" s="246"/>
      <c r="E34" s="246"/>
      <c r="F34" s="246"/>
      <c r="G34" s="246"/>
      <c r="H34" s="246"/>
      <c r="I34" s="246"/>
      <c r="J34" s="246"/>
      <c r="K34" s="246"/>
      <c r="L34" s="246"/>
      <c r="M34" s="246"/>
      <c r="N34" s="246"/>
      <c r="O34" s="246"/>
      <c r="P34" s="246"/>
      <c r="Q34" s="246"/>
      <c r="R34" s="247"/>
      <c r="X34" s="72"/>
    </row>
    <row r="35" spans="2:24" ht="15" customHeight="1" x14ac:dyDescent="0.25">
      <c r="B35" s="248"/>
      <c r="C35" s="249"/>
      <c r="D35" s="249"/>
      <c r="E35" s="249"/>
      <c r="F35" s="249"/>
      <c r="G35" s="249"/>
      <c r="H35" s="249"/>
      <c r="I35" s="249"/>
      <c r="J35" s="249"/>
      <c r="K35" s="249"/>
      <c r="L35" s="249"/>
      <c r="M35" s="249"/>
      <c r="N35" s="249"/>
      <c r="O35" s="249"/>
      <c r="P35" s="249"/>
      <c r="Q35" s="249"/>
      <c r="R35" s="250"/>
      <c r="X35" s="72"/>
    </row>
    <row r="36" spans="2:24" ht="15" customHeight="1" x14ac:dyDescent="0.25">
      <c r="B36" s="248"/>
      <c r="C36" s="249"/>
      <c r="D36" s="249"/>
      <c r="E36" s="249"/>
      <c r="F36" s="249"/>
      <c r="G36" s="249"/>
      <c r="H36" s="249"/>
      <c r="I36" s="249"/>
      <c r="J36" s="249"/>
      <c r="K36" s="249"/>
      <c r="L36" s="249"/>
      <c r="M36" s="249"/>
      <c r="N36" s="249"/>
      <c r="O36" s="249"/>
      <c r="P36" s="249"/>
      <c r="Q36" s="249"/>
      <c r="R36" s="250"/>
      <c r="X36" s="72"/>
    </row>
    <row r="37" spans="2:24" ht="15" customHeight="1" x14ac:dyDescent="0.25">
      <c r="B37" s="248"/>
      <c r="C37" s="249"/>
      <c r="D37" s="249"/>
      <c r="E37" s="249"/>
      <c r="F37" s="249"/>
      <c r="G37" s="249"/>
      <c r="H37" s="249"/>
      <c r="I37" s="249"/>
      <c r="J37" s="249"/>
      <c r="K37" s="249"/>
      <c r="L37" s="249"/>
      <c r="M37" s="249"/>
      <c r="N37" s="249"/>
      <c r="O37" s="249"/>
      <c r="P37" s="249"/>
      <c r="Q37" s="249"/>
      <c r="R37" s="250"/>
      <c r="X37" s="72"/>
    </row>
    <row r="38" spans="2:24" ht="15" customHeight="1" x14ac:dyDescent="0.25">
      <c r="B38" s="248"/>
      <c r="C38" s="249"/>
      <c r="D38" s="249"/>
      <c r="E38" s="249"/>
      <c r="F38" s="249"/>
      <c r="G38" s="249"/>
      <c r="H38" s="249"/>
      <c r="I38" s="249"/>
      <c r="J38" s="249"/>
      <c r="K38" s="249"/>
      <c r="L38" s="249"/>
      <c r="M38" s="249"/>
      <c r="N38" s="249"/>
      <c r="O38" s="249"/>
      <c r="P38" s="249"/>
      <c r="Q38" s="249"/>
      <c r="R38" s="250"/>
    </row>
    <row r="39" spans="2:24" ht="15" customHeight="1" x14ac:dyDescent="0.25">
      <c r="B39" s="248"/>
      <c r="C39" s="249"/>
      <c r="D39" s="249"/>
      <c r="E39" s="249"/>
      <c r="F39" s="249"/>
      <c r="G39" s="249"/>
      <c r="H39" s="249"/>
      <c r="I39" s="249"/>
      <c r="J39" s="249"/>
      <c r="K39" s="249"/>
      <c r="L39" s="249"/>
      <c r="M39" s="249"/>
      <c r="N39" s="249"/>
      <c r="O39" s="249"/>
      <c r="P39" s="249"/>
      <c r="Q39" s="249"/>
      <c r="R39" s="250"/>
    </row>
    <row r="40" spans="2:24" ht="21.75" customHeight="1" thickBot="1" x14ac:dyDescent="0.3">
      <c r="B40" s="251"/>
      <c r="C40" s="252"/>
      <c r="D40" s="252"/>
      <c r="E40" s="252"/>
      <c r="F40" s="252"/>
      <c r="G40" s="252"/>
      <c r="H40" s="252"/>
      <c r="I40" s="252"/>
      <c r="J40" s="252"/>
      <c r="K40" s="252"/>
      <c r="L40" s="252"/>
      <c r="M40" s="252"/>
      <c r="N40" s="252"/>
      <c r="O40" s="252"/>
      <c r="P40" s="252"/>
      <c r="Q40" s="252"/>
      <c r="R40" s="253"/>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election activeCell="X8" sqref="X8:X41"/>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4" t="s">
        <v>212</v>
      </c>
      <c r="D3" s="255"/>
      <c r="E3" s="255"/>
      <c r="F3" s="255"/>
      <c r="G3" s="255"/>
      <c r="H3" s="255"/>
      <c r="I3" s="255"/>
      <c r="J3" s="255"/>
      <c r="K3" s="255"/>
      <c r="L3" s="255"/>
      <c r="M3" s="255"/>
      <c r="N3" s="255"/>
      <c r="O3" s="255"/>
      <c r="P3" s="255"/>
      <c r="Q3" s="255"/>
      <c r="R3" s="255"/>
      <c r="S3" s="255"/>
      <c r="T3" s="23"/>
      <c r="V3" s="43"/>
      <c r="W3" s="43"/>
      <c r="X3" s="43"/>
      <c r="Y3" s="43"/>
      <c r="Z3" s="43"/>
      <c r="AA3" s="43"/>
    </row>
    <row r="4" spans="1:27" ht="15.75" customHeight="1" x14ac:dyDescent="0.25">
      <c r="B4" s="91"/>
      <c r="C4" s="78" t="s">
        <v>313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314</v>
      </c>
      <c r="D5" s="256" t="s">
        <v>280</v>
      </c>
      <c r="E5" s="256"/>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0" t="s">
        <v>29</v>
      </c>
      <c r="D8" s="221" t="s">
        <v>3</v>
      </c>
      <c r="E8" s="231">
        <v>3.8566000000000003E-2</v>
      </c>
      <c r="F8" s="30"/>
      <c r="G8" s="30"/>
      <c r="H8" s="30"/>
      <c r="I8" s="30"/>
      <c r="J8" s="30"/>
      <c r="K8" s="30"/>
      <c r="L8" s="30"/>
      <c r="M8" s="30"/>
      <c r="N8" s="30"/>
      <c r="O8" s="30"/>
      <c r="P8" s="30"/>
      <c r="Q8" s="30"/>
      <c r="R8" s="30"/>
      <c r="S8" s="30"/>
      <c r="T8" s="23"/>
      <c r="V8" s="175"/>
      <c r="W8" s="70" t="s">
        <v>3</v>
      </c>
      <c r="X8" s="72">
        <v>0.15912800000000002</v>
      </c>
      <c r="Y8" s="175"/>
      <c r="Z8" s="43"/>
      <c r="AA8" s="43"/>
    </row>
    <row r="9" spans="1:27" ht="15.75" customHeight="1" x14ac:dyDescent="0.25">
      <c r="B9" s="91"/>
      <c r="C9" s="210" t="s">
        <v>32</v>
      </c>
      <c r="D9" s="223" t="s">
        <v>3</v>
      </c>
      <c r="E9" s="232">
        <v>2.7174E-2</v>
      </c>
      <c r="F9" s="30"/>
      <c r="G9" s="30"/>
      <c r="H9" s="30"/>
      <c r="I9" s="30"/>
      <c r="J9" s="30"/>
      <c r="K9" s="30"/>
      <c r="L9" s="30"/>
      <c r="M9" s="30"/>
      <c r="N9" s="30"/>
      <c r="O9" s="30"/>
      <c r="P9" s="30"/>
      <c r="Q9" s="30"/>
      <c r="R9" s="30"/>
      <c r="S9" s="30"/>
      <c r="T9" s="23"/>
      <c r="V9" s="175"/>
      <c r="W9" s="70" t="s">
        <v>135</v>
      </c>
      <c r="X9" s="72">
        <v>7.1316000000000004E-2</v>
      </c>
      <c r="Y9" s="175"/>
      <c r="Z9" s="43"/>
      <c r="AA9" s="43"/>
    </row>
    <row r="10" spans="1:27" ht="15" customHeight="1" x14ac:dyDescent="0.25">
      <c r="B10" s="91"/>
      <c r="C10" s="210" t="s">
        <v>36</v>
      </c>
      <c r="D10" s="223" t="s">
        <v>3</v>
      </c>
      <c r="E10" s="232">
        <v>2.2723E-2</v>
      </c>
      <c r="F10" s="30"/>
      <c r="G10" s="30"/>
      <c r="H10" s="30"/>
      <c r="I10" s="30"/>
      <c r="J10" s="30"/>
      <c r="K10" s="30"/>
      <c r="L10" s="30"/>
      <c r="M10" s="30"/>
      <c r="N10" s="30"/>
      <c r="O10" s="30"/>
      <c r="P10" s="30"/>
      <c r="Q10" s="30"/>
      <c r="R10" s="30"/>
      <c r="S10" s="30"/>
      <c r="T10" s="23"/>
      <c r="V10" s="175"/>
      <c r="W10" s="70" t="s">
        <v>130</v>
      </c>
      <c r="X10" s="72">
        <v>5.8682000000000005E-2</v>
      </c>
      <c r="Y10" s="175"/>
      <c r="Z10" s="43"/>
      <c r="AA10" s="43"/>
    </row>
    <row r="11" spans="1:27" ht="15" customHeight="1" x14ac:dyDescent="0.25">
      <c r="B11" s="91"/>
      <c r="C11" s="210" t="s">
        <v>175</v>
      </c>
      <c r="D11" s="223" t="s">
        <v>138</v>
      </c>
      <c r="E11" s="232">
        <v>2.0747000000000002E-2</v>
      </c>
      <c r="F11" s="30"/>
      <c r="G11" s="30"/>
      <c r="H11" s="30"/>
      <c r="I11" s="30"/>
      <c r="J11" s="30"/>
      <c r="K11" s="30"/>
      <c r="L11" s="30"/>
      <c r="M11" s="30"/>
      <c r="N11" s="30"/>
      <c r="O11" s="30"/>
      <c r="P11" s="30"/>
      <c r="Q11" s="30"/>
      <c r="R11" s="30"/>
      <c r="S11" s="30"/>
      <c r="T11" s="23"/>
      <c r="V11" s="175"/>
      <c r="W11" s="70" t="s">
        <v>94</v>
      </c>
      <c r="X11" s="72">
        <v>4.6090000000000006E-2</v>
      </c>
      <c r="Y11" s="175"/>
      <c r="Z11" s="43"/>
      <c r="AA11" s="43"/>
    </row>
    <row r="12" spans="1:27" ht="15" customHeight="1" x14ac:dyDescent="0.25">
      <c r="B12" s="91"/>
      <c r="C12" s="210" t="s">
        <v>33</v>
      </c>
      <c r="D12" s="223" t="s">
        <v>130</v>
      </c>
      <c r="E12" s="232">
        <v>2.0147999999999999E-2</v>
      </c>
      <c r="F12" s="30"/>
      <c r="G12" s="30"/>
      <c r="H12" s="30"/>
      <c r="I12" s="30"/>
      <c r="J12" s="30"/>
      <c r="K12" s="30"/>
      <c r="L12" s="30"/>
      <c r="M12" s="30"/>
      <c r="N12" s="30"/>
      <c r="O12" s="30"/>
      <c r="P12" s="30"/>
      <c r="Q12" s="30"/>
      <c r="R12" s="30"/>
      <c r="S12" s="30"/>
      <c r="T12" s="23"/>
      <c r="V12" s="175"/>
      <c r="W12" s="70" t="s">
        <v>133</v>
      </c>
      <c r="X12" s="72">
        <v>4.5305999999999999E-2</v>
      </c>
      <c r="Y12" s="175"/>
      <c r="Z12" s="43"/>
      <c r="AA12" s="43"/>
    </row>
    <row r="13" spans="1:27" ht="15" customHeight="1" x14ac:dyDescent="0.25">
      <c r="B13" s="91"/>
      <c r="C13" s="210" t="s">
        <v>31</v>
      </c>
      <c r="D13" s="223" t="s">
        <v>6</v>
      </c>
      <c r="E13" s="232">
        <v>1.9262999999999999E-2</v>
      </c>
      <c r="F13" s="30"/>
      <c r="G13" s="30"/>
      <c r="H13" s="30"/>
      <c r="I13" s="30"/>
      <c r="J13" s="30"/>
      <c r="K13" s="30"/>
      <c r="L13" s="30"/>
      <c r="M13" s="30"/>
      <c r="N13" s="30"/>
      <c r="O13" s="30"/>
      <c r="P13" s="30"/>
      <c r="Q13" s="30"/>
      <c r="R13" s="30"/>
      <c r="S13" s="30"/>
      <c r="T13" s="23"/>
      <c r="V13" s="175"/>
      <c r="W13" s="70" t="s">
        <v>16</v>
      </c>
      <c r="X13" s="72">
        <v>4.1751000000000003E-2</v>
      </c>
      <c r="Y13" s="175"/>
      <c r="Z13" s="43"/>
      <c r="AA13" s="43"/>
    </row>
    <row r="14" spans="1:27" ht="15" customHeight="1" x14ac:dyDescent="0.25">
      <c r="B14" s="91"/>
      <c r="C14" s="210" t="s">
        <v>34</v>
      </c>
      <c r="D14" s="223" t="s">
        <v>23</v>
      </c>
      <c r="E14" s="232">
        <v>1.8925000000000001E-2</v>
      </c>
      <c r="F14" s="30"/>
      <c r="G14" s="30"/>
      <c r="H14" s="30"/>
      <c r="I14" s="30"/>
      <c r="J14" s="30"/>
      <c r="K14" s="30"/>
      <c r="L14" s="30"/>
      <c r="M14" s="30"/>
      <c r="N14" s="30"/>
      <c r="O14" s="30"/>
      <c r="P14" s="30"/>
      <c r="Q14" s="30"/>
      <c r="R14" s="30"/>
      <c r="S14" s="30"/>
      <c r="T14" s="23"/>
      <c r="V14" s="175"/>
      <c r="W14" s="70" t="s">
        <v>143</v>
      </c>
      <c r="X14" s="72">
        <v>3.8010000000000002E-2</v>
      </c>
      <c r="Y14" s="175"/>
      <c r="Z14" s="43"/>
      <c r="AA14" s="43"/>
    </row>
    <row r="15" spans="1:27" ht="15.75" customHeight="1" x14ac:dyDescent="0.25">
      <c r="B15" s="91"/>
      <c r="C15" s="210" t="s">
        <v>35</v>
      </c>
      <c r="D15" s="223" t="s">
        <v>3</v>
      </c>
      <c r="E15" s="232">
        <v>1.8766000000000001E-2</v>
      </c>
      <c r="F15" s="30"/>
      <c r="G15" s="30"/>
      <c r="H15" s="30"/>
      <c r="I15" s="30"/>
      <c r="J15" s="30"/>
      <c r="K15" s="30"/>
      <c r="L15" s="30"/>
      <c r="M15" s="30"/>
      <c r="N15" s="30"/>
      <c r="O15" s="30"/>
      <c r="P15" s="30"/>
      <c r="Q15" s="30"/>
      <c r="R15" s="30"/>
      <c r="S15" s="30"/>
      <c r="T15" s="23"/>
      <c r="V15" s="175"/>
      <c r="W15" s="70" t="s">
        <v>24</v>
      </c>
      <c r="X15" s="72">
        <v>3.6071000000000006E-2</v>
      </c>
      <c r="Y15" s="175"/>
      <c r="Z15" s="43"/>
      <c r="AA15" s="43"/>
    </row>
    <row r="16" spans="1:27" ht="15" customHeight="1" x14ac:dyDescent="0.25">
      <c r="B16" s="91"/>
      <c r="C16" s="210" t="s">
        <v>278</v>
      </c>
      <c r="D16" s="223" t="s">
        <v>95</v>
      </c>
      <c r="E16" s="232">
        <v>1.8669999999999999E-2</v>
      </c>
      <c r="F16" s="30"/>
      <c r="G16" s="30"/>
      <c r="H16" s="30"/>
      <c r="I16" s="30"/>
      <c r="J16" s="30"/>
      <c r="K16" s="30"/>
      <c r="L16" s="30"/>
      <c r="M16" s="30"/>
      <c r="N16" s="30"/>
      <c r="O16" s="30"/>
      <c r="P16" s="30"/>
      <c r="Q16" s="30"/>
      <c r="R16" s="30"/>
      <c r="S16" s="30"/>
      <c r="T16" s="23"/>
      <c r="V16" s="175"/>
      <c r="W16" s="70" t="s">
        <v>4</v>
      </c>
      <c r="X16" s="72">
        <v>3.5083000000000003E-2</v>
      </c>
      <c r="Y16" s="175"/>
      <c r="Z16" s="43"/>
      <c r="AA16" s="43"/>
    </row>
    <row r="17" spans="2:27" ht="15.75" customHeight="1" x14ac:dyDescent="0.25">
      <c r="B17" s="91"/>
      <c r="C17" s="210" t="s">
        <v>132</v>
      </c>
      <c r="D17" s="223" t="s">
        <v>133</v>
      </c>
      <c r="E17" s="232">
        <v>1.8579999999999999E-2</v>
      </c>
      <c r="F17" s="30"/>
      <c r="G17" s="30"/>
      <c r="H17" s="30"/>
      <c r="I17" s="30"/>
      <c r="J17" s="30"/>
      <c r="K17" s="30"/>
      <c r="L17" s="30"/>
      <c r="M17" s="30"/>
      <c r="N17" s="30"/>
      <c r="O17" s="30"/>
      <c r="P17" s="30"/>
      <c r="Q17" s="30"/>
      <c r="R17" s="30"/>
      <c r="S17" s="30"/>
      <c r="T17" s="23"/>
      <c r="V17" s="175"/>
      <c r="W17" s="70" t="s">
        <v>23</v>
      </c>
      <c r="X17" s="72">
        <v>3.4075000000000001E-2</v>
      </c>
      <c r="Y17" s="175"/>
      <c r="Z17" s="43"/>
      <c r="AA17" s="43"/>
    </row>
    <row r="18" spans="2:27" ht="15.75" x14ac:dyDescent="0.25">
      <c r="B18" s="91"/>
      <c r="C18" s="210" t="s">
        <v>28</v>
      </c>
      <c r="D18" s="223" t="s">
        <v>130</v>
      </c>
      <c r="E18" s="232">
        <v>1.8189E-2</v>
      </c>
      <c r="F18" s="30"/>
      <c r="G18" s="30"/>
      <c r="H18" s="30"/>
      <c r="I18" s="30"/>
      <c r="J18" s="30"/>
      <c r="K18" s="30"/>
      <c r="L18" s="30"/>
      <c r="M18" s="30"/>
      <c r="N18" s="30"/>
      <c r="O18" s="30"/>
      <c r="P18" s="30"/>
      <c r="Q18" s="30"/>
      <c r="R18" s="30"/>
      <c r="S18" s="30"/>
      <c r="T18" s="23"/>
      <c r="V18" s="175"/>
      <c r="W18" s="70" t="s">
        <v>97</v>
      </c>
      <c r="X18" s="72">
        <v>2.7554000000000002E-2</v>
      </c>
      <c r="Y18" s="175"/>
      <c r="Z18" s="43"/>
      <c r="AA18" s="43"/>
    </row>
    <row r="19" spans="2:27" ht="15.75" customHeight="1" x14ac:dyDescent="0.25">
      <c r="B19" s="91"/>
      <c r="C19" s="210" t="s">
        <v>125</v>
      </c>
      <c r="D19" s="223" t="s">
        <v>94</v>
      </c>
      <c r="E19" s="232">
        <v>1.7981E-2</v>
      </c>
      <c r="F19" s="30"/>
      <c r="G19" s="30"/>
      <c r="H19" s="30"/>
      <c r="I19" s="30"/>
      <c r="J19" s="30"/>
      <c r="K19" s="30"/>
      <c r="L19" s="30"/>
      <c r="M19" s="30"/>
      <c r="N19" s="30"/>
      <c r="O19" s="30"/>
      <c r="P19" s="30"/>
      <c r="Q19" s="30"/>
      <c r="R19" s="30"/>
      <c r="S19" s="30"/>
      <c r="T19" s="23"/>
      <c r="V19" s="175"/>
      <c r="W19" s="70" t="s">
        <v>136</v>
      </c>
      <c r="X19" s="72">
        <v>2.6369E-2</v>
      </c>
      <c r="Y19" s="175"/>
      <c r="Z19" s="43"/>
      <c r="AA19" s="43"/>
    </row>
    <row r="20" spans="2:27" ht="15" customHeight="1" x14ac:dyDescent="0.25">
      <c r="B20" s="91"/>
      <c r="C20" s="210" t="s">
        <v>258</v>
      </c>
      <c r="D20" s="223" t="s">
        <v>137</v>
      </c>
      <c r="E20" s="232">
        <v>1.7977E-2</v>
      </c>
      <c r="F20" s="30"/>
      <c r="G20" s="30"/>
      <c r="H20" s="30"/>
      <c r="I20" s="30"/>
      <c r="J20" s="30"/>
      <c r="K20" s="30"/>
      <c r="L20" s="30"/>
      <c r="M20" s="30"/>
      <c r="N20" s="30"/>
      <c r="O20" s="30"/>
      <c r="P20" s="30"/>
      <c r="Q20" s="30"/>
      <c r="R20" s="30"/>
      <c r="S20" s="30"/>
      <c r="T20" s="23"/>
      <c r="V20" s="175"/>
      <c r="W20" s="70" t="s">
        <v>137</v>
      </c>
      <c r="X20" s="72">
        <v>2.6224000000000001E-2</v>
      </c>
      <c r="Y20" s="175"/>
      <c r="Z20" s="43"/>
      <c r="AA20" s="43"/>
    </row>
    <row r="21" spans="2:27" ht="15" customHeight="1" x14ac:dyDescent="0.25">
      <c r="B21" s="91"/>
      <c r="C21" s="210" t="s">
        <v>257</v>
      </c>
      <c r="D21" s="223" t="s">
        <v>130</v>
      </c>
      <c r="E21" s="232">
        <v>1.7503999999999999E-2</v>
      </c>
      <c r="F21" s="30"/>
      <c r="G21" s="30"/>
      <c r="H21" s="30"/>
      <c r="I21" s="30"/>
      <c r="J21" s="30"/>
      <c r="K21" s="30"/>
      <c r="L21" s="30"/>
      <c r="M21" s="30"/>
      <c r="N21" s="30"/>
      <c r="O21" s="30"/>
      <c r="P21" s="30"/>
      <c r="Q21" s="30"/>
      <c r="R21" s="30"/>
      <c r="S21" s="30"/>
      <c r="T21" s="23"/>
      <c r="V21" s="175"/>
      <c r="W21" s="70" t="s">
        <v>129</v>
      </c>
      <c r="X21" s="72">
        <v>2.6058000000000001E-2</v>
      </c>
      <c r="Y21" s="175"/>
      <c r="Z21" s="43"/>
      <c r="AA21" s="43"/>
    </row>
    <row r="22" spans="2:27" ht="15" customHeight="1" x14ac:dyDescent="0.25">
      <c r="B22" s="91"/>
      <c r="C22" s="210" t="s">
        <v>279</v>
      </c>
      <c r="D22" s="223" t="s">
        <v>131</v>
      </c>
      <c r="E22" s="232">
        <v>1.7374000000000001E-2</v>
      </c>
      <c r="F22" s="30"/>
      <c r="G22" s="30"/>
      <c r="H22" s="30"/>
      <c r="I22" s="30"/>
      <c r="J22" s="30"/>
      <c r="K22" s="30"/>
      <c r="L22" s="30"/>
      <c r="M22" s="30"/>
      <c r="N22" s="30"/>
      <c r="O22" s="30"/>
      <c r="P22" s="30"/>
      <c r="Q22" s="30"/>
      <c r="R22" s="30"/>
      <c r="S22" s="30"/>
      <c r="T22" s="23"/>
      <c r="V22" s="175"/>
      <c r="W22" s="70" t="s">
        <v>138</v>
      </c>
      <c r="X22" s="72">
        <v>2.5061E-2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108</v>
      </c>
      <c r="X23" s="72">
        <v>2.427E-2</v>
      </c>
      <c r="Y23" s="175"/>
      <c r="Z23" s="43"/>
      <c r="AA23" s="43"/>
    </row>
    <row r="24" spans="2:27" ht="15" customHeight="1" x14ac:dyDescent="0.25">
      <c r="B24" s="91"/>
      <c r="C24" s="85" t="s">
        <v>55</v>
      </c>
      <c r="D24" s="86"/>
      <c r="E24" s="87">
        <f>SUM(E8:E22)</f>
        <v>0.31258700000000011</v>
      </c>
      <c r="F24" s="30"/>
      <c r="G24" s="30"/>
      <c r="H24" s="30"/>
      <c r="I24" s="30"/>
      <c r="J24" s="30"/>
      <c r="K24" s="30"/>
      <c r="L24" s="30"/>
      <c r="M24" s="30"/>
      <c r="N24" s="30"/>
      <c r="O24" s="30"/>
      <c r="P24" s="30"/>
      <c r="Q24" s="30"/>
      <c r="R24" s="30"/>
      <c r="S24" s="30"/>
      <c r="T24" s="23"/>
      <c r="V24" s="175"/>
      <c r="W24" s="70" t="s">
        <v>6</v>
      </c>
      <c r="X24" s="72">
        <v>2.3399E-2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95</v>
      </c>
      <c r="X25" s="72">
        <v>2.0486999999999998E-2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139</v>
      </c>
      <c r="X26" s="72">
        <v>2.0233000000000001E-2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11</v>
      </c>
      <c r="X27" s="72">
        <v>1.9880000000000002E-2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148</v>
      </c>
      <c r="X28" s="72">
        <v>1.9481999999999999E-2</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142</v>
      </c>
      <c r="X29" s="64">
        <v>1.9222E-2</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131</v>
      </c>
      <c r="X30" s="71">
        <v>1.7374000000000001E-2</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t="s">
        <v>141</v>
      </c>
      <c r="X31" s="71">
        <v>1.4662E-2</v>
      </c>
      <c r="Y31" s="175"/>
      <c r="Z31" s="43"/>
      <c r="AA31" s="43"/>
    </row>
    <row r="32" spans="2:27" ht="15" customHeight="1" x14ac:dyDescent="0.25">
      <c r="B32" s="91"/>
      <c r="F32" s="30"/>
      <c r="G32" s="30"/>
      <c r="H32" s="30"/>
      <c r="I32" s="30"/>
      <c r="J32" s="30"/>
      <c r="K32" s="30"/>
      <c r="L32" s="30"/>
      <c r="M32" s="30"/>
      <c r="N32" s="30"/>
      <c r="O32" s="30"/>
      <c r="P32" s="30"/>
      <c r="Q32" s="30"/>
      <c r="R32" s="30"/>
      <c r="S32" s="30"/>
      <c r="T32" s="23"/>
      <c r="V32" s="175"/>
      <c r="W32" s="73" t="s">
        <v>25</v>
      </c>
      <c r="X32" s="71">
        <v>1.2736000000000001E-2</v>
      </c>
      <c r="Y32" s="175"/>
      <c r="Z32" s="43"/>
      <c r="AA32" s="43"/>
    </row>
    <row r="33" spans="2:27" ht="15" customHeight="1" x14ac:dyDescent="0.25">
      <c r="B33" s="91"/>
      <c r="F33" s="30"/>
      <c r="G33" s="30"/>
      <c r="H33" s="30"/>
      <c r="I33" s="30"/>
      <c r="J33" s="30"/>
      <c r="K33" s="30"/>
      <c r="L33" s="30"/>
      <c r="M33" s="30"/>
      <c r="N33" s="30"/>
      <c r="O33" s="30"/>
      <c r="P33" s="30"/>
      <c r="Q33" s="30"/>
      <c r="R33" s="30"/>
      <c r="S33" s="30"/>
      <c r="T33" s="23"/>
      <c r="V33" s="175"/>
      <c r="W33" s="73" t="s">
        <v>26</v>
      </c>
      <c r="X33" s="71">
        <v>1.2638E-2</v>
      </c>
      <c r="Y33" s="175"/>
      <c r="Z33" s="43"/>
      <c r="AA33" s="43"/>
    </row>
    <row r="34" spans="2:27" ht="15" customHeight="1" x14ac:dyDescent="0.25">
      <c r="B34" s="91"/>
      <c r="F34" s="30"/>
      <c r="G34" s="30"/>
      <c r="H34" s="30"/>
      <c r="I34" s="30"/>
      <c r="J34" s="30"/>
      <c r="K34" s="30"/>
      <c r="L34" s="30"/>
      <c r="M34" s="30"/>
      <c r="N34" s="30"/>
      <c r="O34" s="30"/>
      <c r="P34" s="30"/>
      <c r="Q34" s="30"/>
      <c r="R34" s="30"/>
      <c r="S34" s="30"/>
      <c r="T34" s="23"/>
      <c r="V34" s="175"/>
      <c r="W34" s="175" t="s">
        <v>12</v>
      </c>
      <c r="X34" s="71">
        <v>1.1423000000000001E-2</v>
      </c>
      <c r="Y34" s="175"/>
      <c r="Z34" s="43"/>
      <c r="AA34" s="43"/>
    </row>
    <row r="35" spans="2:27" ht="15" customHeight="1" x14ac:dyDescent="0.25">
      <c r="B35" s="91"/>
      <c r="F35" s="30"/>
      <c r="G35" s="30"/>
      <c r="H35" s="30"/>
      <c r="I35" s="30"/>
      <c r="J35" s="30"/>
      <c r="K35" s="30"/>
      <c r="L35" s="30"/>
      <c r="M35" s="30"/>
      <c r="N35" s="30"/>
      <c r="O35" s="30"/>
      <c r="P35" s="30"/>
      <c r="Q35" s="30"/>
      <c r="R35" s="30"/>
      <c r="S35" s="30"/>
      <c r="T35" s="23"/>
      <c r="V35" s="175"/>
      <c r="W35" s="175" t="s">
        <v>163</v>
      </c>
      <c r="X35" s="71">
        <v>1.0803E-2</v>
      </c>
      <c r="Y35" s="175"/>
      <c r="Z35" s="43"/>
      <c r="AA35" s="43"/>
    </row>
    <row r="36" spans="2:27" ht="15" customHeight="1" x14ac:dyDescent="0.25">
      <c r="B36" s="91"/>
      <c r="F36" s="30"/>
      <c r="G36" s="30"/>
      <c r="H36" s="30"/>
      <c r="I36" s="30"/>
      <c r="J36" s="30"/>
      <c r="K36" s="30"/>
      <c r="L36" s="30"/>
      <c r="M36" s="30"/>
      <c r="N36" s="30"/>
      <c r="O36" s="30"/>
      <c r="P36" s="30"/>
      <c r="Q36" s="30"/>
      <c r="R36" s="30"/>
      <c r="S36" s="30"/>
      <c r="T36" s="23"/>
      <c r="V36" s="175"/>
      <c r="W36" s="175" t="s">
        <v>140</v>
      </c>
      <c r="X36" s="71">
        <v>7.0790000000000002E-3</v>
      </c>
      <c r="Y36" s="175"/>
      <c r="Z36" s="43"/>
      <c r="AA36" s="43"/>
    </row>
    <row r="37" spans="2:27" ht="15" customHeight="1" x14ac:dyDescent="0.25">
      <c r="B37" s="91"/>
      <c r="C37" s="30"/>
      <c r="D37" s="30"/>
      <c r="E37" s="30"/>
      <c r="F37" s="30"/>
      <c r="G37" s="30"/>
      <c r="H37" s="30"/>
      <c r="I37" s="30"/>
      <c r="J37" s="30"/>
      <c r="K37" s="30"/>
      <c r="L37" s="30"/>
      <c r="M37" s="30"/>
      <c r="N37" s="30"/>
      <c r="O37" s="30"/>
      <c r="P37" s="30"/>
      <c r="Q37" s="30"/>
      <c r="R37" s="30"/>
      <c r="S37" s="30"/>
      <c r="T37" s="23"/>
      <c r="W37" s="20" t="s">
        <v>180</v>
      </c>
      <c r="X37" s="71">
        <v>6.9750000000000003E-3</v>
      </c>
    </row>
    <row r="38" spans="2:27" ht="15" customHeight="1" thickBot="1" x14ac:dyDescent="0.3">
      <c r="B38" s="92"/>
      <c r="C38" s="93"/>
      <c r="D38" s="93"/>
      <c r="E38" s="93"/>
      <c r="F38" s="93"/>
      <c r="G38" s="93"/>
      <c r="H38" s="93"/>
      <c r="I38" s="93"/>
      <c r="J38" s="93"/>
      <c r="K38" s="93"/>
      <c r="L38" s="93"/>
      <c r="M38" s="93"/>
      <c r="N38" s="93"/>
      <c r="O38" s="93"/>
      <c r="P38" s="93"/>
      <c r="Q38" s="93"/>
      <c r="R38" s="93"/>
      <c r="S38" s="93"/>
      <c r="T38" s="24"/>
      <c r="W38" s="20" t="s">
        <v>10</v>
      </c>
      <c r="X38" s="64">
        <v>6.6959999999999997E-3</v>
      </c>
    </row>
    <row r="39" spans="2:27" ht="15" customHeight="1" thickBot="1" x14ac:dyDescent="0.3">
      <c r="W39" s="20" t="s">
        <v>150</v>
      </c>
      <c r="X39" s="64">
        <v>6.2960000000000004E-3</v>
      </c>
    </row>
    <row r="40" spans="2:27" ht="15" customHeight="1" x14ac:dyDescent="0.25">
      <c r="B40" s="245" t="s">
        <v>234</v>
      </c>
      <c r="C40" s="246"/>
      <c r="D40" s="246"/>
      <c r="E40" s="246"/>
      <c r="F40" s="246"/>
      <c r="G40" s="246"/>
      <c r="H40" s="246"/>
      <c r="I40" s="246"/>
      <c r="J40" s="246"/>
      <c r="K40" s="246"/>
      <c r="L40" s="246"/>
      <c r="M40" s="246"/>
      <c r="N40" s="246"/>
      <c r="O40" s="246"/>
      <c r="P40" s="246"/>
      <c r="Q40" s="246"/>
      <c r="R40" s="247"/>
      <c r="W40" s="20" t="s">
        <v>245</v>
      </c>
      <c r="X40" s="64">
        <v>6.1019999999999998E-3</v>
      </c>
    </row>
    <row r="41" spans="2:27" ht="15" customHeight="1" x14ac:dyDescent="0.25">
      <c r="B41" s="248"/>
      <c r="C41" s="249"/>
      <c r="D41" s="249"/>
      <c r="E41" s="249"/>
      <c r="F41" s="249"/>
      <c r="G41" s="249"/>
      <c r="H41" s="249"/>
      <c r="I41" s="249"/>
      <c r="J41" s="249"/>
      <c r="K41" s="249"/>
      <c r="L41" s="249"/>
      <c r="M41" s="249"/>
      <c r="N41" s="249"/>
      <c r="O41" s="249"/>
      <c r="P41" s="249"/>
      <c r="Q41" s="249"/>
      <c r="R41" s="250"/>
      <c r="W41" s="20" t="s">
        <v>145</v>
      </c>
      <c r="X41" s="64">
        <v>3.0149999999999999E-3</v>
      </c>
    </row>
    <row r="42" spans="2:27" ht="15" customHeight="1" x14ac:dyDescent="0.25">
      <c r="B42" s="248"/>
      <c r="C42" s="249"/>
      <c r="D42" s="249"/>
      <c r="E42" s="249"/>
      <c r="F42" s="249"/>
      <c r="G42" s="249"/>
      <c r="H42" s="249"/>
      <c r="I42" s="249"/>
      <c r="J42" s="249"/>
      <c r="K42" s="249"/>
      <c r="L42" s="249"/>
      <c r="M42" s="249"/>
      <c r="N42" s="249"/>
      <c r="O42" s="249"/>
      <c r="P42" s="249"/>
      <c r="Q42" s="249"/>
      <c r="R42" s="250"/>
    </row>
    <row r="43" spans="2:27" ht="15" customHeight="1" x14ac:dyDescent="0.25">
      <c r="B43" s="248"/>
      <c r="C43" s="249"/>
      <c r="D43" s="249"/>
      <c r="E43" s="249"/>
      <c r="F43" s="249"/>
      <c r="G43" s="249"/>
      <c r="H43" s="249"/>
      <c r="I43" s="249"/>
      <c r="J43" s="249"/>
      <c r="K43" s="249"/>
      <c r="L43" s="249"/>
      <c r="M43" s="249"/>
      <c r="N43" s="249"/>
      <c r="O43" s="249"/>
      <c r="P43" s="249"/>
      <c r="Q43" s="249"/>
      <c r="R43" s="250"/>
    </row>
    <row r="44" spans="2:27" ht="15" customHeight="1" x14ac:dyDescent="0.25">
      <c r="B44" s="248"/>
      <c r="C44" s="249"/>
      <c r="D44" s="249"/>
      <c r="E44" s="249"/>
      <c r="F44" s="249"/>
      <c r="G44" s="249"/>
      <c r="H44" s="249"/>
      <c r="I44" s="249"/>
      <c r="J44" s="249"/>
      <c r="K44" s="249"/>
      <c r="L44" s="249"/>
      <c r="M44" s="249"/>
      <c r="N44" s="249"/>
      <c r="O44" s="249"/>
      <c r="P44" s="249"/>
      <c r="Q44" s="249"/>
      <c r="R44" s="250"/>
    </row>
    <row r="45" spans="2:27" ht="15" customHeight="1" x14ac:dyDescent="0.25">
      <c r="B45" s="248"/>
      <c r="C45" s="249"/>
      <c r="D45" s="249"/>
      <c r="E45" s="249"/>
      <c r="F45" s="249"/>
      <c r="G45" s="249"/>
      <c r="H45" s="249"/>
      <c r="I45" s="249"/>
      <c r="J45" s="249"/>
      <c r="K45" s="249"/>
      <c r="L45" s="249"/>
      <c r="M45" s="249"/>
      <c r="N45" s="249"/>
      <c r="O45" s="249"/>
      <c r="P45" s="249"/>
      <c r="Q45" s="249"/>
      <c r="R45" s="250"/>
    </row>
    <row r="46" spans="2:27" ht="21.75" customHeight="1" thickBot="1" x14ac:dyDescent="0.3">
      <c r="B46" s="251"/>
      <c r="C46" s="252"/>
      <c r="D46" s="252"/>
      <c r="E46" s="252"/>
      <c r="F46" s="252"/>
      <c r="G46" s="252"/>
      <c r="H46" s="252"/>
      <c r="I46" s="252"/>
      <c r="J46" s="252"/>
      <c r="K46" s="252"/>
      <c r="L46" s="252"/>
      <c r="M46" s="252"/>
      <c r="N46" s="252"/>
      <c r="O46" s="252"/>
      <c r="P46" s="252"/>
      <c r="Q46" s="252"/>
      <c r="R46" s="25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4" t="s">
        <v>211</v>
      </c>
      <c r="D3" s="254"/>
      <c r="E3" s="254"/>
      <c r="F3" s="254"/>
      <c r="G3" s="254"/>
      <c r="H3" s="254"/>
      <c r="I3" s="254"/>
      <c r="J3" s="254"/>
      <c r="K3" s="254"/>
      <c r="L3" s="254"/>
      <c r="M3" s="254"/>
      <c r="N3" s="254"/>
      <c r="O3" s="254"/>
      <c r="P3" s="254"/>
      <c r="Q3" s="254"/>
      <c r="R3" s="254"/>
      <c r="S3" s="254"/>
      <c r="T3" s="23"/>
      <c r="V3" s="43"/>
      <c r="W3" s="43"/>
      <c r="X3" s="43"/>
      <c r="Y3" s="43"/>
      <c r="Z3" s="43"/>
      <c r="AA3" s="43"/>
    </row>
    <row r="4" spans="1:27" ht="15.75" customHeight="1" x14ac:dyDescent="0.25">
      <c r="B4" s="91"/>
      <c r="C4" s="78" t="s">
        <v>313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314</v>
      </c>
      <c r="D5" s="256" t="s">
        <v>281</v>
      </c>
      <c r="E5" s="256"/>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0" t="s">
        <v>32</v>
      </c>
      <c r="D8" s="221" t="s">
        <v>3</v>
      </c>
      <c r="E8" s="231">
        <v>8.5370000000000001E-2</v>
      </c>
      <c r="F8" s="30"/>
      <c r="G8" s="30"/>
      <c r="H8" s="30"/>
      <c r="I8" s="30"/>
      <c r="J8" s="30"/>
      <c r="K8" s="30"/>
      <c r="L8" s="30"/>
      <c r="M8" s="30"/>
      <c r="N8" s="30"/>
      <c r="O8" s="30"/>
      <c r="P8" s="30"/>
      <c r="Q8" s="30"/>
      <c r="R8" s="30"/>
      <c r="S8" s="30"/>
      <c r="T8" s="23"/>
      <c r="V8" s="175"/>
      <c r="W8" s="70" t="s">
        <v>3</v>
      </c>
      <c r="X8" s="72">
        <v>0.18304100000000001</v>
      </c>
      <c r="Y8" s="175"/>
      <c r="Z8" s="43"/>
      <c r="AA8" s="43"/>
    </row>
    <row r="9" spans="1:27" ht="15.75" customHeight="1" x14ac:dyDescent="0.25">
      <c r="B9" s="91"/>
      <c r="C9" s="210" t="s">
        <v>29</v>
      </c>
      <c r="D9" s="223" t="s">
        <v>3</v>
      </c>
      <c r="E9" s="232">
        <v>6.9806000000000007E-2</v>
      </c>
      <c r="F9" s="30"/>
      <c r="G9" s="30"/>
      <c r="H9" s="30"/>
      <c r="I9" s="30"/>
      <c r="J9" s="30"/>
      <c r="K9" s="30"/>
      <c r="L9" s="30"/>
      <c r="M9" s="30"/>
      <c r="N9" s="30"/>
      <c r="O9" s="30"/>
      <c r="P9" s="30"/>
      <c r="Q9" s="30"/>
      <c r="R9" s="30"/>
      <c r="S9" s="30"/>
      <c r="T9" s="23"/>
      <c r="V9" s="175"/>
      <c r="W9" s="70" t="s">
        <v>130</v>
      </c>
      <c r="X9" s="72">
        <v>9.4696000000000016E-2</v>
      </c>
      <c r="Y9" s="175"/>
      <c r="Z9" s="43"/>
      <c r="AA9" s="43"/>
    </row>
    <row r="10" spans="1:27" ht="15" customHeight="1" x14ac:dyDescent="0.25">
      <c r="B10" s="91"/>
      <c r="C10" s="210" t="s">
        <v>28</v>
      </c>
      <c r="D10" s="223" t="s">
        <v>130</v>
      </c>
      <c r="E10" s="232">
        <v>5.2687999999999999E-2</v>
      </c>
      <c r="F10" s="30"/>
      <c r="G10" s="30"/>
      <c r="H10" s="30"/>
      <c r="I10" s="30"/>
      <c r="J10" s="30"/>
      <c r="K10" s="30"/>
      <c r="L10" s="30"/>
      <c r="M10" s="30"/>
      <c r="N10" s="30"/>
      <c r="O10" s="30"/>
      <c r="P10" s="30"/>
      <c r="Q10" s="30"/>
      <c r="R10" s="30"/>
      <c r="S10" s="30"/>
      <c r="T10" s="23"/>
      <c r="V10" s="175"/>
      <c r="W10" s="70" t="s">
        <v>24</v>
      </c>
      <c r="X10" s="72">
        <v>8.4464999999999998E-2</v>
      </c>
      <c r="Y10" s="175"/>
      <c r="Z10" s="43"/>
      <c r="AA10" s="43"/>
    </row>
    <row r="11" spans="1:27" ht="15" customHeight="1" x14ac:dyDescent="0.25">
      <c r="B11" s="91"/>
      <c r="C11" s="210" t="s">
        <v>92</v>
      </c>
      <c r="D11" s="223" t="s">
        <v>4</v>
      </c>
      <c r="E11" s="232">
        <v>5.2151000000000003E-2</v>
      </c>
      <c r="F11" s="30"/>
      <c r="G11" s="30"/>
      <c r="H11" s="30"/>
      <c r="I11" s="30"/>
      <c r="J11" s="30"/>
      <c r="K11" s="30"/>
      <c r="L11" s="30"/>
      <c r="M11" s="30"/>
      <c r="N11" s="30"/>
      <c r="O11" s="30"/>
      <c r="P11" s="30"/>
      <c r="Q11" s="30"/>
      <c r="R11" s="30"/>
      <c r="S11" s="30"/>
      <c r="T11" s="23"/>
      <c r="V11" s="175"/>
      <c r="W11" s="70" t="s">
        <v>133</v>
      </c>
      <c r="X11" s="72">
        <v>7.6627000000000001E-2</v>
      </c>
      <c r="Y11" s="175"/>
      <c r="Z11" s="43"/>
      <c r="AA11" s="43"/>
    </row>
    <row r="12" spans="1:27" ht="15" customHeight="1" x14ac:dyDescent="0.25">
      <c r="B12" s="91"/>
      <c r="C12" s="210" t="s">
        <v>66</v>
      </c>
      <c r="D12" s="223" t="s">
        <v>94</v>
      </c>
      <c r="E12" s="232">
        <v>3.7613000000000001E-2</v>
      </c>
      <c r="F12" s="30"/>
      <c r="G12" s="30"/>
      <c r="H12" s="30"/>
      <c r="I12" s="30"/>
      <c r="J12" s="30"/>
      <c r="K12" s="30"/>
      <c r="L12" s="30"/>
      <c r="M12" s="30"/>
      <c r="N12" s="30"/>
      <c r="O12" s="30"/>
      <c r="P12" s="30"/>
      <c r="Q12" s="30"/>
      <c r="R12" s="30"/>
      <c r="S12" s="30"/>
      <c r="T12" s="23"/>
      <c r="V12" s="175"/>
      <c r="W12" s="70" t="s">
        <v>4</v>
      </c>
      <c r="X12" s="72">
        <v>7.3837E-2</v>
      </c>
      <c r="Y12" s="175"/>
      <c r="Z12" s="43"/>
      <c r="AA12" s="43"/>
    </row>
    <row r="13" spans="1:27" ht="15" customHeight="1" x14ac:dyDescent="0.25">
      <c r="B13" s="91"/>
      <c r="C13" s="210" t="s">
        <v>91</v>
      </c>
      <c r="D13" s="223" t="s">
        <v>136</v>
      </c>
      <c r="E13" s="232">
        <v>3.32E-2</v>
      </c>
      <c r="F13" s="30"/>
      <c r="G13" s="30"/>
      <c r="H13" s="30"/>
      <c r="I13" s="30"/>
      <c r="J13" s="30"/>
      <c r="K13" s="30"/>
      <c r="L13" s="30"/>
      <c r="M13" s="30"/>
      <c r="N13" s="30"/>
      <c r="O13" s="30"/>
      <c r="P13" s="30"/>
      <c r="Q13" s="30"/>
      <c r="R13" s="30"/>
      <c r="S13" s="30"/>
      <c r="T13" s="23"/>
      <c r="V13" s="175"/>
      <c r="W13" s="70" t="s">
        <v>136</v>
      </c>
      <c r="X13" s="72">
        <v>7.3760999999999993E-2</v>
      </c>
      <c r="Y13" s="175"/>
      <c r="Z13" s="43"/>
      <c r="AA13" s="43"/>
    </row>
    <row r="14" spans="1:27" ht="15" customHeight="1" x14ac:dyDescent="0.25">
      <c r="B14" s="91"/>
      <c r="C14" s="210" t="s">
        <v>34</v>
      </c>
      <c r="D14" s="223" t="s">
        <v>23</v>
      </c>
      <c r="E14" s="232">
        <v>3.1140000000000001E-2</v>
      </c>
      <c r="F14" s="30"/>
      <c r="G14" s="30"/>
      <c r="H14" s="30"/>
      <c r="I14" s="30"/>
      <c r="J14" s="30"/>
      <c r="K14" s="30"/>
      <c r="L14" s="30"/>
      <c r="M14" s="30"/>
      <c r="N14" s="30"/>
      <c r="O14" s="30"/>
      <c r="P14" s="30"/>
      <c r="Q14" s="30"/>
      <c r="R14" s="30"/>
      <c r="S14" s="30"/>
      <c r="T14" s="23"/>
      <c r="V14" s="175"/>
      <c r="W14" s="70" t="s">
        <v>94</v>
      </c>
      <c r="X14" s="72">
        <v>4.3860999999999997E-2</v>
      </c>
      <c r="Y14" s="175"/>
      <c r="Z14" s="43"/>
      <c r="AA14" s="43"/>
    </row>
    <row r="15" spans="1:27" ht="15.75" customHeight="1" x14ac:dyDescent="0.25">
      <c r="B15" s="91"/>
      <c r="C15" s="210" t="s">
        <v>144</v>
      </c>
      <c r="D15" s="223" t="s">
        <v>136</v>
      </c>
      <c r="E15" s="232">
        <v>3.0183999999999999E-2</v>
      </c>
      <c r="F15" s="30"/>
      <c r="G15" s="30"/>
      <c r="H15" s="30"/>
      <c r="I15" s="30"/>
      <c r="J15" s="30"/>
      <c r="K15" s="30"/>
      <c r="L15" s="30"/>
      <c r="M15" s="30"/>
      <c r="N15" s="30"/>
      <c r="O15" s="30"/>
      <c r="P15" s="30"/>
      <c r="Q15" s="30"/>
      <c r="R15" s="30"/>
      <c r="S15" s="30"/>
      <c r="T15" s="23"/>
      <c r="V15" s="175"/>
      <c r="W15" s="70" t="s">
        <v>143</v>
      </c>
      <c r="X15" s="72">
        <v>3.7936999999999999E-2</v>
      </c>
      <c r="Y15" s="175"/>
      <c r="Z15" s="43"/>
      <c r="AA15" s="43"/>
    </row>
    <row r="16" spans="1:27" ht="15" customHeight="1" x14ac:dyDescent="0.25">
      <c r="B16" s="91"/>
      <c r="C16" s="210" t="s">
        <v>162</v>
      </c>
      <c r="D16" s="223" t="s">
        <v>133</v>
      </c>
      <c r="E16" s="232">
        <v>2.9815000000000001E-2</v>
      </c>
      <c r="F16" s="30"/>
      <c r="G16" s="30"/>
      <c r="H16" s="30"/>
      <c r="I16" s="30"/>
      <c r="J16" s="30"/>
      <c r="K16" s="30"/>
      <c r="L16" s="30"/>
      <c r="M16" s="30"/>
      <c r="N16" s="30"/>
      <c r="O16" s="30"/>
      <c r="P16" s="30"/>
      <c r="Q16" s="30"/>
      <c r="R16" s="30"/>
      <c r="S16" s="30"/>
      <c r="T16" s="23"/>
      <c r="V16" s="175"/>
      <c r="W16" s="70" t="s">
        <v>23</v>
      </c>
      <c r="X16" s="72">
        <v>3.1140000000000001E-2</v>
      </c>
      <c r="Y16" s="175"/>
      <c r="Z16" s="43"/>
      <c r="AA16" s="43"/>
    </row>
    <row r="17" spans="2:27" ht="15.75" customHeight="1" x14ac:dyDescent="0.25">
      <c r="B17" s="91"/>
      <c r="C17" s="210" t="s">
        <v>36</v>
      </c>
      <c r="D17" s="223" t="s">
        <v>3</v>
      </c>
      <c r="E17" s="232">
        <v>2.7865000000000001E-2</v>
      </c>
      <c r="F17" s="30"/>
      <c r="G17" s="30"/>
      <c r="H17" s="30"/>
      <c r="I17" s="30"/>
      <c r="J17" s="30"/>
      <c r="K17" s="30"/>
      <c r="L17" s="30"/>
      <c r="M17" s="30"/>
      <c r="N17" s="30"/>
      <c r="O17" s="30"/>
      <c r="P17" s="30"/>
      <c r="Q17" s="30"/>
      <c r="R17" s="30"/>
      <c r="S17" s="30"/>
      <c r="T17" s="23"/>
      <c r="V17" s="175"/>
      <c r="W17" s="70" t="s">
        <v>26</v>
      </c>
      <c r="X17" s="72">
        <v>3.0644000000000001E-2</v>
      </c>
      <c r="Y17" s="175"/>
      <c r="Z17" s="43"/>
      <c r="AA17" s="43"/>
    </row>
    <row r="18" spans="2:27" ht="15.75" x14ac:dyDescent="0.25">
      <c r="B18" s="91"/>
      <c r="C18" s="210" t="s">
        <v>164</v>
      </c>
      <c r="D18" s="223" t="s">
        <v>16</v>
      </c>
      <c r="E18" s="232">
        <v>2.6977000000000001E-2</v>
      </c>
      <c r="F18" s="30"/>
      <c r="G18" s="30"/>
      <c r="H18" s="30"/>
      <c r="I18" s="30"/>
      <c r="J18" s="30"/>
      <c r="K18" s="30"/>
      <c r="L18" s="30"/>
      <c r="M18" s="30"/>
      <c r="N18" s="30"/>
      <c r="O18" s="30"/>
      <c r="P18" s="30"/>
      <c r="Q18" s="30"/>
      <c r="R18" s="30"/>
      <c r="S18" s="30"/>
      <c r="T18" s="23"/>
      <c r="V18" s="175"/>
      <c r="W18" s="70" t="s">
        <v>140</v>
      </c>
      <c r="X18" s="72">
        <v>3.0447999999999999E-2</v>
      </c>
      <c r="Y18" s="175"/>
      <c r="Z18" s="43"/>
      <c r="AA18" s="43"/>
    </row>
    <row r="19" spans="2:27" ht="15.75" customHeight="1" x14ac:dyDescent="0.25">
      <c r="B19" s="91"/>
      <c r="C19" s="210" t="s">
        <v>254</v>
      </c>
      <c r="D19" s="223" t="s">
        <v>24</v>
      </c>
      <c r="E19" s="232">
        <v>2.5752000000000001E-2</v>
      </c>
      <c r="F19" s="30"/>
      <c r="G19" s="30"/>
      <c r="H19" s="30"/>
      <c r="I19" s="30"/>
      <c r="J19" s="30"/>
      <c r="K19" s="30"/>
      <c r="L19" s="30"/>
      <c r="M19" s="30"/>
      <c r="N19" s="30"/>
      <c r="O19" s="30"/>
      <c r="P19" s="30"/>
      <c r="Q19" s="30"/>
      <c r="R19" s="30"/>
      <c r="S19" s="30"/>
      <c r="T19" s="23"/>
      <c r="V19" s="175"/>
      <c r="W19" s="70" t="s">
        <v>16</v>
      </c>
      <c r="X19" s="72">
        <v>2.6977000000000001E-2</v>
      </c>
      <c r="Y19" s="175"/>
      <c r="Z19" s="43"/>
      <c r="AA19" s="43"/>
    </row>
    <row r="20" spans="2:27" ht="15" customHeight="1" x14ac:dyDescent="0.25">
      <c r="B20" s="91"/>
      <c r="C20" s="210" t="s">
        <v>75</v>
      </c>
      <c r="D20" s="223" t="s">
        <v>12</v>
      </c>
      <c r="E20" s="232">
        <v>2.3650999999999998E-2</v>
      </c>
      <c r="F20" s="30"/>
      <c r="G20" s="30"/>
      <c r="H20" s="30"/>
      <c r="I20" s="30"/>
      <c r="J20" s="30"/>
      <c r="K20" s="30"/>
      <c r="L20" s="30"/>
      <c r="M20" s="30"/>
      <c r="N20" s="30"/>
      <c r="O20" s="30"/>
      <c r="P20" s="30"/>
      <c r="Q20" s="30"/>
      <c r="R20" s="30"/>
      <c r="S20" s="30"/>
      <c r="T20" s="23"/>
      <c r="V20" s="175"/>
      <c r="W20" s="70" t="s">
        <v>12</v>
      </c>
      <c r="X20" s="72">
        <v>2.3650999999999998E-2</v>
      </c>
      <c r="Y20" s="175"/>
      <c r="Z20" s="43"/>
      <c r="AA20" s="43"/>
    </row>
    <row r="21" spans="2:27" ht="15" customHeight="1" x14ac:dyDescent="0.25">
      <c r="B21" s="91"/>
      <c r="C21" s="210" t="s">
        <v>128</v>
      </c>
      <c r="D21" s="223" t="s">
        <v>4</v>
      </c>
      <c r="E21" s="232">
        <v>2.1686E-2</v>
      </c>
      <c r="F21" s="30"/>
      <c r="G21" s="30"/>
      <c r="H21" s="30"/>
      <c r="I21" s="30"/>
      <c r="J21" s="30"/>
      <c r="K21" s="30"/>
      <c r="L21" s="30"/>
      <c r="M21" s="30"/>
      <c r="N21" s="30"/>
      <c r="O21" s="30"/>
      <c r="P21" s="30"/>
      <c r="Q21" s="30"/>
      <c r="R21" s="30"/>
      <c r="S21" s="30"/>
      <c r="T21" s="23"/>
      <c r="V21" s="175"/>
      <c r="W21" s="70" t="s">
        <v>87</v>
      </c>
      <c r="X21" s="72">
        <v>2.2827E-2</v>
      </c>
      <c r="Y21" s="175"/>
      <c r="Z21" s="43"/>
      <c r="AA21" s="43"/>
    </row>
    <row r="22" spans="2:27" ht="15" customHeight="1" x14ac:dyDescent="0.25">
      <c r="B22" s="91"/>
      <c r="C22" s="210" t="s">
        <v>276</v>
      </c>
      <c r="D22" s="223" t="s">
        <v>24</v>
      </c>
      <c r="E22" s="232">
        <v>2.1301E-2</v>
      </c>
      <c r="F22" s="30"/>
      <c r="G22" s="30"/>
      <c r="H22" s="30"/>
      <c r="I22" s="30"/>
      <c r="J22" s="30"/>
      <c r="K22" s="30"/>
      <c r="L22" s="30"/>
      <c r="M22" s="30"/>
      <c r="N22" s="30"/>
      <c r="O22" s="30"/>
      <c r="P22" s="30"/>
      <c r="Q22" s="30"/>
      <c r="R22" s="30"/>
      <c r="S22" s="30"/>
      <c r="T22" s="23"/>
      <c r="V22" s="175"/>
      <c r="W22" s="70" t="s">
        <v>98</v>
      </c>
      <c r="X22" s="72">
        <v>1.9595000000000001E-2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147</v>
      </c>
      <c r="X23" s="72">
        <v>1.9389E-2</v>
      </c>
      <c r="Y23" s="175"/>
      <c r="Z23" s="43"/>
      <c r="AA23" s="43"/>
    </row>
    <row r="24" spans="2:27" ht="15" customHeight="1" x14ac:dyDescent="0.25">
      <c r="B24" s="91"/>
      <c r="C24" s="85" t="s">
        <v>55</v>
      </c>
      <c r="D24" s="86"/>
      <c r="E24" s="87">
        <f>SUM(E8:E22)</f>
        <v>0.56919900000000001</v>
      </c>
      <c r="F24" s="30"/>
      <c r="G24" s="30"/>
      <c r="H24" s="30"/>
      <c r="I24" s="30"/>
      <c r="J24" s="30"/>
      <c r="K24" s="30"/>
      <c r="L24" s="30"/>
      <c r="M24" s="30"/>
      <c r="N24" s="30"/>
      <c r="O24" s="30"/>
      <c r="P24" s="30"/>
      <c r="Q24" s="30"/>
      <c r="R24" s="30"/>
      <c r="S24" s="30"/>
      <c r="T24" s="23"/>
      <c r="V24" s="175"/>
      <c r="W24" s="70" t="s">
        <v>129</v>
      </c>
      <c r="X24" s="72">
        <v>1.9337E-2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163</v>
      </c>
      <c r="X25" s="72">
        <v>1.8022999999999997E-2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148</v>
      </c>
      <c r="X26" s="72">
        <v>1.5474999999999999E-2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131</v>
      </c>
      <c r="X27" s="72">
        <v>1.2316000000000001E-2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141</v>
      </c>
      <c r="X28" s="72">
        <v>8.5839999999999996E-3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70" t="s">
        <v>256</v>
      </c>
      <c r="X29" s="72">
        <v>1.8619999999999999E-3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137</v>
      </c>
      <c r="X30" s="72">
        <v>3.4699999999999998E-4</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0"/>
      <c r="X31" s="71"/>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1"/>
    </row>
    <row r="33" spans="2:18" ht="15" customHeight="1" thickBot="1" x14ac:dyDescent="0.3"/>
    <row r="34" spans="2:18" ht="15" customHeight="1" x14ac:dyDescent="0.25">
      <c r="B34" s="245" t="s">
        <v>234</v>
      </c>
      <c r="C34" s="246"/>
      <c r="D34" s="246"/>
      <c r="E34" s="246"/>
      <c r="F34" s="246"/>
      <c r="G34" s="246"/>
      <c r="H34" s="246"/>
      <c r="I34" s="246"/>
      <c r="J34" s="246"/>
      <c r="K34" s="246"/>
      <c r="L34" s="246"/>
      <c r="M34" s="246"/>
      <c r="N34" s="246"/>
      <c r="O34" s="246"/>
      <c r="P34" s="246"/>
      <c r="Q34" s="246"/>
      <c r="R34" s="247"/>
    </row>
    <row r="35" spans="2:18" ht="15" customHeight="1" x14ac:dyDescent="0.25">
      <c r="B35" s="248"/>
      <c r="C35" s="249"/>
      <c r="D35" s="249"/>
      <c r="E35" s="249"/>
      <c r="F35" s="249"/>
      <c r="G35" s="249"/>
      <c r="H35" s="249"/>
      <c r="I35" s="249"/>
      <c r="J35" s="249"/>
      <c r="K35" s="249"/>
      <c r="L35" s="249"/>
      <c r="M35" s="249"/>
      <c r="N35" s="249"/>
      <c r="O35" s="249"/>
      <c r="P35" s="249"/>
      <c r="Q35" s="249"/>
      <c r="R35" s="250"/>
    </row>
    <row r="36" spans="2:18" ht="15" customHeight="1" x14ac:dyDescent="0.25">
      <c r="B36" s="248"/>
      <c r="C36" s="249"/>
      <c r="D36" s="249"/>
      <c r="E36" s="249"/>
      <c r="F36" s="249"/>
      <c r="G36" s="249"/>
      <c r="H36" s="249"/>
      <c r="I36" s="249"/>
      <c r="J36" s="249"/>
      <c r="K36" s="249"/>
      <c r="L36" s="249"/>
      <c r="M36" s="249"/>
      <c r="N36" s="249"/>
      <c r="O36" s="249"/>
      <c r="P36" s="249"/>
      <c r="Q36" s="249"/>
      <c r="R36" s="250"/>
    </row>
    <row r="37" spans="2:18" ht="15" customHeight="1" x14ac:dyDescent="0.25">
      <c r="B37" s="248"/>
      <c r="C37" s="249"/>
      <c r="D37" s="249"/>
      <c r="E37" s="249"/>
      <c r="F37" s="249"/>
      <c r="G37" s="249"/>
      <c r="H37" s="249"/>
      <c r="I37" s="249"/>
      <c r="J37" s="249"/>
      <c r="K37" s="249"/>
      <c r="L37" s="249"/>
      <c r="M37" s="249"/>
      <c r="N37" s="249"/>
      <c r="O37" s="249"/>
      <c r="P37" s="249"/>
      <c r="Q37" s="249"/>
      <c r="R37" s="250"/>
    </row>
    <row r="38" spans="2:18" ht="15" customHeight="1" x14ac:dyDescent="0.25">
      <c r="B38" s="248"/>
      <c r="C38" s="249"/>
      <c r="D38" s="249"/>
      <c r="E38" s="249"/>
      <c r="F38" s="249"/>
      <c r="G38" s="249"/>
      <c r="H38" s="249"/>
      <c r="I38" s="249"/>
      <c r="J38" s="249"/>
      <c r="K38" s="249"/>
      <c r="L38" s="249"/>
      <c r="M38" s="249"/>
      <c r="N38" s="249"/>
      <c r="O38" s="249"/>
      <c r="P38" s="249"/>
      <c r="Q38" s="249"/>
      <c r="R38" s="250"/>
    </row>
    <row r="39" spans="2:18" ht="15" customHeight="1" x14ac:dyDescent="0.25">
      <c r="B39" s="248"/>
      <c r="C39" s="249"/>
      <c r="D39" s="249"/>
      <c r="E39" s="249"/>
      <c r="F39" s="249"/>
      <c r="G39" s="249"/>
      <c r="H39" s="249"/>
      <c r="I39" s="249"/>
      <c r="J39" s="249"/>
      <c r="K39" s="249"/>
      <c r="L39" s="249"/>
      <c r="M39" s="249"/>
      <c r="N39" s="249"/>
      <c r="O39" s="249"/>
      <c r="P39" s="249"/>
      <c r="Q39" s="249"/>
      <c r="R39" s="250"/>
    </row>
    <row r="40" spans="2:18" ht="21.75" customHeight="1" thickBot="1" x14ac:dyDescent="0.3">
      <c r="B40" s="251"/>
      <c r="C40" s="252"/>
      <c r="D40" s="252"/>
      <c r="E40" s="252"/>
      <c r="F40" s="252"/>
      <c r="G40" s="252"/>
      <c r="H40" s="252"/>
      <c r="I40" s="252"/>
      <c r="J40" s="252"/>
      <c r="K40" s="252"/>
      <c r="L40" s="252"/>
      <c r="M40" s="252"/>
      <c r="N40" s="252"/>
      <c r="O40" s="252"/>
      <c r="P40" s="252"/>
      <c r="Q40" s="252"/>
      <c r="R40" s="25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topLeftCell="A4" zoomScale="75" zoomScaleNormal="75" workbookViewId="0">
      <selection activeCell="X8" sqref="X8:X44"/>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210</v>
      </c>
      <c r="D3" s="255"/>
      <c r="E3" s="255"/>
      <c r="F3" s="255"/>
      <c r="G3" s="255"/>
      <c r="H3" s="255"/>
      <c r="I3" s="255"/>
      <c r="J3" s="255"/>
      <c r="K3" s="255"/>
      <c r="L3" s="255"/>
      <c r="M3" s="255"/>
      <c r="N3" s="255"/>
      <c r="O3" s="255"/>
      <c r="P3" s="255"/>
      <c r="Q3" s="255"/>
      <c r="R3" s="255"/>
      <c r="S3" s="255"/>
      <c r="T3" s="23"/>
    </row>
    <row r="4" spans="1:24" ht="15.75" customHeight="1" x14ac:dyDescent="0.25">
      <c r="B4" s="91"/>
      <c r="C4" s="78" t="s">
        <v>313</v>
      </c>
      <c r="D4" s="30"/>
      <c r="E4" s="30"/>
      <c r="F4" s="30"/>
      <c r="G4" s="30"/>
      <c r="H4" s="30"/>
      <c r="I4" s="30"/>
      <c r="J4" s="30"/>
      <c r="K4" s="30"/>
      <c r="L4" s="30"/>
      <c r="M4" s="30"/>
      <c r="N4" s="30"/>
      <c r="O4" s="30"/>
      <c r="P4" s="30"/>
      <c r="Q4" s="30"/>
      <c r="R4" s="30"/>
      <c r="S4" s="30"/>
      <c r="T4" s="23"/>
    </row>
    <row r="5" spans="1:24" ht="18" customHeight="1" x14ac:dyDescent="0.25">
      <c r="B5" s="91"/>
      <c r="C5" s="79" t="s">
        <v>314</v>
      </c>
      <c r="D5" s="256" t="s">
        <v>312</v>
      </c>
      <c r="E5" s="256"/>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0" t="s">
        <v>88</v>
      </c>
      <c r="D8" s="221" t="s">
        <v>24</v>
      </c>
      <c r="E8" s="222">
        <v>2.4041E-2</v>
      </c>
      <c r="F8" s="30"/>
      <c r="G8" s="30"/>
      <c r="H8" s="30"/>
      <c r="I8" s="30"/>
      <c r="J8" s="30"/>
      <c r="K8" s="30"/>
      <c r="L8" s="30"/>
      <c r="M8" s="30"/>
      <c r="N8" s="30"/>
      <c r="O8" s="30"/>
      <c r="P8" s="30"/>
      <c r="Q8" s="30"/>
      <c r="R8" s="30"/>
      <c r="S8" s="30"/>
      <c r="T8" s="23"/>
      <c r="W8" s="70" t="s">
        <v>4</v>
      </c>
      <c r="X8" s="72">
        <v>0.10405300000000002</v>
      </c>
    </row>
    <row r="9" spans="1:24" ht="15.75" customHeight="1" x14ac:dyDescent="0.25">
      <c r="B9" s="91"/>
      <c r="C9" s="210" t="s">
        <v>84</v>
      </c>
      <c r="D9" s="223" t="s">
        <v>4</v>
      </c>
      <c r="E9" s="224">
        <v>2.1507999999999999E-2</v>
      </c>
      <c r="F9" s="30"/>
      <c r="G9" s="30"/>
      <c r="H9" s="30"/>
      <c r="I9" s="30"/>
      <c r="J9" s="30"/>
      <c r="K9" s="30"/>
      <c r="L9" s="30"/>
      <c r="M9" s="30"/>
      <c r="N9" s="30"/>
      <c r="O9" s="30"/>
      <c r="P9" s="30"/>
      <c r="Q9" s="30"/>
      <c r="R9" s="30"/>
      <c r="S9" s="30"/>
      <c r="T9" s="23"/>
      <c r="W9" s="70" t="s">
        <v>24</v>
      </c>
      <c r="X9" s="72">
        <v>8.8667999999999997E-2</v>
      </c>
    </row>
    <row r="10" spans="1:24" ht="15" customHeight="1" x14ac:dyDescent="0.25">
      <c r="B10" s="91"/>
      <c r="C10" s="210" t="s">
        <v>268</v>
      </c>
      <c r="D10" s="223" t="s">
        <v>143</v>
      </c>
      <c r="E10" s="224">
        <v>2.0461E-2</v>
      </c>
      <c r="F10" s="30"/>
      <c r="G10" s="30"/>
      <c r="H10" s="30"/>
      <c r="I10" s="30"/>
      <c r="J10" s="30"/>
      <c r="K10" s="30"/>
      <c r="L10" s="30"/>
      <c r="M10" s="30"/>
      <c r="N10" s="30"/>
      <c r="O10" s="30"/>
      <c r="P10" s="30"/>
      <c r="Q10" s="30"/>
      <c r="R10" s="30"/>
      <c r="S10" s="30"/>
      <c r="T10" s="23"/>
      <c r="W10" s="70" t="s">
        <v>133</v>
      </c>
      <c r="X10" s="72">
        <v>6.8329000000000001E-2</v>
      </c>
    </row>
    <row r="11" spans="1:24" ht="15" customHeight="1" x14ac:dyDescent="0.25">
      <c r="B11" s="91"/>
      <c r="C11" s="210" t="s">
        <v>85</v>
      </c>
      <c r="D11" s="223" t="s">
        <v>129</v>
      </c>
      <c r="E11" s="224">
        <v>1.805E-2</v>
      </c>
      <c r="F11" s="30"/>
      <c r="G11" s="30"/>
      <c r="H11" s="30"/>
      <c r="I11" s="30"/>
      <c r="J11" s="30"/>
      <c r="K11" s="30"/>
      <c r="L11" s="30"/>
      <c r="M11" s="30"/>
      <c r="N11" s="30"/>
      <c r="O11" s="30"/>
      <c r="P11" s="30"/>
      <c r="Q11" s="30"/>
      <c r="R11" s="30"/>
      <c r="S11" s="30"/>
      <c r="T11" s="23"/>
      <c r="W11" s="70" t="s">
        <v>16</v>
      </c>
      <c r="X11" s="72">
        <v>6.5761E-2</v>
      </c>
    </row>
    <row r="12" spans="1:24" ht="15" customHeight="1" x14ac:dyDescent="0.25">
      <c r="B12" s="91"/>
      <c r="C12" s="210" t="s">
        <v>239</v>
      </c>
      <c r="D12" s="223" t="s">
        <v>133</v>
      </c>
      <c r="E12" s="224">
        <v>1.7793E-2</v>
      </c>
      <c r="F12" s="30"/>
      <c r="G12" s="30"/>
      <c r="H12" s="30"/>
      <c r="I12" s="30"/>
      <c r="J12" s="30"/>
      <c r="K12" s="30"/>
      <c r="L12" s="30"/>
      <c r="M12" s="30"/>
      <c r="N12" s="30"/>
      <c r="O12" s="30"/>
      <c r="P12" s="30"/>
      <c r="Q12" s="30"/>
      <c r="R12" s="30"/>
      <c r="S12" s="30"/>
      <c r="T12" s="23"/>
      <c r="W12" s="70" t="s">
        <v>3</v>
      </c>
      <c r="X12" s="72">
        <v>5.0486000000000003E-2</v>
      </c>
    </row>
    <row r="13" spans="1:24" ht="15" customHeight="1" x14ac:dyDescent="0.25">
      <c r="B13" s="91"/>
      <c r="C13" s="210" t="s">
        <v>176</v>
      </c>
      <c r="D13" s="223" t="s">
        <v>95</v>
      </c>
      <c r="E13" s="224">
        <v>1.7610000000000001E-2</v>
      </c>
      <c r="F13" s="30"/>
      <c r="G13" s="30"/>
      <c r="H13" s="30"/>
      <c r="I13" s="30"/>
      <c r="J13" s="30"/>
      <c r="K13" s="30"/>
      <c r="L13" s="30"/>
      <c r="M13" s="30"/>
      <c r="N13" s="30"/>
      <c r="O13" s="30"/>
      <c r="P13" s="30"/>
      <c r="Q13" s="30"/>
      <c r="R13" s="30"/>
      <c r="S13" s="30"/>
      <c r="T13" s="23"/>
      <c r="W13" s="70" t="s">
        <v>143</v>
      </c>
      <c r="X13" s="72">
        <v>4.6514E-2</v>
      </c>
    </row>
    <row r="14" spans="1:24" ht="15" customHeight="1" x14ac:dyDescent="0.25">
      <c r="B14" s="91"/>
      <c r="C14" s="210" t="s">
        <v>240</v>
      </c>
      <c r="D14" s="223" t="s">
        <v>16</v>
      </c>
      <c r="E14" s="224">
        <v>1.7455999999999999E-2</v>
      </c>
      <c r="F14" s="30"/>
      <c r="G14" s="30"/>
      <c r="H14" s="30"/>
      <c r="I14" s="30"/>
      <c r="J14" s="30"/>
      <c r="K14" s="30"/>
      <c r="L14" s="30"/>
      <c r="M14" s="30"/>
      <c r="N14" s="30"/>
      <c r="O14" s="30"/>
      <c r="P14" s="30"/>
      <c r="Q14" s="30"/>
      <c r="R14" s="30"/>
      <c r="S14" s="30"/>
      <c r="T14" s="23"/>
      <c r="W14" s="70" t="s">
        <v>140</v>
      </c>
      <c r="X14" s="72">
        <v>3.8325999999999999E-2</v>
      </c>
    </row>
    <row r="15" spans="1:24" ht="15" customHeight="1" x14ac:dyDescent="0.25">
      <c r="B15" s="91"/>
      <c r="C15" s="210" t="s">
        <v>241</v>
      </c>
      <c r="D15" s="223" t="s">
        <v>150</v>
      </c>
      <c r="E15" s="224">
        <v>1.6147000000000002E-2</v>
      </c>
      <c r="F15" s="30"/>
      <c r="G15" s="30"/>
      <c r="H15" s="30"/>
      <c r="I15" s="30"/>
      <c r="J15" s="30"/>
      <c r="K15" s="30"/>
      <c r="L15" s="30"/>
      <c r="M15" s="30"/>
      <c r="N15" s="30"/>
      <c r="O15" s="30"/>
      <c r="P15" s="30"/>
      <c r="Q15" s="30"/>
      <c r="R15" s="30"/>
      <c r="S15" s="30"/>
      <c r="T15" s="23"/>
      <c r="W15" s="70" t="s">
        <v>87</v>
      </c>
      <c r="X15" s="72">
        <v>3.4373000000000001E-2</v>
      </c>
    </row>
    <row r="16" spans="1:24" ht="15" customHeight="1" x14ac:dyDescent="0.25">
      <c r="B16" s="91"/>
      <c r="C16" s="210" t="s">
        <v>259</v>
      </c>
      <c r="D16" s="223" t="s">
        <v>163</v>
      </c>
      <c r="E16" s="224">
        <v>1.4860999999999999E-2</v>
      </c>
      <c r="F16" s="30"/>
      <c r="G16" s="30"/>
      <c r="H16" s="30"/>
      <c r="I16" s="30"/>
      <c r="J16" s="30"/>
      <c r="K16" s="30"/>
      <c r="L16" s="30"/>
      <c r="M16" s="30"/>
      <c r="N16" s="30"/>
      <c r="O16" s="30"/>
      <c r="P16" s="30"/>
      <c r="Q16" s="30"/>
      <c r="R16" s="30"/>
      <c r="S16" s="30"/>
      <c r="T16" s="23"/>
      <c r="W16" s="70" t="s">
        <v>135</v>
      </c>
      <c r="X16" s="72">
        <v>3.4158000000000001E-2</v>
      </c>
    </row>
    <row r="17" spans="2:24" ht="15" customHeight="1" x14ac:dyDescent="0.25">
      <c r="B17" s="91"/>
      <c r="C17" s="210" t="s">
        <v>125</v>
      </c>
      <c r="D17" s="223" t="s">
        <v>94</v>
      </c>
      <c r="E17" s="224">
        <v>1.4624E-2</v>
      </c>
      <c r="F17" s="30"/>
      <c r="G17" s="30"/>
      <c r="H17" s="30"/>
      <c r="I17" s="30"/>
      <c r="J17" s="30"/>
      <c r="K17" s="30"/>
      <c r="L17" s="30"/>
      <c r="M17" s="30"/>
      <c r="N17" s="30"/>
      <c r="O17" s="30"/>
      <c r="P17" s="30"/>
      <c r="Q17" s="30"/>
      <c r="R17" s="30"/>
      <c r="S17" s="30"/>
      <c r="T17" s="23"/>
      <c r="W17" s="70" t="s">
        <v>130</v>
      </c>
      <c r="X17" s="72">
        <v>3.3269E-2</v>
      </c>
    </row>
    <row r="18" spans="2:24" ht="15" customHeight="1" x14ac:dyDescent="0.25">
      <c r="B18" s="91"/>
      <c r="C18" s="210" t="s">
        <v>282</v>
      </c>
      <c r="D18" s="223" t="s">
        <v>4</v>
      </c>
      <c r="E18" s="224">
        <v>1.4617E-2</v>
      </c>
      <c r="F18" s="30"/>
      <c r="G18" s="30"/>
      <c r="H18" s="30"/>
      <c r="I18" s="30"/>
      <c r="J18" s="30"/>
      <c r="K18" s="30"/>
      <c r="L18" s="30"/>
      <c r="M18" s="30"/>
      <c r="N18" s="30"/>
      <c r="O18" s="30"/>
      <c r="P18" s="30"/>
      <c r="Q18" s="30"/>
      <c r="R18" s="30"/>
      <c r="S18" s="30"/>
      <c r="T18" s="23"/>
      <c r="W18" s="70" t="s">
        <v>137</v>
      </c>
      <c r="X18" s="72">
        <v>3.2304000000000006E-2</v>
      </c>
    </row>
    <row r="19" spans="2:24" ht="15" customHeight="1" x14ac:dyDescent="0.25">
      <c r="B19" s="91"/>
      <c r="C19" s="210" t="s">
        <v>283</v>
      </c>
      <c r="D19" s="223" t="s">
        <v>130</v>
      </c>
      <c r="E19" s="224">
        <v>1.4508999999999999E-2</v>
      </c>
      <c r="F19" s="30"/>
      <c r="G19" s="30"/>
      <c r="H19" s="30"/>
      <c r="I19" s="30"/>
      <c r="J19" s="30"/>
      <c r="K19" s="30"/>
      <c r="L19" s="30"/>
      <c r="M19" s="30"/>
      <c r="N19" s="30"/>
      <c r="O19" s="30"/>
      <c r="P19" s="30"/>
      <c r="Q19" s="30"/>
      <c r="R19" s="30"/>
      <c r="S19" s="30"/>
      <c r="T19" s="23"/>
      <c r="W19" s="70" t="s">
        <v>96</v>
      </c>
      <c r="X19" s="72">
        <v>3.0697000000000002E-2</v>
      </c>
    </row>
    <row r="20" spans="2:24" ht="15" customHeight="1" x14ac:dyDescent="0.25">
      <c r="B20" s="91"/>
      <c r="C20" s="210" t="s">
        <v>284</v>
      </c>
      <c r="D20" s="223" t="s">
        <v>146</v>
      </c>
      <c r="E20" s="224">
        <v>1.4069999999999999E-2</v>
      </c>
      <c r="F20" s="30"/>
      <c r="G20" s="30"/>
      <c r="H20" s="30"/>
      <c r="I20" s="30"/>
      <c r="J20" s="30"/>
      <c r="K20" s="30"/>
      <c r="L20" s="30"/>
      <c r="M20" s="30"/>
      <c r="N20" s="30"/>
      <c r="O20" s="30"/>
      <c r="P20" s="30"/>
      <c r="Q20" s="30"/>
      <c r="R20" s="30"/>
      <c r="S20" s="30"/>
      <c r="T20" s="23"/>
      <c r="W20" s="70" t="s">
        <v>146</v>
      </c>
      <c r="X20" s="72">
        <v>2.7312999999999997E-2</v>
      </c>
    </row>
    <row r="21" spans="2:24" ht="15" customHeight="1" x14ac:dyDescent="0.25">
      <c r="B21" s="91"/>
      <c r="C21" s="210" t="s">
        <v>110</v>
      </c>
      <c r="D21" s="223" t="s">
        <v>24</v>
      </c>
      <c r="E21" s="224">
        <v>1.3845E-2</v>
      </c>
      <c r="F21" s="30"/>
      <c r="G21" s="30"/>
      <c r="H21" s="30"/>
      <c r="I21" s="30"/>
      <c r="J21" s="30"/>
      <c r="K21" s="30"/>
      <c r="L21" s="30"/>
      <c r="M21" s="30"/>
      <c r="N21" s="30"/>
      <c r="O21" s="30"/>
      <c r="P21" s="30"/>
      <c r="Q21" s="30"/>
      <c r="R21" s="30"/>
      <c r="S21" s="30"/>
      <c r="T21" s="23"/>
      <c r="W21" s="70" t="s">
        <v>11</v>
      </c>
      <c r="X21" s="72">
        <v>2.5301999999999998E-2</v>
      </c>
    </row>
    <row r="22" spans="2:24" ht="15" customHeight="1" x14ac:dyDescent="0.25">
      <c r="B22" s="91"/>
      <c r="C22" s="210" t="s">
        <v>232</v>
      </c>
      <c r="D22" s="223" t="s">
        <v>24</v>
      </c>
      <c r="E22" s="224">
        <v>1.3638000000000001E-2</v>
      </c>
      <c r="F22" s="30"/>
      <c r="G22" s="30"/>
      <c r="H22" s="30"/>
      <c r="I22" s="30"/>
      <c r="J22" s="30"/>
      <c r="K22" s="30"/>
      <c r="L22" s="30"/>
      <c r="M22" s="30"/>
      <c r="N22" s="30"/>
      <c r="O22" s="30"/>
      <c r="P22" s="30"/>
      <c r="Q22" s="30"/>
      <c r="R22" s="30"/>
      <c r="S22" s="30"/>
      <c r="T22" s="23"/>
      <c r="W22" s="70" t="s">
        <v>139</v>
      </c>
      <c r="X22" s="72">
        <v>2.2989999999999997E-2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70" t="s">
        <v>94</v>
      </c>
      <c r="X23" s="72">
        <v>2.2689000000000001E-2</v>
      </c>
    </row>
    <row r="24" spans="2:24" ht="15" customHeight="1" x14ac:dyDescent="0.25">
      <c r="B24" s="91"/>
      <c r="C24" s="85" t="s">
        <v>55</v>
      </c>
      <c r="D24" s="86"/>
      <c r="E24" s="87">
        <f>SUM(E8:E22)</f>
        <v>0.25322999999999996</v>
      </c>
      <c r="F24" s="30"/>
      <c r="G24" s="30"/>
      <c r="H24" s="30"/>
      <c r="I24" s="30"/>
      <c r="J24" s="30"/>
      <c r="K24" s="30"/>
      <c r="L24" s="30"/>
      <c r="M24" s="30"/>
      <c r="N24" s="30"/>
      <c r="O24" s="30"/>
      <c r="P24" s="30"/>
      <c r="Q24" s="30"/>
      <c r="R24" s="30"/>
      <c r="S24" s="30"/>
      <c r="T24" s="23"/>
      <c r="W24" s="70" t="s">
        <v>95</v>
      </c>
      <c r="X24" s="72">
        <v>2.1572000000000001E-2</v>
      </c>
    </row>
    <row r="25" spans="2:24" ht="15" customHeight="1" x14ac:dyDescent="0.25">
      <c r="B25" s="91"/>
      <c r="F25" s="30"/>
      <c r="G25" s="30"/>
      <c r="H25" s="30"/>
      <c r="I25" s="30"/>
      <c r="J25" s="30"/>
      <c r="K25" s="30"/>
      <c r="L25" s="30"/>
      <c r="M25" s="30"/>
      <c r="N25" s="30"/>
      <c r="O25" s="30"/>
      <c r="P25" s="30"/>
      <c r="Q25" s="30"/>
      <c r="R25" s="30"/>
      <c r="S25" s="30"/>
      <c r="T25" s="23"/>
      <c r="W25" s="70" t="s">
        <v>131</v>
      </c>
      <c r="X25" s="72">
        <v>2.0804000000000003E-2</v>
      </c>
    </row>
    <row r="26" spans="2:24" ht="15" customHeight="1" x14ac:dyDescent="0.25">
      <c r="B26" s="91"/>
      <c r="F26" s="30"/>
      <c r="G26" s="30"/>
      <c r="H26" s="30"/>
      <c r="I26" s="30"/>
      <c r="J26" s="30"/>
      <c r="K26" s="30"/>
      <c r="L26" s="30"/>
      <c r="M26" s="30"/>
      <c r="N26" s="30"/>
      <c r="O26" s="30"/>
      <c r="P26" s="30"/>
      <c r="Q26" s="30"/>
      <c r="R26" s="30"/>
      <c r="S26" s="30"/>
      <c r="T26" s="23"/>
      <c r="W26" s="70" t="s">
        <v>138</v>
      </c>
      <c r="X26" s="72">
        <v>1.8641999999999999E-2</v>
      </c>
    </row>
    <row r="27" spans="2:24" ht="15" customHeight="1" x14ac:dyDescent="0.25">
      <c r="B27" s="91"/>
      <c r="F27" s="30"/>
      <c r="G27" s="30"/>
      <c r="H27" s="30"/>
      <c r="I27" s="30"/>
      <c r="J27" s="30"/>
      <c r="K27" s="30"/>
      <c r="L27" s="30"/>
      <c r="M27" s="30"/>
      <c r="N27" s="30"/>
      <c r="O27" s="30"/>
      <c r="P27" s="30"/>
      <c r="Q27" s="30"/>
      <c r="R27" s="30"/>
      <c r="S27" s="30"/>
      <c r="T27" s="23"/>
      <c r="W27" s="70" t="s">
        <v>129</v>
      </c>
      <c r="X27" s="72">
        <v>1.805E-2</v>
      </c>
    </row>
    <row r="28" spans="2:24" ht="15" customHeight="1" x14ac:dyDescent="0.25">
      <c r="B28" s="91"/>
      <c r="F28" s="30"/>
      <c r="G28" s="30"/>
      <c r="H28" s="30"/>
      <c r="I28" s="30"/>
      <c r="J28" s="30"/>
      <c r="K28" s="30"/>
      <c r="L28" s="30"/>
      <c r="M28" s="30"/>
      <c r="N28" s="30"/>
      <c r="O28" s="30"/>
      <c r="P28" s="30"/>
      <c r="Q28" s="30"/>
      <c r="R28" s="30"/>
      <c r="S28" s="30"/>
      <c r="T28" s="23"/>
      <c r="W28" s="70" t="s">
        <v>150</v>
      </c>
      <c r="X28" s="72">
        <v>1.6188000000000001E-2</v>
      </c>
    </row>
    <row r="29" spans="2:24" ht="15" customHeight="1" x14ac:dyDescent="0.25">
      <c r="B29" s="91"/>
      <c r="F29" s="30"/>
      <c r="G29" s="30"/>
      <c r="H29" s="30"/>
      <c r="I29" s="30"/>
      <c r="J29" s="30"/>
      <c r="K29" s="30"/>
      <c r="L29" s="30"/>
      <c r="M29" s="30"/>
      <c r="N29" s="30"/>
      <c r="O29" s="30"/>
      <c r="P29" s="30"/>
      <c r="Q29" s="30"/>
      <c r="R29" s="30"/>
      <c r="S29" s="30"/>
      <c r="T29" s="23"/>
      <c r="W29" s="70" t="s">
        <v>163</v>
      </c>
      <c r="X29" s="72">
        <v>1.4860999999999999E-2</v>
      </c>
    </row>
    <row r="30" spans="2:24" ht="15" customHeight="1" x14ac:dyDescent="0.25">
      <c r="B30" s="91"/>
      <c r="F30" s="30"/>
      <c r="G30" s="30"/>
      <c r="H30" s="30"/>
      <c r="I30" s="30"/>
      <c r="J30" s="30"/>
      <c r="K30" s="30"/>
      <c r="L30" s="30"/>
      <c r="M30" s="30"/>
      <c r="N30" s="30"/>
      <c r="O30" s="30"/>
      <c r="P30" s="30"/>
      <c r="Q30" s="30"/>
      <c r="R30" s="30"/>
      <c r="S30" s="30"/>
      <c r="T30" s="23"/>
      <c r="W30" s="70" t="s">
        <v>26</v>
      </c>
      <c r="X30" s="72">
        <v>1.4735E-2</v>
      </c>
    </row>
    <row r="31" spans="2:24" ht="15" customHeight="1" x14ac:dyDescent="0.25">
      <c r="B31" s="91"/>
      <c r="F31" s="30"/>
      <c r="G31" s="30"/>
      <c r="H31" s="30"/>
      <c r="I31" s="30"/>
      <c r="J31" s="30"/>
      <c r="K31" s="30"/>
      <c r="L31" s="30"/>
      <c r="M31" s="30"/>
      <c r="N31" s="30"/>
      <c r="O31" s="30"/>
      <c r="P31" s="30"/>
      <c r="Q31" s="30"/>
      <c r="R31" s="30"/>
      <c r="S31" s="30"/>
      <c r="T31" s="23"/>
      <c r="W31" s="70" t="s">
        <v>147</v>
      </c>
      <c r="X31" s="72">
        <v>1.3590999999999999E-2</v>
      </c>
    </row>
    <row r="32" spans="2:24" ht="15" customHeight="1" x14ac:dyDescent="0.25">
      <c r="B32" s="91"/>
      <c r="F32" s="30"/>
      <c r="G32" s="30"/>
      <c r="H32" s="30"/>
      <c r="I32" s="30"/>
      <c r="J32" s="30"/>
      <c r="K32" s="30"/>
      <c r="L32" s="30"/>
      <c r="M32" s="30"/>
      <c r="N32" s="30"/>
      <c r="O32" s="30"/>
      <c r="P32" s="30"/>
      <c r="Q32" s="30"/>
      <c r="R32" s="30"/>
      <c r="S32" s="30"/>
      <c r="T32" s="23"/>
      <c r="W32" s="70" t="s">
        <v>148</v>
      </c>
      <c r="X32" s="72">
        <v>1.2104E-2</v>
      </c>
    </row>
    <row r="33" spans="2:24" ht="15.75" customHeight="1" x14ac:dyDescent="0.25">
      <c r="B33" s="91"/>
      <c r="F33" s="30"/>
      <c r="G33" s="30"/>
      <c r="H33" s="30"/>
      <c r="I33" s="30"/>
      <c r="J33" s="30"/>
      <c r="K33" s="30"/>
      <c r="L33" s="30"/>
      <c r="M33" s="30"/>
      <c r="N33" s="30"/>
      <c r="O33" s="30"/>
      <c r="P33" s="30"/>
      <c r="Q33" s="30"/>
      <c r="R33" s="30"/>
      <c r="S33" s="30"/>
      <c r="T33" s="23"/>
      <c r="W33" s="70" t="s">
        <v>15</v>
      </c>
      <c r="X33" s="72">
        <v>8.3199999999999993E-3</v>
      </c>
    </row>
    <row r="34" spans="2:24" ht="15.75" customHeight="1" x14ac:dyDescent="0.25">
      <c r="B34" s="91"/>
      <c r="F34" s="30"/>
      <c r="G34" s="30"/>
      <c r="H34" s="30"/>
      <c r="I34" s="30"/>
      <c r="J34" s="30"/>
      <c r="K34" s="30"/>
      <c r="L34" s="30"/>
      <c r="M34" s="30"/>
      <c r="N34" s="30"/>
      <c r="O34" s="30"/>
      <c r="P34" s="30"/>
      <c r="Q34" s="30"/>
      <c r="R34" s="30"/>
      <c r="S34" s="30"/>
      <c r="T34" s="23"/>
      <c r="W34" s="70" t="s">
        <v>23</v>
      </c>
      <c r="X34" s="72">
        <v>7.5360000000000002E-3</v>
      </c>
    </row>
    <row r="35" spans="2:24" ht="15.75" customHeight="1" x14ac:dyDescent="0.25">
      <c r="B35" s="91"/>
      <c r="F35" s="30"/>
      <c r="G35" s="30"/>
      <c r="H35" s="30"/>
      <c r="I35" s="30"/>
      <c r="J35" s="30"/>
      <c r="K35" s="30"/>
      <c r="L35" s="30"/>
      <c r="M35" s="30"/>
      <c r="N35" s="30"/>
      <c r="O35" s="30"/>
      <c r="P35" s="30"/>
      <c r="Q35" s="30"/>
      <c r="R35" s="30"/>
      <c r="S35" s="30"/>
      <c r="T35" s="23"/>
      <c r="W35" s="70" t="s">
        <v>98</v>
      </c>
      <c r="X35" s="72">
        <v>7.254E-3</v>
      </c>
    </row>
    <row r="36" spans="2:24" ht="15.75" customHeight="1" x14ac:dyDescent="0.25">
      <c r="B36" s="91"/>
      <c r="F36" s="30"/>
      <c r="G36" s="30"/>
      <c r="H36" s="30"/>
      <c r="I36" s="30"/>
      <c r="J36" s="30"/>
      <c r="K36" s="30"/>
      <c r="L36" s="30"/>
      <c r="M36" s="30"/>
      <c r="N36" s="30"/>
      <c r="O36" s="30"/>
      <c r="P36" s="30"/>
      <c r="Q36" s="30"/>
      <c r="R36" s="30"/>
      <c r="S36" s="30"/>
      <c r="T36" s="23"/>
      <c r="W36" s="70" t="s">
        <v>25</v>
      </c>
      <c r="X36" s="72">
        <v>6.6020000000000002E-3</v>
      </c>
    </row>
    <row r="37" spans="2:24" ht="15.75" customHeight="1" x14ac:dyDescent="0.25">
      <c r="B37" s="91"/>
      <c r="F37" s="30"/>
      <c r="G37" s="30"/>
      <c r="H37" s="30"/>
      <c r="I37" s="30"/>
      <c r="J37" s="30"/>
      <c r="K37" s="30"/>
      <c r="L37" s="30"/>
      <c r="M37" s="30"/>
      <c r="N37" s="30"/>
      <c r="O37" s="30"/>
      <c r="P37" s="30"/>
      <c r="Q37" s="30"/>
      <c r="R37" s="30"/>
      <c r="S37" s="30"/>
      <c r="T37" s="23"/>
      <c r="W37" s="70" t="s">
        <v>6</v>
      </c>
      <c r="X37" s="72">
        <v>6.5009999999999998E-3</v>
      </c>
    </row>
    <row r="38" spans="2:24" ht="15" customHeight="1" thickBot="1" x14ac:dyDescent="0.3">
      <c r="B38" s="92"/>
      <c r="C38" s="93"/>
      <c r="D38" s="93"/>
      <c r="E38" s="93"/>
      <c r="F38" s="93"/>
      <c r="G38" s="93"/>
      <c r="H38" s="93"/>
      <c r="I38" s="93"/>
      <c r="J38" s="93"/>
      <c r="K38" s="93"/>
      <c r="L38" s="93"/>
      <c r="M38" s="93"/>
      <c r="N38" s="93"/>
      <c r="O38" s="93"/>
      <c r="P38" s="93"/>
      <c r="Q38" s="93"/>
      <c r="R38" s="93"/>
      <c r="S38" s="93"/>
      <c r="T38" s="24"/>
      <c r="W38" s="42" t="s">
        <v>155</v>
      </c>
      <c r="X38" s="72">
        <v>5.7099999999999998E-3</v>
      </c>
    </row>
    <row r="39" spans="2:24" ht="15" customHeight="1" thickBot="1" x14ac:dyDescent="0.3">
      <c r="W39" s="42" t="s">
        <v>136</v>
      </c>
      <c r="X39" s="172">
        <v>5.1659999999999996E-3</v>
      </c>
    </row>
    <row r="40" spans="2:24" ht="15" customHeight="1" x14ac:dyDescent="0.25">
      <c r="B40" s="245" t="s">
        <v>234</v>
      </c>
      <c r="C40" s="246"/>
      <c r="D40" s="246"/>
      <c r="E40" s="246"/>
      <c r="F40" s="246"/>
      <c r="G40" s="246"/>
      <c r="H40" s="246"/>
      <c r="I40" s="246"/>
      <c r="J40" s="246"/>
      <c r="K40" s="246"/>
      <c r="L40" s="246"/>
      <c r="M40" s="246"/>
      <c r="N40" s="246"/>
      <c r="O40" s="246"/>
      <c r="P40" s="246"/>
      <c r="Q40" s="246"/>
      <c r="R40" s="247"/>
      <c r="W40" s="42" t="s">
        <v>152</v>
      </c>
      <c r="X40" s="172">
        <v>4.6379999999999998E-3</v>
      </c>
    </row>
    <row r="41" spans="2:24" ht="15" customHeight="1" x14ac:dyDescent="0.25">
      <c r="B41" s="248"/>
      <c r="C41" s="249"/>
      <c r="D41" s="249"/>
      <c r="E41" s="249"/>
      <c r="F41" s="249"/>
      <c r="G41" s="249"/>
      <c r="H41" s="249"/>
      <c r="I41" s="249"/>
      <c r="J41" s="249"/>
      <c r="K41" s="249"/>
      <c r="L41" s="249"/>
      <c r="M41" s="249"/>
      <c r="N41" s="249"/>
      <c r="O41" s="249"/>
      <c r="P41" s="249"/>
      <c r="Q41" s="249"/>
      <c r="R41" s="250"/>
      <c r="W41" s="42" t="s">
        <v>245</v>
      </c>
      <c r="X41" s="172">
        <v>4.5430000000000002E-3</v>
      </c>
    </row>
    <row r="42" spans="2:24" ht="15" customHeight="1" x14ac:dyDescent="0.25">
      <c r="B42" s="248"/>
      <c r="C42" s="249"/>
      <c r="D42" s="249"/>
      <c r="E42" s="249"/>
      <c r="F42" s="249"/>
      <c r="G42" s="249"/>
      <c r="H42" s="249"/>
      <c r="I42" s="249"/>
      <c r="J42" s="249"/>
      <c r="K42" s="249"/>
      <c r="L42" s="249"/>
      <c r="M42" s="249"/>
      <c r="N42" s="249"/>
      <c r="O42" s="249"/>
      <c r="P42" s="249"/>
      <c r="Q42" s="249"/>
      <c r="R42" s="250"/>
      <c r="W42" s="42" t="s">
        <v>260</v>
      </c>
      <c r="X42" s="172">
        <v>4.0080000000000003E-3</v>
      </c>
    </row>
    <row r="43" spans="2:24" ht="15" customHeight="1" x14ac:dyDescent="0.25">
      <c r="B43" s="248"/>
      <c r="C43" s="249"/>
      <c r="D43" s="249"/>
      <c r="E43" s="249"/>
      <c r="F43" s="249"/>
      <c r="G43" s="249"/>
      <c r="H43" s="249"/>
      <c r="I43" s="249"/>
      <c r="J43" s="249"/>
      <c r="K43" s="249"/>
      <c r="L43" s="249"/>
      <c r="M43" s="249"/>
      <c r="N43" s="249"/>
      <c r="O43" s="249"/>
      <c r="P43" s="249"/>
      <c r="Q43" s="249"/>
      <c r="R43" s="250"/>
      <c r="W43" s="42" t="s">
        <v>142</v>
      </c>
      <c r="X43" s="172">
        <v>9.4200000000000002E-4</v>
      </c>
    </row>
    <row r="44" spans="2:24" ht="15" customHeight="1" x14ac:dyDescent="0.25">
      <c r="B44" s="248"/>
      <c r="C44" s="249"/>
      <c r="D44" s="249"/>
      <c r="E44" s="249"/>
      <c r="F44" s="249"/>
      <c r="G44" s="249"/>
      <c r="H44" s="249"/>
      <c r="I44" s="249"/>
      <c r="J44" s="249"/>
      <c r="K44" s="249"/>
      <c r="L44" s="249"/>
      <c r="M44" s="249"/>
      <c r="N44" s="249"/>
      <c r="O44" s="249"/>
      <c r="P44" s="249"/>
      <c r="Q44" s="249"/>
      <c r="R44" s="250"/>
      <c r="W44" s="42" t="s">
        <v>10</v>
      </c>
      <c r="X44" s="172">
        <v>7.4600000000000003E-4</v>
      </c>
    </row>
    <row r="45" spans="2:24" ht="15" customHeight="1" x14ac:dyDescent="0.25">
      <c r="B45" s="248"/>
      <c r="C45" s="249"/>
      <c r="D45" s="249"/>
      <c r="E45" s="249"/>
      <c r="F45" s="249"/>
      <c r="G45" s="249"/>
      <c r="H45" s="249"/>
      <c r="I45" s="249"/>
      <c r="J45" s="249"/>
      <c r="K45" s="249"/>
      <c r="L45" s="249"/>
      <c r="M45" s="249"/>
      <c r="N45" s="249"/>
      <c r="O45" s="249"/>
      <c r="P45" s="249"/>
      <c r="Q45" s="249"/>
      <c r="R45" s="250"/>
      <c r="X45" s="172"/>
    </row>
    <row r="46" spans="2:24" ht="15" customHeight="1" thickBot="1" x14ac:dyDescent="0.3">
      <c r="B46" s="251"/>
      <c r="C46" s="252"/>
      <c r="D46" s="252"/>
      <c r="E46" s="252"/>
      <c r="F46" s="252"/>
      <c r="G46" s="252"/>
      <c r="H46" s="252"/>
      <c r="I46" s="252"/>
      <c r="J46" s="252"/>
      <c r="K46" s="252"/>
      <c r="L46" s="252"/>
      <c r="M46" s="252"/>
      <c r="N46" s="252"/>
      <c r="O46" s="252"/>
      <c r="P46" s="252"/>
      <c r="Q46" s="252"/>
      <c r="R46" s="25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election activeCell="X8" sqref="X8:X22"/>
    </sheetView>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209</v>
      </c>
      <c r="D3" s="255"/>
      <c r="E3" s="255"/>
      <c r="F3" s="255"/>
      <c r="G3" s="255"/>
      <c r="H3" s="255"/>
      <c r="I3" s="255"/>
      <c r="J3" s="255"/>
      <c r="K3" s="255"/>
      <c r="L3" s="255"/>
      <c r="M3" s="255"/>
      <c r="N3" s="255"/>
      <c r="O3" s="255"/>
      <c r="P3" s="255"/>
      <c r="Q3" s="255"/>
      <c r="R3" s="255"/>
      <c r="S3" s="255"/>
      <c r="T3" s="23"/>
    </row>
    <row r="4" spans="1:24" ht="15.75" customHeight="1" x14ac:dyDescent="0.25">
      <c r="B4" s="91"/>
      <c r="C4" s="78" t="s">
        <v>313</v>
      </c>
      <c r="D4" s="30"/>
      <c r="E4" s="30"/>
      <c r="F4" s="30"/>
      <c r="G4" s="30"/>
      <c r="H4" s="30"/>
      <c r="I4" s="30"/>
      <c r="J4" s="30"/>
      <c r="K4" s="30"/>
      <c r="L4" s="30"/>
      <c r="M4" s="30"/>
      <c r="N4" s="30"/>
      <c r="O4" s="30"/>
      <c r="P4" s="30"/>
      <c r="Q4" s="30"/>
      <c r="R4" s="30"/>
      <c r="S4" s="30"/>
      <c r="T4" s="23"/>
    </row>
    <row r="5" spans="1:24" ht="18" customHeight="1" x14ac:dyDescent="0.25">
      <c r="B5" s="91"/>
      <c r="C5" s="79" t="s">
        <v>314</v>
      </c>
      <c r="D5" s="256" t="s">
        <v>286</v>
      </c>
      <c r="E5" s="256"/>
      <c r="F5" s="167"/>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168" t="s">
        <v>0</v>
      </c>
      <c r="D7" s="169" t="s">
        <v>1</v>
      </c>
      <c r="E7" s="168" t="s">
        <v>2</v>
      </c>
      <c r="F7" s="30"/>
      <c r="G7" s="30"/>
      <c r="H7" s="30"/>
      <c r="I7" s="30"/>
      <c r="J7" s="30"/>
      <c r="K7" s="30"/>
      <c r="L7" s="30"/>
      <c r="M7" s="30"/>
      <c r="N7" s="30"/>
      <c r="O7" s="30"/>
      <c r="P7" s="30"/>
      <c r="Q7" s="30"/>
      <c r="R7" s="30"/>
      <c r="S7" s="30"/>
      <c r="T7" s="23"/>
      <c r="W7" s="42" t="s">
        <v>22</v>
      </c>
      <c r="X7" s="42" t="s">
        <v>2</v>
      </c>
    </row>
    <row r="8" spans="1:24" ht="15" customHeight="1" x14ac:dyDescent="0.25">
      <c r="B8" s="91"/>
      <c r="C8" s="210" t="s">
        <v>34</v>
      </c>
      <c r="D8" s="223" t="s">
        <v>23</v>
      </c>
      <c r="E8" s="232">
        <v>8.4150000000000003E-2</v>
      </c>
      <c r="F8" s="30"/>
      <c r="G8" s="30"/>
      <c r="H8" s="30"/>
      <c r="I8" s="30"/>
      <c r="J8" s="30"/>
      <c r="K8" s="30"/>
      <c r="L8" s="30"/>
      <c r="M8" s="30"/>
      <c r="N8" s="30"/>
      <c r="O8" s="30"/>
      <c r="P8" s="30"/>
      <c r="Q8" s="30"/>
      <c r="R8" s="30"/>
      <c r="S8" s="30"/>
      <c r="T8" s="23"/>
      <c r="W8" s="70" t="s">
        <v>23</v>
      </c>
      <c r="X8" s="72">
        <v>0.29233500000000001</v>
      </c>
    </row>
    <row r="9" spans="1:24" ht="15.75" customHeight="1" x14ac:dyDescent="0.25">
      <c r="B9" s="91"/>
      <c r="C9" s="210" t="s">
        <v>66</v>
      </c>
      <c r="D9" s="223" t="s">
        <v>94</v>
      </c>
      <c r="E9" s="232">
        <v>6.8386000000000002E-2</v>
      </c>
      <c r="F9" s="30"/>
      <c r="G9" s="30"/>
      <c r="H9" s="30"/>
      <c r="I9" s="30"/>
      <c r="J9" s="30"/>
      <c r="K9" s="30"/>
      <c r="L9" s="30"/>
      <c r="M9" s="30"/>
      <c r="N9" s="30"/>
      <c r="O9" s="30"/>
      <c r="P9" s="30"/>
      <c r="Q9" s="30"/>
      <c r="R9" s="30"/>
      <c r="S9" s="30"/>
      <c r="T9" s="23"/>
      <c r="W9" s="70" t="s">
        <v>94</v>
      </c>
      <c r="X9" s="72">
        <v>0.123109</v>
      </c>
    </row>
    <row r="10" spans="1:24" ht="15" customHeight="1" x14ac:dyDescent="0.25">
      <c r="B10" s="91"/>
      <c r="C10" s="210" t="s">
        <v>232</v>
      </c>
      <c r="D10" s="223" t="s">
        <v>24</v>
      </c>
      <c r="E10" s="232">
        <v>5.1572E-2</v>
      </c>
      <c r="F10" s="30"/>
      <c r="G10" s="30"/>
      <c r="H10" s="30"/>
      <c r="I10" s="30"/>
      <c r="J10" s="30"/>
      <c r="K10" s="30"/>
      <c r="L10" s="30"/>
      <c r="M10" s="30"/>
      <c r="N10" s="30"/>
      <c r="O10" s="30"/>
      <c r="P10" s="30"/>
      <c r="Q10" s="30"/>
      <c r="R10" s="30"/>
      <c r="S10" s="30"/>
      <c r="T10" s="23"/>
      <c r="W10" s="70" t="s">
        <v>24</v>
      </c>
      <c r="X10" s="72">
        <v>8.9804000000000009E-2</v>
      </c>
    </row>
    <row r="11" spans="1:24" ht="15" customHeight="1" x14ac:dyDescent="0.25">
      <c r="B11" s="91"/>
      <c r="C11" s="210" t="s">
        <v>113</v>
      </c>
      <c r="D11" s="223" t="s">
        <v>143</v>
      </c>
      <c r="E11" s="232">
        <v>4.8278000000000001E-2</v>
      </c>
      <c r="F11" s="30"/>
      <c r="G11" s="30"/>
      <c r="H11" s="30"/>
      <c r="I11" s="30"/>
      <c r="J11" s="30"/>
      <c r="K11" s="30"/>
      <c r="L11" s="30"/>
      <c r="M11" s="30"/>
      <c r="N11" s="30"/>
      <c r="O11" s="30"/>
      <c r="P11" s="30"/>
      <c r="Q11" s="30"/>
      <c r="R11" s="30"/>
      <c r="S11" s="30"/>
      <c r="T11" s="23"/>
      <c r="W11" s="70" t="s">
        <v>143</v>
      </c>
      <c r="X11" s="72">
        <v>8.940300000000001E-2</v>
      </c>
    </row>
    <row r="12" spans="1:24" ht="15" customHeight="1" x14ac:dyDescent="0.25">
      <c r="B12" s="91"/>
      <c r="C12" s="210" t="s">
        <v>75</v>
      </c>
      <c r="D12" s="223" t="s">
        <v>12</v>
      </c>
      <c r="E12" s="232">
        <v>4.7480999999999995E-2</v>
      </c>
      <c r="F12" s="30"/>
      <c r="G12" s="30"/>
      <c r="H12" s="30"/>
      <c r="I12" s="30"/>
      <c r="J12" s="30"/>
      <c r="K12" s="30"/>
      <c r="L12" s="30"/>
      <c r="M12" s="30"/>
      <c r="N12" s="30"/>
      <c r="O12" s="30"/>
      <c r="P12" s="30"/>
      <c r="Q12" s="30"/>
      <c r="R12" s="30"/>
      <c r="S12" s="30"/>
      <c r="T12" s="23"/>
      <c r="W12" s="70" t="s">
        <v>10</v>
      </c>
      <c r="X12" s="72">
        <v>7.1757000000000001E-2</v>
      </c>
    </row>
    <row r="13" spans="1:24" ht="15" customHeight="1" x14ac:dyDescent="0.25">
      <c r="B13" s="91"/>
      <c r="C13" s="210" t="s">
        <v>153</v>
      </c>
      <c r="D13" s="223" t="s">
        <v>98</v>
      </c>
      <c r="E13" s="232">
        <v>4.6213999999999998E-2</v>
      </c>
      <c r="F13" s="30"/>
      <c r="G13" s="30"/>
      <c r="H13" s="30"/>
      <c r="I13" s="30"/>
      <c r="J13" s="30"/>
      <c r="K13" s="30"/>
      <c r="L13" s="30"/>
      <c r="M13" s="30"/>
      <c r="N13" s="30"/>
      <c r="O13" s="30"/>
      <c r="P13" s="30"/>
      <c r="Q13" s="30"/>
      <c r="R13" s="30"/>
      <c r="S13" s="30"/>
      <c r="T13" s="23"/>
      <c r="W13" s="70" t="s">
        <v>148</v>
      </c>
      <c r="X13" s="72">
        <v>6.2898999999999997E-2</v>
      </c>
    </row>
    <row r="14" spans="1:24" ht="15" customHeight="1" x14ac:dyDescent="0.25">
      <c r="B14" s="91"/>
      <c r="C14" s="210" t="s">
        <v>74</v>
      </c>
      <c r="D14" s="223" t="s">
        <v>94</v>
      </c>
      <c r="E14" s="232">
        <v>4.1574E-2</v>
      </c>
      <c r="F14" s="30"/>
      <c r="G14" s="30"/>
      <c r="H14" s="30"/>
      <c r="I14" s="30"/>
      <c r="J14" s="30"/>
      <c r="K14" s="30"/>
      <c r="L14" s="30"/>
      <c r="M14" s="30"/>
      <c r="N14" s="30"/>
      <c r="O14" s="30"/>
      <c r="P14" s="30"/>
      <c r="Q14" s="30"/>
      <c r="R14" s="30"/>
      <c r="S14" s="30"/>
      <c r="T14" s="23"/>
      <c r="W14" s="70" t="s">
        <v>12</v>
      </c>
      <c r="X14" s="72">
        <v>4.7480999999999995E-2</v>
      </c>
    </row>
    <row r="15" spans="1:24" ht="15" customHeight="1" x14ac:dyDescent="0.25">
      <c r="B15" s="91"/>
      <c r="C15" s="210" t="s">
        <v>114</v>
      </c>
      <c r="D15" s="223" t="s">
        <v>143</v>
      </c>
      <c r="E15" s="232">
        <v>4.1125000000000002E-2</v>
      </c>
      <c r="F15" s="30"/>
      <c r="G15" s="30"/>
      <c r="H15" s="30"/>
      <c r="I15" s="30"/>
      <c r="J15" s="30"/>
      <c r="K15" s="30"/>
      <c r="L15" s="30"/>
      <c r="M15" s="30"/>
      <c r="N15" s="30"/>
      <c r="O15" s="30"/>
      <c r="P15" s="30"/>
      <c r="Q15" s="30"/>
      <c r="R15" s="30"/>
      <c r="S15" s="30"/>
      <c r="T15" s="23"/>
      <c r="W15" s="70" t="s">
        <v>98</v>
      </c>
      <c r="X15" s="72">
        <v>4.6213999999999998E-2</v>
      </c>
    </row>
    <row r="16" spans="1:24" ht="15" customHeight="1" x14ac:dyDescent="0.25">
      <c r="B16" s="91"/>
      <c r="C16" s="210" t="s">
        <v>182</v>
      </c>
      <c r="D16" s="223" t="s">
        <v>23</v>
      </c>
      <c r="E16" s="232">
        <v>4.0777000000000001E-2</v>
      </c>
      <c r="F16" s="30"/>
      <c r="G16" s="30"/>
      <c r="H16" s="30"/>
      <c r="I16" s="30"/>
      <c r="J16" s="30"/>
      <c r="K16" s="30"/>
      <c r="L16" s="30"/>
      <c r="M16" s="30"/>
      <c r="N16" s="30"/>
      <c r="O16" s="30"/>
      <c r="P16" s="30"/>
      <c r="Q16" s="30"/>
      <c r="R16" s="30"/>
      <c r="S16" s="30"/>
      <c r="T16" s="23"/>
      <c r="W16" s="70" t="s">
        <v>25</v>
      </c>
      <c r="X16" s="72">
        <v>4.1398999999999998E-2</v>
      </c>
    </row>
    <row r="17" spans="2:24" ht="15" customHeight="1" x14ac:dyDescent="0.25">
      <c r="B17" s="91"/>
      <c r="C17" s="210" t="s">
        <v>77</v>
      </c>
      <c r="D17" s="223" t="s">
        <v>10</v>
      </c>
      <c r="E17" s="232">
        <v>3.7883E-2</v>
      </c>
      <c r="F17" s="30"/>
      <c r="G17" s="30"/>
      <c r="H17" s="30"/>
      <c r="I17" s="30"/>
      <c r="J17" s="30"/>
      <c r="K17" s="30"/>
      <c r="L17" s="30"/>
      <c r="M17" s="30"/>
      <c r="N17" s="30"/>
      <c r="O17" s="30"/>
      <c r="P17" s="30"/>
      <c r="Q17" s="30"/>
      <c r="R17" s="30"/>
      <c r="S17" s="30"/>
      <c r="T17" s="23"/>
      <c r="W17" s="70" t="s">
        <v>11</v>
      </c>
      <c r="X17" s="72">
        <v>3.9787000000000003E-2</v>
      </c>
    </row>
    <row r="18" spans="2:24" ht="15" customHeight="1" x14ac:dyDescent="0.25">
      <c r="B18" s="91"/>
      <c r="C18" s="210" t="s">
        <v>72</v>
      </c>
      <c r="D18" s="223" t="s">
        <v>148</v>
      </c>
      <c r="E18" s="232">
        <v>3.6799999999999999E-2</v>
      </c>
      <c r="F18" s="30"/>
      <c r="G18" s="30"/>
      <c r="H18" s="30"/>
      <c r="I18" s="30"/>
      <c r="J18" s="30"/>
      <c r="K18" s="30"/>
      <c r="L18" s="30"/>
      <c r="M18" s="30"/>
      <c r="N18" s="30"/>
      <c r="O18" s="30"/>
      <c r="P18" s="30"/>
      <c r="Q18" s="30"/>
      <c r="R18" s="30"/>
      <c r="S18" s="30"/>
      <c r="T18" s="23"/>
      <c r="W18" s="70" t="s">
        <v>137</v>
      </c>
      <c r="X18" s="72">
        <v>1.4704999999999999E-2</v>
      </c>
    </row>
    <row r="19" spans="2:24" ht="15" customHeight="1" x14ac:dyDescent="0.25">
      <c r="B19" s="91"/>
      <c r="C19" s="210" t="s">
        <v>177</v>
      </c>
      <c r="D19" s="223" t="s">
        <v>23</v>
      </c>
      <c r="E19" s="232">
        <v>3.5160999999999998E-2</v>
      </c>
      <c r="F19" s="30"/>
      <c r="G19" s="30"/>
      <c r="H19" s="30"/>
      <c r="I19" s="30"/>
      <c r="J19" s="30"/>
      <c r="K19" s="30"/>
      <c r="L19" s="30"/>
      <c r="M19" s="30"/>
      <c r="N19" s="30"/>
      <c r="O19" s="30"/>
      <c r="P19" s="30"/>
      <c r="Q19" s="30"/>
      <c r="R19" s="30"/>
      <c r="S19" s="30"/>
      <c r="T19" s="23"/>
      <c r="W19" s="70" t="s">
        <v>163</v>
      </c>
      <c r="X19" s="72">
        <v>9.7190000000000002E-3</v>
      </c>
    </row>
    <row r="20" spans="2:24" ht="15" customHeight="1" x14ac:dyDescent="0.25">
      <c r="B20" s="91"/>
      <c r="C20" s="210" t="s">
        <v>65</v>
      </c>
      <c r="D20" s="223" t="s">
        <v>23</v>
      </c>
      <c r="E20" s="232">
        <v>3.3392999999999999E-2</v>
      </c>
      <c r="F20" s="30"/>
      <c r="G20" s="30"/>
      <c r="H20" s="30"/>
      <c r="I20" s="30"/>
      <c r="J20" s="30"/>
      <c r="K20" s="30"/>
      <c r="L20" s="30"/>
      <c r="M20" s="30"/>
      <c r="N20" s="30"/>
      <c r="O20" s="30"/>
      <c r="P20" s="30"/>
      <c r="Q20" s="30"/>
      <c r="R20" s="30"/>
      <c r="S20" s="30"/>
      <c r="T20" s="23"/>
      <c r="W20" s="70" t="s">
        <v>149</v>
      </c>
      <c r="X20" s="72">
        <v>9.0379999999999992E-3</v>
      </c>
    </row>
    <row r="21" spans="2:24" ht="15" customHeight="1" x14ac:dyDescent="0.25">
      <c r="B21" s="91"/>
      <c r="C21" s="210" t="s">
        <v>83</v>
      </c>
      <c r="D21" s="223" t="s">
        <v>11</v>
      </c>
      <c r="E21" s="232">
        <v>3.2680000000000001E-2</v>
      </c>
      <c r="F21" s="30"/>
      <c r="G21" s="30"/>
      <c r="H21" s="30"/>
      <c r="I21" s="30"/>
      <c r="J21" s="30"/>
      <c r="K21" s="30"/>
      <c r="L21" s="30"/>
      <c r="M21" s="30"/>
      <c r="N21" s="30"/>
      <c r="O21" s="30"/>
      <c r="P21" s="30"/>
      <c r="Q21" s="30"/>
      <c r="R21" s="30"/>
      <c r="S21" s="30"/>
      <c r="T21" s="23"/>
      <c r="W21" s="70" t="s">
        <v>15</v>
      </c>
      <c r="X21" s="72">
        <v>8.4430000000000009E-3</v>
      </c>
    </row>
    <row r="22" spans="2:24" ht="15" customHeight="1" x14ac:dyDescent="0.25">
      <c r="B22" s="91"/>
      <c r="C22" s="210" t="s">
        <v>285</v>
      </c>
      <c r="D22" s="223" t="s">
        <v>23</v>
      </c>
      <c r="E22" s="232">
        <v>3.0047999999999998E-2</v>
      </c>
      <c r="F22" s="30"/>
      <c r="G22" s="30"/>
      <c r="H22" s="30"/>
      <c r="I22" s="30"/>
      <c r="J22" s="30"/>
      <c r="K22" s="30"/>
      <c r="L22" s="30"/>
      <c r="M22" s="30"/>
      <c r="N22" s="30"/>
      <c r="O22" s="30"/>
      <c r="P22" s="30"/>
      <c r="Q22" s="30"/>
      <c r="R22" s="30"/>
      <c r="S22" s="30"/>
      <c r="T22" s="23"/>
      <c r="W22" s="63" t="s">
        <v>147</v>
      </c>
      <c r="X22" s="64">
        <v>5.5170000000000002E-3</v>
      </c>
    </row>
    <row r="23" spans="2:24" ht="15" customHeight="1" x14ac:dyDescent="0.25">
      <c r="B23" s="91"/>
      <c r="C23" s="83"/>
      <c r="D23" s="83"/>
      <c r="E23" s="170"/>
      <c r="F23" s="30"/>
      <c r="G23" s="30"/>
      <c r="H23" s="30"/>
      <c r="I23" s="30"/>
      <c r="J23" s="30"/>
      <c r="K23" s="30"/>
      <c r="L23" s="30"/>
      <c r="M23" s="30"/>
      <c r="N23" s="30"/>
      <c r="O23" s="30"/>
      <c r="P23" s="30"/>
      <c r="Q23" s="30"/>
      <c r="R23" s="30"/>
      <c r="S23" s="30"/>
      <c r="T23" s="23"/>
      <c r="W23" s="63"/>
      <c r="X23" s="64"/>
    </row>
    <row r="24" spans="2:24" ht="15" customHeight="1" x14ac:dyDescent="0.25">
      <c r="B24" s="91"/>
      <c r="C24" s="85" t="s">
        <v>55</v>
      </c>
      <c r="D24" s="86"/>
      <c r="E24" s="87">
        <f>SUM(E8:E22)</f>
        <v>0.67552200000000007</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171"/>
      <c r="X27" s="172"/>
    </row>
    <row r="28" spans="2:24" ht="15" customHeight="1" x14ac:dyDescent="0.25">
      <c r="B28" s="91"/>
      <c r="F28" s="30"/>
      <c r="G28" s="30"/>
      <c r="H28" s="30"/>
      <c r="I28" s="30"/>
      <c r="J28" s="30"/>
      <c r="K28" s="30"/>
      <c r="L28" s="30"/>
      <c r="M28" s="30"/>
      <c r="N28" s="30"/>
      <c r="O28" s="30"/>
      <c r="P28" s="30"/>
      <c r="Q28" s="30"/>
      <c r="R28" s="30"/>
      <c r="S28" s="30"/>
      <c r="T28" s="23"/>
      <c r="W28" s="171"/>
      <c r="X28" s="172"/>
    </row>
    <row r="29" spans="2:24" ht="15" customHeight="1" x14ac:dyDescent="0.25">
      <c r="B29" s="91"/>
      <c r="F29" s="30"/>
      <c r="G29" s="30"/>
      <c r="H29" s="30"/>
      <c r="I29" s="30"/>
      <c r="J29" s="30"/>
      <c r="K29" s="30"/>
      <c r="L29" s="30"/>
      <c r="M29" s="30"/>
      <c r="N29" s="30"/>
      <c r="O29" s="30"/>
      <c r="P29" s="30"/>
      <c r="Q29" s="30"/>
      <c r="R29" s="30"/>
      <c r="S29" s="30"/>
      <c r="T29" s="23"/>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75" customHeight="1" x14ac:dyDescent="0.25">
      <c r="B32" s="91"/>
      <c r="F32" s="30"/>
      <c r="G32" s="30"/>
      <c r="H32" s="30"/>
      <c r="I32" s="30"/>
      <c r="J32" s="30"/>
      <c r="K32" s="30"/>
      <c r="L32" s="30"/>
      <c r="M32" s="30"/>
      <c r="N32" s="30"/>
      <c r="O32" s="30"/>
      <c r="P32" s="30"/>
      <c r="Q32" s="30"/>
      <c r="R32" s="30"/>
      <c r="S32" s="30"/>
      <c r="T32" s="23"/>
    </row>
    <row r="33" spans="2:20" ht="15" customHeight="1" x14ac:dyDescent="0.25">
      <c r="B33" s="91"/>
      <c r="F33" s="30"/>
      <c r="G33" s="30"/>
      <c r="H33" s="30"/>
      <c r="I33" s="30"/>
      <c r="J33" s="30"/>
      <c r="K33" s="30"/>
      <c r="L33" s="30"/>
      <c r="M33" s="30"/>
      <c r="N33" s="30"/>
      <c r="O33" s="30"/>
      <c r="P33" s="30"/>
      <c r="Q33" s="30"/>
      <c r="R33" s="30"/>
      <c r="S33" s="30"/>
      <c r="T33" s="23"/>
    </row>
    <row r="34" spans="2:20" ht="15" customHeight="1" thickBot="1" x14ac:dyDescent="0.3">
      <c r="B34" s="92"/>
      <c r="C34" s="93"/>
      <c r="D34" s="93"/>
      <c r="E34" s="93"/>
      <c r="F34" s="93"/>
      <c r="G34" s="93"/>
      <c r="H34" s="93"/>
      <c r="I34" s="93"/>
      <c r="J34" s="93"/>
      <c r="K34" s="93"/>
      <c r="L34" s="93"/>
      <c r="M34" s="93"/>
      <c r="N34" s="93"/>
      <c r="O34" s="93"/>
      <c r="P34" s="93"/>
      <c r="Q34" s="93"/>
      <c r="R34" s="93"/>
      <c r="S34" s="93"/>
      <c r="T34" s="24"/>
    </row>
    <row r="35" spans="2:20" ht="15" customHeight="1" thickBot="1" x14ac:dyDescent="0.3"/>
    <row r="36" spans="2:20" ht="15" customHeight="1" x14ac:dyDescent="0.25">
      <c r="B36" s="245" t="s">
        <v>234</v>
      </c>
      <c r="C36" s="246"/>
      <c r="D36" s="246"/>
      <c r="E36" s="246"/>
      <c r="F36" s="246"/>
      <c r="G36" s="246"/>
      <c r="H36" s="246"/>
      <c r="I36" s="246"/>
      <c r="J36" s="246"/>
      <c r="K36" s="246"/>
      <c r="L36" s="246"/>
      <c r="M36" s="246"/>
      <c r="N36" s="246"/>
      <c r="O36" s="246"/>
      <c r="P36" s="246"/>
      <c r="Q36" s="246"/>
      <c r="R36" s="247"/>
    </row>
    <row r="37" spans="2:20" ht="15" customHeight="1" x14ac:dyDescent="0.25">
      <c r="B37" s="248"/>
      <c r="C37" s="249"/>
      <c r="D37" s="249"/>
      <c r="E37" s="249"/>
      <c r="F37" s="249"/>
      <c r="G37" s="249"/>
      <c r="H37" s="249"/>
      <c r="I37" s="249"/>
      <c r="J37" s="249"/>
      <c r="K37" s="249"/>
      <c r="L37" s="249"/>
      <c r="M37" s="249"/>
      <c r="N37" s="249"/>
      <c r="O37" s="249"/>
      <c r="P37" s="249"/>
      <c r="Q37" s="249"/>
      <c r="R37" s="250"/>
    </row>
    <row r="38" spans="2:20" ht="15" customHeight="1" x14ac:dyDescent="0.25">
      <c r="B38" s="248"/>
      <c r="C38" s="249"/>
      <c r="D38" s="249"/>
      <c r="E38" s="249"/>
      <c r="F38" s="249"/>
      <c r="G38" s="249"/>
      <c r="H38" s="249"/>
      <c r="I38" s="249"/>
      <c r="J38" s="249"/>
      <c r="K38" s="249"/>
      <c r="L38" s="249"/>
      <c r="M38" s="249"/>
      <c r="N38" s="249"/>
      <c r="O38" s="249"/>
      <c r="P38" s="249"/>
      <c r="Q38" s="249"/>
      <c r="R38" s="250"/>
    </row>
    <row r="39" spans="2:20" ht="15" customHeight="1" x14ac:dyDescent="0.25">
      <c r="B39" s="248"/>
      <c r="C39" s="249"/>
      <c r="D39" s="249"/>
      <c r="E39" s="249"/>
      <c r="F39" s="249"/>
      <c r="G39" s="249"/>
      <c r="H39" s="249"/>
      <c r="I39" s="249"/>
      <c r="J39" s="249"/>
      <c r="K39" s="249"/>
      <c r="L39" s="249"/>
      <c r="M39" s="249"/>
      <c r="N39" s="249"/>
      <c r="O39" s="249"/>
      <c r="P39" s="249"/>
      <c r="Q39" s="249"/>
      <c r="R39" s="250"/>
    </row>
    <row r="40" spans="2:20" ht="15" customHeight="1" x14ac:dyDescent="0.25">
      <c r="B40" s="248"/>
      <c r="C40" s="249"/>
      <c r="D40" s="249"/>
      <c r="E40" s="249"/>
      <c r="F40" s="249"/>
      <c r="G40" s="249"/>
      <c r="H40" s="249"/>
      <c r="I40" s="249"/>
      <c r="J40" s="249"/>
      <c r="K40" s="249"/>
      <c r="L40" s="249"/>
      <c r="M40" s="249"/>
      <c r="N40" s="249"/>
      <c r="O40" s="249"/>
      <c r="P40" s="249"/>
      <c r="Q40" s="249"/>
      <c r="R40" s="250"/>
    </row>
    <row r="41" spans="2:20" ht="15" customHeight="1" x14ac:dyDescent="0.25">
      <c r="B41" s="248"/>
      <c r="C41" s="249"/>
      <c r="D41" s="249"/>
      <c r="E41" s="249"/>
      <c r="F41" s="249"/>
      <c r="G41" s="249"/>
      <c r="H41" s="249"/>
      <c r="I41" s="249"/>
      <c r="J41" s="249"/>
      <c r="K41" s="249"/>
      <c r="L41" s="249"/>
      <c r="M41" s="249"/>
      <c r="N41" s="249"/>
      <c r="O41" s="249"/>
      <c r="P41" s="249"/>
      <c r="Q41" s="249"/>
      <c r="R41" s="250"/>
    </row>
    <row r="42" spans="2:20" ht="15" customHeight="1" thickBot="1" x14ac:dyDescent="0.3">
      <c r="B42" s="251"/>
      <c r="C42" s="252"/>
      <c r="D42" s="252"/>
      <c r="E42" s="252"/>
      <c r="F42" s="252"/>
      <c r="G42" s="252"/>
      <c r="H42" s="252"/>
      <c r="I42" s="252"/>
      <c r="J42" s="252"/>
      <c r="K42" s="252"/>
      <c r="L42" s="252"/>
      <c r="M42" s="252"/>
      <c r="N42" s="252"/>
      <c r="O42" s="252"/>
      <c r="P42" s="252"/>
      <c r="Q42" s="252"/>
      <c r="R42" s="25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4" t="s">
        <v>208</v>
      </c>
      <c r="D3" s="255"/>
      <c r="E3" s="255"/>
      <c r="F3" s="255"/>
      <c r="G3" s="255"/>
      <c r="H3" s="255"/>
      <c r="I3" s="255"/>
      <c r="J3" s="255"/>
      <c r="K3" s="255"/>
      <c r="L3" s="255"/>
      <c r="M3" s="255"/>
      <c r="N3" s="255"/>
      <c r="O3" s="255"/>
      <c r="P3" s="255"/>
      <c r="Q3" s="255"/>
      <c r="R3" s="255"/>
      <c r="S3" s="255"/>
      <c r="T3" s="76"/>
      <c r="U3" s="77"/>
    </row>
    <row r="4" spans="1:24" ht="15.75" customHeight="1" x14ac:dyDescent="0.25">
      <c r="B4" s="75"/>
      <c r="C4" s="78" t="s">
        <v>313</v>
      </c>
      <c r="D4" s="30"/>
      <c r="E4" s="30"/>
      <c r="F4" s="30"/>
      <c r="G4" s="30"/>
      <c r="H4" s="30"/>
      <c r="I4" s="30"/>
      <c r="J4" s="30"/>
      <c r="K4" s="30"/>
      <c r="L4" s="30"/>
      <c r="M4" s="30"/>
      <c r="N4" s="30"/>
      <c r="O4" s="30"/>
      <c r="P4" s="30"/>
      <c r="Q4" s="30"/>
      <c r="R4" s="30"/>
      <c r="S4" s="30"/>
      <c r="T4" s="30"/>
      <c r="U4" s="26"/>
    </row>
    <row r="5" spans="1:24" ht="18" customHeight="1" x14ac:dyDescent="0.25">
      <c r="B5" s="75"/>
      <c r="C5" s="79" t="s">
        <v>314</v>
      </c>
      <c r="D5" s="258" t="s">
        <v>287</v>
      </c>
      <c r="E5" s="258"/>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0" t="s">
        <v>91</v>
      </c>
      <c r="D8" s="221" t="s">
        <v>136</v>
      </c>
      <c r="E8" s="222">
        <v>7.8862000000000002E-2</v>
      </c>
      <c r="F8" s="30"/>
      <c r="G8" s="30"/>
      <c r="H8" s="30"/>
      <c r="I8" s="30"/>
      <c r="J8" s="30"/>
      <c r="K8" s="30"/>
      <c r="L8" s="30"/>
      <c r="M8" s="30"/>
      <c r="N8" s="30"/>
      <c r="O8" s="30"/>
      <c r="P8" s="30"/>
      <c r="Q8" s="30"/>
      <c r="R8" s="30"/>
      <c r="S8" s="30"/>
      <c r="T8" s="30"/>
      <c r="U8" s="26"/>
      <c r="W8" s="197" t="s">
        <v>133</v>
      </c>
      <c r="X8" s="196">
        <v>0.35488900000000001</v>
      </c>
    </row>
    <row r="9" spans="1:24" ht="15.75" customHeight="1" x14ac:dyDescent="0.25">
      <c r="B9" s="75"/>
      <c r="C9" s="210" t="s">
        <v>109</v>
      </c>
      <c r="D9" s="223" t="s">
        <v>136</v>
      </c>
      <c r="E9" s="224">
        <v>7.7216000000000007E-2</v>
      </c>
      <c r="F9" s="30"/>
      <c r="G9" s="30"/>
      <c r="H9" s="30"/>
      <c r="I9" s="30"/>
      <c r="J9" s="30"/>
      <c r="K9" s="30"/>
      <c r="L9" s="30"/>
      <c r="M9" s="30"/>
      <c r="N9" s="30"/>
      <c r="O9" s="30"/>
      <c r="P9" s="30"/>
      <c r="Q9" s="30"/>
      <c r="R9" s="30"/>
      <c r="S9" s="30"/>
      <c r="T9" s="30"/>
      <c r="U9" s="26"/>
      <c r="W9" s="197" t="s">
        <v>136</v>
      </c>
      <c r="X9" s="196">
        <v>0.30931799999999998</v>
      </c>
    </row>
    <row r="10" spans="1:24" ht="15.75" x14ac:dyDescent="0.25">
      <c r="B10" s="75"/>
      <c r="C10" s="210" t="s">
        <v>144</v>
      </c>
      <c r="D10" s="223" t="s">
        <v>136</v>
      </c>
      <c r="E10" s="224">
        <v>5.8368000000000003E-2</v>
      </c>
      <c r="F10" s="30"/>
      <c r="G10" s="30"/>
      <c r="H10" s="30"/>
      <c r="I10" s="30"/>
      <c r="J10" s="30"/>
      <c r="K10" s="30"/>
      <c r="L10" s="30"/>
      <c r="M10" s="30"/>
      <c r="N10" s="30"/>
      <c r="O10" s="30"/>
      <c r="P10" s="30"/>
      <c r="Q10" s="30"/>
      <c r="R10" s="30"/>
      <c r="S10" s="30"/>
      <c r="T10" s="30"/>
      <c r="U10" s="26"/>
      <c r="W10" s="197" t="s">
        <v>148</v>
      </c>
      <c r="X10" s="196">
        <v>0.13545600000000002</v>
      </c>
    </row>
    <row r="11" spans="1:24" ht="15.75" customHeight="1" x14ac:dyDescent="0.25">
      <c r="B11" s="75"/>
      <c r="C11" s="210" t="s">
        <v>132</v>
      </c>
      <c r="D11" s="223" t="s">
        <v>133</v>
      </c>
      <c r="E11" s="224">
        <v>5.1611999999999998E-2</v>
      </c>
      <c r="F11" s="30"/>
      <c r="G11" s="30"/>
      <c r="H11" s="30"/>
      <c r="I11" s="30"/>
      <c r="J11" s="30"/>
      <c r="K11" s="30"/>
      <c r="L11" s="30"/>
      <c r="M11" s="30"/>
      <c r="N11" s="30"/>
      <c r="O11" s="30"/>
      <c r="P11" s="30"/>
      <c r="Q11" s="30"/>
      <c r="R11" s="30"/>
      <c r="S11" s="30"/>
      <c r="T11" s="30"/>
      <c r="U11" s="26"/>
      <c r="W11" s="197" t="s">
        <v>24</v>
      </c>
      <c r="X11" s="196">
        <v>4.8259999999999997E-2</v>
      </c>
    </row>
    <row r="12" spans="1:24" ht="15" customHeight="1" x14ac:dyDescent="0.25">
      <c r="B12" s="75"/>
      <c r="C12" s="210" t="s">
        <v>173</v>
      </c>
      <c r="D12" s="223" t="s">
        <v>136</v>
      </c>
      <c r="E12" s="224">
        <v>4.9856999999999999E-2</v>
      </c>
      <c r="F12" s="30"/>
      <c r="G12" s="30"/>
      <c r="H12" s="30"/>
      <c r="I12" s="30"/>
      <c r="J12" s="30"/>
      <c r="K12" s="30"/>
      <c r="L12" s="30"/>
      <c r="M12" s="30"/>
      <c r="N12" s="30"/>
      <c r="O12" s="30"/>
      <c r="P12" s="30"/>
      <c r="Q12" s="30"/>
      <c r="R12" s="30"/>
      <c r="S12" s="30"/>
      <c r="T12" s="30"/>
      <c r="U12" s="26"/>
      <c r="W12" s="197" t="s">
        <v>151</v>
      </c>
      <c r="X12" s="196">
        <v>3.9016000000000002E-2</v>
      </c>
    </row>
    <row r="13" spans="1:24" ht="15" customHeight="1" x14ac:dyDescent="0.25">
      <c r="B13" s="75"/>
      <c r="C13" s="210" t="s">
        <v>178</v>
      </c>
      <c r="D13" s="223" t="s">
        <v>136</v>
      </c>
      <c r="E13" s="224">
        <v>4.5014999999999999E-2</v>
      </c>
      <c r="F13" s="30"/>
      <c r="G13" s="30"/>
      <c r="H13" s="30"/>
      <c r="I13" s="30"/>
      <c r="J13" s="30"/>
      <c r="K13" s="30"/>
      <c r="L13" s="30"/>
      <c r="M13" s="30"/>
      <c r="N13" s="30"/>
      <c r="O13" s="30"/>
      <c r="P13" s="30"/>
      <c r="Q13" s="30"/>
      <c r="R13" s="30"/>
      <c r="S13" s="30"/>
      <c r="T13" s="30"/>
      <c r="U13" s="26"/>
      <c r="W13" s="70" t="s">
        <v>4</v>
      </c>
      <c r="X13" s="72">
        <v>1.3086E-2</v>
      </c>
    </row>
    <row r="14" spans="1:24" ht="15" customHeight="1" x14ac:dyDescent="0.25">
      <c r="B14" s="75"/>
      <c r="C14" s="210" t="s">
        <v>322</v>
      </c>
      <c r="D14" s="223" t="s">
        <v>133</v>
      </c>
      <c r="E14" s="224">
        <v>4.1945999999999997E-2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0" t="s">
        <v>174</v>
      </c>
      <c r="D15" s="223" t="s">
        <v>151</v>
      </c>
      <c r="E15" s="224">
        <v>3.9016000000000002E-2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0" t="s">
        <v>179</v>
      </c>
      <c r="D16" s="223" t="s">
        <v>148</v>
      </c>
      <c r="E16" s="224">
        <v>3.3831E-2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0" t="s">
        <v>323</v>
      </c>
      <c r="D17" s="223" t="s">
        <v>24</v>
      </c>
      <c r="E17" s="224">
        <v>3.3047E-2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0" t="s">
        <v>126</v>
      </c>
      <c r="D18" s="223" t="s">
        <v>148</v>
      </c>
      <c r="E18" s="224">
        <v>2.9073000000000002E-2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0" t="s">
        <v>324</v>
      </c>
      <c r="D19" s="223" t="s">
        <v>133</v>
      </c>
      <c r="E19" s="224">
        <v>2.5808000000000001E-2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0" t="s">
        <v>247</v>
      </c>
      <c r="D20" s="223" t="s">
        <v>133</v>
      </c>
      <c r="E20" s="224">
        <v>2.5794000000000001E-2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0" t="s">
        <v>248</v>
      </c>
      <c r="D21" s="223" t="s">
        <v>133</v>
      </c>
      <c r="E21" s="224">
        <v>2.5465000000000002E-2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0" t="s">
        <v>160</v>
      </c>
      <c r="D22" s="223" t="s">
        <v>148</v>
      </c>
      <c r="E22" s="224">
        <v>2.4493999999999998E-2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55</v>
      </c>
      <c r="D24" s="86"/>
      <c r="E24" s="87">
        <f>SUM(E8:E22)</f>
        <v>0.63940399999999997</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5" t="s">
        <v>234</v>
      </c>
      <c r="C39" s="246"/>
      <c r="D39" s="246"/>
      <c r="E39" s="246"/>
      <c r="F39" s="246"/>
      <c r="G39" s="246"/>
      <c r="H39" s="246"/>
      <c r="I39" s="246"/>
      <c r="J39" s="246"/>
      <c r="K39" s="246"/>
      <c r="L39" s="246"/>
      <c r="M39" s="246"/>
      <c r="N39" s="246"/>
      <c r="O39" s="246"/>
      <c r="P39" s="246"/>
      <c r="Q39" s="246"/>
      <c r="R39" s="247"/>
      <c r="W39" s="70"/>
      <c r="X39" s="72"/>
    </row>
    <row r="40" spans="2:24" ht="15" customHeight="1" x14ac:dyDescent="0.25">
      <c r="B40" s="248"/>
      <c r="C40" s="249"/>
      <c r="D40" s="249"/>
      <c r="E40" s="249"/>
      <c r="F40" s="249"/>
      <c r="G40" s="249"/>
      <c r="H40" s="249"/>
      <c r="I40" s="249"/>
      <c r="J40" s="249"/>
      <c r="K40" s="249"/>
      <c r="L40" s="249"/>
      <c r="M40" s="249"/>
      <c r="N40" s="249"/>
      <c r="O40" s="249"/>
      <c r="P40" s="249"/>
      <c r="Q40" s="249"/>
      <c r="R40" s="250"/>
      <c r="W40" s="70"/>
      <c r="X40" s="72"/>
    </row>
    <row r="41" spans="2:24" ht="15" customHeight="1" x14ac:dyDescent="0.25">
      <c r="B41" s="248"/>
      <c r="C41" s="249"/>
      <c r="D41" s="249"/>
      <c r="E41" s="249"/>
      <c r="F41" s="249"/>
      <c r="G41" s="249"/>
      <c r="H41" s="249"/>
      <c r="I41" s="249"/>
      <c r="J41" s="249"/>
      <c r="K41" s="249"/>
      <c r="L41" s="249"/>
      <c r="M41" s="249"/>
      <c r="N41" s="249"/>
      <c r="O41" s="249"/>
      <c r="P41" s="249"/>
      <c r="Q41" s="249"/>
      <c r="R41" s="250"/>
      <c r="W41" s="70"/>
      <c r="X41" s="72"/>
    </row>
    <row r="42" spans="2:24" ht="15" customHeight="1" x14ac:dyDescent="0.25">
      <c r="B42" s="248"/>
      <c r="C42" s="249"/>
      <c r="D42" s="249"/>
      <c r="E42" s="249"/>
      <c r="F42" s="249"/>
      <c r="G42" s="249"/>
      <c r="H42" s="249"/>
      <c r="I42" s="249"/>
      <c r="J42" s="249"/>
      <c r="K42" s="249"/>
      <c r="L42" s="249"/>
      <c r="M42" s="249"/>
      <c r="N42" s="249"/>
      <c r="O42" s="249"/>
      <c r="P42" s="249"/>
      <c r="Q42" s="249"/>
      <c r="R42" s="250"/>
      <c r="W42" s="70"/>
      <c r="X42" s="72"/>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7.7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4" t="s">
        <v>253</v>
      </c>
      <c r="D3" s="255"/>
      <c r="E3" s="255"/>
      <c r="F3" s="255"/>
      <c r="G3" s="255"/>
      <c r="H3" s="255"/>
      <c r="I3" s="255"/>
      <c r="J3" s="255"/>
      <c r="K3" s="255"/>
      <c r="L3" s="255"/>
      <c r="M3" s="255"/>
      <c r="N3" s="255"/>
      <c r="O3" s="255"/>
      <c r="P3" s="255"/>
      <c r="Q3" s="255"/>
      <c r="R3" s="255"/>
      <c r="S3" s="255"/>
      <c r="T3" s="76"/>
      <c r="U3" s="77"/>
    </row>
    <row r="4" spans="1:24" ht="15.75" customHeight="1" x14ac:dyDescent="0.25">
      <c r="B4" s="75"/>
      <c r="C4" s="78" t="s">
        <v>313</v>
      </c>
      <c r="D4" s="30"/>
      <c r="E4" s="30"/>
      <c r="F4" s="30"/>
      <c r="G4" s="30"/>
      <c r="H4" s="30"/>
      <c r="I4" s="30"/>
      <c r="J4" s="30"/>
      <c r="K4" s="30"/>
      <c r="L4" s="30"/>
      <c r="M4" s="30"/>
      <c r="N4" s="30"/>
      <c r="O4" s="30"/>
      <c r="P4" s="30"/>
      <c r="Q4" s="30"/>
      <c r="R4" s="30"/>
      <c r="S4" s="30"/>
      <c r="T4" s="30"/>
      <c r="U4" s="26"/>
    </row>
    <row r="5" spans="1:24" ht="18" customHeight="1" x14ac:dyDescent="0.25">
      <c r="B5" s="75"/>
      <c r="C5" s="79" t="s">
        <v>314</v>
      </c>
      <c r="D5" s="258" t="s">
        <v>288</v>
      </c>
      <c r="E5" s="258"/>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0" t="s">
        <v>32</v>
      </c>
      <c r="D8" s="221" t="s">
        <v>3</v>
      </c>
      <c r="E8" s="222">
        <v>0.114413</v>
      </c>
      <c r="F8" s="30"/>
      <c r="G8" s="30"/>
      <c r="H8" s="30"/>
      <c r="I8" s="30"/>
      <c r="J8" s="30"/>
      <c r="K8" s="30"/>
      <c r="L8" s="30"/>
      <c r="M8" s="30"/>
      <c r="N8" s="30"/>
      <c r="O8" s="30"/>
      <c r="P8" s="30"/>
      <c r="Q8" s="30"/>
      <c r="R8" s="30"/>
      <c r="S8" s="30"/>
      <c r="T8" s="30"/>
      <c r="U8" s="26"/>
      <c r="W8" s="197" t="s">
        <v>3</v>
      </c>
      <c r="X8" s="196">
        <v>0.50695900000000005</v>
      </c>
    </row>
    <row r="9" spans="1:24" ht="15.75" customHeight="1" x14ac:dyDescent="0.25">
      <c r="B9" s="75"/>
      <c r="C9" s="210" t="s">
        <v>29</v>
      </c>
      <c r="D9" s="223" t="s">
        <v>3</v>
      </c>
      <c r="E9" s="224">
        <v>0.110596</v>
      </c>
      <c r="F9" s="30"/>
      <c r="G9" s="30"/>
      <c r="H9" s="30"/>
      <c r="I9" s="30"/>
      <c r="J9" s="30"/>
      <c r="K9" s="30"/>
      <c r="L9" s="30"/>
      <c r="M9" s="30"/>
      <c r="N9" s="30"/>
      <c r="O9" s="30"/>
      <c r="P9" s="30"/>
      <c r="Q9" s="30"/>
      <c r="R9" s="30"/>
      <c r="S9" s="30"/>
      <c r="T9" s="30"/>
      <c r="U9" s="26"/>
      <c r="W9" s="197" t="s">
        <v>4</v>
      </c>
      <c r="X9" s="196">
        <v>0.28101600000000004</v>
      </c>
    </row>
    <row r="10" spans="1:24" ht="15.75" x14ac:dyDescent="0.25">
      <c r="B10" s="75"/>
      <c r="C10" s="210" t="s">
        <v>90</v>
      </c>
      <c r="D10" s="223" t="s">
        <v>3</v>
      </c>
      <c r="E10" s="224">
        <v>5.8120999999999999E-2</v>
      </c>
      <c r="F10" s="30"/>
      <c r="G10" s="30"/>
      <c r="H10" s="30"/>
      <c r="I10" s="30"/>
      <c r="J10" s="30"/>
      <c r="K10" s="30"/>
      <c r="L10" s="30"/>
      <c r="M10" s="30"/>
      <c r="N10" s="30"/>
      <c r="O10" s="30"/>
      <c r="P10" s="30"/>
      <c r="Q10" s="30"/>
      <c r="R10" s="30"/>
      <c r="S10" s="30"/>
      <c r="T10" s="30"/>
      <c r="U10" s="26"/>
      <c r="W10" s="197" t="s">
        <v>96</v>
      </c>
      <c r="X10" s="196">
        <v>9.9889000000000006E-2</v>
      </c>
    </row>
    <row r="11" spans="1:24" ht="15.75" customHeight="1" x14ac:dyDescent="0.25">
      <c r="B11" s="75"/>
      <c r="C11" s="210" t="s">
        <v>36</v>
      </c>
      <c r="D11" s="223" t="s">
        <v>3</v>
      </c>
      <c r="E11" s="224">
        <v>4.0561E-2</v>
      </c>
      <c r="F11" s="30"/>
      <c r="G11" s="30"/>
      <c r="H11" s="30"/>
      <c r="I11" s="30"/>
      <c r="J11" s="30"/>
      <c r="K11" s="30"/>
      <c r="L11" s="30"/>
      <c r="M11" s="30"/>
      <c r="N11" s="30"/>
      <c r="O11" s="30"/>
      <c r="P11" s="30"/>
      <c r="Q11" s="30"/>
      <c r="R11" s="30"/>
      <c r="S11" s="30"/>
      <c r="T11" s="30"/>
      <c r="U11" s="26"/>
      <c r="W11" s="197" t="s">
        <v>97</v>
      </c>
      <c r="X11" s="196">
        <v>5.3860000000000005E-2</v>
      </c>
    </row>
    <row r="12" spans="1:24" ht="15" customHeight="1" x14ac:dyDescent="0.25">
      <c r="B12" s="75"/>
      <c r="C12" s="210" t="s">
        <v>35</v>
      </c>
      <c r="D12" s="223" t="s">
        <v>3</v>
      </c>
      <c r="E12" s="224">
        <v>3.6927000000000001E-2</v>
      </c>
      <c r="F12" s="30"/>
      <c r="G12" s="30"/>
      <c r="H12" s="30"/>
      <c r="I12" s="30"/>
      <c r="J12" s="30"/>
      <c r="K12" s="30"/>
      <c r="L12" s="30"/>
      <c r="M12" s="30"/>
      <c r="N12" s="30"/>
      <c r="O12" s="30"/>
      <c r="P12" s="30"/>
      <c r="Q12" s="30"/>
      <c r="R12" s="30"/>
      <c r="S12" s="30"/>
      <c r="T12" s="30"/>
      <c r="U12" s="26"/>
      <c r="W12" s="197" t="s">
        <v>256</v>
      </c>
      <c r="X12" s="196">
        <v>3.968E-2</v>
      </c>
    </row>
    <row r="13" spans="1:24" ht="15" customHeight="1" x14ac:dyDescent="0.25">
      <c r="B13" s="75"/>
      <c r="C13" s="210" t="s">
        <v>161</v>
      </c>
      <c r="D13" s="223" t="s">
        <v>3</v>
      </c>
      <c r="E13" s="224">
        <v>2.8761999999999999E-2</v>
      </c>
      <c r="F13" s="30"/>
      <c r="G13" s="30"/>
      <c r="H13" s="30"/>
      <c r="I13" s="30"/>
      <c r="J13" s="30"/>
      <c r="K13" s="30"/>
      <c r="L13" s="30"/>
      <c r="M13" s="30"/>
      <c r="N13" s="30"/>
      <c r="O13" s="30"/>
      <c r="P13" s="30"/>
      <c r="Q13" s="30"/>
      <c r="R13" s="30"/>
      <c r="S13" s="30"/>
      <c r="T13" s="30"/>
      <c r="U13" s="26"/>
      <c r="W13" s="70"/>
      <c r="X13" s="72"/>
    </row>
    <row r="14" spans="1:24" ht="15" customHeight="1" x14ac:dyDescent="0.25">
      <c r="B14" s="75"/>
      <c r="C14" s="210" t="s">
        <v>320</v>
      </c>
      <c r="D14" s="223" t="s">
        <v>4</v>
      </c>
      <c r="E14" s="224">
        <v>2.8672E-2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0" t="s">
        <v>264</v>
      </c>
      <c r="D15" s="223" t="s">
        <v>4</v>
      </c>
      <c r="E15" s="224">
        <v>2.5124E-2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0" t="s">
        <v>265</v>
      </c>
      <c r="D16" s="223" t="s">
        <v>4</v>
      </c>
      <c r="E16" s="224">
        <v>2.4480999999999999E-2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0" t="s">
        <v>261</v>
      </c>
      <c r="D17" s="223" t="s">
        <v>4</v>
      </c>
      <c r="E17" s="224">
        <v>2.4212000000000001E-2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0" t="s">
        <v>168</v>
      </c>
      <c r="D18" s="223" t="s">
        <v>3</v>
      </c>
      <c r="E18" s="224">
        <v>2.3810000000000001E-2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0" t="s">
        <v>128</v>
      </c>
      <c r="D19" s="223" t="s">
        <v>4</v>
      </c>
      <c r="E19" s="224">
        <v>2.1687999999999999E-2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0" t="s">
        <v>321</v>
      </c>
      <c r="D20" s="223" t="s">
        <v>3</v>
      </c>
      <c r="E20" s="224">
        <v>2.1420999999999999E-2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0" t="s">
        <v>262</v>
      </c>
      <c r="D21" s="223" t="s">
        <v>256</v>
      </c>
      <c r="E21" s="224">
        <v>2.0539000000000002E-2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0" t="s">
        <v>263</v>
      </c>
      <c r="D22" s="223" t="s">
        <v>4</v>
      </c>
      <c r="E22" s="224">
        <v>2.0438000000000001E-2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55</v>
      </c>
      <c r="D24" s="86"/>
      <c r="E24" s="87">
        <f>SUM(E8:E22)</f>
        <v>0.59976499999999999</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5" t="s">
        <v>234</v>
      </c>
      <c r="C39" s="246"/>
      <c r="D39" s="246"/>
      <c r="E39" s="246"/>
      <c r="F39" s="246"/>
      <c r="G39" s="246"/>
      <c r="H39" s="246"/>
      <c r="I39" s="246"/>
      <c r="J39" s="246"/>
      <c r="K39" s="246"/>
      <c r="L39" s="246"/>
      <c r="M39" s="246"/>
      <c r="N39" s="246"/>
      <c r="O39" s="246"/>
      <c r="P39" s="246"/>
      <c r="Q39" s="246"/>
      <c r="R39" s="247"/>
      <c r="W39" s="70"/>
      <c r="X39" s="72"/>
    </row>
    <row r="40" spans="2:24" ht="15" customHeight="1" x14ac:dyDescent="0.25">
      <c r="B40" s="248"/>
      <c r="C40" s="249"/>
      <c r="D40" s="249"/>
      <c r="E40" s="249"/>
      <c r="F40" s="249"/>
      <c r="G40" s="249"/>
      <c r="H40" s="249"/>
      <c r="I40" s="249"/>
      <c r="J40" s="249"/>
      <c r="K40" s="249"/>
      <c r="L40" s="249"/>
      <c r="M40" s="249"/>
      <c r="N40" s="249"/>
      <c r="O40" s="249"/>
      <c r="P40" s="249"/>
      <c r="Q40" s="249"/>
      <c r="R40" s="250"/>
      <c r="W40" s="70"/>
      <c r="X40" s="72"/>
    </row>
    <row r="41" spans="2:24" ht="15" customHeight="1" x14ac:dyDescent="0.25">
      <c r="B41" s="248"/>
      <c r="C41" s="249"/>
      <c r="D41" s="249"/>
      <c r="E41" s="249"/>
      <c r="F41" s="249"/>
      <c r="G41" s="249"/>
      <c r="H41" s="249"/>
      <c r="I41" s="249"/>
      <c r="J41" s="249"/>
      <c r="K41" s="249"/>
      <c r="L41" s="249"/>
      <c r="M41" s="249"/>
      <c r="N41" s="249"/>
      <c r="O41" s="249"/>
      <c r="P41" s="249"/>
      <c r="Q41" s="249"/>
      <c r="R41" s="250"/>
      <c r="W41" s="70"/>
      <c r="X41" s="72"/>
    </row>
    <row r="42" spans="2:24" ht="15" customHeight="1" x14ac:dyDescent="0.25">
      <c r="B42" s="248"/>
      <c r="C42" s="249"/>
      <c r="D42" s="249"/>
      <c r="E42" s="249"/>
      <c r="F42" s="249"/>
      <c r="G42" s="249"/>
      <c r="H42" s="249"/>
      <c r="I42" s="249"/>
      <c r="J42" s="249"/>
      <c r="K42" s="249"/>
      <c r="L42" s="249"/>
      <c r="M42" s="249"/>
      <c r="N42" s="249"/>
      <c r="O42" s="249"/>
      <c r="P42" s="249"/>
      <c r="Q42" s="249"/>
      <c r="R42" s="250"/>
      <c r="W42" s="70"/>
      <c r="X42" s="72"/>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7.7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9"/>
      <c r="C2" s="90"/>
      <c r="D2" s="90"/>
      <c r="E2" s="90"/>
      <c r="F2" s="90"/>
      <c r="G2" s="90"/>
      <c r="H2" s="90"/>
      <c r="I2" s="90"/>
      <c r="J2" s="90"/>
      <c r="K2" s="90"/>
      <c r="L2" s="90"/>
      <c r="M2" s="90"/>
      <c r="N2" s="90"/>
      <c r="O2" s="90"/>
      <c r="P2" s="90"/>
      <c r="Q2" s="90"/>
      <c r="R2" s="90"/>
      <c r="S2" s="90"/>
      <c r="T2" s="22"/>
    </row>
    <row r="3" spans="1:25" ht="20.25" customHeight="1" x14ac:dyDescent="0.25">
      <c r="B3" s="91"/>
      <c r="C3" s="254" t="s">
        <v>207</v>
      </c>
      <c r="D3" s="255"/>
      <c r="E3" s="255"/>
      <c r="F3" s="255"/>
      <c r="G3" s="255"/>
      <c r="H3" s="255"/>
      <c r="I3" s="255"/>
      <c r="J3" s="255"/>
      <c r="K3" s="255"/>
      <c r="L3" s="255"/>
      <c r="M3" s="255"/>
      <c r="N3" s="255"/>
      <c r="O3" s="255"/>
      <c r="P3" s="255"/>
      <c r="Q3" s="255"/>
      <c r="R3" s="255"/>
      <c r="S3" s="255"/>
      <c r="T3" s="23"/>
    </row>
    <row r="4" spans="1:25" ht="15.75" customHeight="1" x14ac:dyDescent="0.25">
      <c r="B4" s="91"/>
      <c r="C4" s="78" t="s">
        <v>313</v>
      </c>
      <c r="D4" s="30"/>
      <c r="E4" s="30"/>
      <c r="F4" s="30"/>
      <c r="G4" s="30"/>
      <c r="H4" s="30"/>
      <c r="I4" s="30"/>
      <c r="J4" s="30"/>
      <c r="K4" s="30"/>
      <c r="L4" s="30"/>
      <c r="M4" s="30"/>
      <c r="N4" s="30"/>
      <c r="O4" s="30"/>
      <c r="P4" s="30"/>
      <c r="Q4" s="30"/>
      <c r="R4" s="30"/>
      <c r="S4" s="30"/>
      <c r="T4" s="23"/>
    </row>
    <row r="5" spans="1:25" ht="18" customHeight="1" x14ac:dyDescent="0.25">
      <c r="B5" s="91"/>
      <c r="C5" s="79" t="s">
        <v>314</v>
      </c>
      <c r="D5" s="256" t="s">
        <v>289</v>
      </c>
      <c r="E5" s="256"/>
      <c r="F5" s="30"/>
      <c r="G5" s="30"/>
      <c r="H5" s="30"/>
      <c r="I5" s="30"/>
      <c r="J5" s="30"/>
      <c r="K5" s="30"/>
      <c r="L5" s="30"/>
      <c r="M5" s="30"/>
      <c r="N5" s="30"/>
      <c r="O5" s="30"/>
      <c r="P5" s="30"/>
      <c r="Q5" s="30"/>
      <c r="R5" s="30"/>
      <c r="S5" s="30"/>
      <c r="T5" s="23"/>
    </row>
    <row r="6" spans="1:25" ht="15" customHeight="1" x14ac:dyDescent="0.25">
      <c r="B6" s="91"/>
      <c r="C6" s="30"/>
      <c r="D6" s="30"/>
      <c r="E6" s="30"/>
      <c r="F6" s="30"/>
      <c r="G6" s="30"/>
      <c r="H6" s="30"/>
      <c r="I6" s="30"/>
      <c r="J6" s="30"/>
      <c r="K6" s="30"/>
      <c r="L6" s="30"/>
      <c r="M6" s="30"/>
      <c r="N6" s="30"/>
      <c r="O6" s="30"/>
      <c r="P6" s="30"/>
      <c r="Q6" s="30"/>
      <c r="R6" s="30"/>
      <c r="S6" s="30"/>
      <c r="T6" s="23"/>
    </row>
    <row r="7" spans="1:25"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5" ht="15" customHeight="1" x14ac:dyDescent="0.25">
      <c r="B8" s="91"/>
      <c r="C8" s="220" t="s">
        <v>32</v>
      </c>
      <c r="D8" s="221" t="s">
        <v>3</v>
      </c>
      <c r="E8" s="222">
        <v>7.1815000000000004E-2</v>
      </c>
      <c r="F8" s="30"/>
      <c r="G8" s="30"/>
      <c r="H8" s="30"/>
      <c r="I8" s="30"/>
      <c r="J8" s="30"/>
      <c r="K8" s="30"/>
      <c r="L8" s="30"/>
      <c r="M8" s="30"/>
      <c r="N8" s="30"/>
      <c r="O8" s="30"/>
      <c r="P8" s="30"/>
      <c r="Q8" s="30"/>
      <c r="R8" s="30"/>
      <c r="S8" s="30"/>
      <c r="T8" s="23"/>
      <c r="W8" s="70" t="s">
        <v>3</v>
      </c>
      <c r="X8" s="72">
        <v>0.20468000000000003</v>
      </c>
      <c r="Y8" s="166"/>
    </row>
    <row r="9" spans="1:25" ht="15.75" customHeight="1" x14ac:dyDescent="0.25">
      <c r="B9" s="91"/>
      <c r="C9" s="210" t="s">
        <v>29</v>
      </c>
      <c r="D9" s="223" t="s">
        <v>3</v>
      </c>
      <c r="E9" s="224">
        <v>5.5943E-2</v>
      </c>
      <c r="F9" s="30"/>
      <c r="G9" s="30"/>
      <c r="H9" s="30"/>
      <c r="I9" s="30"/>
      <c r="J9" s="30"/>
      <c r="K9" s="30"/>
      <c r="L9" s="30"/>
      <c r="M9" s="30"/>
      <c r="N9" s="30"/>
      <c r="O9" s="30"/>
      <c r="P9" s="30"/>
      <c r="Q9" s="30"/>
      <c r="R9" s="30"/>
      <c r="S9" s="30"/>
      <c r="T9" s="23"/>
      <c r="W9" s="70" t="s">
        <v>130</v>
      </c>
      <c r="X9" s="72">
        <v>8.3947000000000008E-2</v>
      </c>
      <c r="Y9" s="166"/>
    </row>
    <row r="10" spans="1:25" ht="15" customHeight="1" x14ac:dyDescent="0.25">
      <c r="B10" s="91"/>
      <c r="C10" s="210" t="s">
        <v>31</v>
      </c>
      <c r="D10" s="223" t="s">
        <v>6</v>
      </c>
      <c r="E10" s="224">
        <v>4.2701000000000003E-2</v>
      </c>
      <c r="F10" s="30"/>
      <c r="G10" s="30"/>
      <c r="H10" s="30"/>
      <c r="I10" s="30"/>
      <c r="J10" s="30"/>
      <c r="K10" s="30"/>
      <c r="L10" s="30"/>
      <c r="M10" s="30"/>
      <c r="N10" s="30"/>
      <c r="O10" s="30"/>
      <c r="P10" s="30"/>
      <c r="Q10" s="30"/>
      <c r="R10" s="30"/>
      <c r="S10" s="30"/>
      <c r="T10" s="23"/>
      <c r="W10" s="70" t="s">
        <v>135</v>
      </c>
      <c r="X10" s="72">
        <v>7.1537000000000003E-2</v>
      </c>
      <c r="Y10" s="166"/>
    </row>
    <row r="11" spans="1:25" ht="15" customHeight="1" x14ac:dyDescent="0.25">
      <c r="B11" s="91"/>
      <c r="C11" s="210" t="s">
        <v>36</v>
      </c>
      <c r="D11" s="223" t="s">
        <v>3</v>
      </c>
      <c r="E11" s="224">
        <v>3.8379000000000003E-2</v>
      </c>
      <c r="F11" s="30"/>
      <c r="G11" s="30"/>
      <c r="H11" s="30"/>
      <c r="I11" s="30"/>
      <c r="J11" s="30"/>
      <c r="K11" s="30"/>
      <c r="L11" s="30"/>
      <c r="M11" s="30"/>
      <c r="N11" s="30"/>
      <c r="O11" s="30"/>
      <c r="P11" s="30"/>
      <c r="Q11" s="30"/>
      <c r="R11" s="30"/>
      <c r="S11" s="30"/>
      <c r="T11" s="23"/>
      <c r="W11" s="70" t="s">
        <v>143</v>
      </c>
      <c r="X11" s="72">
        <v>5.5332999999999993E-2</v>
      </c>
      <c r="Y11" s="166"/>
    </row>
    <row r="12" spans="1:25" ht="15" customHeight="1" x14ac:dyDescent="0.25">
      <c r="B12" s="91"/>
      <c r="C12" s="210" t="s">
        <v>28</v>
      </c>
      <c r="D12" s="223" t="s">
        <v>130</v>
      </c>
      <c r="E12" s="224">
        <v>3.8198000000000003E-2</v>
      </c>
      <c r="F12" s="30"/>
      <c r="G12" s="30"/>
      <c r="H12" s="30"/>
      <c r="I12" s="30"/>
      <c r="J12" s="30"/>
      <c r="K12" s="30"/>
      <c r="L12" s="30"/>
      <c r="M12" s="30"/>
      <c r="N12" s="30"/>
      <c r="O12" s="30"/>
      <c r="P12" s="30"/>
      <c r="Q12" s="30"/>
      <c r="R12" s="30"/>
      <c r="S12" s="30"/>
      <c r="T12" s="23"/>
      <c r="W12" s="70" t="s">
        <v>136</v>
      </c>
      <c r="X12" s="72">
        <v>5.1810000000000002E-2</v>
      </c>
      <c r="Y12" s="166"/>
    </row>
    <row r="13" spans="1:25" ht="15" customHeight="1" x14ac:dyDescent="0.25">
      <c r="B13" s="91"/>
      <c r="C13" s="210" t="s">
        <v>90</v>
      </c>
      <c r="D13" s="223" t="s">
        <v>3</v>
      </c>
      <c r="E13" s="224">
        <v>2.9876E-2</v>
      </c>
      <c r="F13" s="30"/>
      <c r="G13" s="30"/>
      <c r="H13" s="30"/>
      <c r="I13" s="30"/>
      <c r="J13" s="30"/>
      <c r="K13" s="30"/>
      <c r="L13" s="30"/>
      <c r="M13" s="30"/>
      <c r="N13" s="30"/>
      <c r="O13" s="30"/>
      <c r="P13" s="30"/>
      <c r="Q13" s="30"/>
      <c r="R13" s="30"/>
      <c r="S13" s="30"/>
      <c r="T13" s="23"/>
      <c r="W13" s="70" t="s">
        <v>6</v>
      </c>
      <c r="X13" s="72">
        <v>4.2701000000000003E-2</v>
      </c>
      <c r="Y13" s="166"/>
    </row>
    <row r="14" spans="1:25" ht="15" customHeight="1" x14ac:dyDescent="0.25">
      <c r="B14" s="91"/>
      <c r="C14" s="210" t="s">
        <v>91</v>
      </c>
      <c r="D14" s="223" t="s">
        <v>136</v>
      </c>
      <c r="E14" s="224">
        <v>2.9617000000000001E-2</v>
      </c>
      <c r="F14" s="30"/>
      <c r="G14" s="30"/>
      <c r="H14" s="30"/>
      <c r="I14" s="30"/>
      <c r="J14" s="30"/>
      <c r="K14" s="30"/>
      <c r="L14" s="30"/>
      <c r="M14" s="30"/>
      <c r="N14" s="30"/>
      <c r="O14" s="30"/>
      <c r="P14" s="30"/>
      <c r="Q14" s="30"/>
      <c r="R14" s="30"/>
      <c r="S14" s="30"/>
      <c r="T14" s="23"/>
      <c r="W14" s="70" t="s">
        <v>133</v>
      </c>
      <c r="X14" s="72">
        <v>3.9522000000000002E-2</v>
      </c>
      <c r="Y14" s="166"/>
    </row>
    <row r="15" spans="1:25" ht="15" customHeight="1" x14ac:dyDescent="0.25">
      <c r="B15" s="91"/>
      <c r="C15" s="210" t="s">
        <v>188</v>
      </c>
      <c r="D15" s="223" t="s">
        <v>23</v>
      </c>
      <c r="E15" s="224">
        <v>2.2733E-2</v>
      </c>
      <c r="F15" s="30"/>
      <c r="G15" s="30"/>
      <c r="H15" s="30"/>
      <c r="I15" s="30"/>
      <c r="J15" s="30"/>
      <c r="K15" s="30"/>
      <c r="L15" s="30"/>
      <c r="M15" s="30"/>
      <c r="N15" s="30"/>
      <c r="O15" s="30"/>
      <c r="P15" s="30"/>
      <c r="Q15" s="30"/>
      <c r="R15" s="30"/>
      <c r="S15" s="30"/>
      <c r="T15" s="23"/>
      <c r="W15" s="70" t="s">
        <v>94</v>
      </c>
      <c r="X15" s="72">
        <v>3.567E-2</v>
      </c>
      <c r="Y15" s="166"/>
    </row>
    <row r="16" spans="1:25" ht="15" customHeight="1" x14ac:dyDescent="0.25">
      <c r="B16" s="91"/>
      <c r="C16" s="210" t="s">
        <v>181</v>
      </c>
      <c r="D16" s="223" t="s">
        <v>143</v>
      </c>
      <c r="E16" s="224">
        <v>2.2499999999999999E-2</v>
      </c>
      <c r="F16" s="30"/>
      <c r="G16" s="30"/>
      <c r="H16" s="30"/>
      <c r="I16" s="30"/>
      <c r="J16" s="30"/>
      <c r="K16" s="30"/>
      <c r="L16" s="30"/>
      <c r="M16" s="30"/>
      <c r="N16" s="30"/>
      <c r="O16" s="30"/>
      <c r="P16" s="30"/>
      <c r="Q16" s="30"/>
      <c r="R16" s="30"/>
      <c r="S16" s="30"/>
      <c r="T16" s="23"/>
      <c r="W16" s="70" t="s">
        <v>4</v>
      </c>
      <c r="X16" s="72">
        <v>3.4216999999999997E-2</v>
      </c>
      <c r="Y16" s="166"/>
    </row>
    <row r="17" spans="2:25" ht="15" customHeight="1" x14ac:dyDescent="0.25">
      <c r="B17" s="91"/>
      <c r="C17" s="210" t="s">
        <v>83</v>
      </c>
      <c r="D17" s="223" t="s">
        <v>11</v>
      </c>
      <c r="E17" s="224">
        <v>2.1588E-2</v>
      </c>
      <c r="F17" s="30"/>
      <c r="G17" s="30"/>
      <c r="H17" s="30"/>
      <c r="I17" s="30"/>
      <c r="J17" s="30"/>
      <c r="K17" s="30"/>
      <c r="L17" s="30"/>
      <c r="M17" s="30"/>
      <c r="N17" s="30"/>
      <c r="O17" s="30"/>
      <c r="P17" s="30"/>
      <c r="Q17" s="30"/>
      <c r="R17" s="30"/>
      <c r="S17" s="30"/>
      <c r="T17" s="23"/>
      <c r="W17" s="70" t="s">
        <v>23</v>
      </c>
      <c r="X17" s="72">
        <v>3.4090000000000002E-2</v>
      </c>
      <c r="Y17" s="166"/>
    </row>
    <row r="18" spans="2:25" ht="15" customHeight="1" x14ac:dyDescent="0.25">
      <c r="B18" s="91"/>
      <c r="C18" s="210" t="s">
        <v>75</v>
      </c>
      <c r="D18" s="223" t="s">
        <v>12</v>
      </c>
      <c r="E18" s="224">
        <v>2.1523E-2</v>
      </c>
      <c r="F18" s="30"/>
      <c r="G18" s="30"/>
      <c r="H18" s="30"/>
      <c r="I18" s="30"/>
      <c r="J18" s="30"/>
      <c r="K18" s="30"/>
      <c r="L18" s="30"/>
      <c r="M18" s="30"/>
      <c r="N18" s="30"/>
      <c r="O18" s="30"/>
      <c r="P18" s="30"/>
      <c r="Q18" s="30"/>
      <c r="R18" s="30"/>
      <c r="S18" s="30"/>
      <c r="T18" s="23"/>
      <c r="W18" s="70" t="s">
        <v>24</v>
      </c>
      <c r="X18" s="72">
        <v>3.3166000000000001E-2</v>
      </c>
      <c r="Y18" s="166"/>
    </row>
    <row r="19" spans="2:25" ht="15" customHeight="1" x14ac:dyDescent="0.25">
      <c r="B19" s="91"/>
      <c r="C19" s="210" t="s">
        <v>112</v>
      </c>
      <c r="D19" s="223" t="s">
        <v>143</v>
      </c>
      <c r="E19" s="224">
        <v>2.0735E-2</v>
      </c>
      <c r="F19" s="30"/>
      <c r="G19" s="30"/>
      <c r="H19" s="30"/>
      <c r="I19" s="30"/>
      <c r="J19" s="30"/>
      <c r="K19" s="30"/>
      <c r="L19" s="30"/>
      <c r="M19" s="30"/>
      <c r="N19" s="30"/>
      <c r="O19" s="30"/>
      <c r="P19" s="30"/>
      <c r="Q19" s="30"/>
      <c r="R19" s="30"/>
      <c r="S19" s="30"/>
      <c r="T19" s="23"/>
      <c r="W19" s="70" t="s">
        <v>11</v>
      </c>
      <c r="X19" s="72">
        <v>3.2780999999999998E-2</v>
      </c>
      <c r="Y19" s="166"/>
    </row>
    <row r="20" spans="2:25" ht="15" customHeight="1" x14ac:dyDescent="0.25">
      <c r="B20" s="91"/>
      <c r="C20" s="210" t="s">
        <v>127</v>
      </c>
      <c r="D20" s="223" t="s">
        <v>135</v>
      </c>
      <c r="E20" s="224">
        <v>1.9831999999999999E-2</v>
      </c>
      <c r="F20" s="30"/>
      <c r="G20" s="30"/>
      <c r="H20" s="30"/>
      <c r="I20" s="30"/>
      <c r="J20" s="30"/>
      <c r="K20" s="30"/>
      <c r="L20" s="30"/>
      <c r="M20" s="30"/>
      <c r="N20" s="30"/>
      <c r="O20" s="30"/>
      <c r="P20" s="30"/>
      <c r="Q20" s="30"/>
      <c r="R20" s="30"/>
      <c r="S20" s="30"/>
      <c r="T20" s="23"/>
      <c r="W20" s="70" t="s">
        <v>148</v>
      </c>
      <c r="X20" s="72">
        <v>2.9278999999999999E-2</v>
      </c>
      <c r="Y20" s="166"/>
    </row>
    <row r="21" spans="2:25" ht="15" customHeight="1" x14ac:dyDescent="0.25">
      <c r="B21" s="91"/>
      <c r="C21" s="210" t="s">
        <v>126</v>
      </c>
      <c r="D21" s="223" t="s">
        <v>148</v>
      </c>
      <c r="E21" s="224">
        <v>1.8959E-2</v>
      </c>
      <c r="F21" s="30"/>
      <c r="G21" s="30"/>
      <c r="H21" s="30"/>
      <c r="I21" s="30"/>
      <c r="J21" s="30"/>
      <c r="K21" s="30"/>
      <c r="L21" s="30"/>
      <c r="M21" s="30"/>
      <c r="N21" s="30"/>
      <c r="O21" s="30"/>
      <c r="P21" s="30"/>
      <c r="Q21" s="30"/>
      <c r="R21" s="30"/>
      <c r="S21" s="30"/>
      <c r="T21" s="23"/>
      <c r="W21" s="70" t="s">
        <v>129</v>
      </c>
      <c r="X21" s="72">
        <v>2.6896E-2</v>
      </c>
      <c r="Y21" s="166"/>
    </row>
    <row r="22" spans="2:25" ht="15" customHeight="1" x14ac:dyDescent="0.25">
      <c r="B22" s="91"/>
      <c r="C22" s="210" t="s">
        <v>124</v>
      </c>
      <c r="D22" s="223" t="s">
        <v>4</v>
      </c>
      <c r="E22" s="224">
        <v>1.8898999999999999E-2</v>
      </c>
      <c r="F22" s="30"/>
      <c r="G22" s="30"/>
      <c r="H22" s="30"/>
      <c r="I22" s="30"/>
      <c r="J22" s="30"/>
      <c r="K22" s="30"/>
      <c r="L22" s="30"/>
      <c r="M22" s="30"/>
      <c r="N22" s="30"/>
      <c r="O22" s="30"/>
      <c r="P22" s="30"/>
      <c r="Q22" s="30"/>
      <c r="R22" s="30"/>
      <c r="S22" s="30"/>
      <c r="T22" s="23"/>
      <c r="W22" s="70" t="s">
        <v>95</v>
      </c>
      <c r="X22" s="72">
        <v>2.6519000000000001E-2</v>
      </c>
      <c r="Y22" s="166"/>
    </row>
    <row r="23" spans="2:25" ht="15" customHeight="1" x14ac:dyDescent="0.25">
      <c r="B23" s="91"/>
      <c r="C23" s="83"/>
      <c r="D23" s="83"/>
      <c r="E23" s="84"/>
      <c r="F23" s="30"/>
      <c r="G23" s="30"/>
      <c r="H23" s="30"/>
      <c r="I23" s="30"/>
      <c r="J23" s="30"/>
      <c r="K23" s="30"/>
      <c r="L23" s="30"/>
      <c r="M23" s="30"/>
      <c r="N23" s="30"/>
      <c r="O23" s="30"/>
      <c r="P23" s="30"/>
      <c r="Q23" s="30"/>
      <c r="R23" s="30"/>
      <c r="S23" s="30"/>
      <c r="T23" s="23"/>
      <c r="W23" s="70" t="s">
        <v>97</v>
      </c>
      <c r="X23" s="72">
        <v>2.6340000000000002E-2</v>
      </c>
      <c r="Y23" s="166"/>
    </row>
    <row r="24" spans="2:25" ht="15" customHeight="1" x14ac:dyDescent="0.25">
      <c r="B24" s="91"/>
      <c r="C24" s="85" t="s">
        <v>55</v>
      </c>
      <c r="D24" s="86"/>
      <c r="E24" s="87">
        <f>SUM(E8:E22)</f>
        <v>0.47329800000000011</v>
      </c>
      <c r="F24" s="30"/>
      <c r="G24" s="30"/>
      <c r="H24" s="30"/>
      <c r="I24" s="30"/>
      <c r="J24" s="30"/>
      <c r="K24" s="30"/>
      <c r="L24" s="30"/>
      <c r="M24" s="30"/>
      <c r="N24" s="30"/>
      <c r="O24" s="30"/>
      <c r="P24" s="30"/>
      <c r="Q24" s="30"/>
      <c r="R24" s="30"/>
      <c r="S24" s="30"/>
      <c r="T24" s="23"/>
      <c r="W24" s="70" t="s">
        <v>140</v>
      </c>
      <c r="X24" s="72">
        <v>2.1838999999999997E-2</v>
      </c>
      <c r="Y24" s="166"/>
    </row>
    <row r="25" spans="2:25" ht="15" customHeight="1" x14ac:dyDescent="0.25">
      <c r="B25" s="91"/>
      <c r="F25" s="30"/>
      <c r="G25" s="30"/>
      <c r="H25" s="30"/>
      <c r="I25" s="30"/>
      <c r="J25" s="30"/>
      <c r="K25" s="30"/>
      <c r="L25" s="30"/>
      <c r="M25" s="30"/>
      <c r="N25" s="30"/>
      <c r="O25" s="30"/>
      <c r="P25" s="30"/>
      <c r="Q25" s="30"/>
      <c r="R25" s="30"/>
      <c r="S25" s="30"/>
      <c r="T25" s="23"/>
      <c r="W25" s="70" t="s">
        <v>12</v>
      </c>
      <c r="X25" s="72">
        <v>2.1523E-2</v>
      </c>
      <c r="Y25" s="166"/>
    </row>
    <row r="26" spans="2:25" ht="15" customHeight="1" x14ac:dyDescent="0.25">
      <c r="B26" s="91"/>
      <c r="F26" s="30"/>
      <c r="G26" s="30"/>
      <c r="H26" s="30"/>
      <c r="I26" s="30"/>
      <c r="J26" s="30"/>
      <c r="K26" s="30"/>
      <c r="L26" s="30"/>
      <c r="M26" s="30"/>
      <c r="N26" s="30"/>
      <c r="O26" s="30"/>
      <c r="P26" s="30"/>
      <c r="Q26" s="30"/>
      <c r="R26" s="30"/>
      <c r="S26" s="30"/>
      <c r="T26" s="23"/>
      <c r="W26" s="70" t="s">
        <v>16</v>
      </c>
      <c r="X26" s="72">
        <v>1.9266999999999999E-2</v>
      </c>
      <c r="Y26" s="166"/>
    </row>
    <row r="27" spans="2:25" ht="15" customHeight="1" x14ac:dyDescent="0.25">
      <c r="B27" s="91"/>
      <c r="F27" s="30"/>
      <c r="G27" s="30"/>
      <c r="H27" s="30"/>
      <c r="I27" s="30"/>
      <c r="J27" s="30"/>
      <c r="K27" s="30"/>
      <c r="L27" s="30"/>
      <c r="M27" s="30"/>
      <c r="N27" s="30"/>
      <c r="O27" s="30"/>
      <c r="P27" s="30"/>
      <c r="Q27" s="30"/>
      <c r="R27" s="30"/>
      <c r="S27" s="30"/>
      <c r="T27" s="23"/>
      <c r="W27" s="70" t="s">
        <v>10</v>
      </c>
      <c r="X27" s="72">
        <v>1.737E-2</v>
      </c>
      <c r="Y27" s="166"/>
    </row>
    <row r="28" spans="2:25" ht="15" customHeight="1" x14ac:dyDescent="0.25">
      <c r="B28" s="91"/>
      <c r="F28" s="30"/>
      <c r="G28" s="30"/>
      <c r="H28" s="30"/>
      <c r="I28" s="30"/>
      <c r="J28" s="30"/>
      <c r="K28" s="30"/>
      <c r="L28" s="30"/>
      <c r="M28" s="30"/>
      <c r="N28" s="30"/>
      <c r="O28" s="30"/>
      <c r="P28" s="30"/>
      <c r="Q28" s="30"/>
      <c r="R28" s="30"/>
      <c r="S28" s="30"/>
      <c r="T28" s="23"/>
      <c r="W28" s="63" t="s">
        <v>26</v>
      </c>
      <c r="X28" s="64">
        <v>1.0999999999999999E-2</v>
      </c>
      <c r="Y28" s="166"/>
    </row>
    <row r="29" spans="2:25" ht="15" customHeight="1" x14ac:dyDescent="0.25">
      <c r="B29" s="91"/>
      <c r="F29" s="30"/>
      <c r="G29" s="30"/>
      <c r="H29" s="30"/>
      <c r="I29" s="30"/>
      <c r="J29" s="30"/>
      <c r="K29" s="30"/>
      <c r="L29" s="30"/>
      <c r="M29" s="30"/>
      <c r="N29" s="30"/>
      <c r="O29" s="30"/>
      <c r="P29" s="30"/>
      <c r="Q29" s="30"/>
      <c r="R29" s="30"/>
      <c r="S29" s="30"/>
      <c r="T29" s="23"/>
      <c r="W29" s="63" t="s">
        <v>15</v>
      </c>
      <c r="X29" s="64">
        <v>1.0877E-2</v>
      </c>
      <c r="Y29" s="166"/>
    </row>
    <row r="30" spans="2:25" ht="15" customHeight="1" x14ac:dyDescent="0.25">
      <c r="B30" s="91"/>
      <c r="F30" s="30"/>
      <c r="G30" s="30"/>
      <c r="H30" s="30"/>
      <c r="I30" s="30"/>
      <c r="J30" s="30"/>
      <c r="K30" s="30"/>
      <c r="L30" s="30"/>
      <c r="M30" s="30"/>
      <c r="N30" s="30"/>
      <c r="O30" s="30"/>
      <c r="P30" s="30"/>
      <c r="Q30" s="30"/>
      <c r="R30" s="30"/>
      <c r="S30" s="30"/>
      <c r="T30" s="23"/>
      <c r="W30" s="63" t="s">
        <v>141</v>
      </c>
      <c r="X30" s="64">
        <v>1.0834E-2</v>
      </c>
    </row>
    <row r="31" spans="2:25" ht="15" customHeight="1" x14ac:dyDescent="0.25">
      <c r="B31" s="91"/>
      <c r="F31" s="30"/>
      <c r="G31" s="30"/>
      <c r="H31" s="30"/>
      <c r="I31" s="30"/>
      <c r="J31" s="30"/>
      <c r="K31" s="30"/>
      <c r="L31" s="30"/>
      <c r="M31" s="30"/>
      <c r="N31" s="30"/>
      <c r="O31" s="30"/>
      <c r="P31" s="30"/>
      <c r="Q31" s="30"/>
      <c r="R31" s="30"/>
      <c r="S31" s="30"/>
      <c r="T31" s="23"/>
      <c r="W31" s="63" t="s">
        <v>139</v>
      </c>
      <c r="X31" s="64">
        <v>1.069E-2</v>
      </c>
    </row>
    <row r="32" spans="2:25" ht="15" customHeight="1" x14ac:dyDescent="0.25">
      <c r="B32" s="91"/>
      <c r="F32" s="30"/>
      <c r="G32" s="30"/>
      <c r="H32" s="30"/>
      <c r="I32" s="30"/>
      <c r="J32" s="30"/>
      <c r="K32" s="30"/>
      <c r="L32" s="30"/>
      <c r="M32" s="30"/>
      <c r="N32" s="30"/>
      <c r="O32" s="30"/>
      <c r="P32" s="30"/>
      <c r="Q32" s="30"/>
      <c r="R32" s="30"/>
      <c r="S32" s="30"/>
      <c r="T32" s="23"/>
      <c r="W32" s="63" t="s">
        <v>131</v>
      </c>
      <c r="X32" s="64">
        <v>6.9750000000000003E-3</v>
      </c>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row>
    <row r="35" spans="2:24" ht="15" customHeight="1" x14ac:dyDescent="0.25">
      <c r="B35" s="91"/>
      <c r="F35" s="30"/>
      <c r="G35" s="30"/>
      <c r="H35" s="30"/>
      <c r="I35" s="30"/>
      <c r="J35" s="30"/>
      <c r="K35" s="30"/>
      <c r="L35" s="30"/>
      <c r="M35" s="30"/>
      <c r="N35" s="30"/>
      <c r="O35" s="30"/>
      <c r="P35" s="30"/>
      <c r="Q35" s="30"/>
      <c r="R35" s="30"/>
      <c r="S35" s="30"/>
      <c r="T35" s="23"/>
    </row>
    <row r="36" spans="2:24" ht="15" customHeight="1" x14ac:dyDescent="0.25">
      <c r="B36" s="91"/>
      <c r="F36" s="30"/>
      <c r="G36" s="30"/>
      <c r="H36" s="30"/>
      <c r="I36" s="30"/>
      <c r="J36" s="30"/>
      <c r="K36" s="30"/>
      <c r="L36" s="30"/>
      <c r="M36" s="30"/>
      <c r="N36" s="30"/>
      <c r="O36" s="30"/>
      <c r="P36" s="30"/>
      <c r="Q36" s="30"/>
      <c r="R36" s="30"/>
      <c r="S36" s="30"/>
      <c r="T36" s="23"/>
    </row>
    <row r="37" spans="2:24" ht="15" customHeight="1" x14ac:dyDescent="0.25">
      <c r="B37" s="91"/>
      <c r="F37" s="30"/>
      <c r="G37" s="30"/>
      <c r="H37" s="30"/>
      <c r="I37" s="30"/>
      <c r="J37" s="30"/>
      <c r="K37" s="30"/>
      <c r="L37" s="30"/>
      <c r="M37" s="30"/>
      <c r="N37" s="30"/>
      <c r="O37" s="30"/>
      <c r="P37" s="30"/>
      <c r="Q37" s="30"/>
      <c r="R37" s="30"/>
      <c r="S37" s="30"/>
      <c r="T37" s="23"/>
    </row>
    <row r="38" spans="2:24" ht="15" customHeight="1" thickBot="1" x14ac:dyDescent="0.3">
      <c r="B38" s="92"/>
      <c r="C38" s="93"/>
      <c r="D38" s="93"/>
      <c r="E38" s="93"/>
      <c r="F38" s="93"/>
      <c r="G38" s="93"/>
      <c r="H38" s="93"/>
      <c r="I38" s="93"/>
      <c r="J38" s="93"/>
      <c r="K38" s="93"/>
      <c r="L38" s="93"/>
      <c r="M38" s="93"/>
      <c r="N38" s="93"/>
      <c r="O38" s="93"/>
      <c r="P38" s="93"/>
      <c r="Q38" s="93"/>
      <c r="R38" s="93"/>
      <c r="S38" s="93"/>
      <c r="T38" s="24"/>
    </row>
    <row r="39" spans="2:24" ht="15" customHeight="1" thickBot="1" x14ac:dyDescent="0.3"/>
    <row r="40" spans="2:24" ht="15" customHeight="1" x14ac:dyDescent="0.25">
      <c r="B40" s="245" t="s">
        <v>234</v>
      </c>
      <c r="C40" s="246"/>
      <c r="D40" s="246"/>
      <c r="E40" s="246"/>
      <c r="F40" s="246"/>
      <c r="G40" s="246"/>
      <c r="H40" s="246"/>
      <c r="I40" s="246"/>
      <c r="J40" s="246"/>
      <c r="K40" s="246"/>
      <c r="L40" s="246"/>
      <c r="M40" s="246"/>
      <c r="N40" s="246"/>
      <c r="O40" s="246"/>
      <c r="P40" s="246"/>
      <c r="Q40" s="246"/>
      <c r="R40" s="247"/>
    </row>
    <row r="41" spans="2:24" ht="15" customHeight="1" x14ac:dyDescent="0.25">
      <c r="B41" s="248"/>
      <c r="C41" s="249"/>
      <c r="D41" s="249"/>
      <c r="E41" s="249"/>
      <c r="F41" s="249"/>
      <c r="G41" s="249"/>
      <c r="H41" s="249"/>
      <c r="I41" s="249"/>
      <c r="J41" s="249"/>
      <c r="K41" s="249"/>
      <c r="L41" s="249"/>
      <c r="M41" s="249"/>
      <c r="N41" s="249"/>
      <c r="O41" s="249"/>
      <c r="P41" s="249"/>
      <c r="Q41" s="249"/>
      <c r="R41" s="250"/>
    </row>
    <row r="42" spans="2:24" ht="15" customHeight="1" x14ac:dyDescent="0.25">
      <c r="B42" s="248"/>
      <c r="C42" s="249"/>
      <c r="D42" s="249"/>
      <c r="E42" s="249"/>
      <c r="F42" s="249"/>
      <c r="G42" s="249"/>
      <c r="H42" s="249"/>
      <c r="I42" s="249"/>
      <c r="J42" s="249"/>
      <c r="K42" s="249"/>
      <c r="L42" s="249"/>
      <c r="M42" s="249"/>
      <c r="N42" s="249"/>
      <c r="O42" s="249"/>
      <c r="P42" s="249"/>
      <c r="Q42" s="249"/>
      <c r="R42" s="250"/>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15" customHeight="1" x14ac:dyDescent="0.25">
      <c r="B45" s="248"/>
      <c r="C45" s="249"/>
      <c r="D45" s="249"/>
      <c r="E45" s="249"/>
      <c r="F45" s="249"/>
      <c r="G45" s="249"/>
      <c r="H45" s="249"/>
      <c r="I45" s="249"/>
      <c r="J45" s="249"/>
      <c r="K45" s="249"/>
      <c r="L45" s="249"/>
      <c r="M45" s="249"/>
      <c r="N45" s="249"/>
      <c r="O45" s="249"/>
      <c r="P45" s="249"/>
      <c r="Q45" s="249"/>
      <c r="R45" s="250"/>
    </row>
    <row r="46" spans="2:24" ht="15" customHeight="1" thickBot="1" x14ac:dyDescent="0.3">
      <c r="B46" s="251"/>
      <c r="C46" s="252"/>
      <c r="D46" s="252"/>
      <c r="E46" s="252"/>
      <c r="F46" s="252"/>
      <c r="G46" s="252"/>
      <c r="H46" s="252"/>
      <c r="I46" s="252"/>
      <c r="J46" s="252"/>
      <c r="K46" s="252"/>
      <c r="L46" s="252"/>
      <c r="M46" s="252"/>
      <c r="N46" s="252"/>
      <c r="O46" s="252"/>
      <c r="P46" s="252"/>
      <c r="Q46" s="252"/>
      <c r="R46" s="25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1"/>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3"/>
      <c r="C2" s="46"/>
      <c r="D2" s="46"/>
      <c r="E2" s="46"/>
      <c r="F2" s="46"/>
      <c r="G2" s="46"/>
      <c r="H2" s="46"/>
      <c r="I2" s="46"/>
      <c r="J2" s="46"/>
      <c r="K2" s="46"/>
      <c r="L2" s="46"/>
      <c r="M2" s="46"/>
      <c r="N2" s="46"/>
      <c r="O2" s="46"/>
      <c r="P2" s="46"/>
      <c r="Q2" s="104"/>
    </row>
    <row r="3" spans="2:27" ht="20.25" customHeight="1" x14ac:dyDescent="0.2">
      <c r="B3" s="105"/>
      <c r="C3" s="239" t="s">
        <v>205</v>
      </c>
      <c r="D3" s="239"/>
      <c r="E3" s="239"/>
      <c r="F3" s="239"/>
      <c r="G3" s="239"/>
      <c r="H3" s="239"/>
      <c r="I3" s="239"/>
      <c r="J3" s="239"/>
      <c r="K3" s="239"/>
      <c r="L3" s="239"/>
      <c r="M3" s="239"/>
      <c r="N3" s="239"/>
      <c r="O3" s="239"/>
      <c r="P3" s="239"/>
      <c r="Q3" s="21"/>
    </row>
    <row r="4" spans="2:27" ht="15.75" x14ac:dyDescent="0.25">
      <c r="B4" s="105"/>
      <c r="C4" s="78" t="s">
        <v>313</v>
      </c>
      <c r="D4" s="5"/>
      <c r="E4" s="5"/>
      <c r="F4" s="5"/>
      <c r="G4" s="5"/>
      <c r="H4" s="5"/>
      <c r="I4" s="5"/>
      <c r="J4" s="5"/>
      <c r="K4" s="5"/>
      <c r="L4" s="5"/>
      <c r="M4" s="5"/>
      <c r="N4" s="5"/>
      <c r="O4" s="5"/>
      <c r="P4" s="5"/>
      <c r="Q4" s="21"/>
    </row>
    <row r="5" spans="2:27" ht="20.25" x14ac:dyDescent="0.2">
      <c r="B5" s="105"/>
      <c r="C5" s="79" t="s">
        <v>314</v>
      </c>
      <c r="D5" s="256" t="s">
        <v>307</v>
      </c>
      <c r="E5" s="256"/>
      <c r="F5" s="5"/>
      <c r="G5" s="5"/>
      <c r="H5" s="5"/>
      <c r="I5" s="5"/>
      <c r="J5" s="5"/>
      <c r="K5" s="5"/>
      <c r="L5" s="5"/>
      <c r="M5" s="5"/>
      <c r="N5" s="5"/>
      <c r="O5" s="5"/>
      <c r="P5" s="5"/>
      <c r="Q5" s="21"/>
    </row>
    <row r="6" spans="2:27" x14ac:dyDescent="0.2">
      <c r="B6" s="105"/>
      <c r="C6" s="5"/>
      <c r="D6" s="5"/>
      <c r="E6" s="5"/>
      <c r="F6" s="5"/>
      <c r="G6" s="5"/>
      <c r="H6" s="5"/>
      <c r="I6" s="5"/>
      <c r="J6" s="5"/>
      <c r="K6" s="5"/>
      <c r="L6" s="5"/>
      <c r="M6" s="5"/>
      <c r="N6" s="5"/>
      <c r="O6" s="5"/>
      <c r="P6" s="5"/>
      <c r="Q6" s="21"/>
      <c r="R6" s="2"/>
      <c r="S6" s="2"/>
      <c r="T6" s="1"/>
    </row>
    <row r="7" spans="2:27" ht="32.25" customHeight="1" x14ac:dyDescent="0.2">
      <c r="B7" s="105"/>
      <c r="C7" s="107" t="s">
        <v>0</v>
      </c>
      <c r="D7" s="206" t="s">
        <v>1</v>
      </c>
      <c r="E7" s="107" t="s">
        <v>2</v>
      </c>
      <c r="F7" s="5"/>
      <c r="G7" s="5"/>
      <c r="H7" s="5"/>
      <c r="I7" s="5"/>
      <c r="J7" s="5"/>
      <c r="K7" s="5"/>
      <c r="L7" s="5"/>
      <c r="M7" s="5"/>
      <c r="N7" s="5"/>
      <c r="O7" s="5"/>
      <c r="P7" s="5"/>
      <c r="Q7" s="21"/>
      <c r="R7" s="12" t="s">
        <v>38</v>
      </c>
      <c r="S7" s="12" t="s">
        <v>206</v>
      </c>
      <c r="T7" s="188"/>
    </row>
    <row r="8" spans="2:27" ht="15.75" x14ac:dyDescent="0.25">
      <c r="B8" s="105"/>
      <c r="C8" s="39"/>
      <c r="D8" s="5"/>
      <c r="E8" s="33"/>
      <c r="F8" s="5"/>
      <c r="G8" s="5"/>
      <c r="H8" s="5"/>
      <c r="I8" s="5"/>
      <c r="J8" s="5"/>
      <c r="K8" s="5"/>
      <c r="L8" s="5"/>
      <c r="M8" s="5"/>
      <c r="N8" s="5"/>
      <c r="O8" s="5"/>
      <c r="P8" s="5"/>
      <c r="Q8" s="21"/>
      <c r="R8" s="12" t="s">
        <v>39</v>
      </c>
      <c r="S8" s="13">
        <f>E9</f>
        <v>0.70478099999999999</v>
      </c>
      <c r="T8" s="188"/>
      <c r="V8" s="63"/>
      <c r="W8" s="64"/>
      <c r="Z8" s="49"/>
      <c r="AA8" s="49"/>
    </row>
    <row r="9" spans="2:27" ht="15.75" x14ac:dyDescent="0.25">
      <c r="B9" s="105"/>
      <c r="C9" s="121" t="s">
        <v>39</v>
      </c>
      <c r="D9" s="205"/>
      <c r="E9" s="204">
        <v>0.70478099999999999</v>
      </c>
      <c r="F9" s="54"/>
      <c r="G9" s="5"/>
      <c r="H9" s="5"/>
      <c r="I9" s="5"/>
      <c r="J9" s="5"/>
      <c r="K9" s="5"/>
      <c r="L9" s="5"/>
      <c r="M9" s="5"/>
      <c r="N9" s="5"/>
      <c r="O9" s="5"/>
      <c r="P9" s="5"/>
      <c r="Q9" s="21"/>
      <c r="R9" s="12" t="s">
        <v>40</v>
      </c>
      <c r="S9" s="13">
        <f>100%-S8</f>
        <v>0.29521900000000001</v>
      </c>
      <c r="T9" s="188"/>
      <c r="V9" s="63"/>
      <c r="W9" s="64"/>
      <c r="Z9" s="49"/>
      <c r="AA9" s="49"/>
    </row>
    <row r="10" spans="2:27" ht="15.75" x14ac:dyDescent="0.25">
      <c r="B10" s="105"/>
      <c r="C10" s="39"/>
      <c r="D10" s="5"/>
      <c r="E10" s="39"/>
      <c r="F10" s="54"/>
      <c r="G10" s="5"/>
      <c r="H10" s="5"/>
      <c r="I10" s="5"/>
      <c r="J10" s="5"/>
      <c r="K10" s="5"/>
      <c r="L10" s="5"/>
      <c r="M10" s="5"/>
      <c r="N10" s="5"/>
      <c r="O10" s="5"/>
      <c r="P10" s="5"/>
      <c r="Q10" s="21"/>
      <c r="R10" s="189"/>
      <c r="S10" s="188"/>
      <c r="T10" s="188"/>
      <c r="V10" s="63"/>
      <c r="W10" s="64"/>
      <c r="Z10" s="49"/>
      <c r="AA10" s="49"/>
    </row>
    <row r="11" spans="2:27" ht="15.75" x14ac:dyDescent="0.25">
      <c r="B11" s="105"/>
      <c r="C11" s="121" t="s">
        <v>41</v>
      </c>
      <c r="D11" s="205"/>
      <c r="E11" s="204">
        <v>3.7976999999999997E-2</v>
      </c>
      <c r="F11" s="54"/>
      <c r="G11" s="5"/>
      <c r="H11" s="5"/>
      <c r="I11" s="5"/>
      <c r="J11" s="5"/>
      <c r="K11" s="5"/>
      <c r="L11" s="5"/>
      <c r="M11" s="5"/>
      <c r="N11" s="5"/>
      <c r="O11" s="5"/>
      <c r="P11" s="5"/>
      <c r="Q11" s="21"/>
      <c r="R11" s="14"/>
      <c r="S11" s="1"/>
      <c r="T11" s="1"/>
      <c r="V11" s="63"/>
      <c r="W11" s="64"/>
    </row>
    <row r="12" spans="2:27" ht="15.75" x14ac:dyDescent="0.25">
      <c r="B12" s="105"/>
      <c r="C12" s="126"/>
      <c r="D12" s="207"/>
      <c r="E12" s="127"/>
      <c r="F12" s="54"/>
      <c r="G12" s="5"/>
      <c r="H12" s="5"/>
      <c r="I12" s="5"/>
      <c r="J12" s="5"/>
      <c r="K12" s="5"/>
      <c r="L12" s="5"/>
      <c r="M12" s="5"/>
      <c r="N12" s="5"/>
      <c r="O12" s="5"/>
      <c r="P12" s="5"/>
      <c r="Q12" s="21"/>
      <c r="R12" s="14"/>
      <c r="S12" s="1"/>
      <c r="T12" s="1"/>
      <c r="V12" s="63"/>
      <c r="W12" s="64"/>
    </row>
    <row r="13" spans="2:27" ht="15.75" x14ac:dyDescent="0.25">
      <c r="B13" s="105"/>
      <c r="C13" s="121" t="s">
        <v>222</v>
      </c>
      <c r="D13" s="205"/>
      <c r="E13" s="204">
        <v>3.2593999999999998E-2</v>
      </c>
      <c r="F13" s="54"/>
      <c r="G13" s="5"/>
      <c r="H13" s="5"/>
      <c r="I13" s="5"/>
      <c r="J13" s="5"/>
      <c r="K13" s="5"/>
      <c r="L13" s="5"/>
      <c r="M13" s="5"/>
      <c r="N13" s="5"/>
      <c r="O13" s="5"/>
      <c r="P13" s="5"/>
      <c r="Q13" s="21"/>
      <c r="R13" s="56"/>
      <c r="V13" s="63"/>
      <c r="W13" s="64"/>
    </row>
    <row r="14" spans="2:27" ht="15.75" x14ac:dyDescent="0.25">
      <c r="B14" s="105"/>
      <c r="C14" s="39"/>
      <c r="D14" s="5"/>
      <c r="E14" s="39"/>
      <c r="F14" s="54"/>
      <c r="G14" s="5"/>
      <c r="H14" s="5"/>
      <c r="I14" s="5"/>
      <c r="J14" s="5"/>
      <c r="K14" s="5"/>
      <c r="L14" s="5"/>
      <c r="M14" s="5"/>
      <c r="N14" s="5"/>
      <c r="O14" s="5"/>
      <c r="P14" s="5"/>
      <c r="Q14" s="21"/>
      <c r="R14" s="56"/>
      <c r="V14" s="63"/>
      <c r="W14" s="64"/>
    </row>
    <row r="15" spans="2:27" ht="15.75" x14ac:dyDescent="0.25">
      <c r="B15" s="105"/>
      <c r="C15" s="121" t="s">
        <v>42</v>
      </c>
      <c r="D15" s="205"/>
      <c r="E15" s="204">
        <v>3.9281999999999997E-2</v>
      </c>
      <c r="F15" s="54"/>
      <c r="G15" s="5"/>
      <c r="H15" s="5"/>
      <c r="I15" s="5"/>
      <c r="J15" s="5"/>
      <c r="K15" s="5"/>
      <c r="L15" s="5"/>
      <c r="M15" s="5"/>
      <c r="N15" s="5"/>
      <c r="O15" s="5"/>
      <c r="P15" s="5"/>
      <c r="Q15" s="21"/>
      <c r="R15" s="56"/>
      <c r="V15" s="63"/>
      <c r="W15" s="64"/>
    </row>
    <row r="16" spans="2:27" ht="15.75" x14ac:dyDescent="0.25">
      <c r="B16" s="105"/>
      <c r="C16" s="39"/>
      <c r="D16" s="5"/>
      <c r="E16" s="39"/>
      <c r="F16" s="54"/>
      <c r="G16" s="5"/>
      <c r="H16" s="5"/>
      <c r="I16" s="5"/>
      <c r="J16" s="5"/>
      <c r="K16" s="5"/>
      <c r="L16" s="5"/>
      <c r="M16" s="5"/>
      <c r="N16" s="5"/>
      <c r="O16" s="5"/>
      <c r="P16" s="5"/>
      <c r="Q16" s="21"/>
      <c r="R16" s="56"/>
      <c r="V16" s="63"/>
      <c r="W16" s="64"/>
    </row>
    <row r="17" spans="1:27" ht="31.5" x14ac:dyDescent="0.25">
      <c r="B17" s="105"/>
      <c r="C17" s="121" t="s">
        <v>218</v>
      </c>
      <c r="D17" s="205"/>
      <c r="E17" s="204">
        <v>8.5750999999999994E-2</v>
      </c>
      <c r="F17" s="54"/>
      <c r="G17" s="30"/>
      <c r="H17" s="30"/>
      <c r="I17" s="30"/>
      <c r="J17" s="30"/>
      <c r="K17" s="30"/>
      <c r="L17" s="30"/>
      <c r="M17" s="30"/>
      <c r="N17" s="30"/>
      <c r="O17" s="30"/>
      <c r="P17" s="30"/>
      <c r="Q17" s="21"/>
      <c r="R17" s="56"/>
    </row>
    <row r="18" spans="1:27" ht="15.75" x14ac:dyDescent="0.25">
      <c r="B18" s="105"/>
      <c r="C18" s="39"/>
      <c r="D18" s="5"/>
      <c r="E18" s="39"/>
      <c r="F18" s="5"/>
      <c r="G18" s="30"/>
      <c r="H18" s="30"/>
      <c r="I18" s="30"/>
      <c r="J18" s="30"/>
      <c r="K18" s="30"/>
      <c r="L18" s="30"/>
      <c r="M18" s="30"/>
      <c r="N18" s="30"/>
      <c r="O18" s="30"/>
      <c r="P18" s="30"/>
      <c r="Q18" s="21"/>
      <c r="R18" s="56"/>
    </row>
    <row r="19" spans="1:27" ht="15.75" x14ac:dyDescent="0.2">
      <c r="B19" s="105"/>
      <c r="C19" s="121" t="s">
        <v>79</v>
      </c>
      <c r="D19" s="205"/>
      <c r="E19" s="204">
        <v>5.2950000000000002E-3</v>
      </c>
      <c r="F19" s="164"/>
      <c r="G19" s="5"/>
      <c r="H19" s="5"/>
      <c r="I19" s="5"/>
      <c r="J19" s="5"/>
      <c r="K19" s="5"/>
      <c r="L19" s="5"/>
      <c r="M19" s="5"/>
      <c r="N19" s="5"/>
      <c r="O19" s="5"/>
      <c r="P19" s="5"/>
      <c r="Q19" s="21"/>
      <c r="R19" s="56"/>
    </row>
    <row r="20" spans="1:27" x14ac:dyDescent="0.2">
      <c r="B20" s="105"/>
      <c r="C20" s="39"/>
      <c r="D20" s="5"/>
      <c r="E20" s="39"/>
      <c r="F20" s="5"/>
      <c r="G20" s="5"/>
      <c r="H20" s="5"/>
      <c r="I20" s="5"/>
      <c r="J20" s="5"/>
      <c r="K20" s="5"/>
      <c r="L20" s="5"/>
      <c r="M20" s="5"/>
      <c r="N20" s="5"/>
      <c r="O20" s="5"/>
      <c r="P20" s="5"/>
      <c r="Q20" s="21"/>
      <c r="R20" s="56"/>
    </row>
    <row r="21" spans="1:27" ht="15.75" x14ac:dyDescent="0.2">
      <c r="B21" s="105"/>
      <c r="C21" s="121" t="s">
        <v>89</v>
      </c>
      <c r="D21" s="205"/>
      <c r="E21" s="204">
        <v>5.8978999999999997E-2</v>
      </c>
      <c r="F21" s="164"/>
      <c r="G21" s="5"/>
      <c r="H21" s="5"/>
      <c r="I21" s="5"/>
      <c r="J21" s="5"/>
      <c r="K21" s="5"/>
      <c r="L21" s="5"/>
      <c r="M21" s="5"/>
      <c r="N21" s="5"/>
      <c r="O21" s="5"/>
      <c r="P21" s="5"/>
      <c r="Q21" s="21"/>
      <c r="R21" s="56"/>
    </row>
    <row r="22" spans="1:27" x14ac:dyDescent="0.2">
      <c r="B22" s="105"/>
      <c r="C22" s="39"/>
      <c r="D22" s="5"/>
      <c r="E22" s="39"/>
      <c r="F22" s="5"/>
      <c r="G22" s="5"/>
      <c r="H22" s="5"/>
      <c r="I22" s="5"/>
      <c r="J22" s="5"/>
      <c r="K22" s="5"/>
      <c r="L22" s="5"/>
      <c r="M22" s="5"/>
      <c r="N22" s="5"/>
      <c r="O22" s="5"/>
      <c r="P22" s="5"/>
      <c r="Q22" s="21"/>
      <c r="R22" s="56"/>
    </row>
    <row r="23" spans="1:27" ht="15.75" x14ac:dyDescent="0.2">
      <c r="B23" s="105"/>
      <c r="C23" s="121" t="s">
        <v>20</v>
      </c>
      <c r="D23" s="205"/>
      <c r="E23" s="204">
        <v>3.5341000000000032E-2</v>
      </c>
      <c r="F23" s="32"/>
      <c r="G23" s="5"/>
      <c r="H23" s="5"/>
      <c r="I23" s="5"/>
      <c r="J23" s="5"/>
      <c r="K23" s="5"/>
      <c r="L23" s="5"/>
      <c r="M23" s="5"/>
      <c r="N23" s="5"/>
      <c r="O23" s="5"/>
      <c r="P23" s="5"/>
      <c r="Q23" s="21"/>
      <c r="R23" s="56"/>
    </row>
    <row r="24" spans="1:27" x14ac:dyDescent="0.2">
      <c r="B24" s="105"/>
      <c r="C24" s="39"/>
      <c r="D24" s="5"/>
      <c r="E24" s="39"/>
      <c r="F24" s="5"/>
      <c r="G24" s="5"/>
      <c r="H24" s="5"/>
      <c r="I24" s="5"/>
      <c r="J24" s="5"/>
      <c r="K24" s="5"/>
      <c r="L24" s="5"/>
      <c r="M24" s="5"/>
      <c r="N24" s="5"/>
      <c r="O24" s="5"/>
      <c r="P24" s="5"/>
      <c r="Q24" s="21"/>
      <c r="R24" s="56"/>
    </row>
    <row r="25" spans="1:27" ht="15.75" x14ac:dyDescent="0.2">
      <c r="B25" s="105"/>
      <c r="C25" s="128" t="s">
        <v>21</v>
      </c>
      <c r="D25" s="208"/>
      <c r="E25" s="129">
        <f>E23+E21+E19+E17+E15+E13+E11+E9</f>
        <v>1</v>
      </c>
      <c r="F25" s="32"/>
      <c r="G25" s="5"/>
      <c r="H25" s="165"/>
      <c r="I25" s="5"/>
      <c r="J25" s="5"/>
      <c r="K25" s="5"/>
      <c r="L25" s="5"/>
      <c r="M25" s="5"/>
      <c r="N25" s="5"/>
      <c r="O25" s="5"/>
      <c r="P25" s="5"/>
      <c r="Q25" s="21"/>
      <c r="R25" s="56"/>
    </row>
    <row r="26" spans="1:27" x14ac:dyDescent="0.2">
      <c r="B26" s="105"/>
      <c r="F26" s="5"/>
      <c r="G26" s="5"/>
      <c r="H26" s="5"/>
      <c r="I26" s="5"/>
      <c r="J26" s="5"/>
      <c r="K26" s="5"/>
      <c r="L26" s="5"/>
      <c r="M26" s="5"/>
      <c r="N26" s="5"/>
      <c r="O26" s="5"/>
      <c r="P26" s="5"/>
      <c r="Q26" s="21"/>
      <c r="R26" s="56"/>
    </row>
    <row r="27" spans="1:27" x14ac:dyDescent="0.2">
      <c r="B27" s="105"/>
      <c r="F27" s="5"/>
      <c r="G27" s="5"/>
      <c r="H27" s="5"/>
      <c r="I27" s="5"/>
      <c r="J27" s="5"/>
      <c r="K27" s="5"/>
      <c r="L27" s="5"/>
      <c r="M27" s="5"/>
      <c r="N27" s="5"/>
      <c r="O27" s="5"/>
      <c r="P27" s="5"/>
      <c r="Q27" s="21"/>
      <c r="R27" s="56"/>
    </row>
    <row r="28" spans="1:27" x14ac:dyDescent="0.2">
      <c r="B28" s="105"/>
      <c r="F28" s="5"/>
      <c r="G28" s="5"/>
      <c r="H28" s="5"/>
      <c r="I28" s="5"/>
      <c r="J28" s="5"/>
      <c r="K28" s="5"/>
      <c r="L28" s="5"/>
      <c r="M28" s="5"/>
      <c r="N28" s="5"/>
      <c r="O28" s="5"/>
      <c r="P28" s="5"/>
      <c r="Q28" s="21"/>
      <c r="R28" s="56"/>
    </row>
    <row r="29" spans="1:27" ht="15.75" thickBot="1" x14ac:dyDescent="0.25">
      <c r="A29" s="5"/>
      <c r="B29" s="108"/>
      <c r="C29" s="51"/>
      <c r="D29" s="51"/>
      <c r="E29" s="51"/>
      <c r="F29" s="51"/>
      <c r="G29" s="51"/>
      <c r="H29" s="51"/>
      <c r="I29" s="51"/>
      <c r="J29" s="51"/>
      <c r="K29" s="51"/>
      <c r="L29" s="51"/>
      <c r="M29" s="51"/>
      <c r="N29" s="51"/>
      <c r="O29" s="51"/>
      <c r="P29" s="51"/>
      <c r="Q29" s="132"/>
      <c r="R29" s="57"/>
      <c r="S29" s="5"/>
      <c r="T29" s="5"/>
      <c r="U29" s="5"/>
      <c r="V29" s="5"/>
      <c r="W29" s="5"/>
      <c r="X29" s="5"/>
      <c r="Y29" s="5"/>
      <c r="Z29" s="5"/>
      <c r="AA29" s="5"/>
    </row>
    <row r="30" spans="1:27" ht="15.75" thickBot="1" x14ac:dyDescent="0.25">
      <c r="A30" s="5"/>
      <c r="B30" s="5"/>
      <c r="C30" s="5"/>
      <c r="D30" s="5"/>
      <c r="E30" s="5"/>
      <c r="F30" s="5"/>
      <c r="G30" s="5"/>
      <c r="H30" s="5"/>
      <c r="I30" s="5"/>
      <c r="J30" s="5"/>
      <c r="K30" s="5"/>
      <c r="L30" s="5"/>
      <c r="M30" s="5"/>
      <c r="N30" s="5"/>
      <c r="O30" s="5"/>
      <c r="P30" s="5"/>
      <c r="Q30" s="5"/>
      <c r="R30" s="57"/>
      <c r="S30" s="5"/>
      <c r="T30" s="5"/>
      <c r="U30" s="5"/>
      <c r="V30" s="5"/>
      <c r="W30" s="5"/>
      <c r="X30" s="5"/>
      <c r="Y30" s="5"/>
      <c r="Z30" s="5"/>
      <c r="AA30" s="5"/>
    </row>
    <row r="31" spans="1:27" ht="15" customHeight="1" x14ac:dyDescent="0.2">
      <c r="A31" s="5"/>
      <c r="B31" s="245" t="s">
        <v>234</v>
      </c>
      <c r="C31" s="246"/>
      <c r="D31" s="246"/>
      <c r="E31" s="246"/>
      <c r="F31" s="246"/>
      <c r="G31" s="246"/>
      <c r="H31" s="246"/>
      <c r="I31" s="246"/>
      <c r="J31" s="246"/>
      <c r="K31" s="246"/>
      <c r="L31" s="246"/>
      <c r="M31" s="246"/>
      <c r="N31" s="246"/>
      <c r="O31" s="246"/>
      <c r="P31" s="246"/>
      <c r="Q31" s="246"/>
      <c r="R31" s="247"/>
      <c r="S31" s="5"/>
      <c r="T31" s="5"/>
      <c r="U31" s="5"/>
      <c r="V31" s="5"/>
      <c r="W31" s="5"/>
      <c r="X31" s="5"/>
      <c r="Y31" s="5"/>
      <c r="Z31" s="5"/>
      <c r="AA31" s="5"/>
    </row>
    <row r="32" spans="1:27" x14ac:dyDescent="0.2">
      <c r="A32" s="5"/>
      <c r="B32" s="248"/>
      <c r="C32" s="249"/>
      <c r="D32" s="249"/>
      <c r="E32" s="249"/>
      <c r="F32" s="249"/>
      <c r="G32" s="249"/>
      <c r="H32" s="249"/>
      <c r="I32" s="249"/>
      <c r="J32" s="249"/>
      <c r="K32" s="249"/>
      <c r="L32" s="249"/>
      <c r="M32" s="249"/>
      <c r="N32" s="249"/>
      <c r="O32" s="249"/>
      <c r="P32" s="249"/>
      <c r="Q32" s="249"/>
      <c r="R32" s="250"/>
      <c r="S32" s="5"/>
      <c r="T32" s="5"/>
      <c r="U32" s="5"/>
      <c r="V32" s="5"/>
      <c r="W32" s="5"/>
      <c r="X32" s="5"/>
      <c r="Y32" s="5"/>
      <c r="Z32" s="5"/>
      <c r="AA32" s="5"/>
    </row>
    <row r="33" spans="1:27" x14ac:dyDescent="0.2">
      <c r="A33" s="5"/>
      <c r="B33" s="248"/>
      <c r="C33" s="249"/>
      <c r="D33" s="249"/>
      <c r="E33" s="249"/>
      <c r="F33" s="249"/>
      <c r="G33" s="249"/>
      <c r="H33" s="249"/>
      <c r="I33" s="249"/>
      <c r="J33" s="249"/>
      <c r="K33" s="249"/>
      <c r="L33" s="249"/>
      <c r="M33" s="249"/>
      <c r="N33" s="249"/>
      <c r="O33" s="249"/>
      <c r="P33" s="249"/>
      <c r="Q33" s="249"/>
      <c r="R33" s="250"/>
      <c r="S33" s="5"/>
      <c r="T33" s="5"/>
      <c r="U33" s="5"/>
      <c r="V33" s="5"/>
      <c r="W33" s="5"/>
      <c r="X33" s="5"/>
      <c r="Y33" s="5"/>
      <c r="Z33" s="5"/>
      <c r="AA33" s="5"/>
    </row>
    <row r="34" spans="1:27" x14ac:dyDescent="0.2">
      <c r="A34" s="5"/>
      <c r="B34" s="248"/>
      <c r="C34" s="249"/>
      <c r="D34" s="249"/>
      <c r="E34" s="249"/>
      <c r="F34" s="249"/>
      <c r="G34" s="249"/>
      <c r="H34" s="249"/>
      <c r="I34" s="249"/>
      <c r="J34" s="249"/>
      <c r="K34" s="249"/>
      <c r="L34" s="249"/>
      <c r="M34" s="249"/>
      <c r="N34" s="249"/>
      <c r="O34" s="249"/>
      <c r="P34" s="249"/>
      <c r="Q34" s="249"/>
      <c r="R34" s="250"/>
      <c r="S34" s="5"/>
      <c r="T34" s="5"/>
      <c r="U34" s="5"/>
      <c r="V34" s="5"/>
      <c r="W34" s="5"/>
      <c r="X34" s="5"/>
      <c r="Y34" s="5"/>
      <c r="Z34" s="5"/>
      <c r="AA34" s="5"/>
    </row>
    <row r="35" spans="1:27" x14ac:dyDescent="0.2">
      <c r="A35" s="5"/>
      <c r="B35" s="248"/>
      <c r="C35" s="249"/>
      <c r="D35" s="249"/>
      <c r="E35" s="249"/>
      <c r="F35" s="249"/>
      <c r="G35" s="249"/>
      <c r="H35" s="249"/>
      <c r="I35" s="249"/>
      <c r="J35" s="249"/>
      <c r="K35" s="249"/>
      <c r="L35" s="249"/>
      <c r="M35" s="249"/>
      <c r="N35" s="249"/>
      <c r="O35" s="249"/>
      <c r="P35" s="249"/>
      <c r="Q35" s="249"/>
      <c r="R35" s="250"/>
      <c r="S35" s="5"/>
      <c r="T35" s="5"/>
      <c r="U35" s="5"/>
      <c r="V35" s="5"/>
      <c r="W35" s="5"/>
      <c r="X35" s="5"/>
      <c r="Y35" s="5"/>
      <c r="Z35" s="5"/>
      <c r="AA35" s="5"/>
    </row>
    <row r="36" spans="1:27" x14ac:dyDescent="0.2">
      <c r="A36" s="5"/>
      <c r="B36" s="248"/>
      <c r="C36" s="249"/>
      <c r="D36" s="249"/>
      <c r="E36" s="249"/>
      <c r="F36" s="249"/>
      <c r="G36" s="249"/>
      <c r="H36" s="249"/>
      <c r="I36" s="249"/>
      <c r="J36" s="249"/>
      <c r="K36" s="249"/>
      <c r="L36" s="249"/>
      <c r="M36" s="249"/>
      <c r="N36" s="249"/>
      <c r="O36" s="249"/>
      <c r="P36" s="249"/>
      <c r="Q36" s="249"/>
      <c r="R36" s="250"/>
      <c r="S36" s="5"/>
      <c r="T36" s="5"/>
      <c r="U36" s="5"/>
      <c r="V36" s="5"/>
      <c r="W36" s="5"/>
      <c r="X36" s="5"/>
      <c r="Y36" s="5"/>
      <c r="Z36" s="5"/>
      <c r="AA36" s="5"/>
    </row>
    <row r="37" spans="1:27" ht="15.75" thickBot="1" x14ac:dyDescent="0.25">
      <c r="A37" s="5"/>
      <c r="B37" s="251"/>
      <c r="C37" s="252"/>
      <c r="D37" s="252"/>
      <c r="E37" s="252"/>
      <c r="F37" s="252"/>
      <c r="G37" s="252"/>
      <c r="H37" s="252"/>
      <c r="I37" s="252"/>
      <c r="J37" s="252"/>
      <c r="K37" s="252"/>
      <c r="L37" s="252"/>
      <c r="M37" s="252"/>
      <c r="N37" s="252"/>
      <c r="O37" s="252"/>
      <c r="P37" s="252"/>
      <c r="Q37" s="252"/>
      <c r="R37" s="253"/>
      <c r="S37" s="5"/>
      <c r="T37" s="5"/>
      <c r="U37" s="5"/>
      <c r="V37" s="5"/>
      <c r="W37" s="5"/>
      <c r="X37" s="5"/>
      <c r="Y37" s="5"/>
      <c r="Z37" s="5"/>
      <c r="AA37" s="5"/>
    </row>
    <row r="38" spans="1:27" x14ac:dyDescent="0.2">
      <c r="A38" s="5"/>
      <c r="B38" s="5"/>
      <c r="F38" s="5"/>
      <c r="G38" s="5"/>
      <c r="H38" s="5"/>
      <c r="I38" s="5"/>
      <c r="J38" s="5"/>
      <c r="K38" s="5"/>
      <c r="L38" s="5"/>
      <c r="M38" s="5"/>
      <c r="N38" s="5"/>
      <c r="O38" s="5"/>
      <c r="P38" s="5"/>
      <c r="Q38" s="5"/>
      <c r="R38" s="57"/>
      <c r="S38" s="5"/>
      <c r="T38" s="5"/>
      <c r="U38" s="5"/>
      <c r="V38" s="5"/>
      <c r="W38" s="5"/>
      <c r="X38" s="5"/>
      <c r="Y38" s="5"/>
      <c r="Z38" s="5"/>
      <c r="AA38" s="5"/>
    </row>
    <row r="39" spans="1:27" x14ac:dyDescent="0.2">
      <c r="A39" s="5"/>
      <c r="B39" s="5"/>
      <c r="F39" s="5"/>
      <c r="G39" s="5"/>
      <c r="H39" s="5"/>
      <c r="I39" s="5"/>
      <c r="J39" s="5"/>
      <c r="K39" s="5"/>
      <c r="L39" s="5"/>
      <c r="M39" s="5"/>
      <c r="N39" s="5"/>
      <c r="O39" s="5"/>
      <c r="P39" s="5"/>
      <c r="Q39" s="5"/>
      <c r="R39" s="5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B100" s="5"/>
      <c r="C100" s="5"/>
      <c r="D100" s="5"/>
      <c r="E100" s="5"/>
      <c r="F100" s="5"/>
      <c r="G100" s="5"/>
      <c r="H100" s="5"/>
      <c r="I100" s="5"/>
      <c r="J100" s="5"/>
      <c r="K100" s="5"/>
      <c r="L100" s="5"/>
      <c r="M100" s="5"/>
      <c r="N100" s="5"/>
      <c r="O100" s="5"/>
      <c r="P100" s="5"/>
      <c r="Q100" s="5"/>
      <c r="R100" s="56"/>
    </row>
    <row r="101" spans="1:27" x14ac:dyDescent="0.2">
      <c r="B101" s="5"/>
      <c r="C101" s="5"/>
      <c r="D101" s="5"/>
      <c r="E101" s="5"/>
      <c r="F101" s="5"/>
      <c r="G101" s="5"/>
      <c r="H101" s="5"/>
      <c r="I101" s="5"/>
      <c r="J101" s="5"/>
      <c r="K101" s="5"/>
      <c r="L101" s="5"/>
      <c r="M101" s="5"/>
      <c r="N101" s="5"/>
      <c r="O101" s="5"/>
      <c r="P101" s="5"/>
      <c r="Q101" s="5"/>
      <c r="R101" s="56"/>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R104" s="56"/>
    </row>
    <row r="105" spans="1:27" x14ac:dyDescent="0.2">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sheetData>
  <mergeCells count="3">
    <mergeCell ref="C3:P3"/>
    <mergeCell ref="D5:E5"/>
    <mergeCell ref="B31:R37"/>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6"/>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4"/>
      <c r="C2" s="29"/>
      <c r="D2" s="29"/>
      <c r="E2" s="29"/>
      <c r="F2" s="29"/>
      <c r="G2" s="29"/>
      <c r="H2" s="29"/>
      <c r="I2" s="29"/>
      <c r="J2" s="29"/>
      <c r="K2" s="29"/>
      <c r="L2" s="29"/>
      <c r="M2" s="29"/>
      <c r="N2" s="29"/>
      <c r="O2" s="29"/>
      <c r="P2" s="29"/>
      <c r="Q2" s="29"/>
      <c r="R2" s="29"/>
      <c r="S2" s="29"/>
      <c r="T2" s="25"/>
    </row>
    <row r="3" spans="1:25" ht="20.25" customHeight="1" x14ac:dyDescent="0.25">
      <c r="B3" s="75"/>
      <c r="C3" s="254" t="s">
        <v>204</v>
      </c>
      <c r="D3" s="255"/>
      <c r="E3" s="255"/>
      <c r="F3" s="255"/>
      <c r="G3" s="255"/>
      <c r="H3" s="255"/>
      <c r="I3" s="255"/>
      <c r="J3" s="255"/>
      <c r="K3" s="255"/>
      <c r="L3" s="255"/>
      <c r="M3" s="255"/>
      <c r="N3" s="255"/>
      <c r="O3" s="255"/>
      <c r="P3" s="255"/>
      <c r="Q3" s="255"/>
      <c r="R3" s="255"/>
      <c r="S3" s="255"/>
      <c r="T3" s="26"/>
    </row>
    <row r="4" spans="1:25" ht="15.75" customHeight="1" x14ac:dyDescent="0.25">
      <c r="B4" s="75"/>
      <c r="C4" s="78" t="s">
        <v>313</v>
      </c>
      <c r="D4" s="30"/>
      <c r="E4" s="30"/>
      <c r="F4" s="30"/>
      <c r="G4" s="30"/>
      <c r="H4" s="30"/>
      <c r="I4" s="30"/>
      <c r="J4" s="30"/>
      <c r="K4" s="30"/>
      <c r="L4" s="30"/>
      <c r="M4" s="30"/>
      <c r="N4" s="30"/>
      <c r="O4" s="30"/>
      <c r="P4" s="30"/>
      <c r="Q4" s="30"/>
      <c r="R4" s="30"/>
      <c r="S4" s="30"/>
      <c r="T4" s="26"/>
    </row>
    <row r="5" spans="1:25" ht="18" customHeight="1" x14ac:dyDescent="0.25">
      <c r="B5" s="75"/>
      <c r="C5" s="79" t="s">
        <v>314</v>
      </c>
      <c r="D5" s="256" t="s">
        <v>306</v>
      </c>
      <c r="E5" s="256"/>
      <c r="F5" s="30"/>
      <c r="G5" s="30"/>
      <c r="H5" s="30"/>
      <c r="I5" s="30"/>
      <c r="J5" s="30"/>
      <c r="K5" s="30"/>
      <c r="L5" s="30"/>
      <c r="M5" s="30"/>
      <c r="N5" s="30"/>
      <c r="O5" s="30"/>
      <c r="P5" s="30"/>
      <c r="Q5" s="30"/>
      <c r="R5" s="30"/>
      <c r="S5" s="30"/>
      <c r="T5" s="26"/>
    </row>
    <row r="6" spans="1:25" ht="15" customHeight="1" x14ac:dyDescent="0.25">
      <c r="B6" s="75"/>
      <c r="C6" s="30"/>
      <c r="D6" s="30"/>
      <c r="E6" s="30"/>
      <c r="F6" s="30"/>
      <c r="G6" s="30"/>
      <c r="H6" s="30"/>
      <c r="I6" s="30"/>
      <c r="J6" s="30"/>
      <c r="K6" s="30"/>
      <c r="L6" s="30"/>
      <c r="M6" s="30"/>
      <c r="N6" s="30"/>
      <c r="O6" s="30"/>
      <c r="P6" s="30"/>
      <c r="Q6" s="30"/>
      <c r="R6" s="30"/>
      <c r="S6" s="30"/>
      <c r="T6" s="26"/>
      <c r="W6" s="42"/>
      <c r="X6" s="42"/>
      <c r="Y6" s="42"/>
    </row>
    <row r="7" spans="1:25" ht="32.25" customHeight="1" x14ac:dyDescent="0.25">
      <c r="B7" s="75"/>
      <c r="C7" s="140" t="s">
        <v>0</v>
      </c>
      <c r="D7" s="81" t="s">
        <v>44</v>
      </c>
      <c r="E7" s="82" t="s">
        <v>2</v>
      </c>
      <c r="F7" s="30"/>
      <c r="G7" s="30"/>
      <c r="H7" s="30"/>
      <c r="I7" s="30"/>
      <c r="J7" s="30"/>
      <c r="K7" s="30"/>
      <c r="L7" s="30"/>
      <c r="M7" s="30"/>
      <c r="N7" s="30"/>
      <c r="O7" s="30"/>
      <c r="P7" s="30"/>
      <c r="Q7" s="30"/>
      <c r="R7" s="30"/>
      <c r="S7" s="30"/>
      <c r="T7" s="26"/>
      <c r="W7" s="42" t="s">
        <v>22</v>
      </c>
      <c r="X7" s="42" t="s">
        <v>2</v>
      </c>
      <c r="Y7" s="42"/>
    </row>
    <row r="8" spans="1:25" ht="15" customHeight="1" x14ac:dyDescent="0.25">
      <c r="B8" s="75"/>
      <c r="C8" s="209" t="s">
        <v>32</v>
      </c>
      <c r="D8" s="210" t="s">
        <v>3</v>
      </c>
      <c r="E8" s="211">
        <v>5.0430999999999997E-2</v>
      </c>
      <c r="F8" s="30"/>
      <c r="G8" s="30"/>
      <c r="H8" s="30"/>
      <c r="I8" s="30"/>
      <c r="J8" s="30"/>
      <c r="K8" s="30"/>
      <c r="L8" s="30"/>
      <c r="M8" s="30"/>
      <c r="N8" s="30"/>
      <c r="O8" s="30"/>
      <c r="P8" s="30"/>
      <c r="Q8" s="30"/>
      <c r="R8" s="30"/>
      <c r="S8" s="30"/>
      <c r="T8" s="26"/>
      <c r="W8" s="197" t="s">
        <v>3</v>
      </c>
      <c r="X8" s="196">
        <v>9.6919000000000005E-2</v>
      </c>
      <c r="Y8" s="42"/>
    </row>
    <row r="9" spans="1:25" ht="15.75" customHeight="1" x14ac:dyDescent="0.25">
      <c r="B9" s="75"/>
      <c r="C9" s="209" t="s">
        <v>29</v>
      </c>
      <c r="D9" s="210" t="s">
        <v>3</v>
      </c>
      <c r="E9" s="211">
        <v>3.9260000000000003E-2</v>
      </c>
      <c r="F9" s="30"/>
      <c r="G9" s="30"/>
      <c r="H9" s="30"/>
      <c r="I9" s="30"/>
      <c r="J9" s="30"/>
      <c r="K9" s="30"/>
      <c r="L9" s="30"/>
      <c r="M9" s="30"/>
      <c r="N9" s="30"/>
      <c r="O9" s="30"/>
      <c r="P9" s="30"/>
      <c r="Q9" s="30"/>
      <c r="R9" s="30"/>
      <c r="S9" s="30"/>
      <c r="T9" s="26"/>
      <c r="W9" s="197" t="s">
        <v>4</v>
      </c>
      <c r="X9" s="196">
        <v>7.438800000000001E-2</v>
      </c>
      <c r="Y9" s="42"/>
    </row>
    <row r="10" spans="1:25" ht="15" customHeight="1" x14ac:dyDescent="0.25">
      <c r="B10" s="75"/>
      <c r="C10" s="209" t="s">
        <v>92</v>
      </c>
      <c r="D10" s="210" t="s">
        <v>4</v>
      </c>
      <c r="E10" s="211">
        <v>3.7524000000000002E-2</v>
      </c>
      <c r="F10" s="30"/>
      <c r="G10" s="30"/>
      <c r="H10" s="30"/>
      <c r="I10" s="30"/>
      <c r="J10" s="30"/>
      <c r="K10" s="30"/>
      <c r="L10" s="30"/>
      <c r="M10" s="30"/>
      <c r="N10" s="30"/>
      <c r="O10" s="30"/>
      <c r="P10" s="30"/>
      <c r="Q10" s="30"/>
      <c r="R10" s="30"/>
      <c r="S10" s="30"/>
      <c r="T10" s="26"/>
      <c r="W10" s="197" t="s">
        <v>130</v>
      </c>
      <c r="X10" s="196">
        <v>4.9792000000000003E-2</v>
      </c>
      <c r="Y10" s="42"/>
    </row>
    <row r="11" spans="1:25" ht="15" customHeight="1" x14ac:dyDescent="0.25">
      <c r="B11" s="75"/>
      <c r="C11" s="209" t="s">
        <v>128</v>
      </c>
      <c r="D11" s="210" t="s">
        <v>4</v>
      </c>
      <c r="E11" s="211">
        <v>3.6389999999999999E-2</v>
      </c>
      <c r="F11" s="30"/>
      <c r="G11" s="30"/>
      <c r="H11" s="30"/>
      <c r="I11" s="30"/>
      <c r="J11" s="30"/>
      <c r="K11" s="30"/>
      <c r="L11" s="30"/>
      <c r="M11" s="30"/>
      <c r="N11" s="30"/>
      <c r="O11" s="30"/>
      <c r="P11" s="30"/>
      <c r="Q11" s="30"/>
      <c r="R11" s="30"/>
      <c r="S11" s="30"/>
      <c r="T11" s="26"/>
      <c r="W11" s="197" t="s">
        <v>136</v>
      </c>
      <c r="X11" s="196">
        <v>4.7958000000000001E-2</v>
      </c>
      <c r="Y11" s="42"/>
    </row>
    <row r="12" spans="1:25" ht="15" customHeight="1" x14ac:dyDescent="0.25">
      <c r="B12" s="75"/>
      <c r="C12" s="209" t="s">
        <v>28</v>
      </c>
      <c r="D12" s="210" t="s">
        <v>130</v>
      </c>
      <c r="E12" s="211">
        <v>3.1384000000000002E-2</v>
      </c>
      <c r="F12" s="30"/>
      <c r="G12" s="30"/>
      <c r="H12" s="30"/>
      <c r="I12" s="30"/>
      <c r="J12" s="30"/>
      <c r="K12" s="30"/>
      <c r="L12" s="30"/>
      <c r="M12" s="30"/>
      <c r="N12" s="30"/>
      <c r="O12" s="30"/>
      <c r="P12" s="30"/>
      <c r="Q12" s="30"/>
      <c r="R12" s="30"/>
      <c r="S12" s="30"/>
      <c r="T12" s="26"/>
      <c r="W12" s="197" t="s">
        <v>133</v>
      </c>
      <c r="X12" s="196">
        <v>3.9737999999999996E-2</v>
      </c>
      <c r="Y12" s="42"/>
    </row>
    <row r="13" spans="1:25" ht="15" customHeight="1" x14ac:dyDescent="0.25">
      <c r="B13" s="75"/>
      <c r="C13" s="209" t="s">
        <v>91</v>
      </c>
      <c r="D13" s="210" t="s">
        <v>136</v>
      </c>
      <c r="E13" s="211">
        <v>1.8277999999999999E-2</v>
      </c>
      <c r="F13" s="30"/>
      <c r="G13" s="30"/>
      <c r="H13" s="30"/>
      <c r="I13" s="30"/>
      <c r="J13" s="30"/>
      <c r="K13" s="30"/>
      <c r="L13" s="30"/>
      <c r="M13" s="30"/>
      <c r="N13" s="30"/>
      <c r="O13" s="30"/>
      <c r="P13" s="30"/>
      <c r="Q13" s="30"/>
      <c r="R13" s="30"/>
      <c r="S13" s="30"/>
      <c r="T13" s="26"/>
      <c r="W13" s="197" t="s">
        <v>26</v>
      </c>
      <c r="X13" s="196">
        <v>2.0139000000000001E-2</v>
      </c>
      <c r="Y13" s="42"/>
    </row>
    <row r="14" spans="1:25" ht="15.75" customHeight="1" x14ac:dyDescent="0.25">
      <c r="B14" s="75"/>
      <c r="C14" s="209" t="s">
        <v>144</v>
      </c>
      <c r="D14" s="210" t="s">
        <v>136</v>
      </c>
      <c r="E14" s="211">
        <v>1.6308E-2</v>
      </c>
      <c r="F14" s="30"/>
      <c r="G14" s="30"/>
      <c r="H14" s="30"/>
      <c r="I14" s="30"/>
      <c r="J14" s="30"/>
      <c r="K14" s="30"/>
      <c r="L14" s="30"/>
      <c r="M14" s="30"/>
      <c r="N14" s="30"/>
      <c r="O14" s="30"/>
      <c r="P14" s="30"/>
      <c r="Q14" s="30"/>
      <c r="R14" s="30"/>
      <c r="S14" s="30"/>
      <c r="T14" s="26"/>
      <c r="W14" s="197" t="s">
        <v>140</v>
      </c>
      <c r="X14" s="196">
        <v>1.8414E-2</v>
      </c>
      <c r="Y14" s="42"/>
    </row>
    <row r="15" spans="1:25" ht="15.75" x14ac:dyDescent="0.25">
      <c r="B15" s="75"/>
      <c r="C15" s="209" t="s">
        <v>164</v>
      </c>
      <c r="D15" s="210" t="s">
        <v>16</v>
      </c>
      <c r="E15" s="211">
        <v>1.5906E-2</v>
      </c>
      <c r="F15" s="30"/>
      <c r="G15" s="30"/>
      <c r="H15" s="30"/>
      <c r="I15" s="30"/>
      <c r="J15" s="30"/>
      <c r="K15" s="30"/>
      <c r="L15" s="30"/>
      <c r="M15" s="30"/>
      <c r="N15" s="30"/>
      <c r="O15" s="30"/>
      <c r="P15" s="30"/>
      <c r="Q15" s="30"/>
      <c r="R15" s="30"/>
      <c r="S15" s="30"/>
      <c r="T15" s="26"/>
      <c r="W15" s="197" t="s">
        <v>16</v>
      </c>
      <c r="X15" s="196">
        <v>1.5906E-2</v>
      </c>
      <c r="Y15" s="42"/>
    </row>
    <row r="16" spans="1:25" ht="15.75" customHeight="1" x14ac:dyDescent="0.25">
      <c r="B16" s="75"/>
      <c r="C16" s="209" t="s">
        <v>75</v>
      </c>
      <c r="D16" s="210" t="s">
        <v>12</v>
      </c>
      <c r="E16" s="211">
        <v>1.409E-2</v>
      </c>
      <c r="F16" s="30"/>
      <c r="G16" s="30"/>
      <c r="H16" s="30"/>
      <c r="I16" s="30"/>
      <c r="J16" s="30"/>
      <c r="K16" s="30"/>
      <c r="L16" s="30"/>
      <c r="M16" s="30"/>
      <c r="N16" s="30"/>
      <c r="O16" s="30"/>
      <c r="P16" s="30"/>
      <c r="Q16" s="30"/>
      <c r="R16" s="30"/>
      <c r="S16" s="30"/>
      <c r="T16" s="26"/>
      <c r="W16" s="197" t="s">
        <v>143</v>
      </c>
      <c r="X16" s="196">
        <v>1.5089999999999999E-2</v>
      </c>
      <c r="Y16" s="42"/>
    </row>
    <row r="17" spans="2:25" ht="15" customHeight="1" x14ac:dyDescent="0.25">
      <c r="B17" s="75"/>
      <c r="C17" s="209" t="s">
        <v>66</v>
      </c>
      <c r="D17" s="210" t="s">
        <v>94</v>
      </c>
      <c r="E17" s="211">
        <v>1.3874000000000001E-2</v>
      </c>
      <c r="F17" s="30"/>
      <c r="G17" s="30"/>
      <c r="H17" s="30"/>
      <c r="I17" s="30"/>
      <c r="J17" s="30"/>
      <c r="K17" s="30"/>
      <c r="L17" s="30"/>
      <c r="M17" s="30"/>
      <c r="N17" s="30"/>
      <c r="O17" s="30"/>
      <c r="P17" s="30"/>
      <c r="Q17" s="30"/>
      <c r="R17" s="30"/>
      <c r="S17" s="30"/>
      <c r="T17" s="26"/>
      <c r="W17" s="197" t="s">
        <v>24</v>
      </c>
      <c r="X17" s="196">
        <v>1.456E-2</v>
      </c>
      <c r="Y17" s="42"/>
    </row>
    <row r="18" spans="2:25" ht="15" customHeight="1" x14ac:dyDescent="0.25">
      <c r="B18" s="75"/>
      <c r="C18" s="209" t="s">
        <v>159</v>
      </c>
      <c r="D18" s="210" t="s">
        <v>136</v>
      </c>
      <c r="E18" s="211">
        <v>1.3372E-2</v>
      </c>
      <c r="F18" s="30"/>
      <c r="G18" s="30"/>
      <c r="H18" s="30"/>
      <c r="I18" s="30"/>
      <c r="J18" s="30"/>
      <c r="K18" s="30"/>
      <c r="L18" s="30"/>
      <c r="M18" s="30"/>
      <c r="N18" s="30"/>
      <c r="O18" s="30"/>
      <c r="P18" s="30"/>
      <c r="Q18" s="30"/>
      <c r="R18" s="30"/>
      <c r="S18" s="30"/>
      <c r="T18" s="26"/>
      <c r="W18" s="197" t="s">
        <v>12</v>
      </c>
      <c r="X18" s="196">
        <v>1.409E-2</v>
      </c>
      <c r="Y18" s="42"/>
    </row>
    <row r="19" spans="2:25" ht="15" customHeight="1" x14ac:dyDescent="0.25">
      <c r="B19" s="75"/>
      <c r="C19" s="209" t="s">
        <v>162</v>
      </c>
      <c r="D19" s="210" t="s">
        <v>133</v>
      </c>
      <c r="E19" s="211">
        <v>1.2708000000000001E-2</v>
      </c>
      <c r="F19" s="30"/>
      <c r="G19" s="30"/>
      <c r="H19" s="30"/>
      <c r="I19" s="30"/>
      <c r="J19" s="30"/>
      <c r="K19" s="30"/>
      <c r="L19" s="30"/>
      <c r="M19" s="30"/>
      <c r="N19" s="30"/>
      <c r="O19" s="30"/>
      <c r="P19" s="30"/>
      <c r="Q19" s="30"/>
      <c r="R19" s="30"/>
      <c r="S19" s="30"/>
      <c r="T19" s="26"/>
      <c r="W19" s="197" t="s">
        <v>94</v>
      </c>
      <c r="X19" s="196">
        <v>1.3861999999999999E-2</v>
      </c>
      <c r="Y19" s="42"/>
    </row>
    <row r="20" spans="2:25" ht="15" customHeight="1" x14ac:dyDescent="0.25">
      <c r="B20" s="75"/>
      <c r="C20" s="209" t="s">
        <v>167</v>
      </c>
      <c r="D20" s="210" t="s">
        <v>140</v>
      </c>
      <c r="E20" s="211">
        <v>1.2612E-2</v>
      </c>
      <c r="F20" s="30"/>
      <c r="G20" s="30"/>
      <c r="H20" s="30"/>
      <c r="I20" s="30"/>
      <c r="J20" s="30"/>
      <c r="K20" s="30"/>
      <c r="L20" s="30"/>
      <c r="M20" s="30"/>
      <c r="N20" s="30"/>
      <c r="O20" s="30"/>
      <c r="P20" s="30"/>
      <c r="Q20" s="30"/>
      <c r="R20" s="30"/>
      <c r="S20" s="30"/>
      <c r="T20" s="26"/>
      <c r="W20" s="197" t="s">
        <v>98</v>
      </c>
      <c r="X20" s="196">
        <v>1.3666000000000001E-2</v>
      </c>
      <c r="Y20" s="42"/>
    </row>
    <row r="21" spans="2:25" ht="15" customHeight="1" x14ac:dyDescent="0.25">
      <c r="B21" s="75"/>
      <c r="C21" s="209" t="s">
        <v>297</v>
      </c>
      <c r="D21" s="210" t="s">
        <v>98</v>
      </c>
      <c r="E21" s="211">
        <v>1.1969E-2</v>
      </c>
      <c r="F21" s="30"/>
      <c r="G21" s="30"/>
      <c r="H21" s="30"/>
      <c r="I21" s="30"/>
      <c r="J21" s="30"/>
      <c r="K21" s="30"/>
      <c r="L21" s="30"/>
      <c r="M21" s="30"/>
      <c r="N21" s="30"/>
      <c r="O21" s="30"/>
      <c r="P21" s="30"/>
      <c r="Q21" s="30"/>
      <c r="R21" s="30"/>
      <c r="S21" s="30"/>
      <c r="T21" s="26"/>
      <c r="W21" s="197" t="s">
        <v>87</v>
      </c>
      <c r="X21" s="196">
        <v>1.1844E-2</v>
      </c>
      <c r="Y21" s="42"/>
    </row>
    <row r="22" spans="2:25" ht="15" customHeight="1" x14ac:dyDescent="0.25">
      <c r="B22" s="75"/>
      <c r="C22" s="209" t="s">
        <v>242</v>
      </c>
      <c r="D22" s="210" t="s">
        <v>87</v>
      </c>
      <c r="E22" s="211">
        <v>1.1844E-2</v>
      </c>
      <c r="F22" s="30"/>
      <c r="G22" s="30"/>
      <c r="H22" s="30"/>
      <c r="I22" s="30"/>
      <c r="J22" s="30"/>
      <c r="K22" s="30"/>
      <c r="L22" s="30"/>
      <c r="M22" s="30"/>
      <c r="N22" s="30"/>
      <c r="O22" s="30"/>
      <c r="P22" s="30"/>
      <c r="Q22" s="30"/>
      <c r="R22" s="30"/>
      <c r="S22" s="30"/>
      <c r="T22" s="26"/>
      <c r="W22" s="197" t="s">
        <v>141</v>
      </c>
      <c r="X22" s="196">
        <v>9.3220000000000039E-3</v>
      </c>
      <c r="Y22" s="42"/>
    </row>
    <row r="23" spans="2:25" ht="16.5" customHeight="1" x14ac:dyDescent="0.25">
      <c r="B23" s="75"/>
      <c r="C23" s="142" t="s">
        <v>67</v>
      </c>
      <c r="D23" s="143"/>
      <c r="E23" s="144">
        <f>SUM(E8:E22)</f>
        <v>0.33595000000000003</v>
      </c>
      <c r="F23" s="30"/>
      <c r="G23" s="30"/>
      <c r="H23" s="30"/>
      <c r="I23" s="30"/>
      <c r="J23" s="30"/>
      <c r="K23" s="30"/>
      <c r="L23" s="30"/>
      <c r="M23" s="30"/>
      <c r="N23" s="30"/>
      <c r="O23" s="30"/>
      <c r="P23" s="30"/>
      <c r="Q23" s="30"/>
      <c r="R23" s="30"/>
      <c r="S23" s="30"/>
      <c r="T23" s="26"/>
      <c r="W23" s="197" t="s">
        <v>131</v>
      </c>
      <c r="X23" s="196">
        <v>7.0020000000000004E-3</v>
      </c>
      <c r="Y23" s="42"/>
    </row>
    <row r="24" spans="2:25" ht="15" customHeight="1" x14ac:dyDescent="0.25">
      <c r="B24" s="75"/>
      <c r="C24" s="145"/>
      <c r="D24" s="94"/>
      <c r="E24" s="141"/>
      <c r="F24" s="30"/>
      <c r="G24" s="30"/>
      <c r="H24" s="30"/>
      <c r="I24" s="30"/>
      <c r="J24" s="30"/>
      <c r="K24" s="30"/>
      <c r="L24" s="30"/>
      <c r="M24" s="30"/>
      <c r="N24" s="30"/>
      <c r="O24" s="30"/>
      <c r="P24" s="30"/>
      <c r="Q24" s="30"/>
      <c r="R24" s="30"/>
      <c r="S24" s="30"/>
      <c r="T24" s="26"/>
      <c r="W24" s="197" t="s">
        <v>142</v>
      </c>
      <c r="X24" s="196">
        <v>3.8549999999999999E-3</v>
      </c>
      <c r="Y24" s="42"/>
    </row>
    <row r="25" spans="2:25" ht="15" customHeight="1" x14ac:dyDescent="0.25">
      <c r="B25" s="75"/>
      <c r="C25" s="142" t="s">
        <v>60</v>
      </c>
      <c r="D25" s="143"/>
      <c r="E25" s="212">
        <v>0.13266500000000001</v>
      </c>
      <c r="F25" s="30"/>
      <c r="G25" s="30"/>
      <c r="H25" s="30"/>
      <c r="I25" s="30"/>
      <c r="J25" s="30"/>
      <c r="K25" s="30"/>
      <c r="L25" s="30"/>
      <c r="M25" s="30"/>
      <c r="N25" s="30"/>
      <c r="O25" s="30"/>
      <c r="P25" s="30"/>
      <c r="Q25" s="30"/>
      <c r="R25" s="30"/>
      <c r="S25" s="30"/>
      <c r="T25" s="26"/>
      <c r="W25" s="197" t="s">
        <v>129</v>
      </c>
      <c r="X25" s="196">
        <v>2.0229999999999988E-3</v>
      </c>
      <c r="Y25" s="42"/>
    </row>
    <row r="26" spans="2:25" ht="15" customHeight="1" x14ac:dyDescent="0.25">
      <c r="B26" s="75"/>
      <c r="C26" s="145"/>
      <c r="D26" s="94"/>
      <c r="E26" s="141"/>
      <c r="F26" s="30"/>
      <c r="G26" s="30"/>
      <c r="H26" s="30"/>
      <c r="I26" s="30"/>
      <c r="J26" s="30"/>
      <c r="K26" s="30"/>
      <c r="L26" s="30"/>
      <c r="M26" s="30"/>
      <c r="N26" s="30"/>
      <c r="O26" s="30"/>
      <c r="P26" s="30"/>
      <c r="Q26" s="30"/>
      <c r="R26" s="30"/>
      <c r="S26" s="30"/>
      <c r="T26" s="26"/>
      <c r="W26" s="197" t="s">
        <v>145</v>
      </c>
      <c r="X26" s="196">
        <v>1.7300000000000301E-4</v>
      </c>
      <c r="Y26" s="42"/>
    </row>
    <row r="27" spans="2:25" ht="18" customHeight="1" x14ac:dyDescent="0.25">
      <c r="B27" s="75"/>
      <c r="C27" s="142" t="s">
        <v>59</v>
      </c>
      <c r="D27" s="121"/>
      <c r="E27" s="213">
        <v>0.21665699999999999</v>
      </c>
      <c r="F27" s="30"/>
      <c r="G27" s="30"/>
      <c r="H27" s="30"/>
      <c r="I27" s="30"/>
      <c r="J27" s="30"/>
      <c r="K27" s="30"/>
      <c r="L27" s="30"/>
      <c r="M27" s="30"/>
      <c r="N27" s="30"/>
      <c r="O27" s="30"/>
      <c r="P27" s="30"/>
      <c r="Q27" s="30"/>
      <c r="R27" s="30"/>
      <c r="S27" s="30"/>
      <c r="T27" s="26"/>
      <c r="W27" s="197" t="s">
        <v>135</v>
      </c>
      <c r="X27" s="196">
        <v>1.0000000000000189E-5</v>
      </c>
    </row>
    <row r="28" spans="2:25" ht="18" customHeight="1" x14ac:dyDescent="0.25">
      <c r="B28" s="75"/>
      <c r="C28" s="145"/>
      <c r="D28" s="94"/>
      <c r="E28" s="141"/>
      <c r="F28" s="30"/>
      <c r="G28" s="30"/>
      <c r="H28" s="30"/>
      <c r="I28" s="30"/>
      <c r="J28" s="30"/>
      <c r="K28" s="30"/>
      <c r="L28" s="30"/>
      <c r="M28" s="30"/>
      <c r="N28" s="30"/>
      <c r="O28" s="30"/>
      <c r="P28" s="30"/>
      <c r="Q28" s="30"/>
      <c r="R28" s="30"/>
      <c r="S28" s="30"/>
      <c r="T28" s="26"/>
      <c r="W28" s="20" t="s">
        <v>137</v>
      </c>
      <c r="X28" s="64">
        <v>-8.0000000000001945E-6</v>
      </c>
    </row>
    <row r="29" spans="2:25" ht="15" customHeight="1" x14ac:dyDescent="0.25">
      <c r="B29" s="75"/>
      <c r="C29" s="209" t="s">
        <v>92</v>
      </c>
      <c r="D29" s="15" t="s">
        <v>64</v>
      </c>
      <c r="E29" s="214">
        <v>3.1843999999999997E-2</v>
      </c>
      <c r="F29" s="30"/>
      <c r="G29" s="30"/>
      <c r="H29" s="30"/>
      <c r="I29" s="30"/>
      <c r="J29" s="30"/>
      <c r="K29" s="30"/>
      <c r="L29" s="30"/>
      <c r="M29" s="30"/>
      <c r="N29" s="30"/>
      <c r="O29" s="30"/>
      <c r="P29" s="30"/>
      <c r="Q29" s="30"/>
      <c r="R29" s="30"/>
      <c r="S29" s="30"/>
      <c r="T29" s="26"/>
      <c r="W29" s="190" t="s">
        <v>6</v>
      </c>
      <c r="X29" s="191">
        <v>-1.9000000000000353E-5</v>
      </c>
    </row>
    <row r="30" spans="2:25" ht="15" customHeight="1" x14ac:dyDescent="0.25">
      <c r="B30" s="75"/>
      <c r="C30" s="209" t="s">
        <v>29</v>
      </c>
      <c r="D30" s="15" t="s">
        <v>64</v>
      </c>
      <c r="E30" s="214">
        <v>1.0609E-2</v>
      </c>
      <c r="F30" s="30"/>
      <c r="G30" s="147"/>
      <c r="H30" s="30"/>
      <c r="I30" s="30"/>
      <c r="J30" s="30"/>
      <c r="K30" s="30"/>
      <c r="L30" s="30"/>
      <c r="M30" s="30"/>
      <c r="N30" s="30"/>
      <c r="O30" s="30"/>
      <c r="P30" s="30"/>
      <c r="Q30" s="30"/>
      <c r="R30" s="30"/>
      <c r="S30" s="30"/>
      <c r="T30" s="26"/>
      <c r="W30" s="20" t="s">
        <v>11</v>
      </c>
      <c r="X30" s="191">
        <v>-5.099999999999983E-5</v>
      </c>
    </row>
    <row r="31" spans="2:25" ht="15" customHeight="1" x14ac:dyDescent="0.25">
      <c r="B31" s="75"/>
      <c r="C31" s="209" t="s">
        <v>63</v>
      </c>
      <c r="D31" s="15" t="s">
        <v>64</v>
      </c>
      <c r="E31" s="214">
        <v>8.6000000000000003E-5</v>
      </c>
      <c r="F31" s="30"/>
      <c r="G31" s="147"/>
      <c r="H31" s="30"/>
      <c r="I31" s="30"/>
      <c r="J31" s="30"/>
      <c r="K31" s="30"/>
      <c r="L31" s="30"/>
      <c r="M31" s="30"/>
      <c r="N31" s="30"/>
      <c r="O31" s="30"/>
      <c r="P31" s="30"/>
      <c r="Q31" s="30"/>
      <c r="R31" s="30"/>
      <c r="S31" s="30"/>
      <c r="T31" s="26"/>
      <c r="W31" s="20" t="s">
        <v>97</v>
      </c>
      <c r="X31" s="191">
        <v>-5.8000000000000759E-5</v>
      </c>
    </row>
    <row r="32" spans="2:25" ht="15" customHeight="1" x14ac:dyDescent="0.25">
      <c r="B32" s="75"/>
      <c r="C32" s="148" t="s">
        <v>5</v>
      </c>
      <c r="D32" s="143"/>
      <c r="E32" s="144">
        <f>SUM(E29:E31)</f>
        <v>4.2539E-2</v>
      </c>
      <c r="F32" s="30"/>
      <c r="G32" s="149"/>
      <c r="H32" s="30"/>
      <c r="I32" s="30"/>
      <c r="J32" s="30"/>
      <c r="K32" s="30"/>
      <c r="L32" s="30"/>
      <c r="M32" s="30"/>
      <c r="N32" s="30"/>
      <c r="O32" s="30"/>
      <c r="P32" s="30"/>
      <c r="Q32" s="30"/>
      <c r="R32" s="30"/>
      <c r="S32" s="30"/>
      <c r="T32" s="26"/>
    </row>
    <row r="33" spans="2:24" ht="15" customHeight="1" x14ac:dyDescent="0.25">
      <c r="B33" s="75"/>
      <c r="C33" s="145"/>
      <c r="D33" s="94"/>
      <c r="E33" s="141"/>
      <c r="F33" s="30"/>
      <c r="G33" s="30"/>
      <c r="H33" s="30"/>
      <c r="I33" s="150"/>
      <c r="J33" s="30"/>
      <c r="K33" s="30"/>
      <c r="L33" s="30"/>
      <c r="M33" s="30"/>
      <c r="N33" s="30"/>
      <c r="O33" s="30"/>
      <c r="P33" s="30"/>
      <c r="Q33" s="30"/>
      <c r="R33" s="30"/>
      <c r="S33" s="30"/>
      <c r="T33" s="26"/>
      <c r="W33" s="190"/>
      <c r="X33" s="191"/>
    </row>
    <row r="34" spans="2:24" ht="15" customHeight="1" x14ac:dyDescent="0.25">
      <c r="B34" s="75"/>
      <c r="C34" s="145" t="s">
        <v>36</v>
      </c>
      <c r="D34" s="94" t="s">
        <v>119</v>
      </c>
      <c r="E34" s="214">
        <v>2.0754000000000002E-2</v>
      </c>
      <c r="F34" s="30"/>
      <c r="G34" s="30"/>
      <c r="H34" s="30"/>
      <c r="I34" s="150"/>
      <c r="J34" s="30"/>
      <c r="K34" s="30"/>
      <c r="L34" s="30"/>
      <c r="M34" s="30"/>
      <c r="N34" s="30"/>
      <c r="O34" s="30"/>
      <c r="P34" s="30"/>
      <c r="Q34" s="30"/>
      <c r="R34" s="30"/>
      <c r="S34" s="30"/>
      <c r="T34" s="26"/>
      <c r="W34" s="197"/>
      <c r="X34" s="196"/>
    </row>
    <row r="35" spans="2:24" ht="15" customHeight="1" x14ac:dyDescent="0.25">
      <c r="B35" s="75"/>
      <c r="C35" s="145" t="s">
        <v>235</v>
      </c>
      <c r="D35" s="94" t="s">
        <v>119</v>
      </c>
      <c r="E35" s="214">
        <v>1.6411000000000002E-2</v>
      </c>
      <c r="F35" s="30"/>
      <c r="G35" s="30"/>
      <c r="H35" s="30"/>
      <c r="I35" s="150"/>
      <c r="J35" s="30"/>
      <c r="K35" s="30"/>
      <c r="L35" s="30"/>
      <c r="M35" s="30"/>
      <c r="N35" s="30"/>
      <c r="O35" s="30"/>
      <c r="P35" s="30"/>
      <c r="Q35" s="30"/>
      <c r="R35" s="30"/>
      <c r="S35" s="30"/>
      <c r="T35" s="26"/>
      <c r="W35" s="63"/>
      <c r="X35" s="64"/>
    </row>
    <row r="36" spans="2:24" ht="15" customHeight="1" x14ac:dyDescent="0.25">
      <c r="B36" s="75"/>
      <c r="C36" s="145" t="s">
        <v>82</v>
      </c>
      <c r="D36" s="94" t="s">
        <v>119</v>
      </c>
      <c r="E36" s="214">
        <v>4.1289999999999999E-3</v>
      </c>
      <c r="F36" s="30"/>
      <c r="G36" s="30"/>
      <c r="H36" s="30"/>
      <c r="I36" s="150"/>
      <c r="J36" s="30"/>
      <c r="K36" s="30"/>
      <c r="L36" s="30"/>
      <c r="M36" s="30"/>
      <c r="N36" s="30"/>
      <c r="O36" s="30"/>
      <c r="P36" s="30"/>
      <c r="Q36" s="30"/>
      <c r="R36" s="30"/>
      <c r="S36" s="30"/>
      <c r="T36" s="26"/>
      <c r="W36" s="63"/>
      <c r="X36" s="64"/>
    </row>
    <row r="37" spans="2:24" ht="15" customHeight="1" x14ac:dyDescent="0.25">
      <c r="B37" s="75"/>
      <c r="C37" s="148" t="s">
        <v>68</v>
      </c>
      <c r="D37" s="143"/>
      <c r="E37" s="144">
        <f>SUM(E34:E36)</f>
        <v>4.1294000000000004E-2</v>
      </c>
      <c r="F37" s="30"/>
      <c r="G37" s="30"/>
      <c r="H37" s="30"/>
      <c r="I37" s="150"/>
      <c r="J37" s="30"/>
      <c r="K37" s="30"/>
      <c r="L37" s="30"/>
      <c r="M37" s="30"/>
      <c r="N37" s="30"/>
      <c r="O37" s="30"/>
      <c r="P37" s="30"/>
      <c r="Q37" s="30"/>
      <c r="R37" s="30"/>
      <c r="S37" s="30"/>
      <c r="T37" s="26"/>
    </row>
    <row r="38" spans="2:24" ht="15" customHeight="1" x14ac:dyDescent="0.25">
      <c r="B38" s="75"/>
      <c r="C38" s="145"/>
      <c r="D38" s="94"/>
      <c r="E38" s="214"/>
      <c r="F38" s="30"/>
      <c r="G38" s="30"/>
      <c r="H38" s="30"/>
      <c r="I38" s="150"/>
      <c r="J38" s="30"/>
      <c r="K38" s="30"/>
      <c r="L38" s="30"/>
      <c r="M38" s="30"/>
      <c r="N38" s="30"/>
      <c r="O38" s="30"/>
      <c r="P38" s="30"/>
      <c r="Q38" s="30"/>
      <c r="R38" s="30"/>
      <c r="S38" s="30"/>
      <c r="T38" s="26"/>
      <c r="W38" s="63"/>
      <c r="X38" s="64"/>
    </row>
    <row r="39" spans="2:24" ht="15" customHeight="1" x14ac:dyDescent="0.25">
      <c r="B39" s="75"/>
      <c r="C39" s="145" t="s">
        <v>235</v>
      </c>
      <c r="D39" s="94" t="s">
        <v>119</v>
      </c>
      <c r="E39" s="214">
        <v>2.0906999999999999E-2</v>
      </c>
      <c r="F39" s="30"/>
      <c r="G39" s="30"/>
      <c r="H39" s="30"/>
      <c r="I39" s="150"/>
      <c r="J39" s="30"/>
      <c r="K39" s="30"/>
      <c r="L39" s="30"/>
      <c r="M39" s="30"/>
      <c r="N39" s="30"/>
      <c r="O39" s="30"/>
      <c r="P39" s="30"/>
      <c r="Q39" s="30"/>
      <c r="R39" s="30"/>
      <c r="S39" s="30"/>
      <c r="T39" s="26"/>
      <c r="W39" s="63"/>
      <c r="X39" s="64"/>
    </row>
    <row r="40" spans="2:24" ht="15" customHeight="1" x14ac:dyDescent="0.25">
      <c r="B40" s="75"/>
      <c r="C40" s="148" t="s">
        <v>222</v>
      </c>
      <c r="D40" s="143"/>
      <c r="E40" s="237">
        <v>2.0906999999999999E-2</v>
      </c>
      <c r="F40" s="30"/>
      <c r="G40" s="30"/>
      <c r="H40" s="30"/>
      <c r="I40" s="150"/>
      <c r="J40" s="30"/>
      <c r="K40" s="30"/>
      <c r="L40" s="30"/>
      <c r="M40" s="30"/>
      <c r="N40" s="30"/>
      <c r="O40" s="30"/>
      <c r="P40" s="30"/>
      <c r="Q40" s="30"/>
      <c r="R40" s="30"/>
      <c r="S40" s="30"/>
      <c r="T40" s="26"/>
    </row>
    <row r="41" spans="2:24" s="60" customFormat="1" ht="15" customHeight="1" x14ac:dyDescent="0.25">
      <c r="B41" s="152"/>
      <c r="C41" s="153"/>
      <c r="D41" s="154"/>
      <c r="E41" s="155"/>
      <c r="F41" s="58"/>
      <c r="G41" s="58"/>
      <c r="H41" s="58"/>
      <c r="I41" s="156"/>
      <c r="J41" s="58"/>
      <c r="K41" s="58"/>
      <c r="L41" s="58"/>
      <c r="M41" s="58"/>
      <c r="N41" s="58"/>
      <c r="O41" s="58"/>
      <c r="P41" s="58"/>
      <c r="Q41" s="58"/>
      <c r="R41" s="58"/>
      <c r="S41" s="58"/>
      <c r="T41" s="59"/>
    </row>
    <row r="42" spans="2:24" s="60" customFormat="1" ht="15" customHeight="1" x14ac:dyDescent="0.25">
      <c r="B42" s="152"/>
      <c r="C42" s="157" t="s">
        <v>101</v>
      </c>
      <c r="D42" s="158" t="s">
        <v>62</v>
      </c>
      <c r="E42" s="215">
        <v>2.0470000000000002E-3</v>
      </c>
      <c r="F42" s="58"/>
      <c r="G42" s="58"/>
      <c r="H42" s="58"/>
      <c r="I42" s="156"/>
      <c r="J42" s="58"/>
      <c r="K42" s="58"/>
      <c r="L42" s="58"/>
      <c r="M42" s="58"/>
      <c r="N42" s="58"/>
      <c r="O42" s="58"/>
      <c r="P42" s="58"/>
      <c r="Q42" s="58"/>
      <c r="R42" s="58"/>
      <c r="S42" s="58"/>
      <c r="T42" s="59"/>
    </row>
    <row r="43" spans="2:24" s="60" customFormat="1" ht="15" customHeight="1" x14ac:dyDescent="0.25">
      <c r="B43" s="152"/>
      <c r="C43" s="157" t="s">
        <v>190</v>
      </c>
      <c r="D43" s="158" t="s">
        <v>62</v>
      </c>
      <c r="E43" s="215">
        <v>2.1155E-2</v>
      </c>
      <c r="F43" s="58"/>
      <c r="G43" s="58"/>
      <c r="H43" s="58"/>
      <c r="I43" s="156"/>
      <c r="J43" s="58"/>
      <c r="K43" s="58"/>
      <c r="L43" s="58"/>
      <c r="M43" s="58"/>
      <c r="N43" s="58"/>
      <c r="O43" s="58"/>
      <c r="P43" s="58"/>
      <c r="Q43" s="58"/>
      <c r="R43" s="58"/>
      <c r="S43" s="58"/>
      <c r="T43" s="59"/>
    </row>
    <row r="44" spans="2:24" s="60" customFormat="1" ht="15" customHeight="1" x14ac:dyDescent="0.25">
      <c r="B44" s="152"/>
      <c r="C44" s="157" t="s">
        <v>169</v>
      </c>
      <c r="D44" s="158" t="s">
        <v>62</v>
      </c>
      <c r="E44" s="215">
        <v>8.7654999999999997E-2</v>
      </c>
      <c r="F44" s="58"/>
      <c r="G44" s="58"/>
      <c r="H44" s="58"/>
      <c r="I44" s="156"/>
      <c r="J44" s="58"/>
      <c r="K44" s="58"/>
      <c r="L44" s="58"/>
      <c r="M44" s="58"/>
      <c r="N44" s="58"/>
      <c r="O44" s="58"/>
      <c r="P44" s="58"/>
      <c r="Q44" s="58"/>
      <c r="R44" s="58"/>
      <c r="S44" s="58"/>
      <c r="T44" s="59"/>
    </row>
    <row r="45" spans="2:24" s="60" customFormat="1" ht="15" customHeight="1" x14ac:dyDescent="0.25">
      <c r="B45" s="152"/>
      <c r="C45" s="157" t="s">
        <v>251</v>
      </c>
      <c r="D45" s="158" t="s">
        <v>62</v>
      </c>
      <c r="E45" s="215">
        <v>1.9227999999999999E-2</v>
      </c>
      <c r="F45" s="58"/>
      <c r="G45" s="58"/>
      <c r="H45" s="58"/>
      <c r="I45" s="156"/>
      <c r="J45" s="58"/>
      <c r="K45" s="58"/>
      <c r="L45" s="58"/>
      <c r="M45" s="58"/>
      <c r="N45" s="58"/>
      <c r="O45" s="58"/>
      <c r="P45" s="58"/>
      <c r="Q45" s="58"/>
      <c r="R45" s="58"/>
      <c r="S45" s="58"/>
      <c r="T45" s="59"/>
    </row>
    <row r="46" spans="2:24" s="60" customFormat="1" ht="15" customHeight="1" x14ac:dyDescent="0.25">
      <c r="B46" s="152"/>
      <c r="C46" s="142" t="s">
        <v>42</v>
      </c>
      <c r="D46" s="121"/>
      <c r="E46" s="144">
        <f>SUM(E42:E45)</f>
        <v>0.13008500000000001</v>
      </c>
      <c r="F46" s="58"/>
      <c r="G46" s="58"/>
      <c r="H46" s="58"/>
      <c r="I46" s="156"/>
      <c r="J46" s="58"/>
      <c r="K46" s="58"/>
      <c r="L46" s="58"/>
      <c r="M46" s="58"/>
      <c r="N46" s="58"/>
      <c r="O46" s="58"/>
      <c r="P46" s="58"/>
      <c r="Q46" s="58"/>
      <c r="R46" s="58"/>
      <c r="S46" s="58"/>
      <c r="T46" s="59"/>
    </row>
    <row r="47" spans="2:24" ht="15" customHeight="1" x14ac:dyDescent="0.25">
      <c r="B47" s="75"/>
      <c r="C47" s="153"/>
      <c r="D47" s="154"/>
      <c r="E47" s="155"/>
      <c r="F47" s="30"/>
      <c r="G47" s="30"/>
      <c r="H47" s="30"/>
      <c r="I47" s="150"/>
      <c r="J47" s="30"/>
      <c r="K47" s="30"/>
      <c r="L47" s="30"/>
      <c r="M47" s="30"/>
      <c r="N47" s="30"/>
      <c r="O47" s="30"/>
      <c r="P47" s="30"/>
      <c r="Q47" s="30"/>
      <c r="R47" s="30"/>
      <c r="S47" s="30"/>
      <c r="T47" s="26"/>
    </row>
    <row r="48" spans="2:24" ht="15" customHeight="1" x14ac:dyDescent="0.25">
      <c r="B48" s="75"/>
      <c r="C48" s="157" t="s">
        <v>236</v>
      </c>
      <c r="D48" s="158" t="s">
        <v>62</v>
      </c>
      <c r="E48" s="215">
        <v>1.0562E-2</v>
      </c>
      <c r="F48" s="30"/>
      <c r="G48" s="30"/>
      <c r="H48" s="30"/>
      <c r="I48" s="150"/>
      <c r="J48" s="30"/>
      <c r="K48" s="30"/>
      <c r="L48" s="30"/>
      <c r="M48" s="30"/>
      <c r="N48" s="30"/>
      <c r="O48" s="30"/>
      <c r="P48" s="30"/>
      <c r="Q48" s="30"/>
      <c r="R48" s="30"/>
      <c r="S48" s="30"/>
      <c r="T48" s="26"/>
    </row>
    <row r="49" spans="2:20" ht="15" customHeight="1" x14ac:dyDescent="0.25">
      <c r="B49" s="75"/>
      <c r="C49" s="157" t="s">
        <v>243</v>
      </c>
      <c r="D49" s="158" t="s">
        <v>62</v>
      </c>
      <c r="E49" s="215">
        <v>1.0508999999999999E-2</v>
      </c>
      <c r="F49" s="30"/>
      <c r="G49" s="30"/>
      <c r="H49" s="30"/>
      <c r="I49" s="30"/>
      <c r="J49" s="30"/>
      <c r="K49" s="30"/>
      <c r="L49" s="30"/>
      <c r="M49" s="30"/>
      <c r="N49" s="30"/>
      <c r="O49" s="30"/>
      <c r="P49" s="30"/>
      <c r="Q49" s="30"/>
      <c r="R49" s="30"/>
      <c r="S49" s="30"/>
      <c r="T49" s="26"/>
    </row>
    <row r="50" spans="2:20" ht="15" customHeight="1" x14ac:dyDescent="0.25">
      <c r="B50" s="75"/>
      <c r="C50" s="159" t="s">
        <v>89</v>
      </c>
      <c r="D50" s="160"/>
      <c r="E50" s="146">
        <f>SUM(E48:E49)</f>
        <v>2.1070999999999999E-2</v>
      </c>
      <c r="F50" s="30"/>
      <c r="G50" s="30"/>
      <c r="H50" s="30"/>
      <c r="I50" s="30"/>
      <c r="J50" s="30"/>
      <c r="K50" s="30"/>
      <c r="L50" s="30"/>
      <c r="M50" s="30"/>
      <c r="N50" s="30"/>
      <c r="O50" s="30"/>
      <c r="P50" s="30"/>
      <c r="Q50" s="30"/>
      <c r="R50" s="30"/>
      <c r="S50" s="30"/>
      <c r="T50" s="26"/>
    </row>
    <row r="51" spans="2:20" ht="15" customHeight="1" x14ac:dyDescent="0.25">
      <c r="B51" s="75"/>
      <c r="C51" s="161"/>
      <c r="D51" s="94"/>
      <c r="E51" s="162"/>
      <c r="F51" s="30"/>
      <c r="G51" s="151"/>
      <c r="H51" s="30"/>
      <c r="I51" s="30"/>
      <c r="J51" s="30"/>
      <c r="K51" s="30"/>
      <c r="L51" s="30"/>
      <c r="M51" s="30"/>
      <c r="N51" s="30"/>
      <c r="O51" s="30"/>
      <c r="P51" s="30"/>
      <c r="Q51" s="30"/>
      <c r="R51" s="30"/>
      <c r="S51" s="30"/>
      <c r="T51" s="26"/>
    </row>
    <row r="52" spans="2:20" ht="15" customHeight="1" x14ac:dyDescent="0.25">
      <c r="B52" s="75"/>
      <c r="C52" s="161" t="s">
        <v>224</v>
      </c>
      <c r="D52" s="94" t="s">
        <v>64</v>
      </c>
      <c r="E52" s="216">
        <v>1.8617000000000002E-2</v>
      </c>
      <c r="F52" s="30"/>
      <c r="G52" s="151"/>
      <c r="H52" s="30"/>
      <c r="I52" s="30"/>
      <c r="J52" s="30"/>
      <c r="K52" s="30"/>
      <c r="L52" s="30"/>
      <c r="M52" s="30"/>
      <c r="N52" s="30"/>
      <c r="O52" s="30"/>
      <c r="P52" s="30"/>
      <c r="Q52" s="30"/>
      <c r="R52" s="30"/>
      <c r="S52" s="30"/>
      <c r="T52" s="26"/>
    </row>
    <row r="53" spans="2:20" ht="15" customHeight="1" x14ac:dyDescent="0.25">
      <c r="B53" s="75"/>
      <c r="C53" s="159" t="s">
        <v>223</v>
      </c>
      <c r="D53" s="160"/>
      <c r="E53" s="217">
        <v>1.8617000000000002E-2</v>
      </c>
      <c r="F53" s="30"/>
      <c r="G53" s="30"/>
      <c r="H53" s="30"/>
      <c r="I53" s="30"/>
      <c r="J53" s="30"/>
      <c r="K53" s="30"/>
      <c r="L53" s="30"/>
      <c r="M53" s="30"/>
      <c r="N53" s="30"/>
      <c r="O53" s="30"/>
      <c r="P53" s="30"/>
      <c r="Q53" s="30"/>
      <c r="R53" s="30"/>
      <c r="S53" s="30"/>
      <c r="T53" s="26"/>
    </row>
    <row r="54" spans="2:20" ht="15" customHeight="1" x14ac:dyDescent="0.25">
      <c r="B54" s="75"/>
      <c r="C54" s="161"/>
      <c r="D54" s="126"/>
      <c r="E54" s="162"/>
      <c r="F54" s="30"/>
      <c r="G54" s="30"/>
      <c r="H54" s="30"/>
      <c r="I54" s="30"/>
      <c r="J54" s="30"/>
      <c r="K54" s="30"/>
      <c r="L54" s="30"/>
      <c r="M54" s="30"/>
      <c r="N54" s="30"/>
      <c r="O54" s="30"/>
      <c r="P54" s="30"/>
      <c r="Q54" s="30"/>
      <c r="R54" s="30"/>
      <c r="S54" s="30"/>
      <c r="T54" s="26"/>
    </row>
    <row r="55" spans="2:20" ht="15" customHeight="1" x14ac:dyDescent="0.25">
      <c r="B55" s="75"/>
      <c r="C55" s="159" t="s">
        <v>71</v>
      </c>
      <c r="D55" s="160"/>
      <c r="E55" s="212">
        <v>4.0215000000000015E-2</v>
      </c>
      <c r="F55" s="30"/>
      <c r="G55" s="30"/>
      <c r="H55" s="30"/>
      <c r="I55" s="30"/>
      <c r="J55" s="30"/>
      <c r="K55" s="30"/>
      <c r="L55" s="30"/>
      <c r="M55" s="30"/>
      <c r="N55" s="30"/>
      <c r="O55" s="30"/>
      <c r="P55" s="30"/>
      <c r="Q55" s="30"/>
      <c r="R55" s="30"/>
      <c r="S55" s="30"/>
      <c r="T55" s="26"/>
    </row>
    <row r="56" spans="2:20" ht="15" customHeight="1" x14ac:dyDescent="0.25">
      <c r="B56" s="75"/>
      <c r="C56" s="161"/>
      <c r="D56" s="126"/>
      <c r="E56" s="162"/>
      <c r="F56" s="30"/>
      <c r="G56" s="30"/>
      <c r="H56" s="30"/>
      <c r="I56" s="30"/>
      <c r="J56" s="30"/>
      <c r="K56" s="30"/>
      <c r="L56" s="30"/>
      <c r="M56" s="30"/>
      <c r="N56" s="30"/>
      <c r="O56" s="30"/>
      <c r="P56" s="30"/>
      <c r="Q56" s="30"/>
      <c r="R56" s="30"/>
      <c r="S56" s="30"/>
      <c r="T56" s="26"/>
    </row>
    <row r="57" spans="2:20" ht="15" customHeight="1" x14ac:dyDescent="0.25">
      <c r="B57" s="75"/>
      <c r="C57" s="163" t="s">
        <v>21</v>
      </c>
      <c r="D57" s="86"/>
      <c r="E57" s="87">
        <f>E55+E53+E50+E46+E40+E32+E27+E25+E23+E37</f>
        <v>1</v>
      </c>
      <c r="F57" s="30"/>
      <c r="G57" s="30"/>
      <c r="H57" s="30"/>
      <c r="I57" s="30"/>
      <c r="J57" s="30"/>
      <c r="K57" s="30"/>
      <c r="L57" s="30"/>
      <c r="M57" s="30"/>
      <c r="N57" s="30"/>
      <c r="O57" s="30"/>
      <c r="P57" s="30"/>
      <c r="Q57" s="30"/>
      <c r="R57" s="30"/>
      <c r="S57" s="30"/>
      <c r="T57" s="26"/>
    </row>
    <row r="58" spans="2:20" ht="15" customHeight="1" x14ac:dyDescent="0.25">
      <c r="B58" s="75"/>
      <c r="F58" s="30"/>
      <c r="G58" s="30"/>
      <c r="H58" s="30"/>
      <c r="I58" s="30"/>
      <c r="J58" s="30"/>
      <c r="K58" s="30"/>
      <c r="L58" s="30"/>
      <c r="M58" s="30"/>
      <c r="N58" s="30"/>
      <c r="O58" s="30"/>
      <c r="P58" s="30"/>
      <c r="Q58" s="30"/>
      <c r="R58" s="30"/>
      <c r="S58" s="30"/>
      <c r="T58" s="26"/>
    </row>
    <row r="59" spans="2:20" ht="15" customHeight="1" thickBot="1" x14ac:dyDescent="0.3">
      <c r="B59" s="88"/>
      <c r="C59" s="31"/>
      <c r="D59" s="31"/>
      <c r="E59" s="31"/>
      <c r="F59" s="31"/>
      <c r="G59" s="31"/>
      <c r="H59" s="31"/>
      <c r="I59" s="31"/>
      <c r="J59" s="31"/>
      <c r="K59" s="31"/>
      <c r="L59" s="31"/>
      <c r="M59" s="31"/>
      <c r="N59" s="31"/>
      <c r="O59" s="31"/>
      <c r="P59" s="31"/>
      <c r="Q59" s="31"/>
      <c r="R59" s="31"/>
      <c r="S59" s="31"/>
      <c r="T59" s="27"/>
    </row>
    <row r="60" spans="2:20" ht="15" customHeight="1" thickBot="1" x14ac:dyDescent="0.3"/>
    <row r="61" spans="2:20" ht="15" customHeight="1" x14ac:dyDescent="0.25">
      <c r="B61" s="245" t="s">
        <v>234</v>
      </c>
      <c r="C61" s="246"/>
      <c r="D61" s="246"/>
      <c r="E61" s="246"/>
      <c r="F61" s="246"/>
      <c r="G61" s="246"/>
      <c r="H61" s="246"/>
      <c r="I61" s="246"/>
      <c r="J61" s="246"/>
      <c r="K61" s="246"/>
      <c r="L61" s="246"/>
      <c r="M61" s="246"/>
      <c r="N61" s="246"/>
      <c r="O61" s="246"/>
      <c r="P61" s="246"/>
      <c r="Q61" s="246"/>
      <c r="R61" s="247"/>
    </row>
    <row r="62" spans="2:20" ht="15" customHeight="1" x14ac:dyDescent="0.25">
      <c r="B62" s="248"/>
      <c r="C62" s="249"/>
      <c r="D62" s="249"/>
      <c r="E62" s="249"/>
      <c r="F62" s="249"/>
      <c r="G62" s="249"/>
      <c r="H62" s="249"/>
      <c r="I62" s="249"/>
      <c r="J62" s="249"/>
      <c r="K62" s="249"/>
      <c r="L62" s="249"/>
      <c r="M62" s="249"/>
      <c r="N62" s="249"/>
      <c r="O62" s="249"/>
      <c r="P62" s="249"/>
      <c r="Q62" s="249"/>
      <c r="R62" s="250"/>
    </row>
    <row r="63" spans="2:20" ht="15" customHeight="1" x14ac:dyDescent="0.25">
      <c r="B63" s="248"/>
      <c r="C63" s="249"/>
      <c r="D63" s="249"/>
      <c r="E63" s="249"/>
      <c r="F63" s="249"/>
      <c r="G63" s="249"/>
      <c r="H63" s="249"/>
      <c r="I63" s="249"/>
      <c r="J63" s="249"/>
      <c r="K63" s="249"/>
      <c r="L63" s="249"/>
      <c r="M63" s="249"/>
      <c r="N63" s="249"/>
      <c r="O63" s="249"/>
      <c r="P63" s="249"/>
      <c r="Q63" s="249"/>
      <c r="R63" s="250"/>
    </row>
    <row r="64" spans="2:20" ht="15" customHeight="1" x14ac:dyDescent="0.25">
      <c r="B64" s="248"/>
      <c r="C64" s="249"/>
      <c r="D64" s="249"/>
      <c r="E64" s="249"/>
      <c r="F64" s="249"/>
      <c r="G64" s="249"/>
      <c r="H64" s="249"/>
      <c r="I64" s="249"/>
      <c r="J64" s="249"/>
      <c r="K64" s="249"/>
      <c r="L64" s="249"/>
      <c r="M64" s="249"/>
      <c r="N64" s="249"/>
      <c r="O64" s="249"/>
      <c r="P64" s="249"/>
      <c r="Q64" s="249"/>
      <c r="R64" s="250"/>
    </row>
    <row r="65" spans="2:18" ht="15" customHeight="1" x14ac:dyDescent="0.25">
      <c r="B65" s="248"/>
      <c r="C65" s="249"/>
      <c r="D65" s="249"/>
      <c r="E65" s="249"/>
      <c r="F65" s="249"/>
      <c r="G65" s="249"/>
      <c r="H65" s="249"/>
      <c r="I65" s="249"/>
      <c r="J65" s="249"/>
      <c r="K65" s="249"/>
      <c r="L65" s="249"/>
      <c r="M65" s="249"/>
      <c r="N65" s="249"/>
      <c r="O65" s="249"/>
      <c r="P65" s="249"/>
      <c r="Q65" s="249"/>
      <c r="R65" s="250"/>
    </row>
    <row r="66" spans="2:18" ht="15" customHeight="1" x14ac:dyDescent="0.25">
      <c r="B66" s="248"/>
      <c r="C66" s="249"/>
      <c r="D66" s="249"/>
      <c r="E66" s="249"/>
      <c r="F66" s="249"/>
      <c r="G66" s="249"/>
      <c r="H66" s="249"/>
      <c r="I66" s="249"/>
      <c r="J66" s="249"/>
      <c r="K66" s="249"/>
      <c r="L66" s="249"/>
      <c r="M66" s="249"/>
      <c r="N66" s="249"/>
      <c r="O66" s="249"/>
      <c r="P66" s="249"/>
      <c r="Q66" s="249"/>
      <c r="R66" s="250"/>
    </row>
    <row r="67" spans="2:18" ht="24.75" customHeight="1" thickBot="1" x14ac:dyDescent="0.3">
      <c r="B67" s="251"/>
      <c r="C67" s="252"/>
      <c r="D67" s="252"/>
      <c r="E67" s="252"/>
      <c r="F67" s="252"/>
      <c r="G67" s="252"/>
      <c r="H67" s="252"/>
      <c r="I67" s="252"/>
      <c r="J67" s="252"/>
      <c r="K67" s="252"/>
      <c r="L67" s="252"/>
      <c r="M67" s="252"/>
      <c r="N67" s="252"/>
      <c r="O67" s="252"/>
      <c r="P67" s="252"/>
      <c r="Q67" s="252"/>
      <c r="R67" s="253"/>
    </row>
    <row r="68" spans="2:18" ht="15" customHeight="1" x14ac:dyDescent="0.25"/>
    <row r="69" spans="2:18" ht="15" customHeight="1" x14ac:dyDescent="0.25"/>
    <row r="70" spans="2:18" ht="15" customHeight="1" x14ac:dyDescent="0.25"/>
    <row r="71" spans="2:18" ht="15" customHeight="1" x14ac:dyDescent="0.25"/>
    <row r="72" spans="2:18" ht="15" customHeight="1" x14ac:dyDescent="0.25"/>
    <row r="73" spans="2:18" ht="15" customHeight="1" x14ac:dyDescent="0.25"/>
    <row r="74" spans="2:18" ht="15" customHeight="1" x14ac:dyDescent="0.25"/>
    <row r="75" spans="2:18" ht="15" customHeight="1" x14ac:dyDescent="0.25"/>
    <row r="76" spans="2:18" ht="15" customHeight="1" x14ac:dyDescent="0.25"/>
  </sheetData>
  <sortState ref="W8:X31">
    <sortCondition descending="1" ref="X8"/>
  </sortState>
  <mergeCells count="3">
    <mergeCell ref="C3:S3"/>
    <mergeCell ref="D5:E5"/>
    <mergeCell ref="B61:R67"/>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3"/>
      <c r="C2" s="46"/>
      <c r="D2" s="46"/>
      <c r="E2" s="46"/>
      <c r="F2" s="46"/>
      <c r="G2" s="46"/>
      <c r="H2" s="46"/>
      <c r="I2" s="46"/>
      <c r="J2" s="46"/>
      <c r="K2" s="46"/>
      <c r="L2" s="46"/>
      <c r="M2" s="46"/>
      <c r="N2" s="104"/>
    </row>
    <row r="3" spans="2:19" ht="20.25" customHeight="1" x14ac:dyDescent="0.2">
      <c r="B3" s="105"/>
      <c r="C3" s="239" t="s">
        <v>203</v>
      </c>
      <c r="D3" s="239"/>
      <c r="E3" s="239"/>
      <c r="F3" s="239"/>
      <c r="G3" s="239"/>
      <c r="H3" s="239"/>
      <c r="I3" s="239"/>
      <c r="J3" s="239"/>
      <c r="K3" s="239"/>
      <c r="L3" s="239"/>
      <c r="M3" s="239"/>
      <c r="N3" s="240"/>
    </row>
    <row r="4" spans="2:19" ht="15.75" x14ac:dyDescent="0.25">
      <c r="B4" s="105"/>
      <c r="C4" s="78" t="s">
        <v>313</v>
      </c>
      <c r="D4" s="30"/>
      <c r="E4" s="30"/>
      <c r="F4" s="5"/>
      <c r="G4" s="5"/>
      <c r="H4" s="5"/>
      <c r="I4" s="5"/>
      <c r="J4" s="5"/>
      <c r="K4" s="5"/>
      <c r="L4" s="5"/>
      <c r="M4" s="5"/>
      <c r="N4" s="21"/>
    </row>
    <row r="5" spans="2:19" ht="20.25" customHeight="1" x14ac:dyDescent="0.2">
      <c r="B5" s="105"/>
      <c r="C5" s="79" t="s">
        <v>314</v>
      </c>
      <c r="D5" s="256" t="s">
        <v>305</v>
      </c>
      <c r="E5" s="256"/>
      <c r="F5" s="5"/>
      <c r="G5" s="5"/>
      <c r="H5" s="5"/>
      <c r="I5" s="5"/>
      <c r="J5" s="5"/>
      <c r="K5" s="5"/>
      <c r="L5" s="5"/>
      <c r="M5" s="5"/>
      <c r="N5" s="21"/>
    </row>
    <row r="6" spans="2:19" ht="15.75" x14ac:dyDescent="0.25">
      <c r="B6" s="105"/>
      <c r="C6" s="30"/>
      <c r="D6" s="30"/>
      <c r="E6" s="30"/>
      <c r="F6" s="5"/>
      <c r="G6" s="5"/>
      <c r="H6" s="5"/>
      <c r="I6" s="5"/>
      <c r="J6" s="5"/>
      <c r="K6" s="5"/>
      <c r="L6" s="5"/>
      <c r="M6" s="5"/>
      <c r="N6" s="21"/>
    </row>
    <row r="7" spans="2:19" ht="32.25" customHeight="1" x14ac:dyDescent="0.2">
      <c r="B7" s="105"/>
      <c r="C7" s="107" t="s">
        <v>43</v>
      </c>
      <c r="D7" s="133" t="s">
        <v>44</v>
      </c>
      <c r="E7" s="133" t="s">
        <v>45</v>
      </c>
      <c r="F7" s="5"/>
      <c r="G7" s="241" t="s">
        <v>46</v>
      </c>
      <c r="H7" s="241"/>
      <c r="I7" s="241"/>
      <c r="J7" s="241"/>
      <c r="K7" s="241"/>
      <c r="L7" s="241"/>
      <c r="M7" s="241"/>
      <c r="N7" s="242"/>
    </row>
    <row r="8" spans="2:19" x14ac:dyDescent="0.2">
      <c r="B8" s="105"/>
      <c r="C8" s="134" t="s">
        <v>29</v>
      </c>
      <c r="D8" s="135" t="s">
        <v>3</v>
      </c>
      <c r="E8" s="117">
        <v>2.5599E-2</v>
      </c>
      <c r="F8" s="5"/>
      <c r="G8" s="5" t="s">
        <v>47</v>
      </c>
      <c r="H8" s="32">
        <v>1</v>
      </c>
      <c r="I8" s="52">
        <f>H8/SUM($H$8:$H$10)</f>
        <v>1</v>
      </c>
      <c r="J8" s="5"/>
      <c r="K8" s="32"/>
      <c r="L8" s="5"/>
      <c r="M8" s="5"/>
      <c r="N8" s="21"/>
      <c r="S8" s="56"/>
    </row>
    <row r="9" spans="2:19" ht="15.75" customHeight="1" x14ac:dyDescent="0.2">
      <c r="B9" s="105"/>
      <c r="C9" s="136" t="s">
        <v>32</v>
      </c>
      <c r="D9" s="39" t="s">
        <v>3</v>
      </c>
      <c r="E9" s="41">
        <v>1.8056000000000003E-2</v>
      </c>
      <c r="F9" s="5"/>
      <c r="G9" s="5" t="s">
        <v>57</v>
      </c>
      <c r="H9" s="6">
        <v>0</v>
      </c>
      <c r="I9" s="52">
        <f>H9/SUM($H$8:$H$10)</f>
        <v>0</v>
      </c>
      <c r="J9" s="5" t="s">
        <v>115</v>
      </c>
      <c r="K9" s="32">
        <f>E23+E25</f>
        <v>0.21698899999999996</v>
      </c>
      <c r="L9" s="5"/>
      <c r="M9" s="5"/>
      <c r="N9" s="21"/>
      <c r="S9" s="56"/>
    </row>
    <row r="10" spans="2:19" x14ac:dyDescent="0.2">
      <c r="B10" s="105"/>
      <c r="C10" s="136" t="s">
        <v>31</v>
      </c>
      <c r="D10" s="39" t="s">
        <v>6</v>
      </c>
      <c r="E10" s="41">
        <v>1.2949E-2</v>
      </c>
      <c r="F10" s="32"/>
      <c r="G10" s="5" t="s">
        <v>48</v>
      </c>
      <c r="H10" s="6">
        <v>0</v>
      </c>
      <c r="I10" s="52">
        <f>H10/SUM($H$8:$H$10)</f>
        <v>0</v>
      </c>
      <c r="J10" s="5" t="s">
        <v>20</v>
      </c>
      <c r="K10" s="32">
        <f>E35</f>
        <v>8.6941999999999992E-2</v>
      </c>
      <c r="L10" s="5"/>
      <c r="M10" s="5"/>
      <c r="N10" s="21"/>
      <c r="S10" s="56"/>
    </row>
    <row r="11" spans="2:19" x14ac:dyDescent="0.2">
      <c r="B11" s="105"/>
      <c r="C11" s="136" t="s">
        <v>127</v>
      </c>
      <c r="D11" s="39" t="s">
        <v>135</v>
      </c>
      <c r="E11" s="41">
        <v>1.0895E-2</v>
      </c>
      <c r="F11" s="5"/>
      <c r="G11" s="5"/>
      <c r="H11" s="5"/>
      <c r="I11" s="5"/>
      <c r="J11" s="5" t="s">
        <v>61</v>
      </c>
      <c r="K11" s="32">
        <f>E29</f>
        <v>0.55336099999999999</v>
      </c>
      <c r="L11" s="5"/>
      <c r="M11" s="5"/>
      <c r="N11" s="21"/>
      <c r="S11" s="56"/>
    </row>
    <row r="12" spans="2:19" ht="15.75" customHeight="1" x14ac:dyDescent="0.2">
      <c r="B12" s="105"/>
      <c r="C12" s="136" t="s">
        <v>75</v>
      </c>
      <c r="D12" s="39" t="s">
        <v>12</v>
      </c>
      <c r="E12" s="41">
        <v>1.0335E-2</v>
      </c>
      <c r="F12" s="32"/>
      <c r="G12" s="5"/>
      <c r="H12" s="32"/>
      <c r="I12" s="5"/>
      <c r="J12" s="5" t="s">
        <v>41</v>
      </c>
      <c r="K12" s="32">
        <f>E33</f>
        <v>3.8165999999999999E-2</v>
      </c>
      <c r="L12" s="5"/>
      <c r="M12" s="5"/>
      <c r="N12" s="21"/>
      <c r="S12" s="56"/>
    </row>
    <row r="13" spans="2:19" x14ac:dyDescent="0.2">
      <c r="B13" s="105"/>
      <c r="C13" s="136" t="s">
        <v>28</v>
      </c>
      <c r="D13" s="39" t="s">
        <v>130</v>
      </c>
      <c r="E13" s="41">
        <v>9.9260000000000008E-3</v>
      </c>
      <c r="F13" s="32"/>
      <c r="G13" s="5"/>
      <c r="H13" s="5"/>
      <c r="I13" s="5"/>
      <c r="J13" s="5"/>
      <c r="K13" s="32"/>
      <c r="L13" s="5"/>
      <c r="M13" s="5"/>
      <c r="N13" s="21"/>
      <c r="S13" s="56"/>
    </row>
    <row r="14" spans="2:19" x14ac:dyDescent="0.2">
      <c r="B14" s="105"/>
      <c r="C14" s="136" t="s">
        <v>109</v>
      </c>
      <c r="D14" s="39" t="s">
        <v>136</v>
      </c>
      <c r="E14" s="41">
        <v>9.2010000000000008E-3</v>
      </c>
      <c r="F14" s="32"/>
      <c r="G14" s="5"/>
      <c r="H14" s="5"/>
      <c r="I14" s="5"/>
      <c r="J14" s="5" t="s">
        <v>225</v>
      </c>
      <c r="K14" s="32">
        <f>E27</f>
        <v>0.104542</v>
      </c>
      <c r="L14" s="5"/>
      <c r="M14" s="5"/>
      <c r="N14" s="21"/>
      <c r="S14" s="56"/>
    </row>
    <row r="15" spans="2:19" x14ac:dyDescent="0.2">
      <c r="B15" s="105"/>
      <c r="C15" s="136" t="s">
        <v>34</v>
      </c>
      <c r="D15" s="39" t="s">
        <v>23</v>
      </c>
      <c r="E15" s="41">
        <v>8.6490000000000004E-3</v>
      </c>
      <c r="F15" s="5"/>
      <c r="G15" s="5"/>
      <c r="H15" s="5"/>
      <c r="I15" s="5"/>
      <c r="L15" s="5"/>
      <c r="M15" s="5"/>
      <c r="N15" s="21"/>
      <c r="S15" s="56"/>
    </row>
    <row r="16" spans="2:19" x14ac:dyDescent="0.2">
      <c r="B16" s="105"/>
      <c r="C16" s="136" t="s">
        <v>92</v>
      </c>
      <c r="D16" s="39" t="s">
        <v>4</v>
      </c>
      <c r="E16" s="41">
        <v>7.6209999999999958E-3</v>
      </c>
      <c r="F16" s="5"/>
      <c r="G16" s="5"/>
      <c r="H16" s="5"/>
      <c r="I16" s="5"/>
      <c r="J16" s="5"/>
      <c r="K16" s="5"/>
      <c r="L16" s="5"/>
      <c r="M16" s="5"/>
      <c r="N16" s="21"/>
      <c r="S16" s="56"/>
    </row>
    <row r="17" spans="2:19" x14ac:dyDescent="0.2">
      <c r="B17" s="105"/>
      <c r="C17" s="137" t="s">
        <v>33</v>
      </c>
      <c r="D17" s="118" t="s">
        <v>130</v>
      </c>
      <c r="E17" s="41">
        <v>7.5740000000000043E-3</v>
      </c>
      <c r="F17" s="5"/>
      <c r="G17" s="5"/>
      <c r="H17" s="5"/>
      <c r="I17" s="5"/>
      <c r="J17" s="5"/>
      <c r="K17" s="5"/>
      <c r="L17" s="5"/>
      <c r="M17" s="5"/>
      <c r="N17" s="21"/>
      <c r="S17" s="56"/>
    </row>
    <row r="18" spans="2:19" x14ac:dyDescent="0.2">
      <c r="B18" s="105"/>
      <c r="C18" s="136" t="s">
        <v>36</v>
      </c>
      <c r="D18" s="39" t="s">
        <v>3</v>
      </c>
      <c r="E18" s="41">
        <v>6.9280000000000001E-3</v>
      </c>
      <c r="F18" s="5"/>
      <c r="G18" s="5"/>
      <c r="H18" s="5"/>
      <c r="I18" s="5"/>
      <c r="J18" s="5"/>
      <c r="K18" s="5"/>
      <c r="L18" s="5"/>
      <c r="M18" s="5"/>
      <c r="N18" s="21"/>
      <c r="S18" s="56"/>
    </row>
    <row r="19" spans="2:19" x14ac:dyDescent="0.2">
      <c r="B19" s="105"/>
      <c r="C19" s="136" t="s">
        <v>134</v>
      </c>
      <c r="D19" s="39" t="s">
        <v>4</v>
      </c>
      <c r="E19" s="41">
        <v>6.5550000000000001E-3</v>
      </c>
      <c r="F19" s="5"/>
      <c r="G19" s="5"/>
      <c r="H19" s="5"/>
      <c r="I19" s="5"/>
      <c r="J19" s="5"/>
      <c r="K19" s="5"/>
      <c r="L19" s="5"/>
      <c r="M19" s="5"/>
      <c r="N19" s="21"/>
      <c r="S19" s="56"/>
    </row>
    <row r="20" spans="2:19" ht="15.75" customHeight="1" x14ac:dyDescent="0.25">
      <c r="B20" s="105"/>
      <c r="C20" s="136" t="s">
        <v>183</v>
      </c>
      <c r="D20" s="39" t="s">
        <v>130</v>
      </c>
      <c r="E20" s="41">
        <v>6.2719999999999998E-3</v>
      </c>
      <c r="F20" s="5"/>
      <c r="G20" s="259" t="s">
        <v>123</v>
      </c>
      <c r="H20" s="260"/>
      <c r="I20" s="260"/>
      <c r="J20" s="260"/>
      <c r="K20" s="260"/>
      <c r="L20" s="199">
        <v>83.096603377374294</v>
      </c>
      <c r="M20" s="138"/>
      <c r="N20" s="120"/>
      <c r="P20" s="20"/>
      <c r="S20" s="56"/>
    </row>
    <row r="21" spans="2:19" ht="15.75" x14ac:dyDescent="0.25">
      <c r="B21" s="105"/>
      <c r="C21" s="136" t="s">
        <v>252</v>
      </c>
      <c r="D21" s="39" t="s">
        <v>135</v>
      </c>
      <c r="E21" s="41">
        <v>6.2649999999999997E-3</v>
      </c>
      <c r="F21" s="5"/>
      <c r="G21" s="5"/>
      <c r="H21" s="5"/>
      <c r="I21" s="5"/>
      <c r="J21" s="5"/>
      <c r="K21" s="5"/>
      <c r="L21" s="5"/>
      <c r="M21" s="5"/>
      <c r="N21" s="21"/>
      <c r="P21" s="20"/>
      <c r="S21" s="56"/>
    </row>
    <row r="22" spans="2:19" ht="15.75" x14ac:dyDescent="0.25">
      <c r="B22" s="105"/>
      <c r="C22" s="136" t="s">
        <v>298</v>
      </c>
      <c r="D22" s="39" t="s">
        <v>135</v>
      </c>
      <c r="E22" s="41">
        <v>6.0239999999999998E-3</v>
      </c>
      <c r="F22" s="5"/>
      <c r="G22" s="32"/>
      <c r="H22" s="32"/>
      <c r="I22" s="32"/>
      <c r="J22" s="5"/>
      <c r="K22" s="32"/>
      <c r="L22" s="5"/>
      <c r="M22" s="5"/>
      <c r="N22" s="21"/>
      <c r="P22" s="20"/>
      <c r="S22" s="56"/>
    </row>
    <row r="23" spans="2:19" ht="15.75" customHeight="1" x14ac:dyDescent="0.25">
      <c r="B23" s="105"/>
      <c r="C23" s="121" t="s">
        <v>102</v>
      </c>
      <c r="D23" s="121"/>
      <c r="E23" s="122">
        <f>SUM(E8:E22)</f>
        <v>0.15284899999999998</v>
      </c>
      <c r="F23" s="5"/>
      <c r="G23" s="241" t="s">
        <v>50</v>
      </c>
      <c r="H23" s="241"/>
      <c r="I23" s="241"/>
      <c r="J23" s="241"/>
      <c r="K23" s="241"/>
      <c r="L23" s="241"/>
      <c r="M23" s="241"/>
      <c r="N23" s="242"/>
      <c r="P23" s="20"/>
      <c r="S23" s="56"/>
    </row>
    <row r="24" spans="2:19" ht="15.75" x14ac:dyDescent="0.25">
      <c r="B24" s="105"/>
      <c r="C24" s="4"/>
      <c r="D24" s="4"/>
      <c r="E24" s="6"/>
      <c r="F24" s="5"/>
      <c r="G24" s="5"/>
      <c r="H24" s="5"/>
      <c r="I24" s="5"/>
      <c r="J24" s="5"/>
      <c r="K24" s="5"/>
      <c r="L24" s="5"/>
      <c r="M24" s="5"/>
      <c r="N24" s="21"/>
      <c r="P24" s="20"/>
      <c r="S24" s="56"/>
    </row>
    <row r="25" spans="2:19" ht="15.75" x14ac:dyDescent="0.25">
      <c r="B25" s="105"/>
      <c r="C25" s="121" t="s">
        <v>103</v>
      </c>
      <c r="D25" s="121"/>
      <c r="E25" s="122">
        <v>6.4139999999999975E-2</v>
      </c>
      <c r="F25" s="5"/>
      <c r="G25" s="5"/>
      <c r="H25" s="5"/>
      <c r="I25" s="5"/>
      <c r="J25" s="5"/>
      <c r="K25" s="5"/>
      <c r="L25" s="5"/>
      <c r="M25" s="5"/>
      <c r="N25" s="21"/>
      <c r="P25" s="20"/>
      <c r="S25" s="56"/>
    </row>
    <row r="26" spans="2:19" ht="15.75" x14ac:dyDescent="0.25">
      <c r="B26" s="105"/>
      <c r="C26" s="4"/>
      <c r="D26" s="4"/>
      <c r="E26" s="6"/>
      <c r="F26" s="5"/>
      <c r="G26" s="5"/>
      <c r="H26" s="5"/>
      <c r="I26" s="5"/>
      <c r="J26" s="5"/>
      <c r="K26" s="5"/>
      <c r="L26" s="5"/>
      <c r="M26" s="5"/>
      <c r="N26" s="21"/>
      <c r="P26" s="20"/>
      <c r="S26" s="56"/>
    </row>
    <row r="27" spans="2:19" ht="31.5" x14ac:dyDescent="0.25">
      <c r="B27" s="105"/>
      <c r="C27" s="121" t="s">
        <v>219</v>
      </c>
      <c r="D27" s="139"/>
      <c r="E27" s="204">
        <v>0.104542</v>
      </c>
      <c r="F27" s="5"/>
      <c r="G27" s="5"/>
      <c r="H27" s="5"/>
      <c r="I27" s="5"/>
      <c r="J27" s="5"/>
      <c r="K27" s="5"/>
      <c r="L27" s="5"/>
      <c r="M27" s="5"/>
      <c r="N27" s="21"/>
      <c r="P27" s="20"/>
      <c r="S27" s="56"/>
    </row>
    <row r="28" spans="2:19" ht="15.75" x14ac:dyDescent="0.25">
      <c r="B28" s="105"/>
      <c r="C28" s="4"/>
      <c r="D28" s="4"/>
      <c r="E28" s="6"/>
      <c r="F28" s="5"/>
      <c r="G28" s="5"/>
      <c r="H28" s="5"/>
      <c r="I28" s="5"/>
      <c r="J28" s="5"/>
      <c r="K28" s="5"/>
      <c r="L28" s="5"/>
      <c r="M28" s="5"/>
      <c r="N28" s="21"/>
      <c r="P28" s="20"/>
      <c r="S28" s="56"/>
    </row>
    <row r="29" spans="2:19" ht="15.75" x14ac:dyDescent="0.25">
      <c r="B29" s="105"/>
      <c r="C29" s="121" t="s">
        <v>59</v>
      </c>
      <c r="D29" s="121"/>
      <c r="E29" s="204">
        <v>0.55336099999999999</v>
      </c>
      <c r="F29" s="5"/>
      <c r="G29" s="5"/>
      <c r="H29" s="5"/>
      <c r="I29" s="5"/>
      <c r="J29" s="5"/>
      <c r="K29" s="5"/>
      <c r="L29" s="5"/>
      <c r="M29" s="5"/>
      <c r="N29" s="21"/>
      <c r="P29" s="20"/>
      <c r="S29" s="56"/>
    </row>
    <row r="30" spans="2:19" ht="15.75" x14ac:dyDescent="0.25">
      <c r="B30" s="105"/>
      <c r="C30" s="65"/>
      <c r="D30" s="28"/>
      <c r="E30" s="66"/>
      <c r="F30" s="5"/>
      <c r="G30" s="5"/>
      <c r="H30" s="5"/>
      <c r="I30" s="5"/>
      <c r="J30" s="5"/>
      <c r="K30" s="5"/>
      <c r="L30" s="5"/>
      <c r="M30" s="5"/>
      <c r="N30" s="21"/>
      <c r="P30" s="20"/>
      <c r="S30" s="56"/>
    </row>
    <row r="31" spans="2:19" ht="15.75" x14ac:dyDescent="0.25">
      <c r="B31" s="105"/>
      <c r="C31" s="28" t="s">
        <v>73</v>
      </c>
      <c r="D31" s="28" t="s">
        <v>64</v>
      </c>
      <c r="E31" s="218">
        <v>3.8163999999999997E-2</v>
      </c>
      <c r="F31" s="5"/>
      <c r="G31" s="5"/>
      <c r="H31" s="5"/>
      <c r="I31" s="5"/>
      <c r="J31" s="5"/>
      <c r="K31" s="5"/>
      <c r="L31" s="5"/>
      <c r="M31" s="5"/>
      <c r="N31" s="21"/>
      <c r="P31" s="20"/>
      <c r="S31" s="56"/>
    </row>
    <row r="32" spans="2:19" ht="15.75" x14ac:dyDescent="0.25">
      <c r="B32" s="105"/>
      <c r="C32" s="28" t="s">
        <v>99</v>
      </c>
      <c r="D32" s="28" t="s">
        <v>64</v>
      </c>
      <c r="E32" s="219">
        <v>1.9999999999999999E-6</v>
      </c>
      <c r="F32" s="5"/>
      <c r="G32" s="5"/>
      <c r="H32" s="5"/>
      <c r="I32" s="5"/>
      <c r="J32" s="5"/>
      <c r="K32" s="5"/>
      <c r="L32" s="5"/>
      <c r="M32" s="5"/>
      <c r="N32" s="21"/>
      <c r="P32" s="20"/>
      <c r="S32" s="56"/>
    </row>
    <row r="33" spans="2:19" ht="15" customHeight="1" x14ac:dyDescent="0.25">
      <c r="B33" s="105"/>
      <c r="C33" s="121" t="s">
        <v>49</v>
      </c>
      <c r="D33" s="121"/>
      <c r="E33" s="204">
        <f>SUM(E31:E32)</f>
        <v>3.8165999999999999E-2</v>
      </c>
      <c r="F33" s="5"/>
      <c r="G33" s="5"/>
      <c r="H33" s="5"/>
      <c r="I33" s="5"/>
      <c r="J33" s="5"/>
      <c r="K33" s="5"/>
      <c r="L33" s="5"/>
      <c r="M33" s="5"/>
      <c r="N33" s="21"/>
      <c r="P33" s="20"/>
      <c r="S33" s="56"/>
    </row>
    <row r="34" spans="2:19" ht="15" customHeight="1" x14ac:dyDescent="0.25">
      <c r="B34" s="105"/>
      <c r="C34" s="126"/>
      <c r="D34" s="126"/>
      <c r="E34" s="127"/>
      <c r="F34" s="5"/>
      <c r="G34" s="5"/>
      <c r="H34" s="5"/>
      <c r="I34" s="5"/>
      <c r="J34" s="5"/>
      <c r="K34" s="5"/>
      <c r="L34" s="5"/>
      <c r="M34" s="5"/>
      <c r="N34" s="21"/>
      <c r="P34" s="20"/>
      <c r="S34" s="56"/>
    </row>
    <row r="35" spans="2:19" s="55" customFormat="1" ht="15.75" x14ac:dyDescent="0.25">
      <c r="B35" s="123"/>
      <c r="C35" s="121" t="s">
        <v>20</v>
      </c>
      <c r="D35" s="121"/>
      <c r="E35" s="204">
        <v>8.6941999999999992E-2</v>
      </c>
      <c r="F35" s="44"/>
      <c r="G35" s="44"/>
      <c r="H35" s="44"/>
      <c r="I35" s="44"/>
      <c r="J35" s="44"/>
      <c r="K35" s="44"/>
      <c r="L35" s="44"/>
      <c r="M35" s="44"/>
      <c r="N35" s="124"/>
      <c r="P35" s="60"/>
      <c r="S35" s="125"/>
    </row>
    <row r="36" spans="2:19" s="55" customFormat="1" ht="15.75" x14ac:dyDescent="0.25">
      <c r="B36" s="123"/>
      <c r="C36" s="4"/>
      <c r="D36" s="4"/>
      <c r="E36" s="33"/>
      <c r="F36" s="44"/>
      <c r="G36" s="44"/>
      <c r="H36" s="44"/>
      <c r="I36" s="44"/>
      <c r="J36" s="44"/>
      <c r="K36" s="44"/>
      <c r="L36" s="44"/>
      <c r="M36" s="44"/>
      <c r="N36" s="124"/>
      <c r="P36" s="60"/>
      <c r="S36" s="125"/>
    </row>
    <row r="37" spans="2:19" ht="15.75" x14ac:dyDescent="0.25">
      <c r="B37" s="105"/>
      <c r="C37" s="128" t="s">
        <v>21</v>
      </c>
      <c r="D37" s="128"/>
      <c r="E37" s="129">
        <f>E35+E33+E29+E27+E25+E23</f>
        <v>1</v>
      </c>
      <c r="F37" s="5"/>
      <c r="G37" s="5"/>
      <c r="H37" s="5"/>
      <c r="I37" s="5"/>
      <c r="J37" s="5"/>
      <c r="K37" s="5"/>
      <c r="L37" s="5"/>
      <c r="M37" s="5"/>
      <c r="N37" s="21"/>
      <c r="P37" s="20"/>
      <c r="S37" s="56"/>
    </row>
    <row r="38" spans="2:19" ht="15.75" x14ac:dyDescent="0.25">
      <c r="B38" s="105"/>
      <c r="F38" s="5"/>
      <c r="G38" s="5"/>
      <c r="H38" s="5"/>
      <c r="I38" s="5"/>
      <c r="J38" s="5"/>
      <c r="K38" s="5"/>
      <c r="L38" s="5"/>
      <c r="M38" s="5"/>
      <c r="N38" s="21"/>
      <c r="P38" s="20"/>
      <c r="S38" s="56"/>
    </row>
    <row r="39" spans="2:19" ht="15.75" x14ac:dyDescent="0.25">
      <c r="B39" s="105"/>
      <c r="F39" s="5"/>
      <c r="G39" s="5"/>
      <c r="H39" s="5"/>
      <c r="I39" s="5"/>
      <c r="J39" s="5"/>
      <c r="K39" s="5"/>
      <c r="L39" s="5"/>
      <c r="M39" s="5"/>
      <c r="N39" s="21"/>
      <c r="P39" s="20"/>
      <c r="S39" s="56"/>
    </row>
    <row r="40" spans="2:19" ht="15.75" x14ac:dyDescent="0.25">
      <c r="B40" s="105"/>
      <c r="F40" s="5"/>
      <c r="G40" s="5"/>
      <c r="H40" s="5"/>
      <c r="I40" s="5"/>
      <c r="J40" s="5"/>
      <c r="K40" s="5"/>
      <c r="L40" s="5"/>
      <c r="M40" s="5"/>
      <c r="N40" s="21"/>
      <c r="P40" s="20"/>
      <c r="S40" s="56"/>
    </row>
    <row r="41" spans="2:19" ht="15.75" x14ac:dyDescent="0.25">
      <c r="B41" s="105"/>
      <c r="C41" s="5"/>
      <c r="D41" s="5"/>
      <c r="E41" s="5"/>
      <c r="F41" s="5"/>
      <c r="G41" s="5"/>
      <c r="H41" s="5"/>
      <c r="I41" s="5"/>
      <c r="J41" s="5"/>
      <c r="K41" s="5"/>
      <c r="L41" s="5"/>
      <c r="M41" s="5"/>
      <c r="N41" s="21"/>
      <c r="P41" s="20"/>
      <c r="S41" s="56"/>
    </row>
    <row r="42" spans="2:19" ht="15.75" x14ac:dyDescent="0.25">
      <c r="B42" s="105"/>
      <c r="F42" s="5"/>
      <c r="G42" s="5"/>
      <c r="H42" s="5"/>
      <c r="I42" s="5"/>
      <c r="J42" s="5"/>
      <c r="K42" s="5"/>
      <c r="L42" s="5"/>
      <c r="M42" s="5"/>
      <c r="N42" s="21"/>
      <c r="P42" s="20"/>
      <c r="S42" s="56"/>
    </row>
    <row r="43" spans="2:19" ht="15.75" x14ac:dyDescent="0.25">
      <c r="B43" s="105"/>
      <c r="F43" s="5"/>
      <c r="G43" s="5"/>
      <c r="H43" s="5"/>
      <c r="I43" s="5"/>
      <c r="J43" s="5"/>
      <c r="K43" s="5"/>
      <c r="L43" s="5"/>
      <c r="M43" s="5"/>
      <c r="N43" s="21"/>
      <c r="P43" s="20"/>
      <c r="S43" s="56"/>
    </row>
    <row r="44" spans="2:19" ht="15.75" x14ac:dyDescent="0.25">
      <c r="B44" s="105"/>
      <c r="C44" s="5"/>
      <c r="D44" s="5"/>
      <c r="E44" s="5"/>
      <c r="F44" s="5"/>
      <c r="G44" s="5"/>
      <c r="H44" s="5"/>
      <c r="I44" s="5"/>
      <c r="J44" s="5"/>
      <c r="K44" s="5"/>
      <c r="L44" s="5"/>
      <c r="M44" s="5"/>
      <c r="N44" s="21"/>
      <c r="P44" s="20"/>
      <c r="S44" s="56"/>
    </row>
    <row r="45" spans="2:19" ht="15.75" x14ac:dyDescent="0.25">
      <c r="B45" s="105"/>
      <c r="C45" s="5"/>
      <c r="D45" s="5"/>
      <c r="E45" s="5"/>
      <c r="F45" s="5"/>
      <c r="G45" s="5"/>
      <c r="H45" s="5"/>
      <c r="I45" s="5"/>
      <c r="J45" s="5"/>
      <c r="K45" s="5"/>
      <c r="L45" s="5"/>
      <c r="M45" s="5"/>
      <c r="N45" s="21"/>
      <c r="P45" s="20"/>
      <c r="S45" s="56"/>
    </row>
    <row r="46" spans="2:19" ht="11.25" customHeight="1" thickBot="1" x14ac:dyDescent="0.25">
      <c r="B46" s="108"/>
      <c r="C46" s="51"/>
      <c r="D46" s="51"/>
      <c r="E46" s="51"/>
      <c r="F46" s="51"/>
      <c r="G46" s="51"/>
      <c r="H46" s="51"/>
      <c r="I46" s="51"/>
      <c r="J46" s="51"/>
      <c r="K46" s="51"/>
      <c r="L46" s="51"/>
      <c r="M46" s="51"/>
      <c r="N46" s="132"/>
      <c r="S46" s="56"/>
    </row>
    <row r="47" spans="2:19" ht="15.75" thickBot="1" x14ac:dyDescent="0.25">
      <c r="S47" s="56"/>
    </row>
    <row r="48" spans="2:19" ht="15" customHeight="1" x14ac:dyDescent="0.2">
      <c r="B48" s="245" t="s">
        <v>234</v>
      </c>
      <c r="C48" s="246"/>
      <c r="D48" s="246"/>
      <c r="E48" s="246"/>
      <c r="F48" s="246"/>
      <c r="G48" s="246"/>
      <c r="H48" s="246"/>
      <c r="I48" s="246"/>
      <c r="J48" s="246"/>
      <c r="K48" s="246"/>
      <c r="L48" s="246"/>
      <c r="M48" s="246"/>
      <c r="N48" s="246"/>
      <c r="O48" s="246"/>
      <c r="P48" s="246"/>
      <c r="Q48" s="246"/>
      <c r="R48" s="247"/>
      <c r="S48" s="56"/>
    </row>
    <row r="49" spans="2:19" x14ac:dyDescent="0.2">
      <c r="B49" s="248"/>
      <c r="C49" s="249"/>
      <c r="D49" s="249"/>
      <c r="E49" s="249"/>
      <c r="F49" s="249"/>
      <c r="G49" s="249"/>
      <c r="H49" s="249"/>
      <c r="I49" s="249"/>
      <c r="J49" s="249"/>
      <c r="K49" s="249"/>
      <c r="L49" s="249"/>
      <c r="M49" s="249"/>
      <c r="N49" s="249"/>
      <c r="O49" s="249"/>
      <c r="P49" s="249"/>
      <c r="Q49" s="249"/>
      <c r="R49" s="250"/>
      <c r="S49" s="56"/>
    </row>
    <row r="50" spans="2:19" x14ac:dyDescent="0.2">
      <c r="B50" s="248"/>
      <c r="C50" s="249"/>
      <c r="D50" s="249"/>
      <c r="E50" s="249"/>
      <c r="F50" s="249"/>
      <c r="G50" s="249"/>
      <c r="H50" s="249"/>
      <c r="I50" s="249"/>
      <c r="J50" s="249"/>
      <c r="K50" s="249"/>
      <c r="L50" s="249"/>
      <c r="M50" s="249"/>
      <c r="N50" s="249"/>
      <c r="O50" s="249"/>
      <c r="P50" s="249"/>
      <c r="Q50" s="249"/>
      <c r="R50" s="250"/>
      <c r="S50" s="56"/>
    </row>
    <row r="51" spans="2:19" x14ac:dyDescent="0.2">
      <c r="B51" s="248"/>
      <c r="C51" s="249"/>
      <c r="D51" s="249"/>
      <c r="E51" s="249"/>
      <c r="F51" s="249"/>
      <c r="G51" s="249"/>
      <c r="H51" s="249"/>
      <c r="I51" s="249"/>
      <c r="J51" s="249"/>
      <c r="K51" s="249"/>
      <c r="L51" s="249"/>
      <c r="M51" s="249"/>
      <c r="N51" s="249"/>
      <c r="O51" s="249"/>
      <c r="P51" s="249"/>
      <c r="Q51" s="249"/>
      <c r="R51" s="250"/>
      <c r="S51" s="56"/>
    </row>
    <row r="52" spans="2:19" x14ac:dyDescent="0.2">
      <c r="B52" s="248"/>
      <c r="C52" s="249"/>
      <c r="D52" s="249"/>
      <c r="E52" s="249"/>
      <c r="F52" s="249"/>
      <c r="G52" s="249"/>
      <c r="H52" s="249"/>
      <c r="I52" s="249"/>
      <c r="J52" s="249"/>
      <c r="K52" s="249"/>
      <c r="L52" s="249"/>
      <c r="M52" s="249"/>
      <c r="N52" s="249"/>
      <c r="O52" s="249"/>
      <c r="P52" s="249"/>
      <c r="Q52" s="249"/>
      <c r="R52" s="250"/>
      <c r="S52" s="56"/>
    </row>
    <row r="53" spans="2:19" x14ac:dyDescent="0.2">
      <c r="B53" s="248"/>
      <c r="C53" s="249"/>
      <c r="D53" s="249"/>
      <c r="E53" s="249"/>
      <c r="F53" s="249"/>
      <c r="G53" s="249"/>
      <c r="H53" s="249"/>
      <c r="I53" s="249"/>
      <c r="J53" s="249"/>
      <c r="K53" s="249"/>
      <c r="L53" s="249"/>
      <c r="M53" s="249"/>
      <c r="N53" s="249"/>
      <c r="O53" s="249"/>
      <c r="P53" s="249"/>
      <c r="Q53" s="249"/>
      <c r="R53" s="250"/>
      <c r="S53" s="56"/>
    </row>
    <row r="54" spans="2:19" ht="15.75" thickBot="1" x14ac:dyDescent="0.25">
      <c r="B54" s="251"/>
      <c r="C54" s="252"/>
      <c r="D54" s="252"/>
      <c r="E54" s="252"/>
      <c r="F54" s="252"/>
      <c r="G54" s="252"/>
      <c r="H54" s="252"/>
      <c r="I54" s="252"/>
      <c r="J54" s="252"/>
      <c r="K54" s="252"/>
      <c r="L54" s="252"/>
      <c r="M54" s="252"/>
      <c r="N54" s="252"/>
      <c r="O54" s="252"/>
      <c r="P54" s="252"/>
      <c r="Q54" s="252"/>
      <c r="R54" s="253"/>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1"/>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39" t="s">
        <v>202</v>
      </c>
      <c r="D3" s="239"/>
      <c r="E3" s="239"/>
      <c r="F3" s="239"/>
      <c r="G3" s="239"/>
      <c r="H3" s="239"/>
      <c r="I3" s="239"/>
      <c r="J3" s="239"/>
      <c r="K3" s="239"/>
      <c r="L3" s="239"/>
      <c r="M3" s="239"/>
      <c r="N3" s="240"/>
    </row>
    <row r="4" spans="2:18" ht="15.75" x14ac:dyDescent="0.25">
      <c r="B4" s="105"/>
      <c r="C4" s="78" t="s">
        <v>313</v>
      </c>
      <c r="D4" s="30"/>
      <c r="E4" s="30"/>
      <c r="F4" s="5"/>
      <c r="G4" s="5"/>
      <c r="H4" s="5"/>
      <c r="I4" s="5"/>
      <c r="J4" s="5"/>
      <c r="K4" s="5"/>
      <c r="L4" s="5"/>
      <c r="M4" s="5"/>
      <c r="N4" s="21"/>
    </row>
    <row r="5" spans="2:18" ht="20.25" customHeight="1" x14ac:dyDescent="0.2">
      <c r="B5" s="105"/>
      <c r="C5" s="79" t="s">
        <v>314</v>
      </c>
      <c r="D5" s="256" t="s">
        <v>304</v>
      </c>
      <c r="E5" s="256"/>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43</v>
      </c>
      <c r="D7" s="107" t="s">
        <v>44</v>
      </c>
      <c r="E7" s="107" t="s">
        <v>45</v>
      </c>
      <c r="F7" s="5"/>
      <c r="G7" s="241" t="s">
        <v>46</v>
      </c>
      <c r="H7" s="241"/>
      <c r="I7" s="241"/>
      <c r="J7" s="241"/>
      <c r="K7" s="241"/>
      <c r="L7" s="241"/>
      <c r="M7" s="241"/>
      <c r="N7" s="242"/>
    </row>
    <row r="8" spans="2:18" x14ac:dyDescent="0.2">
      <c r="B8" s="105"/>
      <c r="C8" s="220" t="s">
        <v>168</v>
      </c>
      <c r="D8" s="221" t="s">
        <v>3</v>
      </c>
      <c r="E8" s="222">
        <v>8.4270000000000005E-3</v>
      </c>
      <c r="F8" s="5"/>
      <c r="G8" s="5" t="s">
        <v>47</v>
      </c>
      <c r="H8" s="32">
        <v>1</v>
      </c>
      <c r="I8" s="52">
        <f>H8/SUM($H$8:$H$10)</f>
        <v>1</v>
      </c>
      <c r="J8" s="5"/>
      <c r="K8" s="32"/>
      <c r="L8" s="5"/>
      <c r="M8" s="5"/>
      <c r="N8" s="21"/>
      <c r="R8" s="56"/>
    </row>
    <row r="9" spans="2:18" ht="15.75" customHeight="1" x14ac:dyDescent="0.2">
      <c r="B9" s="105"/>
      <c r="C9" s="210" t="s">
        <v>165</v>
      </c>
      <c r="D9" s="223" t="s">
        <v>26</v>
      </c>
      <c r="E9" s="224">
        <v>8.0400000000000003E-3</v>
      </c>
      <c r="F9" s="5"/>
      <c r="G9" s="5" t="s">
        <v>57</v>
      </c>
      <c r="H9" s="53">
        <v>0</v>
      </c>
      <c r="I9" s="52">
        <f t="shared" ref="I9:I10" si="0">H9/SUM($H$8:$H$10)</f>
        <v>0</v>
      </c>
      <c r="J9" s="5" t="s">
        <v>41</v>
      </c>
      <c r="K9" s="32">
        <f>E35</f>
        <v>4.0743000000000001E-2</v>
      </c>
      <c r="L9" s="5"/>
      <c r="M9" s="5"/>
      <c r="N9" s="21"/>
      <c r="R9" s="56"/>
    </row>
    <row r="10" spans="2:18" x14ac:dyDescent="0.2">
      <c r="B10" s="105"/>
      <c r="C10" s="210" t="s">
        <v>159</v>
      </c>
      <c r="D10" s="223" t="s">
        <v>136</v>
      </c>
      <c r="E10" s="224">
        <v>7.4770000000000001E-3</v>
      </c>
      <c r="F10" s="32"/>
      <c r="G10" s="5" t="s">
        <v>48</v>
      </c>
      <c r="H10" s="53">
        <v>0</v>
      </c>
      <c r="I10" s="52">
        <f t="shared" si="0"/>
        <v>0</v>
      </c>
      <c r="J10" s="5" t="s">
        <v>111</v>
      </c>
      <c r="K10" s="32">
        <f>E24+E27+E29</f>
        <v>0.20940000000000003</v>
      </c>
      <c r="L10" s="5"/>
      <c r="M10" s="5"/>
      <c r="N10" s="21"/>
      <c r="R10" s="56"/>
    </row>
    <row r="11" spans="2:18" x14ac:dyDescent="0.2">
      <c r="B11" s="105"/>
      <c r="C11" s="210" t="s">
        <v>170</v>
      </c>
      <c r="D11" s="223" t="s">
        <v>131</v>
      </c>
      <c r="E11" s="224">
        <v>7.4580000000000002E-3</v>
      </c>
      <c r="F11" s="5"/>
      <c r="G11" s="5"/>
      <c r="H11" s="5"/>
      <c r="I11" s="5"/>
      <c r="J11" s="5" t="s">
        <v>20</v>
      </c>
      <c r="K11" s="32">
        <f>E48</f>
        <v>8.5516999999999996E-2</v>
      </c>
      <c r="L11" s="5"/>
      <c r="M11" s="5"/>
      <c r="N11" s="21"/>
      <c r="R11" s="56"/>
    </row>
    <row r="12" spans="2:18" ht="15.75" customHeight="1" x14ac:dyDescent="0.2">
      <c r="B12" s="105"/>
      <c r="C12" s="210" t="s">
        <v>134</v>
      </c>
      <c r="D12" s="223" t="s">
        <v>4</v>
      </c>
      <c r="E12" s="224">
        <v>7.1329999999999996E-3</v>
      </c>
      <c r="F12" s="32"/>
      <c r="G12" s="5"/>
      <c r="H12" s="32"/>
      <c r="I12" s="5"/>
      <c r="J12" s="5" t="s">
        <v>42</v>
      </c>
      <c r="K12" s="32">
        <f>E43</f>
        <v>0.58773999999999993</v>
      </c>
      <c r="L12" s="5"/>
      <c r="M12" s="5"/>
      <c r="N12" s="21"/>
      <c r="R12" s="56"/>
    </row>
    <row r="13" spans="2:18" x14ac:dyDescent="0.2">
      <c r="B13" s="105"/>
      <c r="C13" s="210" t="s">
        <v>100</v>
      </c>
      <c r="D13" s="223" t="s">
        <v>26</v>
      </c>
      <c r="E13" s="224">
        <v>6.9629999999999996E-3</v>
      </c>
      <c r="F13" s="32"/>
      <c r="G13" s="5"/>
      <c r="H13" s="5"/>
      <c r="I13" s="5"/>
      <c r="J13" s="5" t="s">
        <v>58</v>
      </c>
      <c r="K13" s="32">
        <f>E46</f>
        <v>7.6600000000000001E-2</v>
      </c>
      <c r="L13" s="5"/>
      <c r="M13" s="5"/>
      <c r="N13" s="21"/>
      <c r="R13" s="56"/>
    </row>
    <row r="14" spans="2:18" x14ac:dyDescent="0.2">
      <c r="B14" s="105"/>
      <c r="C14" s="210" t="s">
        <v>184</v>
      </c>
      <c r="D14" s="223" t="s">
        <v>130</v>
      </c>
      <c r="E14" s="224">
        <v>6.3550000000000004E-3</v>
      </c>
      <c r="F14" s="32"/>
      <c r="G14" s="5"/>
      <c r="H14" s="5"/>
      <c r="I14" s="5"/>
      <c r="L14" s="5"/>
      <c r="M14" s="5"/>
      <c r="N14" s="21"/>
      <c r="R14" s="56"/>
    </row>
    <row r="15" spans="2:18" x14ac:dyDescent="0.2">
      <c r="B15" s="105"/>
      <c r="C15" s="210" t="s">
        <v>128</v>
      </c>
      <c r="D15" s="223" t="s">
        <v>4</v>
      </c>
      <c r="E15" s="224">
        <v>6.1320000000000003E-3</v>
      </c>
      <c r="F15" s="5"/>
      <c r="G15" s="5"/>
      <c r="H15" s="5"/>
      <c r="I15" s="5"/>
      <c r="L15" s="5"/>
      <c r="M15" s="5"/>
      <c r="N15" s="21"/>
      <c r="R15" s="56"/>
    </row>
    <row r="16" spans="2:18" x14ac:dyDescent="0.2">
      <c r="B16" s="105"/>
      <c r="C16" s="210" t="s">
        <v>33</v>
      </c>
      <c r="D16" s="223" t="s">
        <v>130</v>
      </c>
      <c r="E16" s="224">
        <v>6.1040000000000001E-3</v>
      </c>
      <c r="F16" s="5"/>
      <c r="G16" s="5"/>
      <c r="H16" s="5"/>
      <c r="I16" s="5"/>
      <c r="J16" s="5"/>
      <c r="K16" s="5"/>
      <c r="L16" s="5"/>
      <c r="M16" s="5"/>
      <c r="N16" s="21"/>
      <c r="R16" s="56"/>
    </row>
    <row r="17" spans="2:22" x14ac:dyDescent="0.2">
      <c r="B17" s="105"/>
      <c r="C17" s="210" t="s">
        <v>189</v>
      </c>
      <c r="D17" s="223" t="s">
        <v>145</v>
      </c>
      <c r="E17" s="224">
        <v>6.0000000000000001E-3</v>
      </c>
      <c r="F17" s="5"/>
      <c r="G17" s="5"/>
      <c r="H17" s="5"/>
      <c r="I17" s="5"/>
      <c r="J17" s="5"/>
      <c r="K17" s="5"/>
      <c r="L17" s="5"/>
      <c r="M17" s="5"/>
      <c r="N17" s="21"/>
      <c r="R17" s="56"/>
    </row>
    <row r="18" spans="2:22" x14ac:dyDescent="0.2">
      <c r="B18" s="105"/>
      <c r="C18" s="210" t="s">
        <v>237</v>
      </c>
      <c r="D18" s="223" t="s">
        <v>133</v>
      </c>
      <c r="E18" s="224">
        <v>5.934E-3</v>
      </c>
      <c r="F18" s="5"/>
      <c r="G18" s="5"/>
      <c r="H18" s="5"/>
      <c r="I18" s="5"/>
      <c r="J18" s="5"/>
      <c r="K18" s="5"/>
      <c r="L18" s="5"/>
      <c r="M18" s="5"/>
      <c r="N18" s="21"/>
      <c r="R18" s="56"/>
    </row>
    <row r="19" spans="2:22" x14ac:dyDescent="0.2">
      <c r="B19" s="105"/>
      <c r="C19" s="210" t="s">
        <v>29</v>
      </c>
      <c r="D19" s="223" t="s">
        <v>3</v>
      </c>
      <c r="E19" s="224">
        <v>5.7369999999999999E-3</v>
      </c>
      <c r="F19" s="5"/>
      <c r="G19" s="5"/>
      <c r="H19" s="5"/>
      <c r="I19" s="5"/>
      <c r="J19" s="5"/>
      <c r="K19" s="5"/>
      <c r="L19" s="5"/>
      <c r="M19" s="5"/>
      <c r="N19" s="21"/>
      <c r="R19" s="56"/>
    </row>
    <row r="20" spans="2:22" ht="15.75" customHeight="1" x14ac:dyDescent="0.25">
      <c r="B20" s="105"/>
      <c r="C20" s="210" t="s">
        <v>162</v>
      </c>
      <c r="D20" s="223" t="s">
        <v>133</v>
      </c>
      <c r="E20" s="224">
        <v>5.6080000000000001E-3</v>
      </c>
      <c r="F20" s="5"/>
      <c r="G20" s="259" t="s">
        <v>116</v>
      </c>
      <c r="H20" s="260"/>
      <c r="I20" s="260"/>
      <c r="J20" s="260"/>
      <c r="K20" s="260"/>
      <c r="L20" s="198">
        <v>2.3891226878114553</v>
      </c>
      <c r="M20" s="119"/>
      <c r="N20" s="120"/>
      <c r="R20" s="56"/>
    </row>
    <row r="21" spans="2:22" x14ac:dyDescent="0.2">
      <c r="B21" s="105"/>
      <c r="C21" s="210" t="s">
        <v>32</v>
      </c>
      <c r="D21" s="223" t="s">
        <v>3</v>
      </c>
      <c r="E21" s="224">
        <v>4.0010000000000002E-3</v>
      </c>
      <c r="F21" s="5"/>
      <c r="G21" s="5"/>
      <c r="H21" s="5"/>
      <c r="I21" s="5"/>
      <c r="J21" s="5"/>
      <c r="K21" s="5"/>
      <c r="L21" s="5"/>
      <c r="M21" s="5"/>
      <c r="N21" s="21"/>
      <c r="R21" s="56"/>
    </row>
    <row r="22" spans="2:22" x14ac:dyDescent="0.2">
      <c r="B22" s="105"/>
      <c r="C22" s="210" t="s">
        <v>90</v>
      </c>
      <c r="D22" s="223" t="s">
        <v>3</v>
      </c>
      <c r="E22" s="224">
        <v>3.6310000000000001E-3</v>
      </c>
      <c r="F22" s="5"/>
      <c r="G22" s="32"/>
      <c r="H22" s="32"/>
      <c r="I22" s="32"/>
      <c r="J22" s="5"/>
      <c r="K22" s="32"/>
      <c r="L22" s="5"/>
      <c r="M22" s="5"/>
      <c r="N22" s="21"/>
      <c r="R22" s="56"/>
    </row>
    <row r="23" spans="2:22" ht="15.75" customHeight="1" x14ac:dyDescent="0.2">
      <c r="B23" s="105"/>
      <c r="C23" s="19"/>
      <c r="D23" s="19"/>
      <c r="E23" s="40"/>
      <c r="F23" s="5"/>
      <c r="G23" s="241" t="s">
        <v>50</v>
      </c>
      <c r="H23" s="241"/>
      <c r="I23" s="241"/>
      <c r="J23" s="241"/>
      <c r="K23" s="241"/>
      <c r="L23" s="241"/>
      <c r="M23" s="241"/>
      <c r="N23" s="242"/>
      <c r="R23" s="56"/>
    </row>
    <row r="24" spans="2:22" ht="15.75" x14ac:dyDescent="0.2">
      <c r="B24" s="105"/>
      <c r="C24" s="130" t="s">
        <v>56</v>
      </c>
      <c r="D24" s="130"/>
      <c r="E24" s="131">
        <f>SUM(E8:E22)</f>
        <v>9.5000000000000015E-2</v>
      </c>
      <c r="F24" s="5"/>
      <c r="G24" s="5"/>
      <c r="H24" s="5"/>
      <c r="I24" s="5"/>
      <c r="J24" s="5"/>
      <c r="K24" s="5"/>
      <c r="L24" s="5"/>
      <c r="M24" s="5"/>
      <c r="N24" s="21"/>
      <c r="R24" s="56"/>
    </row>
    <row r="25" spans="2:22" x14ac:dyDescent="0.2">
      <c r="B25" s="105"/>
      <c r="C25" s="4"/>
      <c r="D25" s="4"/>
      <c r="E25" s="6"/>
      <c r="F25" s="5"/>
      <c r="G25" s="5"/>
      <c r="H25" s="5"/>
      <c r="I25" s="5"/>
      <c r="J25" s="5"/>
      <c r="K25" s="5"/>
      <c r="L25" s="5"/>
      <c r="M25" s="5"/>
      <c r="N25" s="21"/>
      <c r="R25" s="56"/>
    </row>
    <row r="26" spans="2:22" x14ac:dyDescent="0.2">
      <c r="B26" s="105"/>
      <c r="C26" s="4" t="s">
        <v>220</v>
      </c>
      <c r="D26" s="4"/>
      <c r="E26" s="200">
        <v>0.10997700000000001</v>
      </c>
      <c r="F26" s="5"/>
      <c r="G26" s="5"/>
      <c r="H26" s="5"/>
      <c r="I26" s="5"/>
      <c r="J26" s="5"/>
      <c r="K26" s="5"/>
      <c r="L26" s="5"/>
      <c r="M26" s="5"/>
      <c r="N26" s="21"/>
      <c r="R26" s="56"/>
    </row>
    <row r="27" spans="2:22" ht="15.75" x14ac:dyDescent="0.2">
      <c r="B27" s="105"/>
      <c r="C27" s="121" t="s">
        <v>93</v>
      </c>
      <c r="D27" s="121"/>
      <c r="E27" s="204">
        <v>0.10997700000000001</v>
      </c>
      <c r="F27" s="5"/>
      <c r="G27" s="5"/>
      <c r="H27" s="5"/>
      <c r="I27" s="5"/>
      <c r="J27" s="5"/>
      <c r="K27" s="5"/>
      <c r="L27" s="5"/>
      <c r="M27" s="5"/>
      <c r="N27" s="21"/>
      <c r="R27" s="56"/>
    </row>
    <row r="28" spans="2:22" s="55" customFormat="1" ht="15.75" x14ac:dyDescent="0.2">
      <c r="B28" s="123"/>
      <c r="C28" s="126"/>
      <c r="D28" s="126"/>
      <c r="E28" s="127"/>
      <c r="F28" s="44"/>
      <c r="G28" s="44"/>
      <c r="H28" s="44"/>
      <c r="I28" s="44"/>
      <c r="J28" s="44"/>
      <c r="K28" s="44"/>
      <c r="L28" s="44"/>
      <c r="M28" s="44"/>
      <c r="N28" s="124"/>
      <c r="R28" s="125"/>
    </row>
    <row r="29" spans="2:22" ht="15.75" x14ac:dyDescent="0.2">
      <c r="B29" s="105"/>
      <c r="C29" s="121" t="s">
        <v>69</v>
      </c>
      <c r="D29" s="121"/>
      <c r="E29" s="122">
        <v>4.4229999999999998E-3</v>
      </c>
      <c r="F29" s="5"/>
      <c r="G29" s="5"/>
      <c r="H29" s="5"/>
      <c r="I29" s="5"/>
      <c r="J29" s="5"/>
      <c r="K29" s="5"/>
      <c r="L29" s="5"/>
      <c r="M29" s="5"/>
      <c r="N29" s="21"/>
      <c r="R29" s="56"/>
      <c r="U29" s="3" t="s">
        <v>11</v>
      </c>
      <c r="V29" s="3">
        <v>1.1159000000000001E-2</v>
      </c>
    </row>
    <row r="30" spans="2:22" x14ac:dyDescent="0.2">
      <c r="B30" s="105"/>
      <c r="C30" s="39"/>
      <c r="D30" s="39"/>
      <c r="E30" s="69"/>
      <c r="F30" s="5"/>
      <c r="G30" s="5"/>
      <c r="H30" s="5"/>
      <c r="I30" s="5"/>
      <c r="J30" s="5"/>
      <c r="K30" s="5"/>
      <c r="L30" s="5"/>
      <c r="M30" s="5"/>
      <c r="N30" s="21"/>
      <c r="R30" s="56"/>
      <c r="U30" s="3" t="s">
        <v>18</v>
      </c>
      <c r="V30" s="3">
        <v>1.0543E-2</v>
      </c>
    </row>
    <row r="31" spans="2:22" x14ac:dyDescent="0.2">
      <c r="B31" s="105"/>
      <c r="C31" s="39"/>
      <c r="D31" s="39"/>
      <c r="E31" s="6"/>
      <c r="F31" s="5"/>
      <c r="G31" s="5"/>
      <c r="H31" s="5"/>
      <c r="I31" s="5"/>
      <c r="J31" s="5"/>
      <c r="K31" s="5"/>
      <c r="L31" s="5"/>
      <c r="M31" s="5"/>
      <c r="N31" s="21"/>
      <c r="R31" s="56"/>
    </row>
    <row r="32" spans="2:22" x14ac:dyDescent="0.2">
      <c r="B32" s="105"/>
      <c r="C32" s="39" t="s">
        <v>84</v>
      </c>
      <c r="D32" s="39" t="s">
        <v>64</v>
      </c>
      <c r="E32" s="200">
        <v>3.8455000000000003E-2</v>
      </c>
      <c r="F32" s="5"/>
      <c r="G32" s="5"/>
      <c r="H32" s="5"/>
      <c r="I32" s="5"/>
      <c r="J32" s="5"/>
      <c r="K32" s="5"/>
      <c r="L32" s="5"/>
      <c r="M32" s="5"/>
      <c r="N32" s="21"/>
      <c r="R32" s="56"/>
    </row>
    <row r="33" spans="1:18" x14ac:dyDescent="0.2">
      <c r="B33" s="105"/>
      <c r="C33" s="39" t="s">
        <v>76</v>
      </c>
      <c r="D33" s="39" t="s">
        <v>64</v>
      </c>
      <c r="E33" s="200">
        <v>2.2750000000000001E-3</v>
      </c>
      <c r="F33" s="5"/>
      <c r="G33" s="5"/>
      <c r="H33" s="5"/>
      <c r="I33" s="5"/>
      <c r="J33" s="5"/>
      <c r="K33" s="5"/>
      <c r="L33" s="5"/>
      <c r="M33" s="5"/>
      <c r="N33" s="21"/>
      <c r="R33" s="56"/>
    </row>
    <row r="34" spans="1:18" x14ac:dyDescent="0.2">
      <c r="B34" s="105"/>
      <c r="C34" s="39" t="s">
        <v>99</v>
      </c>
      <c r="D34" s="39" t="s">
        <v>64</v>
      </c>
      <c r="E34" s="225">
        <v>1.2999999999999999E-5</v>
      </c>
      <c r="F34" s="5"/>
      <c r="G34" s="5"/>
      <c r="H34" s="5"/>
      <c r="I34" s="5"/>
      <c r="J34" s="5"/>
      <c r="K34" s="5"/>
      <c r="L34" s="5"/>
      <c r="M34" s="5"/>
      <c r="N34" s="21"/>
      <c r="R34" s="56"/>
    </row>
    <row r="35" spans="1:18" ht="15.75" x14ac:dyDescent="0.2">
      <c r="B35" s="105"/>
      <c r="C35" s="121" t="s">
        <v>49</v>
      </c>
      <c r="D35" s="121"/>
      <c r="E35" s="122">
        <f>SUM(E31:E34)</f>
        <v>4.0743000000000001E-2</v>
      </c>
      <c r="F35" s="5"/>
      <c r="G35" s="5"/>
      <c r="H35" s="5"/>
      <c r="I35" s="5"/>
      <c r="J35" s="5"/>
      <c r="K35" s="5"/>
      <c r="L35" s="5"/>
      <c r="M35" s="5"/>
      <c r="N35" s="21"/>
      <c r="R35" s="56"/>
    </row>
    <row r="36" spans="1:18" x14ac:dyDescent="0.2">
      <c r="B36" s="105"/>
      <c r="C36" s="4"/>
      <c r="D36" s="4"/>
      <c r="E36" s="6"/>
      <c r="F36" s="5"/>
      <c r="G36" s="5"/>
      <c r="H36" s="5"/>
      <c r="I36" s="5"/>
      <c r="J36" s="5"/>
      <c r="K36" s="5"/>
      <c r="L36" s="5"/>
      <c r="M36" s="5"/>
      <c r="N36" s="21"/>
      <c r="R36" s="56"/>
    </row>
    <row r="37" spans="1:18" x14ac:dyDescent="0.2">
      <c r="B37" s="105"/>
      <c r="C37" s="39" t="s">
        <v>101</v>
      </c>
      <c r="D37" s="39" t="s">
        <v>62</v>
      </c>
      <c r="E37" s="200">
        <v>0.43831199999999998</v>
      </c>
      <c r="F37" s="5"/>
      <c r="G37" s="5"/>
      <c r="H37" s="5"/>
      <c r="I37" s="5"/>
      <c r="J37" s="5"/>
      <c r="K37" s="5"/>
      <c r="L37" s="5"/>
      <c r="M37" s="5"/>
      <c r="N37" s="21"/>
      <c r="R37" s="56"/>
    </row>
    <row r="38" spans="1:18" x14ac:dyDescent="0.2">
      <c r="B38" s="105"/>
      <c r="C38" s="39" t="s">
        <v>70</v>
      </c>
      <c r="D38" s="39" t="s">
        <v>62</v>
      </c>
      <c r="E38" s="200">
        <v>3.9253000000000003E-2</v>
      </c>
      <c r="F38" s="5"/>
      <c r="G38" s="5"/>
      <c r="H38" s="5"/>
      <c r="I38" s="5"/>
      <c r="J38" s="5"/>
      <c r="K38" s="5"/>
      <c r="L38" s="5"/>
      <c r="M38" s="5"/>
      <c r="N38" s="21"/>
      <c r="R38" s="56"/>
    </row>
    <row r="39" spans="1:18" x14ac:dyDescent="0.2">
      <c r="B39" s="105"/>
      <c r="C39" s="39" t="s">
        <v>122</v>
      </c>
      <c r="D39" s="39" t="s">
        <v>62</v>
      </c>
      <c r="E39" s="200">
        <v>3.8958E-2</v>
      </c>
      <c r="F39" s="5"/>
      <c r="G39" s="5"/>
      <c r="H39" s="5"/>
      <c r="I39" s="5"/>
      <c r="J39" s="5"/>
      <c r="K39" s="5"/>
      <c r="L39" s="5"/>
      <c r="M39" s="5"/>
      <c r="N39" s="21"/>
      <c r="R39" s="56"/>
    </row>
    <row r="40" spans="1:18" x14ac:dyDescent="0.2">
      <c r="B40" s="105"/>
      <c r="C40" s="39" t="s">
        <v>78</v>
      </c>
      <c r="D40" s="39" t="s">
        <v>62</v>
      </c>
      <c r="E40" s="200">
        <v>2.5565000000000001E-2</v>
      </c>
      <c r="F40" s="5"/>
      <c r="G40" s="5"/>
      <c r="H40" s="5"/>
      <c r="I40" s="5"/>
      <c r="J40" s="5"/>
      <c r="K40" s="5"/>
      <c r="L40" s="5"/>
      <c r="M40" s="5"/>
      <c r="N40" s="21"/>
      <c r="R40" s="56"/>
    </row>
    <row r="41" spans="1:18" x14ac:dyDescent="0.2">
      <c r="B41" s="105"/>
      <c r="C41" s="39" t="s">
        <v>81</v>
      </c>
      <c r="D41" s="39" t="s">
        <v>62</v>
      </c>
      <c r="E41" s="200">
        <v>2.5432E-2</v>
      </c>
      <c r="F41" s="5"/>
      <c r="G41" s="5"/>
      <c r="H41" s="5"/>
      <c r="I41" s="5"/>
      <c r="J41" s="5"/>
      <c r="K41" s="5"/>
      <c r="L41" s="5"/>
      <c r="M41" s="5"/>
      <c r="N41" s="21"/>
      <c r="R41" s="56"/>
    </row>
    <row r="42" spans="1:18" x14ac:dyDescent="0.2">
      <c r="B42" s="105"/>
      <c r="C42" s="39" t="s">
        <v>121</v>
      </c>
      <c r="D42" s="39" t="s">
        <v>62</v>
      </c>
      <c r="E42" s="200">
        <v>2.0219999999999998E-2</v>
      </c>
      <c r="F42" s="5"/>
      <c r="G42" s="5"/>
      <c r="H42" s="5"/>
      <c r="I42" s="5"/>
      <c r="J42" s="5"/>
      <c r="K42" s="5"/>
      <c r="L42" s="5"/>
      <c r="M42" s="5"/>
      <c r="N42" s="21"/>
      <c r="R42" s="56"/>
    </row>
    <row r="43" spans="1:18" ht="15.75" x14ac:dyDescent="0.2">
      <c r="B43" s="105"/>
      <c r="C43" s="121" t="s">
        <v>42</v>
      </c>
      <c r="D43" s="121"/>
      <c r="E43" s="122">
        <f>SUM(E37:E42)</f>
        <v>0.58773999999999993</v>
      </c>
      <c r="F43" s="5"/>
      <c r="G43" s="50"/>
      <c r="H43" s="5"/>
      <c r="I43" s="5"/>
      <c r="J43" s="5"/>
      <c r="K43" s="5"/>
      <c r="L43" s="5"/>
      <c r="M43" s="5"/>
      <c r="N43" s="21"/>
      <c r="R43" s="56"/>
    </row>
    <row r="44" spans="1:18" x14ac:dyDescent="0.2">
      <c r="B44" s="105"/>
      <c r="C44" s="39"/>
      <c r="D44" s="39"/>
      <c r="E44" s="39"/>
      <c r="F44" s="5"/>
      <c r="G44" s="5"/>
      <c r="H44" s="5"/>
      <c r="I44" s="5"/>
      <c r="J44" s="5"/>
      <c r="K44" s="5"/>
      <c r="L44" s="5"/>
      <c r="M44" s="5"/>
      <c r="N44" s="21"/>
      <c r="R44" s="56"/>
    </row>
    <row r="45" spans="1:18" x14ac:dyDescent="0.2">
      <c r="A45" s="5"/>
      <c r="B45" s="105"/>
      <c r="C45" s="39" t="s">
        <v>120</v>
      </c>
      <c r="D45" s="39" t="s">
        <v>62</v>
      </c>
      <c r="E45" s="200">
        <v>7.6600000000000001E-2</v>
      </c>
      <c r="F45" s="5"/>
      <c r="J45" s="5"/>
      <c r="K45" s="5"/>
      <c r="L45" s="5"/>
      <c r="M45" s="5"/>
      <c r="N45" s="21"/>
      <c r="O45" s="5"/>
      <c r="R45" s="56"/>
    </row>
    <row r="46" spans="1:18" ht="15.75" x14ac:dyDescent="0.2">
      <c r="A46" s="5"/>
      <c r="B46" s="105"/>
      <c r="C46" s="121" t="s">
        <v>58</v>
      </c>
      <c r="D46" s="121"/>
      <c r="E46" s="204">
        <v>7.6600000000000001E-2</v>
      </c>
      <c r="F46" s="5"/>
      <c r="G46" s="5"/>
      <c r="H46" s="5"/>
      <c r="I46" s="5"/>
      <c r="J46" s="5"/>
      <c r="K46" s="5"/>
      <c r="L46" s="5"/>
      <c r="M46" s="5"/>
      <c r="N46" s="21"/>
      <c r="O46" s="5"/>
      <c r="R46" s="56"/>
    </row>
    <row r="47" spans="1:18" x14ac:dyDescent="0.2">
      <c r="A47" s="5"/>
      <c r="B47" s="105"/>
      <c r="C47" s="4"/>
      <c r="D47" s="4"/>
      <c r="E47" s="6"/>
      <c r="F47" s="5"/>
      <c r="G47" s="5"/>
      <c r="H47" s="5"/>
      <c r="I47" s="5"/>
      <c r="J47" s="5"/>
      <c r="K47" s="5"/>
      <c r="L47" s="5"/>
      <c r="M47" s="5"/>
      <c r="N47" s="21"/>
      <c r="O47" s="5"/>
      <c r="R47" s="56"/>
    </row>
    <row r="48" spans="1:18" ht="15.75" x14ac:dyDescent="0.2">
      <c r="A48" s="5"/>
      <c r="B48" s="105"/>
      <c r="C48" s="121" t="s">
        <v>20</v>
      </c>
      <c r="D48" s="121"/>
      <c r="E48" s="122">
        <v>8.5516999999999996E-2</v>
      </c>
      <c r="F48" s="5"/>
      <c r="G48" s="5"/>
      <c r="H48" s="5"/>
      <c r="I48" s="5"/>
      <c r="J48" s="5"/>
      <c r="K48" s="5"/>
      <c r="L48" s="5"/>
      <c r="M48" s="5"/>
      <c r="N48" s="21"/>
      <c r="O48" s="5"/>
      <c r="R48" s="56"/>
    </row>
    <row r="49" spans="1:18" x14ac:dyDescent="0.2">
      <c r="A49" s="5"/>
      <c r="B49" s="105"/>
      <c r="C49" s="4"/>
      <c r="D49" s="4"/>
      <c r="E49" s="33"/>
      <c r="F49" s="5"/>
      <c r="G49" s="5"/>
      <c r="H49" s="5"/>
      <c r="I49" s="5"/>
      <c r="J49" s="5"/>
      <c r="K49" s="5"/>
      <c r="L49" s="5"/>
      <c r="M49" s="5"/>
      <c r="N49" s="21"/>
      <c r="O49" s="5"/>
      <c r="R49" s="56"/>
    </row>
    <row r="50" spans="1:18" ht="15.75" x14ac:dyDescent="0.2">
      <c r="A50" s="5"/>
      <c r="B50" s="105"/>
      <c r="C50" s="128" t="s">
        <v>21</v>
      </c>
      <c r="D50" s="128"/>
      <c r="E50" s="129">
        <f>E48+E46+E43+E35+E29+E27+E24</f>
        <v>0.99999999999999989</v>
      </c>
      <c r="F50" s="5"/>
      <c r="G50" s="5"/>
      <c r="H50" s="5"/>
      <c r="I50" s="5"/>
      <c r="J50" s="5"/>
      <c r="K50" s="5"/>
      <c r="L50" s="5"/>
      <c r="M50" s="5"/>
      <c r="N50" s="21"/>
      <c r="O50" s="5"/>
      <c r="R50" s="56"/>
    </row>
    <row r="51" spans="1:18" x14ac:dyDescent="0.2">
      <c r="A51" s="5"/>
      <c r="B51" s="105"/>
      <c r="F51" s="5"/>
      <c r="G51" s="5"/>
      <c r="H51" s="5"/>
      <c r="I51" s="5"/>
      <c r="J51" s="5"/>
      <c r="K51" s="5"/>
      <c r="L51" s="5"/>
      <c r="M51" s="5"/>
      <c r="N51" s="21"/>
      <c r="O51" s="5"/>
      <c r="R51" s="56"/>
    </row>
    <row r="52" spans="1:18" ht="15.75" thickBot="1" x14ac:dyDescent="0.25">
      <c r="A52" s="5"/>
      <c r="B52" s="108"/>
      <c r="C52" s="61"/>
      <c r="D52" s="61"/>
      <c r="E52" s="62"/>
      <c r="F52" s="51"/>
      <c r="G52" s="51"/>
      <c r="H52" s="51"/>
      <c r="I52" s="51"/>
      <c r="J52" s="51"/>
      <c r="K52" s="51"/>
      <c r="L52" s="51"/>
      <c r="M52" s="51"/>
      <c r="N52" s="132"/>
      <c r="O52" s="5"/>
      <c r="R52" s="56"/>
    </row>
    <row r="53" spans="1:18" ht="15.75" thickBot="1" x14ac:dyDescent="0.25">
      <c r="R53" s="56"/>
    </row>
    <row r="54" spans="1:18" ht="15" customHeight="1" x14ac:dyDescent="0.2">
      <c r="B54" s="245" t="s">
        <v>234</v>
      </c>
      <c r="C54" s="246"/>
      <c r="D54" s="246"/>
      <c r="E54" s="246"/>
      <c r="F54" s="246"/>
      <c r="G54" s="246"/>
      <c r="H54" s="246"/>
      <c r="I54" s="246"/>
      <c r="J54" s="246"/>
      <c r="K54" s="246"/>
      <c r="L54" s="246"/>
      <c r="M54" s="246"/>
      <c r="N54" s="246"/>
      <c r="O54" s="246"/>
      <c r="P54" s="246"/>
      <c r="Q54" s="246"/>
      <c r="R54" s="247"/>
    </row>
    <row r="55" spans="1:18" x14ac:dyDescent="0.2">
      <c r="B55" s="248"/>
      <c r="C55" s="249"/>
      <c r="D55" s="249"/>
      <c r="E55" s="249"/>
      <c r="F55" s="249"/>
      <c r="G55" s="249"/>
      <c r="H55" s="249"/>
      <c r="I55" s="249"/>
      <c r="J55" s="249"/>
      <c r="K55" s="249"/>
      <c r="L55" s="249"/>
      <c r="M55" s="249"/>
      <c r="N55" s="249"/>
      <c r="O55" s="249"/>
      <c r="P55" s="249"/>
      <c r="Q55" s="249"/>
      <c r="R55" s="250"/>
    </row>
    <row r="56" spans="1:18" x14ac:dyDescent="0.2">
      <c r="B56" s="248"/>
      <c r="C56" s="249"/>
      <c r="D56" s="249"/>
      <c r="E56" s="249"/>
      <c r="F56" s="249"/>
      <c r="G56" s="249"/>
      <c r="H56" s="249"/>
      <c r="I56" s="249"/>
      <c r="J56" s="249"/>
      <c r="K56" s="249"/>
      <c r="L56" s="249"/>
      <c r="M56" s="249"/>
      <c r="N56" s="249"/>
      <c r="O56" s="249"/>
      <c r="P56" s="249"/>
      <c r="Q56" s="249"/>
      <c r="R56" s="250"/>
    </row>
    <row r="57" spans="1:18" x14ac:dyDescent="0.2">
      <c r="B57" s="248"/>
      <c r="C57" s="249"/>
      <c r="D57" s="249"/>
      <c r="E57" s="249"/>
      <c r="F57" s="249"/>
      <c r="G57" s="249"/>
      <c r="H57" s="249"/>
      <c r="I57" s="249"/>
      <c r="J57" s="249"/>
      <c r="K57" s="249"/>
      <c r="L57" s="249"/>
      <c r="M57" s="249"/>
      <c r="N57" s="249"/>
      <c r="O57" s="249"/>
      <c r="P57" s="249"/>
      <c r="Q57" s="249"/>
      <c r="R57" s="250"/>
    </row>
    <row r="58" spans="1:18" x14ac:dyDescent="0.2">
      <c r="B58" s="248"/>
      <c r="C58" s="249"/>
      <c r="D58" s="249"/>
      <c r="E58" s="249"/>
      <c r="F58" s="249"/>
      <c r="G58" s="249"/>
      <c r="H58" s="249"/>
      <c r="I58" s="249"/>
      <c r="J58" s="249"/>
      <c r="K58" s="249"/>
      <c r="L58" s="249"/>
      <c r="M58" s="249"/>
      <c r="N58" s="249"/>
      <c r="O58" s="249"/>
      <c r="P58" s="249"/>
      <c r="Q58" s="249"/>
      <c r="R58" s="250"/>
    </row>
    <row r="59" spans="1:18" x14ac:dyDescent="0.2">
      <c r="B59" s="248"/>
      <c r="C59" s="249"/>
      <c r="D59" s="249"/>
      <c r="E59" s="249"/>
      <c r="F59" s="249"/>
      <c r="G59" s="249"/>
      <c r="H59" s="249"/>
      <c r="I59" s="249"/>
      <c r="J59" s="249"/>
      <c r="K59" s="249"/>
      <c r="L59" s="249"/>
      <c r="M59" s="249"/>
      <c r="N59" s="249"/>
      <c r="O59" s="249"/>
      <c r="P59" s="249"/>
      <c r="Q59" s="249"/>
      <c r="R59" s="250"/>
    </row>
    <row r="60" spans="1:18" ht="15.75" thickBot="1" x14ac:dyDescent="0.25">
      <c r="B60" s="251"/>
      <c r="C60" s="252"/>
      <c r="D60" s="252"/>
      <c r="E60" s="252"/>
      <c r="F60" s="252"/>
      <c r="G60" s="252"/>
      <c r="H60" s="252"/>
      <c r="I60" s="252"/>
      <c r="J60" s="252"/>
      <c r="K60" s="252"/>
      <c r="L60" s="252"/>
      <c r="M60" s="252"/>
      <c r="N60" s="252"/>
      <c r="O60" s="252"/>
      <c r="P60" s="252"/>
      <c r="Q60" s="252"/>
      <c r="R60" s="253"/>
    </row>
    <row r="61" spans="1:18" x14ac:dyDescent="0.2">
      <c r="R61" s="56"/>
    </row>
    <row r="62" spans="1:18" x14ac:dyDescent="0.2">
      <c r="R62" s="56"/>
    </row>
    <row r="63" spans="1:18" x14ac:dyDescent="0.2">
      <c r="R63" s="56"/>
    </row>
    <row r="64" spans="1: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sheetData>
  <sortState ref="C37:E42">
    <sortCondition descending="1" ref="E37"/>
  </sortState>
  <mergeCells count="6">
    <mergeCell ref="B54:R60"/>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39" t="s">
        <v>201</v>
      </c>
      <c r="D3" s="239"/>
      <c r="E3" s="239"/>
      <c r="F3" s="239"/>
      <c r="G3" s="239"/>
      <c r="H3" s="239"/>
      <c r="I3" s="239"/>
      <c r="J3" s="239"/>
      <c r="K3" s="239"/>
      <c r="L3" s="239"/>
      <c r="M3" s="239"/>
      <c r="N3" s="240"/>
    </row>
    <row r="4" spans="2:18" ht="15.75" x14ac:dyDescent="0.25">
      <c r="B4" s="105"/>
      <c r="C4" s="78" t="s">
        <v>313</v>
      </c>
      <c r="D4" s="30"/>
      <c r="E4" s="30"/>
      <c r="F4" s="5"/>
      <c r="G4" s="5"/>
      <c r="H4" s="5"/>
      <c r="I4" s="5"/>
      <c r="J4" s="5"/>
      <c r="K4" s="5"/>
      <c r="L4" s="5"/>
      <c r="M4" s="5"/>
      <c r="N4" s="21"/>
    </row>
    <row r="5" spans="2:18" ht="20.25" customHeight="1" x14ac:dyDescent="0.2">
      <c r="B5" s="105"/>
      <c r="C5" s="79" t="s">
        <v>314</v>
      </c>
      <c r="D5" s="256" t="s">
        <v>303</v>
      </c>
      <c r="E5" s="256"/>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43</v>
      </c>
      <c r="D7" s="107" t="s">
        <v>44</v>
      </c>
      <c r="E7" s="107" t="s">
        <v>45</v>
      </c>
      <c r="F7" s="5"/>
      <c r="G7" s="241" t="s">
        <v>46</v>
      </c>
      <c r="H7" s="241"/>
      <c r="I7" s="241"/>
      <c r="J7" s="241"/>
      <c r="K7" s="241"/>
      <c r="L7" s="241"/>
      <c r="M7" s="241"/>
      <c r="N7" s="242"/>
    </row>
    <row r="8" spans="2:18" x14ac:dyDescent="0.2">
      <c r="B8" s="105"/>
      <c r="C8" s="226" t="s">
        <v>29</v>
      </c>
      <c r="D8" s="116" t="s">
        <v>3</v>
      </c>
      <c r="E8" s="117">
        <v>5.8751999999999999E-2</v>
      </c>
      <c r="F8" s="5"/>
      <c r="G8" s="44" t="s">
        <v>47</v>
      </c>
      <c r="H8" s="45">
        <v>1</v>
      </c>
      <c r="I8" s="47">
        <f>H8/SUM($H$8:$H$10)</f>
        <v>1</v>
      </c>
      <c r="J8" s="5"/>
      <c r="K8" s="32"/>
      <c r="L8" s="5"/>
      <c r="M8" s="5"/>
      <c r="N8" s="21"/>
      <c r="R8" s="56"/>
    </row>
    <row r="9" spans="2:18" ht="15.75" customHeight="1" x14ac:dyDescent="0.2">
      <c r="B9" s="105"/>
      <c r="C9" s="136" t="s">
        <v>32</v>
      </c>
      <c r="D9" s="39" t="s">
        <v>3</v>
      </c>
      <c r="E9" s="41">
        <v>5.0976E-2</v>
      </c>
      <c r="F9" s="5"/>
      <c r="G9" s="44" t="s">
        <v>57</v>
      </c>
      <c r="H9" s="48">
        <v>0</v>
      </c>
      <c r="I9" s="47">
        <f>H9/SUM($H$8:$H$10)</f>
        <v>0</v>
      </c>
      <c r="J9" s="5" t="s">
        <v>41</v>
      </c>
      <c r="K9" s="32">
        <f>E32</f>
        <v>9.5712999999999993E-2</v>
      </c>
      <c r="L9" s="5"/>
      <c r="M9" s="5"/>
      <c r="N9" s="21"/>
      <c r="R9" s="56"/>
    </row>
    <row r="10" spans="2:18" x14ac:dyDescent="0.2">
      <c r="B10" s="105"/>
      <c r="C10" s="136" t="s">
        <v>28</v>
      </c>
      <c r="D10" s="39" t="s">
        <v>130</v>
      </c>
      <c r="E10" s="41">
        <v>4.8356000000000003E-2</v>
      </c>
      <c r="F10" s="32"/>
      <c r="G10" s="44" t="s">
        <v>48</v>
      </c>
      <c r="H10" s="48">
        <v>0</v>
      </c>
      <c r="I10" s="47">
        <f>H10/SUM($H$8:$H$10)</f>
        <v>0</v>
      </c>
      <c r="J10" s="5" t="s">
        <v>171</v>
      </c>
      <c r="K10" s="32">
        <f>E24+E26</f>
        <v>0.72433399999999981</v>
      </c>
      <c r="L10" s="5"/>
      <c r="M10" s="5"/>
      <c r="N10" s="21"/>
      <c r="R10" s="56"/>
    </row>
    <row r="11" spans="2:18" x14ac:dyDescent="0.2">
      <c r="B11" s="105"/>
      <c r="C11" s="136" t="s">
        <v>31</v>
      </c>
      <c r="D11" s="39" t="s">
        <v>6</v>
      </c>
      <c r="E11" s="41">
        <v>4.1320000000000003E-2</v>
      </c>
      <c r="F11" s="5"/>
      <c r="G11" s="5"/>
      <c r="H11" s="5"/>
      <c r="I11" s="5"/>
      <c r="J11" s="5"/>
      <c r="K11" s="32"/>
      <c r="L11" s="5"/>
      <c r="M11" s="5"/>
      <c r="N11" s="21"/>
      <c r="R11" s="56"/>
    </row>
    <row r="12" spans="2:18" ht="15.75" customHeight="1" x14ac:dyDescent="0.2">
      <c r="B12" s="105"/>
      <c r="C12" s="136" t="s">
        <v>36</v>
      </c>
      <c r="D12" s="39" t="s">
        <v>3</v>
      </c>
      <c r="E12" s="41">
        <v>2.7692999999999999E-2</v>
      </c>
      <c r="F12" s="32"/>
      <c r="G12" s="5"/>
      <c r="H12" s="32"/>
      <c r="I12" s="5"/>
      <c r="J12" s="5" t="s">
        <v>20</v>
      </c>
      <c r="K12" s="32">
        <f>E41</f>
        <v>4.6543000000000001E-2</v>
      </c>
      <c r="L12" s="5"/>
      <c r="M12" s="5"/>
      <c r="N12" s="21"/>
      <c r="R12" s="56"/>
    </row>
    <row r="13" spans="2:18" x14ac:dyDescent="0.2">
      <c r="B13" s="105"/>
      <c r="C13" s="136" t="s">
        <v>34</v>
      </c>
      <c r="D13" s="39" t="s">
        <v>23</v>
      </c>
      <c r="E13" s="41">
        <v>2.1087999999999999E-2</v>
      </c>
      <c r="F13" s="32"/>
      <c r="G13" s="5"/>
      <c r="H13" s="5"/>
      <c r="I13" s="5"/>
      <c r="J13" s="5" t="s">
        <v>42</v>
      </c>
      <c r="K13" s="32">
        <f>E39</f>
        <v>0.13341</v>
      </c>
      <c r="L13" s="5"/>
      <c r="M13" s="5"/>
      <c r="N13" s="21"/>
      <c r="R13" s="56"/>
    </row>
    <row r="14" spans="2:18" x14ac:dyDescent="0.2">
      <c r="B14" s="105"/>
      <c r="C14" s="136" t="s">
        <v>63</v>
      </c>
      <c r="D14" s="39" t="s">
        <v>10</v>
      </c>
      <c r="E14" s="41">
        <v>1.9696000000000002E-2</v>
      </c>
      <c r="F14" s="32"/>
      <c r="G14" s="5"/>
      <c r="H14" s="5"/>
      <c r="I14" s="5"/>
      <c r="J14" s="5"/>
      <c r="K14" s="32"/>
      <c r="L14" s="5"/>
      <c r="M14" s="5"/>
      <c r="N14" s="21"/>
      <c r="R14" s="56"/>
    </row>
    <row r="15" spans="2:18" x14ac:dyDescent="0.2">
      <c r="B15" s="105"/>
      <c r="C15" s="136" t="s">
        <v>268</v>
      </c>
      <c r="D15" s="39" t="s">
        <v>143</v>
      </c>
      <c r="E15" s="41">
        <v>1.8190999999999999E-2</v>
      </c>
      <c r="F15" s="5"/>
      <c r="G15" s="5"/>
      <c r="H15" s="5"/>
      <c r="I15" s="5"/>
      <c r="J15" s="5"/>
      <c r="K15" s="32"/>
      <c r="L15" s="5"/>
      <c r="M15" s="5"/>
      <c r="N15" s="21"/>
      <c r="R15" s="56"/>
    </row>
    <row r="16" spans="2:18" x14ac:dyDescent="0.2">
      <c r="B16" s="105"/>
      <c r="C16" s="136" t="s">
        <v>30</v>
      </c>
      <c r="D16" s="39" t="s">
        <v>141</v>
      </c>
      <c r="E16" s="41">
        <v>1.7510999999999999E-2</v>
      </c>
      <c r="F16" s="5"/>
      <c r="G16" s="5"/>
      <c r="H16" s="5"/>
      <c r="I16" s="5"/>
      <c r="J16" s="5"/>
      <c r="K16" s="5"/>
      <c r="L16" s="5"/>
      <c r="M16" s="5"/>
      <c r="N16" s="21"/>
      <c r="R16" s="56"/>
    </row>
    <row r="17" spans="2:18" x14ac:dyDescent="0.2">
      <c r="B17" s="105"/>
      <c r="C17" s="136" t="s">
        <v>75</v>
      </c>
      <c r="D17" s="118" t="s">
        <v>12</v>
      </c>
      <c r="E17" s="41">
        <v>1.7114999999999998E-2</v>
      </c>
      <c r="F17" s="5"/>
      <c r="G17" s="5"/>
      <c r="H17" s="5"/>
      <c r="I17" s="5"/>
      <c r="J17" s="5"/>
      <c r="K17" s="5"/>
      <c r="L17" s="5"/>
      <c r="M17" s="5"/>
      <c r="N17" s="21"/>
      <c r="R17" s="56"/>
    </row>
    <row r="18" spans="2:18" x14ac:dyDescent="0.2">
      <c r="B18" s="105"/>
      <c r="C18" s="136" t="s">
        <v>161</v>
      </c>
      <c r="D18" s="39" t="s">
        <v>3</v>
      </c>
      <c r="E18" s="41">
        <v>1.6802000000000001E-2</v>
      </c>
      <c r="F18" s="5"/>
      <c r="G18" s="5"/>
      <c r="H18" s="5"/>
      <c r="I18" s="5"/>
      <c r="J18" s="5"/>
      <c r="K18" s="5"/>
      <c r="L18" s="5"/>
      <c r="M18" s="5"/>
      <c r="N18" s="21"/>
      <c r="R18" s="56"/>
    </row>
    <row r="19" spans="2:18" x14ac:dyDescent="0.2">
      <c r="B19" s="105"/>
      <c r="C19" s="136" t="s">
        <v>90</v>
      </c>
      <c r="D19" s="39" t="s">
        <v>3</v>
      </c>
      <c r="E19" s="41">
        <v>1.6650000000000002E-2</v>
      </c>
      <c r="F19" s="5"/>
      <c r="G19" s="5"/>
      <c r="H19" s="5"/>
      <c r="I19" s="5"/>
      <c r="J19" s="5"/>
      <c r="K19" s="5"/>
      <c r="L19" s="5"/>
      <c r="M19" s="5"/>
      <c r="N19" s="21"/>
      <c r="R19" s="56"/>
    </row>
    <row r="20" spans="2:18" ht="15.75" customHeight="1" x14ac:dyDescent="0.25">
      <c r="B20" s="105"/>
      <c r="C20" s="136" t="s">
        <v>109</v>
      </c>
      <c r="D20" s="39" t="s">
        <v>136</v>
      </c>
      <c r="E20" s="41">
        <v>1.6138E-2</v>
      </c>
      <c r="F20" s="5"/>
      <c r="G20" s="259" t="s">
        <v>116</v>
      </c>
      <c r="H20" s="260"/>
      <c r="I20" s="260"/>
      <c r="J20" s="260"/>
      <c r="K20" s="260"/>
      <c r="L20" s="198">
        <v>2.1709961781746308</v>
      </c>
      <c r="M20" s="119"/>
      <c r="N20" s="194"/>
      <c r="R20" s="56"/>
    </row>
    <row r="21" spans="2:18" x14ac:dyDescent="0.2">
      <c r="B21" s="105"/>
      <c r="C21" s="136" t="s">
        <v>100</v>
      </c>
      <c r="D21" s="39" t="s">
        <v>26</v>
      </c>
      <c r="E21" s="41">
        <v>1.5108E-2</v>
      </c>
      <c r="F21" s="5"/>
      <c r="G21" s="5"/>
      <c r="H21" s="5"/>
      <c r="I21" s="5"/>
      <c r="J21" s="5"/>
      <c r="K21" s="5"/>
      <c r="L21" s="5"/>
      <c r="M21" s="5"/>
      <c r="N21" s="21"/>
      <c r="R21" s="56"/>
    </row>
    <row r="22" spans="2:18" x14ac:dyDescent="0.2">
      <c r="B22" s="105"/>
      <c r="C22" s="136" t="s">
        <v>299</v>
      </c>
      <c r="D22" s="39" t="s">
        <v>146</v>
      </c>
      <c r="E22" s="41">
        <v>1.4685999999999999E-2</v>
      </c>
      <c r="F22" s="5"/>
      <c r="G22" s="32"/>
      <c r="H22" s="32"/>
      <c r="I22" s="32"/>
      <c r="J22" s="5"/>
      <c r="K22" s="32"/>
      <c r="L22" s="5"/>
      <c r="M22" s="5"/>
      <c r="N22" s="21"/>
      <c r="R22" s="56"/>
    </row>
    <row r="23" spans="2:18" ht="15.75" customHeight="1" x14ac:dyDescent="0.2">
      <c r="B23" s="105"/>
      <c r="C23" s="39"/>
      <c r="D23" s="4"/>
      <c r="E23" s="6"/>
      <c r="F23" s="5"/>
      <c r="G23" s="241" t="s">
        <v>50</v>
      </c>
      <c r="H23" s="241"/>
      <c r="I23" s="241"/>
      <c r="J23" s="241"/>
      <c r="K23" s="241"/>
      <c r="L23" s="241"/>
      <c r="M23" s="241"/>
      <c r="N23" s="242"/>
      <c r="R23" s="56"/>
    </row>
    <row r="24" spans="2:18" ht="15.75" x14ac:dyDescent="0.2">
      <c r="B24" s="105"/>
      <c r="C24" s="121" t="s">
        <v>56</v>
      </c>
      <c r="D24" s="121"/>
      <c r="E24" s="122">
        <f>SUM(E8:E22)</f>
        <v>0.40008199999999994</v>
      </c>
      <c r="F24" s="5"/>
      <c r="G24" s="5"/>
      <c r="H24" s="5"/>
      <c r="I24" s="5"/>
      <c r="J24" s="5"/>
      <c r="K24" s="5"/>
      <c r="L24" s="5"/>
      <c r="M24" s="5"/>
      <c r="N24" s="21"/>
      <c r="R24" s="56"/>
    </row>
    <row r="25" spans="2:18" x14ac:dyDescent="0.2">
      <c r="B25" s="105"/>
      <c r="C25" s="4"/>
      <c r="D25" s="4"/>
      <c r="E25" s="6"/>
      <c r="F25" s="5"/>
      <c r="G25" s="5"/>
      <c r="H25" s="5"/>
      <c r="I25" s="5"/>
      <c r="J25" s="5"/>
      <c r="K25" s="5"/>
      <c r="L25" s="5"/>
      <c r="M25" s="5"/>
      <c r="N25" s="21"/>
      <c r="R25" s="56"/>
    </row>
    <row r="26" spans="2:18" ht="15.75" x14ac:dyDescent="0.2">
      <c r="B26" s="105"/>
      <c r="C26" s="121" t="s">
        <v>69</v>
      </c>
      <c r="D26" s="121"/>
      <c r="E26" s="122">
        <v>0.32425199999999993</v>
      </c>
      <c r="F26" s="32"/>
      <c r="G26" s="5"/>
      <c r="H26" s="5"/>
      <c r="I26" s="5"/>
      <c r="J26" s="5"/>
      <c r="K26" s="5"/>
      <c r="L26" s="5"/>
      <c r="M26" s="5"/>
      <c r="N26" s="21"/>
      <c r="R26" s="56"/>
    </row>
    <row r="27" spans="2:18" x14ac:dyDescent="0.2">
      <c r="B27" s="105"/>
      <c r="C27" s="39"/>
      <c r="D27" s="65"/>
      <c r="E27" s="6"/>
      <c r="F27" s="5"/>
      <c r="G27" s="5"/>
      <c r="H27" s="5"/>
      <c r="I27" s="5"/>
      <c r="J27" s="5"/>
      <c r="K27" s="5"/>
      <c r="L27" s="5"/>
      <c r="M27" s="5"/>
      <c r="N27" s="21"/>
      <c r="R27" s="56"/>
    </row>
    <row r="28" spans="2:18" s="55" customFormat="1" ht="13.5" customHeight="1" x14ac:dyDescent="0.2">
      <c r="B28" s="123"/>
      <c r="C28" s="39"/>
      <c r="D28" s="65"/>
      <c r="E28" s="6"/>
      <c r="F28" s="44"/>
      <c r="G28" s="44"/>
      <c r="H28" s="44"/>
      <c r="I28" s="44"/>
      <c r="J28" s="44"/>
      <c r="K28" s="44"/>
      <c r="L28" s="44"/>
      <c r="M28" s="44"/>
      <c r="N28" s="124"/>
      <c r="R28" s="125"/>
    </row>
    <row r="29" spans="2:18" x14ac:dyDescent="0.2">
      <c r="B29" s="105"/>
      <c r="C29" s="39" t="s">
        <v>84</v>
      </c>
      <c r="D29" s="65" t="s">
        <v>64</v>
      </c>
      <c r="E29" s="6">
        <v>5.0199000000000001E-2</v>
      </c>
      <c r="F29" s="5"/>
      <c r="G29" s="5"/>
      <c r="H29" s="5"/>
      <c r="I29" s="5"/>
      <c r="J29" s="5"/>
      <c r="K29" s="5"/>
      <c r="L29" s="5"/>
      <c r="M29" s="5"/>
      <c r="N29" s="21"/>
      <c r="R29" s="56"/>
    </row>
    <row r="30" spans="2:18" x14ac:dyDescent="0.2">
      <c r="B30" s="105"/>
      <c r="C30" s="28" t="s">
        <v>233</v>
      </c>
      <c r="D30" s="65" t="s">
        <v>64</v>
      </c>
      <c r="E30" s="200">
        <v>4.0634000000000003E-2</v>
      </c>
      <c r="F30" s="5"/>
      <c r="G30" s="5"/>
      <c r="H30" s="5"/>
      <c r="I30" s="5"/>
      <c r="J30" s="5"/>
      <c r="K30" s="5"/>
      <c r="L30" s="5"/>
      <c r="M30" s="5"/>
      <c r="N30" s="21"/>
      <c r="R30" s="56"/>
    </row>
    <row r="31" spans="2:18" x14ac:dyDescent="0.2">
      <c r="B31" s="105"/>
      <c r="C31" s="28" t="s">
        <v>82</v>
      </c>
      <c r="D31" s="65" t="s">
        <v>64</v>
      </c>
      <c r="E31" s="200">
        <v>4.8799999999999998E-3</v>
      </c>
      <c r="F31" s="5"/>
      <c r="G31" s="5"/>
      <c r="H31" s="5"/>
      <c r="I31" s="5"/>
      <c r="J31" s="5"/>
      <c r="K31" s="5"/>
      <c r="L31" s="5"/>
      <c r="M31" s="5"/>
      <c r="N31" s="21"/>
      <c r="R31" s="56"/>
    </row>
    <row r="32" spans="2:18" ht="15.75" x14ac:dyDescent="0.2">
      <c r="B32" s="105"/>
      <c r="C32" s="121" t="s">
        <v>49</v>
      </c>
      <c r="D32" s="121"/>
      <c r="E32" s="122">
        <f>SUM(E28:E31)</f>
        <v>9.5712999999999993E-2</v>
      </c>
      <c r="F32" s="5"/>
      <c r="G32" s="5"/>
      <c r="H32" s="5"/>
      <c r="I32" s="5"/>
      <c r="J32" s="5"/>
      <c r="K32" s="5"/>
      <c r="L32" s="5"/>
      <c r="M32" s="5"/>
      <c r="N32" s="21"/>
      <c r="R32" s="56"/>
    </row>
    <row r="33" spans="1:18" x14ac:dyDescent="0.2">
      <c r="B33" s="105"/>
      <c r="C33" s="39"/>
      <c r="D33" s="39"/>
      <c r="E33" s="39"/>
      <c r="F33" s="5"/>
      <c r="G33" s="5"/>
      <c r="H33" s="5"/>
      <c r="I33" s="5"/>
      <c r="J33" s="5"/>
      <c r="K33" s="5"/>
      <c r="L33" s="5"/>
      <c r="M33" s="5"/>
      <c r="N33" s="21"/>
      <c r="R33" s="56"/>
    </row>
    <row r="34" spans="1:18" x14ac:dyDescent="0.2">
      <c r="B34" s="105"/>
      <c r="C34" s="39" t="s">
        <v>169</v>
      </c>
      <c r="D34" s="4" t="s">
        <v>62</v>
      </c>
      <c r="E34" s="227">
        <v>5.7289E-2</v>
      </c>
      <c r="F34" s="5"/>
      <c r="G34" s="5"/>
      <c r="H34" s="5"/>
      <c r="I34" s="5"/>
      <c r="J34" s="5"/>
      <c r="K34" s="5"/>
      <c r="L34" s="5"/>
      <c r="M34" s="5"/>
      <c r="N34" s="21"/>
      <c r="R34" s="56"/>
    </row>
    <row r="35" spans="1:18" x14ac:dyDescent="0.2">
      <c r="B35" s="105"/>
      <c r="C35" s="39" t="s">
        <v>101</v>
      </c>
      <c r="D35" s="4" t="s">
        <v>62</v>
      </c>
      <c r="E35" s="227">
        <v>5.4855000000000001E-2</v>
      </c>
      <c r="F35" s="5"/>
      <c r="G35" s="5"/>
      <c r="H35" s="5"/>
      <c r="I35" s="5"/>
      <c r="J35" s="5"/>
      <c r="K35" s="5"/>
      <c r="L35" s="5"/>
      <c r="M35" s="5"/>
      <c r="N35" s="21"/>
      <c r="R35" s="56"/>
    </row>
    <row r="36" spans="1:18" x14ac:dyDescent="0.2">
      <c r="B36" s="105"/>
      <c r="C36" s="39" t="s">
        <v>81</v>
      </c>
      <c r="D36" s="4" t="s">
        <v>62</v>
      </c>
      <c r="E36" s="227">
        <v>9.6290000000000004E-3</v>
      </c>
      <c r="F36" s="5"/>
      <c r="G36" s="5"/>
      <c r="H36" s="5"/>
      <c r="I36" s="5"/>
      <c r="J36" s="5"/>
      <c r="K36" s="5"/>
      <c r="L36" s="5"/>
      <c r="M36" s="5"/>
      <c r="N36" s="21"/>
      <c r="R36" s="56"/>
    </row>
    <row r="37" spans="1:18" x14ac:dyDescent="0.2">
      <c r="B37" s="105"/>
      <c r="C37" s="39" t="s">
        <v>78</v>
      </c>
      <c r="D37" s="4" t="s">
        <v>62</v>
      </c>
      <c r="E37" s="227">
        <v>8.3859999999999994E-3</v>
      </c>
      <c r="F37" s="5"/>
      <c r="G37" s="5"/>
      <c r="H37" s="5"/>
      <c r="I37" s="5"/>
      <c r="J37" s="5"/>
      <c r="K37" s="5"/>
      <c r="L37" s="5"/>
      <c r="M37" s="5"/>
      <c r="N37" s="21"/>
      <c r="R37" s="56"/>
    </row>
    <row r="38" spans="1:18" x14ac:dyDescent="0.2">
      <c r="B38" s="105"/>
      <c r="C38" s="39" t="s">
        <v>70</v>
      </c>
      <c r="D38" s="4" t="s">
        <v>62</v>
      </c>
      <c r="E38" s="227">
        <v>3.251E-3</v>
      </c>
      <c r="F38" s="5"/>
      <c r="G38" s="5"/>
      <c r="H38" s="5"/>
      <c r="I38" s="5"/>
      <c r="J38" s="5"/>
      <c r="K38" s="5"/>
      <c r="L38" s="5"/>
      <c r="M38" s="5"/>
      <c r="N38" s="21"/>
      <c r="R38" s="56"/>
    </row>
    <row r="39" spans="1:18" s="55" customFormat="1" ht="15.75" x14ac:dyDescent="0.2">
      <c r="B39" s="123"/>
      <c r="C39" s="121" t="s">
        <v>42</v>
      </c>
      <c r="D39" s="121"/>
      <c r="E39" s="122">
        <f>SUM(E34:E38)</f>
        <v>0.13341</v>
      </c>
      <c r="F39" s="44"/>
      <c r="G39" s="5"/>
      <c r="H39" s="5"/>
      <c r="I39" s="5"/>
      <c r="J39" s="5"/>
      <c r="K39" s="5"/>
      <c r="L39" s="44"/>
      <c r="M39" s="44"/>
      <c r="N39" s="124"/>
      <c r="R39" s="125"/>
    </row>
    <row r="40" spans="1:18" ht="15.75" x14ac:dyDescent="0.2">
      <c r="B40" s="105"/>
      <c r="C40" s="126"/>
      <c r="D40" s="126"/>
      <c r="E40" s="127"/>
      <c r="F40" s="5"/>
      <c r="G40" s="5"/>
      <c r="H40" s="5"/>
      <c r="I40" s="5"/>
      <c r="J40" s="5"/>
      <c r="K40" s="5"/>
      <c r="L40" s="5"/>
      <c r="M40" s="5"/>
      <c r="N40" s="21"/>
      <c r="R40" s="56"/>
    </row>
    <row r="41" spans="1:18" ht="15.75" x14ac:dyDescent="0.2">
      <c r="A41" s="5"/>
      <c r="B41" s="105"/>
      <c r="C41" s="121" t="s">
        <v>20</v>
      </c>
      <c r="D41" s="121"/>
      <c r="E41" s="122">
        <v>4.6543000000000001E-2</v>
      </c>
      <c r="F41" s="5"/>
      <c r="G41" s="5"/>
      <c r="H41" s="5"/>
      <c r="I41" s="5"/>
      <c r="J41" s="5"/>
      <c r="K41" s="5"/>
      <c r="L41" s="5"/>
      <c r="M41" s="5"/>
      <c r="N41" s="21"/>
      <c r="O41" s="5"/>
      <c r="R41" s="56"/>
    </row>
    <row r="42" spans="1:18" x14ac:dyDescent="0.2">
      <c r="A42" s="5"/>
      <c r="B42" s="105"/>
      <c r="C42" s="4"/>
      <c r="D42" s="4"/>
      <c r="E42" s="33"/>
      <c r="F42" s="5"/>
      <c r="G42" s="5"/>
      <c r="H42" s="5"/>
      <c r="I42" s="5"/>
      <c r="J42" s="5"/>
      <c r="K42" s="5"/>
      <c r="L42" s="5"/>
      <c r="M42" s="5"/>
      <c r="N42" s="21"/>
      <c r="O42" s="5"/>
      <c r="R42" s="56"/>
    </row>
    <row r="43" spans="1:18" ht="15.75" x14ac:dyDescent="0.2">
      <c r="A43" s="5"/>
      <c r="B43" s="105"/>
      <c r="C43" s="128" t="s">
        <v>21</v>
      </c>
      <c r="D43" s="128"/>
      <c r="E43" s="129">
        <f>E41+E39+E32+E26+E24</f>
        <v>0.99999999999999989</v>
      </c>
      <c r="F43" s="5"/>
      <c r="G43" s="5"/>
      <c r="H43" s="5"/>
      <c r="I43" s="5"/>
      <c r="J43" s="5"/>
      <c r="K43" s="5"/>
      <c r="L43" s="5"/>
      <c r="M43" s="5"/>
      <c r="N43" s="21"/>
      <c r="O43" s="5"/>
      <c r="R43" s="56"/>
    </row>
    <row r="44" spans="1:18" x14ac:dyDescent="0.2">
      <c r="A44" s="5"/>
      <c r="B44" s="105"/>
      <c r="F44" s="5"/>
      <c r="G44" s="5"/>
      <c r="H44" s="5"/>
      <c r="I44" s="5"/>
      <c r="J44" s="5"/>
      <c r="K44" s="5"/>
      <c r="L44" s="5"/>
      <c r="M44" s="5"/>
      <c r="N44" s="21"/>
      <c r="O44" s="5"/>
      <c r="R44" s="56"/>
    </row>
    <row r="45" spans="1:18" x14ac:dyDescent="0.2">
      <c r="A45" s="5"/>
      <c r="B45" s="105"/>
      <c r="F45" s="5"/>
      <c r="G45" s="5"/>
      <c r="H45" s="5"/>
      <c r="I45" s="5"/>
      <c r="J45" s="5"/>
      <c r="K45" s="5"/>
      <c r="L45" s="5"/>
      <c r="M45" s="5"/>
      <c r="N45" s="21"/>
      <c r="O45" s="5"/>
      <c r="R45" s="56"/>
    </row>
    <row r="46" spans="1:18" x14ac:dyDescent="0.2">
      <c r="A46" s="5"/>
      <c r="B46" s="105"/>
      <c r="F46" s="5"/>
      <c r="G46" s="5"/>
      <c r="H46" s="5"/>
      <c r="I46" s="5"/>
      <c r="J46" s="5"/>
      <c r="K46" s="5"/>
      <c r="L46" s="5"/>
      <c r="M46" s="5"/>
      <c r="N46" s="21"/>
      <c r="O46" s="5"/>
      <c r="R46" s="56"/>
    </row>
    <row r="47" spans="1:18" x14ac:dyDescent="0.2">
      <c r="A47" s="5"/>
      <c r="B47" s="105"/>
      <c r="F47" s="5"/>
      <c r="G47" s="5"/>
      <c r="H47" s="5"/>
      <c r="I47" s="5"/>
      <c r="J47" s="5"/>
      <c r="K47" s="5"/>
      <c r="L47" s="5"/>
      <c r="M47" s="5"/>
      <c r="N47" s="21"/>
      <c r="O47" s="5"/>
      <c r="R47" s="56"/>
    </row>
    <row r="48" spans="1:18" ht="15.75" thickBot="1" x14ac:dyDescent="0.25">
      <c r="A48" s="5"/>
      <c r="B48" s="108"/>
      <c r="C48" s="51"/>
      <c r="D48" s="51"/>
      <c r="E48" s="51"/>
      <c r="F48" s="51"/>
      <c r="G48" s="51"/>
      <c r="H48" s="51"/>
      <c r="I48" s="51"/>
      <c r="J48" s="51"/>
      <c r="K48" s="51"/>
      <c r="L48" s="51"/>
      <c r="M48" s="51"/>
      <c r="N48" s="132"/>
      <c r="O48" s="5"/>
      <c r="R48" s="56"/>
    </row>
    <row r="49" spans="2:18" ht="15.75" thickBot="1" x14ac:dyDescent="0.25">
      <c r="R49" s="56"/>
    </row>
    <row r="50" spans="2:18" ht="15" customHeight="1" x14ac:dyDescent="0.2">
      <c r="B50" s="245" t="s">
        <v>234</v>
      </c>
      <c r="C50" s="246"/>
      <c r="D50" s="246"/>
      <c r="E50" s="246"/>
      <c r="F50" s="246"/>
      <c r="G50" s="246"/>
      <c r="H50" s="246"/>
      <c r="I50" s="246"/>
      <c r="J50" s="246"/>
      <c r="K50" s="246"/>
      <c r="L50" s="246"/>
      <c r="M50" s="246"/>
      <c r="N50" s="246"/>
      <c r="O50" s="246"/>
      <c r="P50" s="246"/>
      <c r="Q50" s="246"/>
      <c r="R50" s="247"/>
    </row>
    <row r="51" spans="2:18" x14ac:dyDescent="0.2">
      <c r="B51" s="248"/>
      <c r="C51" s="249"/>
      <c r="D51" s="249"/>
      <c r="E51" s="249"/>
      <c r="F51" s="249"/>
      <c r="G51" s="249"/>
      <c r="H51" s="249"/>
      <c r="I51" s="249"/>
      <c r="J51" s="249"/>
      <c r="K51" s="249"/>
      <c r="L51" s="249"/>
      <c r="M51" s="249"/>
      <c r="N51" s="249"/>
      <c r="O51" s="249"/>
      <c r="P51" s="249"/>
      <c r="Q51" s="249"/>
      <c r="R51" s="250"/>
    </row>
    <row r="52" spans="2:18" x14ac:dyDescent="0.2">
      <c r="B52" s="248"/>
      <c r="C52" s="249"/>
      <c r="D52" s="249"/>
      <c r="E52" s="249"/>
      <c r="F52" s="249"/>
      <c r="G52" s="249"/>
      <c r="H52" s="249"/>
      <c r="I52" s="249"/>
      <c r="J52" s="249"/>
      <c r="K52" s="249"/>
      <c r="L52" s="249"/>
      <c r="M52" s="249"/>
      <c r="N52" s="249"/>
      <c r="O52" s="249"/>
      <c r="P52" s="249"/>
      <c r="Q52" s="249"/>
      <c r="R52" s="250"/>
    </row>
    <row r="53" spans="2:18" x14ac:dyDescent="0.2">
      <c r="B53" s="248"/>
      <c r="C53" s="249"/>
      <c r="D53" s="249"/>
      <c r="E53" s="249"/>
      <c r="F53" s="249"/>
      <c r="G53" s="249"/>
      <c r="H53" s="249"/>
      <c r="I53" s="249"/>
      <c r="J53" s="249"/>
      <c r="K53" s="249"/>
      <c r="L53" s="249"/>
      <c r="M53" s="249"/>
      <c r="N53" s="249"/>
      <c r="O53" s="249"/>
      <c r="P53" s="249"/>
      <c r="Q53" s="249"/>
      <c r="R53" s="250"/>
    </row>
    <row r="54" spans="2:18" x14ac:dyDescent="0.2">
      <c r="B54" s="248"/>
      <c r="C54" s="249"/>
      <c r="D54" s="249"/>
      <c r="E54" s="249"/>
      <c r="F54" s="249"/>
      <c r="G54" s="249"/>
      <c r="H54" s="249"/>
      <c r="I54" s="249"/>
      <c r="J54" s="249"/>
      <c r="K54" s="249"/>
      <c r="L54" s="249"/>
      <c r="M54" s="249"/>
      <c r="N54" s="249"/>
      <c r="O54" s="249"/>
      <c r="P54" s="249"/>
      <c r="Q54" s="249"/>
      <c r="R54" s="250"/>
    </row>
    <row r="55" spans="2:18" x14ac:dyDescent="0.2">
      <c r="B55" s="248"/>
      <c r="C55" s="249"/>
      <c r="D55" s="249"/>
      <c r="E55" s="249"/>
      <c r="F55" s="249"/>
      <c r="G55" s="249"/>
      <c r="H55" s="249"/>
      <c r="I55" s="249"/>
      <c r="J55" s="249"/>
      <c r="K55" s="249"/>
      <c r="L55" s="249"/>
      <c r="M55" s="249"/>
      <c r="N55" s="249"/>
      <c r="O55" s="249"/>
      <c r="P55" s="249"/>
      <c r="Q55" s="249"/>
      <c r="R55" s="250"/>
    </row>
    <row r="56" spans="2:18" ht="15.75" thickBot="1" x14ac:dyDescent="0.25">
      <c r="B56" s="251"/>
      <c r="C56" s="252"/>
      <c r="D56" s="252"/>
      <c r="E56" s="252"/>
      <c r="F56" s="252"/>
      <c r="G56" s="252"/>
      <c r="H56" s="252"/>
      <c r="I56" s="252"/>
      <c r="J56" s="252"/>
      <c r="K56" s="252"/>
      <c r="L56" s="252"/>
      <c r="M56" s="252"/>
      <c r="N56" s="252"/>
      <c r="O56" s="252"/>
      <c r="P56" s="252"/>
      <c r="Q56" s="252"/>
      <c r="R56" s="253"/>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34:E38">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3"/>
      <c r="C2" s="46"/>
      <c r="D2" s="46"/>
      <c r="E2" s="46"/>
      <c r="F2" s="46"/>
      <c r="G2" s="46"/>
      <c r="H2" s="46"/>
      <c r="I2" s="46"/>
      <c r="J2" s="46"/>
      <c r="K2" s="46"/>
      <c r="L2" s="46"/>
      <c r="M2" s="104"/>
    </row>
    <row r="3" spans="2:16" ht="20.25" customHeight="1" x14ac:dyDescent="0.2">
      <c r="B3" s="105"/>
      <c r="C3" s="239" t="s">
        <v>200</v>
      </c>
      <c r="D3" s="239"/>
      <c r="E3" s="239"/>
      <c r="F3" s="239"/>
      <c r="G3" s="239"/>
      <c r="H3" s="239"/>
      <c r="I3" s="239"/>
      <c r="J3" s="239"/>
      <c r="K3" s="239"/>
      <c r="L3" s="239"/>
      <c r="M3" s="240"/>
    </row>
    <row r="4" spans="2:16" ht="15.75" x14ac:dyDescent="0.25">
      <c r="B4" s="105"/>
      <c r="C4" s="78" t="s">
        <v>313</v>
      </c>
      <c r="D4" s="30"/>
      <c r="E4" s="30"/>
      <c r="F4" s="5"/>
      <c r="G4" s="5"/>
      <c r="H4" s="5"/>
      <c r="I4" s="5"/>
      <c r="J4" s="5"/>
      <c r="K4" s="5"/>
      <c r="L4" s="5"/>
      <c r="M4" s="21"/>
    </row>
    <row r="5" spans="2:16" ht="20.25" customHeight="1" x14ac:dyDescent="0.25">
      <c r="B5" s="105"/>
      <c r="C5" s="79" t="s">
        <v>314</v>
      </c>
      <c r="D5" s="106" t="s">
        <v>302</v>
      </c>
      <c r="E5" s="20"/>
      <c r="F5" s="5"/>
      <c r="G5" s="5"/>
      <c r="H5" s="5"/>
      <c r="I5" s="5"/>
      <c r="J5" s="5"/>
      <c r="K5" s="5"/>
      <c r="L5" s="5"/>
      <c r="M5" s="21"/>
    </row>
    <row r="6" spans="2:16" x14ac:dyDescent="0.2">
      <c r="B6" s="105"/>
      <c r="C6" s="5"/>
      <c r="D6" s="5"/>
      <c r="E6" s="5"/>
      <c r="F6" s="5"/>
      <c r="G6" s="5"/>
      <c r="H6" s="5"/>
      <c r="I6" s="5"/>
      <c r="J6" s="5"/>
      <c r="K6" s="5"/>
      <c r="L6" s="5"/>
      <c r="M6" s="21"/>
    </row>
    <row r="7" spans="2:16" ht="32.25" customHeight="1" x14ac:dyDescent="0.2">
      <c r="B7" s="105"/>
      <c r="C7" s="107" t="s">
        <v>43</v>
      </c>
      <c r="D7" s="107" t="s">
        <v>45</v>
      </c>
      <c r="E7" s="5"/>
      <c r="F7" s="241" t="s">
        <v>50</v>
      </c>
      <c r="G7" s="241"/>
      <c r="H7" s="241"/>
      <c r="I7" s="241"/>
      <c r="J7" s="241"/>
      <c r="K7" s="241"/>
      <c r="L7" s="241"/>
      <c r="M7" s="242"/>
    </row>
    <row r="8" spans="2:16" ht="15.75" x14ac:dyDescent="0.25">
      <c r="B8" s="105"/>
      <c r="C8" s="39" t="s">
        <v>226</v>
      </c>
      <c r="D8" s="228">
        <v>0.134217</v>
      </c>
      <c r="E8" s="30"/>
      <c r="F8" s="5"/>
      <c r="G8" s="32"/>
      <c r="H8" s="5"/>
      <c r="I8" s="5"/>
      <c r="J8" s="54"/>
      <c r="K8" s="5"/>
      <c r="L8" s="5"/>
      <c r="M8" s="21"/>
      <c r="P8" s="56"/>
    </row>
    <row r="9" spans="2:16" x14ac:dyDescent="0.2">
      <c r="B9" s="105"/>
      <c r="C9" s="114" t="s">
        <v>231</v>
      </c>
      <c r="D9" s="200">
        <v>0.10864799999999999</v>
      </c>
      <c r="E9" s="5"/>
      <c r="F9" s="5"/>
      <c r="G9" s="5"/>
      <c r="H9" s="5"/>
      <c r="I9" s="5" t="s">
        <v>51</v>
      </c>
      <c r="J9" s="54">
        <f>D11</f>
        <v>0.34266200000000002</v>
      </c>
      <c r="K9" s="5"/>
      <c r="L9" s="5"/>
      <c r="M9" s="21"/>
      <c r="P9" s="56"/>
    </row>
    <row r="10" spans="2:16" x14ac:dyDescent="0.2">
      <c r="B10" s="105"/>
      <c r="C10" s="114" t="s">
        <v>227</v>
      </c>
      <c r="D10" s="200">
        <v>9.9796999999999997E-2</v>
      </c>
      <c r="E10" s="5"/>
      <c r="F10" s="5"/>
      <c r="G10" s="5"/>
      <c r="H10" s="5"/>
      <c r="I10" s="5" t="s">
        <v>53</v>
      </c>
      <c r="J10" s="54">
        <f>D16</f>
        <v>0.65030099999999991</v>
      </c>
      <c r="K10" s="5"/>
      <c r="L10" s="5"/>
      <c r="M10" s="21"/>
      <c r="P10" s="56"/>
    </row>
    <row r="11" spans="2:16" ht="15.75" x14ac:dyDescent="0.25">
      <c r="B11" s="105"/>
      <c r="C11" s="7" t="s">
        <v>52</v>
      </c>
      <c r="D11" s="8">
        <f>SUM(D8:D10)</f>
        <v>0.34266200000000002</v>
      </c>
      <c r="E11" s="5"/>
      <c r="F11" s="5"/>
      <c r="G11" s="5"/>
      <c r="H11" s="5"/>
      <c r="I11" s="5" t="s">
        <v>20</v>
      </c>
      <c r="J11" s="54">
        <f>D18</f>
        <v>7.0369999999999999E-3</v>
      </c>
      <c r="K11" s="5"/>
      <c r="L11" s="5"/>
      <c r="M11" s="21"/>
      <c r="P11" s="56"/>
    </row>
    <row r="12" spans="2:16" x14ac:dyDescent="0.2">
      <c r="B12" s="105"/>
      <c r="C12" s="114"/>
      <c r="D12" s="39"/>
      <c r="E12" s="5"/>
      <c r="F12" s="5"/>
      <c r="G12" s="5"/>
      <c r="H12" s="5"/>
      <c r="K12" s="5"/>
      <c r="L12" s="5"/>
      <c r="M12" s="21"/>
      <c r="P12" s="56"/>
    </row>
    <row r="13" spans="2:16" ht="15.75" customHeight="1" x14ac:dyDescent="0.2">
      <c r="B13" s="105"/>
      <c r="C13" s="4" t="s">
        <v>229</v>
      </c>
      <c r="D13" s="200">
        <v>0.521756</v>
      </c>
      <c r="E13" s="5"/>
      <c r="F13" s="5"/>
      <c r="G13" s="5"/>
      <c r="H13" s="5"/>
      <c r="I13" s="5"/>
      <c r="J13" s="54"/>
      <c r="K13" s="5"/>
      <c r="L13" s="5"/>
      <c r="M13" s="21"/>
      <c r="P13" s="56"/>
    </row>
    <row r="14" spans="2:16" ht="15.75" customHeight="1" x14ac:dyDescent="0.2">
      <c r="B14" s="105"/>
      <c r="C14" s="4" t="s">
        <v>230</v>
      </c>
      <c r="D14" s="200">
        <v>7.6363E-2</v>
      </c>
      <c r="E14" s="5"/>
      <c r="F14" s="5"/>
      <c r="G14" s="5"/>
      <c r="H14" s="5"/>
      <c r="I14" s="5"/>
      <c r="J14" s="54"/>
      <c r="K14" s="5"/>
      <c r="L14" s="5"/>
      <c r="M14" s="21"/>
      <c r="P14" s="56"/>
    </row>
    <row r="15" spans="2:16" x14ac:dyDescent="0.2">
      <c r="B15" s="105"/>
      <c r="C15" s="4" t="s">
        <v>228</v>
      </c>
      <c r="D15" s="200">
        <v>5.2181999999999999E-2</v>
      </c>
      <c r="E15" s="5"/>
      <c r="F15" s="5"/>
      <c r="G15" s="5"/>
      <c r="H15" s="5"/>
      <c r="I15" s="5"/>
      <c r="J15" s="115"/>
      <c r="K15" s="5"/>
      <c r="L15" s="5"/>
      <c r="M15" s="21"/>
      <c r="P15" s="56"/>
    </row>
    <row r="16" spans="2:16" ht="15.75" x14ac:dyDescent="0.25">
      <c r="B16" s="105"/>
      <c r="C16" s="7" t="s">
        <v>19</v>
      </c>
      <c r="D16" s="8">
        <f>SUM(D13:D15)</f>
        <v>0.65030099999999991</v>
      </c>
      <c r="E16" s="5"/>
      <c r="F16" s="5"/>
      <c r="G16" s="5"/>
      <c r="H16" s="5"/>
      <c r="I16" s="5"/>
      <c r="J16" s="5"/>
      <c r="K16" s="5"/>
      <c r="L16" s="5"/>
      <c r="M16" s="21"/>
      <c r="P16" s="56"/>
    </row>
    <row r="17" spans="2:18" ht="15.75" customHeight="1" x14ac:dyDescent="0.2">
      <c r="B17" s="105"/>
      <c r="C17" s="4"/>
      <c r="D17" s="6"/>
      <c r="E17" s="5"/>
      <c r="F17" s="5"/>
      <c r="G17" s="5"/>
      <c r="H17" s="5"/>
      <c r="I17" s="5"/>
      <c r="J17" s="5"/>
      <c r="K17" s="5"/>
      <c r="L17" s="5"/>
      <c r="M17" s="21"/>
      <c r="P17" s="56"/>
    </row>
    <row r="18" spans="2:18" ht="15.75" x14ac:dyDescent="0.25">
      <c r="B18" s="105"/>
      <c r="C18" s="7" t="s">
        <v>20</v>
      </c>
      <c r="D18" s="238">
        <v>7.0369999999999999E-3</v>
      </c>
      <c r="E18" s="5"/>
      <c r="F18" s="5"/>
      <c r="G18" s="5"/>
      <c r="H18" s="5"/>
      <c r="I18" s="5"/>
      <c r="J18" s="5"/>
      <c r="K18" s="5"/>
      <c r="L18" s="5"/>
      <c r="M18" s="21"/>
      <c r="P18" s="56"/>
    </row>
    <row r="19" spans="2:18" x14ac:dyDescent="0.2">
      <c r="B19" s="105"/>
      <c r="C19" s="4"/>
      <c r="D19" s="6"/>
      <c r="E19" s="5"/>
      <c r="F19" s="5"/>
      <c r="G19" s="5"/>
      <c r="H19" s="5"/>
      <c r="I19" s="5"/>
      <c r="J19" s="5"/>
      <c r="K19" s="5"/>
      <c r="L19" s="5"/>
      <c r="M19" s="21"/>
      <c r="P19" s="56"/>
    </row>
    <row r="20" spans="2:18" ht="15.75" x14ac:dyDescent="0.25">
      <c r="B20" s="105"/>
      <c r="C20" s="9" t="s">
        <v>54</v>
      </c>
      <c r="D20" s="10">
        <f>SUM(D18,D16,D11)</f>
        <v>0.99999999999999989</v>
      </c>
      <c r="E20" s="5"/>
      <c r="F20" s="5"/>
      <c r="G20" s="5"/>
      <c r="H20" s="5"/>
      <c r="I20" s="5"/>
      <c r="J20" s="5"/>
      <c r="K20" s="5"/>
      <c r="L20" s="5"/>
      <c r="M20" s="21"/>
      <c r="P20" s="56"/>
    </row>
    <row r="21" spans="2:18" x14ac:dyDescent="0.2">
      <c r="B21" s="105"/>
      <c r="E21" s="5"/>
      <c r="F21" s="5"/>
      <c r="G21" s="5"/>
      <c r="H21" s="5"/>
      <c r="I21" s="5"/>
      <c r="J21" s="5"/>
      <c r="K21" s="5"/>
      <c r="L21" s="5"/>
      <c r="M21" s="21"/>
      <c r="P21" s="56"/>
    </row>
    <row r="22" spans="2:18" x14ac:dyDescent="0.2">
      <c r="B22" s="105"/>
      <c r="E22" s="5"/>
      <c r="F22" s="5"/>
      <c r="G22" s="5"/>
      <c r="H22" s="5"/>
      <c r="I22" s="5"/>
      <c r="J22" s="5"/>
      <c r="K22" s="5"/>
      <c r="L22" s="5"/>
      <c r="M22" s="21"/>
      <c r="P22" s="56"/>
    </row>
    <row r="23" spans="2:18" ht="15" customHeight="1" x14ac:dyDescent="0.2">
      <c r="B23" s="105"/>
      <c r="C23" s="261"/>
      <c r="D23" s="261"/>
      <c r="E23" s="261"/>
      <c r="F23" s="261"/>
      <c r="G23" s="261"/>
      <c r="H23" s="5"/>
      <c r="I23" s="5"/>
      <c r="J23" s="5"/>
      <c r="K23" s="5"/>
      <c r="L23" s="5"/>
      <c r="M23" s="11"/>
      <c r="P23" s="56"/>
    </row>
    <row r="24" spans="2:18" ht="16.5" thickBot="1" x14ac:dyDescent="0.3">
      <c r="B24" s="108"/>
      <c r="C24" s="243"/>
      <c r="D24" s="243"/>
      <c r="E24" s="243"/>
      <c r="F24" s="243"/>
      <c r="G24" s="243"/>
      <c r="H24" s="243"/>
      <c r="I24" s="243"/>
      <c r="J24" s="243"/>
      <c r="K24" s="243"/>
      <c r="L24" s="243"/>
      <c r="M24" s="244"/>
      <c r="P24" s="56"/>
    </row>
    <row r="25" spans="2:18" ht="15.75" thickBot="1" x14ac:dyDescent="0.25">
      <c r="P25" s="56"/>
    </row>
    <row r="26" spans="2:18" ht="15" customHeight="1" x14ac:dyDescent="0.2">
      <c r="B26" s="245" t="s">
        <v>234</v>
      </c>
      <c r="C26" s="246"/>
      <c r="D26" s="246"/>
      <c r="E26" s="246"/>
      <c r="F26" s="246"/>
      <c r="G26" s="246"/>
      <c r="H26" s="246"/>
      <c r="I26" s="246"/>
      <c r="J26" s="246"/>
      <c r="K26" s="246"/>
      <c r="L26" s="246"/>
      <c r="M26" s="246"/>
      <c r="N26" s="246"/>
      <c r="O26" s="246"/>
      <c r="P26" s="246"/>
      <c r="Q26" s="246"/>
      <c r="R26" s="247"/>
    </row>
    <row r="27" spans="2:18" x14ac:dyDescent="0.2">
      <c r="B27" s="248"/>
      <c r="C27" s="249"/>
      <c r="D27" s="249"/>
      <c r="E27" s="249"/>
      <c r="F27" s="249"/>
      <c r="G27" s="249"/>
      <c r="H27" s="249"/>
      <c r="I27" s="249"/>
      <c r="J27" s="249"/>
      <c r="K27" s="249"/>
      <c r="L27" s="249"/>
      <c r="M27" s="249"/>
      <c r="N27" s="249"/>
      <c r="O27" s="249"/>
      <c r="P27" s="249"/>
      <c r="Q27" s="249"/>
      <c r="R27" s="250"/>
    </row>
    <row r="28" spans="2:18" x14ac:dyDescent="0.2">
      <c r="B28" s="248"/>
      <c r="C28" s="249"/>
      <c r="D28" s="249"/>
      <c r="E28" s="249"/>
      <c r="F28" s="249"/>
      <c r="G28" s="249"/>
      <c r="H28" s="249"/>
      <c r="I28" s="249"/>
      <c r="J28" s="249"/>
      <c r="K28" s="249"/>
      <c r="L28" s="249"/>
      <c r="M28" s="249"/>
      <c r="N28" s="249"/>
      <c r="O28" s="249"/>
      <c r="P28" s="249"/>
      <c r="Q28" s="249"/>
      <c r="R28" s="250"/>
    </row>
    <row r="29" spans="2:18" x14ac:dyDescent="0.2">
      <c r="B29" s="248"/>
      <c r="C29" s="249"/>
      <c r="D29" s="249"/>
      <c r="E29" s="249"/>
      <c r="F29" s="249"/>
      <c r="G29" s="249"/>
      <c r="H29" s="249"/>
      <c r="I29" s="249"/>
      <c r="J29" s="249"/>
      <c r="K29" s="249"/>
      <c r="L29" s="249"/>
      <c r="M29" s="249"/>
      <c r="N29" s="249"/>
      <c r="O29" s="249"/>
      <c r="P29" s="249"/>
      <c r="Q29" s="249"/>
      <c r="R29" s="250"/>
    </row>
    <row r="30" spans="2:18" x14ac:dyDescent="0.2">
      <c r="B30" s="248"/>
      <c r="C30" s="249"/>
      <c r="D30" s="249"/>
      <c r="E30" s="249"/>
      <c r="F30" s="249"/>
      <c r="G30" s="249"/>
      <c r="H30" s="249"/>
      <c r="I30" s="249"/>
      <c r="J30" s="249"/>
      <c r="K30" s="249"/>
      <c r="L30" s="249"/>
      <c r="M30" s="249"/>
      <c r="N30" s="249"/>
      <c r="O30" s="249"/>
      <c r="P30" s="249"/>
      <c r="Q30" s="249"/>
      <c r="R30" s="250"/>
    </row>
    <row r="31" spans="2:18" x14ac:dyDescent="0.2">
      <c r="B31" s="248"/>
      <c r="C31" s="249"/>
      <c r="D31" s="249"/>
      <c r="E31" s="249"/>
      <c r="F31" s="249"/>
      <c r="G31" s="249"/>
      <c r="H31" s="249"/>
      <c r="I31" s="249"/>
      <c r="J31" s="249"/>
      <c r="K31" s="249"/>
      <c r="L31" s="249"/>
      <c r="M31" s="249"/>
      <c r="N31" s="249"/>
      <c r="O31" s="249"/>
      <c r="P31" s="249"/>
      <c r="Q31" s="249"/>
      <c r="R31" s="250"/>
    </row>
    <row r="32" spans="2:18" ht="15.75" thickBot="1" x14ac:dyDescent="0.25">
      <c r="B32" s="251"/>
      <c r="C32" s="252"/>
      <c r="D32" s="252"/>
      <c r="E32" s="252"/>
      <c r="F32" s="252"/>
      <c r="G32" s="252"/>
      <c r="H32" s="252"/>
      <c r="I32" s="252"/>
      <c r="J32" s="252"/>
      <c r="K32" s="252"/>
      <c r="L32" s="252"/>
      <c r="M32" s="252"/>
      <c r="N32" s="252"/>
      <c r="O32" s="252"/>
      <c r="P32" s="252"/>
      <c r="Q32" s="252"/>
      <c r="R32" s="253"/>
    </row>
    <row r="33" spans="3:16" x14ac:dyDescent="0.2">
      <c r="P33" s="56"/>
    </row>
    <row r="34" spans="3:16" x14ac:dyDescent="0.2">
      <c r="C34" s="192"/>
      <c r="D34" s="193"/>
      <c r="P34" s="56"/>
    </row>
    <row r="35" spans="3:16" x14ac:dyDescent="0.2">
      <c r="C35" s="192"/>
      <c r="D35" s="193"/>
      <c r="P35" s="56"/>
    </row>
    <row r="36" spans="3:16" x14ac:dyDescent="0.2">
      <c r="C36" s="192"/>
      <c r="D36" s="193"/>
      <c r="P36" s="56"/>
    </row>
    <row r="37" spans="3:16" x14ac:dyDescent="0.2">
      <c r="C37" s="192"/>
      <c r="D37" s="193"/>
      <c r="P37" s="56"/>
    </row>
    <row r="38" spans="3:16" x14ac:dyDescent="0.2">
      <c r="C38" s="192"/>
      <c r="D38" s="193"/>
      <c r="P38" s="56"/>
    </row>
    <row r="39" spans="3:16" x14ac:dyDescent="0.2">
      <c r="C39" s="192"/>
      <c r="D39" s="193"/>
      <c r="P39" s="56"/>
    </row>
    <row r="40" spans="3:16" x14ac:dyDescent="0.2">
      <c r="C40" s="192"/>
      <c r="D40" s="193"/>
      <c r="P40" s="56"/>
    </row>
    <row r="41" spans="3:16" x14ac:dyDescent="0.2">
      <c r="C41" s="192"/>
      <c r="D41" s="193"/>
      <c r="P41" s="56"/>
    </row>
    <row r="42" spans="3:16" x14ac:dyDescent="0.2">
      <c r="P42" s="56"/>
    </row>
    <row r="43" spans="3:16" x14ac:dyDescent="0.2">
      <c r="P43" s="56"/>
    </row>
    <row r="44" spans="3:16" x14ac:dyDescent="0.2">
      <c r="P44" s="56"/>
    </row>
    <row r="45" spans="3:16" x14ac:dyDescent="0.2">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9:D41">
    <sortCondition descending="1" ref="D39"/>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39" t="s">
        <v>199</v>
      </c>
      <c r="D3" s="239"/>
      <c r="E3" s="239"/>
      <c r="F3" s="239"/>
      <c r="G3" s="239"/>
      <c r="H3" s="239"/>
      <c r="I3" s="239"/>
      <c r="J3" s="239"/>
      <c r="K3" s="239"/>
      <c r="L3" s="239"/>
      <c r="M3" s="240"/>
    </row>
    <row r="4" spans="2:19" ht="15.75" x14ac:dyDescent="0.25">
      <c r="B4" s="105"/>
      <c r="C4" s="78" t="s">
        <v>313</v>
      </c>
      <c r="D4" s="30"/>
      <c r="E4" s="30"/>
      <c r="F4" s="5"/>
      <c r="G4" s="5"/>
      <c r="H4" s="5"/>
      <c r="I4" s="5"/>
      <c r="J4" s="5"/>
      <c r="K4" s="5"/>
      <c r="L4" s="5"/>
      <c r="M4" s="21"/>
    </row>
    <row r="5" spans="2:19" ht="20.25" customHeight="1" x14ac:dyDescent="0.25">
      <c r="B5" s="105"/>
      <c r="C5" s="79" t="s">
        <v>314</v>
      </c>
      <c r="D5" s="106" t="s">
        <v>301</v>
      </c>
      <c r="E5" s="20"/>
      <c r="F5" s="5"/>
      <c r="G5" s="5"/>
      <c r="H5" s="5"/>
      <c r="I5" s="5"/>
      <c r="J5" s="5"/>
      <c r="K5" s="5"/>
      <c r="L5" s="5"/>
      <c r="M5" s="21"/>
    </row>
    <row r="6" spans="2:19" x14ac:dyDescent="0.2">
      <c r="B6" s="105"/>
      <c r="C6" s="5"/>
      <c r="D6" s="5"/>
      <c r="E6" s="5"/>
      <c r="F6" s="5"/>
      <c r="G6" s="5"/>
      <c r="H6" s="5"/>
      <c r="I6" s="5"/>
      <c r="J6" s="5"/>
      <c r="K6" s="5"/>
      <c r="L6" s="5"/>
      <c r="M6" s="21"/>
    </row>
    <row r="7" spans="2:19" ht="32.25" customHeight="1" x14ac:dyDescent="0.2">
      <c r="B7" s="105"/>
      <c r="C7" s="107" t="s">
        <v>43</v>
      </c>
      <c r="D7" s="107" t="s">
        <v>45</v>
      </c>
      <c r="E7" s="5"/>
      <c r="F7" s="241" t="s">
        <v>50</v>
      </c>
      <c r="G7" s="241"/>
      <c r="H7" s="241"/>
      <c r="I7" s="241"/>
      <c r="J7" s="241"/>
      <c r="K7" s="241"/>
      <c r="L7" s="241"/>
      <c r="M7" s="242"/>
    </row>
    <row r="8" spans="2:19" x14ac:dyDescent="0.2">
      <c r="B8" s="105"/>
      <c r="C8" s="39" t="s">
        <v>227</v>
      </c>
      <c r="D8" s="228">
        <v>0.30679099999999998</v>
      </c>
      <c r="E8" s="5"/>
      <c r="F8" s="5"/>
      <c r="G8" s="32"/>
      <c r="H8" s="5"/>
      <c r="I8" s="109" t="s">
        <v>51</v>
      </c>
      <c r="J8" s="110">
        <f>D11</f>
        <v>0.55313499999999993</v>
      </c>
      <c r="K8" s="5"/>
      <c r="L8" s="5"/>
      <c r="M8" s="21"/>
      <c r="S8" s="56"/>
    </row>
    <row r="9" spans="2:19" ht="15.75" customHeight="1" x14ac:dyDescent="0.2">
      <c r="B9" s="105"/>
      <c r="C9" s="4" t="s">
        <v>226</v>
      </c>
      <c r="D9" s="200">
        <v>0.13953699999999999</v>
      </c>
      <c r="E9" s="5"/>
      <c r="F9" s="5"/>
      <c r="G9" s="5"/>
      <c r="H9" s="5"/>
      <c r="I9" s="109" t="s">
        <v>53</v>
      </c>
      <c r="J9" s="111">
        <f>D17</f>
        <v>0.434062</v>
      </c>
      <c r="K9" s="5"/>
      <c r="L9" s="5"/>
      <c r="M9" s="21"/>
      <c r="S9" s="56"/>
    </row>
    <row r="10" spans="2:19" x14ac:dyDescent="0.2">
      <c r="B10" s="105"/>
      <c r="C10" s="4" t="s">
        <v>231</v>
      </c>
      <c r="D10" s="200">
        <v>0.106807</v>
      </c>
      <c r="E10" s="5"/>
      <c r="F10" s="5"/>
      <c r="G10" s="5"/>
      <c r="H10" s="5"/>
      <c r="I10" s="109" t="s">
        <v>20</v>
      </c>
      <c r="J10" s="111">
        <f>D19</f>
        <v>1.2803E-2</v>
      </c>
      <c r="K10" s="5"/>
      <c r="L10" s="5"/>
      <c r="M10" s="21"/>
      <c r="S10" s="56"/>
    </row>
    <row r="11" spans="2:19" ht="15.75" customHeight="1" x14ac:dyDescent="0.25">
      <c r="B11" s="105"/>
      <c r="C11" s="7" t="s">
        <v>52</v>
      </c>
      <c r="D11" s="8">
        <f>SUM(D8:D10)</f>
        <v>0.55313499999999993</v>
      </c>
      <c r="E11" s="5"/>
      <c r="F11" s="5"/>
      <c r="G11" s="5"/>
      <c r="H11" s="5"/>
      <c r="K11" s="5"/>
      <c r="L11" s="5"/>
      <c r="M11" s="21"/>
      <c r="S11" s="56"/>
    </row>
    <row r="12" spans="2:19" x14ac:dyDescent="0.2">
      <c r="B12" s="105"/>
      <c r="C12" s="39"/>
      <c r="D12" s="39"/>
      <c r="E12" s="5"/>
      <c r="F12" s="5"/>
      <c r="G12" s="5"/>
      <c r="H12" s="5"/>
      <c r="K12" s="5"/>
      <c r="L12" s="5"/>
      <c r="M12" s="21"/>
      <c r="S12" s="56"/>
    </row>
    <row r="13" spans="2:19" ht="15.75" customHeight="1" x14ac:dyDescent="0.2">
      <c r="B13" s="105"/>
      <c r="C13" s="4" t="s">
        <v>229</v>
      </c>
      <c r="D13" s="200">
        <v>0.322577</v>
      </c>
      <c r="E13" s="5"/>
      <c r="F13" s="5"/>
      <c r="G13" s="5"/>
      <c r="H13" s="5"/>
      <c r="I13" s="109"/>
      <c r="J13" s="109"/>
      <c r="K13" s="5"/>
      <c r="L13" s="5"/>
      <c r="M13" s="21"/>
      <c r="S13" s="56"/>
    </row>
    <row r="14" spans="2:19" x14ac:dyDescent="0.2">
      <c r="B14" s="105"/>
      <c r="C14" s="4" t="s">
        <v>228</v>
      </c>
      <c r="D14" s="200">
        <v>9.2179999999999998E-2</v>
      </c>
      <c r="E14" s="5"/>
      <c r="F14" s="5"/>
      <c r="G14" s="5"/>
      <c r="H14" s="5"/>
      <c r="I14" s="5"/>
      <c r="J14" s="5"/>
      <c r="K14" s="5"/>
      <c r="L14" s="5"/>
      <c r="M14" s="21"/>
      <c r="S14" s="56"/>
    </row>
    <row r="15" spans="2:19" x14ac:dyDescent="0.2">
      <c r="B15" s="105"/>
      <c r="C15" s="4" t="s">
        <v>230</v>
      </c>
      <c r="D15" s="200">
        <v>1.9304999999999999E-2</v>
      </c>
      <c r="E15" s="5"/>
      <c r="F15" s="5"/>
      <c r="G15" s="5"/>
      <c r="H15" s="5"/>
      <c r="I15" s="5"/>
      <c r="J15" s="5"/>
      <c r="K15" s="5"/>
      <c r="L15" s="5"/>
      <c r="M15" s="21"/>
      <c r="S15" s="56"/>
    </row>
    <row r="16" spans="2:19" x14ac:dyDescent="0.2">
      <c r="B16" s="105"/>
      <c r="C16" s="4"/>
      <c r="D16" s="6"/>
      <c r="E16" s="5"/>
      <c r="F16" s="5"/>
      <c r="G16" s="5"/>
      <c r="H16" s="5"/>
      <c r="I16" s="5"/>
      <c r="J16" s="5"/>
      <c r="K16" s="5"/>
      <c r="L16" s="5"/>
      <c r="M16" s="21"/>
      <c r="S16" s="56"/>
    </row>
    <row r="17" spans="2:19" ht="15.75" x14ac:dyDescent="0.25">
      <c r="B17" s="105"/>
      <c r="C17" s="7" t="s">
        <v>19</v>
      </c>
      <c r="D17" s="8">
        <f>SUM(D13:D16)</f>
        <v>0.434062</v>
      </c>
      <c r="E17" s="5"/>
      <c r="F17" s="5"/>
      <c r="G17" s="5"/>
      <c r="H17" s="5"/>
      <c r="I17" s="5"/>
      <c r="J17" s="5"/>
      <c r="K17" s="5"/>
      <c r="L17" s="5"/>
      <c r="M17" s="21"/>
      <c r="S17" s="56"/>
    </row>
    <row r="18" spans="2:19" x14ac:dyDescent="0.2">
      <c r="B18" s="105"/>
      <c r="C18" s="4"/>
      <c r="D18" s="6"/>
      <c r="E18" s="5"/>
      <c r="F18" s="5"/>
      <c r="G18" s="5"/>
      <c r="H18" s="5"/>
      <c r="I18" s="5"/>
      <c r="J18" s="5"/>
      <c r="K18" s="5"/>
      <c r="L18" s="5"/>
      <c r="M18" s="21"/>
      <c r="S18" s="56"/>
    </row>
    <row r="19" spans="2:19" ht="15.75" x14ac:dyDescent="0.25">
      <c r="B19" s="105"/>
      <c r="C19" s="7" t="s">
        <v>20</v>
      </c>
      <c r="D19" s="238">
        <v>1.2803E-2</v>
      </c>
      <c r="E19" s="5"/>
      <c r="F19" s="5"/>
      <c r="G19" s="5"/>
      <c r="H19" s="5"/>
      <c r="I19" s="5"/>
      <c r="J19" s="5"/>
      <c r="K19" s="5"/>
      <c r="L19" s="5"/>
      <c r="M19" s="21"/>
      <c r="S19" s="56"/>
    </row>
    <row r="20" spans="2:19" x14ac:dyDescent="0.2">
      <c r="B20" s="105"/>
      <c r="C20" s="4"/>
      <c r="D20" s="6"/>
      <c r="E20" s="5"/>
      <c r="F20" s="5"/>
      <c r="G20" s="5"/>
      <c r="H20" s="5"/>
      <c r="I20" s="5"/>
      <c r="J20" s="5"/>
      <c r="K20" s="5"/>
      <c r="L20" s="5"/>
      <c r="M20" s="21"/>
      <c r="S20" s="56"/>
    </row>
    <row r="21" spans="2:19" ht="15.75" x14ac:dyDescent="0.25">
      <c r="B21" s="105"/>
      <c r="C21" s="9" t="s">
        <v>54</v>
      </c>
      <c r="D21" s="10">
        <f>SUM(D19,D17,D11)</f>
        <v>1</v>
      </c>
      <c r="E21" s="5"/>
      <c r="F21" s="5"/>
      <c r="G21" s="5"/>
      <c r="H21" s="5"/>
      <c r="I21" s="5"/>
      <c r="J21" s="5"/>
      <c r="K21" s="5"/>
      <c r="L21" s="5"/>
      <c r="M21" s="21"/>
      <c r="S21" s="56"/>
    </row>
    <row r="22" spans="2:19" ht="15.75" customHeight="1" x14ac:dyDescent="0.2">
      <c r="B22" s="105"/>
      <c r="E22" s="5"/>
      <c r="F22" s="5"/>
      <c r="G22" s="5"/>
      <c r="H22" s="5"/>
      <c r="I22" s="5"/>
      <c r="J22" s="5"/>
      <c r="K22" s="5"/>
      <c r="L22" s="5"/>
      <c r="M22" s="21"/>
      <c r="S22" s="56"/>
    </row>
    <row r="23" spans="2:19" x14ac:dyDescent="0.2">
      <c r="B23" s="105"/>
      <c r="C23" s="34"/>
      <c r="D23" s="35"/>
      <c r="E23" s="5"/>
      <c r="F23" s="5"/>
      <c r="G23" s="5"/>
      <c r="H23" s="5"/>
      <c r="I23" s="5"/>
      <c r="J23" s="5"/>
      <c r="K23" s="5"/>
      <c r="L23" s="5"/>
      <c r="M23" s="21"/>
      <c r="S23" s="56"/>
    </row>
    <row r="24" spans="2:19" ht="15.75" x14ac:dyDescent="0.2">
      <c r="B24" s="105"/>
      <c r="C24" s="102"/>
      <c r="D24" s="102"/>
      <c r="E24" s="5"/>
      <c r="F24" s="32"/>
      <c r="G24" s="5"/>
      <c r="H24" s="5"/>
      <c r="I24" s="5"/>
      <c r="J24" s="5"/>
      <c r="K24" s="5"/>
      <c r="L24" s="5"/>
      <c r="M24" s="21"/>
      <c r="S24" s="56"/>
    </row>
    <row r="25" spans="2:19" ht="15.75" x14ac:dyDescent="0.2">
      <c r="B25" s="105"/>
      <c r="C25" s="102"/>
      <c r="D25" s="102"/>
      <c r="E25" s="5"/>
      <c r="F25" s="32"/>
      <c r="G25" s="5"/>
      <c r="H25" s="5"/>
      <c r="I25" s="5"/>
      <c r="J25" s="5"/>
      <c r="K25" s="5"/>
      <c r="L25" s="5"/>
      <c r="M25" s="21"/>
      <c r="S25" s="56"/>
    </row>
    <row r="26" spans="2:19" ht="16.5" thickBot="1" x14ac:dyDescent="0.3">
      <c r="B26" s="108"/>
      <c r="C26" s="112"/>
      <c r="D26" s="112"/>
      <c r="E26" s="112"/>
      <c r="F26" s="112"/>
      <c r="G26" s="112"/>
      <c r="H26" s="112"/>
      <c r="I26" s="112"/>
      <c r="J26" s="112"/>
      <c r="K26" s="112"/>
      <c r="L26" s="112"/>
      <c r="M26" s="113"/>
      <c r="S26" s="56"/>
    </row>
    <row r="27" spans="2:19" ht="15.75" thickBot="1" x14ac:dyDescent="0.25">
      <c r="S27" s="56"/>
    </row>
    <row r="28" spans="2:19" ht="15" customHeight="1" x14ac:dyDescent="0.2">
      <c r="B28" s="245" t="s">
        <v>234</v>
      </c>
      <c r="C28" s="246"/>
      <c r="D28" s="246"/>
      <c r="E28" s="246"/>
      <c r="F28" s="246"/>
      <c r="G28" s="246"/>
      <c r="H28" s="246"/>
      <c r="I28" s="246"/>
      <c r="J28" s="246"/>
      <c r="K28" s="246"/>
      <c r="L28" s="246"/>
      <c r="M28" s="246"/>
      <c r="N28" s="246"/>
      <c r="O28" s="246"/>
      <c r="P28" s="246"/>
      <c r="Q28" s="246"/>
      <c r="R28" s="247"/>
      <c r="S28" s="56"/>
    </row>
    <row r="29" spans="2:19" x14ac:dyDescent="0.2">
      <c r="B29" s="248"/>
      <c r="C29" s="249"/>
      <c r="D29" s="249"/>
      <c r="E29" s="249"/>
      <c r="F29" s="249"/>
      <c r="G29" s="249"/>
      <c r="H29" s="249"/>
      <c r="I29" s="249"/>
      <c r="J29" s="249"/>
      <c r="K29" s="249"/>
      <c r="L29" s="249"/>
      <c r="M29" s="249"/>
      <c r="N29" s="249"/>
      <c r="O29" s="249"/>
      <c r="P29" s="249"/>
      <c r="Q29" s="249"/>
      <c r="R29" s="250"/>
      <c r="S29" s="56"/>
    </row>
    <row r="30" spans="2:19" x14ac:dyDescent="0.2">
      <c r="B30" s="248"/>
      <c r="C30" s="249"/>
      <c r="D30" s="249"/>
      <c r="E30" s="249"/>
      <c r="F30" s="249"/>
      <c r="G30" s="249"/>
      <c r="H30" s="249"/>
      <c r="I30" s="249"/>
      <c r="J30" s="249"/>
      <c r="K30" s="249"/>
      <c r="L30" s="249"/>
      <c r="M30" s="249"/>
      <c r="N30" s="249"/>
      <c r="O30" s="249"/>
      <c r="P30" s="249"/>
      <c r="Q30" s="249"/>
      <c r="R30" s="250"/>
      <c r="S30" s="56"/>
    </row>
    <row r="31" spans="2:19" x14ac:dyDescent="0.2">
      <c r="B31" s="248"/>
      <c r="C31" s="249"/>
      <c r="D31" s="249"/>
      <c r="E31" s="249"/>
      <c r="F31" s="249"/>
      <c r="G31" s="249"/>
      <c r="H31" s="249"/>
      <c r="I31" s="249"/>
      <c r="J31" s="249"/>
      <c r="K31" s="249"/>
      <c r="L31" s="249"/>
      <c r="M31" s="249"/>
      <c r="N31" s="249"/>
      <c r="O31" s="249"/>
      <c r="P31" s="249"/>
      <c r="Q31" s="249"/>
      <c r="R31" s="250"/>
      <c r="S31" s="56"/>
    </row>
    <row r="32" spans="2:19" x14ac:dyDescent="0.2">
      <c r="B32" s="248"/>
      <c r="C32" s="249"/>
      <c r="D32" s="249"/>
      <c r="E32" s="249"/>
      <c r="F32" s="249"/>
      <c r="G32" s="249"/>
      <c r="H32" s="249"/>
      <c r="I32" s="249"/>
      <c r="J32" s="249"/>
      <c r="K32" s="249"/>
      <c r="L32" s="249"/>
      <c r="M32" s="249"/>
      <c r="N32" s="249"/>
      <c r="O32" s="249"/>
      <c r="P32" s="249"/>
      <c r="Q32" s="249"/>
      <c r="R32" s="250"/>
      <c r="S32" s="56"/>
    </row>
    <row r="33" spans="2:19" x14ac:dyDescent="0.2">
      <c r="B33" s="248"/>
      <c r="C33" s="249"/>
      <c r="D33" s="249"/>
      <c r="E33" s="249"/>
      <c r="F33" s="249"/>
      <c r="G33" s="249"/>
      <c r="H33" s="249"/>
      <c r="I33" s="249"/>
      <c r="J33" s="249"/>
      <c r="K33" s="249"/>
      <c r="L33" s="249"/>
      <c r="M33" s="249"/>
      <c r="N33" s="249"/>
      <c r="O33" s="249"/>
      <c r="P33" s="249"/>
      <c r="Q33" s="249"/>
      <c r="R33" s="250"/>
      <c r="S33" s="56"/>
    </row>
    <row r="34" spans="2:19" ht="15.75" thickBot="1" x14ac:dyDescent="0.25">
      <c r="B34" s="251"/>
      <c r="C34" s="252"/>
      <c r="D34" s="252"/>
      <c r="E34" s="252"/>
      <c r="F34" s="252"/>
      <c r="G34" s="252"/>
      <c r="H34" s="252"/>
      <c r="I34" s="252"/>
      <c r="J34" s="252"/>
      <c r="K34" s="252"/>
      <c r="L34" s="252"/>
      <c r="M34" s="252"/>
      <c r="N34" s="252"/>
      <c r="O34" s="252"/>
      <c r="P34" s="252"/>
      <c r="Q34" s="252"/>
      <c r="R34" s="253"/>
      <c r="S34" s="56"/>
    </row>
    <row r="35" spans="2:19" x14ac:dyDescent="0.2">
      <c r="S35" s="56"/>
    </row>
    <row r="36" spans="2:19" x14ac:dyDescent="0.2">
      <c r="C36" s="192"/>
      <c r="D36" s="193"/>
      <c r="S36" s="56"/>
    </row>
    <row r="37" spans="2:19" x14ac:dyDescent="0.2">
      <c r="C37" s="192"/>
      <c r="D37" s="193"/>
      <c r="S37" s="56"/>
    </row>
    <row r="38" spans="2:19" x14ac:dyDescent="0.2">
      <c r="C38" s="192"/>
      <c r="D38" s="193"/>
      <c r="S38" s="56"/>
    </row>
    <row r="39" spans="2:19" x14ac:dyDescent="0.2">
      <c r="C39" s="192"/>
      <c r="D39" s="193"/>
      <c r="S39" s="56"/>
    </row>
    <row r="40" spans="2:19" x14ac:dyDescent="0.2">
      <c r="C40" s="192"/>
      <c r="D40" s="193"/>
      <c r="S40" s="56"/>
    </row>
    <row r="41" spans="2:19" x14ac:dyDescent="0.2">
      <c r="C41" s="192"/>
      <c r="D41" s="193"/>
      <c r="S41" s="56"/>
    </row>
    <row r="42" spans="2:19" x14ac:dyDescent="0.2">
      <c r="C42" s="192"/>
      <c r="D42" s="193"/>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39:D42">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39" t="s">
        <v>221</v>
      </c>
      <c r="D3" s="239"/>
      <c r="E3" s="239"/>
      <c r="F3" s="239"/>
      <c r="G3" s="239"/>
      <c r="H3" s="239"/>
      <c r="I3" s="239"/>
      <c r="J3" s="239"/>
      <c r="K3" s="239"/>
      <c r="L3" s="239"/>
      <c r="M3" s="240"/>
    </row>
    <row r="4" spans="2:19" ht="15.75" x14ac:dyDescent="0.25">
      <c r="B4" s="105"/>
      <c r="C4" s="78" t="s">
        <v>313</v>
      </c>
      <c r="D4" s="30"/>
      <c r="E4" s="30"/>
      <c r="F4" s="5"/>
      <c r="G4" s="5"/>
      <c r="H4" s="5"/>
      <c r="I4" s="5"/>
      <c r="J4" s="5"/>
      <c r="K4" s="5"/>
      <c r="L4" s="5"/>
      <c r="M4" s="21"/>
    </row>
    <row r="5" spans="2:19" ht="20.25" customHeight="1" x14ac:dyDescent="0.25">
      <c r="B5" s="105"/>
      <c r="C5" s="79" t="s">
        <v>314</v>
      </c>
      <c r="D5" s="106" t="s">
        <v>300</v>
      </c>
      <c r="E5" s="20"/>
      <c r="F5" s="5"/>
      <c r="G5" s="5"/>
      <c r="H5" s="5"/>
      <c r="I5" s="5"/>
      <c r="J5" s="5"/>
      <c r="K5" s="5"/>
      <c r="L5" s="5"/>
      <c r="M5" s="21"/>
    </row>
    <row r="6" spans="2:19" x14ac:dyDescent="0.2">
      <c r="B6" s="105"/>
      <c r="C6" s="5"/>
      <c r="D6" s="5"/>
      <c r="E6" s="5"/>
      <c r="F6" s="5"/>
      <c r="G6" s="5"/>
      <c r="H6" s="5"/>
      <c r="I6" s="5"/>
      <c r="J6" s="5"/>
      <c r="K6" s="5"/>
      <c r="L6" s="5"/>
      <c r="M6" s="21"/>
    </row>
    <row r="7" spans="2:19" ht="15.75" x14ac:dyDescent="0.2">
      <c r="B7" s="105"/>
      <c r="C7" s="107" t="s">
        <v>43</v>
      </c>
      <c r="D7" s="107" t="s">
        <v>45</v>
      </c>
      <c r="E7" s="5"/>
      <c r="F7" s="241" t="s">
        <v>50</v>
      </c>
      <c r="G7" s="241"/>
      <c r="H7" s="241"/>
      <c r="I7" s="241"/>
      <c r="J7" s="241"/>
      <c r="K7" s="241"/>
      <c r="L7" s="241"/>
      <c r="M7" s="242"/>
    </row>
    <row r="8" spans="2:19" x14ac:dyDescent="0.2">
      <c r="B8" s="105"/>
      <c r="C8" s="39" t="s">
        <v>226</v>
      </c>
      <c r="D8" s="227">
        <v>0.34148899999999999</v>
      </c>
      <c r="E8" s="5"/>
      <c r="F8" s="5"/>
      <c r="G8" s="32"/>
      <c r="H8" s="5"/>
      <c r="I8" s="5" t="s">
        <v>51</v>
      </c>
      <c r="J8" s="54">
        <f>D11</f>
        <v>0.80013699999999999</v>
      </c>
      <c r="K8" s="5"/>
      <c r="L8" s="5"/>
      <c r="M8" s="21"/>
      <c r="S8" s="56"/>
    </row>
    <row r="9" spans="2:19" ht="15.75" customHeight="1" x14ac:dyDescent="0.2">
      <c r="B9" s="105"/>
      <c r="C9" s="4" t="s">
        <v>227</v>
      </c>
      <c r="D9" s="200">
        <v>0.309058</v>
      </c>
      <c r="E9" s="5"/>
      <c r="F9" s="5"/>
      <c r="G9" s="5"/>
      <c r="H9" s="5"/>
      <c r="I9" s="5" t="s">
        <v>53</v>
      </c>
      <c r="J9" s="54">
        <f>D14</f>
        <v>0.19731499999999999</v>
      </c>
      <c r="K9" s="5"/>
      <c r="L9" s="5"/>
      <c r="M9" s="21"/>
      <c r="S9" s="56"/>
    </row>
    <row r="10" spans="2:19" x14ac:dyDescent="0.2">
      <c r="B10" s="105"/>
      <c r="C10" s="4" t="s">
        <v>231</v>
      </c>
      <c r="D10" s="200">
        <v>0.14959</v>
      </c>
      <c r="E10" s="5"/>
      <c r="F10" s="5"/>
      <c r="G10" s="5"/>
      <c r="H10" s="5"/>
      <c r="I10" s="5" t="s">
        <v>20</v>
      </c>
      <c r="J10" s="54">
        <f>D16</f>
        <v>2.5479999999999999E-3</v>
      </c>
      <c r="K10" s="5"/>
      <c r="L10" s="5"/>
      <c r="M10" s="21"/>
      <c r="S10" s="56"/>
    </row>
    <row r="11" spans="2:19" ht="15.75" x14ac:dyDescent="0.25">
      <c r="B11" s="105"/>
      <c r="C11" s="7" t="s">
        <v>52</v>
      </c>
      <c r="D11" s="8">
        <f>SUM(D8:D10)</f>
        <v>0.80013699999999999</v>
      </c>
      <c r="E11" s="5"/>
      <c r="F11" s="5"/>
      <c r="G11" s="5"/>
      <c r="H11" s="5"/>
      <c r="K11" s="5"/>
      <c r="L11" s="5"/>
      <c r="M11" s="21"/>
      <c r="S11" s="56"/>
    </row>
    <row r="12" spans="2:19" x14ac:dyDescent="0.2">
      <c r="B12" s="105"/>
      <c r="C12" s="4"/>
      <c r="D12" s="6"/>
      <c r="E12" s="5"/>
      <c r="F12" s="5"/>
      <c r="G12" s="5"/>
      <c r="H12" s="5"/>
      <c r="I12" s="5"/>
      <c r="J12" s="5"/>
      <c r="K12" s="5"/>
      <c r="L12" s="5"/>
      <c r="M12" s="21"/>
      <c r="S12" s="56"/>
    </row>
    <row r="13" spans="2:19" x14ac:dyDescent="0.2">
      <c r="B13" s="105"/>
      <c r="C13" s="4" t="s">
        <v>229</v>
      </c>
      <c r="D13" s="200">
        <v>0.19731499999999999</v>
      </c>
      <c r="E13" s="5"/>
      <c r="F13" s="5"/>
      <c r="G13" s="5"/>
      <c r="H13" s="5"/>
      <c r="I13" s="5"/>
      <c r="J13" s="5"/>
      <c r="K13" s="5"/>
      <c r="L13" s="5"/>
      <c r="M13" s="21"/>
      <c r="S13" s="56"/>
    </row>
    <row r="14" spans="2:19" ht="15.75" x14ac:dyDescent="0.25">
      <c r="B14" s="105"/>
      <c r="C14" s="7" t="s">
        <v>19</v>
      </c>
      <c r="D14" s="8">
        <f>SUM(D13)</f>
        <v>0.19731499999999999</v>
      </c>
      <c r="E14" s="5"/>
      <c r="F14" s="5"/>
      <c r="G14" s="5"/>
      <c r="H14" s="5"/>
      <c r="I14" s="5"/>
      <c r="J14" s="5"/>
      <c r="K14" s="5"/>
      <c r="L14" s="5"/>
      <c r="M14" s="21"/>
      <c r="S14" s="56"/>
    </row>
    <row r="15" spans="2:19" x14ac:dyDescent="0.2">
      <c r="B15" s="105"/>
      <c r="C15" s="4"/>
      <c r="D15" s="6"/>
      <c r="E15" s="5"/>
      <c r="F15" s="5"/>
      <c r="G15" s="5"/>
      <c r="H15" s="5"/>
      <c r="I15" s="5"/>
      <c r="J15" s="5"/>
      <c r="K15" s="5"/>
      <c r="L15" s="5"/>
      <c r="M15" s="21"/>
      <c r="S15" s="56"/>
    </row>
    <row r="16" spans="2:19" ht="15.75" x14ac:dyDescent="0.25">
      <c r="B16" s="105"/>
      <c r="C16" s="7" t="s">
        <v>20</v>
      </c>
      <c r="D16" s="238">
        <v>2.5479999999999999E-3</v>
      </c>
      <c r="E16" s="5"/>
      <c r="F16" s="5"/>
      <c r="G16" s="5"/>
      <c r="H16" s="5"/>
      <c r="I16" s="5"/>
      <c r="J16" s="5"/>
      <c r="K16" s="5"/>
      <c r="L16" s="5"/>
      <c r="M16" s="21"/>
      <c r="S16" s="56"/>
    </row>
    <row r="17" spans="2:19" x14ac:dyDescent="0.2">
      <c r="B17" s="105"/>
      <c r="C17" s="4"/>
      <c r="D17" s="6"/>
      <c r="E17" s="5"/>
      <c r="F17" s="5"/>
      <c r="G17" s="5"/>
      <c r="H17" s="5"/>
      <c r="I17" s="5"/>
      <c r="J17" s="5"/>
      <c r="K17" s="5"/>
      <c r="L17" s="5"/>
      <c r="M17" s="21"/>
      <c r="S17" s="56"/>
    </row>
    <row r="18" spans="2:19" ht="15.75" x14ac:dyDescent="0.25">
      <c r="B18" s="105"/>
      <c r="C18" s="9" t="s">
        <v>54</v>
      </c>
      <c r="D18" s="10">
        <f>D16+D14+D11</f>
        <v>1</v>
      </c>
      <c r="E18" s="5"/>
      <c r="F18" s="5"/>
      <c r="G18" s="5"/>
      <c r="H18" s="5"/>
      <c r="I18" s="5"/>
      <c r="J18" s="5"/>
      <c r="K18" s="5"/>
      <c r="L18" s="5"/>
      <c r="M18" s="21"/>
      <c r="S18" s="56"/>
    </row>
    <row r="19" spans="2:19" x14ac:dyDescent="0.2">
      <c r="B19" s="105"/>
      <c r="E19" s="5"/>
      <c r="F19" s="5"/>
      <c r="G19" s="5"/>
      <c r="H19" s="5"/>
      <c r="I19" s="5"/>
      <c r="J19" s="5"/>
      <c r="K19" s="5"/>
      <c r="L19" s="5"/>
      <c r="M19" s="21"/>
      <c r="S19" s="56"/>
    </row>
    <row r="20" spans="2:19" x14ac:dyDescent="0.2">
      <c r="B20" s="105"/>
      <c r="E20" s="5"/>
      <c r="F20" s="5"/>
      <c r="G20" s="5"/>
      <c r="H20" s="5"/>
      <c r="I20" s="5"/>
      <c r="J20" s="5"/>
      <c r="K20" s="5"/>
      <c r="L20" s="5"/>
      <c r="M20" s="21"/>
      <c r="S20" s="56"/>
    </row>
    <row r="21" spans="2:19" x14ac:dyDescent="0.2">
      <c r="B21" s="105"/>
      <c r="E21" s="5"/>
      <c r="F21" s="5"/>
      <c r="G21" s="5"/>
      <c r="H21" s="5"/>
      <c r="I21" s="5"/>
      <c r="J21" s="5"/>
      <c r="K21" s="5"/>
      <c r="L21" s="5"/>
      <c r="M21" s="21"/>
      <c r="S21" s="56"/>
    </row>
    <row r="22" spans="2:19" ht="16.5" thickBot="1" x14ac:dyDescent="0.3">
      <c r="B22" s="108"/>
      <c r="C22" s="243"/>
      <c r="D22" s="243"/>
      <c r="E22" s="243"/>
      <c r="F22" s="243"/>
      <c r="G22" s="243"/>
      <c r="H22" s="243"/>
      <c r="I22" s="243"/>
      <c r="J22" s="243"/>
      <c r="K22" s="243"/>
      <c r="L22" s="243"/>
      <c r="M22" s="244"/>
      <c r="S22" s="56"/>
    </row>
    <row r="23" spans="2:19" ht="15.75" thickBot="1" x14ac:dyDescent="0.25">
      <c r="S23" s="56"/>
    </row>
    <row r="24" spans="2:19" ht="15" customHeight="1" x14ac:dyDescent="0.2">
      <c r="B24" s="245" t="s">
        <v>234</v>
      </c>
      <c r="C24" s="246"/>
      <c r="D24" s="246"/>
      <c r="E24" s="246"/>
      <c r="F24" s="246"/>
      <c r="G24" s="246"/>
      <c r="H24" s="246"/>
      <c r="I24" s="246"/>
      <c r="J24" s="246"/>
      <c r="K24" s="246"/>
      <c r="L24" s="246"/>
      <c r="M24" s="246"/>
      <c r="N24" s="246"/>
      <c r="O24" s="246"/>
      <c r="P24" s="246"/>
      <c r="Q24" s="246"/>
      <c r="R24" s="247"/>
      <c r="S24" s="56"/>
    </row>
    <row r="25" spans="2:19" x14ac:dyDescent="0.2">
      <c r="B25" s="248"/>
      <c r="C25" s="249"/>
      <c r="D25" s="249"/>
      <c r="E25" s="249"/>
      <c r="F25" s="249"/>
      <c r="G25" s="249"/>
      <c r="H25" s="249"/>
      <c r="I25" s="249"/>
      <c r="J25" s="249"/>
      <c r="K25" s="249"/>
      <c r="L25" s="249"/>
      <c r="M25" s="249"/>
      <c r="N25" s="249"/>
      <c r="O25" s="249"/>
      <c r="P25" s="249"/>
      <c r="Q25" s="249"/>
      <c r="R25" s="250"/>
      <c r="S25" s="56"/>
    </row>
    <row r="26" spans="2:19" x14ac:dyDescent="0.2">
      <c r="B26" s="248"/>
      <c r="C26" s="249"/>
      <c r="D26" s="249"/>
      <c r="E26" s="249"/>
      <c r="F26" s="249"/>
      <c r="G26" s="249"/>
      <c r="H26" s="249"/>
      <c r="I26" s="249"/>
      <c r="J26" s="249"/>
      <c r="K26" s="249"/>
      <c r="L26" s="249"/>
      <c r="M26" s="249"/>
      <c r="N26" s="249"/>
      <c r="O26" s="249"/>
      <c r="P26" s="249"/>
      <c r="Q26" s="249"/>
      <c r="R26" s="250"/>
      <c r="S26" s="56"/>
    </row>
    <row r="27" spans="2:19" x14ac:dyDescent="0.2">
      <c r="B27" s="248"/>
      <c r="C27" s="249"/>
      <c r="D27" s="249"/>
      <c r="E27" s="249"/>
      <c r="F27" s="249"/>
      <c r="G27" s="249"/>
      <c r="H27" s="249"/>
      <c r="I27" s="249"/>
      <c r="J27" s="249"/>
      <c r="K27" s="249"/>
      <c r="L27" s="249"/>
      <c r="M27" s="249"/>
      <c r="N27" s="249"/>
      <c r="O27" s="249"/>
      <c r="P27" s="249"/>
      <c r="Q27" s="249"/>
      <c r="R27" s="250"/>
      <c r="S27" s="56"/>
    </row>
    <row r="28" spans="2:19" x14ac:dyDescent="0.2">
      <c r="B28" s="248"/>
      <c r="C28" s="249"/>
      <c r="D28" s="249"/>
      <c r="E28" s="249"/>
      <c r="F28" s="249"/>
      <c r="G28" s="249"/>
      <c r="H28" s="249"/>
      <c r="I28" s="249"/>
      <c r="J28" s="249"/>
      <c r="K28" s="249"/>
      <c r="L28" s="249"/>
      <c r="M28" s="249"/>
      <c r="N28" s="249"/>
      <c r="O28" s="249"/>
      <c r="P28" s="249"/>
      <c r="Q28" s="249"/>
      <c r="R28" s="250"/>
      <c r="S28" s="56"/>
    </row>
    <row r="29" spans="2:19" x14ac:dyDescent="0.2">
      <c r="B29" s="248"/>
      <c r="C29" s="249"/>
      <c r="D29" s="249"/>
      <c r="E29" s="249"/>
      <c r="F29" s="249"/>
      <c r="G29" s="249"/>
      <c r="H29" s="249"/>
      <c r="I29" s="249"/>
      <c r="J29" s="249"/>
      <c r="K29" s="249"/>
      <c r="L29" s="249"/>
      <c r="M29" s="249"/>
      <c r="N29" s="249"/>
      <c r="O29" s="249"/>
      <c r="P29" s="249"/>
      <c r="Q29" s="249"/>
      <c r="R29" s="250"/>
      <c r="S29" s="56"/>
    </row>
    <row r="30" spans="2:19" ht="15.75" thickBot="1" x14ac:dyDescent="0.25">
      <c r="B30" s="251"/>
      <c r="C30" s="252"/>
      <c r="D30" s="252"/>
      <c r="E30" s="252"/>
      <c r="F30" s="252"/>
      <c r="G30" s="252"/>
      <c r="H30" s="252"/>
      <c r="I30" s="252"/>
      <c r="J30" s="252"/>
      <c r="K30" s="252"/>
      <c r="L30" s="252"/>
      <c r="M30" s="252"/>
      <c r="N30" s="252"/>
      <c r="O30" s="252"/>
      <c r="P30" s="252"/>
      <c r="Q30" s="252"/>
      <c r="R30" s="253"/>
      <c r="S30" s="56"/>
    </row>
    <row r="31" spans="2:19" x14ac:dyDescent="0.2">
      <c r="S31" s="56"/>
    </row>
    <row r="32" spans="2:19" x14ac:dyDescent="0.2">
      <c r="C32" s="192"/>
      <c r="D32" s="193"/>
      <c r="S32" s="56"/>
    </row>
    <row r="33" spans="3:19" x14ac:dyDescent="0.2">
      <c r="C33" s="192"/>
      <c r="D33" s="193"/>
      <c r="S33" s="56"/>
    </row>
    <row r="34" spans="3:19" x14ac:dyDescent="0.2">
      <c r="C34" s="192"/>
      <c r="D34" s="193"/>
      <c r="S34" s="56"/>
    </row>
    <row r="35" spans="3:19" x14ac:dyDescent="0.2">
      <c r="C35" s="192"/>
      <c r="D35" s="193"/>
      <c r="S35" s="56"/>
    </row>
    <row r="36" spans="3:19" x14ac:dyDescent="0.2">
      <c r="C36" s="192"/>
      <c r="D36" s="193"/>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2:D34">
    <sortCondition descending="1" ref="D32"/>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198</v>
      </c>
      <c r="D3" s="254"/>
      <c r="E3" s="254"/>
      <c r="F3" s="254"/>
      <c r="G3" s="254"/>
      <c r="H3" s="254"/>
      <c r="I3" s="254"/>
      <c r="J3" s="254"/>
      <c r="K3" s="254"/>
      <c r="L3" s="254"/>
      <c r="M3" s="254"/>
      <c r="N3" s="254"/>
      <c r="O3" s="254"/>
      <c r="P3" s="254"/>
      <c r="Q3" s="254"/>
      <c r="R3" s="254"/>
      <c r="S3" s="254"/>
      <c r="T3" s="23"/>
    </row>
    <row r="4" spans="1:24" ht="15.75" customHeight="1" x14ac:dyDescent="0.25">
      <c r="B4" s="91"/>
      <c r="C4" s="78" t="s">
        <v>313</v>
      </c>
      <c r="D4" s="30"/>
      <c r="E4" s="30"/>
      <c r="F4" s="30"/>
      <c r="G4" s="30"/>
      <c r="H4" s="30"/>
      <c r="I4" s="30"/>
      <c r="J4" s="30"/>
      <c r="K4" s="30"/>
      <c r="L4" s="30"/>
      <c r="M4" s="30"/>
      <c r="N4" s="30"/>
      <c r="O4" s="30"/>
      <c r="P4" s="30"/>
      <c r="Q4" s="30"/>
      <c r="R4" s="30"/>
      <c r="S4" s="30"/>
      <c r="T4" s="23"/>
    </row>
    <row r="5" spans="1:24" ht="18" customHeight="1" x14ac:dyDescent="0.25">
      <c r="B5" s="91"/>
      <c r="C5" s="79" t="s">
        <v>314</v>
      </c>
      <c r="D5" s="256" t="s">
        <v>290</v>
      </c>
      <c r="E5" s="256"/>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0" t="s">
        <v>29</v>
      </c>
      <c r="D8" s="221" t="s">
        <v>3</v>
      </c>
      <c r="E8" s="222">
        <v>0.13758100000000001</v>
      </c>
      <c r="F8" s="30"/>
      <c r="G8" s="30"/>
      <c r="H8" s="30"/>
      <c r="I8" s="30"/>
      <c r="J8" s="30"/>
      <c r="K8" s="30"/>
      <c r="L8" s="30"/>
      <c r="M8" s="30"/>
      <c r="N8" s="30"/>
      <c r="O8" s="30"/>
      <c r="P8" s="30"/>
      <c r="Q8" s="30"/>
      <c r="R8" s="30"/>
      <c r="S8" s="30"/>
      <c r="T8" s="23"/>
      <c r="W8" s="70" t="s">
        <v>3</v>
      </c>
      <c r="X8" s="72">
        <v>0.313726</v>
      </c>
    </row>
    <row r="9" spans="1:24" ht="15.75" customHeight="1" x14ac:dyDescent="0.25">
      <c r="B9" s="91"/>
      <c r="C9" s="210" t="s">
        <v>31</v>
      </c>
      <c r="D9" s="223" t="s">
        <v>6</v>
      </c>
      <c r="E9" s="224">
        <v>9.5531000000000005E-2</v>
      </c>
      <c r="F9" s="30"/>
      <c r="G9" s="30"/>
      <c r="H9" s="30"/>
      <c r="I9" s="30"/>
      <c r="J9" s="30"/>
      <c r="K9" s="30"/>
      <c r="L9" s="30"/>
      <c r="M9" s="30"/>
      <c r="N9" s="30"/>
      <c r="O9" s="30"/>
      <c r="P9" s="30"/>
      <c r="Q9" s="30"/>
      <c r="R9" s="30"/>
      <c r="S9" s="30"/>
      <c r="T9" s="23"/>
      <c r="W9" s="70" t="s">
        <v>130</v>
      </c>
      <c r="X9" s="72">
        <v>0.136493</v>
      </c>
    </row>
    <row r="10" spans="1:24" ht="15.75" x14ac:dyDescent="0.25">
      <c r="B10" s="91"/>
      <c r="C10" s="210" t="s">
        <v>32</v>
      </c>
      <c r="D10" s="223" t="s">
        <v>3</v>
      </c>
      <c r="E10" s="224">
        <v>7.8690999999999997E-2</v>
      </c>
      <c r="F10" s="30"/>
      <c r="G10" s="30"/>
      <c r="H10" s="30"/>
      <c r="I10" s="30"/>
      <c r="J10" s="30"/>
      <c r="K10" s="30"/>
      <c r="L10" s="30"/>
      <c r="M10" s="30"/>
      <c r="N10" s="30"/>
      <c r="O10" s="30"/>
      <c r="P10" s="30"/>
      <c r="Q10" s="30"/>
      <c r="R10" s="30"/>
      <c r="S10" s="30"/>
      <c r="T10" s="23"/>
      <c r="W10" s="70" t="s">
        <v>6</v>
      </c>
      <c r="X10" s="72">
        <v>9.9345000000000003E-2</v>
      </c>
    </row>
    <row r="11" spans="1:24" ht="15.75" customHeight="1" x14ac:dyDescent="0.25">
      <c r="B11" s="91"/>
      <c r="C11" s="210" t="s">
        <v>28</v>
      </c>
      <c r="D11" s="223" t="s">
        <v>130</v>
      </c>
      <c r="E11" s="224">
        <v>6.0104999999999999E-2</v>
      </c>
      <c r="F11" s="30"/>
      <c r="G11" s="30"/>
      <c r="H11" s="30"/>
      <c r="I11" s="30"/>
      <c r="J11" s="30"/>
      <c r="K11" s="30"/>
      <c r="L11" s="30"/>
      <c r="M11" s="30"/>
      <c r="N11" s="30"/>
      <c r="O11" s="30"/>
      <c r="P11" s="30"/>
      <c r="Q11" s="30"/>
      <c r="R11" s="30"/>
      <c r="S11" s="30"/>
      <c r="T11" s="23"/>
      <c r="W11" s="70" t="s">
        <v>141</v>
      </c>
      <c r="X11" s="72">
        <v>7.1761999999999992E-2</v>
      </c>
    </row>
    <row r="12" spans="1:24" ht="15" customHeight="1" x14ac:dyDescent="0.25">
      <c r="B12" s="91"/>
      <c r="C12" s="210" t="s">
        <v>30</v>
      </c>
      <c r="D12" s="223" t="s">
        <v>141</v>
      </c>
      <c r="E12" s="224">
        <v>4.5520999999999999E-2</v>
      </c>
      <c r="F12" s="30"/>
      <c r="G12" s="30"/>
      <c r="H12" s="30"/>
      <c r="I12" s="30"/>
      <c r="J12" s="30"/>
      <c r="K12" s="30"/>
      <c r="L12" s="30"/>
      <c r="M12" s="30"/>
      <c r="N12" s="30"/>
      <c r="O12" s="30"/>
      <c r="P12" s="30"/>
      <c r="Q12" s="30"/>
      <c r="R12" s="30"/>
      <c r="S12" s="30"/>
      <c r="T12" s="23"/>
      <c r="W12" s="70" t="s">
        <v>136</v>
      </c>
      <c r="X12" s="72">
        <v>6.0489000000000008E-2</v>
      </c>
    </row>
    <row r="13" spans="1:24" ht="15" customHeight="1" x14ac:dyDescent="0.25">
      <c r="B13" s="91"/>
      <c r="C13" s="210" t="s">
        <v>33</v>
      </c>
      <c r="D13" s="223" t="s">
        <v>130</v>
      </c>
      <c r="E13" s="224">
        <v>4.0349999999999997E-2</v>
      </c>
      <c r="F13" s="30"/>
      <c r="G13" s="30"/>
      <c r="H13" s="30"/>
      <c r="I13" s="30"/>
      <c r="J13" s="30"/>
      <c r="K13" s="30"/>
      <c r="L13" s="30"/>
      <c r="M13" s="30"/>
      <c r="N13" s="30"/>
      <c r="O13" s="30"/>
      <c r="P13" s="30"/>
      <c r="Q13" s="30"/>
      <c r="R13" s="30"/>
      <c r="S13" s="30"/>
      <c r="T13" s="23"/>
      <c r="W13" s="70" t="s">
        <v>4</v>
      </c>
      <c r="X13" s="72">
        <v>4.0705000000000005E-2</v>
      </c>
    </row>
    <row r="14" spans="1:24" ht="15" customHeight="1" x14ac:dyDescent="0.25">
      <c r="B14" s="91"/>
      <c r="C14" s="210" t="s">
        <v>34</v>
      </c>
      <c r="D14" s="223" t="s">
        <v>23</v>
      </c>
      <c r="E14" s="224">
        <v>3.8330000000000003E-2</v>
      </c>
      <c r="F14" s="30"/>
      <c r="G14" s="30"/>
      <c r="H14" s="30"/>
      <c r="I14" s="30"/>
      <c r="J14" s="30"/>
      <c r="K14" s="30"/>
      <c r="L14" s="30"/>
      <c r="M14" s="30"/>
      <c r="N14" s="30"/>
      <c r="O14" s="30"/>
      <c r="P14" s="30"/>
      <c r="Q14" s="30"/>
      <c r="R14" s="30"/>
      <c r="S14" s="30"/>
      <c r="T14" s="23"/>
      <c r="W14" s="70" t="s">
        <v>23</v>
      </c>
      <c r="X14" s="72">
        <v>3.8330000000000003E-2</v>
      </c>
    </row>
    <row r="15" spans="1:24" ht="15" customHeight="1" x14ac:dyDescent="0.25">
      <c r="B15" s="91"/>
      <c r="C15" s="210" t="s">
        <v>36</v>
      </c>
      <c r="D15" s="223" t="s">
        <v>3</v>
      </c>
      <c r="E15" s="224">
        <v>3.1303999999999998E-2</v>
      </c>
      <c r="F15" s="30"/>
      <c r="G15" s="30"/>
      <c r="H15" s="30"/>
      <c r="I15" s="30"/>
      <c r="J15" s="30"/>
      <c r="K15" s="30"/>
      <c r="L15" s="30"/>
      <c r="M15" s="30"/>
      <c r="N15" s="30"/>
      <c r="O15" s="30"/>
      <c r="P15" s="30"/>
      <c r="Q15" s="30"/>
      <c r="R15" s="30"/>
      <c r="S15" s="30"/>
      <c r="T15" s="23"/>
      <c r="W15" s="70" t="s">
        <v>135</v>
      </c>
      <c r="X15" s="72">
        <v>3.5192000000000001E-2</v>
      </c>
    </row>
    <row r="16" spans="1:24" ht="15" customHeight="1" x14ac:dyDescent="0.25">
      <c r="B16" s="91"/>
      <c r="C16" s="210" t="s">
        <v>35</v>
      </c>
      <c r="D16" s="223" t="s">
        <v>3</v>
      </c>
      <c r="E16" s="224">
        <v>3.0335000000000001E-2</v>
      </c>
      <c r="F16" s="30"/>
      <c r="G16" s="30"/>
      <c r="H16" s="30"/>
      <c r="I16" s="30"/>
      <c r="J16" s="30"/>
      <c r="K16" s="30"/>
      <c r="L16" s="30"/>
      <c r="M16" s="30"/>
      <c r="N16" s="30"/>
      <c r="O16" s="30"/>
      <c r="P16" s="30"/>
      <c r="Q16" s="30"/>
      <c r="R16" s="30"/>
      <c r="S16" s="30"/>
      <c r="T16" s="23"/>
      <c r="W16" s="70" t="s">
        <v>16</v>
      </c>
      <c r="X16" s="72">
        <v>3.2420000000000004E-2</v>
      </c>
    </row>
    <row r="17" spans="2:24" ht="15" customHeight="1" x14ac:dyDescent="0.25">
      <c r="B17" s="91"/>
      <c r="C17" s="210" t="s">
        <v>37</v>
      </c>
      <c r="D17" s="223" t="s">
        <v>141</v>
      </c>
      <c r="E17" s="224">
        <v>2.6241E-2</v>
      </c>
      <c r="F17" s="30"/>
      <c r="G17" s="30"/>
      <c r="H17" s="30"/>
      <c r="I17" s="30"/>
      <c r="J17" s="30"/>
      <c r="K17" s="30"/>
      <c r="L17" s="30"/>
      <c r="M17" s="30"/>
      <c r="N17" s="30"/>
      <c r="O17" s="30"/>
      <c r="P17" s="30"/>
      <c r="Q17" s="30"/>
      <c r="R17" s="30"/>
      <c r="S17" s="30"/>
      <c r="T17" s="23"/>
      <c r="W17" s="70" t="s">
        <v>12</v>
      </c>
      <c r="X17" s="72">
        <v>2.5232999999999998E-2</v>
      </c>
    </row>
    <row r="18" spans="2:24" ht="15" customHeight="1" x14ac:dyDescent="0.25">
      <c r="B18" s="91"/>
      <c r="C18" s="210" t="s">
        <v>90</v>
      </c>
      <c r="D18" s="223" t="s">
        <v>3</v>
      </c>
      <c r="E18" s="224">
        <v>2.5274999999999999E-2</v>
      </c>
      <c r="F18" s="30"/>
      <c r="G18" s="30"/>
      <c r="H18" s="30"/>
      <c r="I18" s="30"/>
      <c r="J18" s="30"/>
      <c r="K18" s="30"/>
      <c r="L18" s="30"/>
      <c r="M18" s="30"/>
      <c r="N18" s="30"/>
      <c r="O18" s="30"/>
      <c r="P18" s="30"/>
      <c r="Q18" s="30"/>
      <c r="R18" s="30"/>
      <c r="S18" s="30"/>
      <c r="T18" s="23"/>
      <c r="W18" s="70" t="s">
        <v>10</v>
      </c>
      <c r="X18" s="72">
        <v>2.2088E-2</v>
      </c>
    </row>
    <row r="19" spans="2:24" ht="15" customHeight="1" x14ac:dyDescent="0.25">
      <c r="B19" s="91"/>
      <c r="C19" s="210" t="s">
        <v>75</v>
      </c>
      <c r="D19" s="223" t="s">
        <v>12</v>
      </c>
      <c r="E19" s="224">
        <v>2.5232999999999998E-2</v>
      </c>
      <c r="F19" s="30"/>
      <c r="G19" s="30"/>
      <c r="H19" s="30"/>
      <c r="I19" s="30"/>
      <c r="J19" s="30"/>
      <c r="K19" s="30"/>
      <c r="L19" s="30"/>
      <c r="M19" s="30"/>
      <c r="N19" s="30"/>
      <c r="O19" s="30"/>
      <c r="P19" s="30"/>
      <c r="Q19" s="30"/>
      <c r="R19" s="30"/>
      <c r="S19" s="30"/>
      <c r="T19" s="23"/>
      <c r="W19" s="70" t="s">
        <v>11</v>
      </c>
      <c r="X19" s="72">
        <v>2.0355000000000002E-2</v>
      </c>
    </row>
    <row r="20" spans="2:24" ht="15" customHeight="1" x14ac:dyDescent="0.25">
      <c r="B20" s="91"/>
      <c r="C20" s="210" t="s">
        <v>92</v>
      </c>
      <c r="D20" s="223" t="s">
        <v>4</v>
      </c>
      <c r="E20" s="224">
        <v>2.2405000000000001E-2</v>
      </c>
      <c r="F20" s="30"/>
      <c r="G20" s="30"/>
      <c r="H20" s="30"/>
      <c r="I20" s="30"/>
      <c r="J20" s="30"/>
      <c r="K20" s="30"/>
      <c r="L20" s="30"/>
      <c r="M20" s="30"/>
      <c r="N20" s="30"/>
      <c r="O20" s="30"/>
      <c r="P20" s="30"/>
      <c r="Q20" s="30"/>
      <c r="R20" s="30"/>
      <c r="S20" s="30"/>
      <c r="T20" s="23"/>
      <c r="W20" s="70" t="s">
        <v>94</v>
      </c>
      <c r="X20" s="72">
        <v>1.8988999999999999E-2</v>
      </c>
    </row>
    <row r="21" spans="2:24" ht="15" customHeight="1" x14ac:dyDescent="0.25">
      <c r="B21" s="91"/>
      <c r="C21" s="210" t="s">
        <v>191</v>
      </c>
      <c r="D21" s="223" t="s">
        <v>16</v>
      </c>
      <c r="E21" s="224">
        <v>1.7222000000000001E-2</v>
      </c>
      <c r="F21" s="30"/>
      <c r="G21" s="30"/>
      <c r="H21" s="30"/>
      <c r="I21" s="30"/>
      <c r="J21" s="30"/>
      <c r="K21" s="30"/>
      <c r="L21" s="30"/>
      <c r="M21" s="30"/>
      <c r="N21" s="30"/>
      <c r="O21" s="30"/>
      <c r="P21" s="30"/>
      <c r="Q21" s="30"/>
      <c r="R21" s="30"/>
      <c r="S21" s="30"/>
      <c r="T21" s="23"/>
      <c r="W21" s="70" t="s">
        <v>131</v>
      </c>
      <c r="X21" s="72">
        <v>1.5388000000000001E-2</v>
      </c>
    </row>
    <row r="22" spans="2:24" ht="15" customHeight="1" x14ac:dyDescent="0.25">
      <c r="B22" s="91"/>
      <c r="C22" s="210" t="s">
        <v>144</v>
      </c>
      <c r="D22" s="223" t="s">
        <v>136</v>
      </c>
      <c r="E22" s="224">
        <v>1.6549000000000001E-2</v>
      </c>
      <c r="F22" s="30"/>
      <c r="G22" s="30"/>
      <c r="H22" s="30"/>
      <c r="I22" s="30"/>
      <c r="J22" s="30"/>
      <c r="K22" s="30"/>
      <c r="L22" s="30"/>
      <c r="M22" s="30"/>
      <c r="N22" s="30"/>
      <c r="O22" s="30"/>
      <c r="P22" s="30"/>
      <c r="Q22" s="30"/>
      <c r="R22" s="30"/>
      <c r="S22" s="30"/>
      <c r="T22" s="23"/>
      <c r="W22" s="70" t="s">
        <v>97</v>
      </c>
      <c r="X22" s="72">
        <v>1.4960999999999999E-2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156</v>
      </c>
      <c r="X23" s="72">
        <v>8.7360000000000007E-3</v>
      </c>
    </row>
    <row r="24" spans="2:24" ht="15" customHeight="1" x14ac:dyDescent="0.25">
      <c r="B24" s="91"/>
      <c r="C24" s="85" t="s">
        <v>55</v>
      </c>
      <c r="D24" s="86"/>
      <c r="E24" s="96">
        <f>SUM(E8:E22)</f>
        <v>0.69067299999999998</v>
      </c>
      <c r="F24" s="30"/>
      <c r="G24" s="30"/>
      <c r="H24" s="30"/>
      <c r="I24" s="30"/>
      <c r="J24" s="30"/>
      <c r="K24" s="30"/>
      <c r="L24" s="30"/>
      <c r="M24" s="30"/>
      <c r="N24" s="30"/>
      <c r="O24" s="30"/>
      <c r="P24" s="30"/>
      <c r="Q24" s="30"/>
      <c r="R24" s="30"/>
      <c r="S24" s="30"/>
      <c r="T24" s="23"/>
      <c r="W24" s="70" t="s">
        <v>13</v>
      </c>
      <c r="X24" s="72">
        <v>7.9679999999999994E-3</v>
      </c>
    </row>
    <row r="25" spans="2:24" ht="15" customHeight="1" x14ac:dyDescent="0.25">
      <c r="B25" s="91"/>
      <c r="C25" s="30"/>
      <c r="D25" s="30"/>
      <c r="E25" s="30"/>
      <c r="F25" s="30"/>
      <c r="G25" s="30"/>
      <c r="H25" s="30"/>
      <c r="I25" s="30"/>
      <c r="J25" s="30"/>
      <c r="K25" s="30"/>
      <c r="L25" s="30"/>
      <c r="M25" s="30"/>
      <c r="N25" s="30"/>
      <c r="O25" s="30"/>
      <c r="P25" s="30"/>
      <c r="Q25" s="30"/>
      <c r="R25" s="30"/>
      <c r="S25" s="30"/>
      <c r="T25" s="23"/>
      <c r="W25" s="70" t="s">
        <v>15</v>
      </c>
      <c r="X25" s="72">
        <v>7.8810000000000009E-3</v>
      </c>
    </row>
    <row r="26" spans="2:24" ht="15" customHeight="1" x14ac:dyDescent="0.25">
      <c r="B26" s="91"/>
      <c r="C26" s="97"/>
      <c r="D26" s="97"/>
      <c r="E26" s="98"/>
      <c r="F26" s="30"/>
      <c r="G26" s="30"/>
      <c r="H26" s="30"/>
      <c r="I26" s="30"/>
      <c r="J26" s="30"/>
      <c r="K26" s="30"/>
      <c r="L26" s="30"/>
      <c r="M26" s="30"/>
      <c r="N26" s="30"/>
      <c r="O26" s="30"/>
      <c r="P26" s="30"/>
      <c r="Q26" s="30"/>
      <c r="R26" s="30"/>
      <c r="S26" s="30"/>
      <c r="T26" s="23"/>
      <c r="W26" s="70" t="s">
        <v>154</v>
      </c>
      <c r="X26" s="72">
        <v>7.8300000000000002E-3</v>
      </c>
    </row>
    <row r="27" spans="2:24" ht="15" customHeight="1" x14ac:dyDescent="0.25">
      <c r="B27" s="91"/>
      <c r="C27" s="58"/>
      <c r="D27" s="58"/>
      <c r="E27" s="99"/>
      <c r="F27" s="30"/>
      <c r="G27" s="30"/>
      <c r="H27" s="30"/>
      <c r="I27" s="30"/>
      <c r="J27" s="30"/>
      <c r="K27" s="30"/>
      <c r="L27" s="30"/>
      <c r="M27" s="30"/>
      <c r="N27" s="30"/>
      <c r="O27" s="30"/>
      <c r="P27" s="30"/>
      <c r="Q27" s="30"/>
      <c r="R27" s="30"/>
      <c r="S27" s="30"/>
      <c r="T27" s="23"/>
      <c r="W27" s="70" t="s">
        <v>155</v>
      </c>
      <c r="X27" s="72">
        <v>6.1539999999999997E-3</v>
      </c>
    </row>
    <row r="28" spans="2:24" ht="15" customHeight="1" x14ac:dyDescent="0.25">
      <c r="B28" s="91"/>
      <c r="C28" s="97"/>
      <c r="D28" s="100"/>
      <c r="E28" s="101"/>
      <c r="F28" s="30"/>
      <c r="G28" s="30"/>
      <c r="H28" s="30"/>
      <c r="I28" s="30"/>
      <c r="J28" s="30"/>
      <c r="K28" s="30"/>
      <c r="L28" s="30"/>
      <c r="M28" s="30"/>
      <c r="N28" s="30"/>
      <c r="O28" s="30"/>
      <c r="P28" s="30"/>
      <c r="Q28" s="30"/>
      <c r="R28" s="30"/>
      <c r="S28" s="30"/>
      <c r="T28" s="23"/>
      <c r="W28" s="70" t="s">
        <v>139</v>
      </c>
      <c r="X28" s="72">
        <v>5.8199999999999997E-3</v>
      </c>
    </row>
    <row r="29" spans="2:24" ht="15" customHeight="1" x14ac:dyDescent="0.25">
      <c r="B29" s="91"/>
      <c r="C29" s="58"/>
      <c r="D29" s="58"/>
      <c r="E29" s="58"/>
      <c r="F29" s="30"/>
      <c r="G29" s="30"/>
      <c r="H29" s="30"/>
      <c r="I29" s="30"/>
      <c r="J29" s="30"/>
      <c r="K29" s="30"/>
      <c r="L29" s="30"/>
      <c r="M29" s="30"/>
      <c r="N29" s="30"/>
      <c r="O29" s="30"/>
      <c r="P29" s="30"/>
      <c r="Q29" s="30"/>
      <c r="R29" s="30"/>
      <c r="S29" s="30"/>
      <c r="T29" s="23"/>
      <c r="W29" s="70" t="s">
        <v>87</v>
      </c>
      <c r="X29" s="72">
        <v>5.6849999999999999E-3</v>
      </c>
    </row>
    <row r="30" spans="2:24" ht="15" customHeight="1" x14ac:dyDescent="0.25">
      <c r="B30" s="91"/>
      <c r="C30" s="97"/>
      <c r="D30" s="100"/>
      <c r="E30" s="98"/>
      <c r="F30" s="30"/>
      <c r="G30" s="30"/>
      <c r="H30" s="30"/>
      <c r="I30" s="30"/>
      <c r="J30" s="30"/>
      <c r="K30" s="30"/>
      <c r="L30" s="30"/>
      <c r="M30" s="30"/>
      <c r="N30" s="30"/>
      <c r="O30" s="30"/>
      <c r="P30" s="30"/>
      <c r="Q30" s="30"/>
      <c r="R30" s="30"/>
      <c r="S30" s="30"/>
      <c r="T30" s="23"/>
      <c r="W30" s="70" t="s">
        <v>142</v>
      </c>
      <c r="X30" s="72">
        <v>3.4880000000000002E-3</v>
      </c>
    </row>
    <row r="31" spans="2:24" ht="15" customHeight="1" thickBot="1" x14ac:dyDescent="0.3">
      <c r="B31" s="92"/>
      <c r="C31" s="93"/>
      <c r="D31" s="93"/>
      <c r="E31" s="93"/>
      <c r="F31" s="93"/>
      <c r="G31" s="93"/>
      <c r="H31" s="93"/>
      <c r="I31" s="93"/>
      <c r="J31" s="93"/>
      <c r="K31" s="93"/>
      <c r="L31" s="93"/>
      <c r="M31" s="93"/>
      <c r="N31" s="93"/>
      <c r="O31" s="93"/>
      <c r="P31" s="93"/>
      <c r="Q31" s="93"/>
      <c r="R31" s="93"/>
      <c r="S31" s="93"/>
      <c r="T31" s="24"/>
    </row>
    <row r="32" spans="2:24" ht="15" customHeight="1" thickBot="1" x14ac:dyDescent="0.3"/>
    <row r="33" spans="2:18" ht="15" customHeight="1" x14ac:dyDescent="0.25">
      <c r="B33" s="245" t="s">
        <v>234</v>
      </c>
      <c r="C33" s="246"/>
      <c r="D33" s="246"/>
      <c r="E33" s="246"/>
      <c r="F33" s="246"/>
      <c r="G33" s="246"/>
      <c r="H33" s="246"/>
      <c r="I33" s="246"/>
      <c r="J33" s="246"/>
      <c r="K33" s="246"/>
      <c r="L33" s="246"/>
      <c r="M33" s="246"/>
      <c r="N33" s="246"/>
      <c r="O33" s="246"/>
      <c r="P33" s="246"/>
      <c r="Q33" s="246"/>
      <c r="R33" s="247"/>
    </row>
    <row r="34" spans="2:18" ht="15" customHeight="1" x14ac:dyDescent="0.25">
      <c r="B34" s="248"/>
      <c r="C34" s="249"/>
      <c r="D34" s="249"/>
      <c r="E34" s="249"/>
      <c r="F34" s="249"/>
      <c r="G34" s="249"/>
      <c r="H34" s="249"/>
      <c r="I34" s="249"/>
      <c r="J34" s="249"/>
      <c r="K34" s="249"/>
      <c r="L34" s="249"/>
      <c r="M34" s="249"/>
      <c r="N34" s="249"/>
      <c r="O34" s="249"/>
      <c r="P34" s="249"/>
      <c r="Q34" s="249"/>
      <c r="R34" s="250"/>
    </row>
    <row r="35" spans="2:18" ht="15" customHeight="1" x14ac:dyDescent="0.25">
      <c r="B35" s="248"/>
      <c r="C35" s="249"/>
      <c r="D35" s="249"/>
      <c r="E35" s="249"/>
      <c r="F35" s="249"/>
      <c r="G35" s="249"/>
      <c r="H35" s="249"/>
      <c r="I35" s="249"/>
      <c r="J35" s="249"/>
      <c r="K35" s="249"/>
      <c r="L35" s="249"/>
      <c r="M35" s="249"/>
      <c r="N35" s="249"/>
      <c r="O35" s="249"/>
      <c r="P35" s="249"/>
      <c r="Q35" s="249"/>
      <c r="R35" s="250"/>
    </row>
    <row r="36" spans="2:18" ht="15" customHeight="1" x14ac:dyDescent="0.25">
      <c r="B36" s="248"/>
      <c r="C36" s="249"/>
      <c r="D36" s="249"/>
      <c r="E36" s="249"/>
      <c r="F36" s="249"/>
      <c r="G36" s="249"/>
      <c r="H36" s="249"/>
      <c r="I36" s="249"/>
      <c r="J36" s="249"/>
      <c r="K36" s="249"/>
      <c r="L36" s="249"/>
      <c r="M36" s="249"/>
      <c r="N36" s="249"/>
      <c r="O36" s="249"/>
      <c r="P36" s="249"/>
      <c r="Q36" s="249"/>
      <c r="R36" s="250"/>
    </row>
    <row r="37" spans="2:18" ht="15" customHeight="1" x14ac:dyDescent="0.25">
      <c r="B37" s="248"/>
      <c r="C37" s="249"/>
      <c r="D37" s="249"/>
      <c r="E37" s="249"/>
      <c r="F37" s="249"/>
      <c r="G37" s="249"/>
      <c r="H37" s="249"/>
      <c r="I37" s="249"/>
      <c r="J37" s="249"/>
      <c r="K37" s="249"/>
      <c r="L37" s="249"/>
      <c r="M37" s="249"/>
      <c r="N37" s="249"/>
      <c r="O37" s="249"/>
      <c r="P37" s="249"/>
      <c r="Q37" s="249"/>
      <c r="R37" s="250"/>
    </row>
    <row r="38" spans="2:18" ht="15" customHeight="1" x14ac:dyDescent="0.25">
      <c r="B38" s="248"/>
      <c r="C38" s="249"/>
      <c r="D38" s="249"/>
      <c r="E38" s="249"/>
      <c r="F38" s="249"/>
      <c r="G38" s="249"/>
      <c r="H38" s="249"/>
      <c r="I38" s="249"/>
      <c r="J38" s="249"/>
      <c r="K38" s="249"/>
      <c r="L38" s="249"/>
      <c r="M38" s="249"/>
      <c r="N38" s="249"/>
      <c r="O38" s="249"/>
      <c r="P38" s="249"/>
      <c r="Q38" s="249"/>
      <c r="R38" s="250"/>
    </row>
    <row r="39" spans="2:18" ht="15" customHeight="1" thickBot="1" x14ac:dyDescent="0.3">
      <c r="B39" s="251"/>
      <c r="C39" s="252"/>
      <c r="D39" s="252"/>
      <c r="E39" s="252"/>
      <c r="F39" s="252"/>
      <c r="G39" s="252"/>
      <c r="H39" s="252"/>
      <c r="I39" s="252"/>
      <c r="J39" s="252"/>
      <c r="K39" s="252"/>
      <c r="L39" s="252"/>
      <c r="M39" s="252"/>
      <c r="N39" s="252"/>
      <c r="O39" s="252"/>
      <c r="P39" s="252"/>
      <c r="Q39" s="252"/>
      <c r="R39" s="25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topLeftCell="D1" zoomScale="75" zoomScaleNormal="75" workbookViewId="0">
      <selection activeCell="X8" sqref="X8:X21"/>
    </sheetView>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197</v>
      </c>
      <c r="D3" s="255"/>
      <c r="E3" s="255"/>
      <c r="F3" s="255"/>
      <c r="G3" s="255"/>
      <c r="H3" s="255"/>
      <c r="I3" s="255"/>
      <c r="J3" s="255"/>
      <c r="K3" s="255"/>
      <c r="L3" s="255"/>
      <c r="M3" s="255"/>
      <c r="N3" s="255"/>
      <c r="O3" s="255"/>
      <c r="P3" s="255"/>
      <c r="Q3" s="255"/>
      <c r="R3" s="255"/>
      <c r="S3" s="255"/>
      <c r="T3" s="23"/>
    </row>
    <row r="4" spans="1:24" ht="15.75" customHeight="1" x14ac:dyDescent="0.25">
      <c r="B4" s="91"/>
      <c r="C4" s="78" t="s">
        <v>313</v>
      </c>
      <c r="D4" s="30"/>
      <c r="E4" s="30"/>
      <c r="F4" s="30"/>
      <c r="G4" s="30"/>
      <c r="H4" s="30"/>
      <c r="I4" s="30"/>
      <c r="J4" s="30"/>
      <c r="K4" s="30"/>
      <c r="L4" s="30"/>
      <c r="M4" s="30"/>
      <c r="N4" s="30"/>
      <c r="O4" s="30"/>
      <c r="P4" s="30"/>
      <c r="Q4" s="30"/>
      <c r="R4" s="30"/>
      <c r="S4" s="30"/>
      <c r="T4" s="23"/>
    </row>
    <row r="5" spans="1:24" ht="18" customHeight="1" x14ac:dyDescent="0.25">
      <c r="B5" s="91"/>
      <c r="C5" s="79" t="s">
        <v>314</v>
      </c>
      <c r="D5" s="258" t="s">
        <v>291</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0" t="s">
        <v>29</v>
      </c>
      <c r="D8" s="221" t="s">
        <v>3</v>
      </c>
      <c r="E8" s="222">
        <v>0.154</v>
      </c>
      <c r="F8" s="30"/>
      <c r="G8" s="30"/>
      <c r="H8" s="30"/>
      <c r="I8" s="30"/>
      <c r="J8" s="30"/>
      <c r="K8" s="30"/>
      <c r="L8" s="30"/>
      <c r="M8" s="30"/>
      <c r="N8" s="30"/>
      <c r="O8" s="30"/>
      <c r="P8" s="30"/>
      <c r="Q8" s="30"/>
      <c r="R8" s="30"/>
      <c r="S8" s="30"/>
      <c r="T8" s="23"/>
      <c r="W8" s="63" t="s">
        <v>3</v>
      </c>
      <c r="X8" s="64">
        <v>0.35643999999999998</v>
      </c>
    </row>
    <row r="9" spans="1:24" ht="15.75" customHeight="1" x14ac:dyDescent="0.25">
      <c r="B9" s="91"/>
      <c r="C9" s="210" t="s">
        <v>31</v>
      </c>
      <c r="D9" s="223" t="s">
        <v>6</v>
      </c>
      <c r="E9" s="224">
        <v>0.11269800000000001</v>
      </c>
      <c r="F9" s="30"/>
      <c r="G9" s="30"/>
      <c r="H9" s="30"/>
      <c r="I9" s="30"/>
      <c r="J9" s="30"/>
      <c r="K9" s="30"/>
      <c r="L9" s="30"/>
      <c r="M9" s="30"/>
      <c r="N9" s="30"/>
      <c r="O9" s="30"/>
      <c r="P9" s="30"/>
      <c r="Q9" s="30"/>
      <c r="R9" s="30"/>
      <c r="S9" s="30"/>
      <c r="T9" s="23"/>
      <c r="W9" s="63" t="s">
        <v>130</v>
      </c>
      <c r="X9" s="64">
        <v>0.15236800000000003</v>
      </c>
    </row>
    <row r="10" spans="1:24" ht="15.75" x14ac:dyDescent="0.25">
      <c r="B10" s="91"/>
      <c r="C10" s="210" t="s">
        <v>32</v>
      </c>
      <c r="D10" s="223" t="s">
        <v>3</v>
      </c>
      <c r="E10" s="224">
        <v>9.0913999999999995E-2</v>
      </c>
      <c r="F10" s="30"/>
      <c r="G10" s="30"/>
      <c r="H10" s="30"/>
      <c r="I10" s="30"/>
      <c r="J10" s="30"/>
      <c r="K10" s="30"/>
      <c r="L10" s="30"/>
      <c r="M10" s="30"/>
      <c r="N10" s="30"/>
      <c r="O10" s="30"/>
      <c r="P10" s="30"/>
      <c r="Q10" s="30"/>
      <c r="R10" s="30"/>
      <c r="S10" s="30"/>
      <c r="T10" s="23"/>
      <c r="W10" s="63" t="s">
        <v>6</v>
      </c>
      <c r="X10" s="64">
        <v>0.11269800000000001</v>
      </c>
    </row>
    <row r="11" spans="1:24" ht="15.75" customHeight="1" x14ac:dyDescent="0.25">
      <c r="B11" s="91"/>
      <c r="C11" s="210" t="s">
        <v>28</v>
      </c>
      <c r="D11" s="223" t="s">
        <v>130</v>
      </c>
      <c r="E11" s="224">
        <v>7.0248000000000005E-2</v>
      </c>
      <c r="F11" s="30"/>
      <c r="G11" s="30"/>
      <c r="H11" s="30"/>
      <c r="I11" s="30"/>
      <c r="J11" s="30"/>
      <c r="K11" s="30"/>
      <c r="L11" s="30"/>
      <c r="M11" s="30"/>
      <c r="N11" s="30"/>
      <c r="O11" s="30"/>
      <c r="P11" s="30"/>
      <c r="Q11" s="30"/>
      <c r="R11" s="30"/>
      <c r="S11" s="30"/>
      <c r="T11" s="23"/>
      <c r="W11" s="63" t="s">
        <v>141</v>
      </c>
      <c r="X11" s="64">
        <v>8.3072000000000007E-2</v>
      </c>
    </row>
    <row r="12" spans="1:24" ht="15" customHeight="1" x14ac:dyDescent="0.25">
      <c r="B12" s="91"/>
      <c r="C12" s="210" t="s">
        <v>30</v>
      </c>
      <c r="D12" s="223" t="s">
        <v>141</v>
      </c>
      <c r="E12" s="224">
        <v>5.2663000000000001E-2</v>
      </c>
      <c r="F12" s="30"/>
      <c r="G12" s="30"/>
      <c r="H12" s="30"/>
      <c r="I12" s="30"/>
      <c r="J12" s="30"/>
      <c r="K12" s="30"/>
      <c r="L12" s="30"/>
      <c r="M12" s="30"/>
      <c r="N12" s="30"/>
      <c r="O12" s="30"/>
      <c r="P12" s="30"/>
      <c r="Q12" s="30"/>
      <c r="R12" s="30"/>
      <c r="S12" s="30"/>
      <c r="T12" s="23"/>
      <c r="W12" s="63" t="s">
        <v>136</v>
      </c>
      <c r="X12" s="64">
        <v>5.3322999999999995E-2</v>
      </c>
    </row>
    <row r="13" spans="1:24" ht="15" customHeight="1" x14ac:dyDescent="0.25">
      <c r="B13" s="91"/>
      <c r="C13" s="210" t="s">
        <v>33</v>
      </c>
      <c r="D13" s="223" t="s">
        <v>130</v>
      </c>
      <c r="E13" s="224">
        <v>4.6637999999999999E-2</v>
      </c>
      <c r="F13" s="30"/>
      <c r="G13" s="30"/>
      <c r="H13" s="30"/>
      <c r="I13" s="30"/>
      <c r="J13" s="30"/>
      <c r="K13" s="30"/>
      <c r="L13" s="30"/>
      <c r="M13" s="30"/>
      <c r="N13" s="30"/>
      <c r="O13" s="30"/>
      <c r="P13" s="30"/>
      <c r="Q13" s="30"/>
      <c r="R13" s="30"/>
      <c r="S13" s="30"/>
      <c r="T13" s="23"/>
      <c r="W13" s="63" t="s">
        <v>23</v>
      </c>
      <c r="X13" s="64">
        <v>4.4276000000000003E-2</v>
      </c>
    </row>
    <row r="14" spans="1:24" ht="15" customHeight="1" x14ac:dyDescent="0.25">
      <c r="B14" s="91"/>
      <c r="C14" s="210" t="s">
        <v>34</v>
      </c>
      <c r="D14" s="223" t="s">
        <v>23</v>
      </c>
      <c r="E14" s="224">
        <v>4.4276000000000003E-2</v>
      </c>
      <c r="F14" s="30"/>
      <c r="G14" s="30"/>
      <c r="H14" s="30"/>
      <c r="I14" s="30"/>
      <c r="J14" s="30"/>
      <c r="K14" s="30"/>
      <c r="L14" s="30"/>
      <c r="M14" s="30"/>
      <c r="N14" s="30"/>
      <c r="O14" s="30"/>
      <c r="P14" s="30"/>
      <c r="Q14" s="30"/>
      <c r="R14" s="30"/>
      <c r="S14" s="30"/>
      <c r="T14" s="23"/>
      <c r="W14" s="63" t="s">
        <v>4</v>
      </c>
      <c r="X14" s="64">
        <v>3.8364999999999996E-2</v>
      </c>
    </row>
    <row r="15" spans="1:24" ht="15" customHeight="1" x14ac:dyDescent="0.25">
      <c r="B15" s="91"/>
      <c r="C15" s="210" t="s">
        <v>36</v>
      </c>
      <c r="D15" s="223" t="s">
        <v>3</v>
      </c>
      <c r="E15" s="224">
        <v>3.6584999999999999E-2</v>
      </c>
      <c r="F15" s="30"/>
      <c r="G15" s="30"/>
      <c r="H15" s="30"/>
      <c r="I15" s="30"/>
      <c r="J15" s="30"/>
      <c r="K15" s="30"/>
      <c r="L15" s="30"/>
      <c r="M15" s="30"/>
      <c r="N15" s="30"/>
      <c r="O15" s="30"/>
      <c r="P15" s="30"/>
      <c r="Q15" s="30"/>
      <c r="R15" s="30"/>
      <c r="S15" s="30"/>
      <c r="T15" s="23"/>
      <c r="W15" s="63" t="s">
        <v>16</v>
      </c>
      <c r="X15" s="64">
        <v>3.7322000000000001E-2</v>
      </c>
    </row>
    <row r="16" spans="1:24" ht="15" customHeight="1" x14ac:dyDescent="0.25">
      <c r="B16" s="91"/>
      <c r="C16" s="210" t="s">
        <v>35</v>
      </c>
      <c r="D16" s="223" t="s">
        <v>3</v>
      </c>
      <c r="E16" s="224">
        <v>3.4223000000000003E-2</v>
      </c>
      <c r="F16" s="30"/>
      <c r="G16" s="30"/>
      <c r="H16" s="30"/>
      <c r="I16" s="30"/>
      <c r="J16" s="30"/>
      <c r="K16" s="30"/>
      <c r="L16" s="30"/>
      <c r="M16" s="30"/>
      <c r="N16" s="30"/>
      <c r="O16" s="30"/>
      <c r="P16" s="30"/>
      <c r="Q16" s="30"/>
      <c r="R16" s="30"/>
      <c r="S16" s="30"/>
      <c r="T16" s="23"/>
      <c r="W16" s="63" t="s">
        <v>12</v>
      </c>
      <c r="X16" s="64">
        <v>2.8566999999999999E-2</v>
      </c>
    </row>
    <row r="17" spans="2:24" ht="15" customHeight="1" x14ac:dyDescent="0.25">
      <c r="B17" s="91"/>
      <c r="C17" s="210" t="s">
        <v>37</v>
      </c>
      <c r="D17" s="223" t="s">
        <v>141</v>
      </c>
      <c r="E17" s="224">
        <v>3.0408999999999999E-2</v>
      </c>
      <c r="F17" s="30"/>
      <c r="G17" s="30"/>
      <c r="H17" s="30"/>
      <c r="I17" s="30"/>
      <c r="J17" s="30"/>
      <c r="K17" s="30"/>
      <c r="L17" s="30"/>
      <c r="M17" s="30"/>
      <c r="N17" s="30"/>
      <c r="O17" s="30"/>
      <c r="P17" s="30"/>
      <c r="Q17" s="30"/>
      <c r="R17" s="30"/>
      <c r="S17" s="30"/>
      <c r="T17" s="23"/>
      <c r="W17" s="63" t="s">
        <v>10</v>
      </c>
      <c r="X17" s="64">
        <v>2.5543999999999997E-2</v>
      </c>
    </row>
    <row r="18" spans="2:24" ht="15" customHeight="1" x14ac:dyDescent="0.25">
      <c r="B18" s="91"/>
      <c r="C18" s="210" t="s">
        <v>75</v>
      </c>
      <c r="D18" s="223" t="s">
        <v>12</v>
      </c>
      <c r="E18" s="224">
        <v>2.8566999999999999E-2</v>
      </c>
      <c r="F18" s="30"/>
      <c r="G18" s="30"/>
      <c r="H18" s="30"/>
      <c r="I18" s="30"/>
      <c r="J18" s="30"/>
      <c r="K18" s="30"/>
      <c r="L18" s="30"/>
      <c r="M18" s="30"/>
      <c r="N18" s="30"/>
      <c r="O18" s="30"/>
      <c r="P18" s="30"/>
      <c r="Q18" s="30"/>
      <c r="R18" s="30"/>
      <c r="S18" s="30"/>
      <c r="T18" s="23"/>
      <c r="W18" s="63" t="s">
        <v>11</v>
      </c>
      <c r="X18" s="64">
        <v>2.3420000000000003E-2</v>
      </c>
    </row>
    <row r="19" spans="2:24" ht="15" customHeight="1" x14ac:dyDescent="0.25">
      <c r="B19" s="91"/>
      <c r="C19" s="210" t="s">
        <v>90</v>
      </c>
      <c r="D19" s="223" t="s">
        <v>3</v>
      </c>
      <c r="E19" s="224">
        <v>2.8534E-2</v>
      </c>
      <c r="F19" s="30"/>
      <c r="G19" s="30"/>
      <c r="H19" s="30"/>
      <c r="I19" s="30"/>
      <c r="J19" s="30"/>
      <c r="K19" s="30"/>
      <c r="L19" s="30"/>
      <c r="M19" s="30"/>
      <c r="N19" s="30"/>
      <c r="O19" s="30"/>
      <c r="P19" s="30"/>
      <c r="Q19" s="30"/>
      <c r="R19" s="30"/>
      <c r="S19" s="30"/>
      <c r="T19" s="23"/>
      <c r="W19" s="63" t="s">
        <v>135</v>
      </c>
      <c r="X19" s="64">
        <v>1.6253E-2</v>
      </c>
    </row>
    <row r="20" spans="2:24" ht="15" customHeight="1" x14ac:dyDescent="0.25">
      <c r="B20" s="91"/>
      <c r="C20" s="210" t="s">
        <v>92</v>
      </c>
      <c r="D20" s="223" t="s">
        <v>4</v>
      </c>
      <c r="E20" s="224">
        <v>2.5807E-2</v>
      </c>
      <c r="F20" s="30"/>
      <c r="G20" s="30"/>
      <c r="H20" s="30"/>
      <c r="I20" s="30"/>
      <c r="J20" s="30"/>
      <c r="K20" s="30"/>
      <c r="L20" s="30"/>
      <c r="M20" s="30"/>
      <c r="N20" s="30"/>
      <c r="O20" s="30"/>
      <c r="P20" s="30"/>
      <c r="Q20" s="30"/>
      <c r="R20" s="30"/>
      <c r="S20" s="30"/>
      <c r="T20" s="23"/>
      <c r="W20" s="63" t="s">
        <v>94</v>
      </c>
      <c r="X20" s="64">
        <v>1.2834999999999999E-2</v>
      </c>
    </row>
    <row r="21" spans="2:24" ht="15" customHeight="1" x14ac:dyDescent="0.25">
      <c r="B21" s="91"/>
      <c r="C21" s="210" t="s">
        <v>144</v>
      </c>
      <c r="D21" s="223" t="s">
        <v>136</v>
      </c>
      <c r="E21" s="224">
        <v>2.0435999999999999E-2</v>
      </c>
      <c r="F21" s="30"/>
      <c r="G21" s="30"/>
      <c r="H21" s="30"/>
      <c r="I21" s="30"/>
      <c r="J21" s="30"/>
      <c r="K21" s="30"/>
      <c r="L21" s="30"/>
      <c r="M21" s="30"/>
      <c r="N21" s="30"/>
      <c r="O21" s="30"/>
      <c r="P21" s="30"/>
      <c r="Q21" s="30"/>
      <c r="R21" s="30"/>
      <c r="S21" s="30"/>
      <c r="T21" s="23"/>
      <c r="W21" s="63" t="s">
        <v>131</v>
      </c>
      <c r="X21" s="64">
        <v>1.1316E-2</v>
      </c>
    </row>
    <row r="22" spans="2:24" ht="15" customHeight="1" x14ac:dyDescent="0.25">
      <c r="B22" s="91"/>
      <c r="C22" s="210" t="s">
        <v>191</v>
      </c>
      <c r="D22" s="223" t="s">
        <v>16</v>
      </c>
      <c r="E22" s="224">
        <v>1.9736E-2</v>
      </c>
      <c r="F22" s="30"/>
      <c r="G22" s="30"/>
      <c r="H22" s="30"/>
      <c r="I22" s="30"/>
      <c r="J22" s="30"/>
      <c r="K22" s="30"/>
      <c r="L22" s="30"/>
      <c r="M22" s="30"/>
      <c r="N22" s="30"/>
      <c r="O22" s="30"/>
      <c r="P22" s="30"/>
      <c r="Q22" s="30"/>
      <c r="R22" s="30"/>
      <c r="S22" s="30"/>
      <c r="T22" s="23"/>
    </row>
    <row r="23" spans="2:24" ht="15" customHeight="1" x14ac:dyDescent="0.25">
      <c r="B23" s="91"/>
      <c r="C23" s="83"/>
      <c r="D23" s="83"/>
      <c r="E23" s="84"/>
      <c r="F23" s="30"/>
      <c r="G23" s="30"/>
      <c r="H23" s="30"/>
      <c r="I23" s="30"/>
      <c r="J23" s="30"/>
      <c r="K23" s="30"/>
      <c r="L23" s="30"/>
      <c r="M23" s="30"/>
      <c r="N23" s="30"/>
      <c r="O23" s="30"/>
      <c r="P23" s="30"/>
      <c r="Q23" s="30"/>
      <c r="R23" s="30"/>
      <c r="S23" s="30"/>
      <c r="T23" s="23"/>
      <c r="W23" s="63"/>
      <c r="X23" s="64"/>
    </row>
    <row r="24" spans="2:24" ht="15" customHeight="1" x14ac:dyDescent="0.25">
      <c r="B24" s="91"/>
      <c r="C24" s="85" t="s">
        <v>55</v>
      </c>
      <c r="D24" s="86"/>
      <c r="E24" s="87">
        <f>SUM(E8:E22)</f>
        <v>0.79573399999999994</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63"/>
      <c r="X27" s="64"/>
    </row>
    <row r="28" spans="2:24" ht="15" customHeight="1" x14ac:dyDescent="0.25">
      <c r="B28" s="91"/>
      <c r="F28" s="30"/>
      <c r="G28" s="30"/>
      <c r="H28" s="30"/>
      <c r="I28" s="30"/>
      <c r="J28" s="30"/>
      <c r="K28" s="30"/>
      <c r="L28" s="30"/>
      <c r="M28" s="30"/>
      <c r="N28" s="30"/>
      <c r="O28" s="30"/>
      <c r="P28" s="30"/>
      <c r="Q28" s="30"/>
      <c r="R28" s="30"/>
      <c r="S28" s="30"/>
      <c r="T28" s="23"/>
      <c r="W28" s="63"/>
      <c r="X28" s="64"/>
    </row>
    <row r="29" spans="2:24" ht="15" customHeight="1" x14ac:dyDescent="0.25">
      <c r="B29" s="91"/>
      <c r="F29" s="30"/>
      <c r="G29" s="30"/>
      <c r="H29" s="30"/>
      <c r="I29" s="30"/>
      <c r="J29" s="30"/>
      <c r="K29" s="30"/>
      <c r="L29" s="30"/>
      <c r="M29" s="30"/>
      <c r="N29" s="30"/>
      <c r="O29" s="30"/>
      <c r="P29" s="30"/>
      <c r="Q29" s="30"/>
      <c r="R29" s="30"/>
      <c r="S29" s="30"/>
      <c r="T29" s="23"/>
      <c r="W29" s="63"/>
      <c r="X29" s="64"/>
    </row>
    <row r="30" spans="2:24" ht="15" customHeight="1" x14ac:dyDescent="0.25">
      <c r="B30" s="91"/>
      <c r="F30" s="30"/>
      <c r="G30" s="30"/>
      <c r="H30" s="30"/>
      <c r="I30" s="30"/>
      <c r="J30" s="30"/>
      <c r="K30" s="30"/>
      <c r="L30" s="30"/>
      <c r="M30" s="30"/>
      <c r="N30" s="30"/>
      <c r="O30" s="30"/>
      <c r="P30" s="30"/>
      <c r="Q30" s="30"/>
      <c r="R30" s="30"/>
      <c r="S30" s="30"/>
      <c r="T30" s="23"/>
      <c r="W30" s="63"/>
      <c r="X30" s="64"/>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63"/>
      <c r="X34" s="64"/>
    </row>
    <row r="35" spans="2:24" ht="15" customHeight="1" x14ac:dyDescent="0.25">
      <c r="B35" s="91"/>
      <c r="F35" s="30"/>
      <c r="G35" s="30"/>
      <c r="H35" s="30"/>
      <c r="I35" s="30"/>
      <c r="J35" s="30"/>
      <c r="K35" s="30"/>
      <c r="L35" s="30"/>
      <c r="M35" s="30"/>
      <c r="N35" s="30"/>
      <c r="O35" s="30"/>
      <c r="P35" s="30"/>
      <c r="Q35" s="30"/>
      <c r="R35" s="30"/>
      <c r="S35" s="30"/>
      <c r="T35" s="23"/>
      <c r="W35" s="63"/>
      <c r="X35" s="64"/>
    </row>
    <row r="36" spans="2:24" ht="15" customHeight="1" x14ac:dyDescent="0.25">
      <c r="B36" s="91"/>
      <c r="F36" s="30"/>
      <c r="G36" s="30"/>
      <c r="H36" s="30"/>
      <c r="I36" s="30"/>
      <c r="J36" s="30"/>
      <c r="K36" s="30"/>
      <c r="L36" s="30"/>
      <c r="M36" s="30"/>
      <c r="N36" s="30"/>
      <c r="O36" s="30"/>
      <c r="P36" s="30"/>
      <c r="Q36" s="30"/>
      <c r="R36" s="30"/>
      <c r="S36" s="30"/>
      <c r="T36" s="23"/>
      <c r="W36" s="63"/>
      <c r="X36" s="64"/>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5" t="s">
        <v>234</v>
      </c>
      <c r="C39" s="246"/>
      <c r="D39" s="246"/>
      <c r="E39" s="246"/>
      <c r="F39" s="246"/>
      <c r="G39" s="246"/>
      <c r="H39" s="246"/>
      <c r="I39" s="246"/>
      <c r="J39" s="246"/>
      <c r="K39" s="246"/>
      <c r="L39" s="246"/>
      <c r="M39" s="246"/>
      <c r="N39" s="246"/>
      <c r="O39" s="246"/>
      <c r="P39" s="246"/>
      <c r="Q39" s="246"/>
      <c r="R39" s="247"/>
    </row>
    <row r="40" spans="2:24" ht="15" customHeight="1" x14ac:dyDescent="0.25">
      <c r="B40" s="248"/>
      <c r="C40" s="249"/>
      <c r="D40" s="249"/>
      <c r="E40" s="249"/>
      <c r="F40" s="249"/>
      <c r="G40" s="249"/>
      <c r="H40" s="249"/>
      <c r="I40" s="249"/>
      <c r="J40" s="249"/>
      <c r="K40" s="249"/>
      <c r="L40" s="249"/>
      <c r="M40" s="249"/>
      <c r="N40" s="249"/>
      <c r="O40" s="249"/>
      <c r="P40" s="249"/>
      <c r="Q40" s="249"/>
      <c r="R40" s="250"/>
    </row>
    <row r="41" spans="2:24" ht="15" customHeight="1" x14ac:dyDescent="0.25">
      <c r="B41" s="248"/>
      <c r="C41" s="249"/>
      <c r="D41" s="249"/>
      <c r="E41" s="249"/>
      <c r="F41" s="249"/>
      <c r="G41" s="249"/>
      <c r="H41" s="249"/>
      <c r="I41" s="249"/>
      <c r="J41" s="249"/>
      <c r="K41" s="249"/>
      <c r="L41" s="249"/>
      <c r="M41" s="249"/>
      <c r="N41" s="249"/>
      <c r="O41" s="249"/>
      <c r="P41" s="249"/>
      <c r="Q41" s="249"/>
      <c r="R41" s="250"/>
    </row>
    <row r="42" spans="2:24" ht="15" customHeight="1" x14ac:dyDescent="0.25">
      <c r="B42" s="248"/>
      <c r="C42" s="249"/>
      <c r="D42" s="249"/>
      <c r="E42" s="249"/>
      <c r="F42" s="249"/>
      <c r="G42" s="249"/>
      <c r="H42" s="249"/>
      <c r="I42" s="249"/>
      <c r="J42" s="249"/>
      <c r="K42" s="249"/>
      <c r="L42" s="249"/>
      <c r="M42" s="249"/>
      <c r="N42" s="249"/>
      <c r="O42" s="249"/>
      <c r="P42" s="249"/>
      <c r="Q42" s="249"/>
      <c r="R42" s="250"/>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6.2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196</v>
      </c>
      <c r="D3" s="255"/>
      <c r="E3" s="255"/>
      <c r="F3" s="255"/>
      <c r="G3" s="255"/>
      <c r="H3" s="255"/>
      <c r="I3" s="255"/>
      <c r="J3" s="255"/>
      <c r="K3" s="255"/>
      <c r="L3" s="255"/>
      <c r="M3" s="255"/>
      <c r="N3" s="255"/>
      <c r="O3" s="255"/>
      <c r="P3" s="255"/>
      <c r="Q3" s="255"/>
      <c r="R3" s="255"/>
      <c r="S3" s="255"/>
      <c r="T3" s="23"/>
    </row>
    <row r="4" spans="1:24" ht="15.75" customHeight="1" x14ac:dyDescent="0.25">
      <c r="B4" s="91"/>
      <c r="C4" s="78" t="s">
        <v>313</v>
      </c>
      <c r="D4" s="30"/>
      <c r="E4" s="30"/>
      <c r="F4" s="30"/>
      <c r="G4" s="30"/>
      <c r="H4" s="30"/>
      <c r="I4" s="30"/>
      <c r="J4" s="30"/>
      <c r="K4" s="30"/>
      <c r="L4" s="30"/>
      <c r="M4" s="30"/>
      <c r="N4" s="30"/>
      <c r="O4" s="30"/>
      <c r="P4" s="30"/>
      <c r="Q4" s="30"/>
      <c r="R4" s="30"/>
      <c r="S4" s="30"/>
      <c r="T4" s="23"/>
    </row>
    <row r="5" spans="1:24" ht="18" customHeight="1" x14ac:dyDescent="0.25">
      <c r="B5" s="91"/>
      <c r="C5" s="79" t="s">
        <v>314</v>
      </c>
      <c r="D5" s="258" t="s">
        <v>296</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0" t="s">
        <v>29</v>
      </c>
      <c r="D8" s="221" t="s">
        <v>3</v>
      </c>
      <c r="E8" s="222">
        <v>0.137493</v>
      </c>
      <c r="F8" s="30"/>
      <c r="G8" s="30"/>
      <c r="H8" s="30"/>
      <c r="I8" s="30"/>
      <c r="J8" s="30"/>
      <c r="K8" s="30"/>
      <c r="L8" s="30"/>
      <c r="M8" s="30"/>
      <c r="N8" s="30"/>
      <c r="O8" s="30"/>
      <c r="P8" s="30"/>
      <c r="Q8" s="30"/>
      <c r="R8" s="30"/>
      <c r="S8" s="30"/>
      <c r="T8" s="23"/>
      <c r="W8" s="63" t="s">
        <v>3</v>
      </c>
      <c r="X8" s="64">
        <v>0.313529</v>
      </c>
    </row>
    <row r="9" spans="1:24" ht="15.75" customHeight="1" x14ac:dyDescent="0.25">
      <c r="B9" s="91"/>
      <c r="C9" s="210" t="s">
        <v>31</v>
      </c>
      <c r="D9" s="223" t="s">
        <v>6</v>
      </c>
      <c r="E9" s="224">
        <v>9.5471E-2</v>
      </c>
      <c r="F9" s="30"/>
      <c r="G9" s="30"/>
      <c r="H9" s="30"/>
      <c r="I9" s="30"/>
      <c r="J9" s="30"/>
      <c r="K9" s="30"/>
      <c r="L9" s="30"/>
      <c r="M9" s="30"/>
      <c r="N9" s="30"/>
      <c r="O9" s="30"/>
      <c r="P9" s="30"/>
      <c r="Q9" s="30"/>
      <c r="R9" s="30"/>
      <c r="S9" s="30"/>
      <c r="T9" s="23"/>
      <c r="W9" s="63" t="s">
        <v>130</v>
      </c>
      <c r="X9" s="64">
        <v>0.136402</v>
      </c>
    </row>
    <row r="10" spans="1:24" ht="15.75" x14ac:dyDescent="0.25">
      <c r="B10" s="91"/>
      <c r="C10" s="210" t="s">
        <v>32</v>
      </c>
      <c r="D10" s="223" t="s">
        <v>3</v>
      </c>
      <c r="E10" s="224">
        <v>7.8642000000000004E-2</v>
      </c>
      <c r="F10" s="30"/>
      <c r="G10" s="30"/>
      <c r="H10" s="30"/>
      <c r="I10" s="30"/>
      <c r="J10" s="30"/>
      <c r="K10" s="30"/>
      <c r="L10" s="30"/>
      <c r="M10" s="30"/>
      <c r="N10" s="30"/>
      <c r="O10" s="30"/>
      <c r="P10" s="30"/>
      <c r="Q10" s="30"/>
      <c r="R10" s="30"/>
      <c r="S10" s="30"/>
      <c r="T10" s="23"/>
      <c r="W10" s="63" t="s">
        <v>6</v>
      </c>
      <c r="X10" s="64">
        <v>9.9281999999999995E-2</v>
      </c>
    </row>
    <row r="11" spans="1:24" ht="15.75" customHeight="1" x14ac:dyDescent="0.25">
      <c r="B11" s="91"/>
      <c r="C11" s="210" t="s">
        <v>28</v>
      </c>
      <c r="D11" s="223" t="s">
        <v>130</v>
      </c>
      <c r="E11" s="224">
        <v>6.0070999999999999E-2</v>
      </c>
      <c r="F11" s="30"/>
      <c r="G11" s="30"/>
      <c r="H11" s="30"/>
      <c r="I11" s="30"/>
      <c r="J11" s="30"/>
      <c r="K11" s="30"/>
      <c r="L11" s="30"/>
      <c r="M11" s="30"/>
      <c r="N11" s="30"/>
      <c r="O11" s="30"/>
      <c r="P11" s="30"/>
      <c r="Q11" s="30"/>
      <c r="R11" s="30"/>
      <c r="S11" s="30"/>
      <c r="T11" s="23"/>
      <c r="W11" s="63" t="s">
        <v>141</v>
      </c>
      <c r="X11" s="64">
        <v>7.1720000000000006E-2</v>
      </c>
    </row>
    <row r="12" spans="1:24" ht="15" customHeight="1" x14ac:dyDescent="0.25">
      <c r="B12" s="91"/>
      <c r="C12" s="210" t="s">
        <v>30</v>
      </c>
      <c r="D12" s="223" t="s">
        <v>141</v>
      </c>
      <c r="E12" s="224">
        <v>4.5492999999999999E-2</v>
      </c>
      <c r="F12" s="30"/>
      <c r="G12" s="30"/>
      <c r="H12" s="30"/>
      <c r="I12" s="30"/>
      <c r="J12" s="30"/>
      <c r="K12" s="30"/>
      <c r="L12" s="30"/>
      <c r="M12" s="30"/>
      <c r="N12" s="30"/>
      <c r="O12" s="30"/>
      <c r="P12" s="30"/>
      <c r="Q12" s="30"/>
      <c r="R12" s="30"/>
      <c r="S12" s="30"/>
      <c r="T12" s="23"/>
      <c r="W12" s="63" t="s">
        <v>136</v>
      </c>
      <c r="X12" s="64">
        <v>6.0432E-2</v>
      </c>
    </row>
    <row r="13" spans="1:24" ht="15" customHeight="1" x14ac:dyDescent="0.25">
      <c r="B13" s="91"/>
      <c r="C13" s="210" t="s">
        <v>33</v>
      </c>
      <c r="D13" s="223" t="s">
        <v>130</v>
      </c>
      <c r="E13" s="224">
        <v>4.0321000000000003E-2</v>
      </c>
      <c r="F13" s="30"/>
      <c r="G13" s="30"/>
      <c r="H13" s="30"/>
      <c r="I13" s="30"/>
      <c r="J13" s="30"/>
      <c r="K13" s="30"/>
      <c r="L13" s="30"/>
      <c r="M13" s="30"/>
      <c r="N13" s="30"/>
      <c r="O13" s="30"/>
      <c r="P13" s="30"/>
      <c r="Q13" s="30"/>
      <c r="R13" s="30"/>
      <c r="S13" s="30"/>
      <c r="T13" s="23"/>
      <c r="W13" s="63" t="s">
        <v>4</v>
      </c>
      <c r="X13" s="64">
        <v>4.1073999999999999E-2</v>
      </c>
    </row>
    <row r="14" spans="1:24" ht="15" customHeight="1" x14ac:dyDescent="0.25">
      <c r="B14" s="91"/>
      <c r="C14" s="210" t="s">
        <v>34</v>
      </c>
      <c r="D14" s="223" t="s">
        <v>23</v>
      </c>
      <c r="E14" s="224">
        <v>3.8311999999999999E-2</v>
      </c>
      <c r="F14" s="30"/>
      <c r="G14" s="30"/>
      <c r="H14" s="30"/>
      <c r="I14" s="30"/>
      <c r="J14" s="30"/>
      <c r="K14" s="30"/>
      <c r="L14" s="30"/>
      <c r="M14" s="30"/>
      <c r="N14" s="30"/>
      <c r="O14" s="30"/>
      <c r="P14" s="30"/>
      <c r="Q14" s="30"/>
      <c r="R14" s="30"/>
      <c r="S14" s="30"/>
      <c r="T14" s="23"/>
      <c r="W14" s="63" t="s">
        <v>23</v>
      </c>
      <c r="X14" s="64">
        <v>3.8311999999999999E-2</v>
      </c>
    </row>
    <row r="15" spans="1:24" ht="15" customHeight="1" x14ac:dyDescent="0.25">
      <c r="B15" s="91"/>
      <c r="C15" s="210" t="s">
        <v>36</v>
      </c>
      <c r="D15" s="223" t="s">
        <v>3</v>
      </c>
      <c r="E15" s="224">
        <v>3.1281999999999997E-2</v>
      </c>
      <c r="F15" s="30"/>
      <c r="G15" s="30"/>
      <c r="H15" s="30"/>
      <c r="I15" s="30"/>
      <c r="J15" s="30"/>
      <c r="K15" s="30"/>
      <c r="L15" s="30"/>
      <c r="M15" s="30"/>
      <c r="N15" s="30"/>
      <c r="O15" s="30"/>
      <c r="P15" s="30"/>
      <c r="Q15" s="30"/>
      <c r="R15" s="30"/>
      <c r="S15" s="30"/>
      <c r="T15" s="23"/>
      <c r="W15" s="63" t="s">
        <v>135</v>
      </c>
      <c r="X15" s="64">
        <v>3.5166000000000003E-2</v>
      </c>
    </row>
    <row r="16" spans="1:24" ht="15" customHeight="1" x14ac:dyDescent="0.25">
      <c r="B16" s="91"/>
      <c r="C16" s="210" t="s">
        <v>35</v>
      </c>
      <c r="D16" s="223" t="s">
        <v>3</v>
      </c>
      <c r="E16" s="224">
        <v>3.0318999999999999E-2</v>
      </c>
      <c r="F16" s="30"/>
      <c r="G16" s="30"/>
      <c r="H16" s="30"/>
      <c r="I16" s="30"/>
      <c r="J16" s="30"/>
      <c r="K16" s="30"/>
      <c r="L16" s="30"/>
      <c r="M16" s="30"/>
      <c r="N16" s="30"/>
      <c r="O16" s="30"/>
      <c r="P16" s="30"/>
      <c r="Q16" s="30"/>
      <c r="R16" s="30"/>
      <c r="S16" s="30"/>
      <c r="T16" s="23"/>
      <c r="W16" s="63" t="s">
        <v>16</v>
      </c>
      <c r="X16" s="64">
        <v>3.2393999999999999E-2</v>
      </c>
    </row>
    <row r="17" spans="2:24" ht="15" customHeight="1" x14ac:dyDescent="0.25">
      <c r="B17" s="91"/>
      <c r="C17" s="210" t="s">
        <v>37</v>
      </c>
      <c r="D17" s="223" t="s">
        <v>141</v>
      </c>
      <c r="E17" s="224">
        <v>2.6227E-2</v>
      </c>
      <c r="F17" s="30"/>
      <c r="G17" s="30"/>
      <c r="H17" s="30"/>
      <c r="I17" s="30"/>
      <c r="J17" s="30"/>
      <c r="K17" s="30"/>
      <c r="L17" s="30"/>
      <c r="M17" s="30"/>
      <c r="N17" s="30"/>
      <c r="O17" s="30"/>
      <c r="P17" s="30"/>
      <c r="Q17" s="30"/>
      <c r="R17" s="30"/>
      <c r="S17" s="30"/>
      <c r="T17" s="23"/>
      <c r="W17" s="63" t="s">
        <v>12</v>
      </c>
      <c r="X17" s="64">
        <v>2.5217E-2</v>
      </c>
    </row>
    <row r="18" spans="2:24" ht="15" customHeight="1" x14ac:dyDescent="0.25">
      <c r="B18" s="91"/>
      <c r="C18" s="210" t="s">
        <v>90</v>
      </c>
      <c r="D18" s="223" t="s">
        <v>3</v>
      </c>
      <c r="E18" s="224">
        <v>2.5260000000000001E-2</v>
      </c>
      <c r="F18" s="30"/>
      <c r="G18" s="30"/>
      <c r="H18" s="30"/>
      <c r="I18" s="30"/>
      <c r="J18" s="30"/>
      <c r="K18" s="30"/>
      <c r="L18" s="30"/>
      <c r="M18" s="30"/>
      <c r="N18" s="30"/>
      <c r="O18" s="30"/>
      <c r="P18" s="30"/>
      <c r="Q18" s="30"/>
      <c r="R18" s="30"/>
      <c r="S18" s="30"/>
      <c r="T18" s="23"/>
      <c r="W18" s="63" t="s">
        <v>10</v>
      </c>
      <c r="X18" s="64">
        <v>2.2072999999999999E-2</v>
      </c>
    </row>
    <row r="19" spans="2:24" ht="15" customHeight="1" x14ac:dyDescent="0.25">
      <c r="B19" s="91"/>
      <c r="C19" s="210" t="s">
        <v>75</v>
      </c>
      <c r="D19" s="223" t="s">
        <v>12</v>
      </c>
      <c r="E19" s="224">
        <v>2.5217E-2</v>
      </c>
      <c r="F19" s="30"/>
      <c r="G19" s="30"/>
      <c r="H19" s="30"/>
      <c r="I19" s="30"/>
      <c r="J19" s="30"/>
      <c r="K19" s="30"/>
      <c r="L19" s="30"/>
      <c r="M19" s="30"/>
      <c r="N19" s="30"/>
      <c r="O19" s="30"/>
      <c r="P19" s="30"/>
      <c r="Q19" s="30"/>
      <c r="R19" s="30"/>
      <c r="S19" s="30"/>
      <c r="T19" s="23"/>
      <c r="W19" s="63" t="s">
        <v>11</v>
      </c>
      <c r="X19" s="64">
        <v>2.0344000000000001E-2</v>
      </c>
    </row>
    <row r="20" spans="2:24" ht="15" customHeight="1" x14ac:dyDescent="0.25">
      <c r="B20" s="91"/>
      <c r="C20" s="210" t="s">
        <v>92</v>
      </c>
      <c r="D20" s="223" t="s">
        <v>4</v>
      </c>
      <c r="E20" s="224">
        <v>2.2384000000000001E-2</v>
      </c>
      <c r="F20" s="30"/>
      <c r="G20" s="30"/>
      <c r="H20" s="30"/>
      <c r="I20" s="30"/>
      <c r="J20" s="30"/>
      <c r="K20" s="30"/>
      <c r="L20" s="30"/>
      <c r="M20" s="30"/>
      <c r="N20" s="30"/>
      <c r="O20" s="30"/>
      <c r="P20" s="30"/>
      <c r="Q20" s="30"/>
      <c r="R20" s="30"/>
      <c r="S20" s="30"/>
      <c r="T20" s="23"/>
      <c r="W20" s="63" t="s">
        <v>94</v>
      </c>
      <c r="X20" s="64">
        <v>1.8957000000000002E-2</v>
      </c>
    </row>
    <row r="21" spans="2:24" ht="15" customHeight="1" x14ac:dyDescent="0.25">
      <c r="B21" s="91"/>
      <c r="C21" s="210" t="s">
        <v>191</v>
      </c>
      <c r="D21" s="223" t="s">
        <v>16</v>
      </c>
      <c r="E21" s="224">
        <v>1.7204000000000001E-2</v>
      </c>
      <c r="F21" s="30"/>
      <c r="G21" s="30"/>
      <c r="H21" s="30"/>
      <c r="I21" s="30"/>
      <c r="J21" s="30"/>
      <c r="K21" s="30"/>
      <c r="L21" s="30"/>
      <c r="M21" s="30"/>
      <c r="N21" s="30"/>
      <c r="O21" s="30"/>
      <c r="P21" s="30"/>
      <c r="Q21" s="30"/>
      <c r="R21" s="30"/>
      <c r="S21" s="30"/>
      <c r="T21" s="23"/>
      <c r="W21" s="63" t="s">
        <v>131</v>
      </c>
      <c r="X21" s="64">
        <v>1.533E-2</v>
      </c>
    </row>
    <row r="22" spans="2:24" ht="15" customHeight="1" x14ac:dyDescent="0.25">
      <c r="B22" s="91"/>
      <c r="C22" s="210" t="s">
        <v>144</v>
      </c>
      <c r="D22" s="223" t="s">
        <v>136</v>
      </c>
      <c r="E22" s="224">
        <v>1.6542999999999999E-2</v>
      </c>
      <c r="F22" s="30"/>
      <c r="G22" s="30"/>
      <c r="H22" s="30"/>
      <c r="I22" s="30"/>
      <c r="J22" s="30"/>
      <c r="K22" s="30"/>
      <c r="L22" s="30"/>
      <c r="M22" s="30"/>
      <c r="N22" s="30"/>
      <c r="O22" s="30"/>
      <c r="P22" s="30"/>
      <c r="Q22" s="30"/>
      <c r="R22" s="30"/>
      <c r="S22" s="30"/>
      <c r="T22" s="23"/>
      <c r="W22" s="63" t="s">
        <v>97</v>
      </c>
      <c r="X22" s="64">
        <v>1.4949E-2</v>
      </c>
    </row>
    <row r="23" spans="2:24" ht="15" customHeight="1" x14ac:dyDescent="0.25">
      <c r="B23" s="91"/>
      <c r="C23" s="83"/>
      <c r="D23" s="83"/>
      <c r="E23" s="84"/>
      <c r="F23" s="30"/>
      <c r="G23" s="30"/>
      <c r="H23" s="30"/>
      <c r="I23" s="30"/>
      <c r="J23" s="30"/>
      <c r="K23" s="30"/>
      <c r="L23" s="30"/>
      <c r="M23" s="30"/>
      <c r="N23" s="30"/>
      <c r="O23" s="30"/>
      <c r="P23" s="30"/>
      <c r="Q23" s="30"/>
      <c r="R23" s="30"/>
      <c r="S23" s="30"/>
      <c r="T23" s="23"/>
      <c r="W23" s="63" t="s">
        <v>156</v>
      </c>
      <c r="X23" s="64">
        <v>8.7290000000000006E-3</v>
      </c>
    </row>
    <row r="24" spans="2:24" ht="15" customHeight="1" x14ac:dyDescent="0.25">
      <c r="B24" s="91"/>
      <c r="C24" s="85" t="s">
        <v>55</v>
      </c>
      <c r="D24" s="86"/>
      <c r="E24" s="87">
        <f>SUM(E8:E22)</f>
        <v>0.69023899999999994</v>
      </c>
      <c r="F24" s="30"/>
      <c r="G24" s="30"/>
      <c r="H24" s="30"/>
      <c r="I24" s="30"/>
      <c r="J24" s="30"/>
      <c r="K24" s="30"/>
      <c r="L24" s="30"/>
      <c r="M24" s="30"/>
      <c r="N24" s="30"/>
      <c r="O24" s="30"/>
      <c r="P24" s="30"/>
      <c r="Q24" s="30"/>
      <c r="R24" s="30"/>
      <c r="S24" s="30"/>
      <c r="T24" s="23"/>
      <c r="W24" s="63" t="s">
        <v>13</v>
      </c>
      <c r="X24" s="64">
        <v>7.9640000000000006E-3</v>
      </c>
    </row>
    <row r="25" spans="2:24" ht="15" customHeight="1" x14ac:dyDescent="0.25">
      <c r="B25" s="91"/>
      <c r="F25" s="30"/>
      <c r="G25" s="30"/>
      <c r="H25" s="30"/>
      <c r="I25" s="30"/>
      <c r="J25" s="30"/>
      <c r="K25" s="30"/>
      <c r="L25" s="30"/>
      <c r="M25" s="30"/>
      <c r="N25" s="30"/>
      <c r="O25" s="30"/>
      <c r="P25" s="30"/>
      <c r="Q25" s="30"/>
      <c r="R25" s="30"/>
      <c r="S25" s="30"/>
      <c r="T25" s="23"/>
      <c r="W25" s="63" t="s">
        <v>15</v>
      </c>
      <c r="X25" s="64">
        <v>7.8750000000000001E-3</v>
      </c>
    </row>
    <row r="26" spans="2:24" ht="15" customHeight="1" x14ac:dyDescent="0.25">
      <c r="B26" s="91"/>
      <c r="F26" s="30"/>
      <c r="G26" s="30"/>
      <c r="H26" s="30"/>
      <c r="I26" s="30"/>
      <c r="J26" s="30"/>
      <c r="K26" s="30"/>
      <c r="L26" s="30"/>
      <c r="M26" s="30"/>
      <c r="N26" s="30"/>
      <c r="O26" s="30"/>
      <c r="P26" s="30"/>
      <c r="Q26" s="30"/>
      <c r="R26" s="30"/>
      <c r="S26" s="30"/>
      <c r="T26" s="23"/>
      <c r="W26" s="63" t="s">
        <v>154</v>
      </c>
      <c r="X26" s="64">
        <v>7.8259999999999996E-3</v>
      </c>
    </row>
    <row r="27" spans="2:24" ht="15" customHeight="1" x14ac:dyDescent="0.25">
      <c r="B27" s="91"/>
      <c r="F27" s="30"/>
      <c r="G27" s="30"/>
      <c r="H27" s="30"/>
      <c r="I27" s="30"/>
      <c r="J27" s="30"/>
      <c r="K27" s="30"/>
      <c r="L27" s="30"/>
      <c r="M27" s="30"/>
      <c r="N27" s="30"/>
      <c r="O27" s="30"/>
      <c r="P27" s="30"/>
      <c r="Q27" s="30"/>
      <c r="R27" s="30"/>
      <c r="S27" s="30"/>
      <c r="T27" s="23"/>
      <c r="W27" s="63" t="s">
        <v>155</v>
      </c>
      <c r="X27" s="64">
        <v>6.1510000000000002E-3</v>
      </c>
    </row>
    <row r="28" spans="2:24" ht="15" customHeight="1" x14ac:dyDescent="0.25">
      <c r="B28" s="91"/>
      <c r="F28" s="30"/>
      <c r="G28" s="30"/>
      <c r="H28" s="30"/>
      <c r="I28" s="30"/>
      <c r="J28" s="30"/>
      <c r="K28" s="30"/>
      <c r="L28" s="30"/>
      <c r="M28" s="30"/>
      <c r="N28" s="30"/>
      <c r="O28" s="30"/>
      <c r="P28" s="30"/>
      <c r="Q28" s="30"/>
      <c r="R28" s="30"/>
      <c r="S28" s="30"/>
      <c r="T28" s="23"/>
      <c r="W28" s="63" t="s">
        <v>139</v>
      </c>
      <c r="X28" s="64">
        <v>5.8149999999999999E-3</v>
      </c>
    </row>
    <row r="29" spans="2:24" ht="15" customHeight="1" x14ac:dyDescent="0.25">
      <c r="B29" s="91"/>
      <c r="F29" s="30"/>
      <c r="G29" s="30"/>
      <c r="H29" s="30"/>
      <c r="I29" s="30"/>
      <c r="J29" s="30"/>
      <c r="K29" s="30"/>
      <c r="L29" s="30"/>
      <c r="M29" s="30"/>
      <c r="N29" s="30"/>
      <c r="O29" s="30"/>
      <c r="P29" s="30"/>
      <c r="Q29" s="30"/>
      <c r="R29" s="30"/>
      <c r="S29" s="30"/>
      <c r="T29" s="23"/>
      <c r="W29" s="20" t="s">
        <v>87</v>
      </c>
      <c r="X29" s="64">
        <v>5.6909999999999999E-3</v>
      </c>
    </row>
    <row r="30" spans="2:24" ht="15" customHeight="1" x14ac:dyDescent="0.25">
      <c r="B30" s="91"/>
      <c r="F30" s="30"/>
      <c r="G30" s="30"/>
      <c r="H30" s="30"/>
      <c r="I30" s="30"/>
      <c r="J30" s="30"/>
      <c r="K30" s="30"/>
      <c r="L30" s="30"/>
      <c r="M30" s="30"/>
      <c r="N30" s="30"/>
      <c r="O30" s="30"/>
      <c r="P30" s="30"/>
      <c r="Q30" s="30"/>
      <c r="R30" s="30"/>
      <c r="S30" s="30"/>
      <c r="T30" s="23"/>
      <c r="W30" s="63" t="s">
        <v>142</v>
      </c>
      <c r="X30" s="64">
        <v>3.4849999999999998E-3</v>
      </c>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42"/>
      <c r="X34" s="42"/>
    </row>
    <row r="35" spans="2:24" ht="15" customHeight="1" x14ac:dyDescent="0.25">
      <c r="B35" s="91"/>
      <c r="F35" s="30"/>
      <c r="G35" s="30"/>
      <c r="H35" s="30"/>
      <c r="I35" s="30"/>
      <c r="J35" s="30"/>
      <c r="K35" s="30"/>
      <c r="L35" s="30"/>
      <c r="M35" s="30"/>
      <c r="N35" s="30"/>
      <c r="O35" s="30"/>
      <c r="P35" s="30"/>
      <c r="Q35" s="30"/>
      <c r="R35" s="30"/>
      <c r="S35" s="30"/>
      <c r="T35" s="23"/>
      <c r="W35" s="42"/>
      <c r="X35" s="42"/>
    </row>
    <row r="36" spans="2:24" ht="15" customHeight="1" x14ac:dyDescent="0.25">
      <c r="B36" s="91"/>
      <c r="F36" s="30"/>
      <c r="G36" s="30"/>
      <c r="H36" s="30"/>
      <c r="I36" s="30"/>
      <c r="J36" s="30"/>
      <c r="K36" s="30"/>
      <c r="L36" s="30"/>
      <c r="M36" s="30"/>
      <c r="N36" s="30"/>
      <c r="O36" s="30"/>
      <c r="P36" s="30"/>
      <c r="Q36" s="30"/>
      <c r="R36" s="30"/>
      <c r="S36" s="30"/>
      <c r="T36" s="23"/>
      <c r="W36" s="42"/>
      <c r="X36" s="42"/>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5" t="s">
        <v>234</v>
      </c>
      <c r="C39" s="246"/>
      <c r="D39" s="246"/>
      <c r="E39" s="246"/>
      <c r="F39" s="246"/>
      <c r="G39" s="246"/>
      <c r="H39" s="246"/>
      <c r="I39" s="246"/>
      <c r="J39" s="246"/>
      <c r="K39" s="246"/>
      <c r="L39" s="246"/>
      <c r="M39" s="246"/>
      <c r="N39" s="246"/>
      <c r="O39" s="246"/>
      <c r="P39" s="246"/>
      <c r="Q39" s="246"/>
      <c r="R39" s="247"/>
    </row>
    <row r="40" spans="2:24" ht="15" customHeight="1" x14ac:dyDescent="0.25">
      <c r="B40" s="248"/>
      <c r="C40" s="249"/>
      <c r="D40" s="249"/>
      <c r="E40" s="249"/>
      <c r="F40" s="249"/>
      <c r="G40" s="249"/>
      <c r="H40" s="249"/>
      <c r="I40" s="249"/>
      <c r="J40" s="249"/>
      <c r="K40" s="249"/>
      <c r="L40" s="249"/>
      <c r="M40" s="249"/>
      <c r="N40" s="249"/>
      <c r="O40" s="249"/>
      <c r="P40" s="249"/>
      <c r="Q40" s="249"/>
      <c r="R40" s="250"/>
    </row>
    <row r="41" spans="2:24" ht="15" customHeight="1" x14ac:dyDescent="0.25">
      <c r="B41" s="248"/>
      <c r="C41" s="249"/>
      <c r="D41" s="249"/>
      <c r="E41" s="249"/>
      <c r="F41" s="249"/>
      <c r="G41" s="249"/>
      <c r="H41" s="249"/>
      <c r="I41" s="249"/>
      <c r="J41" s="249"/>
      <c r="K41" s="249"/>
      <c r="L41" s="249"/>
      <c r="M41" s="249"/>
      <c r="N41" s="249"/>
      <c r="O41" s="249"/>
      <c r="P41" s="249"/>
      <c r="Q41" s="249"/>
      <c r="R41" s="250"/>
    </row>
    <row r="42" spans="2:24" ht="15" customHeight="1" x14ac:dyDescent="0.25">
      <c r="B42" s="248"/>
      <c r="C42" s="249"/>
      <c r="D42" s="249"/>
      <c r="E42" s="249"/>
      <c r="F42" s="249"/>
      <c r="G42" s="249"/>
      <c r="H42" s="249"/>
      <c r="I42" s="249"/>
      <c r="J42" s="249"/>
      <c r="K42" s="249"/>
      <c r="L42" s="249"/>
      <c r="M42" s="249"/>
      <c r="N42" s="249"/>
      <c r="O42" s="249"/>
      <c r="P42" s="249"/>
      <c r="Q42" s="249"/>
      <c r="R42" s="250"/>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7.7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4" t="s">
        <v>195</v>
      </c>
      <c r="D3" s="255"/>
      <c r="E3" s="255"/>
      <c r="F3" s="255"/>
      <c r="G3" s="255"/>
      <c r="H3" s="255"/>
      <c r="I3" s="255"/>
      <c r="J3" s="255"/>
      <c r="K3" s="255"/>
      <c r="L3" s="255"/>
      <c r="M3" s="255"/>
      <c r="N3" s="255"/>
      <c r="O3" s="255"/>
      <c r="P3" s="255"/>
      <c r="Q3" s="255"/>
      <c r="R3" s="255"/>
      <c r="S3" s="255"/>
      <c r="T3" s="76"/>
      <c r="U3" s="77"/>
    </row>
    <row r="4" spans="1:24" ht="15.75" customHeight="1" x14ac:dyDescent="0.25">
      <c r="B4" s="75"/>
      <c r="C4" s="78" t="s">
        <v>313</v>
      </c>
      <c r="D4" s="30"/>
      <c r="E4" s="30"/>
      <c r="F4" s="30"/>
      <c r="G4" s="30"/>
      <c r="H4" s="30"/>
      <c r="I4" s="30"/>
      <c r="J4" s="30"/>
      <c r="K4" s="30"/>
      <c r="L4" s="30"/>
      <c r="M4" s="30"/>
      <c r="N4" s="30"/>
      <c r="O4" s="30"/>
      <c r="P4" s="30"/>
      <c r="Q4" s="30"/>
      <c r="R4" s="30"/>
      <c r="S4" s="30"/>
      <c r="T4" s="30"/>
      <c r="U4" s="26"/>
    </row>
    <row r="5" spans="1:24" ht="18" customHeight="1" x14ac:dyDescent="0.25">
      <c r="B5" s="75"/>
      <c r="C5" s="79" t="s">
        <v>314</v>
      </c>
      <c r="D5" s="258" t="s">
        <v>295</v>
      </c>
      <c r="E5" s="258"/>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33" t="s">
        <v>29</v>
      </c>
      <c r="D8" s="234" t="s">
        <v>3</v>
      </c>
      <c r="E8" s="222">
        <v>0.118227</v>
      </c>
      <c r="F8" s="30"/>
      <c r="G8" s="30"/>
      <c r="H8" s="30"/>
      <c r="I8" s="30"/>
      <c r="J8" s="30"/>
      <c r="K8" s="30"/>
      <c r="L8" s="30"/>
      <c r="M8" s="30"/>
      <c r="N8" s="30"/>
      <c r="O8" s="30"/>
      <c r="P8" s="30"/>
      <c r="Q8" s="30"/>
      <c r="R8" s="30"/>
      <c r="S8" s="30"/>
      <c r="T8" s="30"/>
      <c r="U8" s="26"/>
      <c r="W8" s="195" t="s">
        <v>3</v>
      </c>
      <c r="X8" s="196">
        <v>0.27527400000000002</v>
      </c>
    </row>
    <row r="9" spans="1:24" ht="15.75" customHeight="1" x14ac:dyDescent="0.25">
      <c r="B9" s="75"/>
      <c r="C9" s="235" t="s">
        <v>31</v>
      </c>
      <c r="D9" s="236" t="s">
        <v>6</v>
      </c>
      <c r="E9" s="224">
        <v>8.2092999999999999E-2</v>
      </c>
      <c r="F9" s="30"/>
      <c r="G9" s="30"/>
      <c r="H9" s="30"/>
      <c r="I9" s="30"/>
      <c r="J9" s="30"/>
      <c r="K9" s="30"/>
      <c r="L9" s="30"/>
      <c r="M9" s="30"/>
      <c r="N9" s="30"/>
      <c r="O9" s="30"/>
      <c r="P9" s="30"/>
      <c r="Q9" s="30"/>
      <c r="R9" s="30"/>
      <c r="S9" s="30"/>
      <c r="T9" s="30"/>
      <c r="U9" s="26"/>
      <c r="W9" s="195" t="s">
        <v>130</v>
      </c>
      <c r="X9" s="196">
        <v>0.117295</v>
      </c>
    </row>
    <row r="10" spans="1:24" ht="15.75" x14ac:dyDescent="0.25">
      <c r="B10" s="75"/>
      <c r="C10" s="235" t="s">
        <v>32</v>
      </c>
      <c r="D10" s="236" t="s">
        <v>3</v>
      </c>
      <c r="E10" s="224">
        <v>6.7622000000000002E-2</v>
      </c>
      <c r="F10" s="30"/>
      <c r="G10" s="30"/>
      <c r="H10" s="30"/>
      <c r="I10" s="30"/>
      <c r="J10" s="30"/>
      <c r="K10" s="30"/>
      <c r="L10" s="30"/>
      <c r="M10" s="30"/>
      <c r="N10" s="30"/>
      <c r="O10" s="30"/>
      <c r="P10" s="30"/>
      <c r="Q10" s="30"/>
      <c r="R10" s="30"/>
      <c r="S10" s="30"/>
      <c r="T10" s="30"/>
      <c r="U10" s="26"/>
      <c r="W10" s="195" t="s">
        <v>6</v>
      </c>
      <c r="X10" s="196">
        <v>8.8667999999999997E-2</v>
      </c>
    </row>
    <row r="11" spans="1:24" ht="15.75" customHeight="1" x14ac:dyDescent="0.25">
      <c r="B11" s="75"/>
      <c r="C11" s="235" t="s">
        <v>28</v>
      </c>
      <c r="D11" s="236" t="s">
        <v>130</v>
      </c>
      <c r="E11" s="224">
        <v>5.1650000000000001E-2</v>
      </c>
      <c r="F11" s="30"/>
      <c r="G11" s="30"/>
      <c r="H11" s="30"/>
      <c r="I11" s="30"/>
      <c r="J11" s="30"/>
      <c r="K11" s="30"/>
      <c r="L11" s="30"/>
      <c r="M11" s="30"/>
      <c r="N11" s="30"/>
      <c r="O11" s="30"/>
      <c r="P11" s="30"/>
      <c r="Q11" s="30"/>
      <c r="R11" s="30"/>
      <c r="S11" s="30"/>
      <c r="T11" s="30"/>
      <c r="U11" s="26"/>
      <c r="W11" s="195" t="s">
        <v>141</v>
      </c>
      <c r="X11" s="196">
        <v>6.1668000000000001E-2</v>
      </c>
    </row>
    <row r="12" spans="1:24" ht="15" customHeight="1" x14ac:dyDescent="0.25">
      <c r="B12" s="75"/>
      <c r="C12" s="235" t="s">
        <v>30</v>
      </c>
      <c r="D12" s="236" t="s">
        <v>141</v>
      </c>
      <c r="E12" s="224">
        <v>3.9116999999999999E-2</v>
      </c>
      <c r="F12" s="30"/>
      <c r="G12" s="30"/>
      <c r="H12" s="30"/>
      <c r="I12" s="30"/>
      <c r="J12" s="30"/>
      <c r="K12" s="30"/>
      <c r="L12" s="30"/>
      <c r="M12" s="30"/>
      <c r="N12" s="30"/>
      <c r="O12" s="30"/>
      <c r="P12" s="30"/>
      <c r="Q12" s="30"/>
      <c r="R12" s="30"/>
      <c r="S12" s="30"/>
      <c r="T12" s="30"/>
      <c r="U12" s="26"/>
      <c r="W12" s="195" t="s">
        <v>136</v>
      </c>
      <c r="X12" s="196">
        <v>5.1978999999999997E-2</v>
      </c>
    </row>
    <row r="13" spans="1:24" ht="15" customHeight="1" x14ac:dyDescent="0.25">
      <c r="B13" s="75"/>
      <c r="C13" s="235" t="s">
        <v>33</v>
      </c>
      <c r="D13" s="236" t="s">
        <v>130</v>
      </c>
      <c r="E13" s="224">
        <v>3.4675999999999998E-2</v>
      </c>
      <c r="F13" s="30"/>
      <c r="G13" s="30"/>
      <c r="H13" s="30"/>
      <c r="I13" s="30"/>
      <c r="J13" s="30"/>
      <c r="K13" s="30"/>
      <c r="L13" s="30"/>
      <c r="M13" s="30"/>
      <c r="N13" s="30"/>
      <c r="O13" s="30"/>
      <c r="P13" s="30"/>
      <c r="Q13" s="30"/>
      <c r="R13" s="30"/>
      <c r="S13" s="30"/>
      <c r="T13" s="30"/>
      <c r="U13" s="26"/>
      <c r="W13" s="195" t="s">
        <v>4</v>
      </c>
      <c r="X13" s="196">
        <v>4.6577E-2</v>
      </c>
    </row>
    <row r="14" spans="1:24" ht="15" customHeight="1" x14ac:dyDescent="0.25">
      <c r="B14" s="75"/>
      <c r="C14" s="235" t="s">
        <v>34</v>
      </c>
      <c r="D14" s="236" t="s">
        <v>23</v>
      </c>
      <c r="E14" s="224">
        <v>3.2938000000000002E-2</v>
      </c>
      <c r="F14" s="30"/>
      <c r="G14" s="30"/>
      <c r="H14" s="30"/>
      <c r="I14" s="30"/>
      <c r="J14" s="30"/>
      <c r="K14" s="30"/>
      <c r="L14" s="30"/>
      <c r="M14" s="30"/>
      <c r="N14" s="30"/>
      <c r="O14" s="30"/>
      <c r="P14" s="30"/>
      <c r="Q14" s="30"/>
      <c r="R14" s="30"/>
      <c r="S14" s="30"/>
      <c r="T14" s="30"/>
      <c r="U14" s="26"/>
      <c r="W14" s="195" t="s">
        <v>16</v>
      </c>
      <c r="X14" s="196">
        <v>3.3045000000000005E-2</v>
      </c>
    </row>
    <row r="15" spans="1:24" ht="15" customHeight="1" x14ac:dyDescent="0.25">
      <c r="B15" s="75"/>
      <c r="C15" s="235" t="s">
        <v>36</v>
      </c>
      <c r="D15" s="236" t="s">
        <v>3</v>
      </c>
      <c r="E15" s="224">
        <v>2.6898999999999999E-2</v>
      </c>
      <c r="F15" s="30"/>
      <c r="G15" s="30"/>
      <c r="H15" s="30"/>
      <c r="I15" s="30"/>
      <c r="J15" s="30"/>
      <c r="K15" s="30"/>
      <c r="L15" s="30"/>
      <c r="M15" s="30"/>
      <c r="N15" s="30"/>
      <c r="O15" s="30"/>
      <c r="P15" s="30"/>
      <c r="Q15" s="30"/>
      <c r="R15" s="30"/>
      <c r="S15" s="30"/>
      <c r="T15" s="30"/>
      <c r="U15" s="26"/>
      <c r="W15" s="195" t="s">
        <v>23</v>
      </c>
      <c r="X15" s="196">
        <v>3.2938000000000002E-2</v>
      </c>
    </row>
    <row r="16" spans="1:24" ht="15" customHeight="1" x14ac:dyDescent="0.25">
      <c r="B16" s="75"/>
      <c r="C16" s="235" t="s">
        <v>35</v>
      </c>
      <c r="D16" s="236" t="s">
        <v>3</v>
      </c>
      <c r="E16" s="224">
        <v>2.6068000000000001E-2</v>
      </c>
      <c r="F16" s="30"/>
      <c r="G16" s="30"/>
      <c r="H16" s="30"/>
      <c r="I16" s="30"/>
      <c r="J16" s="30"/>
      <c r="K16" s="30"/>
      <c r="L16" s="30"/>
      <c r="M16" s="30"/>
      <c r="N16" s="30"/>
      <c r="O16" s="30"/>
      <c r="P16" s="30"/>
      <c r="Q16" s="30"/>
      <c r="R16" s="30"/>
      <c r="S16" s="30"/>
      <c r="T16" s="30"/>
      <c r="U16" s="26"/>
      <c r="W16" s="195" t="s">
        <v>135</v>
      </c>
      <c r="X16" s="196">
        <v>3.1938999999999995E-2</v>
      </c>
    </row>
    <row r="17" spans="2:24" ht="15" customHeight="1" x14ac:dyDescent="0.25">
      <c r="B17" s="75"/>
      <c r="C17" s="235" t="s">
        <v>37</v>
      </c>
      <c r="D17" s="236" t="s">
        <v>141</v>
      </c>
      <c r="E17" s="224">
        <v>2.2551000000000002E-2</v>
      </c>
      <c r="F17" s="30"/>
      <c r="G17" s="30"/>
      <c r="H17" s="30"/>
      <c r="I17" s="30"/>
      <c r="J17" s="30"/>
      <c r="K17" s="30"/>
      <c r="L17" s="30"/>
      <c r="M17" s="30"/>
      <c r="N17" s="30"/>
      <c r="O17" s="30"/>
      <c r="P17" s="30"/>
      <c r="Q17" s="30"/>
      <c r="R17" s="30"/>
      <c r="S17" s="30"/>
      <c r="T17" s="30"/>
      <c r="U17" s="26"/>
      <c r="W17" s="195" t="s">
        <v>10</v>
      </c>
      <c r="X17" s="196">
        <v>2.826E-2</v>
      </c>
    </row>
    <row r="18" spans="2:24" ht="15" customHeight="1" x14ac:dyDescent="0.25">
      <c r="B18" s="75"/>
      <c r="C18" s="235" t="s">
        <v>90</v>
      </c>
      <c r="D18" s="236" t="s">
        <v>3</v>
      </c>
      <c r="E18" s="224">
        <v>2.1718999999999999E-2</v>
      </c>
      <c r="F18" s="30"/>
      <c r="G18" s="30"/>
      <c r="H18" s="30"/>
      <c r="I18" s="30"/>
      <c r="J18" s="30"/>
      <c r="K18" s="30"/>
      <c r="L18" s="30"/>
      <c r="M18" s="30"/>
      <c r="N18" s="30"/>
      <c r="O18" s="30"/>
      <c r="P18" s="30"/>
      <c r="Q18" s="30"/>
      <c r="R18" s="30"/>
      <c r="S18" s="30"/>
      <c r="T18" s="30"/>
      <c r="U18" s="26"/>
      <c r="W18" s="195" t="s">
        <v>94</v>
      </c>
      <c r="X18" s="196">
        <v>2.4343000000000004E-2</v>
      </c>
    </row>
    <row r="19" spans="2:24" ht="15" customHeight="1" x14ac:dyDescent="0.25">
      <c r="B19" s="75"/>
      <c r="C19" s="235" t="s">
        <v>75</v>
      </c>
      <c r="D19" s="236" t="s">
        <v>12</v>
      </c>
      <c r="E19" s="224">
        <v>2.1683000000000001E-2</v>
      </c>
      <c r="F19" s="30"/>
      <c r="G19" s="30"/>
      <c r="H19" s="30"/>
      <c r="I19" s="30"/>
      <c r="J19" s="30"/>
      <c r="K19" s="30"/>
      <c r="L19" s="30"/>
      <c r="M19" s="30"/>
      <c r="N19" s="30"/>
      <c r="O19" s="30"/>
      <c r="P19" s="30"/>
      <c r="Q19" s="30"/>
      <c r="R19" s="30"/>
      <c r="S19" s="30"/>
      <c r="T19" s="30"/>
      <c r="U19" s="26"/>
      <c r="W19" s="195" t="s">
        <v>12</v>
      </c>
      <c r="X19" s="196">
        <v>2.2825000000000002E-2</v>
      </c>
    </row>
    <row r="20" spans="2:24" ht="15" customHeight="1" x14ac:dyDescent="0.25">
      <c r="B20" s="75"/>
      <c r="C20" s="235" t="s">
        <v>92</v>
      </c>
      <c r="D20" s="236" t="s">
        <v>4</v>
      </c>
      <c r="E20" s="224">
        <v>1.9251000000000001E-2</v>
      </c>
      <c r="F20" s="30"/>
      <c r="G20" s="30"/>
      <c r="H20" s="30"/>
      <c r="I20" s="30"/>
      <c r="J20" s="30"/>
      <c r="K20" s="30"/>
      <c r="L20" s="30"/>
      <c r="M20" s="30"/>
      <c r="N20" s="30"/>
      <c r="O20" s="30"/>
      <c r="P20" s="30"/>
      <c r="Q20" s="30"/>
      <c r="R20" s="30"/>
      <c r="S20" s="30"/>
      <c r="T20" s="30"/>
      <c r="U20" s="26"/>
      <c r="W20" s="195" t="s">
        <v>11</v>
      </c>
      <c r="X20" s="196">
        <v>2.0025000000000001E-2</v>
      </c>
    </row>
    <row r="21" spans="2:24" ht="15" customHeight="1" x14ac:dyDescent="0.25">
      <c r="B21" s="75"/>
      <c r="C21" s="235" t="s">
        <v>191</v>
      </c>
      <c r="D21" s="236" t="s">
        <v>16</v>
      </c>
      <c r="E21" s="224">
        <v>1.4798E-2</v>
      </c>
      <c r="F21" s="30"/>
      <c r="G21" s="30"/>
      <c r="H21" s="30"/>
      <c r="I21" s="30"/>
      <c r="J21" s="30"/>
      <c r="K21" s="30"/>
      <c r="L21" s="30"/>
      <c r="M21" s="30"/>
      <c r="N21" s="30"/>
      <c r="O21" s="30"/>
      <c r="P21" s="30"/>
      <c r="Q21" s="30"/>
      <c r="R21" s="30"/>
      <c r="S21" s="30"/>
      <c r="T21" s="30"/>
      <c r="U21" s="26"/>
      <c r="W21" s="195" t="s">
        <v>97</v>
      </c>
      <c r="X21" s="196">
        <v>1.9682000000000002E-2</v>
      </c>
    </row>
    <row r="22" spans="2:24" ht="15" customHeight="1" x14ac:dyDescent="0.25">
      <c r="B22" s="75"/>
      <c r="C22" s="235" t="s">
        <v>144</v>
      </c>
      <c r="D22" s="236" t="s">
        <v>136</v>
      </c>
      <c r="E22" s="224">
        <v>1.4220999999999999E-2</v>
      </c>
      <c r="F22" s="30"/>
      <c r="G22" s="30"/>
      <c r="H22" s="30"/>
      <c r="I22" s="30"/>
      <c r="J22" s="30"/>
      <c r="K22" s="30"/>
      <c r="L22" s="30"/>
      <c r="M22" s="30"/>
      <c r="N22" s="30"/>
      <c r="O22" s="30"/>
      <c r="P22" s="30"/>
      <c r="Q22" s="30"/>
      <c r="R22" s="30"/>
      <c r="S22" s="30"/>
      <c r="T22" s="30"/>
      <c r="U22" s="26"/>
      <c r="W22" s="195" t="s">
        <v>26</v>
      </c>
      <c r="X22" s="196">
        <v>1.4813E-2</v>
      </c>
    </row>
    <row r="23" spans="2:24" ht="15" customHeight="1" x14ac:dyDescent="0.25">
      <c r="B23" s="75"/>
      <c r="C23" s="83"/>
      <c r="D23" s="83"/>
      <c r="E23" s="84"/>
      <c r="F23" s="30"/>
      <c r="G23" s="30"/>
      <c r="H23" s="30"/>
      <c r="I23" s="30"/>
      <c r="J23" s="30"/>
      <c r="K23" s="30"/>
      <c r="L23" s="30"/>
      <c r="M23" s="30"/>
      <c r="N23" s="30"/>
      <c r="O23" s="30"/>
      <c r="P23" s="30"/>
      <c r="Q23" s="30"/>
      <c r="R23" s="30"/>
      <c r="S23" s="30"/>
      <c r="T23" s="30"/>
      <c r="U23" s="26"/>
      <c r="W23" s="195" t="s">
        <v>131</v>
      </c>
      <c r="X23" s="196">
        <v>1.3231E-2</v>
      </c>
    </row>
    <row r="24" spans="2:24" ht="15" customHeight="1" x14ac:dyDescent="0.25">
      <c r="B24" s="75"/>
      <c r="C24" s="85" t="s">
        <v>55</v>
      </c>
      <c r="D24" s="86"/>
      <c r="E24" s="87">
        <f>SUM(E8:E22)</f>
        <v>0.59351300000000007</v>
      </c>
      <c r="F24" s="30"/>
      <c r="G24" s="30"/>
      <c r="H24" s="30"/>
      <c r="I24" s="30"/>
      <c r="J24" s="30"/>
      <c r="K24" s="30"/>
      <c r="L24" s="30"/>
      <c r="M24" s="30"/>
      <c r="N24" s="30"/>
      <c r="O24" s="30"/>
      <c r="P24" s="30"/>
      <c r="Q24" s="30"/>
      <c r="R24" s="30"/>
      <c r="S24" s="30"/>
      <c r="T24" s="30"/>
      <c r="U24" s="26"/>
      <c r="W24" s="195" t="s">
        <v>145</v>
      </c>
      <c r="X24" s="196">
        <v>1.1214999999999999E-2</v>
      </c>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195" t="s">
        <v>139</v>
      </c>
      <c r="X25" s="196">
        <v>8.5389999999999997E-3</v>
      </c>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195" t="s">
        <v>98</v>
      </c>
      <c r="X26" s="196">
        <v>8.4939999999999998E-3</v>
      </c>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195" t="s">
        <v>156</v>
      </c>
      <c r="X27" s="196">
        <v>7.5059999999999997E-3</v>
      </c>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195" t="s">
        <v>140</v>
      </c>
      <c r="X28" s="196">
        <v>7.3179999999999999E-3</v>
      </c>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195" t="s">
        <v>129</v>
      </c>
      <c r="X29" s="196">
        <v>7.1970000000000003E-3</v>
      </c>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195" t="s">
        <v>13</v>
      </c>
      <c r="X30" s="196">
        <v>6.8469999999999998E-3</v>
      </c>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195" t="s">
        <v>15</v>
      </c>
      <c r="X31" s="196">
        <v>6.7720000000000002E-3</v>
      </c>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195" t="s">
        <v>154</v>
      </c>
      <c r="X32" s="196">
        <v>6.7289999999999997E-3</v>
      </c>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195" t="s">
        <v>142</v>
      </c>
      <c r="X33" s="196">
        <v>5.9380000000000006E-3</v>
      </c>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195" t="s">
        <v>143</v>
      </c>
      <c r="X34" s="196">
        <v>5.8630000000000002E-3</v>
      </c>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195" t="s">
        <v>155</v>
      </c>
      <c r="X35" s="196">
        <v>5.2890000000000003E-3</v>
      </c>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195" t="s">
        <v>25</v>
      </c>
      <c r="X36" s="196">
        <v>4.8890000000000001E-3</v>
      </c>
    </row>
    <row r="37" spans="2:24" ht="15" customHeight="1" x14ac:dyDescent="0.25">
      <c r="B37" s="75"/>
      <c r="C37" s="30"/>
      <c r="D37" s="30"/>
      <c r="E37" s="30"/>
      <c r="F37" s="30"/>
      <c r="G37" s="30"/>
      <c r="H37" s="30"/>
      <c r="I37" s="30"/>
      <c r="J37" s="30"/>
      <c r="K37" s="30"/>
      <c r="L37" s="30"/>
      <c r="M37" s="30"/>
      <c r="N37" s="30"/>
      <c r="O37" s="30"/>
      <c r="P37" s="30"/>
      <c r="Q37" s="30"/>
      <c r="R37" s="30"/>
      <c r="S37" s="30"/>
      <c r="T37" s="30"/>
      <c r="U37" s="26"/>
      <c r="W37" s="195" t="s">
        <v>87</v>
      </c>
      <c r="X37" s="196">
        <v>4.8840000000000003E-3</v>
      </c>
    </row>
    <row r="38" spans="2:24" ht="15" customHeight="1" x14ac:dyDescent="0.25">
      <c r="B38" s="75"/>
      <c r="C38" s="30"/>
      <c r="D38" s="30"/>
      <c r="E38" s="30"/>
      <c r="F38" s="30"/>
      <c r="G38" s="30"/>
      <c r="H38" s="30"/>
      <c r="I38" s="30"/>
      <c r="J38" s="30"/>
      <c r="K38" s="30"/>
      <c r="L38" s="30"/>
      <c r="M38" s="30"/>
      <c r="N38" s="30"/>
      <c r="O38" s="30"/>
      <c r="P38" s="30"/>
      <c r="Q38" s="30"/>
      <c r="R38" s="30"/>
      <c r="S38" s="30"/>
      <c r="T38" s="30"/>
      <c r="U38" s="26"/>
      <c r="W38" s="195" t="s">
        <v>133</v>
      </c>
      <c r="X38" s="196">
        <v>3.888E-3</v>
      </c>
    </row>
    <row r="39" spans="2:24" ht="15" customHeight="1" x14ac:dyDescent="0.25">
      <c r="B39" s="75"/>
      <c r="C39" s="30"/>
      <c r="D39" s="30"/>
      <c r="E39" s="30"/>
      <c r="F39" s="30"/>
      <c r="G39" s="30"/>
      <c r="H39" s="30"/>
      <c r="I39" s="30"/>
      <c r="J39" s="30"/>
      <c r="K39" s="30"/>
      <c r="L39" s="30"/>
      <c r="M39" s="30"/>
      <c r="N39" s="30"/>
      <c r="O39" s="30"/>
      <c r="P39" s="30"/>
      <c r="Q39" s="30"/>
      <c r="R39" s="30"/>
      <c r="S39" s="30"/>
      <c r="T39" s="30"/>
      <c r="U39" s="26"/>
      <c r="W39" s="195" t="s">
        <v>137</v>
      </c>
      <c r="X39" s="196">
        <v>3.1449999999999998E-3</v>
      </c>
    </row>
    <row r="40" spans="2:24" ht="15" customHeight="1" thickBot="1" x14ac:dyDescent="0.3">
      <c r="B40" s="88"/>
      <c r="C40" s="31"/>
      <c r="D40" s="31"/>
      <c r="E40" s="31"/>
      <c r="F40" s="31"/>
      <c r="G40" s="31"/>
      <c r="H40" s="31"/>
      <c r="I40" s="31"/>
      <c r="J40" s="31"/>
      <c r="K40" s="31"/>
      <c r="L40" s="31"/>
      <c r="M40" s="31"/>
      <c r="N40" s="31"/>
      <c r="O40" s="31"/>
      <c r="P40" s="31"/>
      <c r="Q40" s="31"/>
      <c r="R40" s="31"/>
      <c r="S40" s="31"/>
      <c r="T40" s="31"/>
      <c r="U40" s="27"/>
      <c r="W40" s="72" t="s">
        <v>148</v>
      </c>
      <c r="X40" s="72">
        <v>3.0300000000000001E-3</v>
      </c>
    </row>
    <row r="41" spans="2:24" ht="15" customHeight="1" thickBot="1" x14ac:dyDescent="0.3">
      <c r="W41" s="195" t="s">
        <v>157</v>
      </c>
      <c r="X41" s="196">
        <v>2.7859999999999998E-3</v>
      </c>
    </row>
    <row r="42" spans="2:24" ht="15" customHeight="1" x14ac:dyDescent="0.25">
      <c r="B42" s="245" t="s">
        <v>234</v>
      </c>
      <c r="C42" s="246"/>
      <c r="D42" s="246"/>
      <c r="E42" s="246"/>
      <c r="F42" s="246"/>
      <c r="G42" s="246"/>
      <c r="H42" s="246"/>
      <c r="I42" s="246"/>
      <c r="J42" s="246"/>
      <c r="K42" s="246"/>
      <c r="L42" s="246"/>
      <c r="M42" s="246"/>
      <c r="N42" s="246"/>
      <c r="O42" s="246"/>
      <c r="P42" s="246"/>
      <c r="Q42" s="246"/>
      <c r="R42" s="247"/>
      <c r="W42" s="195" t="s">
        <v>146</v>
      </c>
      <c r="X42" s="196">
        <v>2.4169999999999999E-3</v>
      </c>
    </row>
    <row r="43" spans="2:24" ht="15" customHeight="1" x14ac:dyDescent="0.25">
      <c r="B43" s="248"/>
      <c r="C43" s="249"/>
      <c r="D43" s="249"/>
      <c r="E43" s="249"/>
      <c r="F43" s="249"/>
      <c r="G43" s="249"/>
      <c r="H43" s="249"/>
      <c r="I43" s="249"/>
      <c r="J43" s="249"/>
      <c r="K43" s="249"/>
      <c r="L43" s="249"/>
      <c r="M43" s="249"/>
      <c r="N43" s="249"/>
      <c r="O43" s="249"/>
      <c r="P43" s="249"/>
      <c r="Q43" s="249"/>
      <c r="R43" s="250"/>
      <c r="W43" s="195" t="s">
        <v>95</v>
      </c>
      <c r="X43" s="196">
        <v>2.0590000000000001E-3</v>
      </c>
    </row>
    <row r="44" spans="2:24" ht="15" customHeight="1" x14ac:dyDescent="0.25">
      <c r="B44" s="248"/>
      <c r="C44" s="249"/>
      <c r="D44" s="249"/>
      <c r="E44" s="249"/>
      <c r="F44" s="249"/>
      <c r="G44" s="249"/>
      <c r="H44" s="249"/>
      <c r="I44" s="249"/>
      <c r="J44" s="249"/>
      <c r="K44" s="249"/>
      <c r="L44" s="249"/>
      <c r="M44" s="249"/>
      <c r="N44" s="249"/>
      <c r="O44" s="249"/>
      <c r="P44" s="249"/>
      <c r="Q44" s="249"/>
      <c r="R44" s="250"/>
      <c r="W44" s="195" t="s">
        <v>96</v>
      </c>
      <c r="X44" s="196">
        <v>2.0089999999999999E-3</v>
      </c>
    </row>
    <row r="45" spans="2:24" ht="15" customHeight="1" x14ac:dyDescent="0.25">
      <c r="B45" s="248"/>
      <c r="C45" s="249"/>
      <c r="D45" s="249"/>
      <c r="E45" s="249"/>
      <c r="F45" s="249"/>
      <c r="G45" s="249"/>
      <c r="H45" s="249"/>
      <c r="I45" s="249"/>
      <c r="J45" s="249"/>
      <c r="K45" s="249"/>
      <c r="L45" s="249"/>
      <c r="M45" s="249"/>
      <c r="N45" s="249"/>
      <c r="O45" s="249"/>
      <c r="P45" s="249"/>
      <c r="Q45" s="249"/>
      <c r="R45" s="250"/>
    </row>
    <row r="46" spans="2:24" ht="15" customHeight="1" x14ac:dyDescent="0.25">
      <c r="B46" s="248"/>
      <c r="C46" s="249"/>
      <c r="D46" s="249"/>
      <c r="E46" s="249"/>
      <c r="F46" s="249"/>
      <c r="G46" s="249"/>
      <c r="H46" s="249"/>
      <c r="I46" s="249"/>
      <c r="J46" s="249"/>
      <c r="K46" s="249"/>
      <c r="L46" s="249"/>
      <c r="M46" s="249"/>
      <c r="N46" s="249"/>
      <c r="O46" s="249"/>
      <c r="P46" s="249"/>
      <c r="Q46" s="249"/>
      <c r="R46" s="250"/>
    </row>
    <row r="47" spans="2:24" ht="15" customHeight="1" x14ac:dyDescent="0.25">
      <c r="B47" s="248"/>
      <c r="C47" s="249"/>
      <c r="D47" s="249"/>
      <c r="E47" s="249"/>
      <c r="F47" s="249"/>
      <c r="G47" s="249"/>
      <c r="H47" s="249"/>
      <c r="I47" s="249"/>
      <c r="J47" s="249"/>
      <c r="K47" s="249"/>
      <c r="L47" s="249"/>
      <c r="M47" s="249"/>
      <c r="N47" s="249"/>
      <c r="O47" s="249"/>
      <c r="P47" s="249"/>
      <c r="Q47" s="249"/>
      <c r="R47" s="250"/>
    </row>
    <row r="48" spans="2:24" ht="15" customHeight="1" thickBot="1" x14ac:dyDescent="0.3">
      <c r="B48" s="251"/>
      <c r="C48" s="252"/>
      <c r="D48" s="252"/>
      <c r="E48" s="252"/>
      <c r="F48" s="252"/>
      <c r="G48" s="252"/>
      <c r="H48" s="252"/>
      <c r="I48" s="252"/>
      <c r="J48" s="252"/>
      <c r="K48" s="252"/>
      <c r="L48" s="252"/>
      <c r="M48" s="252"/>
      <c r="N48" s="252"/>
      <c r="O48" s="252"/>
      <c r="P48" s="252"/>
      <c r="Q48" s="252"/>
      <c r="R48" s="25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4" t="s">
        <v>194</v>
      </c>
      <c r="D3" s="255"/>
      <c r="E3" s="255"/>
      <c r="F3" s="255"/>
      <c r="G3" s="255"/>
      <c r="H3" s="255"/>
      <c r="I3" s="255"/>
      <c r="J3" s="255"/>
      <c r="K3" s="255"/>
      <c r="L3" s="255"/>
      <c r="M3" s="255"/>
      <c r="N3" s="255"/>
      <c r="O3" s="255"/>
      <c r="P3" s="255"/>
      <c r="Q3" s="255"/>
      <c r="R3" s="255"/>
      <c r="S3" s="255"/>
      <c r="T3" s="76"/>
      <c r="U3" s="77"/>
    </row>
    <row r="4" spans="1:24" ht="15.75" x14ac:dyDescent="0.25">
      <c r="B4" s="75"/>
      <c r="C4" s="78" t="s">
        <v>313</v>
      </c>
      <c r="D4" s="30"/>
      <c r="E4" s="30"/>
      <c r="F4" s="30"/>
      <c r="G4" s="30"/>
      <c r="H4" s="30"/>
      <c r="I4" s="30"/>
      <c r="J4" s="30"/>
      <c r="K4" s="30"/>
      <c r="L4" s="30"/>
      <c r="M4" s="30"/>
      <c r="N4" s="30"/>
      <c r="O4" s="30"/>
      <c r="P4" s="30"/>
      <c r="Q4" s="30"/>
      <c r="R4" s="30"/>
      <c r="S4" s="30"/>
      <c r="T4" s="30"/>
      <c r="U4" s="26"/>
    </row>
    <row r="5" spans="1:24" ht="20.25" x14ac:dyDescent="0.25">
      <c r="B5" s="75"/>
      <c r="C5" s="79" t="s">
        <v>314</v>
      </c>
      <c r="D5" s="258" t="s">
        <v>294</v>
      </c>
      <c r="E5" s="258"/>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0" t="s">
        <v>159</v>
      </c>
      <c r="D8" s="221" t="s">
        <v>136</v>
      </c>
      <c r="E8" s="222">
        <v>5.0777000000000003E-2</v>
      </c>
      <c r="F8" s="30"/>
      <c r="G8" s="30"/>
      <c r="H8" s="30"/>
      <c r="I8" s="30"/>
      <c r="J8" s="30"/>
      <c r="K8" s="30"/>
      <c r="L8" s="30"/>
      <c r="M8" s="30"/>
      <c r="N8" s="30"/>
      <c r="O8" s="30"/>
      <c r="P8" s="30"/>
      <c r="Q8" s="30"/>
      <c r="R8" s="30"/>
      <c r="S8" s="30"/>
      <c r="T8" s="30"/>
      <c r="U8" s="26"/>
      <c r="W8" s="70" t="s">
        <v>4</v>
      </c>
      <c r="X8" s="72">
        <v>0.16877599999999998</v>
      </c>
    </row>
    <row r="9" spans="1:24" ht="15.75" x14ac:dyDescent="0.25">
      <c r="B9" s="75"/>
      <c r="C9" s="210" t="s">
        <v>107</v>
      </c>
      <c r="D9" s="223" t="s">
        <v>95</v>
      </c>
      <c r="E9" s="224">
        <v>4.9415000000000001E-2</v>
      </c>
      <c r="F9" s="30"/>
      <c r="G9" s="30"/>
      <c r="H9" s="30"/>
      <c r="I9" s="30"/>
      <c r="J9" s="30"/>
      <c r="K9" s="30"/>
      <c r="L9" s="30"/>
      <c r="M9" s="30"/>
      <c r="N9" s="30"/>
      <c r="O9" s="30"/>
      <c r="P9" s="30"/>
      <c r="Q9" s="30"/>
      <c r="R9" s="30"/>
      <c r="S9" s="30"/>
      <c r="T9" s="30"/>
      <c r="U9" s="26"/>
      <c r="W9" s="70" t="s">
        <v>3</v>
      </c>
      <c r="X9" s="72">
        <v>0.143651</v>
      </c>
    </row>
    <row r="10" spans="1:24" ht="15.75" x14ac:dyDescent="0.25">
      <c r="B10" s="75"/>
      <c r="C10" s="210" t="s">
        <v>128</v>
      </c>
      <c r="D10" s="223" t="s">
        <v>4</v>
      </c>
      <c r="E10" s="224">
        <v>4.8460999999999997E-2</v>
      </c>
      <c r="F10" s="30"/>
      <c r="G10" s="30"/>
      <c r="H10" s="30"/>
      <c r="I10" s="30"/>
      <c r="J10" s="30"/>
      <c r="K10" s="30"/>
      <c r="L10" s="30"/>
      <c r="M10" s="30"/>
      <c r="N10" s="30"/>
      <c r="O10" s="30"/>
      <c r="P10" s="30"/>
      <c r="Q10" s="30"/>
      <c r="R10" s="30"/>
      <c r="S10" s="30"/>
      <c r="T10" s="30"/>
      <c r="U10" s="26"/>
      <c r="W10" s="70" t="s">
        <v>136</v>
      </c>
      <c r="X10" s="72">
        <v>9.8855999999999999E-2</v>
      </c>
    </row>
    <row r="11" spans="1:24" ht="15.75" x14ac:dyDescent="0.25">
      <c r="B11" s="75"/>
      <c r="C11" s="210" t="s">
        <v>173</v>
      </c>
      <c r="D11" s="223" t="s">
        <v>136</v>
      </c>
      <c r="E11" s="224">
        <v>4.8078999999999997E-2</v>
      </c>
      <c r="F11" s="30"/>
      <c r="G11" s="30"/>
      <c r="H11" s="30"/>
      <c r="I11" s="30"/>
      <c r="J11" s="30"/>
      <c r="K11" s="30"/>
      <c r="L11" s="30"/>
      <c r="M11" s="30"/>
      <c r="N11" s="30"/>
      <c r="O11" s="30"/>
      <c r="P11" s="30"/>
      <c r="Q11" s="30"/>
      <c r="R11" s="30"/>
      <c r="S11" s="30"/>
      <c r="T11" s="30"/>
      <c r="U11" s="26"/>
      <c r="W11" s="70" t="s">
        <v>24</v>
      </c>
      <c r="X11" s="72">
        <v>9.3424000000000007E-2</v>
      </c>
    </row>
    <row r="12" spans="1:24" ht="15.75" x14ac:dyDescent="0.25">
      <c r="B12" s="75"/>
      <c r="C12" s="210" t="s">
        <v>36</v>
      </c>
      <c r="D12" s="223" t="s">
        <v>3</v>
      </c>
      <c r="E12" s="224">
        <v>4.7176999999999997E-2</v>
      </c>
      <c r="F12" s="30"/>
      <c r="G12" s="30"/>
      <c r="H12" s="30"/>
      <c r="I12" s="30"/>
      <c r="J12" s="30"/>
      <c r="K12" s="30"/>
      <c r="L12" s="30"/>
      <c r="M12" s="30"/>
      <c r="N12" s="30"/>
      <c r="O12" s="30"/>
      <c r="P12" s="30"/>
      <c r="Q12" s="30"/>
      <c r="R12" s="30"/>
      <c r="S12" s="30"/>
      <c r="T12" s="30"/>
      <c r="U12" s="26"/>
      <c r="W12" s="70" t="s">
        <v>143</v>
      </c>
      <c r="X12" s="72">
        <v>8.4248999999999991E-2</v>
      </c>
    </row>
    <row r="13" spans="1:24" ht="15.75" x14ac:dyDescent="0.25">
      <c r="B13" s="75"/>
      <c r="C13" s="210" t="s">
        <v>244</v>
      </c>
      <c r="D13" s="223" t="s">
        <v>143</v>
      </c>
      <c r="E13" s="224">
        <v>4.7084000000000001E-2</v>
      </c>
      <c r="F13" s="30"/>
      <c r="G13" s="30"/>
      <c r="H13" s="30"/>
      <c r="I13" s="30"/>
      <c r="J13" s="30"/>
      <c r="K13" s="30"/>
      <c r="L13" s="30"/>
      <c r="M13" s="30"/>
      <c r="N13" s="30"/>
      <c r="O13" s="30"/>
      <c r="P13" s="30"/>
      <c r="Q13" s="30"/>
      <c r="R13" s="30"/>
      <c r="S13" s="30"/>
      <c r="T13" s="30"/>
      <c r="U13" s="26"/>
      <c r="W13" s="70" t="s">
        <v>98</v>
      </c>
      <c r="X13" s="72">
        <v>7.9565999999999998E-2</v>
      </c>
    </row>
    <row r="14" spans="1:24" ht="15.75" x14ac:dyDescent="0.25">
      <c r="B14" s="75"/>
      <c r="C14" s="210" t="s">
        <v>30</v>
      </c>
      <c r="D14" s="223" t="s">
        <v>141</v>
      </c>
      <c r="E14" s="224">
        <v>4.5922999999999999E-2</v>
      </c>
      <c r="F14" s="30"/>
      <c r="G14" s="30"/>
      <c r="H14" s="30"/>
      <c r="I14" s="30"/>
      <c r="J14" s="30"/>
      <c r="K14" s="30"/>
      <c r="L14" s="30"/>
      <c r="M14" s="30"/>
      <c r="N14" s="30"/>
      <c r="O14" s="30"/>
      <c r="P14" s="30"/>
      <c r="Q14" s="30"/>
      <c r="R14" s="30"/>
      <c r="S14" s="30"/>
      <c r="T14" s="30"/>
      <c r="U14" s="26"/>
      <c r="W14" s="70" t="s">
        <v>135</v>
      </c>
      <c r="X14" s="72">
        <v>6.3604999999999995E-2</v>
      </c>
    </row>
    <row r="15" spans="1:24" ht="15.75" x14ac:dyDescent="0.25">
      <c r="B15" s="75"/>
      <c r="C15" s="210" t="s">
        <v>84</v>
      </c>
      <c r="D15" s="223" t="s">
        <v>4</v>
      </c>
      <c r="E15" s="224">
        <v>4.5775000000000003E-2</v>
      </c>
      <c r="F15" s="30"/>
      <c r="G15" s="30"/>
      <c r="H15" s="30"/>
      <c r="I15" s="30"/>
      <c r="J15" s="30"/>
      <c r="K15" s="30"/>
      <c r="L15" s="30"/>
      <c r="M15" s="30"/>
      <c r="N15" s="30"/>
      <c r="O15" s="30"/>
      <c r="P15" s="30"/>
      <c r="Q15" s="30"/>
      <c r="R15" s="30"/>
      <c r="S15" s="30"/>
      <c r="T15" s="30"/>
      <c r="U15" s="26"/>
      <c r="W15" s="70" t="s">
        <v>95</v>
      </c>
      <c r="X15" s="72">
        <v>4.9415000000000001E-2</v>
      </c>
    </row>
    <row r="16" spans="1:24" ht="15.75" x14ac:dyDescent="0.25">
      <c r="B16" s="75"/>
      <c r="C16" s="210" t="s">
        <v>189</v>
      </c>
      <c r="D16" s="223" t="s">
        <v>145</v>
      </c>
      <c r="E16" s="224">
        <v>4.4840999999999999E-2</v>
      </c>
      <c r="F16" s="30"/>
      <c r="G16" s="30"/>
      <c r="H16" s="30"/>
      <c r="I16" s="30"/>
      <c r="J16" s="30"/>
      <c r="K16" s="30"/>
      <c r="L16" s="30"/>
      <c r="M16" s="30"/>
      <c r="N16" s="30"/>
      <c r="O16" s="30"/>
      <c r="P16" s="30"/>
      <c r="Q16" s="30"/>
      <c r="R16" s="30"/>
      <c r="S16" s="30"/>
      <c r="T16" s="30"/>
      <c r="U16" s="26"/>
      <c r="W16" s="70" t="s">
        <v>141</v>
      </c>
      <c r="X16" s="72">
        <v>4.5922999999999999E-2</v>
      </c>
    </row>
    <row r="17" spans="2:24" ht="15.75" x14ac:dyDescent="0.25">
      <c r="B17" s="75"/>
      <c r="C17" s="210" t="s">
        <v>73</v>
      </c>
      <c r="D17" s="223" t="s">
        <v>4</v>
      </c>
      <c r="E17" s="224">
        <v>4.3066E-2</v>
      </c>
      <c r="F17" s="30"/>
      <c r="G17" s="30"/>
      <c r="H17" s="30"/>
      <c r="I17" s="30"/>
      <c r="J17" s="30"/>
      <c r="K17" s="30"/>
      <c r="L17" s="30"/>
      <c r="M17" s="30"/>
      <c r="N17" s="30"/>
      <c r="O17" s="30"/>
      <c r="P17" s="30"/>
      <c r="Q17" s="30"/>
      <c r="R17" s="30"/>
      <c r="S17" s="30"/>
      <c r="T17" s="30"/>
      <c r="U17" s="26"/>
      <c r="W17" s="70" t="s">
        <v>145</v>
      </c>
      <c r="X17" s="72">
        <v>4.4840999999999999E-2</v>
      </c>
    </row>
    <row r="18" spans="2:24" ht="15.75" x14ac:dyDescent="0.25">
      <c r="B18" s="75"/>
      <c r="C18" s="210" t="s">
        <v>249</v>
      </c>
      <c r="D18" s="223" t="s">
        <v>3</v>
      </c>
      <c r="E18" s="224">
        <v>4.2308999999999999E-2</v>
      </c>
      <c r="F18" s="30"/>
      <c r="G18" s="30"/>
      <c r="H18" s="30"/>
      <c r="I18" s="30"/>
      <c r="J18" s="30"/>
      <c r="K18" s="30"/>
      <c r="L18" s="30"/>
      <c r="M18" s="30"/>
      <c r="N18" s="30"/>
      <c r="O18" s="30"/>
      <c r="P18" s="30"/>
      <c r="Q18" s="30"/>
      <c r="R18" s="30"/>
      <c r="S18" s="30"/>
      <c r="T18" s="30"/>
      <c r="U18" s="26"/>
      <c r="W18" s="70" t="s">
        <v>26</v>
      </c>
      <c r="X18" s="72">
        <v>3.5338000000000001E-2</v>
      </c>
    </row>
    <row r="19" spans="2:24" ht="15.75" x14ac:dyDescent="0.25">
      <c r="B19" s="75"/>
      <c r="C19" s="210" t="s">
        <v>153</v>
      </c>
      <c r="D19" s="223" t="s">
        <v>98</v>
      </c>
      <c r="E19" s="224">
        <v>3.9927999999999998E-2</v>
      </c>
      <c r="F19" s="30"/>
      <c r="G19" s="30"/>
      <c r="H19" s="30"/>
      <c r="I19" s="30"/>
      <c r="J19" s="30"/>
      <c r="K19" s="30"/>
      <c r="L19" s="30"/>
      <c r="M19" s="30"/>
      <c r="N19" s="30"/>
      <c r="O19" s="30"/>
      <c r="P19" s="30"/>
      <c r="Q19" s="30"/>
      <c r="R19" s="30"/>
      <c r="S19" s="30"/>
      <c r="T19" s="30"/>
      <c r="U19" s="26"/>
      <c r="W19" s="70" t="s">
        <v>148</v>
      </c>
      <c r="X19" s="72">
        <v>3.1126000000000001E-2</v>
      </c>
    </row>
    <row r="20" spans="2:24" ht="15.75" x14ac:dyDescent="0.25">
      <c r="B20" s="75"/>
      <c r="C20" s="210" t="s">
        <v>185</v>
      </c>
      <c r="D20" s="223" t="s">
        <v>98</v>
      </c>
      <c r="E20" s="224">
        <v>3.9638E-2</v>
      </c>
      <c r="F20" s="30"/>
      <c r="G20" s="30"/>
      <c r="H20" s="30"/>
      <c r="I20" s="30"/>
      <c r="J20" s="30"/>
      <c r="K20" s="30"/>
      <c r="L20" s="30"/>
      <c r="M20" s="30"/>
      <c r="N20" s="30"/>
      <c r="O20" s="30"/>
      <c r="P20" s="30"/>
      <c r="Q20" s="30"/>
      <c r="R20" s="30"/>
      <c r="S20" s="30"/>
      <c r="T20" s="30"/>
      <c r="U20" s="26"/>
      <c r="W20" s="70" t="s">
        <v>94</v>
      </c>
      <c r="X20" s="72">
        <v>3.0318999999999999E-2</v>
      </c>
    </row>
    <row r="21" spans="2:24" ht="15.75" x14ac:dyDescent="0.25">
      <c r="B21" s="75"/>
      <c r="C21" s="210" t="s">
        <v>168</v>
      </c>
      <c r="D21" s="223" t="s">
        <v>3</v>
      </c>
      <c r="E21" s="224">
        <v>3.9039999999999998E-2</v>
      </c>
      <c r="F21" s="30"/>
      <c r="G21" s="30"/>
      <c r="H21" s="30"/>
      <c r="I21" s="30"/>
      <c r="J21" s="30"/>
      <c r="K21" s="30"/>
      <c r="L21" s="30"/>
      <c r="M21" s="30"/>
      <c r="N21" s="30"/>
      <c r="O21" s="30"/>
      <c r="P21" s="30"/>
      <c r="Q21" s="30"/>
      <c r="R21" s="30"/>
      <c r="S21" s="30"/>
      <c r="T21" s="30"/>
      <c r="U21" s="26"/>
      <c r="W21" s="70" t="s">
        <v>133</v>
      </c>
      <c r="X21" s="72">
        <v>1.7635999999999999E-2</v>
      </c>
    </row>
    <row r="22" spans="2:24" ht="15.75" x14ac:dyDescent="0.25">
      <c r="B22" s="75"/>
      <c r="C22" s="210" t="s">
        <v>113</v>
      </c>
      <c r="D22" s="223" t="s">
        <v>143</v>
      </c>
      <c r="E22" s="224">
        <v>3.7164999999999997E-2</v>
      </c>
      <c r="F22" s="30"/>
      <c r="G22" s="30"/>
      <c r="H22" s="30"/>
      <c r="I22" s="30"/>
      <c r="J22" s="30"/>
      <c r="K22" s="30"/>
      <c r="L22" s="30"/>
      <c r="M22" s="30"/>
      <c r="N22" s="30"/>
      <c r="O22" s="30"/>
      <c r="P22" s="30"/>
      <c r="Q22" s="30"/>
      <c r="R22" s="30"/>
      <c r="S22" s="30"/>
      <c r="T22" s="30"/>
      <c r="U22" s="26"/>
      <c r="W22" s="70" t="s">
        <v>87</v>
      </c>
      <c r="X22" s="72">
        <v>1.3858000000000001E-2</v>
      </c>
    </row>
    <row r="23" spans="2:24" x14ac:dyDescent="0.25">
      <c r="B23" s="75"/>
      <c r="C23" s="83"/>
      <c r="D23" s="83"/>
      <c r="E23" s="84"/>
      <c r="F23" s="30"/>
      <c r="G23" s="30"/>
      <c r="H23" s="30"/>
      <c r="I23" s="30"/>
      <c r="J23" s="30"/>
      <c r="K23" s="30"/>
      <c r="L23" s="30"/>
      <c r="M23" s="30"/>
      <c r="N23" s="30"/>
      <c r="O23" s="30"/>
      <c r="P23" s="30"/>
      <c r="Q23" s="30"/>
      <c r="R23" s="30"/>
      <c r="S23" s="30"/>
      <c r="T23" s="30"/>
      <c r="U23" s="26"/>
      <c r="W23" s="70"/>
      <c r="X23" s="72"/>
    </row>
    <row r="24" spans="2:24" ht="15.75" x14ac:dyDescent="0.25">
      <c r="B24" s="75"/>
      <c r="C24" s="85" t="s">
        <v>55</v>
      </c>
      <c r="D24" s="86"/>
      <c r="E24" s="87">
        <f>SUM(E8:E22)</f>
        <v>0.66867799999999988</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5" t="s">
        <v>234</v>
      </c>
      <c r="C39" s="246"/>
      <c r="D39" s="246"/>
      <c r="E39" s="246"/>
      <c r="F39" s="246"/>
      <c r="G39" s="246"/>
      <c r="H39" s="246"/>
      <c r="I39" s="246"/>
      <c r="J39" s="246"/>
      <c r="K39" s="246"/>
      <c r="L39" s="246"/>
      <c r="M39" s="246"/>
      <c r="N39" s="246"/>
      <c r="O39" s="246"/>
      <c r="P39" s="246"/>
      <c r="Q39" s="246"/>
      <c r="R39" s="247"/>
      <c r="W39" s="70"/>
      <c r="X39" s="72"/>
    </row>
    <row r="40" spans="2:24" x14ac:dyDescent="0.25">
      <c r="B40" s="248"/>
      <c r="C40" s="249"/>
      <c r="D40" s="249"/>
      <c r="E40" s="249"/>
      <c r="F40" s="249"/>
      <c r="G40" s="249"/>
      <c r="H40" s="249"/>
      <c r="I40" s="249"/>
      <c r="J40" s="249"/>
      <c r="K40" s="249"/>
      <c r="L40" s="249"/>
      <c r="M40" s="249"/>
      <c r="N40" s="249"/>
      <c r="O40" s="249"/>
      <c r="P40" s="249"/>
      <c r="Q40" s="249"/>
      <c r="R40" s="250"/>
      <c r="W40" s="70"/>
      <c r="X40" s="72"/>
    </row>
    <row r="41" spans="2:24" x14ac:dyDescent="0.25">
      <c r="B41" s="248"/>
      <c r="C41" s="249"/>
      <c r="D41" s="249"/>
      <c r="E41" s="249"/>
      <c r="F41" s="249"/>
      <c r="G41" s="249"/>
      <c r="H41" s="249"/>
      <c r="I41" s="249"/>
      <c r="J41" s="249"/>
      <c r="K41" s="249"/>
      <c r="L41" s="249"/>
      <c r="M41" s="249"/>
      <c r="N41" s="249"/>
      <c r="O41" s="249"/>
      <c r="P41" s="249"/>
      <c r="Q41" s="249"/>
      <c r="R41" s="250"/>
      <c r="W41" s="70"/>
      <c r="X41" s="72"/>
    </row>
    <row r="42" spans="2:24" x14ac:dyDescent="0.25">
      <c r="B42" s="248"/>
      <c r="C42" s="249"/>
      <c r="D42" s="249"/>
      <c r="E42" s="249"/>
      <c r="F42" s="249"/>
      <c r="G42" s="249"/>
      <c r="H42" s="249"/>
      <c r="I42" s="249"/>
      <c r="J42" s="249"/>
      <c r="K42" s="249"/>
      <c r="L42" s="249"/>
      <c r="M42" s="249"/>
      <c r="N42" s="249"/>
      <c r="O42" s="249"/>
      <c r="P42" s="249"/>
      <c r="Q42" s="249"/>
      <c r="R42" s="250"/>
      <c r="W42" s="70"/>
      <c r="X42" s="72"/>
    </row>
    <row r="43" spans="2:24" x14ac:dyDescent="0.25">
      <c r="B43" s="248"/>
      <c r="C43" s="249"/>
      <c r="D43" s="249"/>
      <c r="E43" s="249"/>
      <c r="F43" s="249"/>
      <c r="G43" s="249"/>
      <c r="H43" s="249"/>
      <c r="I43" s="249"/>
      <c r="J43" s="249"/>
      <c r="K43" s="249"/>
      <c r="L43" s="249"/>
      <c r="M43" s="249"/>
      <c r="N43" s="249"/>
      <c r="O43" s="249"/>
      <c r="P43" s="249"/>
      <c r="Q43" s="249"/>
      <c r="R43" s="250"/>
    </row>
    <row r="44" spans="2:24" x14ac:dyDescent="0.25">
      <c r="B44" s="248"/>
      <c r="C44" s="249"/>
      <c r="D44" s="249"/>
      <c r="E44" s="249"/>
      <c r="F44" s="249"/>
      <c r="G44" s="249"/>
      <c r="H44" s="249"/>
      <c r="I44" s="249"/>
      <c r="J44" s="249"/>
      <c r="K44" s="249"/>
      <c r="L44" s="249"/>
      <c r="M44" s="249"/>
      <c r="N44" s="249"/>
      <c r="O44" s="249"/>
      <c r="P44" s="249"/>
      <c r="Q44" s="249"/>
      <c r="R44" s="250"/>
    </row>
    <row r="45" spans="2:24" ht="15.75" thickBot="1" x14ac:dyDescent="0.3">
      <c r="B45" s="251"/>
      <c r="C45" s="252"/>
      <c r="D45" s="252"/>
      <c r="E45" s="252"/>
      <c r="F45" s="252"/>
      <c r="G45" s="252"/>
      <c r="H45" s="252"/>
      <c r="I45" s="252"/>
      <c r="J45" s="252"/>
      <c r="K45" s="252"/>
      <c r="L45" s="252"/>
      <c r="M45" s="252"/>
      <c r="N45" s="252"/>
      <c r="O45" s="252"/>
      <c r="P45" s="252"/>
      <c r="Q45" s="252"/>
      <c r="R45" s="25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4" t="s">
        <v>193</v>
      </c>
      <c r="D3" s="255"/>
      <c r="E3" s="255"/>
      <c r="F3" s="255"/>
      <c r="G3" s="255"/>
      <c r="H3" s="255"/>
      <c r="I3" s="255"/>
      <c r="J3" s="255"/>
      <c r="K3" s="255"/>
      <c r="L3" s="255"/>
      <c r="M3" s="255"/>
      <c r="N3" s="255"/>
      <c r="O3" s="255"/>
      <c r="P3" s="255"/>
      <c r="Q3" s="255"/>
      <c r="R3" s="255"/>
      <c r="S3" s="255"/>
      <c r="T3" s="76"/>
      <c r="U3" s="77"/>
    </row>
    <row r="4" spans="1:24" ht="15.75" x14ac:dyDescent="0.25">
      <c r="B4" s="75"/>
      <c r="C4" s="78" t="s">
        <v>313</v>
      </c>
      <c r="D4" s="30"/>
      <c r="E4" s="30"/>
      <c r="F4" s="30"/>
      <c r="G4" s="30"/>
      <c r="H4" s="30"/>
      <c r="I4" s="30"/>
      <c r="J4" s="30"/>
      <c r="K4" s="30"/>
      <c r="L4" s="30"/>
      <c r="M4" s="30"/>
      <c r="N4" s="30"/>
      <c r="O4" s="30"/>
      <c r="P4" s="30"/>
      <c r="Q4" s="30"/>
      <c r="R4" s="30"/>
      <c r="S4" s="30"/>
      <c r="T4" s="30"/>
      <c r="U4" s="26"/>
    </row>
    <row r="5" spans="1:24" ht="20.25" x14ac:dyDescent="0.25">
      <c r="B5" s="75"/>
      <c r="C5" s="79" t="s">
        <v>314</v>
      </c>
      <c r="D5" s="258" t="s">
        <v>293</v>
      </c>
      <c r="E5" s="258"/>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30" x14ac:dyDescent="0.25">
      <c r="B8" s="75"/>
      <c r="C8" s="220" t="s">
        <v>80</v>
      </c>
      <c r="D8" s="221" t="s">
        <v>135</v>
      </c>
      <c r="E8" s="222">
        <v>4.2817000000000001E-2</v>
      </c>
      <c r="F8" s="30"/>
      <c r="G8" s="30"/>
      <c r="H8" s="30"/>
      <c r="I8" s="30"/>
      <c r="J8" s="30"/>
      <c r="K8" s="30"/>
      <c r="L8" s="30"/>
      <c r="M8" s="30"/>
      <c r="N8" s="30"/>
      <c r="O8" s="30"/>
      <c r="P8" s="30"/>
      <c r="Q8" s="30"/>
      <c r="R8" s="30"/>
      <c r="S8" s="30"/>
      <c r="T8" s="30"/>
      <c r="U8" s="26"/>
      <c r="W8" s="197" t="s">
        <v>135</v>
      </c>
      <c r="X8" s="196">
        <v>0.15553699999999998</v>
      </c>
    </row>
    <row r="9" spans="1:24" ht="30" x14ac:dyDescent="0.25">
      <c r="B9" s="75"/>
      <c r="C9" s="210" t="s">
        <v>127</v>
      </c>
      <c r="D9" s="223" t="s">
        <v>135</v>
      </c>
      <c r="E9" s="224">
        <v>4.2695999999999998E-2</v>
      </c>
      <c r="F9" s="30"/>
      <c r="G9" s="30"/>
      <c r="H9" s="30"/>
      <c r="I9" s="30"/>
      <c r="J9" s="30"/>
      <c r="K9" s="30"/>
      <c r="L9" s="30"/>
      <c r="M9" s="30"/>
      <c r="N9" s="30"/>
      <c r="O9" s="30"/>
      <c r="P9" s="30"/>
      <c r="Q9" s="30"/>
      <c r="R9" s="30"/>
      <c r="S9" s="30"/>
      <c r="T9" s="30"/>
      <c r="U9" s="26"/>
      <c r="W9" s="197" t="s">
        <v>130</v>
      </c>
      <c r="X9" s="196">
        <v>0.13621800000000001</v>
      </c>
    </row>
    <row r="10" spans="1:24" ht="30" x14ac:dyDescent="0.25">
      <c r="B10" s="75"/>
      <c r="C10" s="210" t="s">
        <v>172</v>
      </c>
      <c r="D10" s="223" t="s">
        <v>135</v>
      </c>
      <c r="E10" s="224">
        <v>4.0078999999999997E-2</v>
      </c>
      <c r="F10" s="30"/>
      <c r="G10" s="30"/>
      <c r="H10" s="30"/>
      <c r="I10" s="30"/>
      <c r="J10" s="30"/>
      <c r="K10" s="30"/>
      <c r="L10" s="30"/>
      <c r="M10" s="30"/>
      <c r="N10" s="30"/>
      <c r="O10" s="30"/>
      <c r="P10" s="30"/>
      <c r="Q10" s="30"/>
      <c r="R10" s="30"/>
      <c r="S10" s="30"/>
      <c r="T10" s="30"/>
      <c r="U10" s="26"/>
      <c r="W10" s="197" t="s">
        <v>3</v>
      </c>
      <c r="X10" s="196">
        <v>0.108427</v>
      </c>
    </row>
    <row r="11" spans="1:24" ht="15.75" x14ac:dyDescent="0.25">
      <c r="B11" s="75"/>
      <c r="C11" s="210" t="s">
        <v>63</v>
      </c>
      <c r="D11" s="223" t="s">
        <v>10</v>
      </c>
      <c r="E11" s="224">
        <v>4.0067999999999999E-2</v>
      </c>
      <c r="F11" s="30"/>
      <c r="G11" s="30"/>
      <c r="H11" s="30"/>
      <c r="I11" s="30"/>
      <c r="J11" s="30"/>
      <c r="K11" s="30"/>
      <c r="L11" s="30"/>
      <c r="M11" s="30"/>
      <c r="N11" s="30"/>
      <c r="O11" s="30"/>
      <c r="P11" s="30"/>
      <c r="Q11" s="30"/>
      <c r="R11" s="30"/>
      <c r="S11" s="30"/>
      <c r="T11" s="30"/>
      <c r="U11" s="26"/>
      <c r="W11" s="197" t="s">
        <v>10</v>
      </c>
      <c r="X11" s="196">
        <v>7.1698999999999999E-2</v>
      </c>
    </row>
    <row r="12" spans="1:24" ht="15.75" x14ac:dyDescent="0.25">
      <c r="B12" s="75"/>
      <c r="C12" s="210" t="s">
        <v>158</v>
      </c>
      <c r="D12" s="223" t="s">
        <v>131</v>
      </c>
      <c r="E12" s="224">
        <v>3.8814000000000001E-2</v>
      </c>
      <c r="F12" s="30"/>
      <c r="G12" s="30"/>
      <c r="H12" s="30"/>
      <c r="I12" s="30"/>
      <c r="J12" s="30"/>
      <c r="K12" s="30"/>
      <c r="L12" s="30"/>
      <c r="M12" s="30"/>
      <c r="N12" s="30"/>
      <c r="O12" s="30"/>
      <c r="P12" s="30"/>
      <c r="Q12" s="30"/>
      <c r="R12" s="30"/>
      <c r="S12" s="30"/>
      <c r="T12" s="30"/>
      <c r="U12" s="26"/>
      <c r="W12" s="197" t="s">
        <v>141</v>
      </c>
      <c r="X12" s="196">
        <v>7.014999999999999E-2</v>
      </c>
    </row>
    <row r="13" spans="1:24" ht="15.75" x14ac:dyDescent="0.25">
      <c r="B13" s="75"/>
      <c r="C13" s="210" t="s">
        <v>32</v>
      </c>
      <c r="D13" s="223" t="s">
        <v>3</v>
      </c>
      <c r="E13" s="224">
        <v>3.8789999999999998E-2</v>
      </c>
      <c r="F13" s="30"/>
      <c r="G13" s="30"/>
      <c r="H13" s="30"/>
      <c r="I13" s="30"/>
      <c r="J13" s="30"/>
      <c r="K13" s="30"/>
      <c r="L13" s="30"/>
      <c r="M13" s="30"/>
      <c r="N13" s="30"/>
      <c r="O13" s="30"/>
      <c r="P13" s="30"/>
      <c r="Q13" s="30"/>
      <c r="R13" s="30"/>
      <c r="S13" s="30"/>
      <c r="T13" s="30"/>
      <c r="U13" s="26"/>
      <c r="W13" s="197" t="s">
        <v>131</v>
      </c>
      <c r="X13" s="196">
        <v>6.9831000000000004E-2</v>
      </c>
    </row>
    <row r="14" spans="1:24" ht="15.75" x14ac:dyDescent="0.25">
      <c r="B14" s="75"/>
      <c r="C14" s="210" t="s">
        <v>34</v>
      </c>
      <c r="D14" s="223" t="s">
        <v>23</v>
      </c>
      <c r="E14" s="224">
        <v>3.7978999999999999E-2</v>
      </c>
      <c r="F14" s="30"/>
      <c r="G14" s="30"/>
      <c r="H14" s="30"/>
      <c r="I14" s="30"/>
      <c r="J14" s="30"/>
      <c r="K14" s="30"/>
      <c r="L14" s="30"/>
      <c r="M14" s="30"/>
      <c r="N14" s="30"/>
      <c r="O14" s="30"/>
      <c r="P14" s="30"/>
      <c r="Q14" s="30"/>
      <c r="R14" s="30"/>
      <c r="S14" s="30"/>
      <c r="T14" s="30"/>
      <c r="U14" s="26"/>
      <c r="W14" s="197" t="s">
        <v>145</v>
      </c>
      <c r="X14" s="196">
        <v>6.8319999999999992E-2</v>
      </c>
    </row>
    <row r="15" spans="1:24" ht="15.75" x14ac:dyDescent="0.25">
      <c r="B15" s="75"/>
      <c r="C15" s="210" t="s">
        <v>30</v>
      </c>
      <c r="D15" s="223" t="s">
        <v>141</v>
      </c>
      <c r="E15" s="224">
        <v>3.7779E-2</v>
      </c>
      <c r="F15" s="30"/>
      <c r="G15" s="30"/>
      <c r="H15" s="30"/>
      <c r="I15" s="30"/>
      <c r="J15" s="30"/>
      <c r="K15" s="30"/>
      <c r="L15" s="30"/>
      <c r="M15" s="30"/>
      <c r="N15" s="30"/>
      <c r="O15" s="30"/>
      <c r="P15" s="30"/>
      <c r="Q15" s="30"/>
      <c r="R15" s="30"/>
      <c r="S15" s="30"/>
      <c r="T15" s="30"/>
      <c r="U15" s="26"/>
      <c r="W15" s="197" t="s">
        <v>6</v>
      </c>
      <c r="X15" s="196">
        <v>6.7673999999999998E-2</v>
      </c>
    </row>
    <row r="16" spans="1:24" ht="15.75" x14ac:dyDescent="0.25">
      <c r="B16" s="75"/>
      <c r="C16" s="210" t="s">
        <v>250</v>
      </c>
      <c r="D16" s="223" t="s">
        <v>6</v>
      </c>
      <c r="E16" s="224">
        <v>3.6892000000000001E-2</v>
      </c>
      <c r="F16" s="30"/>
      <c r="G16" s="30"/>
      <c r="H16" s="30"/>
      <c r="I16" s="30"/>
      <c r="J16" s="30"/>
      <c r="K16" s="30"/>
      <c r="L16" s="30"/>
      <c r="M16" s="30"/>
      <c r="N16" s="30"/>
      <c r="O16" s="30"/>
      <c r="P16" s="30"/>
      <c r="Q16" s="30"/>
      <c r="R16" s="30"/>
      <c r="S16" s="30"/>
      <c r="T16" s="30"/>
      <c r="U16" s="26"/>
      <c r="W16" s="197" t="s">
        <v>136</v>
      </c>
      <c r="X16" s="196">
        <v>6.720799999999999E-2</v>
      </c>
    </row>
    <row r="17" spans="2:24" ht="15.75" x14ac:dyDescent="0.25">
      <c r="B17" s="75"/>
      <c r="C17" s="210" t="s">
        <v>33</v>
      </c>
      <c r="D17" s="223" t="s">
        <v>130</v>
      </c>
      <c r="E17" s="224">
        <v>3.6603999999999998E-2</v>
      </c>
      <c r="F17" s="30"/>
      <c r="G17" s="30"/>
      <c r="H17" s="30"/>
      <c r="I17" s="30"/>
      <c r="J17" s="30"/>
      <c r="K17" s="30"/>
      <c r="L17" s="30"/>
      <c r="M17" s="30"/>
      <c r="N17" s="30"/>
      <c r="O17" s="30"/>
      <c r="P17" s="30"/>
      <c r="Q17" s="30"/>
      <c r="R17" s="30"/>
      <c r="S17" s="30"/>
      <c r="T17" s="30"/>
      <c r="U17" s="26"/>
      <c r="W17" s="197" t="s">
        <v>16</v>
      </c>
      <c r="X17" s="196">
        <v>6.5168000000000004E-2</v>
      </c>
    </row>
    <row r="18" spans="2:24" ht="15.75" x14ac:dyDescent="0.25">
      <c r="B18" s="75"/>
      <c r="C18" s="210" t="s">
        <v>292</v>
      </c>
      <c r="D18" s="223" t="s">
        <v>130</v>
      </c>
      <c r="E18" s="224">
        <v>3.5445999999999998E-2</v>
      </c>
      <c r="F18" s="30"/>
      <c r="G18" s="30"/>
      <c r="H18" s="30"/>
      <c r="I18" s="30"/>
      <c r="J18" s="30"/>
      <c r="K18" s="30"/>
      <c r="L18" s="30"/>
      <c r="M18" s="30"/>
      <c r="N18" s="30"/>
      <c r="O18" s="30"/>
      <c r="P18" s="30"/>
      <c r="Q18" s="30"/>
      <c r="R18" s="30"/>
      <c r="S18" s="30"/>
      <c r="T18" s="30"/>
      <c r="U18" s="26"/>
      <c r="W18" s="197" t="s">
        <v>23</v>
      </c>
      <c r="X18" s="196">
        <v>3.7978999999999999E-2</v>
      </c>
    </row>
    <row r="19" spans="2:24" ht="15.75" x14ac:dyDescent="0.25">
      <c r="B19" s="75"/>
      <c r="C19" s="210" t="s">
        <v>29</v>
      </c>
      <c r="D19" s="223" t="s">
        <v>3</v>
      </c>
      <c r="E19" s="224">
        <v>3.5288E-2</v>
      </c>
      <c r="F19" s="30"/>
      <c r="G19" s="30"/>
      <c r="H19" s="30"/>
      <c r="I19" s="30"/>
      <c r="J19" s="30"/>
      <c r="K19" s="30"/>
      <c r="L19" s="30"/>
      <c r="M19" s="30"/>
      <c r="N19" s="30"/>
      <c r="O19" s="30"/>
      <c r="P19" s="30"/>
      <c r="Q19" s="30"/>
      <c r="R19" s="30"/>
      <c r="S19" s="30"/>
      <c r="T19" s="30"/>
      <c r="U19" s="26"/>
      <c r="W19" s="197" t="s">
        <v>94</v>
      </c>
      <c r="X19" s="196">
        <v>3.2812000000000001E-2</v>
      </c>
    </row>
    <row r="20" spans="2:24" ht="15.75" x14ac:dyDescent="0.25">
      <c r="B20" s="75"/>
      <c r="C20" s="210" t="s">
        <v>266</v>
      </c>
      <c r="D20" s="223" t="s">
        <v>145</v>
      </c>
      <c r="E20" s="224">
        <v>3.5258999999999999E-2</v>
      </c>
      <c r="F20" s="30"/>
      <c r="G20" s="30"/>
      <c r="H20" s="30"/>
      <c r="I20" s="30"/>
      <c r="J20" s="30"/>
      <c r="K20" s="30"/>
      <c r="L20" s="30"/>
      <c r="M20" s="30"/>
      <c r="N20" s="30"/>
      <c r="O20" s="30"/>
      <c r="P20" s="30"/>
      <c r="Q20" s="30"/>
      <c r="R20" s="30"/>
      <c r="S20" s="30"/>
      <c r="T20" s="30"/>
      <c r="U20" s="26"/>
      <c r="W20" s="197" t="s">
        <v>139</v>
      </c>
      <c r="X20" s="196">
        <v>3.2646000000000001E-2</v>
      </c>
    </row>
    <row r="21" spans="2:24" ht="15.75" x14ac:dyDescent="0.25">
      <c r="B21" s="75"/>
      <c r="C21" s="210" t="s">
        <v>35</v>
      </c>
      <c r="D21" s="223" t="s">
        <v>3</v>
      </c>
      <c r="E21" s="224">
        <v>3.4348999999999998E-2</v>
      </c>
      <c r="F21" s="30"/>
      <c r="G21" s="30"/>
      <c r="H21" s="30"/>
      <c r="I21" s="30"/>
      <c r="J21" s="30"/>
      <c r="K21" s="30"/>
      <c r="L21" s="30"/>
      <c r="M21" s="30"/>
      <c r="N21" s="30"/>
      <c r="O21" s="30"/>
      <c r="P21" s="30"/>
      <c r="Q21" s="30"/>
      <c r="R21" s="30"/>
      <c r="S21" s="30"/>
      <c r="T21" s="30"/>
      <c r="U21" s="26"/>
      <c r="W21" s="197" t="s">
        <v>97</v>
      </c>
      <c r="X21" s="196">
        <v>3.0797000000000001E-2</v>
      </c>
    </row>
    <row r="22" spans="2:24" ht="15.75" x14ac:dyDescent="0.25">
      <c r="B22" s="75"/>
      <c r="C22" s="210" t="s">
        <v>173</v>
      </c>
      <c r="D22" s="223" t="s">
        <v>136</v>
      </c>
      <c r="E22" s="224">
        <v>3.4002999999999999E-2</v>
      </c>
      <c r="F22" s="30"/>
      <c r="G22" s="30"/>
      <c r="H22" s="30"/>
      <c r="I22" s="30"/>
      <c r="J22" s="30"/>
      <c r="K22" s="30"/>
      <c r="L22" s="30"/>
      <c r="M22" s="30"/>
      <c r="N22" s="30"/>
      <c r="O22" s="30"/>
      <c r="P22" s="30"/>
      <c r="Q22" s="30"/>
      <c r="R22" s="30"/>
      <c r="S22" s="30"/>
      <c r="T22" s="30"/>
      <c r="U22" s="26"/>
      <c r="W22" s="70" t="s">
        <v>140</v>
      </c>
      <c r="X22" s="72">
        <v>2.8967E-2</v>
      </c>
    </row>
    <row r="23" spans="2:24" x14ac:dyDescent="0.25">
      <c r="B23" s="75"/>
      <c r="C23" s="83"/>
      <c r="D23" s="83"/>
      <c r="E23" s="84"/>
      <c r="F23" s="30"/>
      <c r="G23" s="30"/>
      <c r="H23" s="30"/>
      <c r="I23" s="30"/>
      <c r="J23" s="30"/>
      <c r="K23" s="30"/>
      <c r="L23" s="30"/>
      <c r="M23" s="30"/>
      <c r="N23" s="30"/>
      <c r="O23" s="30"/>
      <c r="P23" s="30"/>
      <c r="Q23" s="30"/>
      <c r="R23" s="30"/>
      <c r="S23" s="30"/>
      <c r="T23" s="30"/>
      <c r="U23" s="26"/>
      <c r="W23" s="70" t="s">
        <v>4</v>
      </c>
      <c r="X23" s="72">
        <v>8.3299999999999997E-4</v>
      </c>
    </row>
    <row r="24" spans="2:24" ht="15.75" x14ac:dyDescent="0.25">
      <c r="B24" s="75"/>
      <c r="C24" s="85" t="s">
        <v>55</v>
      </c>
      <c r="D24" s="86"/>
      <c r="E24" s="87">
        <f>SUM(E8:E22)</f>
        <v>0.56686299999999989</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5" t="s">
        <v>234</v>
      </c>
      <c r="C39" s="246"/>
      <c r="D39" s="246"/>
      <c r="E39" s="246"/>
      <c r="F39" s="246"/>
      <c r="G39" s="246"/>
      <c r="H39" s="246"/>
      <c r="I39" s="246"/>
      <c r="J39" s="246"/>
      <c r="K39" s="246"/>
      <c r="L39" s="246"/>
      <c r="M39" s="246"/>
      <c r="N39" s="246"/>
      <c r="O39" s="246"/>
      <c r="P39" s="246"/>
      <c r="Q39" s="246"/>
      <c r="R39" s="247"/>
      <c r="W39" s="70"/>
      <c r="X39" s="72"/>
    </row>
    <row r="40" spans="2:24" x14ac:dyDescent="0.25">
      <c r="B40" s="248"/>
      <c r="C40" s="249"/>
      <c r="D40" s="249"/>
      <c r="E40" s="249"/>
      <c r="F40" s="249"/>
      <c r="G40" s="249"/>
      <c r="H40" s="249"/>
      <c r="I40" s="249"/>
      <c r="J40" s="249"/>
      <c r="K40" s="249"/>
      <c r="L40" s="249"/>
      <c r="M40" s="249"/>
      <c r="N40" s="249"/>
      <c r="O40" s="249"/>
      <c r="P40" s="249"/>
      <c r="Q40" s="249"/>
      <c r="R40" s="250"/>
      <c r="W40" s="70"/>
      <c r="X40" s="72"/>
    </row>
    <row r="41" spans="2:24" x14ac:dyDescent="0.25">
      <c r="B41" s="248"/>
      <c r="C41" s="249"/>
      <c r="D41" s="249"/>
      <c r="E41" s="249"/>
      <c r="F41" s="249"/>
      <c r="G41" s="249"/>
      <c r="H41" s="249"/>
      <c r="I41" s="249"/>
      <c r="J41" s="249"/>
      <c r="K41" s="249"/>
      <c r="L41" s="249"/>
      <c r="M41" s="249"/>
      <c r="N41" s="249"/>
      <c r="O41" s="249"/>
      <c r="P41" s="249"/>
      <c r="Q41" s="249"/>
      <c r="R41" s="250"/>
      <c r="W41" s="70"/>
      <c r="X41" s="72"/>
    </row>
    <row r="42" spans="2:24" x14ac:dyDescent="0.25">
      <c r="B42" s="248"/>
      <c r="C42" s="249"/>
      <c r="D42" s="249"/>
      <c r="E42" s="249"/>
      <c r="F42" s="249"/>
      <c r="G42" s="249"/>
      <c r="H42" s="249"/>
      <c r="I42" s="249"/>
      <c r="J42" s="249"/>
      <c r="K42" s="249"/>
      <c r="L42" s="249"/>
      <c r="M42" s="249"/>
      <c r="N42" s="249"/>
      <c r="O42" s="249"/>
      <c r="P42" s="249"/>
      <c r="Q42" s="249"/>
      <c r="R42" s="250"/>
      <c r="W42" s="70"/>
      <c r="X42" s="72"/>
    </row>
    <row r="43" spans="2:24" x14ac:dyDescent="0.25">
      <c r="B43" s="248"/>
      <c r="C43" s="249"/>
      <c r="D43" s="249"/>
      <c r="E43" s="249"/>
      <c r="F43" s="249"/>
      <c r="G43" s="249"/>
      <c r="H43" s="249"/>
      <c r="I43" s="249"/>
      <c r="J43" s="249"/>
      <c r="K43" s="249"/>
      <c r="L43" s="249"/>
      <c r="M43" s="249"/>
      <c r="N43" s="249"/>
      <c r="O43" s="249"/>
      <c r="P43" s="249"/>
      <c r="Q43" s="249"/>
      <c r="R43" s="250"/>
    </row>
    <row r="44" spans="2:24" x14ac:dyDescent="0.25">
      <c r="B44" s="248"/>
      <c r="C44" s="249"/>
      <c r="D44" s="249"/>
      <c r="E44" s="249"/>
      <c r="F44" s="249"/>
      <c r="G44" s="249"/>
      <c r="H44" s="249"/>
      <c r="I44" s="249"/>
      <c r="J44" s="249"/>
      <c r="K44" s="249"/>
      <c r="L44" s="249"/>
      <c r="M44" s="249"/>
      <c r="N44" s="249"/>
      <c r="O44" s="249"/>
      <c r="P44" s="249"/>
      <c r="Q44" s="249"/>
      <c r="R44" s="250"/>
    </row>
    <row r="45" spans="2:24" ht="15.75" thickBot="1" x14ac:dyDescent="0.3">
      <c r="B45" s="251"/>
      <c r="C45" s="252"/>
      <c r="D45" s="252"/>
      <c r="E45" s="252"/>
      <c r="F45" s="252"/>
      <c r="G45" s="252"/>
      <c r="H45" s="252"/>
      <c r="I45" s="252"/>
      <c r="J45" s="252"/>
      <c r="K45" s="252"/>
      <c r="L45" s="252"/>
      <c r="M45" s="252"/>
      <c r="N45" s="252"/>
      <c r="O45" s="252"/>
      <c r="P45" s="252"/>
      <c r="Q45" s="252"/>
      <c r="R45" s="25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4" t="s">
        <v>319</v>
      </c>
      <c r="D3" s="255"/>
      <c r="E3" s="255"/>
      <c r="F3" s="255"/>
      <c r="G3" s="255"/>
      <c r="H3" s="255"/>
      <c r="I3" s="255"/>
      <c r="J3" s="255"/>
      <c r="K3" s="255"/>
      <c r="L3" s="255"/>
      <c r="M3" s="255"/>
      <c r="N3" s="255"/>
      <c r="O3" s="255"/>
      <c r="P3" s="255"/>
      <c r="Q3" s="255"/>
      <c r="R3" s="255"/>
      <c r="S3" s="255"/>
      <c r="T3" s="76"/>
      <c r="U3" s="77"/>
    </row>
    <row r="4" spans="1:24" ht="15.75" x14ac:dyDescent="0.25">
      <c r="B4" s="75"/>
      <c r="C4" s="78" t="s">
        <v>313</v>
      </c>
      <c r="D4" s="30"/>
      <c r="E4" s="30"/>
      <c r="F4" s="30"/>
      <c r="G4" s="30"/>
      <c r="H4" s="30"/>
      <c r="I4" s="30"/>
      <c r="J4" s="30"/>
      <c r="K4" s="30"/>
      <c r="L4" s="30"/>
      <c r="M4" s="30"/>
      <c r="N4" s="30"/>
      <c r="O4" s="30"/>
      <c r="P4" s="30"/>
      <c r="Q4" s="30"/>
      <c r="R4" s="30"/>
      <c r="S4" s="30"/>
      <c r="T4" s="30"/>
      <c r="U4" s="26"/>
    </row>
    <row r="5" spans="1:24" ht="20.25" x14ac:dyDescent="0.25">
      <c r="B5" s="75"/>
      <c r="C5" s="79" t="s">
        <v>314</v>
      </c>
      <c r="D5" s="258" t="s">
        <v>318</v>
      </c>
      <c r="E5" s="258"/>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0" t="s">
        <v>28</v>
      </c>
      <c r="D8" s="221" t="s">
        <v>130</v>
      </c>
      <c r="E8" s="222">
        <v>0.27763300000000002</v>
      </c>
      <c r="F8" s="30"/>
      <c r="G8" s="30"/>
      <c r="H8" s="30"/>
      <c r="I8" s="30"/>
      <c r="J8" s="30"/>
      <c r="K8" s="30"/>
      <c r="L8" s="30"/>
      <c r="M8" s="30"/>
      <c r="N8" s="30"/>
      <c r="O8" s="30"/>
      <c r="P8" s="30"/>
      <c r="Q8" s="30"/>
      <c r="R8" s="30"/>
      <c r="S8" s="30"/>
      <c r="T8" s="30"/>
      <c r="U8" s="26"/>
      <c r="W8" t="s">
        <v>130</v>
      </c>
      <c r="X8" s="196">
        <v>0.98002599999999984</v>
      </c>
    </row>
    <row r="9" spans="1:24" ht="15.75" x14ac:dyDescent="0.25">
      <c r="B9" s="75"/>
      <c r="C9" s="210" t="s">
        <v>33</v>
      </c>
      <c r="D9" s="223" t="s">
        <v>130</v>
      </c>
      <c r="E9" s="224">
        <v>0.25043799999999999</v>
      </c>
      <c r="F9" s="30"/>
      <c r="G9" s="30"/>
      <c r="H9" s="30"/>
      <c r="I9" s="30"/>
      <c r="J9" s="30"/>
      <c r="K9" s="30"/>
      <c r="L9" s="30"/>
      <c r="M9" s="30"/>
      <c r="N9" s="30"/>
      <c r="O9" s="30"/>
      <c r="P9" s="30"/>
      <c r="Q9" s="30"/>
      <c r="R9" s="30"/>
      <c r="S9" s="30"/>
      <c r="T9" s="30"/>
      <c r="U9" s="26"/>
      <c r="W9" t="s">
        <v>138</v>
      </c>
      <c r="X9" s="196">
        <v>1.8232999999999999E-2</v>
      </c>
    </row>
    <row r="10" spans="1:24" ht="15.75" x14ac:dyDescent="0.25">
      <c r="B10" s="75"/>
      <c r="C10" s="210" t="s">
        <v>315</v>
      </c>
      <c r="D10" s="223" t="s">
        <v>130</v>
      </c>
      <c r="E10" s="224">
        <v>9.6043000000000003E-2</v>
      </c>
      <c r="F10" s="30"/>
      <c r="G10" s="30"/>
      <c r="H10" s="30"/>
      <c r="I10" s="30"/>
      <c r="J10" s="30"/>
      <c r="K10" s="30"/>
      <c r="L10" s="30"/>
      <c r="M10" s="30"/>
      <c r="N10" s="30"/>
      <c r="O10" s="30"/>
      <c r="P10" s="30"/>
      <c r="Q10" s="30"/>
      <c r="R10" s="30"/>
      <c r="S10" s="30"/>
      <c r="T10" s="30"/>
      <c r="U10" s="26"/>
      <c r="W10" s="197"/>
      <c r="X10" s="196"/>
    </row>
    <row r="11" spans="1:24" ht="15.75" x14ac:dyDescent="0.25">
      <c r="B11" s="75"/>
      <c r="C11" s="210" t="s">
        <v>292</v>
      </c>
      <c r="D11" s="223" t="s">
        <v>130</v>
      </c>
      <c r="E11" s="224">
        <v>9.1246999999999995E-2</v>
      </c>
      <c r="F11" s="30"/>
      <c r="G11" s="30"/>
      <c r="H11" s="30"/>
      <c r="I11" s="30"/>
      <c r="J11" s="30"/>
      <c r="K11" s="30"/>
      <c r="L11" s="30"/>
      <c r="M11" s="30"/>
      <c r="N11" s="30"/>
      <c r="O11" s="30"/>
      <c r="P11" s="30"/>
      <c r="Q11" s="30"/>
      <c r="R11" s="30"/>
      <c r="S11" s="30"/>
      <c r="T11" s="30"/>
      <c r="U11" s="26"/>
      <c r="W11" s="197"/>
      <c r="X11" s="196"/>
    </row>
    <row r="12" spans="1:24" ht="15.75" x14ac:dyDescent="0.25">
      <c r="B12" s="75"/>
      <c r="C12" s="210" t="s">
        <v>316</v>
      </c>
      <c r="D12" s="223" t="s">
        <v>130</v>
      </c>
      <c r="E12" s="224">
        <v>8.9204000000000006E-2</v>
      </c>
      <c r="F12" s="30"/>
      <c r="G12" s="30"/>
      <c r="H12" s="30"/>
      <c r="I12" s="30"/>
      <c r="J12" s="30"/>
      <c r="K12" s="30"/>
      <c r="L12" s="30"/>
      <c r="M12" s="30"/>
      <c r="N12" s="30"/>
      <c r="O12" s="30"/>
      <c r="P12" s="30"/>
      <c r="Q12" s="30"/>
      <c r="R12" s="30"/>
      <c r="S12" s="30"/>
      <c r="T12" s="30"/>
      <c r="U12" s="26"/>
      <c r="W12" s="197"/>
      <c r="X12" s="196"/>
    </row>
    <row r="13" spans="1:24" ht="15.75" x14ac:dyDescent="0.25">
      <c r="B13" s="75"/>
      <c r="C13" s="210" t="s">
        <v>184</v>
      </c>
      <c r="D13" s="223" t="s">
        <v>130</v>
      </c>
      <c r="E13" s="224">
        <v>7.1527999999999994E-2</v>
      </c>
      <c r="F13" s="30"/>
      <c r="G13" s="30"/>
      <c r="H13" s="30"/>
      <c r="I13" s="30"/>
      <c r="J13" s="30"/>
      <c r="K13" s="30"/>
      <c r="L13" s="30"/>
      <c r="M13" s="30"/>
      <c r="N13" s="30"/>
      <c r="O13" s="30"/>
      <c r="P13" s="30"/>
      <c r="Q13" s="30"/>
      <c r="R13" s="30"/>
      <c r="S13" s="30"/>
      <c r="T13" s="30"/>
      <c r="U13" s="26"/>
      <c r="W13" s="197"/>
      <c r="X13" s="196"/>
    </row>
    <row r="14" spans="1:24" ht="15.75" x14ac:dyDescent="0.25">
      <c r="B14" s="75"/>
      <c r="C14" s="210" t="s">
        <v>277</v>
      </c>
      <c r="D14" s="223" t="s">
        <v>130</v>
      </c>
      <c r="E14" s="224">
        <v>4.0483999999999999E-2</v>
      </c>
      <c r="F14" s="30"/>
      <c r="G14" s="30"/>
      <c r="H14" s="30"/>
      <c r="I14" s="30"/>
      <c r="J14" s="30"/>
      <c r="K14" s="30"/>
      <c r="L14" s="30"/>
      <c r="M14" s="30"/>
      <c r="N14" s="30"/>
      <c r="O14" s="30"/>
      <c r="P14" s="30"/>
      <c r="Q14" s="30"/>
      <c r="R14" s="30"/>
      <c r="S14" s="30"/>
      <c r="T14" s="30"/>
      <c r="U14" s="26"/>
      <c r="W14" s="197"/>
      <c r="X14" s="196"/>
    </row>
    <row r="15" spans="1:24" ht="15.75" x14ac:dyDescent="0.25">
      <c r="B15" s="75"/>
      <c r="C15" s="210" t="s">
        <v>317</v>
      </c>
      <c r="D15" s="223" t="s">
        <v>130</v>
      </c>
      <c r="E15" s="224">
        <v>3.3843999999999999E-2</v>
      </c>
      <c r="F15" s="30"/>
      <c r="G15" s="30"/>
      <c r="H15" s="30"/>
      <c r="I15" s="30"/>
      <c r="J15" s="30"/>
      <c r="K15" s="30"/>
      <c r="L15" s="30"/>
      <c r="M15" s="30"/>
      <c r="N15" s="30"/>
      <c r="O15" s="30"/>
      <c r="P15" s="30"/>
      <c r="Q15" s="30"/>
      <c r="R15" s="30"/>
      <c r="S15" s="30"/>
      <c r="T15" s="30"/>
      <c r="U15" s="26"/>
      <c r="W15" s="197"/>
      <c r="X15" s="196"/>
    </row>
    <row r="16" spans="1:24" ht="15.75" x14ac:dyDescent="0.25">
      <c r="B16" s="75"/>
      <c r="C16" s="210" t="s">
        <v>183</v>
      </c>
      <c r="D16" s="223" t="s">
        <v>130</v>
      </c>
      <c r="E16" s="224">
        <v>2.9604999999999999E-2</v>
      </c>
      <c r="F16" s="30"/>
      <c r="G16" s="30"/>
      <c r="H16" s="30"/>
      <c r="I16" s="30"/>
      <c r="J16" s="30"/>
      <c r="K16" s="30"/>
      <c r="L16" s="30"/>
      <c r="M16" s="30"/>
      <c r="N16" s="30"/>
      <c r="O16" s="30"/>
      <c r="P16" s="30"/>
      <c r="Q16" s="30"/>
      <c r="R16" s="30"/>
      <c r="S16" s="30"/>
      <c r="T16" s="30"/>
      <c r="U16" s="26"/>
      <c r="W16" s="197"/>
      <c r="X16" s="196"/>
    </row>
    <row r="17" spans="2:24" ht="15.75" x14ac:dyDescent="0.25">
      <c r="B17" s="75"/>
      <c r="C17" s="210" t="s">
        <v>273</v>
      </c>
      <c r="D17" s="223" t="s">
        <v>138</v>
      </c>
      <c r="E17" s="224">
        <v>1.8232999999999999E-2</v>
      </c>
      <c r="F17" s="30"/>
      <c r="G17" s="30"/>
      <c r="H17" s="30"/>
      <c r="I17" s="30"/>
      <c r="J17" s="30"/>
      <c r="K17" s="30"/>
      <c r="L17" s="30"/>
      <c r="M17" s="30"/>
      <c r="N17" s="30"/>
      <c r="O17" s="30"/>
      <c r="P17" s="30"/>
      <c r="Q17" s="30"/>
      <c r="R17" s="30"/>
      <c r="S17" s="30"/>
      <c r="T17" s="30"/>
      <c r="U17" s="26"/>
      <c r="W17" s="197"/>
      <c r="X17" s="196"/>
    </row>
    <row r="18" spans="2:24" ht="15.75" x14ac:dyDescent="0.25">
      <c r="B18" s="75"/>
      <c r="C18" s="210"/>
      <c r="D18" s="223"/>
      <c r="E18" s="224"/>
      <c r="F18" s="30"/>
      <c r="G18" s="30"/>
      <c r="H18" s="30"/>
      <c r="I18" s="30"/>
      <c r="J18" s="30"/>
      <c r="K18" s="30"/>
      <c r="L18" s="30"/>
      <c r="M18" s="30"/>
      <c r="N18" s="30"/>
      <c r="O18" s="30"/>
      <c r="P18" s="30"/>
      <c r="Q18" s="30"/>
      <c r="R18" s="30"/>
      <c r="S18" s="30"/>
      <c r="T18" s="30"/>
      <c r="U18" s="26"/>
      <c r="W18" s="197"/>
      <c r="X18" s="196"/>
    </row>
    <row r="19" spans="2:24" ht="15.75" x14ac:dyDescent="0.25">
      <c r="B19" s="75"/>
      <c r="C19" s="85" t="s">
        <v>55</v>
      </c>
      <c r="D19" s="86"/>
      <c r="E19" s="87">
        <f>SUM(E8:E17)</f>
        <v>0.99825900000000001</v>
      </c>
      <c r="F19" s="30"/>
      <c r="G19" s="30"/>
      <c r="H19" s="30"/>
      <c r="I19" s="30"/>
      <c r="J19" s="30"/>
      <c r="K19" s="30"/>
      <c r="L19" s="30"/>
      <c r="M19" s="30"/>
      <c r="N19" s="30"/>
      <c r="O19" s="30"/>
      <c r="P19" s="30"/>
      <c r="Q19" s="30"/>
      <c r="R19" s="30"/>
      <c r="S19" s="30"/>
      <c r="T19" s="30"/>
      <c r="U19" s="26"/>
      <c r="W19" s="197"/>
      <c r="X19" s="196"/>
    </row>
    <row r="20" spans="2:24" x14ac:dyDescent="0.25">
      <c r="B20" s="75"/>
      <c r="C20" s="30"/>
      <c r="D20" s="30"/>
      <c r="E20" s="30"/>
      <c r="F20" s="30"/>
      <c r="G20" s="30"/>
      <c r="H20" s="30"/>
      <c r="I20" s="30"/>
      <c r="J20" s="30"/>
      <c r="K20" s="30"/>
      <c r="L20" s="30"/>
      <c r="M20" s="30"/>
      <c r="N20" s="30"/>
      <c r="O20" s="30"/>
      <c r="P20" s="30"/>
      <c r="Q20" s="30"/>
      <c r="R20" s="30"/>
      <c r="S20" s="30"/>
      <c r="T20" s="30"/>
      <c r="U20" s="26"/>
      <c r="W20" s="197"/>
      <c r="X20" s="196"/>
    </row>
    <row r="21" spans="2:24" x14ac:dyDescent="0.25">
      <c r="B21" s="75"/>
      <c r="C21" s="30"/>
      <c r="D21" s="30"/>
      <c r="E21" s="30"/>
      <c r="F21" s="30"/>
      <c r="G21" s="30"/>
      <c r="H21" s="30"/>
      <c r="I21" s="30"/>
      <c r="J21" s="30"/>
      <c r="K21" s="30"/>
      <c r="L21" s="30"/>
      <c r="M21" s="30"/>
      <c r="N21" s="30"/>
      <c r="O21" s="30"/>
      <c r="P21" s="30"/>
      <c r="Q21" s="30"/>
      <c r="R21" s="30"/>
      <c r="S21" s="30"/>
      <c r="T21" s="30"/>
      <c r="U21" s="26"/>
      <c r="W21" s="197"/>
      <c r="X21" s="196"/>
    </row>
    <row r="22" spans="2:24" x14ac:dyDescent="0.25">
      <c r="B22" s="75"/>
      <c r="C22" s="30"/>
      <c r="D22" s="30"/>
      <c r="E22" s="30"/>
      <c r="F22" s="30"/>
      <c r="G22" s="30"/>
      <c r="H22" s="30"/>
      <c r="I22" s="30"/>
      <c r="J22" s="30"/>
      <c r="K22" s="30"/>
      <c r="L22" s="30"/>
      <c r="M22" s="30"/>
      <c r="N22" s="30"/>
      <c r="O22" s="30"/>
      <c r="P22" s="30"/>
      <c r="Q22" s="30"/>
      <c r="R22" s="30"/>
      <c r="S22" s="30"/>
      <c r="T22" s="30"/>
      <c r="U22" s="26"/>
      <c r="W22" s="70"/>
      <c r="X22" s="72"/>
    </row>
    <row r="23" spans="2:24" x14ac:dyDescent="0.25">
      <c r="B23" s="75"/>
      <c r="C23" s="30"/>
      <c r="D23" s="30"/>
      <c r="E23" s="30"/>
      <c r="F23" s="30"/>
      <c r="G23" s="30"/>
      <c r="H23" s="30"/>
      <c r="I23" s="30"/>
      <c r="J23" s="30"/>
      <c r="K23" s="30"/>
      <c r="L23" s="30"/>
      <c r="M23" s="30"/>
      <c r="N23" s="30"/>
      <c r="O23" s="30"/>
      <c r="P23" s="30"/>
      <c r="Q23" s="30"/>
      <c r="R23" s="30"/>
      <c r="S23" s="30"/>
      <c r="T23" s="30"/>
      <c r="U23" s="26"/>
      <c r="W23" s="70"/>
      <c r="X23" s="72"/>
    </row>
    <row r="24" spans="2:24" x14ac:dyDescent="0.25">
      <c r="B24" s="75"/>
      <c r="C24" s="30"/>
      <c r="D24" s="30"/>
      <c r="E24" s="30"/>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5" t="s">
        <v>234</v>
      </c>
      <c r="C39" s="246"/>
      <c r="D39" s="246"/>
      <c r="E39" s="246"/>
      <c r="F39" s="246"/>
      <c r="G39" s="246"/>
      <c r="H39" s="246"/>
      <c r="I39" s="246"/>
      <c r="J39" s="246"/>
      <c r="K39" s="246"/>
      <c r="L39" s="246"/>
      <c r="M39" s="246"/>
      <c r="N39" s="246"/>
      <c r="O39" s="246"/>
      <c r="P39" s="246"/>
      <c r="Q39" s="246"/>
      <c r="R39" s="247"/>
      <c r="W39" s="70"/>
      <c r="X39" s="72"/>
    </row>
    <row r="40" spans="2:24" x14ac:dyDescent="0.25">
      <c r="B40" s="248"/>
      <c r="C40" s="249"/>
      <c r="D40" s="249"/>
      <c r="E40" s="249"/>
      <c r="F40" s="249"/>
      <c r="G40" s="249"/>
      <c r="H40" s="249"/>
      <c r="I40" s="249"/>
      <c r="J40" s="249"/>
      <c r="K40" s="249"/>
      <c r="L40" s="249"/>
      <c r="M40" s="249"/>
      <c r="N40" s="249"/>
      <c r="O40" s="249"/>
      <c r="P40" s="249"/>
      <c r="Q40" s="249"/>
      <c r="R40" s="250"/>
      <c r="W40" s="70"/>
      <c r="X40" s="72"/>
    </row>
    <row r="41" spans="2:24" x14ac:dyDescent="0.25">
      <c r="B41" s="248"/>
      <c r="C41" s="249"/>
      <c r="D41" s="249"/>
      <c r="E41" s="249"/>
      <c r="F41" s="249"/>
      <c r="G41" s="249"/>
      <c r="H41" s="249"/>
      <c r="I41" s="249"/>
      <c r="J41" s="249"/>
      <c r="K41" s="249"/>
      <c r="L41" s="249"/>
      <c r="M41" s="249"/>
      <c r="N41" s="249"/>
      <c r="O41" s="249"/>
      <c r="P41" s="249"/>
      <c r="Q41" s="249"/>
      <c r="R41" s="250"/>
      <c r="W41" s="70"/>
      <c r="X41" s="72"/>
    </row>
    <row r="42" spans="2:24" x14ac:dyDescent="0.25">
      <c r="B42" s="248"/>
      <c r="C42" s="249"/>
      <c r="D42" s="249"/>
      <c r="E42" s="249"/>
      <c r="F42" s="249"/>
      <c r="G42" s="249"/>
      <c r="H42" s="249"/>
      <c r="I42" s="249"/>
      <c r="J42" s="249"/>
      <c r="K42" s="249"/>
      <c r="L42" s="249"/>
      <c r="M42" s="249"/>
      <c r="N42" s="249"/>
      <c r="O42" s="249"/>
      <c r="P42" s="249"/>
      <c r="Q42" s="249"/>
      <c r="R42" s="250"/>
      <c r="W42" s="70"/>
      <c r="X42" s="72"/>
    </row>
    <row r="43" spans="2:24" x14ac:dyDescent="0.25">
      <c r="B43" s="248"/>
      <c r="C43" s="249"/>
      <c r="D43" s="249"/>
      <c r="E43" s="249"/>
      <c r="F43" s="249"/>
      <c r="G43" s="249"/>
      <c r="H43" s="249"/>
      <c r="I43" s="249"/>
      <c r="J43" s="249"/>
      <c r="K43" s="249"/>
      <c r="L43" s="249"/>
      <c r="M43" s="249"/>
      <c r="N43" s="249"/>
      <c r="O43" s="249"/>
      <c r="P43" s="249"/>
      <c r="Q43" s="249"/>
      <c r="R43" s="250"/>
    </row>
    <row r="44" spans="2:24" x14ac:dyDescent="0.25">
      <c r="B44" s="248"/>
      <c r="C44" s="249"/>
      <c r="D44" s="249"/>
      <c r="E44" s="249"/>
      <c r="F44" s="249"/>
      <c r="G44" s="249"/>
      <c r="H44" s="249"/>
      <c r="I44" s="249"/>
      <c r="J44" s="249"/>
      <c r="K44" s="249"/>
      <c r="L44" s="249"/>
      <c r="M44" s="249"/>
      <c r="N44" s="249"/>
      <c r="O44" s="249"/>
      <c r="P44" s="249"/>
      <c r="Q44" s="249"/>
      <c r="R44" s="250"/>
    </row>
    <row r="45" spans="2:24" ht="15.75" thickBot="1" x14ac:dyDescent="0.3">
      <c r="B45" s="251"/>
      <c r="C45" s="252"/>
      <c r="D45" s="252"/>
      <c r="E45" s="252"/>
      <c r="F45" s="252"/>
      <c r="G45" s="252"/>
      <c r="H45" s="252"/>
      <c r="I45" s="252"/>
      <c r="J45" s="252"/>
      <c r="K45" s="252"/>
      <c r="L45" s="252"/>
      <c r="M45" s="252"/>
      <c r="N45" s="252"/>
      <c r="O45" s="252"/>
      <c r="P45" s="252"/>
      <c r="Q45" s="252"/>
      <c r="R45" s="253"/>
    </row>
  </sheetData>
  <sortState ref="W8:X9">
    <sortCondition descending="1" ref="X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2023-09-04T12:13:06Z</dcterms:modified>
</cp:coreProperties>
</file>